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rev.sharepoint.com/sites/INREVTeam/Shared Documents/IT/_Data Team/cr_survey/mappings/prep_files/survey_monkey/"/>
    </mc:Choice>
  </mc:AlternateContent>
  <xr:revisionPtr revIDLastSave="162" documentId="13_ncr:1_{DEF7EF18-CE0C-4A03-A690-F5820D6A4049}" xr6:coauthVersionLast="47" xr6:coauthVersionMax="47" xr10:uidLastSave="{0AC15EEC-4123-4960-9295-BE570E136CE3}"/>
  <bookViews>
    <workbookView minimized="1" xWindow="0" yWindow="780" windowWidth="28800" windowHeight="14445" firstSheet="4" activeTab="13" xr2:uid="{3F68E4D8-BAE4-4940-9826-29A1CC50D874}"/>
  </bookViews>
  <sheets>
    <sheet name="DFanalysis" sheetId="1" state="hidden" r:id="rId1"/>
    <sheet name="dfanalysis060421" sheetId="18" state="hidden" r:id="rId2"/>
    <sheet name="DFsmonkeyCompl" sheetId="7" state="hidden" r:id="rId3"/>
    <sheet name="DFanalysis_new" sheetId="27" r:id="rId4"/>
    <sheet name="DFsmonkeyCompl (2)" sheetId="29" r:id="rId5"/>
    <sheet name="df_headers" sheetId="6" r:id="rId6"/>
    <sheet name="df_edited_headers" sheetId="9" state="hidden" r:id="rId7"/>
    <sheet name="df_edited_headers (2)" sheetId="28" r:id="rId8"/>
    <sheet name="FoFsmonkeyCompl" sheetId="10" state="hidden" r:id="rId9"/>
    <sheet name="FoFsanalysis_new" sheetId="31" r:id="rId10"/>
    <sheet name="FoFsmonkeyCompl (2)" sheetId="30" r:id="rId11"/>
    <sheet name="FoFsanalysis" sheetId="2" state="hidden" r:id="rId12"/>
    <sheet name="fof_headers" sheetId="12" r:id="rId13"/>
    <sheet name="fof_edited_headers" sheetId="11" r:id="rId14"/>
    <sheet name="NLFsmonkeyCompl" sheetId="14" state="hidden" r:id="rId15"/>
    <sheet name="NLFsanalysis" sheetId="3" state="hidden" r:id="rId16"/>
    <sheet name="NLFsanalysis_new" sheetId="33" r:id="rId17"/>
    <sheet name="NLFsmonkeyCompl (2)" sheetId="32" r:id="rId18"/>
    <sheet name="nlf_headers" sheetId="15" r:id="rId19"/>
    <sheet name="nlf_edited_headers" sheetId="16" r:id="rId20"/>
  </sheets>
  <externalReferences>
    <externalReference r:id="rId21"/>
    <externalReference r:id="rId22"/>
    <externalReference r:id="rId23"/>
    <externalReference r:id="rId24"/>
  </externalReferences>
  <definedNames>
    <definedName name="_xlnm._FilterDatabase" localSheetId="6" hidden="1">df_edited_headers!$A$3:$AO$23</definedName>
    <definedName name="_xlnm._FilterDatabase" localSheetId="7" hidden="1">'df_edited_headers (2)'!$A$3:$AO$22</definedName>
    <definedName name="_xlnm._FilterDatabase" localSheetId="13" hidden="1">fof_edited_headers!$A$3:$AN$16</definedName>
    <definedName name="_xlnm._FilterDatabase" localSheetId="19" hidden="1">nlf_edited_headers!$A$3:$AP$3</definedName>
    <definedName name="_xlnm._FilterDatabase" localSheetId="15" hidden="1">NLFsanalysis!$A$1:$AG$121</definedName>
    <definedName name="_xlnm._FilterDatabase" localSheetId="16" hidden="1">NLFsanalysis_new!$A$1:$AH$121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21" i="33" l="1"/>
  <c r="AG121" i="33"/>
  <c r="AF121" i="33"/>
  <c r="AE121" i="33"/>
  <c r="AD121" i="33"/>
  <c r="AC121" i="33"/>
  <c r="AB121" i="33"/>
  <c r="AA121" i="33"/>
  <c r="Z121" i="33"/>
  <c r="Y121" i="33"/>
  <c r="X121" i="33"/>
  <c r="V121" i="33"/>
  <c r="T121" i="33"/>
  <c r="S121" i="33"/>
  <c r="R121" i="33"/>
  <c r="Q121" i="33"/>
  <c r="P121" i="33"/>
  <c r="L121" i="33"/>
  <c r="M121" i="33" s="1"/>
  <c r="W121" i="33" s="1"/>
  <c r="K121" i="33"/>
  <c r="J121" i="33"/>
  <c r="I121" i="33"/>
  <c r="G121" i="33"/>
  <c r="F121" i="33"/>
  <c r="B121" i="33"/>
  <c r="A121" i="33"/>
  <c r="AH120" i="33"/>
  <c r="AG120" i="33"/>
  <c r="AF120" i="33"/>
  <c r="AE120" i="33"/>
  <c r="AD120" i="33"/>
  <c r="AC120" i="33"/>
  <c r="AB120" i="33"/>
  <c r="L120" i="33"/>
  <c r="M120" i="33" s="1"/>
  <c r="K120" i="33"/>
  <c r="J120" i="33"/>
  <c r="I120" i="33"/>
  <c r="H120" i="33"/>
  <c r="G120" i="33"/>
  <c r="F120" i="33"/>
  <c r="E120" i="33"/>
  <c r="D120" i="33"/>
  <c r="B120" i="33"/>
  <c r="A120" i="33"/>
  <c r="AH119" i="33"/>
  <c r="AG119" i="33"/>
  <c r="AF119" i="33"/>
  <c r="AE119" i="33"/>
  <c r="AD119" i="33"/>
  <c r="AC119" i="33"/>
  <c r="AB119" i="33"/>
  <c r="AA119" i="33"/>
  <c r="Z119" i="33"/>
  <c r="Y119" i="33"/>
  <c r="X119" i="33"/>
  <c r="W119" i="33"/>
  <c r="V119" i="33"/>
  <c r="U119" i="33"/>
  <c r="T119" i="33"/>
  <c r="S119" i="33"/>
  <c r="R119" i="33"/>
  <c r="Q119" i="33"/>
  <c r="P119" i="33"/>
  <c r="O119" i="33"/>
  <c r="N119" i="33"/>
  <c r="L119" i="33"/>
  <c r="M119" i="33" s="1"/>
  <c r="K119" i="33"/>
  <c r="J119" i="33"/>
  <c r="I119" i="33"/>
  <c r="H119" i="33"/>
  <c r="G119" i="33"/>
  <c r="F119" i="33"/>
  <c r="E119" i="33"/>
  <c r="D119" i="33"/>
  <c r="B119" i="33"/>
  <c r="A119" i="33"/>
  <c r="AH118" i="33"/>
  <c r="AG118" i="33"/>
  <c r="AF118" i="33"/>
  <c r="AE118" i="33"/>
  <c r="AD118" i="33"/>
  <c r="AC118" i="33"/>
  <c r="AB118" i="33"/>
  <c r="AA118" i="33"/>
  <c r="Z118" i="33"/>
  <c r="Y118" i="33"/>
  <c r="X118" i="33"/>
  <c r="W118" i="33"/>
  <c r="V118" i="33"/>
  <c r="U118" i="33"/>
  <c r="T118" i="33"/>
  <c r="S118" i="33"/>
  <c r="R118" i="33"/>
  <c r="Q118" i="33"/>
  <c r="P118" i="33"/>
  <c r="O118" i="33"/>
  <c r="N118" i="33"/>
  <c r="L118" i="33"/>
  <c r="M118" i="33" s="1"/>
  <c r="K118" i="33"/>
  <c r="J118" i="33"/>
  <c r="I118" i="33"/>
  <c r="H118" i="33"/>
  <c r="G118" i="33"/>
  <c r="F118" i="33"/>
  <c r="E118" i="33"/>
  <c r="D118" i="33"/>
  <c r="B118" i="33"/>
  <c r="A118" i="33"/>
  <c r="AH117" i="33"/>
  <c r="AG117" i="33"/>
  <c r="AF117" i="33"/>
  <c r="AE117" i="33"/>
  <c r="AD117" i="33"/>
  <c r="AC117" i="33"/>
  <c r="AB117" i="33"/>
  <c r="AA117" i="33"/>
  <c r="Z117" i="33"/>
  <c r="Y117" i="33"/>
  <c r="X117" i="33"/>
  <c r="W117" i="33"/>
  <c r="V117" i="33"/>
  <c r="U117" i="33"/>
  <c r="T117" i="33"/>
  <c r="S117" i="33"/>
  <c r="R117" i="33"/>
  <c r="Q117" i="33"/>
  <c r="P117" i="33"/>
  <c r="O117" i="33"/>
  <c r="N117" i="33"/>
  <c r="L117" i="33"/>
  <c r="M117" i="33" s="1"/>
  <c r="K117" i="33"/>
  <c r="J117" i="33"/>
  <c r="I117" i="33"/>
  <c r="H117" i="33"/>
  <c r="G117" i="33"/>
  <c r="F117" i="33"/>
  <c r="E117" i="33"/>
  <c r="D117" i="33"/>
  <c r="B117" i="33"/>
  <c r="A117" i="33"/>
  <c r="AH116" i="33"/>
  <c r="AG116" i="33"/>
  <c r="AF116" i="33"/>
  <c r="AE116" i="33"/>
  <c r="AD116" i="33"/>
  <c r="AC116" i="33"/>
  <c r="AB116" i="33"/>
  <c r="AA116" i="33"/>
  <c r="Z116" i="33"/>
  <c r="Y116" i="33"/>
  <c r="X116" i="33"/>
  <c r="W116" i="33"/>
  <c r="V116" i="33"/>
  <c r="U116" i="33"/>
  <c r="T116" i="33"/>
  <c r="S116" i="33"/>
  <c r="R116" i="33"/>
  <c r="Q116" i="33"/>
  <c r="P116" i="33"/>
  <c r="O116" i="33"/>
  <c r="N116" i="33"/>
  <c r="L116" i="33"/>
  <c r="M116" i="33" s="1"/>
  <c r="K116" i="33"/>
  <c r="J116" i="33"/>
  <c r="I116" i="33"/>
  <c r="H116" i="33"/>
  <c r="G116" i="33"/>
  <c r="F116" i="33"/>
  <c r="E116" i="33"/>
  <c r="D116" i="33"/>
  <c r="B116" i="33"/>
  <c r="A116" i="33"/>
  <c r="AH115" i="33"/>
  <c r="AG115" i="33"/>
  <c r="AF115" i="33"/>
  <c r="AE115" i="33"/>
  <c r="AD115" i="33"/>
  <c r="AC115" i="33"/>
  <c r="AB115" i="33"/>
  <c r="AA115" i="33"/>
  <c r="Z115" i="33"/>
  <c r="Y115" i="33"/>
  <c r="X115" i="33"/>
  <c r="U115" i="33"/>
  <c r="T115" i="33"/>
  <c r="S115" i="33"/>
  <c r="R115" i="33"/>
  <c r="Q115" i="33"/>
  <c r="P115" i="33"/>
  <c r="L115" i="33"/>
  <c r="M115" i="33" s="1"/>
  <c r="K115" i="33"/>
  <c r="J115" i="33"/>
  <c r="I115" i="33"/>
  <c r="H115" i="33"/>
  <c r="G115" i="33"/>
  <c r="F115" i="33"/>
  <c r="E115" i="33"/>
  <c r="D115" i="33"/>
  <c r="B115" i="33"/>
  <c r="A115" i="33"/>
  <c r="AH114" i="33"/>
  <c r="AG114" i="33"/>
  <c r="AF114" i="33"/>
  <c r="AE114" i="33"/>
  <c r="AD114" i="33"/>
  <c r="AC114" i="33"/>
  <c r="AB114" i="33"/>
  <c r="AA114" i="33"/>
  <c r="Z114" i="33"/>
  <c r="Y114" i="33"/>
  <c r="X114" i="33"/>
  <c r="W114" i="33"/>
  <c r="V114" i="33"/>
  <c r="U114" i="33"/>
  <c r="T114" i="33"/>
  <c r="S114" i="33"/>
  <c r="R114" i="33"/>
  <c r="Q114" i="33"/>
  <c r="P114" i="33"/>
  <c r="O114" i="33"/>
  <c r="N114" i="33"/>
  <c r="L114" i="33"/>
  <c r="K114" i="33"/>
  <c r="J114" i="33"/>
  <c r="I114" i="33"/>
  <c r="H114" i="33"/>
  <c r="F114" i="33"/>
  <c r="E114" i="33"/>
  <c r="D114" i="33"/>
  <c r="B114" i="33"/>
  <c r="A114" i="33"/>
  <c r="AH113" i="33"/>
  <c r="AG113" i="33"/>
  <c r="AF113" i="33"/>
  <c r="AE113" i="33"/>
  <c r="AD113" i="33"/>
  <c r="AC113" i="33"/>
  <c r="AB113" i="33"/>
  <c r="AA113" i="33"/>
  <c r="Z113" i="33"/>
  <c r="Y113" i="33"/>
  <c r="X113" i="33"/>
  <c r="W113" i="33"/>
  <c r="V113" i="33"/>
  <c r="U113" i="33"/>
  <c r="T113" i="33"/>
  <c r="S113" i="33"/>
  <c r="R113" i="33"/>
  <c r="Q113" i="33"/>
  <c r="P113" i="33"/>
  <c r="O113" i="33"/>
  <c r="N113" i="33"/>
  <c r="L113" i="33"/>
  <c r="M113" i="33" s="1"/>
  <c r="K113" i="33"/>
  <c r="J113" i="33"/>
  <c r="I113" i="33"/>
  <c r="H113" i="33"/>
  <c r="F113" i="33"/>
  <c r="E113" i="33"/>
  <c r="D113" i="33"/>
  <c r="B113" i="33"/>
  <c r="A113" i="33"/>
  <c r="AH112" i="33"/>
  <c r="AG112" i="33"/>
  <c r="AF112" i="33"/>
  <c r="AE112" i="33"/>
  <c r="AD112" i="33"/>
  <c r="AC112" i="33"/>
  <c r="AB112" i="33"/>
  <c r="AA112" i="33"/>
  <c r="Z112" i="33"/>
  <c r="Y112" i="33"/>
  <c r="X112" i="33"/>
  <c r="W112" i="33"/>
  <c r="V112" i="33"/>
  <c r="U112" i="33"/>
  <c r="T112" i="33"/>
  <c r="S112" i="33"/>
  <c r="R112" i="33"/>
  <c r="Q112" i="33"/>
  <c r="P112" i="33"/>
  <c r="O112" i="33"/>
  <c r="N112" i="33"/>
  <c r="L112" i="33"/>
  <c r="K112" i="33"/>
  <c r="J112" i="33"/>
  <c r="I112" i="33"/>
  <c r="H112" i="33"/>
  <c r="F112" i="33"/>
  <c r="E112" i="33"/>
  <c r="D112" i="33"/>
  <c r="B112" i="33"/>
  <c r="A112" i="33"/>
  <c r="AH111" i="33"/>
  <c r="AG111" i="33"/>
  <c r="AF111" i="33"/>
  <c r="AE111" i="33"/>
  <c r="AD111" i="33"/>
  <c r="AC111" i="33"/>
  <c r="AB111" i="33"/>
  <c r="AA111" i="33"/>
  <c r="Z111" i="33"/>
  <c r="Y111" i="33"/>
  <c r="X111" i="33"/>
  <c r="V111" i="33"/>
  <c r="U111" i="33"/>
  <c r="T111" i="33"/>
  <c r="S111" i="33"/>
  <c r="R111" i="33"/>
  <c r="Q111" i="33"/>
  <c r="P111" i="33"/>
  <c r="L111" i="33"/>
  <c r="K111" i="33"/>
  <c r="J111" i="33"/>
  <c r="I111" i="33"/>
  <c r="G111" i="33"/>
  <c r="F111" i="33"/>
  <c r="B111" i="33"/>
  <c r="A111" i="33"/>
  <c r="AH110" i="33"/>
  <c r="AG110" i="33"/>
  <c r="AF110" i="33"/>
  <c r="AE110" i="33"/>
  <c r="AD110" i="33"/>
  <c r="AC110" i="33"/>
  <c r="AB110" i="33"/>
  <c r="AA110" i="33"/>
  <c r="Z110" i="33"/>
  <c r="Y110" i="33"/>
  <c r="X110" i="33"/>
  <c r="W110" i="33"/>
  <c r="V110" i="33"/>
  <c r="U110" i="33"/>
  <c r="T110" i="33"/>
  <c r="S110" i="33"/>
  <c r="R110" i="33"/>
  <c r="Q110" i="33"/>
  <c r="P110" i="33"/>
  <c r="O110" i="33"/>
  <c r="N110" i="33"/>
  <c r="L110" i="33"/>
  <c r="M110" i="33" s="1"/>
  <c r="K110" i="33"/>
  <c r="J110" i="33"/>
  <c r="I110" i="33"/>
  <c r="G110" i="33"/>
  <c r="F110" i="33"/>
  <c r="B110" i="33"/>
  <c r="A110" i="33"/>
  <c r="AH109" i="33"/>
  <c r="AG109" i="33"/>
  <c r="AF109" i="33"/>
  <c r="AE109" i="33"/>
  <c r="AD109" i="33"/>
  <c r="AC109" i="33"/>
  <c r="AB109" i="33"/>
  <c r="AA109" i="33"/>
  <c r="Z109" i="33"/>
  <c r="Y109" i="33"/>
  <c r="X109" i="33"/>
  <c r="U109" i="33"/>
  <c r="T109" i="33"/>
  <c r="S109" i="33"/>
  <c r="R109" i="33"/>
  <c r="Q109" i="33"/>
  <c r="P109" i="33"/>
  <c r="O109" i="33"/>
  <c r="L109" i="33"/>
  <c r="K109" i="33"/>
  <c r="J109" i="33"/>
  <c r="I109" i="33"/>
  <c r="H109" i="33"/>
  <c r="G109" i="33"/>
  <c r="F109" i="33"/>
  <c r="E109" i="33"/>
  <c r="D109" i="33"/>
  <c r="B109" i="33"/>
  <c r="A109" i="33"/>
  <c r="AH108" i="33"/>
  <c r="AG108" i="33"/>
  <c r="AF108" i="33"/>
  <c r="AE108" i="33"/>
  <c r="AD108" i="33"/>
  <c r="AC108" i="33"/>
  <c r="AB108" i="33"/>
  <c r="AA108" i="33"/>
  <c r="Z108" i="33"/>
  <c r="Y108" i="33"/>
  <c r="X108" i="33"/>
  <c r="W108" i="33"/>
  <c r="V108" i="33"/>
  <c r="U108" i="33"/>
  <c r="T108" i="33"/>
  <c r="S108" i="33"/>
  <c r="R108" i="33"/>
  <c r="Q108" i="33"/>
  <c r="P108" i="33"/>
  <c r="O108" i="33"/>
  <c r="N108" i="33"/>
  <c r="L108" i="33"/>
  <c r="M108" i="33" s="1"/>
  <c r="K108" i="33"/>
  <c r="J108" i="33"/>
  <c r="I108" i="33"/>
  <c r="H108" i="33"/>
  <c r="G108" i="33"/>
  <c r="F108" i="33"/>
  <c r="E108" i="33"/>
  <c r="D108" i="33"/>
  <c r="B108" i="33"/>
  <c r="A108" i="33"/>
  <c r="AH107" i="33"/>
  <c r="AG107" i="33"/>
  <c r="AF107" i="33"/>
  <c r="AE107" i="33"/>
  <c r="AD107" i="33"/>
  <c r="AC107" i="33"/>
  <c r="AB107" i="33"/>
  <c r="AA107" i="33"/>
  <c r="Z107" i="33"/>
  <c r="Y107" i="33"/>
  <c r="X107" i="33"/>
  <c r="W107" i="33"/>
  <c r="V107" i="33"/>
  <c r="U107" i="33"/>
  <c r="T107" i="33"/>
  <c r="S107" i="33"/>
  <c r="R107" i="33"/>
  <c r="Q107" i="33"/>
  <c r="P107" i="33"/>
  <c r="O107" i="33"/>
  <c r="N107" i="33"/>
  <c r="L107" i="33"/>
  <c r="M107" i="33" s="1"/>
  <c r="K107" i="33"/>
  <c r="J107" i="33"/>
  <c r="I107" i="33"/>
  <c r="H107" i="33"/>
  <c r="G107" i="33"/>
  <c r="F107" i="33"/>
  <c r="E107" i="33"/>
  <c r="D107" i="33"/>
  <c r="B107" i="33"/>
  <c r="A107" i="33"/>
  <c r="AH106" i="33"/>
  <c r="AG106" i="33"/>
  <c r="AF106" i="33"/>
  <c r="AE106" i="33"/>
  <c r="AD106" i="33"/>
  <c r="AC106" i="33"/>
  <c r="AB106" i="33"/>
  <c r="AA106" i="33"/>
  <c r="Z106" i="33"/>
  <c r="Y106" i="33"/>
  <c r="X106" i="33"/>
  <c r="V106" i="33"/>
  <c r="U106" i="33"/>
  <c r="T106" i="33"/>
  <c r="S106" i="33"/>
  <c r="R106" i="33"/>
  <c r="Q106" i="33"/>
  <c r="L106" i="33"/>
  <c r="K106" i="33"/>
  <c r="J106" i="33"/>
  <c r="I106" i="33"/>
  <c r="H106" i="33"/>
  <c r="G106" i="33"/>
  <c r="F106" i="33"/>
  <c r="E106" i="33"/>
  <c r="D106" i="33"/>
  <c r="B106" i="33"/>
  <c r="A106" i="33"/>
  <c r="AH105" i="33"/>
  <c r="AG105" i="33"/>
  <c r="AF105" i="33"/>
  <c r="AE105" i="33"/>
  <c r="AD105" i="33"/>
  <c r="AC105" i="33"/>
  <c r="AB105" i="33"/>
  <c r="AA105" i="33"/>
  <c r="Z105" i="33"/>
  <c r="Y105" i="33"/>
  <c r="X105" i="33"/>
  <c r="W105" i="33"/>
  <c r="V105" i="33"/>
  <c r="U105" i="33"/>
  <c r="T105" i="33"/>
  <c r="S105" i="33"/>
  <c r="R105" i="33"/>
  <c r="Q105" i="33"/>
  <c r="P105" i="33"/>
  <c r="O105" i="33"/>
  <c r="N105" i="33"/>
  <c r="L105" i="33"/>
  <c r="M105" i="33" s="1"/>
  <c r="K105" i="33"/>
  <c r="J105" i="33"/>
  <c r="I105" i="33"/>
  <c r="H105" i="33"/>
  <c r="G105" i="33"/>
  <c r="F105" i="33"/>
  <c r="E105" i="33"/>
  <c r="D105" i="33"/>
  <c r="B105" i="33"/>
  <c r="A105" i="33"/>
  <c r="AH104" i="33"/>
  <c r="AG104" i="33"/>
  <c r="AF104" i="33"/>
  <c r="AE104" i="33"/>
  <c r="AD104" i="33"/>
  <c r="AC104" i="33"/>
  <c r="AB104" i="33"/>
  <c r="AA104" i="33"/>
  <c r="Z104" i="33"/>
  <c r="Y104" i="33"/>
  <c r="X104" i="33"/>
  <c r="W104" i="33"/>
  <c r="V104" i="33"/>
  <c r="U104" i="33"/>
  <c r="T104" i="33"/>
  <c r="S104" i="33"/>
  <c r="R104" i="33"/>
  <c r="Q104" i="33"/>
  <c r="P104" i="33"/>
  <c r="O104" i="33"/>
  <c r="N104" i="33"/>
  <c r="L104" i="33"/>
  <c r="K104" i="33"/>
  <c r="J104" i="33"/>
  <c r="I104" i="33"/>
  <c r="H104" i="33"/>
  <c r="G104" i="33"/>
  <c r="F104" i="33"/>
  <c r="E104" i="33"/>
  <c r="D104" i="33"/>
  <c r="B104" i="33"/>
  <c r="A104" i="33"/>
  <c r="AH103" i="33"/>
  <c r="AG103" i="33"/>
  <c r="AF103" i="33"/>
  <c r="AE103" i="33"/>
  <c r="AD103" i="33"/>
  <c r="AC103" i="33"/>
  <c r="AB103" i="33"/>
  <c r="AA103" i="33"/>
  <c r="Z103" i="33"/>
  <c r="Y103" i="33"/>
  <c r="X103" i="33"/>
  <c r="W103" i="33"/>
  <c r="V103" i="33"/>
  <c r="U103" i="33"/>
  <c r="T103" i="33"/>
  <c r="S103" i="33"/>
  <c r="R103" i="33"/>
  <c r="Q103" i="33"/>
  <c r="P103" i="33"/>
  <c r="O103" i="33"/>
  <c r="N103" i="33"/>
  <c r="L103" i="33"/>
  <c r="K103" i="33"/>
  <c r="J103" i="33"/>
  <c r="I103" i="33"/>
  <c r="H103" i="33"/>
  <c r="G103" i="33"/>
  <c r="F103" i="33"/>
  <c r="E103" i="33"/>
  <c r="D103" i="33"/>
  <c r="B103" i="33"/>
  <c r="A103" i="33"/>
  <c r="AH102" i="33"/>
  <c r="AG102" i="33"/>
  <c r="AF102" i="33"/>
  <c r="AE102" i="33"/>
  <c r="AD102" i="33"/>
  <c r="AC102" i="33"/>
  <c r="AB102" i="33"/>
  <c r="AA102" i="33"/>
  <c r="Z102" i="33"/>
  <c r="L102" i="33"/>
  <c r="M102" i="33" s="1"/>
  <c r="K102" i="33"/>
  <c r="J102" i="33"/>
  <c r="I102" i="33"/>
  <c r="H102" i="33"/>
  <c r="F102" i="33"/>
  <c r="E102" i="33"/>
  <c r="D102" i="33"/>
  <c r="B102" i="33"/>
  <c r="A102" i="33"/>
  <c r="AH101" i="33"/>
  <c r="AG101" i="33"/>
  <c r="AF101" i="33"/>
  <c r="AE101" i="33"/>
  <c r="AD101" i="33"/>
  <c r="AC101" i="33"/>
  <c r="AB101" i="33"/>
  <c r="AA101" i="33"/>
  <c r="Z101" i="33"/>
  <c r="Y101" i="33"/>
  <c r="X101" i="33"/>
  <c r="W101" i="33"/>
  <c r="V101" i="33"/>
  <c r="U101" i="33"/>
  <c r="T101" i="33"/>
  <c r="S101" i="33"/>
  <c r="R101" i="33"/>
  <c r="Q101" i="33"/>
  <c r="P101" i="33"/>
  <c r="O101" i="33"/>
  <c r="N101" i="33"/>
  <c r="L101" i="33"/>
  <c r="M101" i="33" s="1"/>
  <c r="K101" i="33"/>
  <c r="J101" i="33"/>
  <c r="I101" i="33"/>
  <c r="H101" i="33"/>
  <c r="F101" i="33"/>
  <c r="E101" i="33"/>
  <c r="D101" i="33"/>
  <c r="B101" i="33"/>
  <c r="A101" i="33"/>
  <c r="AH100" i="33"/>
  <c r="AG100" i="33"/>
  <c r="AF100" i="33"/>
  <c r="AE100" i="33"/>
  <c r="AD100" i="33"/>
  <c r="AC100" i="33"/>
  <c r="AB100" i="33"/>
  <c r="AA100" i="33"/>
  <c r="Z100" i="33"/>
  <c r="Y100" i="33"/>
  <c r="X100" i="33"/>
  <c r="V100" i="33"/>
  <c r="U100" i="33"/>
  <c r="S100" i="33"/>
  <c r="R100" i="33"/>
  <c r="L100" i="33"/>
  <c r="M100" i="33" s="1"/>
  <c r="K100" i="33"/>
  <c r="J100" i="33"/>
  <c r="I100" i="33"/>
  <c r="H100" i="33"/>
  <c r="G100" i="33"/>
  <c r="F100" i="33"/>
  <c r="E100" i="33"/>
  <c r="D100" i="33"/>
  <c r="B100" i="33"/>
  <c r="A100" i="33"/>
  <c r="AH99" i="33"/>
  <c r="AG99" i="33"/>
  <c r="AF99" i="33"/>
  <c r="AE99" i="33"/>
  <c r="AD99" i="33"/>
  <c r="AC99" i="33"/>
  <c r="AB99" i="33"/>
  <c r="AA99" i="33"/>
  <c r="Z99" i="33"/>
  <c r="Y99" i="33"/>
  <c r="X99" i="33"/>
  <c r="W99" i="33"/>
  <c r="V99" i="33"/>
  <c r="U99" i="33"/>
  <c r="S99" i="33"/>
  <c r="R99" i="33"/>
  <c r="Q99" i="33"/>
  <c r="P99" i="33"/>
  <c r="L99" i="33"/>
  <c r="M99" i="33" s="1"/>
  <c r="O99" i="33" s="1"/>
  <c r="K99" i="33"/>
  <c r="J99" i="33"/>
  <c r="I99" i="33"/>
  <c r="H99" i="33"/>
  <c r="G99" i="33"/>
  <c r="F99" i="33"/>
  <c r="E99" i="33"/>
  <c r="D99" i="33"/>
  <c r="B99" i="33"/>
  <c r="A99" i="33"/>
  <c r="AH98" i="33"/>
  <c r="AG98" i="33"/>
  <c r="AF98" i="33"/>
  <c r="AE98" i="33"/>
  <c r="AD98" i="33"/>
  <c r="AC98" i="33"/>
  <c r="AB98" i="33"/>
  <c r="AA98" i="33"/>
  <c r="Z98" i="33"/>
  <c r="Y98" i="33"/>
  <c r="X98" i="33"/>
  <c r="W98" i="33"/>
  <c r="V98" i="33"/>
  <c r="U98" i="33"/>
  <c r="T98" i="33"/>
  <c r="S98" i="33"/>
  <c r="R98" i="33"/>
  <c r="Q98" i="33"/>
  <c r="P98" i="33"/>
  <c r="O98" i="33"/>
  <c r="N98" i="33"/>
  <c r="L98" i="33"/>
  <c r="M98" i="33" s="1"/>
  <c r="K98" i="33"/>
  <c r="J98" i="33"/>
  <c r="I98" i="33"/>
  <c r="G98" i="33"/>
  <c r="B98" i="33"/>
  <c r="A98" i="33"/>
  <c r="AH97" i="33"/>
  <c r="AG97" i="33"/>
  <c r="AF97" i="33"/>
  <c r="AE97" i="33"/>
  <c r="AD97" i="33"/>
  <c r="AC97" i="33"/>
  <c r="AB97" i="33"/>
  <c r="AA97" i="33"/>
  <c r="Z97" i="33"/>
  <c r="X97" i="33"/>
  <c r="W97" i="33"/>
  <c r="V97" i="33"/>
  <c r="U97" i="33"/>
  <c r="T97" i="33"/>
  <c r="R97" i="33"/>
  <c r="Q97" i="33"/>
  <c r="P97" i="33"/>
  <c r="O97" i="33"/>
  <c r="L97" i="33"/>
  <c r="M97" i="33" s="1"/>
  <c r="K97" i="33"/>
  <c r="J97" i="33"/>
  <c r="I97" i="33"/>
  <c r="G97" i="33"/>
  <c r="B97" i="33"/>
  <c r="A97" i="33"/>
  <c r="AH96" i="33"/>
  <c r="AG96" i="33"/>
  <c r="AF96" i="33"/>
  <c r="AE96" i="33"/>
  <c r="AD96" i="33"/>
  <c r="AC96" i="33"/>
  <c r="AB96" i="33"/>
  <c r="AA96" i="33"/>
  <c r="Z96" i="33"/>
  <c r="Y96" i="33"/>
  <c r="X96" i="33"/>
  <c r="V96" i="33"/>
  <c r="U96" i="33"/>
  <c r="S96" i="33"/>
  <c r="R96" i="33"/>
  <c r="Q96" i="33"/>
  <c r="P96" i="33"/>
  <c r="M96" i="33"/>
  <c r="K96" i="33"/>
  <c r="J96" i="33"/>
  <c r="I96" i="33"/>
  <c r="G96" i="33"/>
  <c r="B96" i="33"/>
  <c r="A96" i="33"/>
  <c r="AH95" i="33"/>
  <c r="AG95" i="33"/>
  <c r="AF95" i="33"/>
  <c r="AE95" i="33"/>
  <c r="AD95" i="33"/>
  <c r="AC95" i="33"/>
  <c r="AB95" i="33"/>
  <c r="AA95" i="33"/>
  <c r="Z95" i="33"/>
  <c r="Y95" i="33"/>
  <c r="X95" i="33"/>
  <c r="V95" i="33"/>
  <c r="U95" i="33"/>
  <c r="S95" i="33"/>
  <c r="R95" i="33"/>
  <c r="Q95" i="33"/>
  <c r="P95" i="33"/>
  <c r="O95" i="33"/>
  <c r="L95" i="33"/>
  <c r="M95" i="33" s="1"/>
  <c r="K95" i="33"/>
  <c r="J95" i="33"/>
  <c r="I95" i="33"/>
  <c r="H95" i="33"/>
  <c r="F95" i="33"/>
  <c r="E95" i="33"/>
  <c r="D95" i="33"/>
  <c r="B95" i="33"/>
  <c r="A95" i="33"/>
  <c r="AH94" i="33"/>
  <c r="AG94" i="33"/>
  <c r="AF94" i="33"/>
  <c r="AE94" i="33"/>
  <c r="AD94" i="33"/>
  <c r="AC94" i="33"/>
  <c r="AB94" i="33"/>
  <c r="AA94" i="33"/>
  <c r="Z94" i="33"/>
  <c r="Y94" i="33"/>
  <c r="X94" i="33"/>
  <c r="W94" i="33"/>
  <c r="V94" i="33"/>
  <c r="U94" i="33"/>
  <c r="T94" i="33"/>
  <c r="S94" i="33"/>
  <c r="R94" i="33"/>
  <c r="Q94" i="33"/>
  <c r="P94" i="33"/>
  <c r="O94" i="33"/>
  <c r="N94" i="33"/>
  <c r="L94" i="33"/>
  <c r="M94" i="33" s="1"/>
  <c r="K94" i="33"/>
  <c r="J94" i="33"/>
  <c r="I94" i="33"/>
  <c r="G94" i="33"/>
  <c r="B94" i="33"/>
  <c r="A94" i="33"/>
  <c r="AH93" i="33"/>
  <c r="AG93" i="33"/>
  <c r="AF93" i="33"/>
  <c r="AE93" i="33"/>
  <c r="AD93" i="33"/>
  <c r="AC93" i="33"/>
  <c r="AB93" i="33"/>
  <c r="AA93" i="33"/>
  <c r="Z93" i="33"/>
  <c r="Y93" i="33"/>
  <c r="X93" i="33"/>
  <c r="W93" i="33"/>
  <c r="V93" i="33"/>
  <c r="U93" i="33"/>
  <c r="T93" i="33"/>
  <c r="S93" i="33"/>
  <c r="R93" i="33"/>
  <c r="Q93" i="33"/>
  <c r="P93" i="33"/>
  <c r="O93" i="33"/>
  <c r="N93" i="33"/>
  <c r="L93" i="33"/>
  <c r="M93" i="33" s="1"/>
  <c r="K93" i="33"/>
  <c r="J93" i="33"/>
  <c r="I93" i="33"/>
  <c r="H93" i="33"/>
  <c r="G93" i="33"/>
  <c r="F93" i="33"/>
  <c r="E93" i="33"/>
  <c r="D93" i="33"/>
  <c r="B93" i="33"/>
  <c r="A93" i="33"/>
  <c r="AH92" i="33"/>
  <c r="AG92" i="33"/>
  <c r="AF92" i="33"/>
  <c r="AE92" i="33"/>
  <c r="AD92" i="33"/>
  <c r="AC92" i="33"/>
  <c r="AB92" i="33"/>
  <c r="AA92" i="33"/>
  <c r="Z92" i="33"/>
  <c r="Y92" i="33"/>
  <c r="V92" i="33"/>
  <c r="U92" i="33"/>
  <c r="T92" i="33"/>
  <c r="S92" i="33"/>
  <c r="R92" i="33"/>
  <c r="L92" i="33"/>
  <c r="M92" i="33" s="1"/>
  <c r="K92" i="33"/>
  <c r="J92" i="33"/>
  <c r="I92" i="33"/>
  <c r="H92" i="33"/>
  <c r="G92" i="33"/>
  <c r="F92" i="33"/>
  <c r="E92" i="33"/>
  <c r="D92" i="33"/>
  <c r="B92" i="33"/>
  <c r="A92" i="33"/>
  <c r="AH91" i="33"/>
  <c r="AG91" i="33"/>
  <c r="AF91" i="33"/>
  <c r="AE91" i="33"/>
  <c r="AD91" i="33"/>
  <c r="AC91" i="33"/>
  <c r="AB91" i="33"/>
  <c r="AA91" i="33"/>
  <c r="Z91" i="33"/>
  <c r="Y91" i="33"/>
  <c r="X91" i="33"/>
  <c r="W91" i="33"/>
  <c r="V91" i="33"/>
  <c r="U91" i="33"/>
  <c r="T91" i="33"/>
  <c r="S91" i="33"/>
  <c r="R91" i="33"/>
  <c r="Q91" i="33"/>
  <c r="P91" i="33"/>
  <c r="O91" i="33"/>
  <c r="N91" i="33"/>
  <c r="L91" i="33"/>
  <c r="M91" i="33" s="1"/>
  <c r="K91" i="33"/>
  <c r="J91" i="33"/>
  <c r="I91" i="33"/>
  <c r="H91" i="33"/>
  <c r="G91" i="33"/>
  <c r="F91" i="33"/>
  <c r="E91" i="33"/>
  <c r="D91" i="33"/>
  <c r="B91" i="33"/>
  <c r="A91" i="33"/>
  <c r="AH90" i="33"/>
  <c r="AG90" i="33"/>
  <c r="AF90" i="33"/>
  <c r="AE90" i="33"/>
  <c r="AD90" i="33"/>
  <c r="AC90" i="33"/>
  <c r="AB90" i="33"/>
  <c r="AA90" i="33"/>
  <c r="Z90" i="33"/>
  <c r="Y90" i="33"/>
  <c r="X90" i="33"/>
  <c r="W90" i="33"/>
  <c r="V90" i="33"/>
  <c r="U90" i="33"/>
  <c r="T90" i="33"/>
  <c r="S90" i="33"/>
  <c r="R90" i="33"/>
  <c r="Q90" i="33"/>
  <c r="P90" i="33"/>
  <c r="O90" i="33"/>
  <c r="N90" i="33"/>
  <c r="L90" i="33"/>
  <c r="M90" i="33" s="1"/>
  <c r="K90" i="33"/>
  <c r="J90" i="33"/>
  <c r="I90" i="33"/>
  <c r="H90" i="33"/>
  <c r="G90" i="33"/>
  <c r="F90" i="33"/>
  <c r="E90" i="33"/>
  <c r="D90" i="33"/>
  <c r="B90" i="33"/>
  <c r="A90" i="33"/>
  <c r="AH89" i="33"/>
  <c r="AG89" i="33"/>
  <c r="AF89" i="33"/>
  <c r="AE89" i="33"/>
  <c r="AD89" i="33"/>
  <c r="AC89" i="33"/>
  <c r="AB89" i="33"/>
  <c r="AA89" i="33"/>
  <c r="Z89" i="33"/>
  <c r="Y89" i="33"/>
  <c r="X89" i="33"/>
  <c r="W89" i="33"/>
  <c r="V89" i="33"/>
  <c r="U89" i="33"/>
  <c r="T89" i="33"/>
  <c r="S89" i="33"/>
  <c r="R89" i="33"/>
  <c r="Q89" i="33"/>
  <c r="P89" i="33"/>
  <c r="O89" i="33"/>
  <c r="N89" i="33"/>
  <c r="L89" i="33"/>
  <c r="M89" i="33" s="1"/>
  <c r="K89" i="33"/>
  <c r="J89" i="33"/>
  <c r="I89" i="33"/>
  <c r="H89" i="33"/>
  <c r="G89" i="33"/>
  <c r="F89" i="33"/>
  <c r="E89" i="33"/>
  <c r="D89" i="33"/>
  <c r="B89" i="33"/>
  <c r="A89" i="33"/>
  <c r="AH88" i="33"/>
  <c r="AG88" i="33"/>
  <c r="AF88" i="33"/>
  <c r="AE88" i="33"/>
  <c r="AD88" i="33"/>
  <c r="AC88" i="33"/>
  <c r="AB88" i="33"/>
  <c r="AA88" i="33"/>
  <c r="Z88" i="33"/>
  <c r="X88" i="33"/>
  <c r="V88" i="33"/>
  <c r="U88" i="33"/>
  <c r="T88" i="33"/>
  <c r="S88" i="33"/>
  <c r="R88" i="33"/>
  <c r="Q88" i="33"/>
  <c r="L88" i="33"/>
  <c r="M88" i="33" s="1"/>
  <c r="K88" i="33"/>
  <c r="J88" i="33"/>
  <c r="I88" i="33"/>
  <c r="H88" i="33"/>
  <c r="F88" i="33"/>
  <c r="E88" i="33"/>
  <c r="D88" i="33"/>
  <c r="B88" i="33"/>
  <c r="A88" i="33"/>
  <c r="AH87" i="33"/>
  <c r="AG87" i="33"/>
  <c r="AF87" i="33"/>
  <c r="AE87" i="33"/>
  <c r="AD87" i="33"/>
  <c r="AC87" i="33"/>
  <c r="AB87" i="33"/>
  <c r="AA87" i="33"/>
  <c r="Z87" i="33"/>
  <c r="Y87" i="33"/>
  <c r="X87" i="33"/>
  <c r="W87" i="33"/>
  <c r="V87" i="33"/>
  <c r="U87" i="33"/>
  <c r="T87" i="33"/>
  <c r="S87" i="33"/>
  <c r="R87" i="33"/>
  <c r="Q87" i="33"/>
  <c r="P87" i="33"/>
  <c r="O87" i="33"/>
  <c r="N87" i="33"/>
  <c r="L87" i="33"/>
  <c r="M87" i="33" s="1"/>
  <c r="K87" i="33"/>
  <c r="J87" i="33"/>
  <c r="I87" i="33"/>
  <c r="H87" i="33"/>
  <c r="G87" i="33"/>
  <c r="F87" i="33"/>
  <c r="E87" i="33"/>
  <c r="D87" i="33"/>
  <c r="B87" i="33"/>
  <c r="A87" i="33"/>
  <c r="AH86" i="33"/>
  <c r="AG86" i="33"/>
  <c r="AF86" i="33"/>
  <c r="AE86" i="33"/>
  <c r="AD86" i="33"/>
  <c r="AC86" i="33"/>
  <c r="AB86" i="33"/>
  <c r="AA86" i="33"/>
  <c r="Z86" i="33"/>
  <c r="Y86" i="33"/>
  <c r="V86" i="33"/>
  <c r="U86" i="33"/>
  <c r="T86" i="33"/>
  <c r="S86" i="33"/>
  <c r="Q86" i="33"/>
  <c r="L86" i="33"/>
  <c r="M86" i="33" s="1"/>
  <c r="W86" i="33" s="1"/>
  <c r="K86" i="33"/>
  <c r="J86" i="33"/>
  <c r="I86" i="33"/>
  <c r="H86" i="33"/>
  <c r="G86" i="33"/>
  <c r="F86" i="33"/>
  <c r="E86" i="33"/>
  <c r="D86" i="33"/>
  <c r="B86" i="33"/>
  <c r="A86" i="33"/>
  <c r="AH85" i="33"/>
  <c r="AG85" i="33"/>
  <c r="AF85" i="33"/>
  <c r="AE85" i="33"/>
  <c r="AD85" i="33"/>
  <c r="AC85" i="33"/>
  <c r="AB85" i="33"/>
  <c r="AA85" i="33"/>
  <c r="Z85" i="33"/>
  <c r="Y85" i="33"/>
  <c r="X85" i="33"/>
  <c r="W85" i="33"/>
  <c r="V85" i="33"/>
  <c r="U85" i="33"/>
  <c r="T85" i="33"/>
  <c r="S85" i="33"/>
  <c r="R85" i="33"/>
  <c r="Q85" i="33"/>
  <c r="P85" i="33"/>
  <c r="O85" i="33"/>
  <c r="N85" i="33"/>
  <c r="L85" i="33"/>
  <c r="M85" i="33" s="1"/>
  <c r="K85" i="33"/>
  <c r="J85" i="33"/>
  <c r="I85" i="33"/>
  <c r="G85" i="33"/>
  <c r="B85" i="33"/>
  <c r="A85" i="33"/>
  <c r="AH84" i="33"/>
  <c r="AG84" i="33"/>
  <c r="AF84" i="33"/>
  <c r="AE84" i="33"/>
  <c r="AD84" i="33"/>
  <c r="AC84" i="33"/>
  <c r="AB84" i="33"/>
  <c r="AA84" i="33"/>
  <c r="Z84" i="33"/>
  <c r="Y84" i="33"/>
  <c r="X84" i="33"/>
  <c r="W84" i="33"/>
  <c r="V84" i="33"/>
  <c r="U84" i="33"/>
  <c r="T84" i="33"/>
  <c r="S84" i="33"/>
  <c r="R84" i="33"/>
  <c r="Q84" i="33"/>
  <c r="P84" i="33"/>
  <c r="O84" i="33"/>
  <c r="N84" i="33"/>
  <c r="L84" i="33"/>
  <c r="K84" i="33"/>
  <c r="J84" i="33"/>
  <c r="I84" i="33"/>
  <c r="G84" i="33"/>
  <c r="B84" i="33"/>
  <c r="A84" i="33"/>
  <c r="AH83" i="33"/>
  <c r="AG83" i="33"/>
  <c r="AF83" i="33"/>
  <c r="AE83" i="33"/>
  <c r="AD83" i="33"/>
  <c r="AC83" i="33"/>
  <c r="AB83" i="33"/>
  <c r="AA83" i="33"/>
  <c r="Z83" i="33"/>
  <c r="Y83" i="33"/>
  <c r="X83" i="33"/>
  <c r="V83" i="33"/>
  <c r="U83" i="33"/>
  <c r="S83" i="33"/>
  <c r="R83" i="33"/>
  <c r="Q83" i="33"/>
  <c r="P83" i="33"/>
  <c r="L83" i="33"/>
  <c r="K83" i="33"/>
  <c r="J83" i="33"/>
  <c r="I83" i="33"/>
  <c r="G83" i="33"/>
  <c r="B83" i="33"/>
  <c r="A83" i="33"/>
  <c r="AH82" i="33"/>
  <c r="AG82" i="33"/>
  <c r="AF82" i="33"/>
  <c r="AE82" i="33"/>
  <c r="AD82" i="33"/>
  <c r="AC82" i="33"/>
  <c r="AB82" i="33"/>
  <c r="AA82" i="33"/>
  <c r="Z82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L82" i="33"/>
  <c r="M82" i="33" s="1"/>
  <c r="K82" i="33"/>
  <c r="J82" i="33"/>
  <c r="I82" i="33"/>
  <c r="H82" i="33"/>
  <c r="G82" i="33"/>
  <c r="F82" i="33"/>
  <c r="E82" i="33"/>
  <c r="D82" i="33"/>
  <c r="B82" i="33"/>
  <c r="A82" i="33"/>
  <c r="AH81" i="33"/>
  <c r="AG81" i="33"/>
  <c r="AF81" i="33"/>
  <c r="AE81" i="33"/>
  <c r="AD81" i="33"/>
  <c r="AC81" i="33"/>
  <c r="AB81" i="33"/>
  <c r="AA81" i="33"/>
  <c r="Z81" i="33"/>
  <c r="Y81" i="33"/>
  <c r="U81" i="33"/>
  <c r="T81" i="33"/>
  <c r="S81" i="33"/>
  <c r="R81" i="33"/>
  <c r="Q81" i="33"/>
  <c r="L81" i="33"/>
  <c r="M81" i="33" s="1"/>
  <c r="K81" i="33"/>
  <c r="J81" i="33"/>
  <c r="I81" i="33"/>
  <c r="H81" i="33"/>
  <c r="G81" i="33"/>
  <c r="F81" i="33"/>
  <c r="E81" i="33"/>
  <c r="D81" i="33"/>
  <c r="B81" i="33"/>
  <c r="A81" i="33"/>
  <c r="AH80" i="33"/>
  <c r="AG80" i="33"/>
  <c r="AF80" i="33"/>
  <c r="AE80" i="33"/>
  <c r="AD80" i="33"/>
  <c r="AC80" i="33"/>
  <c r="AB80" i="33"/>
  <c r="AA80" i="33"/>
  <c r="Z80" i="33"/>
  <c r="Y80" i="33"/>
  <c r="X80" i="33"/>
  <c r="V80" i="33"/>
  <c r="U80" i="33"/>
  <c r="T80" i="33"/>
  <c r="S80" i="33"/>
  <c r="R80" i="33"/>
  <c r="O80" i="33"/>
  <c r="L80" i="33"/>
  <c r="M80" i="33" s="1"/>
  <c r="K80" i="33"/>
  <c r="J80" i="33"/>
  <c r="I80" i="33"/>
  <c r="H80" i="33"/>
  <c r="F80" i="33"/>
  <c r="E80" i="33"/>
  <c r="D80" i="33"/>
  <c r="B80" i="33"/>
  <c r="A80" i="33"/>
  <c r="AH79" i="33"/>
  <c r="AG79" i="33"/>
  <c r="AF79" i="33"/>
  <c r="AE79" i="33"/>
  <c r="AD79" i="33"/>
  <c r="AC79" i="33"/>
  <c r="AB79" i="33"/>
  <c r="AA79" i="33"/>
  <c r="Z79" i="33"/>
  <c r="Y79" i="33"/>
  <c r="V79" i="33"/>
  <c r="T79" i="33"/>
  <c r="S79" i="33"/>
  <c r="R79" i="33"/>
  <c r="O79" i="33"/>
  <c r="L79" i="33"/>
  <c r="K79" i="33"/>
  <c r="J79" i="33"/>
  <c r="I79" i="33"/>
  <c r="H79" i="33"/>
  <c r="G79" i="33"/>
  <c r="F79" i="33"/>
  <c r="E79" i="33"/>
  <c r="D79" i="33"/>
  <c r="B79" i="33"/>
  <c r="A79" i="33"/>
  <c r="AH78" i="33"/>
  <c r="AG78" i="33"/>
  <c r="AF78" i="33"/>
  <c r="AE78" i="33"/>
  <c r="AD78" i="33"/>
  <c r="AC78" i="33"/>
  <c r="AB78" i="33"/>
  <c r="AA78" i="33"/>
  <c r="Z78" i="33"/>
  <c r="Y78" i="33"/>
  <c r="X78" i="33"/>
  <c r="W78" i="33"/>
  <c r="V78" i="33"/>
  <c r="U78" i="33"/>
  <c r="T78" i="33"/>
  <c r="S78" i="33"/>
  <c r="R78" i="33"/>
  <c r="Q78" i="33"/>
  <c r="P78" i="33"/>
  <c r="O78" i="33"/>
  <c r="N78" i="33"/>
  <c r="L78" i="33"/>
  <c r="M78" i="33" s="1"/>
  <c r="K78" i="33"/>
  <c r="J78" i="33"/>
  <c r="I78" i="33"/>
  <c r="H78" i="33"/>
  <c r="G78" i="33"/>
  <c r="F78" i="33"/>
  <c r="E78" i="33"/>
  <c r="D78" i="33"/>
  <c r="B78" i="33"/>
  <c r="A78" i="33"/>
  <c r="AH77" i="33"/>
  <c r="AG77" i="33"/>
  <c r="AF77" i="33"/>
  <c r="AE77" i="33"/>
  <c r="AD77" i="33"/>
  <c r="AC77" i="33"/>
  <c r="AB77" i="33"/>
  <c r="AA77" i="33"/>
  <c r="Z77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L77" i="33"/>
  <c r="M77" i="33" s="1"/>
  <c r="K77" i="33"/>
  <c r="J77" i="33"/>
  <c r="I77" i="33"/>
  <c r="H77" i="33"/>
  <c r="G77" i="33"/>
  <c r="F77" i="33"/>
  <c r="E77" i="33"/>
  <c r="D77" i="33"/>
  <c r="B77" i="33"/>
  <c r="A77" i="33"/>
  <c r="AH76" i="33"/>
  <c r="AG76" i="33"/>
  <c r="AF76" i="33"/>
  <c r="AE76" i="33"/>
  <c r="AD76" i="33"/>
  <c r="AC76" i="33"/>
  <c r="AB76" i="33"/>
  <c r="AA76" i="33"/>
  <c r="Z76" i="33"/>
  <c r="Y76" i="33"/>
  <c r="X76" i="33"/>
  <c r="U76" i="33"/>
  <c r="T76" i="33"/>
  <c r="S76" i="33"/>
  <c r="R76" i="33"/>
  <c r="Q76" i="33"/>
  <c r="L76" i="33"/>
  <c r="M76" i="33" s="1"/>
  <c r="K76" i="33"/>
  <c r="J76" i="33"/>
  <c r="I76" i="33"/>
  <c r="H76" i="33"/>
  <c r="F76" i="33"/>
  <c r="E76" i="33"/>
  <c r="D76" i="33"/>
  <c r="B76" i="33"/>
  <c r="A76" i="33"/>
  <c r="AH75" i="33"/>
  <c r="AG75" i="33"/>
  <c r="AF75" i="33"/>
  <c r="AE75" i="33"/>
  <c r="AD75" i="33"/>
  <c r="AC75" i="33"/>
  <c r="AB75" i="33"/>
  <c r="AA75" i="33"/>
  <c r="Z75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L75" i="33"/>
  <c r="K75" i="33"/>
  <c r="J75" i="33"/>
  <c r="I75" i="33"/>
  <c r="H75" i="33"/>
  <c r="G75" i="33"/>
  <c r="F75" i="33"/>
  <c r="E75" i="33"/>
  <c r="D75" i="33"/>
  <c r="B75" i="33"/>
  <c r="A75" i="33"/>
  <c r="AH74" i="33"/>
  <c r="AG74" i="33"/>
  <c r="AF74" i="33"/>
  <c r="AE74" i="33"/>
  <c r="AD74" i="33"/>
  <c r="AC74" i="33"/>
  <c r="AB74" i="33"/>
  <c r="AA74" i="33"/>
  <c r="Z74" i="33"/>
  <c r="Y74" i="33"/>
  <c r="X74" i="33"/>
  <c r="V74" i="33"/>
  <c r="U74" i="33"/>
  <c r="T74" i="33"/>
  <c r="S74" i="33"/>
  <c r="R74" i="33"/>
  <c r="Q74" i="33"/>
  <c r="O74" i="33"/>
  <c r="L74" i="33"/>
  <c r="K74" i="33"/>
  <c r="J74" i="33"/>
  <c r="I74" i="33"/>
  <c r="H74" i="33"/>
  <c r="F74" i="33"/>
  <c r="E74" i="33"/>
  <c r="D74" i="33"/>
  <c r="B74" i="33"/>
  <c r="A74" i="33"/>
  <c r="AH73" i="33"/>
  <c r="AG73" i="33"/>
  <c r="AF73" i="33"/>
  <c r="AE73" i="33"/>
  <c r="AD73" i="33"/>
  <c r="AC73" i="33"/>
  <c r="AB73" i="33"/>
  <c r="AA73" i="33"/>
  <c r="Z73" i="33"/>
  <c r="Y73" i="33"/>
  <c r="X73" i="33"/>
  <c r="V73" i="33"/>
  <c r="U73" i="33"/>
  <c r="T73" i="33"/>
  <c r="S73" i="33"/>
  <c r="R73" i="33"/>
  <c r="Q73" i="33"/>
  <c r="P73" i="33"/>
  <c r="L73" i="33"/>
  <c r="M73" i="33" s="1"/>
  <c r="W73" i="33" s="1"/>
  <c r="K73" i="33"/>
  <c r="J73" i="33"/>
  <c r="I73" i="33"/>
  <c r="H73" i="33"/>
  <c r="G73" i="33"/>
  <c r="F73" i="33"/>
  <c r="E73" i="33"/>
  <c r="D73" i="33"/>
  <c r="B73" i="33"/>
  <c r="A73" i="33"/>
  <c r="AH72" i="33"/>
  <c r="AG72" i="33"/>
  <c r="AF72" i="33"/>
  <c r="AE72" i="33"/>
  <c r="AD72" i="33"/>
  <c r="AC72" i="33"/>
  <c r="AB72" i="33"/>
  <c r="AA72" i="33"/>
  <c r="Z72" i="33"/>
  <c r="Y72" i="33"/>
  <c r="X72" i="33"/>
  <c r="V72" i="33"/>
  <c r="U72" i="33"/>
  <c r="T72" i="33"/>
  <c r="S72" i="33"/>
  <c r="R72" i="33"/>
  <c r="Q72" i="33"/>
  <c r="P72" i="33"/>
  <c r="M72" i="33"/>
  <c r="N72" i="33" s="1"/>
  <c r="K72" i="33"/>
  <c r="J72" i="33"/>
  <c r="I72" i="33"/>
  <c r="G72" i="33"/>
  <c r="B72" i="33"/>
  <c r="A72" i="33"/>
  <c r="AH71" i="33"/>
  <c r="AG71" i="33"/>
  <c r="AF71" i="33"/>
  <c r="AE71" i="33"/>
  <c r="AD71" i="33"/>
  <c r="AC71" i="33"/>
  <c r="AB71" i="33"/>
  <c r="AA71" i="33"/>
  <c r="Z71" i="33"/>
  <c r="Y71" i="33"/>
  <c r="X71" i="33"/>
  <c r="V71" i="33"/>
  <c r="U71" i="33"/>
  <c r="T71" i="33"/>
  <c r="S71" i="33"/>
  <c r="R71" i="33"/>
  <c r="Q71" i="33"/>
  <c r="L71" i="33"/>
  <c r="M71" i="33" s="1"/>
  <c r="K71" i="33"/>
  <c r="J71" i="33"/>
  <c r="I71" i="33"/>
  <c r="H71" i="33"/>
  <c r="F71" i="33"/>
  <c r="E71" i="33"/>
  <c r="D71" i="33"/>
  <c r="B71" i="33"/>
  <c r="A71" i="33"/>
  <c r="AH70" i="33"/>
  <c r="AG70" i="33"/>
  <c r="AF70" i="33"/>
  <c r="AE70" i="33"/>
  <c r="AD70" i="33"/>
  <c r="AC70" i="33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K70" i="33"/>
  <c r="J70" i="33"/>
  <c r="I70" i="33"/>
  <c r="G70" i="33"/>
  <c r="B70" i="33"/>
  <c r="A70" i="33"/>
  <c r="AH69" i="33"/>
  <c r="AG69" i="33"/>
  <c r="AF69" i="33"/>
  <c r="AE69" i="33"/>
  <c r="AD69" i="33"/>
  <c r="AC69" i="33"/>
  <c r="AB69" i="33"/>
  <c r="AA69" i="33"/>
  <c r="Z69" i="33"/>
  <c r="Y69" i="33"/>
  <c r="X69" i="33"/>
  <c r="W69" i="33"/>
  <c r="V69" i="33"/>
  <c r="U69" i="33"/>
  <c r="T69" i="33"/>
  <c r="S69" i="33"/>
  <c r="R69" i="33"/>
  <c r="Q69" i="33"/>
  <c r="P69" i="33"/>
  <c r="O69" i="33"/>
  <c r="N69" i="33"/>
  <c r="L69" i="33"/>
  <c r="M69" i="33" s="1"/>
  <c r="K69" i="33"/>
  <c r="J69" i="33"/>
  <c r="I69" i="33"/>
  <c r="H69" i="33"/>
  <c r="G69" i="33"/>
  <c r="F69" i="33"/>
  <c r="E69" i="33"/>
  <c r="D69" i="33"/>
  <c r="B69" i="33"/>
  <c r="A69" i="33"/>
  <c r="AH68" i="33"/>
  <c r="AG68" i="33"/>
  <c r="AF68" i="33"/>
  <c r="AE68" i="33"/>
  <c r="AD68" i="33"/>
  <c r="AC68" i="33"/>
  <c r="AB68" i="33"/>
  <c r="AA68" i="33"/>
  <c r="Z68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L68" i="33"/>
  <c r="M68" i="33" s="1"/>
  <c r="K68" i="33"/>
  <c r="J68" i="33"/>
  <c r="I68" i="33"/>
  <c r="H68" i="33"/>
  <c r="G68" i="33"/>
  <c r="F68" i="33"/>
  <c r="E68" i="33"/>
  <c r="D68" i="33"/>
  <c r="B68" i="33"/>
  <c r="A68" i="33"/>
  <c r="AH67" i="33"/>
  <c r="AG67" i="33"/>
  <c r="AF67" i="33"/>
  <c r="AE67" i="33"/>
  <c r="AD67" i="33"/>
  <c r="AC67" i="33"/>
  <c r="AB67" i="33"/>
  <c r="AA67" i="33"/>
  <c r="Z67" i="33"/>
  <c r="Y67" i="33"/>
  <c r="X67" i="33"/>
  <c r="V67" i="33"/>
  <c r="U67" i="33"/>
  <c r="T67" i="33"/>
  <c r="S67" i="33"/>
  <c r="R67" i="33"/>
  <c r="Q67" i="33"/>
  <c r="P67" i="33"/>
  <c r="L67" i="33"/>
  <c r="K67" i="33"/>
  <c r="J67" i="33"/>
  <c r="I67" i="33"/>
  <c r="H67" i="33"/>
  <c r="G67" i="33"/>
  <c r="F67" i="33"/>
  <c r="E67" i="33"/>
  <c r="D67" i="33"/>
  <c r="B67" i="33"/>
  <c r="A67" i="33"/>
  <c r="AH66" i="33"/>
  <c r="AG66" i="33"/>
  <c r="AF66" i="33"/>
  <c r="AE66" i="33"/>
  <c r="AD66" i="33"/>
  <c r="AC66" i="33"/>
  <c r="AB66" i="33"/>
  <c r="AA66" i="33"/>
  <c r="Z66" i="33"/>
  <c r="Y66" i="33"/>
  <c r="X66" i="33"/>
  <c r="V66" i="33"/>
  <c r="U66" i="33"/>
  <c r="T66" i="33"/>
  <c r="S66" i="33"/>
  <c r="R66" i="33"/>
  <c r="Q66" i="33"/>
  <c r="P66" i="33"/>
  <c r="M66" i="33"/>
  <c r="K66" i="33"/>
  <c r="J66" i="33"/>
  <c r="I66" i="33"/>
  <c r="G66" i="33"/>
  <c r="B66" i="33"/>
  <c r="A66" i="33"/>
  <c r="AH65" i="33"/>
  <c r="AG65" i="33"/>
  <c r="AF65" i="33"/>
  <c r="AE65" i="33"/>
  <c r="AD65" i="33"/>
  <c r="AC65" i="33"/>
  <c r="AB65" i="33"/>
  <c r="AA65" i="33"/>
  <c r="Z65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K65" i="33"/>
  <c r="J65" i="33"/>
  <c r="I65" i="33"/>
  <c r="G65" i="33"/>
  <c r="B65" i="33"/>
  <c r="A65" i="33"/>
  <c r="AH64" i="33"/>
  <c r="AG64" i="33"/>
  <c r="AF64" i="33"/>
  <c r="AE64" i="33"/>
  <c r="AD64" i="33"/>
  <c r="AC64" i="33"/>
  <c r="AB64" i="33"/>
  <c r="AA64" i="33"/>
  <c r="Z64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L64" i="33"/>
  <c r="K64" i="33"/>
  <c r="J64" i="33"/>
  <c r="I64" i="33"/>
  <c r="H64" i="33"/>
  <c r="G64" i="33"/>
  <c r="F64" i="33"/>
  <c r="E64" i="33"/>
  <c r="D64" i="33"/>
  <c r="B64" i="33"/>
  <c r="A64" i="33"/>
  <c r="AH63" i="33"/>
  <c r="AG63" i="33"/>
  <c r="AF63" i="33"/>
  <c r="AE63" i="33"/>
  <c r="AD63" i="33"/>
  <c r="AC63" i="33"/>
  <c r="AB63" i="33"/>
  <c r="L63" i="33"/>
  <c r="M63" i="33" s="1"/>
  <c r="K63" i="33"/>
  <c r="J63" i="33"/>
  <c r="I63" i="33"/>
  <c r="H63" i="33"/>
  <c r="F63" i="33"/>
  <c r="E63" i="33"/>
  <c r="D63" i="33"/>
  <c r="B63" i="33"/>
  <c r="A63" i="33"/>
  <c r="AH62" i="33"/>
  <c r="L62" i="33"/>
  <c r="M62" i="33" s="1"/>
  <c r="AH61" i="33"/>
  <c r="AG61" i="33"/>
  <c r="AF61" i="33"/>
  <c r="AE61" i="33"/>
  <c r="AD61" i="33"/>
  <c r="AC61" i="33"/>
  <c r="AB61" i="33"/>
  <c r="AA61" i="33"/>
  <c r="Z61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B61" i="33"/>
  <c r="A61" i="33"/>
  <c r="AH60" i="33"/>
  <c r="AG60" i="33"/>
  <c r="AF60" i="33"/>
  <c r="AE60" i="33"/>
  <c r="AD60" i="33"/>
  <c r="AC60" i="33"/>
  <c r="AB60" i="33"/>
  <c r="AA60" i="33"/>
  <c r="Z60" i="33"/>
  <c r="Y60" i="33"/>
  <c r="X60" i="33"/>
  <c r="W60" i="33"/>
  <c r="V60" i="33"/>
  <c r="U60" i="33"/>
  <c r="T60" i="33"/>
  <c r="S60" i="33"/>
  <c r="R60" i="33"/>
  <c r="Q60" i="33"/>
  <c r="P60" i="33"/>
  <c r="O60" i="33"/>
  <c r="N60" i="33"/>
  <c r="L60" i="33"/>
  <c r="M60" i="33" s="1"/>
  <c r="K60" i="33"/>
  <c r="J60" i="33"/>
  <c r="I60" i="33"/>
  <c r="H60" i="33"/>
  <c r="G60" i="33"/>
  <c r="F60" i="33"/>
  <c r="E60" i="33"/>
  <c r="D60" i="33"/>
  <c r="B60" i="33"/>
  <c r="A60" i="33"/>
  <c r="AH59" i="33"/>
  <c r="AG59" i="33"/>
  <c r="AF59" i="33"/>
  <c r="AE59" i="33"/>
  <c r="AD59" i="33"/>
  <c r="AC59" i="33"/>
  <c r="AB59" i="33"/>
  <c r="AA59" i="33"/>
  <c r="Z59" i="33"/>
  <c r="Y59" i="33"/>
  <c r="X59" i="33"/>
  <c r="V59" i="33"/>
  <c r="U59" i="33"/>
  <c r="T59" i="33"/>
  <c r="S59" i="33"/>
  <c r="R59" i="33"/>
  <c r="Q59" i="33"/>
  <c r="P59" i="33"/>
  <c r="L59" i="33"/>
  <c r="M59" i="33" s="1"/>
  <c r="O59" i="33" s="1"/>
  <c r="K59" i="33"/>
  <c r="J59" i="33"/>
  <c r="I59" i="33"/>
  <c r="H59" i="33"/>
  <c r="G59" i="33"/>
  <c r="F59" i="33"/>
  <c r="E59" i="33"/>
  <c r="D59" i="33"/>
  <c r="B59" i="33"/>
  <c r="A59" i="33"/>
  <c r="AH58" i="33"/>
  <c r="AG58" i="33"/>
  <c r="AF58" i="33"/>
  <c r="AE58" i="33"/>
  <c r="AD58" i="33"/>
  <c r="AC58" i="33"/>
  <c r="AB58" i="33"/>
  <c r="AA58" i="33"/>
  <c r="Z58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L58" i="33"/>
  <c r="M58" i="33" s="1"/>
  <c r="K58" i="33"/>
  <c r="J58" i="33"/>
  <c r="I58" i="33"/>
  <c r="G58" i="33"/>
  <c r="F58" i="33"/>
  <c r="B58" i="33"/>
  <c r="A58" i="33"/>
  <c r="AH57" i="33"/>
  <c r="AG57" i="33"/>
  <c r="AF57" i="33"/>
  <c r="AE57" i="33"/>
  <c r="AD57" i="33"/>
  <c r="AC57" i="33"/>
  <c r="AB57" i="33"/>
  <c r="AA57" i="33"/>
  <c r="Z57" i="33"/>
  <c r="Y57" i="33"/>
  <c r="X57" i="33"/>
  <c r="V57" i="33"/>
  <c r="U57" i="33"/>
  <c r="T57" i="33"/>
  <c r="S57" i="33"/>
  <c r="R57" i="33"/>
  <c r="Q57" i="33"/>
  <c r="P57" i="33"/>
  <c r="L57" i="33"/>
  <c r="M57" i="33" s="1"/>
  <c r="K57" i="33"/>
  <c r="J57" i="33"/>
  <c r="I57" i="33"/>
  <c r="H57" i="33"/>
  <c r="G57" i="33"/>
  <c r="F57" i="33"/>
  <c r="E57" i="33"/>
  <c r="D57" i="33"/>
  <c r="B57" i="33"/>
  <c r="A57" i="33"/>
  <c r="AH56" i="33"/>
  <c r="AG56" i="33"/>
  <c r="AF56" i="33"/>
  <c r="AE56" i="33"/>
  <c r="AD56" i="33"/>
  <c r="AC56" i="33"/>
  <c r="AB56" i="33"/>
  <c r="AA56" i="33"/>
  <c r="Z56" i="33"/>
  <c r="Y56" i="33"/>
  <c r="X56" i="33"/>
  <c r="V56" i="33"/>
  <c r="U56" i="33"/>
  <c r="T56" i="33"/>
  <c r="S56" i="33"/>
  <c r="R56" i="33"/>
  <c r="Q56" i="33"/>
  <c r="P56" i="33"/>
  <c r="L56" i="33"/>
  <c r="K56" i="33"/>
  <c r="J56" i="33"/>
  <c r="I56" i="33"/>
  <c r="H56" i="33"/>
  <c r="F56" i="33"/>
  <c r="E56" i="33"/>
  <c r="D56" i="33"/>
  <c r="B56" i="33"/>
  <c r="A56" i="33"/>
  <c r="AH55" i="33"/>
  <c r="AG55" i="33"/>
  <c r="AF55" i="33"/>
  <c r="AE55" i="33"/>
  <c r="AD55" i="33"/>
  <c r="AC55" i="33"/>
  <c r="AB55" i="33"/>
  <c r="AA55" i="33"/>
  <c r="Z55" i="33"/>
  <c r="Y55" i="33"/>
  <c r="X55" i="33"/>
  <c r="V55" i="33"/>
  <c r="U55" i="33"/>
  <c r="T55" i="33"/>
  <c r="S55" i="33"/>
  <c r="R55" i="33"/>
  <c r="Q55" i="33"/>
  <c r="P55" i="33"/>
  <c r="L55" i="33"/>
  <c r="M55" i="33" s="1"/>
  <c r="W55" i="33" s="1"/>
  <c r="K55" i="33"/>
  <c r="J55" i="33"/>
  <c r="I55" i="33"/>
  <c r="H55" i="33"/>
  <c r="G55" i="33"/>
  <c r="F55" i="33"/>
  <c r="E55" i="33"/>
  <c r="D55" i="33"/>
  <c r="B55" i="33"/>
  <c r="A55" i="33"/>
  <c r="AH54" i="33"/>
  <c r="AG54" i="33"/>
  <c r="AF54" i="33"/>
  <c r="AE54" i="33"/>
  <c r="AD54" i="33"/>
  <c r="AC54" i="33"/>
  <c r="AB54" i="33"/>
  <c r="AA54" i="33"/>
  <c r="Z54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L54" i="33"/>
  <c r="M54" i="33" s="1"/>
  <c r="K54" i="33"/>
  <c r="J54" i="33"/>
  <c r="I54" i="33"/>
  <c r="H54" i="33"/>
  <c r="G54" i="33"/>
  <c r="F54" i="33"/>
  <c r="E54" i="33"/>
  <c r="D54" i="33"/>
  <c r="B54" i="33"/>
  <c r="A54" i="33"/>
  <c r="AH53" i="33"/>
  <c r="AG53" i="33"/>
  <c r="AF53" i="33"/>
  <c r="AE53" i="33"/>
  <c r="AD53" i="33"/>
  <c r="AC53" i="33"/>
  <c r="AB53" i="33"/>
  <c r="AA53" i="33"/>
  <c r="Z53" i="33"/>
  <c r="Y53" i="33"/>
  <c r="U53" i="33"/>
  <c r="S53" i="33"/>
  <c r="R53" i="33"/>
  <c r="Q53" i="33"/>
  <c r="L53" i="33"/>
  <c r="M53" i="33" s="1"/>
  <c r="K53" i="33"/>
  <c r="J53" i="33"/>
  <c r="I53" i="33"/>
  <c r="H53" i="33"/>
  <c r="G53" i="33"/>
  <c r="F53" i="33"/>
  <c r="E53" i="33"/>
  <c r="D53" i="33"/>
  <c r="B53" i="33"/>
  <c r="A53" i="33"/>
  <c r="AH52" i="33"/>
  <c r="AG52" i="33"/>
  <c r="AF52" i="33"/>
  <c r="AE52" i="33"/>
  <c r="AD52" i="33"/>
  <c r="AC52" i="33"/>
  <c r="AB52" i="33"/>
  <c r="AA52" i="33"/>
  <c r="Z52" i="33"/>
  <c r="Y52" i="33"/>
  <c r="W52" i="33"/>
  <c r="V52" i="33"/>
  <c r="U52" i="33"/>
  <c r="S52" i="33"/>
  <c r="R52" i="33"/>
  <c r="Q52" i="33"/>
  <c r="P52" i="33"/>
  <c r="O52" i="33"/>
  <c r="M52" i="33"/>
  <c r="T52" i="33" s="1"/>
  <c r="L52" i="33"/>
  <c r="K52" i="33"/>
  <c r="J52" i="33"/>
  <c r="I52" i="33"/>
  <c r="H52" i="33"/>
  <c r="F52" i="33"/>
  <c r="E52" i="33"/>
  <c r="D52" i="33"/>
  <c r="B52" i="33"/>
  <c r="A52" i="33"/>
  <c r="AH51" i="33"/>
  <c r="AG51" i="33"/>
  <c r="AF51" i="33"/>
  <c r="AE51" i="33"/>
  <c r="AD51" i="33"/>
  <c r="AC51" i="33"/>
  <c r="AB51" i="33"/>
  <c r="AA51" i="33"/>
  <c r="Z51" i="33"/>
  <c r="W51" i="33"/>
  <c r="V51" i="33"/>
  <c r="U51" i="33"/>
  <c r="R51" i="33"/>
  <c r="Q51" i="33"/>
  <c r="P51" i="33"/>
  <c r="L51" i="33"/>
  <c r="K51" i="33"/>
  <c r="J51" i="33"/>
  <c r="I51" i="33"/>
  <c r="H51" i="33"/>
  <c r="F51" i="33"/>
  <c r="E51" i="33"/>
  <c r="D51" i="33"/>
  <c r="B51" i="33"/>
  <c r="A51" i="33"/>
  <c r="AH50" i="33"/>
  <c r="AG50" i="33"/>
  <c r="AF50" i="33"/>
  <c r="AE50" i="33"/>
  <c r="AD50" i="33"/>
  <c r="AC50" i="33"/>
  <c r="AB50" i="33"/>
  <c r="AA50" i="33"/>
  <c r="Z50" i="33"/>
  <c r="Y50" i="33"/>
  <c r="X50" i="33"/>
  <c r="W50" i="33"/>
  <c r="V50" i="33"/>
  <c r="U50" i="33"/>
  <c r="T50" i="33"/>
  <c r="S50" i="33"/>
  <c r="R50" i="33"/>
  <c r="Q50" i="33"/>
  <c r="P50" i="33"/>
  <c r="O50" i="33"/>
  <c r="N50" i="33"/>
  <c r="L50" i="33"/>
  <c r="M50" i="33" s="1"/>
  <c r="K50" i="33"/>
  <c r="J50" i="33"/>
  <c r="I50" i="33"/>
  <c r="H50" i="33"/>
  <c r="F50" i="33"/>
  <c r="E50" i="33"/>
  <c r="D50" i="33"/>
  <c r="B50" i="33"/>
  <c r="A50" i="33"/>
  <c r="AH49" i="33"/>
  <c r="AG49" i="33"/>
  <c r="AF49" i="33"/>
  <c r="AE49" i="33"/>
  <c r="AD49" i="33"/>
  <c r="AC49" i="33"/>
  <c r="AB49" i="33"/>
  <c r="AA49" i="33"/>
  <c r="Z49" i="33"/>
  <c r="Y49" i="33"/>
  <c r="X49" i="33"/>
  <c r="W49" i="33"/>
  <c r="V49" i="33"/>
  <c r="U49" i="33"/>
  <c r="T49" i="33"/>
  <c r="S49" i="33"/>
  <c r="R49" i="33"/>
  <c r="Q49" i="33"/>
  <c r="P49" i="33"/>
  <c r="O49" i="33"/>
  <c r="N49" i="33"/>
  <c r="L49" i="33"/>
  <c r="M49" i="33" s="1"/>
  <c r="K49" i="33"/>
  <c r="J49" i="33"/>
  <c r="I49" i="33"/>
  <c r="H49" i="33"/>
  <c r="F49" i="33"/>
  <c r="E49" i="33"/>
  <c r="D49" i="33"/>
  <c r="B49" i="33"/>
  <c r="A49" i="33"/>
  <c r="AH48" i="33"/>
  <c r="AG48" i="33"/>
  <c r="AF48" i="33"/>
  <c r="AE48" i="33"/>
  <c r="AD48" i="33"/>
  <c r="AC48" i="33"/>
  <c r="AB48" i="33"/>
  <c r="AA48" i="33"/>
  <c r="Z48" i="33"/>
  <c r="Y48" i="33"/>
  <c r="X48" i="33"/>
  <c r="W48" i="33"/>
  <c r="V48" i="33"/>
  <c r="U48" i="33"/>
  <c r="T48" i="33"/>
  <c r="S48" i="33"/>
  <c r="R48" i="33"/>
  <c r="Q48" i="33"/>
  <c r="P48" i="33"/>
  <c r="O48" i="33"/>
  <c r="N48" i="33"/>
  <c r="L48" i="33"/>
  <c r="M48" i="33" s="1"/>
  <c r="K48" i="33"/>
  <c r="J48" i="33"/>
  <c r="I48" i="33"/>
  <c r="H48" i="33"/>
  <c r="F48" i="33"/>
  <c r="E48" i="33"/>
  <c r="D48" i="33"/>
  <c r="B48" i="33"/>
  <c r="A48" i="33"/>
  <c r="AH47" i="33"/>
  <c r="AG47" i="33"/>
  <c r="AF47" i="33"/>
  <c r="AE47" i="33"/>
  <c r="AD47" i="33"/>
  <c r="AC47" i="33"/>
  <c r="AB47" i="33"/>
  <c r="AA47" i="33"/>
  <c r="Z47" i="33"/>
  <c r="Y47" i="33"/>
  <c r="X47" i="33"/>
  <c r="W47" i="33"/>
  <c r="V47" i="33"/>
  <c r="U47" i="33"/>
  <c r="T47" i="33"/>
  <c r="S47" i="33"/>
  <c r="R47" i="33"/>
  <c r="Q47" i="33"/>
  <c r="P47" i="33"/>
  <c r="O47" i="33"/>
  <c r="N47" i="33"/>
  <c r="L47" i="33"/>
  <c r="M47" i="33" s="1"/>
  <c r="K47" i="33"/>
  <c r="J47" i="33"/>
  <c r="I47" i="33"/>
  <c r="H47" i="33"/>
  <c r="F47" i="33"/>
  <c r="E47" i="33"/>
  <c r="D47" i="33"/>
  <c r="B47" i="33"/>
  <c r="A47" i="33"/>
  <c r="AH46" i="33"/>
  <c r="AG46" i="33"/>
  <c r="AF46" i="33"/>
  <c r="AE46" i="33"/>
  <c r="AD46" i="33"/>
  <c r="AC46" i="33"/>
  <c r="AB46" i="33"/>
  <c r="AA46" i="33"/>
  <c r="Z46" i="33"/>
  <c r="Y46" i="33"/>
  <c r="X46" i="33"/>
  <c r="W46" i="33"/>
  <c r="V46" i="33"/>
  <c r="U46" i="33"/>
  <c r="T46" i="33"/>
  <c r="S46" i="33"/>
  <c r="R46" i="33"/>
  <c r="Q46" i="33"/>
  <c r="P46" i="33"/>
  <c r="O46" i="33"/>
  <c r="N46" i="33"/>
  <c r="L46" i="33"/>
  <c r="M46" i="33" s="1"/>
  <c r="K46" i="33"/>
  <c r="J46" i="33"/>
  <c r="I46" i="33"/>
  <c r="H46" i="33"/>
  <c r="G46" i="33"/>
  <c r="F46" i="33"/>
  <c r="E46" i="33"/>
  <c r="D46" i="33"/>
  <c r="B46" i="33"/>
  <c r="A46" i="33"/>
  <c r="AH45" i="33"/>
  <c r="AG45" i="33"/>
  <c r="AF45" i="33"/>
  <c r="AE45" i="33"/>
  <c r="AD45" i="33"/>
  <c r="AC45" i="33"/>
  <c r="AB45" i="33"/>
  <c r="AA45" i="33"/>
  <c r="Z45" i="33"/>
  <c r="Y45" i="33"/>
  <c r="X45" i="33"/>
  <c r="W45" i="33"/>
  <c r="V45" i="33"/>
  <c r="U45" i="33"/>
  <c r="T45" i="33"/>
  <c r="S45" i="33"/>
  <c r="R45" i="33"/>
  <c r="Q45" i="33"/>
  <c r="P45" i="33"/>
  <c r="O45" i="33"/>
  <c r="N45" i="33"/>
  <c r="L45" i="33"/>
  <c r="K45" i="33"/>
  <c r="J45" i="33"/>
  <c r="I45" i="33"/>
  <c r="H45" i="33"/>
  <c r="F45" i="33"/>
  <c r="E45" i="33"/>
  <c r="D45" i="33"/>
  <c r="B45" i="33"/>
  <c r="A45" i="33"/>
  <c r="AH44" i="33"/>
  <c r="AG44" i="33"/>
  <c r="AF44" i="33"/>
  <c r="AE44" i="33"/>
  <c r="AD44" i="33"/>
  <c r="AC44" i="33"/>
  <c r="AB44" i="33"/>
  <c r="L44" i="33"/>
  <c r="M44" i="33" s="1"/>
  <c r="K44" i="33"/>
  <c r="J44" i="33"/>
  <c r="I44" i="33"/>
  <c r="G44" i="33"/>
  <c r="F44" i="33"/>
  <c r="E44" i="33"/>
  <c r="D44" i="33"/>
  <c r="B44" i="33"/>
  <c r="A44" i="33"/>
  <c r="AH43" i="33"/>
  <c r="AG43" i="33"/>
  <c r="AF43" i="33"/>
  <c r="AE43" i="33"/>
  <c r="AD43" i="33"/>
  <c r="AC43" i="33"/>
  <c r="AB43" i="33"/>
  <c r="L43" i="33"/>
  <c r="M43" i="33" s="1"/>
  <c r="K43" i="33"/>
  <c r="J43" i="33"/>
  <c r="I43" i="33"/>
  <c r="H43" i="33"/>
  <c r="G43" i="33"/>
  <c r="F43" i="33"/>
  <c r="E43" i="33"/>
  <c r="D43" i="33"/>
  <c r="B43" i="33"/>
  <c r="A43" i="33"/>
  <c r="AH42" i="33"/>
  <c r="AG42" i="33"/>
  <c r="AF42" i="33"/>
  <c r="AE42" i="33"/>
  <c r="AD42" i="33"/>
  <c r="AC42" i="33"/>
  <c r="AB42" i="33"/>
  <c r="L42" i="33"/>
  <c r="M42" i="33" s="1"/>
  <c r="K42" i="33"/>
  <c r="J42" i="33"/>
  <c r="I42" i="33"/>
  <c r="H42" i="33"/>
  <c r="F42" i="33"/>
  <c r="E42" i="33"/>
  <c r="D42" i="33"/>
  <c r="B42" i="33"/>
  <c r="A42" i="33"/>
  <c r="AH41" i="33"/>
  <c r="AG41" i="33"/>
  <c r="AF41" i="33"/>
  <c r="AE41" i="33"/>
  <c r="AD41" i="33"/>
  <c r="AC41" i="33"/>
  <c r="AB41" i="33"/>
  <c r="AA41" i="33"/>
  <c r="Z41" i="33"/>
  <c r="Y41" i="33"/>
  <c r="X41" i="33"/>
  <c r="W41" i="33"/>
  <c r="V41" i="33"/>
  <c r="U41" i="33"/>
  <c r="T41" i="33"/>
  <c r="S41" i="33"/>
  <c r="R41" i="33"/>
  <c r="Q41" i="33"/>
  <c r="P41" i="33"/>
  <c r="O41" i="33"/>
  <c r="N41" i="33"/>
  <c r="L41" i="33"/>
  <c r="M41" i="33" s="1"/>
  <c r="K41" i="33"/>
  <c r="J41" i="33"/>
  <c r="I41" i="33"/>
  <c r="H41" i="33"/>
  <c r="G41" i="33"/>
  <c r="F41" i="33"/>
  <c r="E41" i="33"/>
  <c r="D41" i="33"/>
  <c r="B41" i="33"/>
  <c r="A41" i="33"/>
  <c r="AH40" i="33"/>
  <c r="AG40" i="33"/>
  <c r="AF40" i="33"/>
  <c r="AE40" i="33"/>
  <c r="AD40" i="33"/>
  <c r="AC40" i="33"/>
  <c r="AB40" i="33"/>
  <c r="AA40" i="33"/>
  <c r="Z40" i="33"/>
  <c r="Y40" i="33"/>
  <c r="X40" i="33"/>
  <c r="U40" i="33"/>
  <c r="T40" i="33"/>
  <c r="S40" i="33"/>
  <c r="R40" i="33"/>
  <c r="Q40" i="33"/>
  <c r="P40" i="33"/>
  <c r="L40" i="33"/>
  <c r="M40" i="33" s="1"/>
  <c r="N40" i="33" s="1"/>
  <c r="K40" i="33"/>
  <c r="J40" i="33"/>
  <c r="I40" i="33"/>
  <c r="H40" i="33"/>
  <c r="G40" i="33"/>
  <c r="F40" i="33"/>
  <c r="E40" i="33"/>
  <c r="D40" i="33"/>
  <c r="B40" i="33"/>
  <c r="A40" i="33"/>
  <c r="AH39" i="33"/>
  <c r="AG39" i="33"/>
  <c r="AF39" i="33"/>
  <c r="AE39" i="33"/>
  <c r="AD39" i="33"/>
  <c r="AC39" i="33"/>
  <c r="AB39" i="33"/>
  <c r="AA39" i="33"/>
  <c r="Z39" i="33"/>
  <c r="Y39" i="33"/>
  <c r="U39" i="33"/>
  <c r="S39" i="33"/>
  <c r="R39" i="33"/>
  <c r="Q39" i="33"/>
  <c r="L39" i="33"/>
  <c r="K39" i="33"/>
  <c r="J39" i="33"/>
  <c r="I39" i="33"/>
  <c r="H39" i="33"/>
  <c r="G39" i="33"/>
  <c r="F39" i="33"/>
  <c r="E39" i="33"/>
  <c r="D39" i="33"/>
  <c r="B39" i="33"/>
  <c r="A39" i="33"/>
  <c r="AH38" i="33"/>
  <c r="L38" i="33"/>
  <c r="M38" i="33" s="1"/>
  <c r="AH37" i="33"/>
  <c r="AG37" i="33"/>
  <c r="AF37" i="33"/>
  <c r="AE37" i="33"/>
  <c r="AD37" i="33"/>
  <c r="AC37" i="33"/>
  <c r="AB37" i="33"/>
  <c r="AA37" i="33"/>
  <c r="Z37" i="33"/>
  <c r="W37" i="33"/>
  <c r="V37" i="33"/>
  <c r="U37" i="33"/>
  <c r="T37" i="33"/>
  <c r="S37" i="33"/>
  <c r="Q37" i="33"/>
  <c r="P37" i="33"/>
  <c r="O37" i="33"/>
  <c r="L37" i="33"/>
  <c r="M37" i="33" s="1"/>
  <c r="K37" i="33"/>
  <c r="J37" i="33"/>
  <c r="I37" i="33"/>
  <c r="H37" i="33"/>
  <c r="F37" i="33"/>
  <c r="E37" i="33"/>
  <c r="D37" i="33"/>
  <c r="B37" i="33"/>
  <c r="A37" i="33"/>
  <c r="AH36" i="33"/>
  <c r="AG36" i="33"/>
  <c r="AF36" i="33"/>
  <c r="AE36" i="33"/>
  <c r="AD36" i="33"/>
  <c r="AC36" i="33"/>
  <c r="AB36" i="33"/>
  <c r="AA36" i="33"/>
  <c r="Z36" i="33"/>
  <c r="W36" i="33"/>
  <c r="V36" i="33"/>
  <c r="U36" i="33"/>
  <c r="T36" i="33"/>
  <c r="S36" i="33"/>
  <c r="P36" i="33"/>
  <c r="O36" i="33"/>
  <c r="L36" i="33"/>
  <c r="K36" i="33"/>
  <c r="J36" i="33"/>
  <c r="I36" i="33"/>
  <c r="H36" i="33"/>
  <c r="F36" i="33"/>
  <c r="E36" i="33"/>
  <c r="D36" i="33"/>
  <c r="B36" i="33"/>
  <c r="A36" i="33"/>
  <c r="AH35" i="33"/>
  <c r="AG35" i="33"/>
  <c r="AF35" i="33"/>
  <c r="AE35" i="33"/>
  <c r="AD35" i="33"/>
  <c r="AC35" i="33"/>
  <c r="AB35" i="33"/>
  <c r="AA35" i="33"/>
  <c r="Z35" i="33"/>
  <c r="Y35" i="33"/>
  <c r="U35" i="33"/>
  <c r="T35" i="33"/>
  <c r="S35" i="33"/>
  <c r="R35" i="33"/>
  <c r="Q35" i="33"/>
  <c r="L35" i="33"/>
  <c r="K35" i="33"/>
  <c r="J35" i="33"/>
  <c r="I35" i="33"/>
  <c r="H35" i="33"/>
  <c r="G35" i="33"/>
  <c r="F35" i="33"/>
  <c r="E35" i="33"/>
  <c r="D35" i="33"/>
  <c r="B35" i="33"/>
  <c r="A35" i="33"/>
  <c r="AH34" i="33"/>
  <c r="AG34" i="33"/>
  <c r="AF34" i="33"/>
  <c r="AE34" i="33"/>
  <c r="AD34" i="33"/>
  <c r="AC34" i="33"/>
  <c r="AB34" i="33"/>
  <c r="AA34" i="33"/>
  <c r="Z34" i="33"/>
  <c r="Y34" i="33"/>
  <c r="X34" i="33"/>
  <c r="W34" i="33"/>
  <c r="V34" i="33"/>
  <c r="U34" i="33"/>
  <c r="T34" i="33"/>
  <c r="S34" i="33"/>
  <c r="R34" i="33"/>
  <c r="Q34" i="33"/>
  <c r="P34" i="33"/>
  <c r="O34" i="33"/>
  <c r="N34" i="33"/>
  <c r="L34" i="33"/>
  <c r="M34" i="33" s="1"/>
  <c r="K34" i="33"/>
  <c r="J34" i="33"/>
  <c r="I34" i="33"/>
  <c r="H34" i="33"/>
  <c r="F34" i="33"/>
  <c r="E34" i="33"/>
  <c r="D34" i="33"/>
  <c r="B34" i="33"/>
  <c r="A34" i="33"/>
  <c r="AH33" i="33"/>
  <c r="L33" i="33"/>
  <c r="M33" i="33" s="1"/>
  <c r="AH32" i="33"/>
  <c r="AG32" i="33"/>
  <c r="AF32" i="33"/>
  <c r="AE32" i="33"/>
  <c r="AD32" i="33"/>
  <c r="AC32" i="33"/>
  <c r="AB32" i="33"/>
  <c r="AA32" i="33"/>
  <c r="Z32" i="33"/>
  <c r="Y32" i="33"/>
  <c r="U32" i="33"/>
  <c r="R32" i="33"/>
  <c r="L32" i="33"/>
  <c r="M32" i="33" s="1"/>
  <c r="K32" i="33"/>
  <c r="J32" i="33"/>
  <c r="I32" i="33"/>
  <c r="H32" i="33"/>
  <c r="G32" i="33"/>
  <c r="F32" i="33"/>
  <c r="E32" i="33"/>
  <c r="D32" i="33"/>
  <c r="B32" i="33"/>
  <c r="A32" i="33"/>
  <c r="AH31" i="33"/>
  <c r="AG31" i="33"/>
  <c r="AF31" i="33"/>
  <c r="AE31" i="33"/>
  <c r="AD31" i="33"/>
  <c r="AC31" i="33"/>
  <c r="AB31" i="33"/>
  <c r="AA31" i="33"/>
  <c r="Z31" i="33"/>
  <c r="Y31" i="33"/>
  <c r="V31" i="33"/>
  <c r="U31" i="33"/>
  <c r="T31" i="33"/>
  <c r="S31" i="33"/>
  <c r="R31" i="33"/>
  <c r="Q31" i="33"/>
  <c r="L31" i="33"/>
  <c r="M31" i="33" s="1"/>
  <c r="O31" i="33" s="1"/>
  <c r="K31" i="33"/>
  <c r="J31" i="33"/>
  <c r="I31" i="33"/>
  <c r="H31" i="33"/>
  <c r="F31" i="33"/>
  <c r="E31" i="33"/>
  <c r="D31" i="33"/>
  <c r="B31" i="33"/>
  <c r="A31" i="33"/>
  <c r="AH30" i="33"/>
  <c r="AG30" i="33"/>
  <c r="AF30" i="33"/>
  <c r="AE30" i="33"/>
  <c r="AD30" i="33"/>
  <c r="AC30" i="33"/>
  <c r="AB30" i="33"/>
  <c r="AA30" i="33"/>
  <c r="Z30" i="33"/>
  <c r="U30" i="33"/>
  <c r="R30" i="33"/>
  <c r="Q30" i="33"/>
  <c r="L30" i="33"/>
  <c r="M30" i="33" s="1"/>
  <c r="T30" i="33" s="1"/>
  <c r="K30" i="33"/>
  <c r="J30" i="33"/>
  <c r="I30" i="33"/>
  <c r="H30" i="33"/>
  <c r="F30" i="33"/>
  <c r="E30" i="33"/>
  <c r="D30" i="33"/>
  <c r="B30" i="33"/>
  <c r="A30" i="33"/>
  <c r="AH29" i="33"/>
  <c r="AG29" i="33"/>
  <c r="AF29" i="33"/>
  <c r="AE29" i="33"/>
  <c r="AD29" i="33"/>
  <c r="AC29" i="33"/>
  <c r="AB29" i="33"/>
  <c r="AA29" i="33"/>
  <c r="Z29" i="33"/>
  <c r="Y29" i="33"/>
  <c r="X29" i="33"/>
  <c r="V29" i="33"/>
  <c r="U29" i="33"/>
  <c r="T29" i="33"/>
  <c r="S29" i="33"/>
  <c r="R29" i="33"/>
  <c r="Q29" i="33"/>
  <c r="P29" i="33"/>
  <c r="L29" i="33"/>
  <c r="M29" i="33" s="1"/>
  <c r="O29" i="33" s="1"/>
  <c r="K29" i="33"/>
  <c r="J29" i="33"/>
  <c r="I29" i="33"/>
  <c r="H29" i="33"/>
  <c r="G29" i="33"/>
  <c r="F29" i="33"/>
  <c r="E29" i="33"/>
  <c r="D29" i="33"/>
  <c r="B29" i="33"/>
  <c r="A29" i="33"/>
  <c r="AH28" i="33"/>
  <c r="AG28" i="33"/>
  <c r="AF28" i="33"/>
  <c r="AE28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L28" i="33"/>
  <c r="M28" i="33" s="1"/>
  <c r="K28" i="33"/>
  <c r="J28" i="33"/>
  <c r="I28" i="33"/>
  <c r="H28" i="33"/>
  <c r="G28" i="33"/>
  <c r="F28" i="33"/>
  <c r="E28" i="33"/>
  <c r="D28" i="33"/>
  <c r="B28" i="33"/>
  <c r="A28" i="33"/>
  <c r="AH27" i="33"/>
  <c r="AG27" i="33"/>
  <c r="AF27" i="33"/>
  <c r="AE27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L27" i="33"/>
  <c r="K27" i="33"/>
  <c r="J27" i="33"/>
  <c r="I27" i="33"/>
  <c r="H27" i="33"/>
  <c r="G27" i="33"/>
  <c r="F27" i="33"/>
  <c r="E27" i="33"/>
  <c r="D27" i="33"/>
  <c r="B27" i="33"/>
  <c r="A27" i="33"/>
  <c r="AH26" i="33"/>
  <c r="AG26" i="33"/>
  <c r="AF26" i="33"/>
  <c r="AE26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L26" i="33"/>
  <c r="M26" i="33" s="1"/>
  <c r="K26" i="33"/>
  <c r="J26" i="33"/>
  <c r="I26" i="33"/>
  <c r="H26" i="33"/>
  <c r="G26" i="33"/>
  <c r="F26" i="33"/>
  <c r="E26" i="33"/>
  <c r="D26" i="33"/>
  <c r="B26" i="33"/>
  <c r="A26" i="33"/>
  <c r="AH25" i="33"/>
  <c r="AG25" i="33"/>
  <c r="AF25" i="33"/>
  <c r="AE25" i="33"/>
  <c r="AD25" i="33"/>
  <c r="AC25" i="33"/>
  <c r="AB25" i="33"/>
  <c r="AA25" i="33"/>
  <c r="Z25" i="33"/>
  <c r="Y25" i="33"/>
  <c r="X25" i="33"/>
  <c r="V25" i="33"/>
  <c r="U25" i="33"/>
  <c r="T25" i="33"/>
  <c r="S25" i="33"/>
  <c r="R25" i="33"/>
  <c r="Q25" i="33"/>
  <c r="P25" i="33"/>
  <c r="L25" i="33"/>
  <c r="M25" i="33" s="1"/>
  <c r="K25" i="33"/>
  <c r="J25" i="33"/>
  <c r="I25" i="33"/>
  <c r="H25" i="33"/>
  <c r="F25" i="33"/>
  <c r="E25" i="33"/>
  <c r="D25" i="33"/>
  <c r="B25" i="33"/>
  <c r="A25" i="33"/>
  <c r="AH24" i="33"/>
  <c r="AG24" i="33"/>
  <c r="AF24" i="33"/>
  <c r="AE24" i="33"/>
  <c r="AD24" i="33"/>
  <c r="AC24" i="33"/>
  <c r="AB24" i="33"/>
  <c r="AA24" i="33"/>
  <c r="Z24" i="33"/>
  <c r="Y24" i="33"/>
  <c r="X24" i="33"/>
  <c r="V24" i="33"/>
  <c r="U24" i="33"/>
  <c r="T24" i="33"/>
  <c r="S24" i="33"/>
  <c r="R24" i="33"/>
  <c r="Q24" i="33"/>
  <c r="P24" i="33"/>
  <c r="L24" i="33"/>
  <c r="M24" i="33" s="1"/>
  <c r="K24" i="33"/>
  <c r="J24" i="33"/>
  <c r="I24" i="33"/>
  <c r="H24" i="33"/>
  <c r="F24" i="33"/>
  <c r="E24" i="33"/>
  <c r="D24" i="33"/>
  <c r="B24" i="33"/>
  <c r="A24" i="33"/>
  <c r="AH23" i="33"/>
  <c r="AG23" i="33"/>
  <c r="AF23" i="33"/>
  <c r="AE23" i="33"/>
  <c r="AD23" i="33"/>
  <c r="AC23" i="33"/>
  <c r="AB23" i="33"/>
  <c r="AA23" i="33"/>
  <c r="Z23" i="33"/>
  <c r="Y23" i="33"/>
  <c r="X23" i="33"/>
  <c r="V23" i="33"/>
  <c r="U23" i="33"/>
  <c r="T23" i="33"/>
  <c r="S23" i="33"/>
  <c r="R23" i="33"/>
  <c r="Q23" i="33"/>
  <c r="P23" i="33"/>
  <c r="L23" i="33"/>
  <c r="K23" i="33"/>
  <c r="J23" i="33"/>
  <c r="I23" i="33"/>
  <c r="H23" i="33"/>
  <c r="F23" i="33"/>
  <c r="E23" i="33"/>
  <c r="D23" i="33"/>
  <c r="B23" i="33"/>
  <c r="A23" i="33"/>
  <c r="AH22" i="33"/>
  <c r="AG22" i="33"/>
  <c r="AF22" i="33"/>
  <c r="AE22" i="33"/>
  <c r="AD22" i="33"/>
  <c r="AC22" i="33"/>
  <c r="AB22" i="33"/>
  <c r="AA22" i="33"/>
  <c r="Z22" i="33"/>
  <c r="Y22" i="33"/>
  <c r="X22" i="33"/>
  <c r="V22" i="33"/>
  <c r="U22" i="33"/>
  <c r="T22" i="33"/>
  <c r="S22" i="33"/>
  <c r="R22" i="33"/>
  <c r="Q22" i="33"/>
  <c r="P22" i="33"/>
  <c r="L22" i="33"/>
  <c r="M22" i="33" s="1"/>
  <c r="K22" i="33"/>
  <c r="J22" i="33"/>
  <c r="I22" i="33"/>
  <c r="H22" i="33"/>
  <c r="S24" i="16" s="1"/>
  <c r="G22" i="33"/>
  <c r="F22" i="33"/>
  <c r="E22" i="33"/>
  <c r="D22" i="33"/>
  <c r="B22" i="33"/>
  <c r="A22" i="33"/>
  <c r="AH21" i="33"/>
  <c r="AG21" i="33"/>
  <c r="AF21" i="33"/>
  <c r="AE21" i="33"/>
  <c r="AD21" i="33"/>
  <c r="AC21" i="33"/>
  <c r="AB21" i="33"/>
  <c r="AA21" i="33"/>
  <c r="Z21" i="33"/>
  <c r="Y21" i="33"/>
  <c r="X21" i="33"/>
  <c r="V21" i="33"/>
  <c r="U21" i="33"/>
  <c r="T21" i="33"/>
  <c r="S21" i="33"/>
  <c r="R21" i="33"/>
  <c r="Q21" i="33"/>
  <c r="P21" i="33"/>
  <c r="L21" i="33"/>
  <c r="K21" i="33"/>
  <c r="J21" i="33"/>
  <c r="I21" i="33"/>
  <c r="H21" i="33"/>
  <c r="G21" i="33"/>
  <c r="F21" i="33"/>
  <c r="E21" i="33"/>
  <c r="D21" i="33"/>
  <c r="B21" i="33"/>
  <c r="A21" i="33"/>
  <c r="AH20" i="33"/>
  <c r="AG20" i="33"/>
  <c r="AF20" i="33"/>
  <c r="AE20" i="33"/>
  <c r="AD20" i="33"/>
  <c r="AC20" i="33"/>
  <c r="AB20" i="33"/>
  <c r="AA20" i="33"/>
  <c r="Z20" i="33"/>
  <c r="Y20" i="33"/>
  <c r="X20" i="33"/>
  <c r="V20" i="33"/>
  <c r="U20" i="33"/>
  <c r="T20" i="33"/>
  <c r="S20" i="33"/>
  <c r="R20" i="33"/>
  <c r="Q20" i="33"/>
  <c r="L20" i="33"/>
  <c r="M20" i="33" s="1"/>
  <c r="P20" i="33" s="1"/>
  <c r="K20" i="33"/>
  <c r="J20" i="33"/>
  <c r="I20" i="33"/>
  <c r="H20" i="33"/>
  <c r="G20" i="33"/>
  <c r="F20" i="33"/>
  <c r="E20" i="33"/>
  <c r="D20" i="33"/>
  <c r="B20" i="33"/>
  <c r="A20" i="33"/>
  <c r="AH19" i="33"/>
  <c r="AG19" i="33"/>
  <c r="AF19" i="33"/>
  <c r="AE19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K19" i="33"/>
  <c r="J19" i="33"/>
  <c r="I19" i="33"/>
  <c r="G19" i="33"/>
  <c r="B19" i="33"/>
  <c r="A19" i="33"/>
  <c r="AH18" i="33"/>
  <c r="AG18" i="33"/>
  <c r="AF18" i="33"/>
  <c r="AE18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K18" i="33"/>
  <c r="J18" i="33"/>
  <c r="I18" i="33"/>
  <c r="G18" i="33"/>
  <c r="B18" i="33"/>
  <c r="A18" i="33"/>
  <c r="AH17" i="33"/>
  <c r="AG17" i="33"/>
  <c r="AF17" i="33"/>
  <c r="AE17" i="33"/>
  <c r="AD17" i="33"/>
  <c r="AC17" i="33"/>
  <c r="AB17" i="33"/>
  <c r="AA17" i="33"/>
  <c r="Z17" i="33"/>
  <c r="Y17" i="33"/>
  <c r="X17" i="33"/>
  <c r="V17" i="33"/>
  <c r="U17" i="33"/>
  <c r="T17" i="33"/>
  <c r="S17" i="33"/>
  <c r="R17" i="33"/>
  <c r="Q17" i="33"/>
  <c r="P17" i="33"/>
  <c r="L17" i="33"/>
  <c r="M17" i="33" s="1"/>
  <c r="K17" i="33"/>
  <c r="J17" i="33"/>
  <c r="I17" i="33"/>
  <c r="H17" i="33"/>
  <c r="G17" i="33"/>
  <c r="F17" i="33"/>
  <c r="E17" i="33"/>
  <c r="D17" i="33"/>
  <c r="B17" i="33"/>
  <c r="A17" i="33"/>
  <c r="AH16" i="33"/>
  <c r="AG16" i="33"/>
  <c r="AF16" i="33"/>
  <c r="AE16" i="33"/>
  <c r="AD16" i="33"/>
  <c r="AC16" i="33"/>
  <c r="AB16" i="33"/>
  <c r="AA16" i="33"/>
  <c r="Z16" i="33"/>
  <c r="Y16" i="33"/>
  <c r="X16" i="33"/>
  <c r="U16" i="33"/>
  <c r="T16" i="33"/>
  <c r="R16" i="33"/>
  <c r="Q16" i="33"/>
  <c r="P16" i="33"/>
  <c r="L16" i="33"/>
  <c r="K16" i="33"/>
  <c r="J16" i="33"/>
  <c r="I16" i="33"/>
  <c r="G16" i="33"/>
  <c r="F16" i="33"/>
  <c r="B16" i="33"/>
  <c r="A16" i="33"/>
  <c r="AH15" i="33"/>
  <c r="AG15" i="33"/>
  <c r="AF15" i="33"/>
  <c r="AE15" i="33"/>
  <c r="AD15" i="33"/>
  <c r="AC15" i="33"/>
  <c r="AB15" i="33"/>
  <c r="AA15" i="33"/>
  <c r="Z15" i="33"/>
  <c r="Y15" i="33"/>
  <c r="X15" i="33"/>
  <c r="V15" i="33"/>
  <c r="U15" i="33"/>
  <c r="T15" i="33"/>
  <c r="S15" i="33"/>
  <c r="R15" i="33"/>
  <c r="Q15" i="33"/>
  <c r="O15" i="33"/>
  <c r="L15" i="33"/>
  <c r="K15" i="33"/>
  <c r="J15" i="33"/>
  <c r="I15" i="33"/>
  <c r="G15" i="33"/>
  <c r="F15" i="33"/>
  <c r="B15" i="33"/>
  <c r="A15" i="33"/>
  <c r="AH14" i="33"/>
  <c r="AG14" i="33"/>
  <c r="AF14" i="33"/>
  <c r="AE14" i="33"/>
  <c r="AD14" i="33"/>
  <c r="AC14" i="33"/>
  <c r="AB14" i="33"/>
  <c r="AA14" i="33"/>
  <c r="Z14" i="33"/>
  <c r="U14" i="33"/>
  <c r="T14" i="33"/>
  <c r="S14" i="33"/>
  <c r="R14" i="33"/>
  <c r="Q14" i="33"/>
  <c r="P14" i="33"/>
  <c r="L14" i="33"/>
  <c r="M14" i="33" s="1"/>
  <c r="K14" i="33"/>
  <c r="J14" i="33"/>
  <c r="I14" i="33"/>
  <c r="H14" i="33"/>
  <c r="F14" i="33"/>
  <c r="E14" i="33"/>
  <c r="D14" i="33"/>
  <c r="B14" i="33"/>
  <c r="A14" i="33"/>
  <c r="AH13" i="33"/>
  <c r="AG13" i="33"/>
  <c r="AF13" i="33"/>
  <c r="AE13" i="33"/>
  <c r="AD13" i="33"/>
  <c r="AC13" i="33"/>
  <c r="AB13" i="33"/>
  <c r="AA13" i="33"/>
  <c r="Z13" i="33"/>
  <c r="Y13" i="33"/>
  <c r="X13" i="33"/>
  <c r="V13" i="33"/>
  <c r="U13" i="33"/>
  <c r="T13" i="33"/>
  <c r="S13" i="33"/>
  <c r="R13" i="33"/>
  <c r="Q13" i="33"/>
  <c r="P13" i="33"/>
  <c r="L13" i="33"/>
  <c r="M13" i="33" s="1"/>
  <c r="K13" i="33"/>
  <c r="J13" i="33"/>
  <c r="I13" i="33"/>
  <c r="H13" i="33"/>
  <c r="G13" i="33"/>
  <c r="F13" i="33"/>
  <c r="E13" i="33"/>
  <c r="D13" i="33"/>
  <c r="B13" i="33"/>
  <c r="A13" i="33"/>
  <c r="AH12" i="33"/>
  <c r="AG12" i="33"/>
  <c r="AF12" i="33"/>
  <c r="AE12" i="33"/>
  <c r="AD12" i="33"/>
  <c r="AC12" i="33"/>
  <c r="AB12" i="33"/>
  <c r="AA12" i="33"/>
  <c r="Z12" i="33"/>
  <c r="Y12" i="33"/>
  <c r="V12" i="33"/>
  <c r="U12" i="33"/>
  <c r="T12" i="33"/>
  <c r="S12" i="33"/>
  <c r="R12" i="33"/>
  <c r="Q12" i="33"/>
  <c r="L12" i="33"/>
  <c r="M12" i="33" s="1"/>
  <c r="K12" i="33"/>
  <c r="J12" i="33"/>
  <c r="I12" i="33"/>
  <c r="H12" i="33"/>
  <c r="G12" i="33"/>
  <c r="F12" i="33"/>
  <c r="E12" i="33"/>
  <c r="D12" i="33"/>
  <c r="B12" i="33"/>
  <c r="A12" i="33"/>
  <c r="AH11" i="33"/>
  <c r="AG11" i="33"/>
  <c r="AF11" i="33"/>
  <c r="AE11" i="33"/>
  <c r="AD11" i="33"/>
  <c r="AC11" i="33"/>
  <c r="AB11" i="33"/>
  <c r="AA11" i="33"/>
  <c r="Z11" i="33"/>
  <c r="Y11" i="33"/>
  <c r="X11" i="33"/>
  <c r="V11" i="33"/>
  <c r="U11" i="33"/>
  <c r="T11" i="33"/>
  <c r="S11" i="33"/>
  <c r="R11" i="33"/>
  <c r="Q11" i="33"/>
  <c r="L11" i="33"/>
  <c r="K11" i="33"/>
  <c r="J11" i="33"/>
  <c r="I11" i="33"/>
  <c r="H11" i="33"/>
  <c r="G11" i="33"/>
  <c r="F11" i="33"/>
  <c r="E11" i="33"/>
  <c r="D11" i="33"/>
  <c r="B11" i="33"/>
  <c r="A11" i="33"/>
  <c r="AH10" i="33"/>
  <c r="AG10" i="33"/>
  <c r="AF10" i="33"/>
  <c r="AE10" i="33"/>
  <c r="AD10" i="33"/>
  <c r="AC10" i="33"/>
  <c r="AB10" i="33"/>
  <c r="AA10" i="33"/>
  <c r="Z10" i="33"/>
  <c r="W10" i="33"/>
  <c r="V10" i="33"/>
  <c r="U10" i="33"/>
  <c r="T10" i="33"/>
  <c r="S10" i="33"/>
  <c r="R10" i="33"/>
  <c r="Q10" i="33"/>
  <c r="L10" i="33"/>
  <c r="M10" i="33" s="1"/>
  <c r="K10" i="33"/>
  <c r="J10" i="33"/>
  <c r="I10" i="33"/>
  <c r="H10" i="33"/>
  <c r="G10" i="33"/>
  <c r="F10" i="33"/>
  <c r="E10" i="33"/>
  <c r="D10" i="33"/>
  <c r="B10" i="33"/>
  <c r="A10" i="33"/>
  <c r="AH9" i="33"/>
  <c r="AG9" i="33"/>
  <c r="AF9" i="33"/>
  <c r="AE9" i="33"/>
  <c r="AD9" i="33"/>
  <c r="AC9" i="33"/>
  <c r="AB9" i="33"/>
  <c r="AA9" i="33"/>
  <c r="Z9" i="33"/>
  <c r="Y9" i="33"/>
  <c r="X9" i="33"/>
  <c r="V9" i="33"/>
  <c r="U9" i="33"/>
  <c r="T9" i="33"/>
  <c r="S9" i="33"/>
  <c r="R9" i="33"/>
  <c r="Q9" i="33"/>
  <c r="P9" i="33"/>
  <c r="L9" i="33"/>
  <c r="M9" i="33" s="1"/>
  <c r="W9" i="33" s="1"/>
  <c r="K9" i="33"/>
  <c r="J9" i="33"/>
  <c r="I9" i="33"/>
  <c r="H9" i="33"/>
  <c r="G9" i="33"/>
  <c r="F9" i="33"/>
  <c r="E9" i="33"/>
  <c r="D9" i="33"/>
  <c r="B9" i="33"/>
  <c r="A9" i="33"/>
  <c r="AH8" i="33"/>
  <c r="AG8" i="33"/>
  <c r="AF8" i="33"/>
  <c r="AE8" i="33"/>
  <c r="AD8" i="33"/>
  <c r="AC8" i="33"/>
  <c r="AB8" i="33"/>
  <c r="Z8" i="33"/>
  <c r="Y8" i="33"/>
  <c r="X8" i="33"/>
  <c r="U8" i="33"/>
  <c r="T8" i="33"/>
  <c r="S8" i="33"/>
  <c r="R8" i="33"/>
  <c r="Q8" i="33"/>
  <c r="L8" i="33"/>
  <c r="K8" i="33"/>
  <c r="J8" i="33"/>
  <c r="I8" i="33"/>
  <c r="H8" i="33"/>
  <c r="F8" i="33"/>
  <c r="E8" i="33"/>
  <c r="D8" i="33"/>
  <c r="B8" i="33"/>
  <c r="A8" i="33"/>
  <c r="AH7" i="33"/>
  <c r="AG7" i="33"/>
  <c r="AF7" i="33"/>
  <c r="AE7" i="33"/>
  <c r="AD7" i="33"/>
  <c r="AC7" i="33"/>
  <c r="AB7" i="33"/>
  <c r="AA7" i="33"/>
  <c r="Z7" i="33"/>
  <c r="U7" i="33"/>
  <c r="R7" i="33"/>
  <c r="L7" i="33"/>
  <c r="K7" i="33"/>
  <c r="J7" i="33"/>
  <c r="I7" i="33"/>
  <c r="H7" i="33"/>
  <c r="F7" i="33"/>
  <c r="E7" i="33"/>
  <c r="D7" i="33"/>
  <c r="B7" i="33"/>
  <c r="A7" i="33"/>
  <c r="AH6" i="33"/>
  <c r="AG6" i="33"/>
  <c r="AF6" i="33"/>
  <c r="AE6" i="33"/>
  <c r="AD6" i="33"/>
  <c r="AC6" i="33"/>
  <c r="AB6" i="33"/>
  <c r="AA6" i="33"/>
  <c r="Z6" i="33"/>
  <c r="X6" i="33"/>
  <c r="U6" i="33"/>
  <c r="T6" i="33"/>
  <c r="S6" i="33"/>
  <c r="R6" i="33"/>
  <c r="P6" i="33"/>
  <c r="L6" i="33"/>
  <c r="M6" i="33" s="1"/>
  <c r="K6" i="33"/>
  <c r="J6" i="33"/>
  <c r="I6" i="33"/>
  <c r="H6" i="33"/>
  <c r="F6" i="33"/>
  <c r="E6" i="33"/>
  <c r="D6" i="33"/>
  <c r="B6" i="33"/>
  <c r="A6" i="33"/>
  <c r="AH5" i="33"/>
  <c r="AG5" i="33"/>
  <c r="AF5" i="33"/>
  <c r="AE5" i="33"/>
  <c r="AD5" i="33"/>
  <c r="AC5" i="33"/>
  <c r="AB5" i="33"/>
  <c r="AA5" i="33"/>
  <c r="Z5" i="33"/>
  <c r="Y5" i="33"/>
  <c r="X5" i="33"/>
  <c r="U5" i="33"/>
  <c r="T5" i="33"/>
  <c r="S5" i="33"/>
  <c r="R5" i="33"/>
  <c r="Q5" i="33"/>
  <c r="L5" i="33"/>
  <c r="M5" i="33" s="1"/>
  <c r="K5" i="33"/>
  <c r="J5" i="33"/>
  <c r="I5" i="33"/>
  <c r="H5" i="33"/>
  <c r="G5" i="33"/>
  <c r="F5" i="33"/>
  <c r="E5" i="33"/>
  <c r="D5" i="33"/>
  <c r="B5" i="33"/>
  <c r="A5" i="33"/>
  <c r="AH4" i="33"/>
  <c r="AG4" i="33"/>
  <c r="AF4" i="33"/>
  <c r="AE4" i="33"/>
  <c r="AD4" i="33"/>
  <c r="AC4" i="33"/>
  <c r="AB4" i="33"/>
  <c r="AA4" i="33"/>
  <c r="Z4" i="33"/>
  <c r="Y4" i="33"/>
  <c r="X4" i="33"/>
  <c r="V4" i="33"/>
  <c r="U4" i="33"/>
  <c r="T4" i="33"/>
  <c r="S4" i="33"/>
  <c r="R4" i="33"/>
  <c r="Q4" i="33"/>
  <c r="P4" i="33"/>
  <c r="L4" i="33"/>
  <c r="K4" i="33"/>
  <c r="J4" i="33"/>
  <c r="I4" i="33"/>
  <c r="H4" i="33"/>
  <c r="F4" i="33"/>
  <c r="E4" i="33"/>
  <c r="D4" i="33"/>
  <c r="B4" i="33"/>
  <c r="A4" i="33"/>
  <c r="AH3" i="33"/>
  <c r="AG3" i="33"/>
  <c r="AF3" i="33"/>
  <c r="AE3" i="33"/>
  <c r="AD3" i="33"/>
  <c r="AC3" i="33"/>
  <c r="AB3" i="33"/>
  <c r="AA3" i="33"/>
  <c r="X3" i="33"/>
  <c r="T3" i="33"/>
  <c r="S3" i="33"/>
  <c r="R3" i="33"/>
  <c r="Q3" i="33"/>
  <c r="L3" i="33"/>
  <c r="M3" i="33" s="1"/>
  <c r="K3" i="33"/>
  <c r="J3" i="33"/>
  <c r="I3" i="33"/>
  <c r="H3" i="33"/>
  <c r="F3" i="33"/>
  <c r="E3" i="33"/>
  <c r="D3" i="33"/>
  <c r="B3" i="33"/>
  <c r="A3" i="33"/>
  <c r="AH2" i="33"/>
  <c r="AG2" i="33"/>
  <c r="AF2" i="33"/>
  <c r="AE2" i="33"/>
  <c r="AD2" i="33"/>
  <c r="AC2" i="33"/>
  <c r="AB2" i="33"/>
  <c r="AA2" i="33"/>
  <c r="Z2" i="33"/>
  <c r="Y2" i="33"/>
  <c r="X2" i="33"/>
  <c r="V2" i="33"/>
  <c r="U2" i="33"/>
  <c r="T2" i="33"/>
  <c r="S2" i="33"/>
  <c r="R2" i="33"/>
  <c r="Q2" i="33"/>
  <c r="L2" i="33"/>
  <c r="O4" i="16" s="1"/>
  <c r="K2" i="33"/>
  <c r="J2" i="33"/>
  <c r="I2" i="33"/>
  <c r="H2" i="33"/>
  <c r="S4" i="16" s="1"/>
  <c r="G2" i="33"/>
  <c r="F2" i="33"/>
  <c r="R4" i="16" s="1"/>
  <c r="E2" i="33"/>
  <c r="Q4" i="16" s="1"/>
  <c r="D2" i="33"/>
  <c r="P4" i="16" s="1"/>
  <c r="B2" i="33"/>
  <c r="A2" i="33"/>
  <c r="O5" i="1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J57" i="31"/>
  <c r="K57" i="31" s="1"/>
  <c r="I57" i="31"/>
  <c r="H57" i="31"/>
  <c r="G57" i="31"/>
  <c r="F57" i="31"/>
  <c r="E57" i="31"/>
  <c r="D57" i="31"/>
  <c r="B57" i="31"/>
  <c r="A57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J56" i="31"/>
  <c r="K56" i="31" s="1"/>
  <c r="I56" i="31"/>
  <c r="H56" i="31"/>
  <c r="G56" i="31"/>
  <c r="F56" i="31"/>
  <c r="E56" i="31"/>
  <c r="D56" i="31"/>
  <c r="B56" i="31"/>
  <c r="A56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J55" i="31"/>
  <c r="K55" i="31" s="1"/>
  <c r="I55" i="31"/>
  <c r="H55" i="31"/>
  <c r="G55" i="31"/>
  <c r="F55" i="31"/>
  <c r="E55" i="31"/>
  <c r="D55" i="31"/>
  <c r="B55" i="31"/>
  <c r="A55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J54" i="31"/>
  <c r="K54" i="31" s="1"/>
  <c r="I54" i="31"/>
  <c r="H54" i="31"/>
  <c r="G54" i="31"/>
  <c r="F54" i="31"/>
  <c r="E54" i="31"/>
  <c r="D54" i="31"/>
  <c r="B54" i="31"/>
  <c r="A54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J53" i="31"/>
  <c r="K53" i="31" s="1"/>
  <c r="I53" i="31"/>
  <c r="H53" i="31"/>
  <c r="G53" i="31"/>
  <c r="F53" i="31"/>
  <c r="E53" i="31"/>
  <c r="D53" i="31"/>
  <c r="B53" i="31"/>
  <c r="A53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J52" i="31"/>
  <c r="K52" i="31" s="1"/>
  <c r="I52" i="31"/>
  <c r="H52" i="31"/>
  <c r="G52" i="31"/>
  <c r="F52" i="31"/>
  <c r="E52" i="31"/>
  <c r="D52" i="31"/>
  <c r="B52" i="31"/>
  <c r="A52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J51" i="31"/>
  <c r="K51" i="31" s="1"/>
  <c r="I51" i="31"/>
  <c r="H51" i="31"/>
  <c r="G51" i="31"/>
  <c r="F51" i="31"/>
  <c r="E51" i="31"/>
  <c r="D51" i="31"/>
  <c r="B51" i="31"/>
  <c r="A51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J50" i="31"/>
  <c r="K50" i="31" s="1"/>
  <c r="I50" i="31"/>
  <c r="H50" i="31"/>
  <c r="G50" i="31"/>
  <c r="F50" i="31"/>
  <c r="E50" i="31"/>
  <c r="D50" i="31"/>
  <c r="B50" i="31"/>
  <c r="A50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J49" i="31"/>
  <c r="K49" i="31" s="1"/>
  <c r="I49" i="31"/>
  <c r="H49" i="31"/>
  <c r="G49" i="31"/>
  <c r="F49" i="31"/>
  <c r="E49" i="31"/>
  <c r="D49" i="31"/>
  <c r="B49" i="31"/>
  <c r="A49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J48" i="31"/>
  <c r="K48" i="31" s="1"/>
  <c r="I48" i="31"/>
  <c r="H48" i="31"/>
  <c r="G48" i="31"/>
  <c r="F48" i="31"/>
  <c r="E48" i="31"/>
  <c r="D48" i="31"/>
  <c r="B48" i="31"/>
  <c r="A48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J47" i="31"/>
  <c r="K47" i="31" s="1"/>
  <c r="I47" i="31"/>
  <c r="H47" i="31"/>
  <c r="G47" i="31"/>
  <c r="F47" i="31"/>
  <c r="E47" i="31"/>
  <c r="D47" i="31"/>
  <c r="B47" i="31"/>
  <c r="A47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J46" i="31"/>
  <c r="K46" i="31" s="1"/>
  <c r="I46" i="31"/>
  <c r="H46" i="31"/>
  <c r="G46" i="31"/>
  <c r="F46" i="31"/>
  <c r="E46" i="31"/>
  <c r="D46" i="31"/>
  <c r="B46" i="31"/>
  <c r="A46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J45" i="31"/>
  <c r="K45" i="31" s="1"/>
  <c r="I45" i="31"/>
  <c r="H45" i="31"/>
  <c r="G45" i="31"/>
  <c r="F45" i="31"/>
  <c r="E45" i="31"/>
  <c r="D45" i="31"/>
  <c r="B45" i="31"/>
  <c r="A45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J44" i="31"/>
  <c r="K44" i="31" s="1"/>
  <c r="I44" i="31"/>
  <c r="H44" i="31"/>
  <c r="G44" i="31"/>
  <c r="F44" i="31"/>
  <c r="E44" i="31"/>
  <c r="D44" i="31"/>
  <c r="B44" i="31"/>
  <c r="A44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J43" i="31"/>
  <c r="K43" i="31" s="1"/>
  <c r="I43" i="31"/>
  <c r="H43" i="31"/>
  <c r="G43" i="31"/>
  <c r="F43" i="31"/>
  <c r="E43" i="31"/>
  <c r="D43" i="31"/>
  <c r="B43" i="31"/>
  <c r="A43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B42" i="31"/>
  <c r="A42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J41" i="31"/>
  <c r="K41" i="31" s="1"/>
  <c r="I41" i="31"/>
  <c r="H41" i="31"/>
  <c r="G41" i="31"/>
  <c r="F41" i="31"/>
  <c r="E41" i="31"/>
  <c r="D41" i="31"/>
  <c r="B41" i="31"/>
  <c r="A41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J40" i="31"/>
  <c r="K40" i="31" s="1"/>
  <c r="I40" i="31"/>
  <c r="H40" i="31"/>
  <c r="G40" i="31"/>
  <c r="F40" i="31"/>
  <c r="E40" i="31"/>
  <c r="D40" i="31"/>
  <c r="B40" i="31"/>
  <c r="A40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J39" i="31"/>
  <c r="K39" i="31" s="1"/>
  <c r="I39" i="31"/>
  <c r="H39" i="31"/>
  <c r="G39" i="31"/>
  <c r="F39" i="31"/>
  <c r="E39" i="31"/>
  <c r="D39" i="31"/>
  <c r="B39" i="31"/>
  <c r="A39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J38" i="31"/>
  <c r="K38" i="31" s="1"/>
  <c r="I38" i="31"/>
  <c r="H38" i="31"/>
  <c r="G38" i="31"/>
  <c r="F38" i="31"/>
  <c r="E38" i="31"/>
  <c r="D38" i="31"/>
  <c r="B38" i="31"/>
  <c r="A38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J37" i="31"/>
  <c r="K37" i="31" s="1"/>
  <c r="I37" i="31"/>
  <c r="H37" i="31"/>
  <c r="G37" i="31"/>
  <c r="F37" i="31"/>
  <c r="E37" i="31"/>
  <c r="D37" i="31"/>
  <c r="B37" i="31"/>
  <c r="A37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J36" i="31"/>
  <c r="K36" i="31" s="1"/>
  <c r="I36" i="31"/>
  <c r="H36" i="31"/>
  <c r="G36" i="31"/>
  <c r="F36" i="31"/>
  <c r="E36" i="31"/>
  <c r="D36" i="31"/>
  <c r="B36" i="31"/>
  <c r="A36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J35" i="31"/>
  <c r="K35" i="31" s="1"/>
  <c r="I35" i="31"/>
  <c r="H35" i="31"/>
  <c r="G35" i="31"/>
  <c r="F35" i="31"/>
  <c r="E35" i="31"/>
  <c r="D35" i="31"/>
  <c r="B35" i="31"/>
  <c r="A35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B34" i="31"/>
  <c r="A34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J33" i="31"/>
  <c r="K33" i="31" s="1"/>
  <c r="I33" i="31"/>
  <c r="H33" i="31"/>
  <c r="G33" i="31"/>
  <c r="F33" i="31"/>
  <c r="E33" i="31"/>
  <c r="D33" i="31"/>
  <c r="B33" i="31"/>
  <c r="A33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J32" i="31"/>
  <c r="K32" i="31" s="1"/>
  <c r="I32" i="31"/>
  <c r="H32" i="31"/>
  <c r="G32" i="31"/>
  <c r="F32" i="31"/>
  <c r="E32" i="31"/>
  <c r="D32" i="31"/>
  <c r="B32" i="31"/>
  <c r="A32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J31" i="31"/>
  <c r="K31" i="31" s="1"/>
  <c r="I31" i="31"/>
  <c r="H31" i="31"/>
  <c r="G31" i="31"/>
  <c r="F31" i="31"/>
  <c r="E31" i="31"/>
  <c r="D31" i="31"/>
  <c r="B31" i="31"/>
  <c r="A31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J30" i="31"/>
  <c r="K30" i="31" s="1"/>
  <c r="I30" i="31"/>
  <c r="H30" i="31"/>
  <c r="G30" i="31"/>
  <c r="F30" i="31"/>
  <c r="E30" i="31"/>
  <c r="D30" i="31"/>
  <c r="B30" i="31"/>
  <c r="A30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J29" i="31"/>
  <c r="K29" i="31" s="1"/>
  <c r="I29" i="31"/>
  <c r="H29" i="31"/>
  <c r="G29" i="31"/>
  <c r="F29" i="31"/>
  <c r="E29" i="31"/>
  <c r="D29" i="31"/>
  <c r="B29" i="31"/>
  <c r="A29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J28" i="31"/>
  <c r="K28" i="31" s="1"/>
  <c r="I28" i="31"/>
  <c r="H28" i="31"/>
  <c r="G28" i="31"/>
  <c r="F28" i="31"/>
  <c r="E28" i="31"/>
  <c r="D28" i="31"/>
  <c r="B28" i="31"/>
  <c r="A28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J27" i="31"/>
  <c r="K27" i="31" s="1"/>
  <c r="I27" i="31"/>
  <c r="H27" i="31"/>
  <c r="G27" i="31"/>
  <c r="F27" i="31"/>
  <c r="E27" i="31"/>
  <c r="D27" i="31"/>
  <c r="B27" i="31"/>
  <c r="A27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J26" i="31"/>
  <c r="K26" i="31" s="1"/>
  <c r="I26" i="31"/>
  <c r="H26" i="31"/>
  <c r="G26" i="31"/>
  <c r="F26" i="31"/>
  <c r="E26" i="31"/>
  <c r="D26" i="31"/>
  <c r="B26" i="31"/>
  <c r="A26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J25" i="31"/>
  <c r="K25" i="31" s="1"/>
  <c r="I25" i="31"/>
  <c r="H25" i="31"/>
  <c r="G25" i="31"/>
  <c r="F25" i="31"/>
  <c r="E25" i="31"/>
  <c r="D25" i="31"/>
  <c r="B25" i="31"/>
  <c r="A25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J24" i="31"/>
  <c r="K24" i="31" s="1"/>
  <c r="I24" i="31"/>
  <c r="H24" i="31"/>
  <c r="G24" i="31"/>
  <c r="F24" i="31"/>
  <c r="E24" i="31"/>
  <c r="D24" i="31"/>
  <c r="B24" i="31"/>
  <c r="A24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B23" i="31"/>
  <c r="A23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J22" i="31"/>
  <c r="K22" i="31" s="1"/>
  <c r="I22" i="31"/>
  <c r="H22" i="31"/>
  <c r="G22" i="31"/>
  <c r="F22" i="31"/>
  <c r="E22" i="31"/>
  <c r="D22" i="31"/>
  <c r="B22" i="31"/>
  <c r="A22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J21" i="31"/>
  <c r="K21" i="31" s="1"/>
  <c r="I21" i="31"/>
  <c r="H21" i="31"/>
  <c r="G21" i="31"/>
  <c r="F21" i="31"/>
  <c r="E21" i="31"/>
  <c r="D21" i="31"/>
  <c r="B21" i="31"/>
  <c r="A21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J20" i="31"/>
  <c r="K20" i="31" s="1"/>
  <c r="I20" i="31"/>
  <c r="H20" i="31"/>
  <c r="G20" i="31"/>
  <c r="F20" i="31"/>
  <c r="E20" i="31"/>
  <c r="D20" i="31"/>
  <c r="B20" i="31"/>
  <c r="A20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J19" i="31"/>
  <c r="K19" i="31" s="1"/>
  <c r="I19" i="31"/>
  <c r="H19" i="31"/>
  <c r="G19" i="31"/>
  <c r="F19" i="31"/>
  <c r="E19" i="31"/>
  <c r="D19" i="31"/>
  <c r="B19" i="31"/>
  <c r="A19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B18" i="31"/>
  <c r="A18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J17" i="31"/>
  <c r="K17" i="31" s="1"/>
  <c r="I17" i="31"/>
  <c r="H17" i="31"/>
  <c r="G17" i="31"/>
  <c r="F17" i="31"/>
  <c r="E17" i="31"/>
  <c r="D17" i="31"/>
  <c r="B17" i="31"/>
  <c r="A17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J16" i="31"/>
  <c r="K16" i="31" s="1"/>
  <c r="I16" i="31"/>
  <c r="H16" i="31"/>
  <c r="G16" i="31"/>
  <c r="F16" i="31"/>
  <c r="E16" i="31"/>
  <c r="D16" i="31"/>
  <c r="B16" i="31"/>
  <c r="A16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J15" i="31"/>
  <c r="K15" i="31" s="1"/>
  <c r="I15" i="31"/>
  <c r="H15" i="31"/>
  <c r="G15" i="31"/>
  <c r="F15" i="31"/>
  <c r="E15" i="31"/>
  <c r="D15" i="31"/>
  <c r="B15" i="31"/>
  <c r="A15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J14" i="31"/>
  <c r="K14" i="31" s="1"/>
  <c r="I14" i="31"/>
  <c r="H14" i="31"/>
  <c r="G14" i="31"/>
  <c r="F14" i="31"/>
  <c r="E14" i="31"/>
  <c r="D14" i="31"/>
  <c r="B14" i="31"/>
  <c r="A14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J13" i="31"/>
  <c r="K13" i="31" s="1"/>
  <c r="I13" i="31"/>
  <c r="H13" i="31"/>
  <c r="G13" i="31"/>
  <c r="F13" i="31"/>
  <c r="E13" i="31"/>
  <c r="D13" i="31"/>
  <c r="B13" i="31"/>
  <c r="A13" i="31"/>
  <c r="AF12" i="31"/>
  <c r="AE12" i="31"/>
  <c r="AD12" i="31"/>
  <c r="AC12" i="31"/>
  <c r="AB12" i="31"/>
  <c r="AA12" i="31"/>
  <c r="Z12" i="31"/>
  <c r="Y12" i="31"/>
  <c r="X12" i="31"/>
  <c r="W12" i="31"/>
  <c r="V12" i="31"/>
  <c r="S12" i="31"/>
  <c r="R12" i="31"/>
  <c r="Q12" i="31"/>
  <c r="P12" i="31"/>
  <c r="O12" i="31"/>
  <c r="N12" i="31"/>
  <c r="M12" i="31"/>
  <c r="J12" i="31"/>
  <c r="K12" i="31" s="1"/>
  <c r="I12" i="31"/>
  <c r="H12" i="31"/>
  <c r="G12" i="31"/>
  <c r="F12" i="31"/>
  <c r="E12" i="31"/>
  <c r="D12" i="31"/>
  <c r="B12" i="31"/>
  <c r="A12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J11" i="31"/>
  <c r="K11" i="31" s="1"/>
  <c r="I11" i="31"/>
  <c r="H11" i="31"/>
  <c r="G11" i="31"/>
  <c r="F11" i="31"/>
  <c r="E11" i="31"/>
  <c r="D11" i="31"/>
  <c r="B11" i="31"/>
  <c r="A11" i="31"/>
  <c r="AF10" i="31"/>
  <c r="AE10" i="31"/>
  <c r="AD10" i="31"/>
  <c r="AC10" i="31"/>
  <c r="AB10" i="31"/>
  <c r="AA10" i="31"/>
  <c r="Z10" i="31"/>
  <c r="Y10" i="31"/>
  <c r="X10" i="31"/>
  <c r="W10" i="31"/>
  <c r="V10" i="31"/>
  <c r="T10" i="31"/>
  <c r="S10" i="31"/>
  <c r="R10" i="31"/>
  <c r="P10" i="31"/>
  <c r="O10" i="31"/>
  <c r="N10" i="31"/>
  <c r="M10" i="31"/>
  <c r="J10" i="31"/>
  <c r="K10" i="31" s="1"/>
  <c r="Q10" i="31" s="1"/>
  <c r="I10" i="31"/>
  <c r="H10" i="31"/>
  <c r="G10" i="31"/>
  <c r="F10" i="31"/>
  <c r="E10" i="31"/>
  <c r="D10" i="31"/>
  <c r="B10" i="31"/>
  <c r="A10" i="31"/>
  <c r="AF9" i="31"/>
  <c r="AE9" i="31"/>
  <c r="AD9" i="31"/>
  <c r="AC9" i="31"/>
  <c r="AB9" i="31"/>
  <c r="AA9" i="31"/>
  <c r="Z9" i="31"/>
  <c r="Y9" i="31"/>
  <c r="X9" i="31"/>
  <c r="W9" i="31"/>
  <c r="V9" i="31"/>
  <c r="T9" i="31"/>
  <c r="S9" i="31"/>
  <c r="R9" i="31"/>
  <c r="Q9" i="31"/>
  <c r="P9" i="31"/>
  <c r="O9" i="31"/>
  <c r="N9" i="31"/>
  <c r="J9" i="31"/>
  <c r="K9" i="31" s="1"/>
  <c r="I9" i="31"/>
  <c r="H9" i="31"/>
  <c r="G9" i="31"/>
  <c r="F9" i="31"/>
  <c r="E9" i="31"/>
  <c r="D9" i="31"/>
  <c r="B9" i="31"/>
  <c r="A9" i="31"/>
  <c r="AF8" i="31"/>
  <c r="AE8" i="31"/>
  <c r="AD8" i="31"/>
  <c r="AC8" i="31"/>
  <c r="AB8" i="31"/>
  <c r="AA8" i="31"/>
  <c r="Z8" i="31"/>
  <c r="Y8" i="31"/>
  <c r="X8" i="31"/>
  <c r="V8" i="31"/>
  <c r="S8" i="31"/>
  <c r="R8" i="31"/>
  <c r="Q8" i="31"/>
  <c r="P8" i="31"/>
  <c r="O8" i="31"/>
  <c r="N8" i="31"/>
  <c r="J8" i="31"/>
  <c r="K8" i="31" s="1"/>
  <c r="I8" i="31"/>
  <c r="H8" i="31"/>
  <c r="G8" i="31"/>
  <c r="F8" i="31"/>
  <c r="E8" i="31"/>
  <c r="D8" i="31"/>
  <c r="B8" i="31"/>
  <c r="A8" i="31"/>
  <c r="AF7" i="31"/>
  <c r="AE7" i="31"/>
  <c r="AD7" i="31"/>
  <c r="AC7" i="31"/>
  <c r="AB7" i="31"/>
  <c r="AA7" i="31"/>
  <c r="Z7" i="31"/>
  <c r="Y7" i="31"/>
  <c r="X7" i="31"/>
  <c r="V7" i="31"/>
  <c r="U7" i="31"/>
  <c r="T7" i="31"/>
  <c r="S7" i="31"/>
  <c r="R7" i="31"/>
  <c r="Q7" i="31"/>
  <c r="P7" i="31"/>
  <c r="O7" i="31"/>
  <c r="N7" i="31"/>
  <c r="J7" i="31"/>
  <c r="K7" i="31" s="1"/>
  <c r="M7" i="31" s="1"/>
  <c r="I7" i="31"/>
  <c r="H7" i="31"/>
  <c r="G7" i="31"/>
  <c r="F7" i="31"/>
  <c r="E7" i="31"/>
  <c r="D7" i="31"/>
  <c r="B7" i="31"/>
  <c r="A7" i="31"/>
  <c r="AF6" i="31"/>
  <c r="AE6" i="31"/>
  <c r="AD6" i="31"/>
  <c r="AC6" i="31"/>
  <c r="AB6" i="31"/>
  <c r="AA6" i="31"/>
  <c r="Z6" i="31"/>
  <c r="O6" i="31"/>
  <c r="J6" i="31"/>
  <c r="K6" i="31" s="1"/>
  <c r="I6" i="31"/>
  <c r="H6" i="31"/>
  <c r="G6" i="31"/>
  <c r="F6" i="31"/>
  <c r="E6" i="31"/>
  <c r="D6" i="31"/>
  <c r="B6" i="31"/>
  <c r="A6" i="31"/>
  <c r="AF5" i="31"/>
  <c r="AE5" i="31"/>
  <c r="AD5" i="31"/>
  <c r="AC5" i="31"/>
  <c r="AB5" i="31"/>
  <c r="AA5" i="31"/>
  <c r="Z5" i="31"/>
  <c r="Y5" i="31"/>
  <c r="X5" i="31"/>
  <c r="W5" i="31"/>
  <c r="V5" i="31"/>
  <c r="S5" i="31"/>
  <c r="R5" i="31"/>
  <c r="P5" i="31"/>
  <c r="O5" i="31"/>
  <c r="J5" i="31"/>
  <c r="K5" i="31" s="1"/>
  <c r="I5" i="31"/>
  <c r="H5" i="31"/>
  <c r="G5" i="31"/>
  <c r="F5" i="31"/>
  <c r="E5" i="31"/>
  <c r="D5" i="31"/>
  <c r="B5" i="31"/>
  <c r="A5" i="31"/>
  <c r="AF4" i="31"/>
  <c r="AE4" i="31"/>
  <c r="AD4" i="31"/>
  <c r="AC4" i="31"/>
  <c r="AB4" i="31"/>
  <c r="AA4" i="31"/>
  <c r="Z4" i="31"/>
  <c r="Y4" i="31"/>
  <c r="X4" i="31"/>
  <c r="W4" i="31"/>
  <c r="V4" i="31"/>
  <c r="T4" i="31"/>
  <c r="S4" i="31"/>
  <c r="R4" i="31"/>
  <c r="Q4" i="31"/>
  <c r="P4" i="31"/>
  <c r="O4" i="31"/>
  <c r="N4" i="31"/>
  <c r="J4" i="31"/>
  <c r="K4" i="31" s="1"/>
  <c r="I4" i="31"/>
  <c r="H4" i="31"/>
  <c r="G4" i="31"/>
  <c r="F4" i="31"/>
  <c r="E4" i="31"/>
  <c r="D4" i="31"/>
  <c r="B4" i="31"/>
  <c r="O6" i="11" s="1"/>
  <c r="A4" i="31"/>
  <c r="AF3" i="31"/>
  <c r="AE3" i="31"/>
  <c r="AD3" i="31"/>
  <c r="AC3" i="31"/>
  <c r="AB3" i="31"/>
  <c r="AA3" i="31"/>
  <c r="Z3" i="31"/>
  <c r="Y3" i="31"/>
  <c r="X3" i="31"/>
  <c r="V3" i="31"/>
  <c r="U3" i="31"/>
  <c r="T3" i="31"/>
  <c r="R3" i="31"/>
  <c r="Q3" i="31"/>
  <c r="P3" i="31"/>
  <c r="O3" i="31"/>
  <c r="N3" i="31"/>
  <c r="M3" i="31"/>
  <c r="J3" i="31"/>
  <c r="K3" i="31" s="1"/>
  <c r="I3" i="31"/>
  <c r="H3" i="31"/>
  <c r="G3" i="31"/>
  <c r="F3" i="31"/>
  <c r="E3" i="31"/>
  <c r="D3" i="31"/>
  <c r="B3" i="31"/>
  <c r="A3" i="31"/>
  <c r="AF2" i="31"/>
  <c r="AE2" i="31"/>
  <c r="AD2" i="31"/>
  <c r="AC2" i="31"/>
  <c r="AB2" i="31"/>
  <c r="AA2" i="31"/>
  <c r="Z2" i="31"/>
  <c r="Y2" i="31"/>
  <c r="X2" i="31"/>
  <c r="V2" i="31"/>
  <c r="S2" i="31"/>
  <c r="R2" i="31"/>
  <c r="Q2" i="31"/>
  <c r="P2" i="31"/>
  <c r="O2" i="31"/>
  <c r="K2" i="31"/>
  <c r="W2" i="31" s="1"/>
  <c r="J2" i="31"/>
  <c r="I2" i="31"/>
  <c r="H2" i="31"/>
  <c r="G2" i="31"/>
  <c r="F2" i="31"/>
  <c r="E2" i="31"/>
  <c r="D2" i="31"/>
  <c r="B2" i="31"/>
  <c r="Q7" i="11" s="1"/>
  <c r="A2" i="31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U20" i="27"/>
  <c r="T20" i="27"/>
  <c r="S20" i="27"/>
  <c r="R20" i="27"/>
  <c r="Q20" i="27"/>
  <c r="N20" i="27"/>
  <c r="K20" i="27"/>
  <c r="L20" i="27" s="1"/>
  <c r="J20" i="27"/>
  <c r="I20" i="27"/>
  <c r="H20" i="27"/>
  <c r="G20" i="27"/>
  <c r="F20" i="27"/>
  <c r="E20" i="27"/>
  <c r="D20" i="27"/>
  <c r="B20" i="27"/>
  <c r="AH19" i="27"/>
  <c r="AG19" i="27"/>
  <c r="AF19" i="27"/>
  <c r="AE19" i="27"/>
  <c r="AD19" i="27"/>
  <c r="AC19" i="27"/>
  <c r="AB19" i="27"/>
  <c r="AA19" i="27"/>
  <c r="Z19" i="27"/>
  <c r="Y19" i="27"/>
  <c r="V19" i="27"/>
  <c r="U19" i="27"/>
  <c r="T19" i="27"/>
  <c r="S19" i="27"/>
  <c r="R19" i="27"/>
  <c r="P19" i="27"/>
  <c r="O19" i="27"/>
  <c r="N19" i="27"/>
  <c r="K19" i="27"/>
  <c r="L19" i="27" s="1"/>
  <c r="J19" i="27"/>
  <c r="I19" i="27"/>
  <c r="H19" i="27"/>
  <c r="G19" i="27"/>
  <c r="F19" i="27"/>
  <c r="E19" i="27"/>
  <c r="D19" i="27"/>
  <c r="B19" i="27"/>
  <c r="AH18" i="27"/>
  <c r="AG18" i="27"/>
  <c r="AF18" i="27"/>
  <c r="AE18" i="27"/>
  <c r="AD18" i="27"/>
  <c r="AC18" i="27"/>
  <c r="AB18" i="27"/>
  <c r="AA18" i="27"/>
  <c r="Z18" i="27"/>
  <c r="Y18" i="27"/>
  <c r="W18" i="27"/>
  <c r="T18" i="27"/>
  <c r="S18" i="27"/>
  <c r="R18" i="27"/>
  <c r="Q18" i="27"/>
  <c r="P18" i="27"/>
  <c r="O18" i="27"/>
  <c r="K18" i="27"/>
  <c r="L18" i="27" s="1"/>
  <c r="J18" i="27"/>
  <c r="I18" i="27"/>
  <c r="H18" i="27"/>
  <c r="G18" i="27"/>
  <c r="F18" i="27"/>
  <c r="E18" i="27"/>
  <c r="D18" i="27"/>
  <c r="B18" i="27"/>
  <c r="A18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U17" i="27"/>
  <c r="T17" i="27"/>
  <c r="R17" i="27"/>
  <c r="Q17" i="27"/>
  <c r="P17" i="27"/>
  <c r="K17" i="27"/>
  <c r="L17" i="27" s="1"/>
  <c r="J17" i="27"/>
  <c r="I17" i="27"/>
  <c r="H17" i="27"/>
  <c r="G17" i="27"/>
  <c r="F17" i="27"/>
  <c r="E17" i="27"/>
  <c r="D17" i="27"/>
  <c r="B17" i="27"/>
  <c r="A17" i="27"/>
  <c r="AH16" i="27"/>
  <c r="AG16" i="27"/>
  <c r="AF16" i="27"/>
  <c r="AE16" i="27"/>
  <c r="AD16" i="27"/>
  <c r="AC16" i="27"/>
  <c r="AB16" i="27"/>
  <c r="AA16" i="27"/>
  <c r="Z16" i="27"/>
  <c r="Y16" i="27"/>
  <c r="X16" i="27"/>
  <c r="U16" i="27"/>
  <c r="T16" i="27"/>
  <c r="S16" i="27"/>
  <c r="R16" i="27"/>
  <c r="Q16" i="27"/>
  <c r="P16" i="27"/>
  <c r="K16" i="27"/>
  <c r="L16" i="27" s="1"/>
  <c r="J16" i="27"/>
  <c r="I16" i="27"/>
  <c r="H16" i="27"/>
  <c r="G16" i="27"/>
  <c r="F16" i="27"/>
  <c r="E16" i="27"/>
  <c r="D16" i="27"/>
  <c r="B16" i="27"/>
  <c r="A16" i="27"/>
  <c r="AF15" i="27"/>
  <c r="AE15" i="27"/>
  <c r="AD15" i="27"/>
  <c r="AC15" i="27"/>
  <c r="AB15" i="27"/>
  <c r="AA15" i="27"/>
  <c r="Z15" i="27"/>
  <c r="Y15" i="27"/>
  <c r="X15" i="27"/>
  <c r="W15" i="27"/>
  <c r="U15" i="27"/>
  <c r="T15" i="27"/>
  <c r="S15" i="27"/>
  <c r="R15" i="27"/>
  <c r="Q15" i="27"/>
  <c r="P15" i="27"/>
  <c r="O15" i="27"/>
  <c r="J15" i="27"/>
  <c r="I15" i="27"/>
  <c r="H15" i="27"/>
  <c r="B15" i="27"/>
  <c r="C15" i="27" s="1" a="1"/>
  <c r="C15" i="27" s="1"/>
  <c r="A15" i="27"/>
  <c r="AF14" i="27"/>
  <c r="AE14" i="27"/>
  <c r="AD14" i="27"/>
  <c r="AC14" i="27"/>
  <c r="AB14" i="27"/>
  <c r="AA14" i="27"/>
  <c r="Z14" i="27"/>
  <c r="Y14" i="27"/>
  <c r="X14" i="27"/>
  <c r="W14" i="27"/>
  <c r="U14" i="27"/>
  <c r="T14" i="27"/>
  <c r="S14" i="27"/>
  <c r="R14" i="27"/>
  <c r="Q14" i="27"/>
  <c r="P14" i="27"/>
  <c r="O14" i="27"/>
  <c r="J14" i="27"/>
  <c r="I14" i="27"/>
  <c r="H14" i="27"/>
  <c r="B14" i="27"/>
  <c r="C14" i="27" s="1" a="1"/>
  <c r="C14" i="27" s="1"/>
  <c r="A14" i="27"/>
  <c r="AF13" i="27"/>
  <c r="AE13" i="27"/>
  <c r="AD13" i="27"/>
  <c r="AC13" i="27"/>
  <c r="AB13" i="27"/>
  <c r="AA13" i="27"/>
  <c r="Z13" i="27"/>
  <c r="Y13" i="27"/>
  <c r="X13" i="27"/>
  <c r="W13" i="27"/>
  <c r="U13" i="27"/>
  <c r="T13" i="27"/>
  <c r="S13" i="27"/>
  <c r="R13" i="27"/>
  <c r="Q13" i="27"/>
  <c r="P13" i="27"/>
  <c r="N13" i="27"/>
  <c r="J13" i="27"/>
  <c r="I13" i="27"/>
  <c r="H13" i="27"/>
  <c r="B13" i="27"/>
  <c r="C13" i="27" s="1" a="1"/>
  <c r="C13" i="27" s="1"/>
  <c r="A13" i="27"/>
  <c r="AH12" i="27"/>
  <c r="AG12" i="27"/>
  <c r="AF12" i="27"/>
  <c r="AE12" i="27"/>
  <c r="AD12" i="27"/>
  <c r="AC12" i="27"/>
  <c r="AB12" i="27"/>
  <c r="AA12" i="27"/>
  <c r="Z12" i="27"/>
  <c r="Y12" i="27"/>
  <c r="X12" i="27"/>
  <c r="W12" i="27"/>
  <c r="U12" i="27"/>
  <c r="T12" i="27"/>
  <c r="S12" i="27"/>
  <c r="R12" i="27"/>
  <c r="Q12" i="27"/>
  <c r="P12" i="27"/>
  <c r="N12" i="27"/>
  <c r="K12" i="27"/>
  <c r="L12" i="27" s="1"/>
  <c r="J12" i="27"/>
  <c r="I12" i="27"/>
  <c r="H12" i="27"/>
  <c r="G12" i="27"/>
  <c r="F12" i="27"/>
  <c r="E12" i="27"/>
  <c r="D12" i="27"/>
  <c r="B12" i="27"/>
  <c r="A12" i="27"/>
  <c r="AH11" i="27"/>
  <c r="AG11" i="27"/>
  <c r="AF11" i="27"/>
  <c r="AE11" i="27"/>
  <c r="AD11" i="27"/>
  <c r="AC11" i="27"/>
  <c r="AB11" i="27"/>
  <c r="AA11" i="27"/>
  <c r="Z11" i="27"/>
  <c r="Y11" i="27"/>
  <c r="X11" i="27"/>
  <c r="W11" i="27"/>
  <c r="U11" i="27"/>
  <c r="T11" i="27"/>
  <c r="S11" i="27"/>
  <c r="R11" i="27"/>
  <c r="Q11" i="27"/>
  <c r="P11" i="27"/>
  <c r="N11" i="27"/>
  <c r="K11" i="27"/>
  <c r="L11" i="27" s="1"/>
  <c r="J11" i="27"/>
  <c r="I11" i="27"/>
  <c r="H11" i="27"/>
  <c r="G11" i="27"/>
  <c r="F11" i="27"/>
  <c r="E11" i="27"/>
  <c r="D11" i="27"/>
  <c r="B11" i="27"/>
  <c r="A11" i="27"/>
  <c r="AH10" i="27"/>
  <c r="AG10" i="27"/>
  <c r="AF10" i="27"/>
  <c r="AE10" i="27"/>
  <c r="AD10" i="27"/>
  <c r="AC10" i="27"/>
  <c r="AB10" i="27"/>
  <c r="AA10" i="27"/>
  <c r="Z10" i="27"/>
  <c r="Y10" i="27"/>
  <c r="X10" i="27"/>
  <c r="W10" i="27"/>
  <c r="U10" i="27"/>
  <c r="T10" i="27"/>
  <c r="R10" i="27"/>
  <c r="Q10" i="27"/>
  <c r="P10" i="27"/>
  <c r="O10" i="27"/>
  <c r="K10" i="27"/>
  <c r="L10" i="27" s="1"/>
  <c r="J10" i="27"/>
  <c r="I10" i="27"/>
  <c r="H10" i="27"/>
  <c r="G10" i="27"/>
  <c r="F10" i="27"/>
  <c r="E10" i="27"/>
  <c r="D10" i="27"/>
  <c r="B10" i="27"/>
  <c r="A10" i="27"/>
  <c r="AF9" i="27"/>
  <c r="AE9" i="27"/>
  <c r="AD9" i="27"/>
  <c r="AC9" i="27"/>
  <c r="AB9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J9" i="27"/>
  <c r="I9" i="27"/>
  <c r="H9" i="27"/>
  <c r="B9" i="27"/>
  <c r="C9" i="27" s="1" a="1"/>
  <c r="C9" i="27" s="1"/>
  <c r="A9" i="27"/>
  <c r="AF8" i="27"/>
  <c r="AE8" i="27"/>
  <c r="AD8" i="27"/>
  <c r="AC8" i="27"/>
  <c r="AB8" i="27"/>
  <c r="AA8" i="27"/>
  <c r="Z8" i="27"/>
  <c r="Y8" i="27"/>
  <c r="X8" i="27"/>
  <c r="W8" i="27"/>
  <c r="U8" i="27"/>
  <c r="T8" i="27"/>
  <c r="S8" i="27"/>
  <c r="R8" i="27"/>
  <c r="Q8" i="27"/>
  <c r="P8" i="27"/>
  <c r="N8" i="27"/>
  <c r="J8" i="27"/>
  <c r="I8" i="27"/>
  <c r="H8" i="27"/>
  <c r="B8" i="27"/>
  <c r="C8" i="27" s="1" a="1"/>
  <c r="C8" i="27" s="1"/>
  <c r="A8" i="27"/>
  <c r="AH7" i="27"/>
  <c r="AG7" i="27"/>
  <c r="AF7" i="27"/>
  <c r="AE7" i="27"/>
  <c r="AD7" i="27"/>
  <c r="AC7" i="27"/>
  <c r="AB7" i="27"/>
  <c r="AA7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K7" i="27"/>
  <c r="L7" i="27" s="1"/>
  <c r="J7" i="27"/>
  <c r="I7" i="27"/>
  <c r="H7" i="27"/>
  <c r="G7" i="27"/>
  <c r="F7" i="27"/>
  <c r="E7" i="27"/>
  <c r="D7" i="27"/>
  <c r="B7" i="27"/>
  <c r="A7" i="27"/>
  <c r="AF6" i="27"/>
  <c r="AE6" i="27"/>
  <c r="AD6" i="27"/>
  <c r="AC6" i="27"/>
  <c r="AB6" i="27"/>
  <c r="AA6" i="27"/>
  <c r="Z6" i="27"/>
  <c r="Y6" i="27"/>
  <c r="T6" i="27"/>
  <c r="S6" i="27"/>
  <c r="R6" i="27"/>
  <c r="Q6" i="27"/>
  <c r="P6" i="27"/>
  <c r="J6" i="27"/>
  <c r="I6" i="27"/>
  <c r="H6" i="27"/>
  <c r="B6" i="27"/>
  <c r="C6" i="27" s="1" a="1"/>
  <c r="C6" i="27" s="1"/>
  <c r="A6" i="27"/>
  <c r="AF5" i="27"/>
  <c r="AE5" i="27"/>
  <c r="AD5" i="27"/>
  <c r="AC5" i="27"/>
  <c r="AB5" i="27"/>
  <c r="AA5" i="27"/>
  <c r="J5" i="27"/>
  <c r="I5" i="27"/>
  <c r="H5" i="27"/>
  <c r="B5" i="27"/>
  <c r="C5" i="27" s="1" a="1"/>
  <c r="C5" i="27" s="1"/>
  <c r="A5" i="27"/>
  <c r="AF4" i="27"/>
  <c r="AE4" i="27"/>
  <c r="AD4" i="27"/>
  <c r="AC4" i="27"/>
  <c r="AB4" i="27"/>
  <c r="AA4" i="27"/>
  <c r="Z4" i="27"/>
  <c r="Y4" i="27"/>
  <c r="X4" i="27"/>
  <c r="W4" i="27"/>
  <c r="U4" i="27"/>
  <c r="T4" i="27"/>
  <c r="S4" i="27"/>
  <c r="R4" i="27"/>
  <c r="Q4" i="27"/>
  <c r="P4" i="27"/>
  <c r="O4" i="27"/>
  <c r="J4" i="27"/>
  <c r="I4" i="27"/>
  <c r="H4" i="27"/>
  <c r="B4" i="27"/>
  <c r="C4" i="27" s="1" a="1"/>
  <c r="C4" i="27" s="1"/>
  <c r="A4" i="27"/>
  <c r="AF3" i="27"/>
  <c r="AE3" i="27"/>
  <c r="AD3" i="27"/>
  <c r="AC3" i="27"/>
  <c r="AB3" i="27"/>
  <c r="AA3" i="27"/>
  <c r="Z3" i="27"/>
  <c r="Y3" i="27"/>
  <c r="X3" i="27"/>
  <c r="W3" i="27"/>
  <c r="U3" i="27"/>
  <c r="T3" i="27"/>
  <c r="S3" i="27"/>
  <c r="R3" i="27"/>
  <c r="Q3" i="27"/>
  <c r="P3" i="27"/>
  <c r="O3" i="27"/>
  <c r="J3" i="27"/>
  <c r="I3" i="27"/>
  <c r="H3" i="27"/>
  <c r="B3" i="27"/>
  <c r="C3" i="27" s="1" a="1"/>
  <c r="C3" i="27" s="1"/>
  <c r="A3" i="27"/>
  <c r="AF2" i="27"/>
  <c r="AE2" i="27"/>
  <c r="AD2" i="27"/>
  <c r="AC2" i="27"/>
  <c r="AB2" i="27"/>
  <c r="AA2" i="27"/>
  <c r="Z2" i="27"/>
  <c r="Y2" i="27"/>
  <c r="T2" i="27"/>
  <c r="S2" i="27"/>
  <c r="R2" i="27"/>
  <c r="Q2" i="27"/>
  <c r="O2" i="27"/>
  <c r="J2" i="27"/>
  <c r="I2" i="27"/>
  <c r="H2" i="27"/>
  <c r="B2" i="27"/>
  <c r="A2" i="27"/>
  <c r="F6" i="27" l="1"/>
  <c r="Q8" i="28" s="1"/>
  <c r="G6" i="27"/>
  <c r="K6" i="27"/>
  <c r="L6" i="27" s="1"/>
  <c r="M19" i="28"/>
  <c r="M16" i="28"/>
  <c r="P9" i="28"/>
  <c r="N16" i="11"/>
  <c r="Q13" i="11"/>
  <c r="P8" i="16"/>
  <c r="O9" i="16"/>
  <c r="Q11" i="16"/>
  <c r="Q13" i="16"/>
  <c r="R15" i="16"/>
  <c r="S26" i="16"/>
  <c r="P33" i="16"/>
  <c r="S42" i="16"/>
  <c r="Q53" i="16"/>
  <c r="Q59" i="16"/>
  <c r="M7" i="28"/>
  <c r="O13" i="28"/>
  <c r="Q9" i="28"/>
  <c r="N14" i="11"/>
  <c r="M20" i="28"/>
  <c r="M12" i="28"/>
  <c r="O18" i="28"/>
  <c r="P21" i="28"/>
  <c r="P13" i="28"/>
  <c r="R13" i="28"/>
  <c r="M12" i="11"/>
  <c r="N6" i="11"/>
  <c r="P10" i="11"/>
  <c r="P12" i="28"/>
  <c r="M18" i="28"/>
  <c r="N13" i="28"/>
  <c r="M9" i="11"/>
  <c r="O13" i="11"/>
  <c r="Q16" i="11"/>
  <c r="M11" i="11"/>
  <c r="O14" i="11"/>
  <c r="P8" i="11"/>
  <c r="S17" i="16"/>
  <c r="M10" i="28"/>
  <c r="N21" i="28"/>
  <c r="P19" i="28"/>
  <c r="Q22" i="28"/>
  <c r="Q12" i="28"/>
  <c r="R21" i="28"/>
  <c r="M17" i="28"/>
  <c r="M9" i="28"/>
  <c r="N20" i="28"/>
  <c r="N12" i="28"/>
  <c r="P18" i="28"/>
  <c r="Q20" i="28"/>
  <c r="R20" i="28"/>
  <c r="N4" i="11"/>
  <c r="O11" i="11"/>
  <c r="Q15" i="11"/>
  <c r="P52" i="16"/>
  <c r="P54" i="16"/>
  <c r="R63" i="16"/>
  <c r="Q69" i="16"/>
  <c r="S70" i="16"/>
  <c r="P73" i="16"/>
  <c r="S75" i="16"/>
  <c r="O76" i="16"/>
  <c r="S78" i="16"/>
  <c r="Q79" i="16"/>
  <c r="Q80" i="16"/>
  <c r="Q81" i="16"/>
  <c r="R88" i="16"/>
  <c r="P90" i="16"/>
  <c r="P97" i="16"/>
  <c r="R102" i="16"/>
  <c r="Q104" i="16"/>
  <c r="R109" i="16"/>
  <c r="R110" i="16"/>
  <c r="R111" i="16"/>
  <c r="R113" i="16"/>
  <c r="P116" i="16"/>
  <c r="Q117" i="16"/>
  <c r="M11" i="28"/>
  <c r="N22" i="28"/>
  <c r="O9" i="28"/>
  <c r="Q14" i="28"/>
  <c r="N19" i="28"/>
  <c r="O14" i="28"/>
  <c r="R19" i="28"/>
  <c r="R10" i="16"/>
  <c r="P44" i="16"/>
  <c r="Q8" i="11"/>
  <c r="P6" i="16"/>
  <c r="Q8" i="16"/>
  <c r="S10" i="16"/>
  <c r="R11" i="16"/>
  <c r="R13" i="16"/>
  <c r="O17" i="16"/>
  <c r="R23" i="16"/>
  <c r="P25" i="16"/>
  <c r="P27" i="16"/>
  <c r="S28" i="16"/>
  <c r="S29" i="16"/>
  <c r="Q33" i="16"/>
  <c r="S39" i="16"/>
  <c r="Q43" i="16"/>
  <c r="Q44" i="16"/>
  <c r="P45" i="16"/>
  <c r="P51" i="16"/>
  <c r="R22" i="28"/>
  <c r="S12" i="16"/>
  <c r="R31" i="16"/>
  <c r="Q23" i="16"/>
  <c r="R57" i="16"/>
  <c r="R62" i="16"/>
  <c r="M15" i="28"/>
  <c r="N18" i="28"/>
  <c r="O21" i="28"/>
  <c r="Q18" i="28"/>
  <c r="R18" i="28"/>
  <c r="P9" i="16"/>
  <c r="M22" i="28"/>
  <c r="M14" i="28"/>
  <c r="M6" i="28"/>
  <c r="N9" i="28"/>
  <c r="O20" i="28"/>
  <c r="O12" i="28"/>
  <c r="N9" i="11"/>
  <c r="P16" i="11"/>
  <c r="N14" i="28"/>
  <c r="P20" i="28"/>
  <c r="R12" i="28"/>
  <c r="M8" i="28"/>
  <c r="O22" i="28"/>
  <c r="Q19" i="28"/>
  <c r="R39" i="16"/>
  <c r="P43" i="16"/>
  <c r="R56" i="16"/>
  <c r="C2" i="27" a="1"/>
  <c r="C2" i="27" s="1"/>
  <c r="M4" i="28" s="1"/>
  <c r="R8" i="28"/>
  <c r="Q13" i="28"/>
  <c r="Q21" i="28"/>
  <c r="R9" i="28"/>
  <c r="M21" i="28"/>
  <c r="M13" i="28"/>
  <c r="M5" i="28"/>
  <c r="N8" i="28"/>
  <c r="O19" i="28"/>
  <c r="P22" i="28"/>
  <c r="P14" i="28"/>
  <c r="R14" i="28"/>
  <c r="Q12" i="11"/>
  <c r="P7" i="11"/>
  <c r="P15" i="11"/>
  <c r="O10" i="11"/>
  <c r="N5" i="11"/>
  <c r="N13" i="11"/>
  <c r="M8" i="11"/>
  <c r="M16" i="11"/>
  <c r="Q6" i="11"/>
  <c r="Q14" i="11"/>
  <c r="P9" i="11"/>
  <c r="P4" i="11"/>
  <c r="O12" i="11"/>
  <c r="N7" i="11"/>
  <c r="N15" i="11"/>
  <c r="M10" i="11"/>
  <c r="Q9" i="11"/>
  <c r="Q4" i="11"/>
  <c r="P12" i="11"/>
  <c r="O7" i="11"/>
  <c r="O15" i="11"/>
  <c r="N10" i="11"/>
  <c r="M5" i="11"/>
  <c r="M13" i="11"/>
  <c r="Q10" i="11"/>
  <c r="P5" i="11"/>
  <c r="P13" i="11"/>
  <c r="O8" i="11"/>
  <c r="O16" i="11"/>
  <c r="N11" i="11"/>
  <c r="M6" i="11"/>
  <c r="M14" i="11"/>
  <c r="Q11" i="11"/>
  <c r="P6" i="11"/>
  <c r="P14" i="11"/>
  <c r="O9" i="11"/>
  <c r="O4" i="11"/>
  <c r="N12" i="11"/>
  <c r="M7" i="11"/>
  <c r="M15" i="11"/>
  <c r="U2" i="31"/>
  <c r="N2" i="31"/>
  <c r="M4" i="11"/>
  <c r="N8" i="11"/>
  <c r="P11" i="11"/>
  <c r="Q5" i="11"/>
  <c r="Q5" i="16"/>
  <c r="R6" i="16"/>
  <c r="S8" i="16"/>
  <c r="R9" i="16"/>
  <c r="S11" i="16"/>
  <c r="S13" i="16"/>
  <c r="P14" i="16"/>
  <c r="S5" i="16"/>
  <c r="P7" i="16"/>
  <c r="Q12" i="16"/>
  <c r="R14" i="16"/>
  <c r="R16" i="16"/>
  <c r="R22" i="16"/>
  <c r="Q24" i="16"/>
  <c r="P26" i="16"/>
  <c r="P28" i="16"/>
  <c r="P29" i="16"/>
  <c r="O29" i="16"/>
  <c r="S32" i="16"/>
  <c r="R36" i="16"/>
  <c r="Q38" i="16"/>
  <c r="R55" i="16"/>
  <c r="Q42" i="16"/>
  <c r="S45" i="16"/>
  <c r="R46" i="16"/>
  <c r="Q47" i="16"/>
  <c r="R48" i="16"/>
  <c r="R49" i="16"/>
  <c r="S50" i="16"/>
  <c r="R58" i="16"/>
  <c r="S61" i="16"/>
  <c r="Q75" i="16"/>
  <c r="P77" i="16"/>
  <c r="P78" i="16"/>
  <c r="S101" i="16"/>
  <c r="S114" i="16"/>
  <c r="R118" i="16"/>
  <c r="R119" i="16"/>
  <c r="R120" i="16"/>
  <c r="R121" i="16"/>
  <c r="R123" i="16"/>
  <c r="N123" i="16"/>
  <c r="N115" i="16"/>
  <c r="N107" i="16"/>
  <c r="N99" i="16"/>
  <c r="N91" i="16"/>
  <c r="N83" i="16"/>
  <c r="N75" i="16"/>
  <c r="N67" i="16"/>
  <c r="N59" i="16"/>
  <c r="N51" i="16"/>
  <c r="N43" i="16"/>
  <c r="N35" i="16"/>
  <c r="N27" i="16"/>
  <c r="N19" i="16"/>
  <c r="N11" i="16"/>
  <c r="O120" i="16"/>
  <c r="O68" i="16"/>
  <c r="P123" i="16"/>
  <c r="P87" i="16"/>
  <c r="P60" i="16"/>
  <c r="Q112" i="16"/>
  <c r="Q74" i="16"/>
  <c r="Q20" i="16"/>
  <c r="R86" i="16"/>
  <c r="R21" i="16"/>
  <c r="S96" i="16"/>
  <c r="S64" i="16"/>
  <c r="Q7" i="16"/>
  <c r="P10" i="16"/>
  <c r="R12" i="16"/>
  <c r="P15" i="16"/>
  <c r="S16" i="16"/>
  <c r="R18" i="16"/>
  <c r="P31" i="16"/>
  <c r="R24" i="16"/>
  <c r="Q26" i="16"/>
  <c r="Q28" i="16"/>
  <c r="Q29" i="16"/>
  <c r="S34" i="16"/>
  <c r="S36" i="16"/>
  <c r="S37" i="16"/>
  <c r="R38" i="16"/>
  <c r="P39" i="16"/>
  <c r="R42" i="16"/>
  <c r="R47" i="16"/>
  <c r="S49" i="16"/>
  <c r="P56" i="16"/>
  <c r="P57" i="16"/>
  <c r="S58" i="16"/>
  <c r="P62" i="16"/>
  <c r="P63" i="16"/>
  <c r="O63" i="16"/>
  <c r="S66" i="16"/>
  <c r="R70" i="16"/>
  <c r="R75" i="16"/>
  <c r="Q77" i="16"/>
  <c r="Q78" i="16"/>
  <c r="P88" i="16"/>
  <c r="S122" i="16"/>
  <c r="S93" i="16"/>
  <c r="S94" i="16"/>
  <c r="P102" i="16"/>
  <c r="S105" i="16"/>
  <c r="S106" i="16"/>
  <c r="S107" i="16"/>
  <c r="S108" i="16"/>
  <c r="P109" i="16"/>
  <c r="P110" i="16"/>
  <c r="P111" i="16"/>
  <c r="O111" i="16"/>
  <c r="N122" i="16"/>
  <c r="N114" i="16"/>
  <c r="N106" i="16"/>
  <c r="N98" i="16"/>
  <c r="N90" i="16"/>
  <c r="N82" i="16"/>
  <c r="N74" i="16"/>
  <c r="N66" i="16"/>
  <c r="N58" i="16"/>
  <c r="N50" i="16"/>
  <c r="N42" i="16"/>
  <c r="N34" i="16"/>
  <c r="N26" i="16"/>
  <c r="N18" i="16"/>
  <c r="N10" i="16"/>
  <c r="O115" i="16"/>
  <c r="O67" i="16"/>
  <c r="P115" i="16"/>
  <c r="P86" i="16"/>
  <c r="P35" i="16"/>
  <c r="Q100" i="16"/>
  <c r="Q72" i="16"/>
  <c r="Q18" i="16"/>
  <c r="R85" i="16"/>
  <c r="R20" i="16"/>
  <c r="S87" i="16"/>
  <c r="S60" i="16"/>
  <c r="R7" i="16"/>
  <c r="Q10" i="16"/>
  <c r="P11" i="16"/>
  <c r="P13" i="16"/>
  <c r="O13" i="16"/>
  <c r="S14" i="16"/>
  <c r="Q15" i="16"/>
  <c r="Q31" i="16"/>
  <c r="S22" i="16"/>
  <c r="P23" i="16"/>
  <c r="R26" i="16"/>
  <c r="R28" i="16"/>
  <c r="S38" i="16"/>
  <c r="Q39" i="16"/>
  <c r="S55" i="16"/>
  <c r="S47" i="16"/>
  <c r="S48" i="16"/>
  <c r="P53" i="16"/>
  <c r="O54" i="16"/>
  <c r="Q56" i="16"/>
  <c r="Q57" i="16"/>
  <c r="P59" i="16"/>
  <c r="Q62" i="16"/>
  <c r="Q63" i="16"/>
  <c r="P69" i="16"/>
  <c r="R77" i="16"/>
  <c r="R78" i="16"/>
  <c r="P79" i="16"/>
  <c r="P80" i="16"/>
  <c r="P81" i="16"/>
  <c r="O81" i="16"/>
  <c r="Q88" i="16"/>
  <c r="Q102" i="16"/>
  <c r="P104" i="16"/>
  <c r="Q109" i="16"/>
  <c r="Q110" i="16"/>
  <c r="Q111" i="16"/>
  <c r="P117" i="16"/>
  <c r="S118" i="16"/>
  <c r="S119" i="16"/>
  <c r="S120" i="16"/>
  <c r="S121" i="16"/>
  <c r="N121" i="16"/>
  <c r="N113" i="16"/>
  <c r="N105" i="16"/>
  <c r="N97" i="16"/>
  <c r="N89" i="16"/>
  <c r="N81" i="16"/>
  <c r="N73" i="16"/>
  <c r="N65" i="16"/>
  <c r="N57" i="16"/>
  <c r="N49" i="16"/>
  <c r="N41" i="16"/>
  <c r="N33" i="16"/>
  <c r="N25" i="16"/>
  <c r="N17" i="16"/>
  <c r="N9" i="16"/>
  <c r="O112" i="16"/>
  <c r="O64" i="16"/>
  <c r="P113" i="16"/>
  <c r="P85" i="16"/>
  <c r="P21" i="16"/>
  <c r="Q99" i="16"/>
  <c r="Q68" i="16"/>
  <c r="Q17" i="16"/>
  <c r="R74" i="16"/>
  <c r="S123" i="16"/>
  <c r="S86" i="16"/>
  <c r="S46" i="16"/>
  <c r="N120" i="16"/>
  <c r="N112" i="16"/>
  <c r="N104" i="16"/>
  <c r="N96" i="16"/>
  <c r="N88" i="16"/>
  <c r="N80" i="16"/>
  <c r="N72" i="16"/>
  <c r="N64" i="16"/>
  <c r="N56" i="16"/>
  <c r="N48" i="16"/>
  <c r="N40" i="16"/>
  <c r="N32" i="16"/>
  <c r="N24" i="16"/>
  <c r="N16" i="16"/>
  <c r="N8" i="16"/>
  <c r="O98" i="16"/>
  <c r="O56" i="16"/>
  <c r="P112" i="16"/>
  <c r="P74" i="16"/>
  <c r="P20" i="16"/>
  <c r="Q98" i="16"/>
  <c r="Q67" i="16"/>
  <c r="R100" i="16"/>
  <c r="R72" i="16"/>
  <c r="S113" i="16"/>
  <c r="S85" i="16"/>
  <c r="S35" i="16"/>
  <c r="Q52" i="16"/>
  <c r="R53" i="16"/>
  <c r="Q54" i="16"/>
  <c r="R59" i="16"/>
  <c r="P61" i="16"/>
  <c r="P103" i="16"/>
  <c r="R69" i="16"/>
  <c r="Q73" i="16"/>
  <c r="P76" i="16"/>
  <c r="S77" i="16"/>
  <c r="R79" i="16"/>
  <c r="R80" i="16"/>
  <c r="R81" i="16"/>
  <c r="P82" i="16"/>
  <c r="Q90" i="16"/>
  <c r="Q97" i="16"/>
  <c r="P101" i="16"/>
  <c r="R104" i="16"/>
  <c r="Q116" i="16"/>
  <c r="R117" i="16"/>
  <c r="N119" i="16"/>
  <c r="N111" i="16"/>
  <c r="N103" i="16"/>
  <c r="N95" i="16"/>
  <c r="N87" i="16"/>
  <c r="N79" i="16"/>
  <c r="N71" i="16"/>
  <c r="N63" i="16"/>
  <c r="N55" i="16"/>
  <c r="N47" i="16"/>
  <c r="N39" i="16"/>
  <c r="N31" i="16"/>
  <c r="N23" i="16"/>
  <c r="N15" i="16"/>
  <c r="N7" i="16"/>
  <c r="O91" i="16"/>
  <c r="O35" i="16"/>
  <c r="P100" i="16"/>
  <c r="P72" i="16"/>
  <c r="P18" i="16"/>
  <c r="Q96" i="16"/>
  <c r="Q64" i="16"/>
  <c r="R99" i="16"/>
  <c r="R68" i="16"/>
  <c r="S112" i="16"/>
  <c r="S74" i="16"/>
  <c r="S21" i="16"/>
  <c r="P5" i="16"/>
  <c r="Q6" i="16"/>
  <c r="R8" i="16"/>
  <c r="Q9" i="16"/>
  <c r="S15" i="16"/>
  <c r="Q25" i="16"/>
  <c r="Q27" i="16"/>
  <c r="P32" i="16"/>
  <c r="R33" i="16"/>
  <c r="P34" i="16"/>
  <c r="P37" i="16"/>
  <c r="O37" i="16"/>
  <c r="R43" i="16"/>
  <c r="R44" i="16"/>
  <c r="Q45" i="16"/>
  <c r="P50" i="16"/>
  <c r="Q51" i="16"/>
  <c r="R52" i="16"/>
  <c r="S53" i="16"/>
  <c r="R54" i="16"/>
  <c r="S56" i="16"/>
  <c r="S57" i="16"/>
  <c r="Q61" i="16"/>
  <c r="S62" i="16"/>
  <c r="S63" i="16"/>
  <c r="P66" i="16"/>
  <c r="R73" i="16"/>
  <c r="Q76" i="16"/>
  <c r="Q82" i="16"/>
  <c r="S88" i="16"/>
  <c r="R90" i="16"/>
  <c r="P122" i="16"/>
  <c r="P93" i="16"/>
  <c r="P94" i="16"/>
  <c r="R97" i="16"/>
  <c r="Q101" i="16"/>
  <c r="S102" i="16"/>
  <c r="S104" i="16"/>
  <c r="P105" i="16"/>
  <c r="P106" i="16"/>
  <c r="P107" i="16"/>
  <c r="P108" i="16"/>
  <c r="S109" i="16"/>
  <c r="S110" i="16"/>
  <c r="S111" i="16"/>
  <c r="P114" i="16"/>
  <c r="Q115" i="16"/>
  <c r="R116" i="16"/>
  <c r="N118" i="16"/>
  <c r="N110" i="16"/>
  <c r="N102" i="16"/>
  <c r="N94" i="16"/>
  <c r="N86" i="16"/>
  <c r="N78" i="16"/>
  <c r="N70" i="16"/>
  <c r="N62" i="16"/>
  <c r="N54" i="16"/>
  <c r="N46" i="16"/>
  <c r="N38" i="16"/>
  <c r="N30" i="16"/>
  <c r="N22" i="16"/>
  <c r="N14" i="16"/>
  <c r="N6" i="16"/>
  <c r="O75" i="16"/>
  <c r="O24" i="16"/>
  <c r="P99" i="16"/>
  <c r="P68" i="16"/>
  <c r="P17" i="16"/>
  <c r="Q87" i="16"/>
  <c r="Q60" i="16"/>
  <c r="R98" i="16"/>
  <c r="R67" i="16"/>
  <c r="S100" i="16"/>
  <c r="S72" i="16"/>
  <c r="S20" i="16"/>
  <c r="P16" i="16"/>
  <c r="P22" i="16"/>
  <c r="S23" i="16"/>
  <c r="R25" i="16"/>
  <c r="R27" i="16"/>
  <c r="Q32" i="16"/>
  <c r="S33" i="16"/>
  <c r="Q34" i="16"/>
  <c r="P36" i="16"/>
  <c r="Q37" i="16"/>
  <c r="O38" i="16"/>
  <c r="S44" i="16"/>
  <c r="R45" i="16"/>
  <c r="P46" i="16"/>
  <c r="P48" i="16"/>
  <c r="P49" i="16"/>
  <c r="Q50" i="16"/>
  <c r="R51" i="16"/>
  <c r="S52" i="16"/>
  <c r="S54" i="16"/>
  <c r="P58" i="16"/>
  <c r="S59" i="16"/>
  <c r="R61" i="16"/>
  <c r="R103" i="16"/>
  <c r="Q66" i="16"/>
  <c r="S69" i="16"/>
  <c r="S73" i="16"/>
  <c r="R76" i="16"/>
  <c r="S79" i="16"/>
  <c r="S80" i="16"/>
  <c r="S81" i="16"/>
  <c r="R82" i="16"/>
  <c r="S90" i="16"/>
  <c r="Q91" i="16"/>
  <c r="Q94" i="16"/>
  <c r="S97" i="16"/>
  <c r="R101" i="16"/>
  <c r="Q105" i="16"/>
  <c r="Q106" i="16"/>
  <c r="Q107" i="16"/>
  <c r="Q108" i="16"/>
  <c r="R112" i="16"/>
  <c r="Q114" i="16"/>
  <c r="R115" i="16"/>
  <c r="S116" i="16"/>
  <c r="S117" i="16"/>
  <c r="P118" i="16"/>
  <c r="P119" i="16"/>
  <c r="P120" i="16"/>
  <c r="P121" i="16"/>
  <c r="N117" i="16"/>
  <c r="N109" i="16"/>
  <c r="N101" i="16"/>
  <c r="N93" i="16"/>
  <c r="N85" i="16"/>
  <c r="N77" i="16"/>
  <c r="N69" i="16"/>
  <c r="N61" i="16"/>
  <c r="N53" i="16"/>
  <c r="N45" i="16"/>
  <c r="N37" i="16"/>
  <c r="N29" i="16"/>
  <c r="N21" i="16"/>
  <c r="N13" i="16"/>
  <c r="N5" i="16"/>
  <c r="O74" i="16"/>
  <c r="O21" i="16"/>
  <c r="P98" i="16"/>
  <c r="P67" i="16"/>
  <c r="Q123" i="16"/>
  <c r="Q86" i="16"/>
  <c r="Q35" i="16"/>
  <c r="R96" i="16"/>
  <c r="R64" i="16"/>
  <c r="S99" i="16"/>
  <c r="S68" i="16"/>
  <c r="S18" i="16"/>
  <c r="R5" i="16"/>
  <c r="S6" i="16"/>
  <c r="S9" i="16"/>
  <c r="P12" i="16"/>
  <c r="Q14" i="16"/>
  <c r="Q16" i="16"/>
  <c r="R17" i="16"/>
  <c r="Q22" i="16"/>
  <c r="P24" i="16"/>
  <c r="S25" i="16"/>
  <c r="S27" i="16"/>
  <c r="R32" i="16"/>
  <c r="R34" i="16"/>
  <c r="Q36" i="16"/>
  <c r="R37" i="16"/>
  <c r="P38" i="16"/>
  <c r="Q55" i="16"/>
  <c r="P42" i="16"/>
  <c r="S43" i="16"/>
  <c r="Q46" i="16"/>
  <c r="P47" i="16"/>
  <c r="Q48" i="16"/>
  <c r="Q49" i="16"/>
  <c r="R50" i="16"/>
  <c r="S51" i="16"/>
  <c r="Q58" i="16"/>
  <c r="R60" i="16"/>
  <c r="S103" i="16"/>
  <c r="R66" i="16"/>
  <c r="P70" i="16"/>
  <c r="P75" i="16"/>
  <c r="S76" i="16"/>
  <c r="S82" i="16"/>
  <c r="R122" i="16"/>
  <c r="R93" i="16"/>
  <c r="R94" i="16"/>
  <c r="R105" i="16"/>
  <c r="R106" i="16"/>
  <c r="R107" i="16"/>
  <c r="R108" i="16"/>
  <c r="R114" i="16"/>
  <c r="S115" i="16"/>
  <c r="Q118" i="16"/>
  <c r="Q119" i="16"/>
  <c r="Q120" i="16"/>
  <c r="Q121" i="16"/>
  <c r="N4" i="16"/>
  <c r="N116" i="16"/>
  <c r="N108" i="16"/>
  <c r="N100" i="16"/>
  <c r="N92" i="16"/>
  <c r="N84" i="16"/>
  <c r="N76" i="16"/>
  <c r="N68" i="16"/>
  <c r="N60" i="16"/>
  <c r="N52" i="16"/>
  <c r="N44" i="16"/>
  <c r="N36" i="16"/>
  <c r="N28" i="16"/>
  <c r="N20" i="16"/>
  <c r="N12" i="16"/>
  <c r="O123" i="16"/>
  <c r="O72" i="16"/>
  <c r="O20" i="16"/>
  <c r="P96" i="16"/>
  <c r="P64" i="16"/>
  <c r="Q113" i="16"/>
  <c r="Q85" i="16"/>
  <c r="Q21" i="16"/>
  <c r="R87" i="16"/>
  <c r="R35" i="16"/>
  <c r="S98" i="16"/>
  <c r="S67" i="16"/>
  <c r="O96" i="16"/>
  <c r="O32" i="16"/>
  <c r="P91" i="16"/>
  <c r="P19" i="16"/>
  <c r="R40" i="16"/>
  <c r="P40" i="16"/>
  <c r="O88" i="16"/>
  <c r="R91" i="16"/>
  <c r="O83" i="16"/>
  <c r="Q40" i="16"/>
  <c r="M2" i="33"/>
  <c r="P2" i="33" s="1"/>
  <c r="M27" i="33"/>
  <c r="O80" i="16"/>
  <c r="O51" i="16"/>
  <c r="O19" i="16"/>
  <c r="P83" i="16"/>
  <c r="M79" i="33"/>
  <c r="Q79" i="33" s="1"/>
  <c r="O104" i="16"/>
  <c r="O43" i="16"/>
  <c r="O11" i="16"/>
  <c r="M7" i="33"/>
  <c r="N7" i="33" s="1"/>
  <c r="O99" i="16"/>
  <c r="O40" i="16"/>
  <c r="M74" i="33"/>
  <c r="P74" i="33" s="1"/>
  <c r="M109" i="33"/>
  <c r="W109" i="33" s="1"/>
  <c r="M36" i="33"/>
  <c r="Y36" i="33" s="1"/>
  <c r="Q83" i="16"/>
  <c r="M75" i="33"/>
  <c r="O77" i="16"/>
  <c r="M16" i="33"/>
  <c r="O16" i="33" s="1"/>
  <c r="O18" i="16"/>
  <c r="O69" i="16"/>
  <c r="M67" i="33"/>
  <c r="O16" i="16"/>
  <c r="Q19" i="16"/>
  <c r="R83" i="16"/>
  <c r="S31" i="16"/>
  <c r="S19" i="16"/>
  <c r="M111" i="33"/>
  <c r="W111" i="33" s="1"/>
  <c r="O113" i="16"/>
  <c r="Q103" i="16"/>
  <c r="Q65" i="16"/>
  <c r="M64" i="33"/>
  <c r="O66" i="16"/>
  <c r="W66" i="33"/>
  <c r="O66" i="33"/>
  <c r="N66" i="33"/>
  <c r="T96" i="33"/>
  <c r="N96" i="33"/>
  <c r="M114" i="33"/>
  <c r="O116" i="16"/>
  <c r="O59" i="16"/>
  <c r="O27" i="16"/>
  <c r="M8" i="33"/>
  <c r="N8" i="33" s="1"/>
  <c r="O10" i="16"/>
  <c r="O6" i="16"/>
  <c r="M4" i="33"/>
  <c r="W4" i="33" s="1"/>
  <c r="S7" i="16"/>
  <c r="S83" i="16"/>
  <c r="M21" i="33"/>
  <c r="W21" i="33" s="1"/>
  <c r="O23" i="16"/>
  <c r="R29" i="16"/>
  <c r="R30" i="16"/>
  <c r="R84" i="16"/>
  <c r="O107" i="16"/>
  <c r="M39" i="33"/>
  <c r="N39" i="33" s="1"/>
  <c r="O55" i="16"/>
  <c r="O41" i="16"/>
  <c r="M56" i="33"/>
  <c r="W56" i="33" s="1"/>
  <c r="O58" i="16"/>
  <c r="T53" i="33"/>
  <c r="N53" i="33"/>
  <c r="M83" i="33"/>
  <c r="W83" i="33" s="1"/>
  <c r="O85" i="16"/>
  <c r="O86" i="16"/>
  <c r="M84" i="33"/>
  <c r="M103" i="33"/>
  <c r="O105" i="16"/>
  <c r="M104" i="33"/>
  <c r="O106" i="16"/>
  <c r="M106" i="33"/>
  <c r="O108" i="16"/>
  <c r="M112" i="33"/>
  <c r="O114" i="16"/>
  <c r="R19" i="16"/>
  <c r="U79" i="33"/>
  <c r="O8" i="16"/>
  <c r="P55" i="16"/>
  <c r="P41" i="16"/>
  <c r="M45" i="33"/>
  <c r="O47" i="16"/>
  <c r="M23" i="33"/>
  <c r="N23" i="33" s="1"/>
  <c r="O25" i="16"/>
  <c r="M15" i="33"/>
  <c r="P15" i="33" s="1"/>
  <c r="M51" i="33"/>
  <c r="X51" i="33" s="1"/>
  <c r="O53" i="16"/>
  <c r="Q70" i="16"/>
  <c r="Q71" i="16"/>
  <c r="Q122" i="16"/>
  <c r="Q92" i="16"/>
  <c r="Q93" i="16"/>
  <c r="Q95" i="16"/>
  <c r="O48" i="16"/>
  <c r="O72" i="33"/>
  <c r="W72" i="33"/>
  <c r="O100" i="16"/>
  <c r="O92" i="16"/>
  <c r="O84" i="16"/>
  <c r="O60" i="16"/>
  <c r="O52" i="16"/>
  <c r="O44" i="16"/>
  <c r="O36" i="16"/>
  <c r="O28" i="16"/>
  <c r="O12" i="16"/>
  <c r="P92" i="16"/>
  <c r="P84" i="16"/>
  <c r="Q84" i="16"/>
  <c r="R92" i="16"/>
  <c r="S92" i="16"/>
  <c r="S84" i="16"/>
  <c r="S91" i="16"/>
  <c r="O122" i="16"/>
  <c r="O90" i="16"/>
  <c r="O82" i="16"/>
  <c r="O50" i="16"/>
  <c r="O42" i="16"/>
  <c r="O34" i="16"/>
  <c r="O26" i="16"/>
  <c r="O121" i="16"/>
  <c r="O97" i="16"/>
  <c r="O89" i="16"/>
  <c r="O73" i="16"/>
  <c r="O65" i="16"/>
  <c r="O57" i="16"/>
  <c r="O49" i="16"/>
  <c r="O33" i="16"/>
  <c r="P89" i="16"/>
  <c r="P65" i="16"/>
  <c r="Q89" i="16"/>
  <c r="Q41" i="16"/>
  <c r="R89" i="16"/>
  <c r="R65" i="16"/>
  <c r="R41" i="16"/>
  <c r="S89" i="16"/>
  <c r="S65" i="16"/>
  <c r="S41" i="16"/>
  <c r="S40" i="16"/>
  <c r="O119" i="16"/>
  <c r="O103" i="16"/>
  <c r="O95" i="16"/>
  <c r="O87" i="16"/>
  <c r="O79" i="16"/>
  <c r="O71" i="16"/>
  <c r="O39" i="16"/>
  <c r="O31" i="16"/>
  <c r="O15" i="16"/>
  <c r="O7" i="16"/>
  <c r="P95" i="16"/>
  <c r="P71" i="16"/>
  <c r="R95" i="16"/>
  <c r="R71" i="16"/>
  <c r="S95" i="16"/>
  <c r="S71" i="16"/>
  <c r="O118" i="16"/>
  <c r="O110" i="16"/>
  <c r="O102" i="16"/>
  <c r="O94" i="16"/>
  <c r="O78" i="16"/>
  <c r="O70" i="16"/>
  <c r="O62" i="16"/>
  <c r="O46" i="16"/>
  <c r="O30" i="16"/>
  <c r="O22" i="16"/>
  <c r="O14" i="16"/>
  <c r="P30" i="16"/>
  <c r="Q30" i="16"/>
  <c r="S30" i="16"/>
  <c r="M11" i="33"/>
  <c r="P11" i="33" s="1"/>
  <c r="M35" i="33"/>
  <c r="X35" i="33" s="1"/>
  <c r="N52" i="33"/>
  <c r="O117" i="16"/>
  <c r="O109" i="16"/>
  <c r="O101" i="16"/>
  <c r="O93" i="16"/>
  <c r="O61" i="16"/>
  <c r="O45" i="16"/>
  <c r="O5" i="16"/>
  <c r="W6" i="33"/>
  <c r="Q6" i="33"/>
  <c r="Y6" i="33"/>
  <c r="N6" i="33"/>
  <c r="V6" i="33"/>
  <c r="W115" i="33"/>
  <c r="N115" i="33"/>
  <c r="V115" i="33"/>
  <c r="W5" i="33"/>
  <c r="N5" i="33"/>
  <c r="V5" i="33"/>
  <c r="P5" i="33"/>
  <c r="U3" i="33"/>
  <c r="Z3" i="33"/>
  <c r="N3" i="33"/>
  <c r="Y3" i="33"/>
  <c r="O3" i="33"/>
  <c r="W3" i="33"/>
  <c r="V3" i="33"/>
  <c r="Y37" i="33"/>
  <c r="N37" i="33"/>
  <c r="R37" i="33"/>
  <c r="X37" i="33"/>
  <c r="W81" i="33"/>
  <c r="X81" i="33"/>
  <c r="P81" i="33"/>
  <c r="N81" i="33"/>
  <c r="V81" i="33"/>
  <c r="AA8" i="33"/>
  <c r="P80" i="33"/>
  <c r="Q80" i="33"/>
  <c r="W80" i="33"/>
  <c r="N80" i="33"/>
  <c r="X120" i="33"/>
  <c r="Y120" i="33"/>
  <c r="AA120" i="33"/>
  <c r="S120" i="33"/>
  <c r="Q120" i="33"/>
  <c r="N35" i="33"/>
  <c r="V35" i="33"/>
  <c r="X52" i="33"/>
  <c r="O53" i="33"/>
  <c r="N111" i="33"/>
  <c r="X36" i="33"/>
  <c r="O111" i="33"/>
  <c r="N4" i="33"/>
  <c r="O4" i="33"/>
  <c r="V53" i="33"/>
  <c r="O2" i="33"/>
  <c r="Y7" i="33"/>
  <c r="W53" i="33"/>
  <c r="N57" i="33"/>
  <c r="W57" i="33"/>
  <c r="O57" i="33"/>
  <c r="W13" i="33"/>
  <c r="O13" i="33"/>
  <c r="N13" i="33"/>
  <c r="W71" i="33"/>
  <c r="O71" i="33"/>
  <c r="N71" i="33"/>
  <c r="P71" i="33"/>
  <c r="Q100" i="33"/>
  <c r="P100" i="33"/>
  <c r="W100" i="33"/>
  <c r="O100" i="33"/>
  <c r="N100" i="33"/>
  <c r="T100" i="33"/>
  <c r="Y102" i="33"/>
  <c r="Q102" i="33"/>
  <c r="X102" i="33"/>
  <c r="P102" i="33"/>
  <c r="W102" i="33"/>
  <c r="O102" i="33"/>
  <c r="V102" i="33"/>
  <c r="N102" i="33"/>
  <c r="U102" i="33"/>
  <c r="T102" i="33"/>
  <c r="S102" i="33"/>
  <c r="R102" i="33"/>
  <c r="W95" i="33"/>
  <c r="N95" i="33"/>
  <c r="T95" i="33"/>
  <c r="W22" i="33"/>
  <c r="O22" i="33"/>
  <c r="N22" i="33"/>
  <c r="W24" i="33"/>
  <c r="O24" i="33"/>
  <c r="N24" i="33"/>
  <c r="S97" i="33"/>
  <c r="N97" i="33"/>
  <c r="Y97" i="33"/>
  <c r="N17" i="33"/>
  <c r="O17" i="33"/>
  <c r="W17" i="33"/>
  <c r="P76" i="33"/>
  <c r="W76" i="33"/>
  <c r="O76" i="33"/>
  <c r="V76" i="33"/>
  <c r="N76" i="33"/>
  <c r="W92" i="33"/>
  <c r="O92" i="33"/>
  <c r="N92" i="33"/>
  <c r="Q92" i="33"/>
  <c r="X92" i="33"/>
  <c r="P92" i="33"/>
  <c r="W63" i="33"/>
  <c r="O63" i="33"/>
  <c r="P63" i="33"/>
  <c r="V63" i="33"/>
  <c r="N63" i="33"/>
  <c r="U63" i="33"/>
  <c r="R63" i="33"/>
  <c r="T63" i="33"/>
  <c r="Z63" i="33"/>
  <c r="AA63" i="33"/>
  <c r="S63" i="33"/>
  <c r="X63" i="33"/>
  <c r="Y63" i="33"/>
  <c r="Q63" i="33"/>
  <c r="Y42" i="33"/>
  <c r="Q42" i="33"/>
  <c r="X42" i="33"/>
  <c r="P42" i="33"/>
  <c r="Z42" i="33"/>
  <c r="W42" i="33"/>
  <c r="O42" i="33"/>
  <c r="V42" i="33"/>
  <c r="N42" i="33"/>
  <c r="U42" i="33"/>
  <c r="T42" i="33"/>
  <c r="R42" i="33"/>
  <c r="AA42" i="33"/>
  <c r="S42" i="33"/>
  <c r="X14" i="33"/>
  <c r="W14" i="33"/>
  <c r="O14" i="33"/>
  <c r="V14" i="33"/>
  <c r="N14" i="33"/>
  <c r="Y14" i="33"/>
  <c r="Y10" i="33"/>
  <c r="O10" i="33"/>
  <c r="N10" i="33"/>
  <c r="X10" i="33"/>
  <c r="P10" i="33"/>
  <c r="X12" i="33"/>
  <c r="P12" i="33"/>
  <c r="W12" i="33"/>
  <c r="O12" i="33"/>
  <c r="N12" i="33"/>
  <c r="W23" i="33"/>
  <c r="O23" i="33"/>
  <c r="W25" i="33"/>
  <c r="O25" i="33"/>
  <c r="N25" i="33"/>
  <c r="S32" i="33"/>
  <c r="N32" i="33"/>
  <c r="Q32" i="33"/>
  <c r="W32" i="33"/>
  <c r="O32" i="33"/>
  <c r="X32" i="33"/>
  <c r="P32" i="33"/>
  <c r="V32" i="33"/>
  <c r="T32" i="33"/>
  <c r="X43" i="33"/>
  <c r="P43" i="33"/>
  <c r="W43" i="33"/>
  <c r="O43" i="33"/>
  <c r="AA43" i="33"/>
  <c r="Q43" i="33"/>
  <c r="V43" i="33"/>
  <c r="N43" i="33"/>
  <c r="Y43" i="33"/>
  <c r="U43" i="33"/>
  <c r="T43" i="33"/>
  <c r="S43" i="33"/>
  <c r="Z43" i="33"/>
  <c r="R43" i="33"/>
  <c r="W39" i="33"/>
  <c r="O39" i="33"/>
  <c r="V39" i="33"/>
  <c r="X39" i="33"/>
  <c r="P39" i="33"/>
  <c r="X44" i="33"/>
  <c r="P44" i="33"/>
  <c r="W44" i="33"/>
  <c r="O44" i="33"/>
  <c r="Y44" i="33"/>
  <c r="V44" i="33"/>
  <c r="N44" i="33"/>
  <c r="U44" i="33"/>
  <c r="T44" i="33"/>
  <c r="AA44" i="33"/>
  <c r="S44" i="33"/>
  <c r="Q44" i="33"/>
  <c r="Z44" i="33"/>
  <c r="R44" i="33"/>
  <c r="N83" i="33"/>
  <c r="T83" i="33"/>
  <c r="N88" i="33"/>
  <c r="Y88" i="33"/>
  <c r="P88" i="33"/>
  <c r="W88" i="33"/>
  <c r="O88" i="33"/>
  <c r="P3" i="33"/>
  <c r="O5" i="33"/>
  <c r="O6" i="33"/>
  <c r="W8" i="33"/>
  <c r="N9" i="33"/>
  <c r="N29" i="33"/>
  <c r="N30" i="33"/>
  <c r="V30" i="33"/>
  <c r="N31" i="33"/>
  <c r="Q36" i="33"/>
  <c r="P53" i="33"/>
  <c r="X53" i="33"/>
  <c r="N55" i="33"/>
  <c r="N59" i="33"/>
  <c r="O67" i="33"/>
  <c r="P79" i="33"/>
  <c r="O81" i="33"/>
  <c r="N86" i="33"/>
  <c r="O96" i="33"/>
  <c r="W96" i="33"/>
  <c r="T99" i="33"/>
  <c r="O106" i="33"/>
  <c r="O115" i="33"/>
  <c r="R120" i="33"/>
  <c r="Z120" i="33"/>
  <c r="U121" i="33"/>
  <c r="W29" i="33"/>
  <c r="O30" i="33"/>
  <c r="O55" i="33"/>
  <c r="O56" i="33"/>
  <c r="W59" i="33"/>
  <c r="X30" i="33"/>
  <c r="P31" i="33"/>
  <c r="N73" i="33"/>
  <c r="N74" i="33"/>
  <c r="P86" i="33"/>
  <c r="X86" i="33"/>
  <c r="N99" i="33"/>
  <c r="T120" i="33"/>
  <c r="N121" i="33"/>
  <c r="O9" i="33"/>
  <c r="W31" i="33"/>
  <c r="P30" i="33"/>
  <c r="X31" i="33"/>
  <c r="V40" i="33"/>
  <c r="O11" i="33"/>
  <c r="W11" i="33"/>
  <c r="O20" i="33"/>
  <c r="W20" i="33"/>
  <c r="Y30" i="33"/>
  <c r="O40" i="33"/>
  <c r="W40" i="33"/>
  <c r="O73" i="33"/>
  <c r="W74" i="33"/>
  <c r="U120" i="33"/>
  <c r="O121" i="33"/>
  <c r="N11" i="33"/>
  <c r="N20" i="33"/>
  <c r="S7" i="33"/>
  <c r="R86" i="33"/>
  <c r="N120" i="33"/>
  <c r="V120" i="33"/>
  <c r="W30" i="33"/>
  <c r="O86" i="33"/>
  <c r="S30" i="33"/>
  <c r="O120" i="33"/>
  <c r="W120" i="33"/>
  <c r="P120" i="33"/>
  <c r="U6" i="31"/>
  <c r="M6" i="31"/>
  <c r="T6" i="31"/>
  <c r="L6" i="31"/>
  <c r="S6" i="31"/>
  <c r="R6" i="31"/>
  <c r="Y6" i="31"/>
  <c r="Q6" i="31"/>
  <c r="W6" i="31"/>
  <c r="X6" i="31"/>
  <c r="P6" i="31"/>
  <c r="V6" i="31"/>
  <c r="N6" i="31"/>
  <c r="W3" i="31"/>
  <c r="L3" i="31"/>
  <c r="S3" i="31"/>
  <c r="U12" i="31"/>
  <c r="T12" i="31"/>
  <c r="L12" i="31"/>
  <c r="M4" i="31"/>
  <c r="U4" i="31"/>
  <c r="L4" i="31"/>
  <c r="W8" i="31"/>
  <c r="U8" i="31"/>
  <c r="M8" i="31"/>
  <c r="T8" i="31"/>
  <c r="L8" i="31"/>
  <c r="T5" i="31"/>
  <c r="L5" i="31"/>
  <c r="Q5" i="31"/>
  <c r="N5" i="31"/>
  <c r="U5" i="31"/>
  <c r="M5" i="31"/>
  <c r="U9" i="31"/>
  <c r="M9" i="31"/>
  <c r="L9" i="31"/>
  <c r="W7" i="31"/>
  <c r="L2" i="31"/>
  <c r="T2" i="31"/>
  <c r="L10" i="31"/>
  <c r="M2" i="31"/>
  <c r="U10" i="31"/>
  <c r="L7" i="31"/>
  <c r="K13" i="27"/>
  <c r="L13" i="27" s="1"/>
  <c r="AH13" i="27"/>
  <c r="AG13" i="27"/>
  <c r="G13" i="27"/>
  <c r="R15" i="28" s="1"/>
  <c r="F13" i="27"/>
  <c r="Q15" i="28" s="1"/>
  <c r="E13" i="27"/>
  <c r="P15" i="28" s="1"/>
  <c r="D13" i="27"/>
  <c r="O15" i="28" s="1"/>
  <c r="X18" i="27"/>
  <c r="V18" i="27"/>
  <c r="N18" i="27"/>
  <c r="U18" i="27"/>
  <c r="M18" i="27"/>
  <c r="AG9" i="27"/>
  <c r="G9" i="27"/>
  <c r="R11" i="28" s="1"/>
  <c r="F9" i="27"/>
  <c r="Q11" i="28" s="1"/>
  <c r="E9" i="27"/>
  <c r="P11" i="28" s="1"/>
  <c r="D9" i="27"/>
  <c r="O11" i="28" s="1"/>
  <c r="K9" i="27"/>
  <c r="L9" i="27" s="1"/>
  <c r="AH9" i="27"/>
  <c r="K5" i="27"/>
  <c r="L5" i="27" s="1"/>
  <c r="AH5" i="27"/>
  <c r="AG5" i="27"/>
  <c r="G5" i="27"/>
  <c r="R7" i="28" s="1"/>
  <c r="F5" i="27"/>
  <c r="Q7" i="28" s="1"/>
  <c r="E5" i="27"/>
  <c r="P7" i="28" s="1"/>
  <c r="D5" i="27"/>
  <c r="O7" i="28" s="1"/>
  <c r="V10" i="27"/>
  <c r="N10" i="27"/>
  <c r="M10" i="27"/>
  <c r="S10" i="27"/>
  <c r="D4" i="27"/>
  <c r="O6" i="28" s="1"/>
  <c r="K4" i="27"/>
  <c r="L4" i="27" s="1"/>
  <c r="AH4" i="27"/>
  <c r="E4" i="27"/>
  <c r="P6" i="28" s="1"/>
  <c r="AG4" i="27"/>
  <c r="F4" i="27"/>
  <c r="Q6" i="28" s="1"/>
  <c r="G4" i="27"/>
  <c r="R6" i="28" s="1"/>
  <c r="Q19" i="27"/>
  <c r="X19" i="27"/>
  <c r="W19" i="27"/>
  <c r="M19" i="27"/>
  <c r="X6" i="27"/>
  <c r="V6" i="27"/>
  <c r="N6" i="27"/>
  <c r="U6" i="27"/>
  <c r="M6" i="27"/>
  <c r="O6" i="27"/>
  <c r="W6" i="27"/>
  <c r="D8" i="27"/>
  <c r="O10" i="28" s="1"/>
  <c r="AH8" i="27"/>
  <c r="AG8" i="27"/>
  <c r="G8" i="27"/>
  <c r="R10" i="28" s="1"/>
  <c r="F8" i="27"/>
  <c r="Q10" i="28" s="1"/>
  <c r="K8" i="27"/>
  <c r="L8" i="27" s="1"/>
  <c r="E8" i="27"/>
  <c r="P10" i="28" s="1"/>
  <c r="AG3" i="27"/>
  <c r="G3" i="27"/>
  <c r="R5" i="28" s="1"/>
  <c r="E3" i="27"/>
  <c r="P5" i="28" s="1"/>
  <c r="F3" i="27"/>
  <c r="Q5" i="28" s="1"/>
  <c r="D3" i="27"/>
  <c r="O5" i="28" s="1"/>
  <c r="K3" i="27"/>
  <c r="L3" i="27" s="1"/>
  <c r="AH3" i="27"/>
  <c r="E15" i="27"/>
  <c r="P17" i="28" s="1"/>
  <c r="D15" i="27"/>
  <c r="O17" i="28" s="1"/>
  <c r="K15" i="27"/>
  <c r="L15" i="27" s="1"/>
  <c r="AH15" i="27"/>
  <c r="AG15" i="27"/>
  <c r="G15" i="27"/>
  <c r="R17" i="28" s="1"/>
  <c r="F15" i="27"/>
  <c r="Q17" i="28" s="1"/>
  <c r="K2" i="27"/>
  <c r="L2" i="27" s="1"/>
  <c r="AH2" i="27"/>
  <c r="AG2" i="27"/>
  <c r="G2" i="27"/>
  <c r="R4" i="28" s="1"/>
  <c r="F2" i="27"/>
  <c r="Q4" i="28" s="1"/>
  <c r="D2" i="27"/>
  <c r="O4" i="28" s="1"/>
  <c r="E2" i="27"/>
  <c r="P4" i="28" s="1"/>
  <c r="V12" i="27"/>
  <c r="M12" i="27"/>
  <c r="O12" i="27"/>
  <c r="O11" i="27"/>
  <c r="V11" i="27"/>
  <c r="M11" i="27"/>
  <c r="S17" i="27"/>
  <c r="O17" i="27"/>
  <c r="V17" i="27"/>
  <c r="N17" i="27"/>
  <c r="M17" i="27"/>
  <c r="P20" i="27"/>
  <c r="O20" i="27"/>
  <c r="V20" i="27"/>
  <c r="M20" i="27"/>
  <c r="W16" i="27"/>
  <c r="O16" i="27"/>
  <c r="V16" i="27"/>
  <c r="N16" i="27"/>
  <c r="M16" i="27"/>
  <c r="G14" i="27"/>
  <c r="R16" i="28" s="1"/>
  <c r="F14" i="27"/>
  <c r="Q16" i="28" s="1"/>
  <c r="E14" i="27"/>
  <c r="P16" i="28" s="1"/>
  <c r="D14" i="27"/>
  <c r="O16" i="28" s="1"/>
  <c r="K14" i="27"/>
  <c r="L14" i="27" s="1"/>
  <c r="AH14" i="27"/>
  <c r="AG14" i="27"/>
  <c r="AG6" i="27"/>
  <c r="AH6" i="27"/>
  <c r="E6" i="27"/>
  <c r="P8" i="28" s="1"/>
  <c r="D6" i="27"/>
  <c r="O8" i="28" s="1"/>
  <c r="N17" i="28" l="1"/>
  <c r="N15" i="28"/>
  <c r="N11" i="28"/>
  <c r="N4" i="28"/>
  <c r="N10" i="28"/>
  <c r="N6" i="28"/>
  <c r="N56" i="33"/>
  <c r="O7" i="33"/>
  <c r="V7" i="33"/>
  <c r="Q7" i="33"/>
  <c r="W16" i="33"/>
  <c r="W15" i="33"/>
  <c r="N21" i="33"/>
  <c r="X7" i="33"/>
  <c r="N51" i="33"/>
  <c r="T7" i="33"/>
  <c r="V16" i="33"/>
  <c r="O21" i="33"/>
  <c r="W2" i="33"/>
  <c r="O51" i="33"/>
  <c r="N5" i="28"/>
  <c r="O8" i="33"/>
  <c r="W7" i="33"/>
  <c r="S16" i="33"/>
  <c r="P7" i="33"/>
  <c r="V109" i="33"/>
  <c r="N16" i="33"/>
  <c r="O83" i="33"/>
  <c r="T39" i="33"/>
  <c r="N2" i="33"/>
  <c r="T51" i="33"/>
  <c r="N79" i="33"/>
  <c r="N109" i="33"/>
  <c r="N15" i="33"/>
  <c r="X79" i="33"/>
  <c r="Y51" i="33"/>
  <c r="W79" i="33"/>
  <c r="R36" i="33"/>
  <c r="N36" i="33"/>
  <c r="P8" i="33"/>
  <c r="N16" i="28"/>
  <c r="N7" i="28"/>
  <c r="S51" i="33"/>
  <c r="W106" i="33"/>
  <c r="P106" i="33"/>
  <c r="N106" i="33"/>
  <c r="W67" i="33"/>
  <c r="N67" i="33"/>
  <c r="W35" i="33"/>
  <c r="V8" i="33"/>
  <c r="O35" i="33"/>
  <c r="P35" i="33"/>
  <c r="V4" i="27"/>
  <c r="M4" i="27"/>
  <c r="N4" i="27"/>
  <c r="X2" i="27"/>
  <c r="W2" i="27"/>
  <c r="P2" i="27"/>
  <c r="V2" i="27"/>
  <c r="N2" i="27"/>
  <c r="U2" i="27"/>
  <c r="M2" i="27"/>
  <c r="O8" i="27"/>
  <c r="V8" i="27"/>
  <c r="M8" i="27"/>
  <c r="V14" i="27"/>
  <c r="N14" i="27"/>
  <c r="M14" i="27"/>
  <c r="N3" i="27"/>
  <c r="V3" i="27"/>
  <c r="M3" i="27"/>
  <c r="R5" i="27"/>
  <c r="Y5" i="27"/>
  <c r="Q5" i="27"/>
  <c r="X5" i="27"/>
  <c r="W5" i="27"/>
  <c r="P5" i="27"/>
  <c r="N5" i="27"/>
  <c r="O5" i="27"/>
  <c r="V5" i="27"/>
  <c r="U5" i="27"/>
  <c r="M5" i="27"/>
  <c r="Z5" i="27"/>
  <c r="T5" i="27"/>
  <c r="S5" i="27"/>
  <c r="M15" i="27"/>
  <c r="V15" i="27"/>
  <c r="N15" i="27"/>
  <c r="O13" i="27"/>
  <c r="V13" i="27"/>
  <c r="M13" i="27"/>
  <c r="AH20" i="18" l="1"/>
  <c r="AG20" i="18"/>
  <c r="AF20" i="18"/>
  <c r="AE20" i="18"/>
  <c r="AD20" i="18"/>
  <c r="AC20" i="18"/>
  <c r="AB20" i="18"/>
  <c r="AA20" i="18"/>
  <c r="Z20" i="18"/>
  <c r="Y20" i="18"/>
  <c r="X20" i="18"/>
  <c r="W20" i="18"/>
  <c r="U20" i="18"/>
  <c r="T20" i="18"/>
  <c r="S20" i="18"/>
  <c r="R20" i="18"/>
  <c r="Q20" i="18"/>
  <c r="N20" i="18"/>
  <c r="K20" i="18"/>
  <c r="L20" i="18" s="1"/>
  <c r="J20" i="18"/>
  <c r="I20" i="18"/>
  <c r="H20" i="18"/>
  <c r="G20" i="18"/>
  <c r="F20" i="18"/>
  <c r="E20" i="18"/>
  <c r="D20" i="18"/>
  <c r="B20" i="18"/>
  <c r="AH19" i="18"/>
  <c r="AG19" i="18"/>
  <c r="AF19" i="18"/>
  <c r="AE19" i="18"/>
  <c r="AD19" i="18"/>
  <c r="AC19" i="18"/>
  <c r="AB19" i="18"/>
  <c r="AA19" i="18"/>
  <c r="Z19" i="18"/>
  <c r="Y19" i="18"/>
  <c r="V19" i="18"/>
  <c r="U19" i="18"/>
  <c r="T19" i="18"/>
  <c r="S19" i="18"/>
  <c r="R19" i="18"/>
  <c r="P19" i="18"/>
  <c r="O19" i="18"/>
  <c r="N19" i="18"/>
  <c r="K19" i="18"/>
  <c r="L19" i="18" s="1"/>
  <c r="J19" i="18"/>
  <c r="I19" i="18"/>
  <c r="H19" i="18"/>
  <c r="G19" i="18"/>
  <c r="F19" i="18"/>
  <c r="E19" i="18"/>
  <c r="D19" i="18"/>
  <c r="B19" i="18"/>
  <c r="AH18" i="18"/>
  <c r="AG18" i="18"/>
  <c r="AF18" i="18"/>
  <c r="AE18" i="18"/>
  <c r="AD18" i="18"/>
  <c r="AC18" i="18"/>
  <c r="AB18" i="18"/>
  <c r="AA18" i="18"/>
  <c r="Z18" i="18"/>
  <c r="Y18" i="18"/>
  <c r="W18" i="18"/>
  <c r="T18" i="18"/>
  <c r="S18" i="18"/>
  <c r="R18" i="18"/>
  <c r="Q18" i="18"/>
  <c r="P18" i="18"/>
  <c r="O18" i="18"/>
  <c r="K18" i="18"/>
  <c r="L18" i="18" s="1"/>
  <c r="J18" i="18"/>
  <c r="I18" i="18"/>
  <c r="H18" i="18"/>
  <c r="G18" i="18"/>
  <c r="F18" i="18"/>
  <c r="E18" i="18"/>
  <c r="D18" i="18"/>
  <c r="B18" i="18"/>
  <c r="A18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U17" i="18"/>
  <c r="T17" i="18"/>
  <c r="R17" i="18"/>
  <c r="Q17" i="18"/>
  <c r="P17" i="18"/>
  <c r="K17" i="18"/>
  <c r="L17" i="18" s="1"/>
  <c r="S17" i="18" s="1"/>
  <c r="J17" i="18"/>
  <c r="I17" i="18"/>
  <c r="H17" i="18"/>
  <c r="G17" i="18"/>
  <c r="F17" i="18"/>
  <c r="E17" i="18"/>
  <c r="D17" i="18"/>
  <c r="B17" i="18"/>
  <c r="A17" i="18"/>
  <c r="AH16" i="18"/>
  <c r="AG16" i="18"/>
  <c r="AF16" i="18"/>
  <c r="AE16" i="18"/>
  <c r="AD16" i="18"/>
  <c r="AC16" i="18"/>
  <c r="AB16" i="18"/>
  <c r="AA16" i="18"/>
  <c r="Z16" i="18"/>
  <c r="Y16" i="18"/>
  <c r="X16" i="18"/>
  <c r="U16" i="18"/>
  <c r="T16" i="18"/>
  <c r="S16" i="18"/>
  <c r="R16" i="18"/>
  <c r="Q16" i="18"/>
  <c r="P16" i="18"/>
  <c r="K16" i="18"/>
  <c r="L16" i="18" s="1"/>
  <c r="J16" i="18"/>
  <c r="I16" i="18"/>
  <c r="H16" i="18"/>
  <c r="G16" i="18"/>
  <c r="F16" i="18"/>
  <c r="E16" i="18"/>
  <c r="D16" i="18"/>
  <c r="B16" i="18"/>
  <c r="A16" i="18"/>
  <c r="AF15" i="18"/>
  <c r="AE15" i="18"/>
  <c r="AD15" i="18"/>
  <c r="AC15" i="18"/>
  <c r="AB15" i="18"/>
  <c r="AA15" i="18"/>
  <c r="Z15" i="18"/>
  <c r="Y15" i="18"/>
  <c r="X15" i="18"/>
  <c r="W15" i="18"/>
  <c r="U15" i="18"/>
  <c r="T15" i="18"/>
  <c r="S15" i="18"/>
  <c r="R15" i="18"/>
  <c r="Q15" i="18"/>
  <c r="P15" i="18"/>
  <c r="O15" i="18"/>
  <c r="J15" i="18"/>
  <c r="I15" i="18"/>
  <c r="H15" i="18"/>
  <c r="B15" i="18"/>
  <c r="C15" i="18" s="1" a="1"/>
  <c r="C15" i="18" s="1"/>
  <c r="A15" i="18"/>
  <c r="AF14" i="18"/>
  <c r="AE14" i="18"/>
  <c r="AD14" i="18"/>
  <c r="AC14" i="18"/>
  <c r="AB14" i="18"/>
  <c r="AA14" i="18"/>
  <c r="Z14" i="18"/>
  <c r="Y14" i="18"/>
  <c r="X14" i="18"/>
  <c r="W14" i="18"/>
  <c r="U14" i="18"/>
  <c r="T14" i="18"/>
  <c r="S14" i="18"/>
  <c r="R14" i="18"/>
  <c r="Q14" i="18"/>
  <c r="P14" i="18"/>
  <c r="O14" i="18"/>
  <c r="J14" i="18"/>
  <c r="I14" i="18"/>
  <c r="H14" i="18"/>
  <c r="B14" i="18"/>
  <c r="C14" i="18" s="1" a="1"/>
  <c r="C14" i="18" s="1"/>
  <c r="A14" i="18"/>
  <c r="AF13" i="18"/>
  <c r="AE13" i="18"/>
  <c r="AD13" i="18"/>
  <c r="AC13" i="18"/>
  <c r="AB13" i="18"/>
  <c r="AA13" i="18"/>
  <c r="Z13" i="18"/>
  <c r="Y13" i="18"/>
  <c r="X13" i="18"/>
  <c r="W13" i="18"/>
  <c r="U13" i="18"/>
  <c r="T13" i="18"/>
  <c r="S13" i="18"/>
  <c r="R13" i="18"/>
  <c r="Q13" i="18"/>
  <c r="P13" i="18"/>
  <c r="N13" i="18"/>
  <c r="J13" i="18"/>
  <c r="I13" i="18"/>
  <c r="H13" i="18"/>
  <c r="C13" i="18" a="1"/>
  <c r="C13" i="18" s="1"/>
  <c r="B13" i="18"/>
  <c r="A13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U12" i="18"/>
  <c r="T12" i="18"/>
  <c r="S12" i="18"/>
  <c r="R12" i="18"/>
  <c r="Q12" i="18"/>
  <c r="P12" i="18"/>
  <c r="N12" i="18"/>
  <c r="K12" i="18"/>
  <c r="L12" i="18" s="1"/>
  <c r="J12" i="18"/>
  <c r="I12" i="18"/>
  <c r="H12" i="18"/>
  <c r="G12" i="18"/>
  <c r="F12" i="18"/>
  <c r="E12" i="18"/>
  <c r="D12" i="18"/>
  <c r="B12" i="18"/>
  <c r="A12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U11" i="18"/>
  <c r="T11" i="18"/>
  <c r="S11" i="18"/>
  <c r="R11" i="18"/>
  <c r="Q11" i="18"/>
  <c r="P11" i="18"/>
  <c r="N11" i="18"/>
  <c r="K11" i="18"/>
  <c r="L11" i="18" s="1"/>
  <c r="J11" i="18"/>
  <c r="I11" i="18"/>
  <c r="H11" i="18"/>
  <c r="G11" i="18"/>
  <c r="F11" i="18"/>
  <c r="E11" i="18"/>
  <c r="D11" i="18"/>
  <c r="B11" i="18"/>
  <c r="A11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U10" i="18"/>
  <c r="T10" i="18"/>
  <c r="R10" i="18"/>
  <c r="Q10" i="18"/>
  <c r="P10" i="18"/>
  <c r="O10" i="18"/>
  <c r="K10" i="18"/>
  <c r="L10" i="18" s="1"/>
  <c r="V10" i="18" s="1"/>
  <c r="J10" i="18"/>
  <c r="I10" i="18"/>
  <c r="H10" i="18"/>
  <c r="G10" i="18"/>
  <c r="F10" i="18"/>
  <c r="E10" i="18"/>
  <c r="D10" i="18"/>
  <c r="B10" i="18"/>
  <c r="A10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J9" i="18"/>
  <c r="I9" i="18"/>
  <c r="H9" i="18"/>
  <c r="C9" i="18" a="1"/>
  <c r="C9" i="18" s="1"/>
  <c r="B9" i="18"/>
  <c r="A9" i="18"/>
  <c r="AF8" i="18"/>
  <c r="AE8" i="18"/>
  <c r="AD8" i="18"/>
  <c r="AC8" i="18"/>
  <c r="AB8" i="18"/>
  <c r="AA8" i="18"/>
  <c r="Z8" i="18"/>
  <c r="Y8" i="18"/>
  <c r="X8" i="18"/>
  <c r="W8" i="18"/>
  <c r="U8" i="18"/>
  <c r="T8" i="18"/>
  <c r="S8" i="18"/>
  <c r="R8" i="18"/>
  <c r="Q8" i="18"/>
  <c r="P8" i="18"/>
  <c r="N8" i="18"/>
  <c r="J8" i="18"/>
  <c r="I8" i="18"/>
  <c r="H8" i="18"/>
  <c r="B8" i="18"/>
  <c r="C8" i="18" s="1" a="1"/>
  <c r="C8" i="18" s="1"/>
  <c r="A8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K7" i="18"/>
  <c r="L7" i="18" s="1"/>
  <c r="J7" i="18"/>
  <c r="I7" i="18"/>
  <c r="H7" i="18"/>
  <c r="G7" i="18"/>
  <c r="F7" i="18"/>
  <c r="E7" i="18"/>
  <c r="D7" i="18"/>
  <c r="B7" i="18"/>
  <c r="A7" i="18"/>
  <c r="AF6" i="18"/>
  <c r="AE6" i="18"/>
  <c r="AD6" i="18"/>
  <c r="AC6" i="18"/>
  <c r="AB6" i="18"/>
  <c r="AA6" i="18"/>
  <c r="Z6" i="18"/>
  <c r="Y6" i="18"/>
  <c r="T6" i="18"/>
  <c r="S6" i="18"/>
  <c r="R6" i="18"/>
  <c r="Q6" i="18"/>
  <c r="P6" i="18"/>
  <c r="J6" i="18"/>
  <c r="I6" i="18"/>
  <c r="H6" i="18"/>
  <c r="B6" i="18"/>
  <c r="C6" i="18" s="1" a="1"/>
  <c r="C6" i="18" s="1"/>
  <c r="A6" i="18"/>
  <c r="AF5" i="18"/>
  <c r="AE5" i="18"/>
  <c r="AD5" i="18"/>
  <c r="AC5" i="18"/>
  <c r="AB5" i="18"/>
  <c r="AA5" i="18"/>
  <c r="J5" i="18"/>
  <c r="I5" i="18"/>
  <c r="H5" i="18"/>
  <c r="B5" i="18"/>
  <c r="C5" i="18" s="1" a="1"/>
  <c r="C5" i="18" s="1"/>
  <c r="A5" i="18"/>
  <c r="AF4" i="18"/>
  <c r="AE4" i="18"/>
  <c r="AD4" i="18"/>
  <c r="AC4" i="18"/>
  <c r="AB4" i="18"/>
  <c r="AA4" i="18"/>
  <c r="Z4" i="18"/>
  <c r="Y4" i="18"/>
  <c r="X4" i="18"/>
  <c r="W4" i="18"/>
  <c r="U4" i="18"/>
  <c r="T4" i="18"/>
  <c r="S4" i="18"/>
  <c r="R4" i="18"/>
  <c r="Q4" i="18"/>
  <c r="P4" i="18"/>
  <c r="O4" i="18"/>
  <c r="J4" i="18"/>
  <c r="I4" i="18"/>
  <c r="H4" i="18"/>
  <c r="B4" i="18"/>
  <c r="C4" i="18" s="1" a="1"/>
  <c r="C4" i="18" s="1"/>
  <c r="A4" i="18"/>
  <c r="AF3" i="18"/>
  <c r="AE3" i="18"/>
  <c r="AD3" i="18"/>
  <c r="AC3" i="18"/>
  <c r="AB3" i="18"/>
  <c r="AA3" i="18"/>
  <c r="Z3" i="18"/>
  <c r="Y3" i="18"/>
  <c r="X3" i="18"/>
  <c r="W3" i="18"/>
  <c r="U3" i="18"/>
  <c r="T3" i="18"/>
  <c r="S3" i="18"/>
  <c r="R3" i="18"/>
  <c r="Q3" i="18"/>
  <c r="P3" i="18"/>
  <c r="O3" i="18"/>
  <c r="J3" i="18"/>
  <c r="I3" i="18"/>
  <c r="H3" i="18"/>
  <c r="B3" i="18"/>
  <c r="C3" i="18" s="1" a="1"/>
  <c r="C3" i="18" s="1"/>
  <c r="A3" i="18"/>
  <c r="AF2" i="18"/>
  <c r="AE2" i="18"/>
  <c r="AD2" i="18"/>
  <c r="AC2" i="18"/>
  <c r="AB2" i="18"/>
  <c r="AA2" i="18"/>
  <c r="Z2" i="18"/>
  <c r="Y2" i="18"/>
  <c r="T2" i="18"/>
  <c r="S2" i="18"/>
  <c r="R2" i="18"/>
  <c r="Q2" i="18"/>
  <c r="O2" i="18"/>
  <c r="J2" i="18"/>
  <c r="I2" i="18"/>
  <c r="H2" i="18"/>
  <c r="C2" i="18" a="1"/>
  <c r="C2" i="18" s="1"/>
  <c r="B2" i="18"/>
  <c r="A2" i="18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B19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B18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B17" i="7"/>
  <c r="A17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B16" i="7"/>
  <c r="A16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B15" i="7"/>
  <c r="A15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B14" i="7"/>
  <c r="C14" i="7" s="1" a="1"/>
  <c r="C14" i="7" s="1"/>
  <c r="A14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B13" i="7"/>
  <c r="C13" i="7" s="1" a="1"/>
  <c r="C13" i="7" s="1"/>
  <c r="A13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B12" i="7"/>
  <c r="C12" i="7" s="1" a="1"/>
  <c r="C12" i="7" s="1"/>
  <c r="A12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B11" i="7"/>
  <c r="A11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B10" i="7"/>
  <c r="A10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B9" i="7"/>
  <c r="A9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B8" i="7"/>
  <c r="C8" i="7" s="1" a="1"/>
  <c r="C8" i="7" s="1"/>
  <c r="A8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B7" i="7"/>
  <c r="C7" i="7" s="1" a="1"/>
  <c r="C7" i="7" s="1"/>
  <c r="A7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B6" i="7"/>
  <c r="A6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 a="1"/>
  <c r="C5" i="7" s="1"/>
  <c r="B5" i="7"/>
  <c r="A5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 a="1"/>
  <c r="C4" i="7" s="1"/>
  <c r="B4" i="7"/>
  <c r="A4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B3" i="7"/>
  <c r="C3" i="7" s="1" a="1"/>
  <c r="C3" i="7" s="1"/>
  <c r="A3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B2" i="7"/>
  <c r="C2" i="7" s="1" a="1"/>
  <c r="C2" i="7" s="1"/>
  <c r="A2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B1" i="7"/>
  <c r="C1" i="7" s="1" a="1"/>
  <c r="C1" i="7" s="1"/>
  <c r="A1" i="7"/>
  <c r="D8" i="18" l="1"/>
  <c r="E8" i="18"/>
  <c r="D2" i="18"/>
  <c r="E2" i="18"/>
  <c r="V12" i="18"/>
  <c r="M12" i="18"/>
  <c r="O12" i="18"/>
  <c r="G6" i="18"/>
  <c r="F6" i="18"/>
  <c r="E6" i="18"/>
  <c r="D6" i="18"/>
  <c r="AG6" i="18"/>
  <c r="K6" i="18"/>
  <c r="L6" i="18" s="1"/>
  <c r="AH6" i="18"/>
  <c r="Q19" i="18"/>
  <c r="X19" i="18"/>
  <c r="W19" i="18"/>
  <c r="M19" i="18"/>
  <c r="E15" i="18"/>
  <c r="D15" i="18"/>
  <c r="K15" i="18"/>
  <c r="L15" i="18" s="1"/>
  <c r="AH15" i="18"/>
  <c r="AG15" i="18"/>
  <c r="G15" i="18"/>
  <c r="F15" i="18"/>
  <c r="O11" i="18"/>
  <c r="V11" i="18"/>
  <c r="M11" i="18"/>
  <c r="F4" i="18"/>
  <c r="E4" i="18"/>
  <c r="D4" i="18"/>
  <c r="G4" i="18"/>
  <c r="K4" i="18"/>
  <c r="L4" i="18" s="1"/>
  <c r="AH4" i="18"/>
  <c r="AG4" i="18"/>
  <c r="G14" i="18"/>
  <c r="F14" i="18"/>
  <c r="E14" i="18"/>
  <c r="D14" i="18"/>
  <c r="K14" i="18"/>
  <c r="L14" i="18" s="1"/>
  <c r="AH14" i="18"/>
  <c r="AG14" i="18"/>
  <c r="P20" i="18"/>
  <c r="O20" i="18"/>
  <c r="V20" i="18"/>
  <c r="M20" i="18"/>
  <c r="W16" i="18"/>
  <c r="O16" i="18"/>
  <c r="V16" i="18"/>
  <c r="N16" i="18"/>
  <c r="M16" i="18"/>
  <c r="AG9" i="18"/>
  <c r="G9" i="18"/>
  <c r="F9" i="18"/>
  <c r="E9" i="18"/>
  <c r="AH9" i="18"/>
  <c r="D9" i="18"/>
  <c r="K9" i="18"/>
  <c r="L9" i="18" s="1"/>
  <c r="X18" i="18"/>
  <c r="V18" i="18"/>
  <c r="N18" i="18"/>
  <c r="U18" i="18"/>
  <c r="M18" i="18"/>
  <c r="AG3" i="18"/>
  <c r="G3" i="18"/>
  <c r="E3" i="18"/>
  <c r="F3" i="18"/>
  <c r="D3" i="18"/>
  <c r="K3" i="18"/>
  <c r="L3" i="18" s="1"/>
  <c r="AH3" i="18"/>
  <c r="K5" i="18"/>
  <c r="L5" i="18" s="1"/>
  <c r="AH5" i="18"/>
  <c r="AG5" i="18"/>
  <c r="G5" i="18"/>
  <c r="D5" i="18"/>
  <c r="F5" i="18"/>
  <c r="E5" i="18"/>
  <c r="K13" i="18"/>
  <c r="L13" i="18" s="1"/>
  <c r="AH13" i="18"/>
  <c r="AG13" i="18"/>
  <c r="G13" i="18"/>
  <c r="F13" i="18"/>
  <c r="E13" i="18"/>
  <c r="D13" i="18"/>
  <c r="F2" i="18"/>
  <c r="F8" i="18"/>
  <c r="M17" i="18"/>
  <c r="G2" i="18"/>
  <c r="G8" i="18"/>
  <c r="S10" i="18"/>
  <c r="N17" i="18"/>
  <c r="V17" i="18"/>
  <c r="O17" i="18"/>
  <c r="AG2" i="18"/>
  <c r="AG8" i="18"/>
  <c r="M10" i="18"/>
  <c r="AH2" i="18"/>
  <c r="AH8" i="18"/>
  <c r="N10" i="18"/>
  <c r="K8" i="18"/>
  <c r="L8" i="18" s="1"/>
  <c r="K2" i="18"/>
  <c r="L2" i="18" s="1"/>
  <c r="B39" i="15"/>
  <c r="B40" i="15" s="1"/>
  <c r="B41" i="15" s="1"/>
  <c r="B34" i="15"/>
  <c r="B35" i="15" s="1"/>
  <c r="B36" i="15" s="1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O8" i="18" l="1"/>
  <c r="M8" i="18"/>
  <c r="V8" i="18"/>
  <c r="V4" i="18"/>
  <c r="N4" i="18"/>
  <c r="M4" i="18"/>
  <c r="O13" i="18"/>
  <c r="V13" i="18"/>
  <c r="M13" i="18"/>
  <c r="V14" i="18"/>
  <c r="N14" i="18"/>
  <c r="M14" i="18"/>
  <c r="S5" i="18"/>
  <c r="Z5" i="18"/>
  <c r="R5" i="18"/>
  <c r="Y5" i="18"/>
  <c r="Q5" i="18"/>
  <c r="W5" i="18"/>
  <c r="X5" i="18"/>
  <c r="P5" i="18"/>
  <c r="O5" i="18"/>
  <c r="V5" i="18"/>
  <c r="N5" i="18"/>
  <c r="U5" i="18"/>
  <c r="M5" i="18"/>
  <c r="T5" i="18"/>
  <c r="X2" i="18"/>
  <c r="P2" i="18"/>
  <c r="U2" i="18"/>
  <c r="W2" i="18"/>
  <c r="V2" i="18"/>
  <c r="N2" i="18"/>
  <c r="M2" i="18"/>
  <c r="V3" i="18"/>
  <c r="N3" i="18"/>
  <c r="M3" i="18"/>
  <c r="M15" i="18"/>
  <c r="V15" i="18"/>
  <c r="N15" i="18"/>
  <c r="X6" i="18"/>
  <c r="W6" i="18"/>
  <c r="O6" i="18"/>
  <c r="V6" i="18"/>
  <c r="N6" i="18"/>
  <c r="U6" i="18"/>
  <c r="M6" i="18"/>
  <c r="B37" i="12"/>
  <c r="B38" i="12" s="1"/>
  <c r="B39" i="12" s="1"/>
  <c r="B32" i="12"/>
  <c r="B33" i="12" s="1"/>
  <c r="B34" i="12" s="1"/>
  <c r="B35" i="12" s="1"/>
  <c r="B24" i="12"/>
  <c r="B25" i="12" s="1"/>
  <c r="B26" i="12" s="1"/>
  <c r="B27" i="12" s="1"/>
  <c r="B28" i="12" s="1"/>
  <c r="B29" i="12" s="1"/>
  <c r="B30" i="12" s="1"/>
  <c r="AG121" i="3" l="1"/>
  <c r="AF121" i="3"/>
  <c r="AE121" i="3"/>
  <c r="AD121" i="3"/>
  <c r="AC121" i="3"/>
  <c r="AB121" i="3"/>
  <c r="AA121" i="3"/>
  <c r="Z121" i="3"/>
  <c r="Y121" i="3"/>
  <c r="X121" i="3"/>
  <c r="V121" i="3"/>
  <c r="T121" i="3"/>
  <c r="S121" i="3"/>
  <c r="R121" i="3"/>
  <c r="Q121" i="3"/>
  <c r="P121" i="3"/>
  <c r="L121" i="3"/>
  <c r="M121" i="3" s="1"/>
  <c r="K121" i="3"/>
  <c r="J121" i="3"/>
  <c r="I121" i="3"/>
  <c r="G121" i="3"/>
  <c r="F121" i="3"/>
  <c r="B121" i="3"/>
  <c r="A121" i="3"/>
  <c r="AG120" i="3"/>
  <c r="AF120" i="3"/>
  <c r="AE120" i="3"/>
  <c r="AD120" i="3"/>
  <c r="AC120" i="3"/>
  <c r="AB120" i="3"/>
  <c r="L120" i="3"/>
  <c r="M120" i="3" s="1"/>
  <c r="K120" i="3"/>
  <c r="J120" i="3"/>
  <c r="I120" i="3"/>
  <c r="H120" i="3"/>
  <c r="G120" i="3"/>
  <c r="F120" i="3"/>
  <c r="E120" i="3"/>
  <c r="D120" i="3"/>
  <c r="B120" i="3"/>
  <c r="A120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L119" i="3"/>
  <c r="M119" i="3" s="1"/>
  <c r="K119" i="3"/>
  <c r="J119" i="3"/>
  <c r="I119" i="3"/>
  <c r="H119" i="3"/>
  <c r="G119" i="3"/>
  <c r="F119" i="3"/>
  <c r="E119" i="3"/>
  <c r="D119" i="3"/>
  <c r="B119" i="3"/>
  <c r="A119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L118" i="3"/>
  <c r="M118" i="3" s="1"/>
  <c r="K118" i="3"/>
  <c r="J118" i="3"/>
  <c r="I118" i="3"/>
  <c r="H118" i="3"/>
  <c r="G118" i="3"/>
  <c r="F118" i="3"/>
  <c r="E118" i="3"/>
  <c r="D118" i="3"/>
  <c r="B118" i="3"/>
  <c r="A118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L117" i="3"/>
  <c r="M117" i="3" s="1"/>
  <c r="K117" i="3"/>
  <c r="J117" i="3"/>
  <c r="I117" i="3"/>
  <c r="H117" i="3"/>
  <c r="G117" i="3"/>
  <c r="F117" i="3"/>
  <c r="E117" i="3"/>
  <c r="D117" i="3"/>
  <c r="B117" i="3"/>
  <c r="A117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L116" i="3"/>
  <c r="M116" i="3" s="1"/>
  <c r="K116" i="3"/>
  <c r="J116" i="3"/>
  <c r="I116" i="3"/>
  <c r="H116" i="3"/>
  <c r="G116" i="3"/>
  <c r="F116" i="3"/>
  <c r="E116" i="3"/>
  <c r="D116" i="3"/>
  <c r="B116" i="3"/>
  <c r="A116" i="3"/>
  <c r="AG115" i="3"/>
  <c r="AF115" i="3"/>
  <c r="AE115" i="3"/>
  <c r="AD115" i="3"/>
  <c r="AC115" i="3"/>
  <c r="AB115" i="3"/>
  <c r="AA115" i="3"/>
  <c r="Z115" i="3"/>
  <c r="Y115" i="3"/>
  <c r="X115" i="3"/>
  <c r="U115" i="3"/>
  <c r="T115" i="3"/>
  <c r="S115" i="3"/>
  <c r="R115" i="3"/>
  <c r="Q115" i="3"/>
  <c r="P115" i="3"/>
  <c r="L115" i="3"/>
  <c r="M115" i="3" s="1"/>
  <c r="K115" i="3"/>
  <c r="J115" i="3"/>
  <c r="I115" i="3"/>
  <c r="H115" i="3"/>
  <c r="G115" i="3"/>
  <c r="F115" i="3"/>
  <c r="E115" i="3"/>
  <c r="D115" i="3"/>
  <c r="B115" i="3"/>
  <c r="A115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L114" i="3"/>
  <c r="M114" i="3" s="1"/>
  <c r="K114" i="3"/>
  <c r="J114" i="3"/>
  <c r="I114" i="3"/>
  <c r="H114" i="3"/>
  <c r="G114" i="3"/>
  <c r="F114" i="3"/>
  <c r="E114" i="3"/>
  <c r="D114" i="3"/>
  <c r="B114" i="3"/>
  <c r="A114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L113" i="3"/>
  <c r="M113" i="3" s="1"/>
  <c r="K113" i="3"/>
  <c r="J113" i="3"/>
  <c r="I113" i="3"/>
  <c r="H113" i="3"/>
  <c r="G113" i="3"/>
  <c r="F113" i="3"/>
  <c r="E113" i="3"/>
  <c r="D113" i="3"/>
  <c r="B113" i="3"/>
  <c r="A113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L112" i="3"/>
  <c r="M112" i="3" s="1"/>
  <c r="K112" i="3"/>
  <c r="J112" i="3"/>
  <c r="I112" i="3"/>
  <c r="H112" i="3"/>
  <c r="G112" i="3"/>
  <c r="F112" i="3"/>
  <c r="E112" i="3"/>
  <c r="D112" i="3"/>
  <c r="B112" i="3"/>
  <c r="A112" i="3"/>
  <c r="AG111" i="3"/>
  <c r="AF111" i="3"/>
  <c r="AE111" i="3"/>
  <c r="AD111" i="3"/>
  <c r="AC111" i="3"/>
  <c r="AB111" i="3"/>
  <c r="AA111" i="3"/>
  <c r="Z111" i="3"/>
  <c r="Y111" i="3"/>
  <c r="X111" i="3"/>
  <c r="V111" i="3"/>
  <c r="U111" i="3"/>
  <c r="T111" i="3"/>
  <c r="S111" i="3"/>
  <c r="R111" i="3"/>
  <c r="Q111" i="3"/>
  <c r="P111" i="3"/>
  <c r="L111" i="3"/>
  <c r="M111" i="3" s="1"/>
  <c r="K111" i="3"/>
  <c r="J111" i="3"/>
  <c r="I111" i="3"/>
  <c r="G111" i="3"/>
  <c r="F111" i="3"/>
  <c r="B111" i="3"/>
  <c r="A111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L110" i="3"/>
  <c r="M110" i="3" s="1"/>
  <c r="K110" i="3"/>
  <c r="J110" i="3"/>
  <c r="I110" i="3"/>
  <c r="G110" i="3"/>
  <c r="F110" i="3"/>
  <c r="B110" i="3"/>
  <c r="A110" i="3"/>
  <c r="AG109" i="3"/>
  <c r="AF109" i="3"/>
  <c r="AE109" i="3"/>
  <c r="AD109" i="3"/>
  <c r="AC109" i="3"/>
  <c r="AB109" i="3"/>
  <c r="AA109" i="3"/>
  <c r="Z109" i="3"/>
  <c r="Y109" i="3"/>
  <c r="X109" i="3"/>
  <c r="U109" i="3"/>
  <c r="T109" i="3"/>
  <c r="S109" i="3"/>
  <c r="R109" i="3"/>
  <c r="Q109" i="3"/>
  <c r="P109" i="3"/>
  <c r="O109" i="3"/>
  <c r="L109" i="3"/>
  <c r="M109" i="3" s="1"/>
  <c r="K109" i="3"/>
  <c r="J109" i="3"/>
  <c r="I109" i="3"/>
  <c r="H109" i="3"/>
  <c r="G109" i="3"/>
  <c r="F109" i="3"/>
  <c r="E109" i="3"/>
  <c r="D109" i="3"/>
  <c r="B109" i="3"/>
  <c r="A109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L108" i="3"/>
  <c r="M108" i="3" s="1"/>
  <c r="K108" i="3"/>
  <c r="J108" i="3"/>
  <c r="I108" i="3"/>
  <c r="H108" i="3"/>
  <c r="G108" i="3"/>
  <c r="F108" i="3"/>
  <c r="E108" i="3"/>
  <c r="D108" i="3"/>
  <c r="B108" i="3"/>
  <c r="A108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L107" i="3"/>
  <c r="M107" i="3" s="1"/>
  <c r="K107" i="3"/>
  <c r="J107" i="3"/>
  <c r="I107" i="3"/>
  <c r="H107" i="3"/>
  <c r="G107" i="3"/>
  <c r="F107" i="3"/>
  <c r="E107" i="3"/>
  <c r="D107" i="3"/>
  <c r="B107" i="3"/>
  <c r="A107" i="3"/>
  <c r="AG106" i="3"/>
  <c r="AF106" i="3"/>
  <c r="AE106" i="3"/>
  <c r="AD106" i="3"/>
  <c r="AC106" i="3"/>
  <c r="AB106" i="3"/>
  <c r="AA106" i="3"/>
  <c r="Z106" i="3"/>
  <c r="Y106" i="3"/>
  <c r="X106" i="3"/>
  <c r="V106" i="3"/>
  <c r="U106" i="3"/>
  <c r="T106" i="3"/>
  <c r="S106" i="3"/>
  <c r="R106" i="3"/>
  <c r="Q106" i="3"/>
  <c r="L106" i="3"/>
  <c r="M106" i="3" s="1"/>
  <c r="K106" i="3"/>
  <c r="J106" i="3"/>
  <c r="I106" i="3"/>
  <c r="H106" i="3"/>
  <c r="G106" i="3"/>
  <c r="F106" i="3"/>
  <c r="E106" i="3"/>
  <c r="D106" i="3"/>
  <c r="B106" i="3"/>
  <c r="A106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L105" i="3"/>
  <c r="M105" i="3" s="1"/>
  <c r="K105" i="3"/>
  <c r="J105" i="3"/>
  <c r="I105" i="3"/>
  <c r="H105" i="3"/>
  <c r="G105" i="3"/>
  <c r="F105" i="3"/>
  <c r="E105" i="3"/>
  <c r="D105" i="3"/>
  <c r="B105" i="3"/>
  <c r="A105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L104" i="3"/>
  <c r="M104" i="3" s="1"/>
  <c r="K104" i="3"/>
  <c r="J104" i="3"/>
  <c r="I104" i="3"/>
  <c r="H104" i="3"/>
  <c r="G104" i="3"/>
  <c r="F104" i="3"/>
  <c r="E104" i="3"/>
  <c r="D104" i="3"/>
  <c r="B104" i="3"/>
  <c r="A104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L103" i="3"/>
  <c r="M103" i="3" s="1"/>
  <c r="K103" i="3"/>
  <c r="J103" i="3"/>
  <c r="I103" i="3"/>
  <c r="H103" i="3"/>
  <c r="G103" i="3"/>
  <c r="F103" i="3"/>
  <c r="E103" i="3"/>
  <c r="D103" i="3"/>
  <c r="B103" i="3"/>
  <c r="A103" i="3"/>
  <c r="AG102" i="3"/>
  <c r="AF102" i="3"/>
  <c r="AE102" i="3"/>
  <c r="AD102" i="3"/>
  <c r="AC102" i="3"/>
  <c r="AB102" i="3"/>
  <c r="AA102" i="3"/>
  <c r="Z102" i="3"/>
  <c r="L102" i="3"/>
  <c r="M102" i="3" s="1"/>
  <c r="K102" i="3"/>
  <c r="J102" i="3"/>
  <c r="I102" i="3"/>
  <c r="H102" i="3"/>
  <c r="G102" i="3"/>
  <c r="F102" i="3"/>
  <c r="E102" i="3"/>
  <c r="D102" i="3"/>
  <c r="B102" i="3"/>
  <c r="A102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L101" i="3"/>
  <c r="M101" i="3" s="1"/>
  <c r="K101" i="3"/>
  <c r="J101" i="3"/>
  <c r="I101" i="3"/>
  <c r="H101" i="3"/>
  <c r="G101" i="3"/>
  <c r="F101" i="3"/>
  <c r="E101" i="3"/>
  <c r="D101" i="3"/>
  <c r="B101" i="3"/>
  <c r="A101" i="3"/>
  <c r="AG100" i="3"/>
  <c r="AF100" i="3"/>
  <c r="AE100" i="3"/>
  <c r="AD100" i="3"/>
  <c r="AC100" i="3"/>
  <c r="AB100" i="3"/>
  <c r="AA100" i="3"/>
  <c r="Z100" i="3"/>
  <c r="Y100" i="3"/>
  <c r="X100" i="3"/>
  <c r="V100" i="3"/>
  <c r="U100" i="3"/>
  <c r="S100" i="3"/>
  <c r="R100" i="3"/>
  <c r="L100" i="3"/>
  <c r="M100" i="3" s="1"/>
  <c r="K100" i="3"/>
  <c r="J100" i="3"/>
  <c r="I100" i="3"/>
  <c r="H100" i="3"/>
  <c r="G100" i="3"/>
  <c r="F100" i="3"/>
  <c r="E100" i="3"/>
  <c r="D100" i="3"/>
  <c r="B100" i="3"/>
  <c r="A100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S99" i="3"/>
  <c r="R99" i="3"/>
  <c r="Q99" i="3"/>
  <c r="P99" i="3"/>
  <c r="L99" i="3"/>
  <c r="M99" i="3" s="1"/>
  <c r="K99" i="3"/>
  <c r="J99" i="3"/>
  <c r="I99" i="3"/>
  <c r="H99" i="3"/>
  <c r="G99" i="3"/>
  <c r="F99" i="3"/>
  <c r="E99" i="3"/>
  <c r="D99" i="3"/>
  <c r="B99" i="3"/>
  <c r="A99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L98" i="3"/>
  <c r="M98" i="3" s="1"/>
  <c r="K98" i="3"/>
  <c r="J98" i="3"/>
  <c r="I98" i="3"/>
  <c r="G98" i="3"/>
  <c r="B98" i="3"/>
  <c r="A98" i="3"/>
  <c r="AG97" i="3"/>
  <c r="AF97" i="3"/>
  <c r="AE97" i="3"/>
  <c r="AD97" i="3"/>
  <c r="AC97" i="3"/>
  <c r="AB97" i="3"/>
  <c r="AA97" i="3"/>
  <c r="Z97" i="3"/>
  <c r="X97" i="3"/>
  <c r="W97" i="3"/>
  <c r="V97" i="3"/>
  <c r="U97" i="3"/>
  <c r="T97" i="3"/>
  <c r="R97" i="3"/>
  <c r="Q97" i="3"/>
  <c r="P97" i="3"/>
  <c r="O97" i="3"/>
  <c r="L97" i="3"/>
  <c r="M97" i="3" s="1"/>
  <c r="S97" i="3" s="1"/>
  <c r="K97" i="3"/>
  <c r="J97" i="3"/>
  <c r="I97" i="3"/>
  <c r="G97" i="3"/>
  <c r="B97" i="3"/>
  <c r="A97" i="3"/>
  <c r="AG96" i="3"/>
  <c r="AF96" i="3"/>
  <c r="AE96" i="3"/>
  <c r="AD96" i="3"/>
  <c r="AC96" i="3"/>
  <c r="AB96" i="3"/>
  <c r="AA96" i="3"/>
  <c r="Z96" i="3"/>
  <c r="Y96" i="3"/>
  <c r="X96" i="3"/>
  <c r="V96" i="3"/>
  <c r="U96" i="3"/>
  <c r="T96" i="3"/>
  <c r="S96" i="3"/>
  <c r="R96" i="3"/>
  <c r="Q96" i="3"/>
  <c r="P96" i="3"/>
  <c r="M96" i="3"/>
  <c r="W96" i="3" s="1"/>
  <c r="K96" i="3"/>
  <c r="J96" i="3"/>
  <c r="I96" i="3"/>
  <c r="G96" i="3"/>
  <c r="B96" i="3"/>
  <c r="A96" i="3"/>
  <c r="AG95" i="3"/>
  <c r="AF95" i="3"/>
  <c r="AE95" i="3"/>
  <c r="AD95" i="3"/>
  <c r="AC95" i="3"/>
  <c r="AB95" i="3"/>
  <c r="AA95" i="3"/>
  <c r="Z95" i="3"/>
  <c r="Y95" i="3"/>
  <c r="X95" i="3"/>
  <c r="V95" i="3"/>
  <c r="U95" i="3"/>
  <c r="S95" i="3"/>
  <c r="R95" i="3"/>
  <c r="Q95" i="3"/>
  <c r="P95" i="3"/>
  <c r="O95" i="3"/>
  <c r="L95" i="3"/>
  <c r="M95" i="3" s="1"/>
  <c r="K95" i="3"/>
  <c r="J95" i="3"/>
  <c r="I95" i="3"/>
  <c r="H95" i="3"/>
  <c r="G95" i="3"/>
  <c r="F95" i="3"/>
  <c r="E95" i="3"/>
  <c r="D95" i="3"/>
  <c r="B95" i="3"/>
  <c r="A95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L94" i="3"/>
  <c r="M94" i="3" s="1"/>
  <c r="K94" i="3"/>
  <c r="J94" i="3"/>
  <c r="I94" i="3"/>
  <c r="G94" i="3"/>
  <c r="B94" i="3"/>
  <c r="A94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B93" i="3"/>
  <c r="A93" i="3"/>
  <c r="AG92" i="3"/>
  <c r="AF92" i="3"/>
  <c r="AE92" i="3"/>
  <c r="AD92" i="3"/>
  <c r="AC92" i="3"/>
  <c r="AB92" i="3"/>
  <c r="AA92" i="3"/>
  <c r="Z92" i="3"/>
  <c r="Y92" i="3"/>
  <c r="V92" i="3"/>
  <c r="U92" i="3"/>
  <c r="T92" i="3"/>
  <c r="S92" i="3"/>
  <c r="R92" i="3"/>
  <c r="L92" i="3"/>
  <c r="M92" i="3" s="1"/>
  <c r="K92" i="3"/>
  <c r="J92" i="3"/>
  <c r="I92" i="3"/>
  <c r="H92" i="3"/>
  <c r="G92" i="3"/>
  <c r="F92" i="3"/>
  <c r="E92" i="3"/>
  <c r="D92" i="3"/>
  <c r="B92" i="3"/>
  <c r="A92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L91" i="3"/>
  <c r="M91" i="3" s="1"/>
  <c r="K91" i="3"/>
  <c r="J91" i="3"/>
  <c r="I91" i="3"/>
  <c r="H91" i="3"/>
  <c r="G91" i="3"/>
  <c r="F91" i="3"/>
  <c r="E91" i="3"/>
  <c r="D91" i="3"/>
  <c r="B91" i="3"/>
  <c r="A91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L90" i="3"/>
  <c r="M90" i="3" s="1"/>
  <c r="K90" i="3"/>
  <c r="J90" i="3"/>
  <c r="I90" i="3"/>
  <c r="H90" i="3"/>
  <c r="G90" i="3"/>
  <c r="F90" i="3"/>
  <c r="E90" i="3"/>
  <c r="D90" i="3"/>
  <c r="B90" i="3"/>
  <c r="A90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L89" i="3"/>
  <c r="M89" i="3" s="1"/>
  <c r="K89" i="3"/>
  <c r="J89" i="3"/>
  <c r="I89" i="3"/>
  <c r="H89" i="3"/>
  <c r="G89" i="3"/>
  <c r="F89" i="3"/>
  <c r="E89" i="3"/>
  <c r="D89" i="3"/>
  <c r="B89" i="3"/>
  <c r="A89" i="3"/>
  <c r="AG88" i="3"/>
  <c r="AF88" i="3"/>
  <c r="AE88" i="3"/>
  <c r="AD88" i="3"/>
  <c r="AC88" i="3"/>
  <c r="AB88" i="3"/>
  <c r="AA88" i="3"/>
  <c r="Z88" i="3"/>
  <c r="X88" i="3"/>
  <c r="V88" i="3"/>
  <c r="U88" i="3"/>
  <c r="T88" i="3"/>
  <c r="S88" i="3"/>
  <c r="R88" i="3"/>
  <c r="Q88" i="3"/>
  <c r="L88" i="3"/>
  <c r="M88" i="3" s="1"/>
  <c r="K88" i="3"/>
  <c r="J88" i="3"/>
  <c r="I88" i="3"/>
  <c r="H88" i="3"/>
  <c r="G88" i="3"/>
  <c r="F88" i="3"/>
  <c r="E88" i="3"/>
  <c r="D88" i="3"/>
  <c r="B88" i="3"/>
  <c r="A88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L87" i="3"/>
  <c r="M87" i="3" s="1"/>
  <c r="K87" i="3"/>
  <c r="J87" i="3"/>
  <c r="I87" i="3"/>
  <c r="H87" i="3"/>
  <c r="G87" i="3"/>
  <c r="F87" i="3"/>
  <c r="E87" i="3"/>
  <c r="D87" i="3"/>
  <c r="B87" i="3"/>
  <c r="A87" i="3"/>
  <c r="AG86" i="3"/>
  <c r="AF86" i="3"/>
  <c r="AE86" i="3"/>
  <c r="AD86" i="3"/>
  <c r="AC86" i="3"/>
  <c r="AB86" i="3"/>
  <c r="AA86" i="3"/>
  <c r="Z86" i="3"/>
  <c r="Y86" i="3"/>
  <c r="V86" i="3"/>
  <c r="U86" i="3"/>
  <c r="T86" i="3"/>
  <c r="S86" i="3"/>
  <c r="Q86" i="3"/>
  <c r="L86" i="3"/>
  <c r="M86" i="3" s="1"/>
  <c r="K86" i="3"/>
  <c r="J86" i="3"/>
  <c r="I86" i="3"/>
  <c r="H86" i="3"/>
  <c r="G86" i="3"/>
  <c r="F86" i="3"/>
  <c r="E86" i="3"/>
  <c r="D86" i="3"/>
  <c r="B86" i="3"/>
  <c r="A86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L85" i="3"/>
  <c r="M85" i="3" s="1"/>
  <c r="K85" i="3"/>
  <c r="J85" i="3"/>
  <c r="I85" i="3"/>
  <c r="G85" i="3"/>
  <c r="B85" i="3"/>
  <c r="A85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L84" i="3"/>
  <c r="M84" i="3" s="1"/>
  <c r="K84" i="3"/>
  <c r="J84" i="3"/>
  <c r="I84" i="3"/>
  <c r="G84" i="3"/>
  <c r="B84" i="3"/>
  <c r="A84" i="3"/>
  <c r="AG83" i="3"/>
  <c r="AF83" i="3"/>
  <c r="AE83" i="3"/>
  <c r="AD83" i="3"/>
  <c r="AC83" i="3"/>
  <c r="AB83" i="3"/>
  <c r="AA83" i="3"/>
  <c r="Z83" i="3"/>
  <c r="Y83" i="3"/>
  <c r="X83" i="3"/>
  <c r="V83" i="3"/>
  <c r="U83" i="3"/>
  <c r="S83" i="3"/>
  <c r="R83" i="3"/>
  <c r="Q83" i="3"/>
  <c r="P83" i="3"/>
  <c r="M83" i="3"/>
  <c r="N83" i="3" s="1"/>
  <c r="L83" i="3"/>
  <c r="K83" i="3"/>
  <c r="J83" i="3"/>
  <c r="I83" i="3"/>
  <c r="G83" i="3"/>
  <c r="B83" i="3"/>
  <c r="A83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L82" i="3"/>
  <c r="M82" i="3" s="1"/>
  <c r="K82" i="3"/>
  <c r="J82" i="3"/>
  <c r="I82" i="3"/>
  <c r="H82" i="3"/>
  <c r="G82" i="3"/>
  <c r="F82" i="3"/>
  <c r="E82" i="3"/>
  <c r="D82" i="3"/>
  <c r="B82" i="3"/>
  <c r="A82" i="3"/>
  <c r="AG81" i="3"/>
  <c r="AF81" i="3"/>
  <c r="AE81" i="3"/>
  <c r="AD81" i="3"/>
  <c r="AC81" i="3"/>
  <c r="AB81" i="3"/>
  <c r="AA81" i="3"/>
  <c r="Z81" i="3"/>
  <c r="Y81" i="3"/>
  <c r="U81" i="3"/>
  <c r="T81" i="3"/>
  <c r="S81" i="3"/>
  <c r="R81" i="3"/>
  <c r="Q81" i="3"/>
  <c r="L81" i="3"/>
  <c r="M81" i="3" s="1"/>
  <c r="K81" i="3"/>
  <c r="J81" i="3"/>
  <c r="I81" i="3"/>
  <c r="H81" i="3"/>
  <c r="G81" i="3"/>
  <c r="F81" i="3"/>
  <c r="E81" i="3"/>
  <c r="D81" i="3"/>
  <c r="B81" i="3"/>
  <c r="A81" i="3"/>
  <c r="AG80" i="3"/>
  <c r="AF80" i="3"/>
  <c r="AE80" i="3"/>
  <c r="AD80" i="3"/>
  <c r="AC80" i="3"/>
  <c r="AB80" i="3"/>
  <c r="AA80" i="3"/>
  <c r="Z80" i="3"/>
  <c r="Y80" i="3"/>
  <c r="X80" i="3"/>
  <c r="V80" i="3"/>
  <c r="U80" i="3"/>
  <c r="T80" i="3"/>
  <c r="S80" i="3"/>
  <c r="R80" i="3"/>
  <c r="O80" i="3"/>
  <c r="L80" i="3"/>
  <c r="M80" i="3" s="1"/>
  <c r="K80" i="3"/>
  <c r="J80" i="3"/>
  <c r="I80" i="3"/>
  <c r="H80" i="3"/>
  <c r="G80" i="3"/>
  <c r="F80" i="3"/>
  <c r="E80" i="3"/>
  <c r="D80" i="3"/>
  <c r="B80" i="3"/>
  <c r="A80" i="3"/>
  <c r="AG79" i="3"/>
  <c r="AF79" i="3"/>
  <c r="AE79" i="3"/>
  <c r="AD79" i="3"/>
  <c r="AC79" i="3"/>
  <c r="AB79" i="3"/>
  <c r="AA79" i="3"/>
  <c r="Z79" i="3"/>
  <c r="Y79" i="3"/>
  <c r="V79" i="3"/>
  <c r="T79" i="3"/>
  <c r="S79" i="3"/>
  <c r="R79" i="3"/>
  <c r="O79" i="3"/>
  <c r="L79" i="3"/>
  <c r="M79" i="3" s="1"/>
  <c r="K79" i="3"/>
  <c r="J79" i="3"/>
  <c r="I79" i="3"/>
  <c r="H79" i="3"/>
  <c r="G79" i="3"/>
  <c r="F79" i="3"/>
  <c r="E79" i="3"/>
  <c r="D79" i="3"/>
  <c r="B79" i="3"/>
  <c r="A79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L78" i="3"/>
  <c r="M78" i="3" s="1"/>
  <c r="K78" i="3"/>
  <c r="J78" i="3"/>
  <c r="I78" i="3"/>
  <c r="H78" i="3"/>
  <c r="G78" i="3"/>
  <c r="F78" i="3"/>
  <c r="E78" i="3"/>
  <c r="D78" i="3"/>
  <c r="B78" i="3"/>
  <c r="A78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L77" i="3"/>
  <c r="M77" i="3" s="1"/>
  <c r="K77" i="3"/>
  <c r="J77" i="3"/>
  <c r="I77" i="3"/>
  <c r="H77" i="3"/>
  <c r="G77" i="3"/>
  <c r="F77" i="3"/>
  <c r="E77" i="3"/>
  <c r="D77" i="3"/>
  <c r="B77" i="3"/>
  <c r="A77" i="3"/>
  <c r="AG76" i="3"/>
  <c r="AF76" i="3"/>
  <c r="AE76" i="3"/>
  <c r="AD76" i="3"/>
  <c r="AC76" i="3"/>
  <c r="AB76" i="3"/>
  <c r="AA76" i="3"/>
  <c r="Z76" i="3"/>
  <c r="Y76" i="3"/>
  <c r="X76" i="3"/>
  <c r="U76" i="3"/>
  <c r="T76" i="3"/>
  <c r="S76" i="3"/>
  <c r="R76" i="3"/>
  <c r="Q76" i="3"/>
  <c r="L76" i="3"/>
  <c r="M76" i="3" s="1"/>
  <c r="K76" i="3"/>
  <c r="J76" i="3"/>
  <c r="I76" i="3"/>
  <c r="H76" i="3"/>
  <c r="G76" i="3"/>
  <c r="F76" i="3"/>
  <c r="E76" i="3"/>
  <c r="D76" i="3"/>
  <c r="B76" i="3"/>
  <c r="A76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L75" i="3"/>
  <c r="M75" i="3" s="1"/>
  <c r="K75" i="3"/>
  <c r="J75" i="3"/>
  <c r="I75" i="3"/>
  <c r="H75" i="3"/>
  <c r="G75" i="3"/>
  <c r="F75" i="3"/>
  <c r="E75" i="3"/>
  <c r="D75" i="3"/>
  <c r="B75" i="3"/>
  <c r="A75" i="3"/>
  <c r="AG74" i="3"/>
  <c r="AF74" i="3"/>
  <c r="AE74" i="3"/>
  <c r="AD74" i="3"/>
  <c r="AC74" i="3"/>
  <c r="AB74" i="3"/>
  <c r="AA74" i="3"/>
  <c r="Z74" i="3"/>
  <c r="Y74" i="3"/>
  <c r="X74" i="3"/>
  <c r="V74" i="3"/>
  <c r="U74" i="3"/>
  <c r="T74" i="3"/>
  <c r="S74" i="3"/>
  <c r="R74" i="3"/>
  <c r="Q74" i="3"/>
  <c r="O74" i="3"/>
  <c r="L74" i="3"/>
  <c r="M74" i="3" s="1"/>
  <c r="K74" i="3"/>
  <c r="J74" i="3"/>
  <c r="I74" i="3"/>
  <c r="H74" i="3"/>
  <c r="G74" i="3"/>
  <c r="F74" i="3"/>
  <c r="E74" i="3"/>
  <c r="D74" i="3"/>
  <c r="B74" i="3"/>
  <c r="A74" i="3"/>
  <c r="AG73" i="3"/>
  <c r="AF73" i="3"/>
  <c r="AE73" i="3"/>
  <c r="AD73" i="3"/>
  <c r="AC73" i="3"/>
  <c r="AB73" i="3"/>
  <c r="AA73" i="3"/>
  <c r="Z73" i="3"/>
  <c r="Y73" i="3"/>
  <c r="X73" i="3"/>
  <c r="V73" i="3"/>
  <c r="U73" i="3"/>
  <c r="T73" i="3"/>
  <c r="S73" i="3"/>
  <c r="R73" i="3"/>
  <c r="Q73" i="3"/>
  <c r="P73" i="3"/>
  <c r="L73" i="3"/>
  <c r="M73" i="3" s="1"/>
  <c r="K73" i="3"/>
  <c r="J73" i="3"/>
  <c r="I73" i="3"/>
  <c r="H73" i="3"/>
  <c r="G73" i="3"/>
  <c r="F73" i="3"/>
  <c r="E73" i="3"/>
  <c r="D73" i="3"/>
  <c r="B73" i="3"/>
  <c r="A73" i="3"/>
  <c r="AG72" i="3"/>
  <c r="AF72" i="3"/>
  <c r="AE72" i="3"/>
  <c r="AD72" i="3"/>
  <c r="AC72" i="3"/>
  <c r="AB72" i="3"/>
  <c r="AA72" i="3"/>
  <c r="Z72" i="3"/>
  <c r="Y72" i="3"/>
  <c r="X72" i="3"/>
  <c r="V72" i="3"/>
  <c r="U72" i="3"/>
  <c r="T72" i="3"/>
  <c r="S72" i="3"/>
  <c r="R72" i="3"/>
  <c r="Q72" i="3"/>
  <c r="P72" i="3"/>
  <c r="M72" i="3"/>
  <c r="W72" i="3" s="1"/>
  <c r="K72" i="3"/>
  <c r="J72" i="3"/>
  <c r="I72" i="3"/>
  <c r="G72" i="3"/>
  <c r="B72" i="3"/>
  <c r="A72" i="3"/>
  <c r="AG71" i="3"/>
  <c r="AF71" i="3"/>
  <c r="AE71" i="3"/>
  <c r="AD71" i="3"/>
  <c r="AC71" i="3"/>
  <c r="AB71" i="3"/>
  <c r="AA71" i="3"/>
  <c r="Z71" i="3"/>
  <c r="Y71" i="3"/>
  <c r="X71" i="3"/>
  <c r="V71" i="3"/>
  <c r="U71" i="3"/>
  <c r="T71" i="3"/>
  <c r="S71" i="3"/>
  <c r="R71" i="3"/>
  <c r="Q71" i="3"/>
  <c r="L71" i="3"/>
  <c r="M71" i="3" s="1"/>
  <c r="K71" i="3"/>
  <c r="J71" i="3"/>
  <c r="I71" i="3"/>
  <c r="H71" i="3"/>
  <c r="G71" i="3"/>
  <c r="F71" i="3"/>
  <c r="E71" i="3"/>
  <c r="D71" i="3"/>
  <c r="B71" i="3"/>
  <c r="A71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K70" i="3"/>
  <c r="J70" i="3"/>
  <c r="I70" i="3"/>
  <c r="G70" i="3"/>
  <c r="B70" i="3"/>
  <c r="A70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L69" i="3"/>
  <c r="M69" i="3" s="1"/>
  <c r="K69" i="3"/>
  <c r="J69" i="3"/>
  <c r="I69" i="3"/>
  <c r="H69" i="3"/>
  <c r="G69" i="3"/>
  <c r="F69" i="3"/>
  <c r="E69" i="3"/>
  <c r="D69" i="3"/>
  <c r="B69" i="3"/>
  <c r="A69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L68" i="3"/>
  <c r="M68" i="3" s="1"/>
  <c r="K68" i="3"/>
  <c r="J68" i="3"/>
  <c r="I68" i="3"/>
  <c r="H68" i="3"/>
  <c r="G68" i="3"/>
  <c r="F68" i="3"/>
  <c r="E68" i="3"/>
  <c r="D68" i="3"/>
  <c r="B68" i="3"/>
  <c r="A68" i="3"/>
  <c r="AG67" i="3"/>
  <c r="AF67" i="3"/>
  <c r="AE67" i="3"/>
  <c r="AD67" i="3"/>
  <c r="AC67" i="3"/>
  <c r="AB67" i="3"/>
  <c r="AA67" i="3"/>
  <c r="Z67" i="3"/>
  <c r="Y67" i="3"/>
  <c r="X67" i="3"/>
  <c r="V67" i="3"/>
  <c r="U67" i="3"/>
  <c r="T67" i="3"/>
  <c r="S67" i="3"/>
  <c r="R67" i="3"/>
  <c r="Q67" i="3"/>
  <c r="P67" i="3"/>
  <c r="L67" i="3"/>
  <c r="M67" i="3" s="1"/>
  <c r="K67" i="3"/>
  <c r="J67" i="3"/>
  <c r="I67" i="3"/>
  <c r="H67" i="3"/>
  <c r="G67" i="3"/>
  <c r="F67" i="3"/>
  <c r="E67" i="3"/>
  <c r="D67" i="3"/>
  <c r="B67" i="3"/>
  <c r="A67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K66" i="3"/>
  <c r="J66" i="3"/>
  <c r="I66" i="3"/>
  <c r="G66" i="3"/>
  <c r="B66" i="3"/>
  <c r="A66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K65" i="3"/>
  <c r="J65" i="3"/>
  <c r="I65" i="3"/>
  <c r="G65" i="3"/>
  <c r="B65" i="3"/>
  <c r="A65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B64" i="3"/>
  <c r="A64" i="3"/>
  <c r="AG63" i="3"/>
  <c r="AF63" i="3"/>
  <c r="AE63" i="3"/>
  <c r="AD63" i="3"/>
  <c r="AC63" i="3"/>
  <c r="AB63" i="3"/>
  <c r="L63" i="3"/>
  <c r="M63" i="3" s="1"/>
  <c r="K63" i="3"/>
  <c r="J63" i="3"/>
  <c r="I63" i="3"/>
  <c r="H63" i="3"/>
  <c r="G63" i="3"/>
  <c r="F63" i="3"/>
  <c r="E63" i="3"/>
  <c r="D63" i="3"/>
  <c r="B63" i="3"/>
  <c r="A63" i="3"/>
  <c r="L62" i="3"/>
  <c r="M62" i="3" s="1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L61" i="3"/>
  <c r="M61" i="3" s="1"/>
  <c r="K61" i="3"/>
  <c r="J61" i="3"/>
  <c r="I61" i="3"/>
  <c r="H61" i="3"/>
  <c r="G61" i="3"/>
  <c r="F61" i="3"/>
  <c r="E61" i="3"/>
  <c r="D61" i="3"/>
  <c r="B61" i="3"/>
  <c r="A61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L60" i="3"/>
  <c r="M60" i="3" s="1"/>
  <c r="K60" i="3"/>
  <c r="J60" i="3"/>
  <c r="I60" i="3"/>
  <c r="H60" i="3"/>
  <c r="G60" i="3"/>
  <c r="F60" i="3"/>
  <c r="E60" i="3"/>
  <c r="D60" i="3"/>
  <c r="B60" i="3"/>
  <c r="A60" i="3"/>
  <c r="AG59" i="3"/>
  <c r="AF59" i="3"/>
  <c r="AE59" i="3"/>
  <c r="AD59" i="3"/>
  <c r="AC59" i="3"/>
  <c r="AB59" i="3"/>
  <c r="AA59" i="3"/>
  <c r="Z59" i="3"/>
  <c r="Y59" i="3"/>
  <c r="X59" i="3"/>
  <c r="V59" i="3"/>
  <c r="U59" i="3"/>
  <c r="T59" i="3"/>
  <c r="S59" i="3"/>
  <c r="R59" i="3"/>
  <c r="Q59" i="3"/>
  <c r="P59" i="3"/>
  <c r="L59" i="3"/>
  <c r="M59" i="3" s="1"/>
  <c r="K59" i="3"/>
  <c r="J59" i="3"/>
  <c r="I59" i="3"/>
  <c r="H59" i="3"/>
  <c r="G59" i="3"/>
  <c r="F59" i="3"/>
  <c r="E59" i="3"/>
  <c r="D59" i="3"/>
  <c r="B59" i="3"/>
  <c r="A59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L58" i="3"/>
  <c r="M58" i="3" s="1"/>
  <c r="K58" i="3"/>
  <c r="J58" i="3"/>
  <c r="I58" i="3"/>
  <c r="G58" i="3"/>
  <c r="F58" i="3"/>
  <c r="B58" i="3"/>
  <c r="A58" i="3"/>
  <c r="AG57" i="3"/>
  <c r="AF57" i="3"/>
  <c r="AE57" i="3"/>
  <c r="AD57" i="3"/>
  <c r="AC57" i="3"/>
  <c r="AB57" i="3"/>
  <c r="AA57" i="3"/>
  <c r="Z57" i="3"/>
  <c r="Y57" i="3"/>
  <c r="X57" i="3"/>
  <c r="V57" i="3"/>
  <c r="U57" i="3"/>
  <c r="T57" i="3"/>
  <c r="S57" i="3"/>
  <c r="R57" i="3"/>
  <c r="Q57" i="3"/>
  <c r="P57" i="3"/>
  <c r="L57" i="3"/>
  <c r="M57" i="3" s="1"/>
  <c r="K57" i="3"/>
  <c r="J57" i="3"/>
  <c r="I57" i="3"/>
  <c r="H57" i="3"/>
  <c r="G57" i="3"/>
  <c r="F57" i="3"/>
  <c r="E57" i="3"/>
  <c r="D57" i="3"/>
  <c r="B57" i="3"/>
  <c r="A57" i="3"/>
  <c r="AG56" i="3"/>
  <c r="AF56" i="3"/>
  <c r="AE56" i="3"/>
  <c r="AD56" i="3"/>
  <c r="AC56" i="3"/>
  <c r="AB56" i="3"/>
  <c r="AA56" i="3"/>
  <c r="Z56" i="3"/>
  <c r="Y56" i="3"/>
  <c r="X56" i="3"/>
  <c r="V56" i="3"/>
  <c r="U56" i="3"/>
  <c r="T56" i="3"/>
  <c r="S56" i="3"/>
  <c r="R56" i="3"/>
  <c r="Q56" i="3"/>
  <c r="P56" i="3"/>
  <c r="L56" i="3"/>
  <c r="M56" i="3" s="1"/>
  <c r="K56" i="3"/>
  <c r="J56" i="3"/>
  <c r="I56" i="3"/>
  <c r="H56" i="3"/>
  <c r="G56" i="3"/>
  <c r="F56" i="3"/>
  <c r="E56" i="3"/>
  <c r="D56" i="3"/>
  <c r="B56" i="3"/>
  <c r="A56" i="3"/>
  <c r="AG55" i="3"/>
  <c r="AF55" i="3"/>
  <c r="AE55" i="3"/>
  <c r="AD55" i="3"/>
  <c r="AC55" i="3"/>
  <c r="AB55" i="3"/>
  <c r="AA55" i="3"/>
  <c r="Z55" i="3"/>
  <c r="Y55" i="3"/>
  <c r="X55" i="3"/>
  <c r="V55" i="3"/>
  <c r="U55" i="3"/>
  <c r="T55" i="3"/>
  <c r="S55" i="3"/>
  <c r="R55" i="3"/>
  <c r="Q55" i="3"/>
  <c r="P55" i="3"/>
  <c r="L55" i="3"/>
  <c r="M55" i="3" s="1"/>
  <c r="K55" i="3"/>
  <c r="J55" i="3"/>
  <c r="I55" i="3"/>
  <c r="H55" i="3"/>
  <c r="G55" i="3"/>
  <c r="F55" i="3"/>
  <c r="E55" i="3"/>
  <c r="D55" i="3"/>
  <c r="B55" i="3"/>
  <c r="A55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L54" i="3"/>
  <c r="M54" i="3" s="1"/>
  <c r="K54" i="3"/>
  <c r="J54" i="3"/>
  <c r="I54" i="3"/>
  <c r="H54" i="3"/>
  <c r="G54" i="3"/>
  <c r="F54" i="3"/>
  <c r="E54" i="3"/>
  <c r="D54" i="3"/>
  <c r="B54" i="3"/>
  <c r="A54" i="3"/>
  <c r="AG53" i="3"/>
  <c r="AF53" i="3"/>
  <c r="AE53" i="3"/>
  <c r="AD53" i="3"/>
  <c r="AC53" i="3"/>
  <c r="AB53" i="3"/>
  <c r="AA53" i="3"/>
  <c r="Z53" i="3"/>
  <c r="Y53" i="3"/>
  <c r="V53" i="3"/>
  <c r="U53" i="3"/>
  <c r="S53" i="3"/>
  <c r="R53" i="3"/>
  <c r="Q53" i="3"/>
  <c r="L53" i="3"/>
  <c r="M53" i="3" s="1"/>
  <c r="K53" i="3"/>
  <c r="J53" i="3"/>
  <c r="I53" i="3"/>
  <c r="H53" i="3"/>
  <c r="G53" i="3"/>
  <c r="F53" i="3"/>
  <c r="E53" i="3"/>
  <c r="D53" i="3"/>
  <c r="B53" i="3"/>
  <c r="A53" i="3"/>
  <c r="AG52" i="3"/>
  <c r="AF52" i="3"/>
  <c r="AE52" i="3"/>
  <c r="AD52" i="3"/>
  <c r="AC52" i="3"/>
  <c r="AB52" i="3"/>
  <c r="AA52" i="3"/>
  <c r="Z52" i="3"/>
  <c r="Y52" i="3"/>
  <c r="W52" i="3"/>
  <c r="V52" i="3"/>
  <c r="U52" i="3"/>
  <c r="S52" i="3"/>
  <c r="R52" i="3"/>
  <c r="Q52" i="3"/>
  <c r="P52" i="3"/>
  <c r="O52" i="3"/>
  <c r="L52" i="3"/>
  <c r="M52" i="3" s="1"/>
  <c r="K52" i="3"/>
  <c r="J52" i="3"/>
  <c r="I52" i="3"/>
  <c r="H52" i="3"/>
  <c r="G52" i="3"/>
  <c r="F52" i="3"/>
  <c r="E52" i="3"/>
  <c r="D52" i="3"/>
  <c r="B52" i="3"/>
  <c r="A52" i="3"/>
  <c r="AG51" i="3"/>
  <c r="AF51" i="3"/>
  <c r="AE51" i="3"/>
  <c r="AD51" i="3"/>
  <c r="AC51" i="3"/>
  <c r="AB51" i="3"/>
  <c r="AA51" i="3"/>
  <c r="Z51" i="3"/>
  <c r="W51" i="3"/>
  <c r="V51" i="3"/>
  <c r="U51" i="3"/>
  <c r="R51" i="3"/>
  <c r="Q51" i="3"/>
  <c r="P51" i="3"/>
  <c r="L51" i="3"/>
  <c r="M51" i="3" s="1"/>
  <c r="N51" i="3" s="1"/>
  <c r="K51" i="3"/>
  <c r="J51" i="3"/>
  <c r="I51" i="3"/>
  <c r="H51" i="3"/>
  <c r="G51" i="3"/>
  <c r="F51" i="3"/>
  <c r="E51" i="3"/>
  <c r="D51" i="3"/>
  <c r="B51" i="3"/>
  <c r="A51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L50" i="3"/>
  <c r="M50" i="3" s="1"/>
  <c r="K50" i="3"/>
  <c r="J50" i="3"/>
  <c r="I50" i="3"/>
  <c r="H50" i="3"/>
  <c r="G50" i="3"/>
  <c r="F50" i="3"/>
  <c r="E50" i="3"/>
  <c r="D50" i="3"/>
  <c r="B50" i="3"/>
  <c r="A50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L49" i="3"/>
  <c r="M49" i="3" s="1"/>
  <c r="K49" i="3"/>
  <c r="J49" i="3"/>
  <c r="I49" i="3"/>
  <c r="H49" i="3"/>
  <c r="G49" i="3"/>
  <c r="F49" i="3"/>
  <c r="E49" i="3"/>
  <c r="D49" i="3"/>
  <c r="B49" i="3"/>
  <c r="A49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L48" i="3"/>
  <c r="M48" i="3" s="1"/>
  <c r="K48" i="3"/>
  <c r="J48" i="3"/>
  <c r="I48" i="3"/>
  <c r="H48" i="3"/>
  <c r="G48" i="3"/>
  <c r="F48" i="3"/>
  <c r="E48" i="3"/>
  <c r="D48" i="3"/>
  <c r="B48" i="3"/>
  <c r="A48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L47" i="3"/>
  <c r="M47" i="3" s="1"/>
  <c r="K47" i="3"/>
  <c r="J47" i="3"/>
  <c r="I47" i="3"/>
  <c r="H47" i="3"/>
  <c r="G47" i="3"/>
  <c r="F47" i="3"/>
  <c r="E47" i="3"/>
  <c r="D47" i="3"/>
  <c r="B47" i="3"/>
  <c r="A47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L46" i="3"/>
  <c r="M46" i="3" s="1"/>
  <c r="K46" i="3"/>
  <c r="J46" i="3"/>
  <c r="I46" i="3"/>
  <c r="H46" i="3"/>
  <c r="G46" i="3"/>
  <c r="F46" i="3"/>
  <c r="E46" i="3"/>
  <c r="D46" i="3"/>
  <c r="B46" i="3"/>
  <c r="A46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L45" i="3"/>
  <c r="M45" i="3" s="1"/>
  <c r="K45" i="3"/>
  <c r="J45" i="3"/>
  <c r="I45" i="3"/>
  <c r="H45" i="3"/>
  <c r="G45" i="3"/>
  <c r="F45" i="3"/>
  <c r="E45" i="3"/>
  <c r="D45" i="3"/>
  <c r="B45" i="3"/>
  <c r="A45" i="3"/>
  <c r="AG44" i="3"/>
  <c r="AF44" i="3"/>
  <c r="AE44" i="3"/>
  <c r="AD44" i="3"/>
  <c r="AC44" i="3"/>
  <c r="AB44" i="3"/>
  <c r="V44" i="3"/>
  <c r="L44" i="3"/>
  <c r="M44" i="3" s="1"/>
  <c r="K44" i="3"/>
  <c r="J44" i="3"/>
  <c r="I44" i="3"/>
  <c r="G44" i="3"/>
  <c r="F44" i="3"/>
  <c r="E44" i="3"/>
  <c r="D44" i="3"/>
  <c r="B44" i="3"/>
  <c r="A44" i="3"/>
  <c r="AG43" i="3"/>
  <c r="AF43" i="3"/>
  <c r="AE43" i="3"/>
  <c r="AD43" i="3"/>
  <c r="AC43" i="3"/>
  <c r="AB43" i="3"/>
  <c r="L43" i="3"/>
  <c r="M43" i="3" s="1"/>
  <c r="K43" i="3"/>
  <c r="J43" i="3"/>
  <c r="I43" i="3"/>
  <c r="H43" i="3"/>
  <c r="G43" i="3"/>
  <c r="F43" i="3"/>
  <c r="E43" i="3"/>
  <c r="D43" i="3"/>
  <c r="B43" i="3"/>
  <c r="A43" i="3"/>
  <c r="AG42" i="3"/>
  <c r="AF42" i="3"/>
  <c r="AE42" i="3"/>
  <c r="AD42" i="3"/>
  <c r="AC42" i="3"/>
  <c r="AB42" i="3"/>
  <c r="M42" i="3"/>
  <c r="L42" i="3"/>
  <c r="K42" i="3"/>
  <c r="J42" i="3"/>
  <c r="I42" i="3"/>
  <c r="H42" i="3"/>
  <c r="G42" i="3"/>
  <c r="F42" i="3"/>
  <c r="E42" i="3"/>
  <c r="D42" i="3"/>
  <c r="B42" i="3"/>
  <c r="A42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B41" i="3"/>
  <c r="A41" i="3"/>
  <c r="AG40" i="3"/>
  <c r="AF40" i="3"/>
  <c r="AE40" i="3"/>
  <c r="AD40" i="3"/>
  <c r="AC40" i="3"/>
  <c r="AB40" i="3"/>
  <c r="AA40" i="3"/>
  <c r="Z40" i="3"/>
  <c r="Y40" i="3"/>
  <c r="X40" i="3"/>
  <c r="U40" i="3"/>
  <c r="T40" i="3"/>
  <c r="S40" i="3"/>
  <c r="R40" i="3"/>
  <c r="Q40" i="3"/>
  <c r="P40" i="3"/>
  <c r="L40" i="3"/>
  <c r="M40" i="3" s="1"/>
  <c r="K40" i="3"/>
  <c r="J40" i="3"/>
  <c r="I40" i="3"/>
  <c r="H40" i="3"/>
  <c r="G40" i="3"/>
  <c r="F40" i="3"/>
  <c r="E40" i="3"/>
  <c r="D40" i="3"/>
  <c r="B40" i="3"/>
  <c r="A40" i="3"/>
  <c r="AG39" i="3"/>
  <c r="AF39" i="3"/>
  <c r="AE39" i="3"/>
  <c r="AD39" i="3"/>
  <c r="AC39" i="3"/>
  <c r="AB39" i="3"/>
  <c r="AA39" i="3"/>
  <c r="Z39" i="3"/>
  <c r="Y39" i="3"/>
  <c r="U39" i="3"/>
  <c r="S39" i="3"/>
  <c r="R39" i="3"/>
  <c r="Q39" i="3"/>
  <c r="M39" i="3"/>
  <c r="L39" i="3"/>
  <c r="K39" i="3"/>
  <c r="J39" i="3"/>
  <c r="I39" i="3"/>
  <c r="H39" i="3"/>
  <c r="G39" i="3"/>
  <c r="F39" i="3"/>
  <c r="E39" i="3"/>
  <c r="D39" i="3"/>
  <c r="B39" i="3"/>
  <c r="A39" i="3"/>
  <c r="L38" i="3"/>
  <c r="M38" i="3" s="1"/>
  <c r="AG37" i="3"/>
  <c r="AF37" i="3"/>
  <c r="AE37" i="3"/>
  <c r="AD37" i="3"/>
  <c r="AC37" i="3"/>
  <c r="AB37" i="3"/>
  <c r="AA37" i="3"/>
  <c r="Z37" i="3"/>
  <c r="X37" i="3"/>
  <c r="W37" i="3"/>
  <c r="V37" i="3"/>
  <c r="U37" i="3"/>
  <c r="T37" i="3"/>
  <c r="S37" i="3"/>
  <c r="Q37" i="3"/>
  <c r="P37" i="3"/>
  <c r="O37" i="3"/>
  <c r="M37" i="3"/>
  <c r="N37" i="3" s="1"/>
  <c r="L37" i="3"/>
  <c r="K37" i="3"/>
  <c r="J37" i="3"/>
  <c r="I37" i="3"/>
  <c r="H37" i="3"/>
  <c r="G37" i="3"/>
  <c r="F37" i="3"/>
  <c r="E37" i="3"/>
  <c r="D37" i="3"/>
  <c r="B37" i="3"/>
  <c r="A37" i="3"/>
  <c r="AG36" i="3"/>
  <c r="AF36" i="3"/>
  <c r="AE36" i="3"/>
  <c r="AD36" i="3"/>
  <c r="AC36" i="3"/>
  <c r="AB36" i="3"/>
  <c r="AA36" i="3"/>
  <c r="Z36" i="3"/>
  <c r="W36" i="3"/>
  <c r="V36" i="3"/>
  <c r="U36" i="3"/>
  <c r="T36" i="3"/>
  <c r="S36" i="3"/>
  <c r="P36" i="3"/>
  <c r="O36" i="3"/>
  <c r="M36" i="3"/>
  <c r="N36" i="3" s="1"/>
  <c r="L36" i="3"/>
  <c r="K36" i="3"/>
  <c r="J36" i="3"/>
  <c r="I36" i="3"/>
  <c r="H36" i="3"/>
  <c r="G36" i="3"/>
  <c r="F36" i="3"/>
  <c r="E36" i="3"/>
  <c r="D36" i="3"/>
  <c r="B36" i="3"/>
  <c r="A36" i="3"/>
  <c r="AG35" i="3"/>
  <c r="AF35" i="3"/>
  <c r="AE35" i="3"/>
  <c r="AD35" i="3"/>
  <c r="AC35" i="3"/>
  <c r="AB35" i="3"/>
  <c r="AA35" i="3"/>
  <c r="Z35" i="3"/>
  <c r="Y35" i="3"/>
  <c r="U35" i="3"/>
  <c r="T35" i="3"/>
  <c r="S35" i="3"/>
  <c r="R35" i="3"/>
  <c r="Q35" i="3"/>
  <c r="O35" i="3"/>
  <c r="M35" i="3"/>
  <c r="V35" i="3" s="1"/>
  <c r="L35" i="3"/>
  <c r="K35" i="3"/>
  <c r="J35" i="3"/>
  <c r="I35" i="3"/>
  <c r="H35" i="3"/>
  <c r="G35" i="3"/>
  <c r="F35" i="3"/>
  <c r="E35" i="3"/>
  <c r="D35" i="3"/>
  <c r="B35" i="3"/>
  <c r="A35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B34" i="3"/>
  <c r="A34" i="3"/>
  <c r="L33" i="3"/>
  <c r="M33" i="3" s="1"/>
  <c r="AG32" i="3"/>
  <c r="AF32" i="3"/>
  <c r="AE32" i="3"/>
  <c r="AD32" i="3"/>
  <c r="AC32" i="3"/>
  <c r="AB32" i="3"/>
  <c r="AA32" i="3"/>
  <c r="Z32" i="3"/>
  <c r="Y32" i="3"/>
  <c r="U32" i="3"/>
  <c r="R32" i="3"/>
  <c r="L32" i="3"/>
  <c r="M32" i="3" s="1"/>
  <c r="K32" i="3"/>
  <c r="J32" i="3"/>
  <c r="I32" i="3"/>
  <c r="H32" i="3"/>
  <c r="G32" i="3"/>
  <c r="F32" i="3"/>
  <c r="E32" i="3"/>
  <c r="D32" i="3"/>
  <c r="B32" i="3"/>
  <c r="A32" i="3"/>
  <c r="AG31" i="3"/>
  <c r="AF31" i="3"/>
  <c r="AE31" i="3"/>
  <c r="AD31" i="3"/>
  <c r="AC31" i="3"/>
  <c r="AB31" i="3"/>
  <c r="AA31" i="3"/>
  <c r="Z31" i="3"/>
  <c r="Y31" i="3"/>
  <c r="V31" i="3"/>
  <c r="U31" i="3"/>
  <c r="T31" i="3"/>
  <c r="S31" i="3"/>
  <c r="R31" i="3"/>
  <c r="Q31" i="3"/>
  <c r="L31" i="3"/>
  <c r="M31" i="3" s="1"/>
  <c r="K31" i="3"/>
  <c r="J31" i="3"/>
  <c r="I31" i="3"/>
  <c r="H31" i="3"/>
  <c r="G31" i="3"/>
  <c r="F31" i="3"/>
  <c r="E31" i="3"/>
  <c r="D31" i="3"/>
  <c r="B31" i="3"/>
  <c r="A31" i="3"/>
  <c r="AG30" i="3"/>
  <c r="AF30" i="3"/>
  <c r="AE30" i="3"/>
  <c r="AD30" i="3"/>
  <c r="AC30" i="3"/>
  <c r="AB30" i="3"/>
  <c r="AA30" i="3"/>
  <c r="Z30" i="3"/>
  <c r="U30" i="3"/>
  <c r="R30" i="3"/>
  <c r="Q30" i="3"/>
  <c r="L30" i="3"/>
  <c r="M30" i="3" s="1"/>
  <c r="Y30" i="3" s="1"/>
  <c r="K30" i="3"/>
  <c r="J30" i="3"/>
  <c r="I30" i="3"/>
  <c r="H30" i="3"/>
  <c r="G30" i="3"/>
  <c r="F30" i="3"/>
  <c r="E30" i="3"/>
  <c r="D30" i="3"/>
  <c r="B30" i="3"/>
  <c r="A30" i="3"/>
  <c r="AG29" i="3"/>
  <c r="AF29" i="3"/>
  <c r="AE29" i="3"/>
  <c r="AD29" i="3"/>
  <c r="AC29" i="3"/>
  <c r="AB29" i="3"/>
  <c r="AA29" i="3"/>
  <c r="Z29" i="3"/>
  <c r="Y29" i="3"/>
  <c r="X29" i="3"/>
  <c r="V29" i="3"/>
  <c r="U29" i="3"/>
  <c r="T29" i="3"/>
  <c r="S29" i="3"/>
  <c r="R29" i="3"/>
  <c r="Q29" i="3"/>
  <c r="P29" i="3"/>
  <c r="L29" i="3"/>
  <c r="M29" i="3" s="1"/>
  <c r="K29" i="3"/>
  <c r="J29" i="3"/>
  <c r="I29" i="3"/>
  <c r="H29" i="3"/>
  <c r="G29" i="3"/>
  <c r="F29" i="3"/>
  <c r="E29" i="3"/>
  <c r="D29" i="3"/>
  <c r="B29" i="3"/>
  <c r="A29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L28" i="3"/>
  <c r="M28" i="3" s="1"/>
  <c r="K28" i="3"/>
  <c r="J28" i="3"/>
  <c r="I28" i="3"/>
  <c r="H28" i="3"/>
  <c r="G28" i="3"/>
  <c r="F28" i="3"/>
  <c r="E28" i="3"/>
  <c r="D28" i="3"/>
  <c r="B28" i="3"/>
  <c r="A28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L27" i="3"/>
  <c r="M27" i="3" s="1"/>
  <c r="K27" i="3"/>
  <c r="J27" i="3"/>
  <c r="I27" i="3"/>
  <c r="H27" i="3"/>
  <c r="G27" i="3"/>
  <c r="F27" i="3"/>
  <c r="E27" i="3"/>
  <c r="D27" i="3"/>
  <c r="B27" i="3"/>
  <c r="A27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L26" i="3"/>
  <c r="M26" i="3" s="1"/>
  <c r="K26" i="3"/>
  <c r="J26" i="3"/>
  <c r="I26" i="3"/>
  <c r="H26" i="3"/>
  <c r="G26" i="3"/>
  <c r="F26" i="3"/>
  <c r="E26" i="3"/>
  <c r="D26" i="3"/>
  <c r="B26" i="3"/>
  <c r="A26" i="3"/>
  <c r="AG25" i="3"/>
  <c r="AF25" i="3"/>
  <c r="AE25" i="3"/>
  <c r="AD25" i="3"/>
  <c r="AC25" i="3"/>
  <c r="AB25" i="3"/>
  <c r="AA25" i="3"/>
  <c r="Z25" i="3"/>
  <c r="Y25" i="3"/>
  <c r="X25" i="3"/>
  <c r="V25" i="3"/>
  <c r="U25" i="3"/>
  <c r="T25" i="3"/>
  <c r="S25" i="3"/>
  <c r="R25" i="3"/>
  <c r="Q25" i="3"/>
  <c r="P25" i="3"/>
  <c r="L25" i="3"/>
  <c r="M25" i="3" s="1"/>
  <c r="K25" i="3"/>
  <c r="J25" i="3"/>
  <c r="I25" i="3"/>
  <c r="H25" i="3"/>
  <c r="G25" i="3"/>
  <c r="F25" i="3"/>
  <c r="E25" i="3"/>
  <c r="D25" i="3"/>
  <c r="B25" i="3"/>
  <c r="A25" i="3"/>
  <c r="AG24" i="3"/>
  <c r="AF24" i="3"/>
  <c r="AE24" i="3"/>
  <c r="AD24" i="3"/>
  <c r="AC24" i="3"/>
  <c r="AB24" i="3"/>
  <c r="AA24" i="3"/>
  <c r="Z24" i="3"/>
  <c r="Y24" i="3"/>
  <c r="X24" i="3"/>
  <c r="V24" i="3"/>
  <c r="U24" i="3"/>
  <c r="T24" i="3"/>
  <c r="S24" i="3"/>
  <c r="R24" i="3"/>
  <c r="Q24" i="3"/>
  <c r="P24" i="3"/>
  <c r="L24" i="3"/>
  <c r="M24" i="3" s="1"/>
  <c r="N24" i="3" s="1"/>
  <c r="K24" i="3"/>
  <c r="J24" i="3"/>
  <c r="I24" i="3"/>
  <c r="H24" i="3"/>
  <c r="G24" i="3"/>
  <c r="F24" i="3"/>
  <c r="E24" i="3"/>
  <c r="D24" i="3"/>
  <c r="B24" i="3"/>
  <c r="A24" i="3"/>
  <c r="AG23" i="3"/>
  <c r="AF23" i="3"/>
  <c r="AE23" i="3"/>
  <c r="AD23" i="3"/>
  <c r="AC23" i="3"/>
  <c r="AB23" i="3"/>
  <c r="AA23" i="3"/>
  <c r="Z23" i="3"/>
  <c r="Y23" i="3"/>
  <c r="X23" i="3"/>
  <c r="V23" i="3"/>
  <c r="U23" i="3"/>
  <c r="T23" i="3"/>
  <c r="S23" i="3"/>
  <c r="R23" i="3"/>
  <c r="Q23" i="3"/>
  <c r="P23" i="3"/>
  <c r="L23" i="3"/>
  <c r="M23" i="3" s="1"/>
  <c r="N23" i="3" s="1"/>
  <c r="K23" i="3"/>
  <c r="J23" i="3"/>
  <c r="I23" i="3"/>
  <c r="H23" i="3"/>
  <c r="G23" i="3"/>
  <c r="F23" i="3"/>
  <c r="E23" i="3"/>
  <c r="D23" i="3"/>
  <c r="B23" i="3"/>
  <c r="A23" i="3"/>
  <c r="AG22" i="3"/>
  <c r="AF22" i="3"/>
  <c r="AE22" i="3"/>
  <c r="AD22" i="3"/>
  <c r="AC22" i="3"/>
  <c r="AB22" i="3"/>
  <c r="AA22" i="3"/>
  <c r="Z22" i="3"/>
  <c r="Y22" i="3"/>
  <c r="X22" i="3"/>
  <c r="V22" i="3"/>
  <c r="U22" i="3"/>
  <c r="T22" i="3"/>
  <c r="S22" i="3"/>
  <c r="R22" i="3"/>
  <c r="Q22" i="3"/>
  <c r="P22" i="3"/>
  <c r="L22" i="3"/>
  <c r="M22" i="3" s="1"/>
  <c r="N22" i="3" s="1"/>
  <c r="K22" i="3"/>
  <c r="J22" i="3"/>
  <c r="I22" i="3"/>
  <c r="H22" i="3"/>
  <c r="G22" i="3"/>
  <c r="F22" i="3"/>
  <c r="E22" i="3"/>
  <c r="D22" i="3"/>
  <c r="B22" i="3"/>
  <c r="A22" i="3"/>
  <c r="AG21" i="3"/>
  <c r="AF21" i="3"/>
  <c r="AE21" i="3"/>
  <c r="AD21" i="3"/>
  <c r="AC21" i="3"/>
  <c r="AB21" i="3"/>
  <c r="AA21" i="3"/>
  <c r="Z21" i="3"/>
  <c r="Y21" i="3"/>
  <c r="X21" i="3"/>
  <c r="V21" i="3"/>
  <c r="U21" i="3"/>
  <c r="T21" i="3"/>
  <c r="S21" i="3"/>
  <c r="R21" i="3"/>
  <c r="Q21" i="3"/>
  <c r="P21" i="3"/>
  <c r="L21" i="3"/>
  <c r="M21" i="3" s="1"/>
  <c r="N21" i="3" s="1"/>
  <c r="K21" i="3"/>
  <c r="J21" i="3"/>
  <c r="I21" i="3"/>
  <c r="H21" i="3"/>
  <c r="G21" i="3"/>
  <c r="F21" i="3"/>
  <c r="E21" i="3"/>
  <c r="D21" i="3"/>
  <c r="B21" i="3"/>
  <c r="A21" i="3"/>
  <c r="AG20" i="3"/>
  <c r="AF20" i="3"/>
  <c r="AE20" i="3"/>
  <c r="AD20" i="3"/>
  <c r="AC20" i="3"/>
  <c r="AB20" i="3"/>
  <c r="AA20" i="3"/>
  <c r="Z20" i="3"/>
  <c r="Y20" i="3"/>
  <c r="X20" i="3"/>
  <c r="V20" i="3"/>
  <c r="U20" i="3"/>
  <c r="T20" i="3"/>
  <c r="S20" i="3"/>
  <c r="R20" i="3"/>
  <c r="Q20" i="3"/>
  <c r="L20" i="3"/>
  <c r="M20" i="3" s="1"/>
  <c r="K20" i="3"/>
  <c r="J20" i="3"/>
  <c r="I20" i="3"/>
  <c r="H20" i="3"/>
  <c r="G20" i="3"/>
  <c r="F20" i="3"/>
  <c r="E20" i="3"/>
  <c r="D20" i="3"/>
  <c r="B20" i="3"/>
  <c r="A20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K19" i="3"/>
  <c r="J19" i="3"/>
  <c r="I19" i="3"/>
  <c r="G19" i="3"/>
  <c r="B19" i="3"/>
  <c r="A19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K18" i="3"/>
  <c r="J18" i="3"/>
  <c r="I18" i="3"/>
  <c r="G18" i="3"/>
  <c r="B18" i="3"/>
  <c r="A18" i="3"/>
  <c r="AG17" i="3"/>
  <c r="AF17" i="3"/>
  <c r="AE17" i="3"/>
  <c r="AD17" i="3"/>
  <c r="AC17" i="3"/>
  <c r="AB17" i="3"/>
  <c r="AA17" i="3"/>
  <c r="Z17" i="3"/>
  <c r="Y17" i="3"/>
  <c r="X17" i="3"/>
  <c r="V17" i="3"/>
  <c r="U17" i="3"/>
  <c r="T17" i="3"/>
  <c r="S17" i="3"/>
  <c r="R17" i="3"/>
  <c r="Q17" i="3"/>
  <c r="P17" i="3"/>
  <c r="L17" i="3"/>
  <c r="M17" i="3" s="1"/>
  <c r="K17" i="3"/>
  <c r="J17" i="3"/>
  <c r="I17" i="3"/>
  <c r="H17" i="3"/>
  <c r="G17" i="3"/>
  <c r="F17" i="3"/>
  <c r="E17" i="3"/>
  <c r="D17" i="3"/>
  <c r="B17" i="3"/>
  <c r="A17" i="3"/>
  <c r="AG16" i="3"/>
  <c r="AF16" i="3"/>
  <c r="AE16" i="3"/>
  <c r="AD16" i="3"/>
  <c r="AC16" i="3"/>
  <c r="AB16" i="3"/>
  <c r="AA16" i="3"/>
  <c r="Z16" i="3"/>
  <c r="Y16" i="3"/>
  <c r="X16" i="3"/>
  <c r="U16" i="3"/>
  <c r="T16" i="3"/>
  <c r="R16" i="3"/>
  <c r="Q16" i="3"/>
  <c r="P16" i="3"/>
  <c r="L16" i="3"/>
  <c r="M16" i="3" s="1"/>
  <c r="W16" i="3" s="1"/>
  <c r="K16" i="3"/>
  <c r="J16" i="3"/>
  <c r="I16" i="3"/>
  <c r="G16" i="3"/>
  <c r="F16" i="3"/>
  <c r="B16" i="3"/>
  <c r="A16" i="3"/>
  <c r="AG15" i="3"/>
  <c r="AF15" i="3"/>
  <c r="AE15" i="3"/>
  <c r="AD15" i="3"/>
  <c r="AC15" i="3"/>
  <c r="AB15" i="3"/>
  <c r="AA15" i="3"/>
  <c r="Z15" i="3"/>
  <c r="Y15" i="3"/>
  <c r="X15" i="3"/>
  <c r="V15" i="3"/>
  <c r="U15" i="3"/>
  <c r="T15" i="3"/>
  <c r="S15" i="3"/>
  <c r="R15" i="3"/>
  <c r="Q15" i="3"/>
  <c r="O15" i="3"/>
  <c r="L15" i="3"/>
  <c r="M15" i="3" s="1"/>
  <c r="K15" i="3"/>
  <c r="J15" i="3"/>
  <c r="I15" i="3"/>
  <c r="G15" i="3"/>
  <c r="F15" i="3"/>
  <c r="B15" i="3"/>
  <c r="A15" i="3"/>
  <c r="AG14" i="3"/>
  <c r="AF14" i="3"/>
  <c r="AE14" i="3"/>
  <c r="AD14" i="3"/>
  <c r="AC14" i="3"/>
  <c r="AB14" i="3"/>
  <c r="AA14" i="3"/>
  <c r="Z14" i="3"/>
  <c r="U14" i="3"/>
  <c r="T14" i="3"/>
  <c r="S14" i="3"/>
  <c r="R14" i="3"/>
  <c r="Q14" i="3"/>
  <c r="P14" i="3"/>
  <c r="L14" i="3"/>
  <c r="M14" i="3" s="1"/>
  <c r="K14" i="3"/>
  <c r="J14" i="3"/>
  <c r="I14" i="3"/>
  <c r="H14" i="3"/>
  <c r="G14" i="3"/>
  <c r="F14" i="3"/>
  <c r="E14" i="3"/>
  <c r="D14" i="3"/>
  <c r="B14" i="3"/>
  <c r="A14" i="3"/>
  <c r="AG13" i="3"/>
  <c r="AF13" i="3"/>
  <c r="AE13" i="3"/>
  <c r="AD13" i="3"/>
  <c r="AC13" i="3"/>
  <c r="AB13" i="3"/>
  <c r="AA13" i="3"/>
  <c r="Z13" i="3"/>
  <c r="Y13" i="3"/>
  <c r="X13" i="3"/>
  <c r="V13" i="3"/>
  <c r="U13" i="3"/>
  <c r="T13" i="3"/>
  <c r="S13" i="3"/>
  <c r="R13" i="3"/>
  <c r="Q13" i="3"/>
  <c r="P13" i="3"/>
  <c r="L13" i="3"/>
  <c r="M13" i="3" s="1"/>
  <c r="N13" i="3" s="1"/>
  <c r="K13" i="3"/>
  <c r="J13" i="3"/>
  <c r="I13" i="3"/>
  <c r="H13" i="3"/>
  <c r="G13" i="3"/>
  <c r="F13" i="3"/>
  <c r="E13" i="3"/>
  <c r="D13" i="3"/>
  <c r="B13" i="3"/>
  <c r="A13" i="3"/>
  <c r="AG12" i="3"/>
  <c r="AF12" i="3"/>
  <c r="AE12" i="3"/>
  <c r="AD12" i="3"/>
  <c r="AC12" i="3"/>
  <c r="AB12" i="3"/>
  <c r="AA12" i="3"/>
  <c r="Z12" i="3"/>
  <c r="Y12" i="3"/>
  <c r="V12" i="3"/>
  <c r="U12" i="3"/>
  <c r="T12" i="3"/>
  <c r="S12" i="3"/>
  <c r="R12" i="3"/>
  <c r="Q12" i="3"/>
  <c r="O12" i="3"/>
  <c r="L12" i="3"/>
  <c r="M12" i="3" s="1"/>
  <c r="K12" i="3"/>
  <c r="J12" i="3"/>
  <c r="I12" i="3"/>
  <c r="H12" i="3"/>
  <c r="G12" i="3"/>
  <c r="F12" i="3"/>
  <c r="E12" i="3"/>
  <c r="D12" i="3"/>
  <c r="B12" i="3"/>
  <c r="A12" i="3"/>
  <c r="AG11" i="3"/>
  <c r="AF11" i="3"/>
  <c r="AE11" i="3"/>
  <c r="AD11" i="3"/>
  <c r="AC11" i="3"/>
  <c r="AB11" i="3"/>
  <c r="AA11" i="3"/>
  <c r="Z11" i="3"/>
  <c r="Y11" i="3"/>
  <c r="X11" i="3"/>
  <c r="V11" i="3"/>
  <c r="U11" i="3"/>
  <c r="T11" i="3"/>
  <c r="S11" i="3"/>
  <c r="R11" i="3"/>
  <c r="Q11" i="3"/>
  <c r="O11" i="3"/>
  <c r="L11" i="3"/>
  <c r="M11" i="3" s="1"/>
  <c r="K11" i="3"/>
  <c r="J11" i="3"/>
  <c r="I11" i="3"/>
  <c r="H11" i="3"/>
  <c r="G11" i="3"/>
  <c r="F11" i="3"/>
  <c r="E11" i="3"/>
  <c r="D11" i="3"/>
  <c r="B11" i="3"/>
  <c r="A11" i="3"/>
  <c r="AG10" i="3"/>
  <c r="AF10" i="3"/>
  <c r="AE10" i="3"/>
  <c r="AD10" i="3"/>
  <c r="AC10" i="3"/>
  <c r="AB10" i="3"/>
  <c r="AA10" i="3"/>
  <c r="Z10" i="3"/>
  <c r="Y10" i="3"/>
  <c r="W10" i="3"/>
  <c r="V10" i="3"/>
  <c r="U10" i="3"/>
  <c r="T10" i="3"/>
  <c r="S10" i="3"/>
  <c r="R10" i="3"/>
  <c r="Q10" i="3"/>
  <c r="O10" i="3"/>
  <c r="L10" i="3"/>
  <c r="M10" i="3" s="1"/>
  <c r="K10" i="3"/>
  <c r="J10" i="3"/>
  <c r="I10" i="3"/>
  <c r="H10" i="3"/>
  <c r="G10" i="3"/>
  <c r="F10" i="3"/>
  <c r="E10" i="3"/>
  <c r="D10" i="3"/>
  <c r="B10" i="3"/>
  <c r="A10" i="3"/>
  <c r="AG9" i="3"/>
  <c r="AF9" i="3"/>
  <c r="AE9" i="3"/>
  <c r="AD9" i="3"/>
  <c r="AC9" i="3"/>
  <c r="AB9" i="3"/>
  <c r="AA9" i="3"/>
  <c r="Z9" i="3"/>
  <c r="Y9" i="3"/>
  <c r="X9" i="3"/>
  <c r="V9" i="3"/>
  <c r="U9" i="3"/>
  <c r="T9" i="3"/>
  <c r="S9" i="3"/>
  <c r="R9" i="3"/>
  <c r="Q9" i="3"/>
  <c r="P9" i="3"/>
  <c r="L9" i="3"/>
  <c r="M9" i="3" s="1"/>
  <c r="N9" i="3" s="1"/>
  <c r="K9" i="3"/>
  <c r="J9" i="3"/>
  <c r="I9" i="3"/>
  <c r="H9" i="3"/>
  <c r="G9" i="3"/>
  <c r="F9" i="3"/>
  <c r="E9" i="3"/>
  <c r="D9" i="3"/>
  <c r="B9" i="3"/>
  <c r="A9" i="3"/>
  <c r="AG8" i="3"/>
  <c r="AF8" i="3"/>
  <c r="AE8" i="3"/>
  <c r="AD8" i="3"/>
  <c r="AC8" i="3"/>
  <c r="AB8" i="3"/>
  <c r="Z8" i="3"/>
  <c r="Y8" i="3"/>
  <c r="X8" i="3"/>
  <c r="U8" i="3"/>
  <c r="T8" i="3"/>
  <c r="S8" i="3"/>
  <c r="R8" i="3"/>
  <c r="Q8" i="3"/>
  <c r="L8" i="3"/>
  <c r="M8" i="3" s="1"/>
  <c r="W8" i="3" s="1"/>
  <c r="K8" i="3"/>
  <c r="J8" i="3"/>
  <c r="I8" i="3"/>
  <c r="H8" i="3"/>
  <c r="G8" i="3"/>
  <c r="F8" i="3"/>
  <c r="E8" i="3"/>
  <c r="D8" i="3"/>
  <c r="B8" i="3"/>
  <c r="A8" i="3"/>
  <c r="AG7" i="3"/>
  <c r="AF7" i="3"/>
  <c r="AE7" i="3"/>
  <c r="AD7" i="3"/>
  <c r="AC7" i="3"/>
  <c r="AB7" i="3"/>
  <c r="AA7" i="3"/>
  <c r="Z7" i="3"/>
  <c r="Y7" i="3"/>
  <c r="W7" i="3"/>
  <c r="U7" i="3"/>
  <c r="R7" i="3"/>
  <c r="O7" i="3"/>
  <c r="L7" i="3"/>
  <c r="M7" i="3" s="1"/>
  <c r="K7" i="3"/>
  <c r="J7" i="3"/>
  <c r="I7" i="3"/>
  <c r="H7" i="3"/>
  <c r="G7" i="3"/>
  <c r="F7" i="3"/>
  <c r="E7" i="3"/>
  <c r="D7" i="3"/>
  <c r="B7" i="3"/>
  <c r="A7" i="3"/>
  <c r="AG6" i="3"/>
  <c r="AF6" i="3"/>
  <c r="AE6" i="3"/>
  <c r="AD6" i="3"/>
  <c r="AC6" i="3"/>
  <c r="AB6" i="3"/>
  <c r="AA6" i="3"/>
  <c r="Z6" i="3"/>
  <c r="X6" i="3"/>
  <c r="U6" i="3"/>
  <c r="T6" i="3"/>
  <c r="S6" i="3"/>
  <c r="R6" i="3"/>
  <c r="P6" i="3"/>
  <c r="L6" i="3"/>
  <c r="M6" i="3" s="1"/>
  <c r="Y6" i="3" s="1"/>
  <c r="K6" i="3"/>
  <c r="J6" i="3"/>
  <c r="I6" i="3"/>
  <c r="H6" i="3"/>
  <c r="G6" i="3"/>
  <c r="F6" i="3"/>
  <c r="E6" i="3"/>
  <c r="D6" i="3"/>
  <c r="B6" i="3"/>
  <c r="A6" i="3"/>
  <c r="AG5" i="3"/>
  <c r="AF5" i="3"/>
  <c r="AE5" i="3"/>
  <c r="AD5" i="3"/>
  <c r="AC5" i="3"/>
  <c r="AB5" i="3"/>
  <c r="AA5" i="3"/>
  <c r="Z5" i="3"/>
  <c r="Y5" i="3"/>
  <c r="X5" i="3"/>
  <c r="U5" i="3"/>
  <c r="T5" i="3"/>
  <c r="S5" i="3"/>
  <c r="R5" i="3"/>
  <c r="Q5" i="3"/>
  <c r="L5" i="3"/>
  <c r="M5" i="3" s="1"/>
  <c r="K5" i="3"/>
  <c r="J5" i="3"/>
  <c r="I5" i="3"/>
  <c r="H5" i="3"/>
  <c r="G5" i="3"/>
  <c r="F5" i="3"/>
  <c r="E5" i="3"/>
  <c r="D5" i="3"/>
  <c r="B5" i="3"/>
  <c r="A5" i="3"/>
  <c r="AG4" i="3"/>
  <c r="AF4" i="3"/>
  <c r="AE4" i="3"/>
  <c r="AD4" i="3"/>
  <c r="AC4" i="3"/>
  <c r="AB4" i="3"/>
  <c r="AA4" i="3"/>
  <c r="Z4" i="3"/>
  <c r="Y4" i="3"/>
  <c r="X4" i="3"/>
  <c r="V4" i="3"/>
  <c r="U4" i="3"/>
  <c r="T4" i="3"/>
  <c r="S4" i="3"/>
  <c r="R4" i="3"/>
  <c r="Q4" i="3"/>
  <c r="P4" i="3"/>
  <c r="L4" i="3"/>
  <c r="M4" i="3" s="1"/>
  <c r="N4" i="3" s="1"/>
  <c r="K4" i="3"/>
  <c r="J4" i="3"/>
  <c r="I4" i="3"/>
  <c r="H4" i="3"/>
  <c r="G4" i="3"/>
  <c r="F4" i="3"/>
  <c r="E4" i="3"/>
  <c r="D4" i="3"/>
  <c r="B4" i="3"/>
  <c r="A4" i="3"/>
  <c r="AG3" i="3"/>
  <c r="AF3" i="3"/>
  <c r="AE3" i="3"/>
  <c r="AD3" i="3"/>
  <c r="AC3" i="3"/>
  <c r="AB3" i="3"/>
  <c r="AA3" i="3"/>
  <c r="X3" i="3"/>
  <c r="W3" i="3"/>
  <c r="T3" i="3"/>
  <c r="S3" i="3"/>
  <c r="R3" i="3"/>
  <c r="Q3" i="3"/>
  <c r="L3" i="3"/>
  <c r="M3" i="3" s="1"/>
  <c r="O3" i="3" s="1"/>
  <c r="K3" i="3"/>
  <c r="J3" i="3"/>
  <c r="I3" i="3"/>
  <c r="H3" i="3"/>
  <c r="G3" i="3"/>
  <c r="F3" i="3"/>
  <c r="E3" i="3"/>
  <c r="D3" i="3"/>
  <c r="B3" i="3"/>
  <c r="A3" i="3"/>
  <c r="AG2" i="3"/>
  <c r="AF2" i="3"/>
  <c r="AE2" i="3"/>
  <c r="AD2" i="3"/>
  <c r="AC2" i="3"/>
  <c r="AB2" i="3"/>
  <c r="AA2" i="3"/>
  <c r="Z2" i="3"/>
  <c r="Y2" i="3"/>
  <c r="X2" i="3"/>
  <c r="V2" i="3"/>
  <c r="U2" i="3"/>
  <c r="T2" i="3"/>
  <c r="S2" i="3"/>
  <c r="R2" i="3"/>
  <c r="Q2" i="3"/>
  <c r="L2" i="3"/>
  <c r="M2" i="3" s="1"/>
  <c r="O2" i="3" s="1"/>
  <c r="K2" i="3"/>
  <c r="J2" i="3"/>
  <c r="I2" i="3"/>
  <c r="H2" i="3"/>
  <c r="G2" i="3"/>
  <c r="F2" i="3"/>
  <c r="E2" i="3"/>
  <c r="D2" i="3"/>
  <c r="B2" i="3"/>
  <c r="A2" i="3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J57" i="2"/>
  <c r="K57" i="2" s="1"/>
  <c r="I57" i="2"/>
  <c r="H57" i="2"/>
  <c r="G57" i="2"/>
  <c r="F57" i="2"/>
  <c r="E57" i="2"/>
  <c r="D57" i="2"/>
  <c r="B57" i="2"/>
  <c r="A57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J56" i="2"/>
  <c r="K56" i="2" s="1"/>
  <c r="I56" i="2"/>
  <c r="H56" i="2"/>
  <c r="G56" i="2"/>
  <c r="F56" i="2"/>
  <c r="E56" i="2"/>
  <c r="D56" i="2"/>
  <c r="B56" i="2"/>
  <c r="A56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J55" i="2"/>
  <c r="K55" i="2" s="1"/>
  <c r="I55" i="2"/>
  <c r="H55" i="2"/>
  <c r="G55" i="2"/>
  <c r="F55" i="2"/>
  <c r="E55" i="2"/>
  <c r="D55" i="2"/>
  <c r="B55" i="2"/>
  <c r="A55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J54" i="2"/>
  <c r="K54" i="2" s="1"/>
  <c r="I54" i="2"/>
  <c r="H54" i="2"/>
  <c r="G54" i="2"/>
  <c r="F54" i="2"/>
  <c r="E54" i="2"/>
  <c r="D54" i="2"/>
  <c r="B54" i="2"/>
  <c r="A54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J53" i="2"/>
  <c r="K53" i="2" s="1"/>
  <c r="I53" i="2"/>
  <c r="H53" i="2"/>
  <c r="G53" i="2"/>
  <c r="F53" i="2"/>
  <c r="E53" i="2"/>
  <c r="D53" i="2"/>
  <c r="B53" i="2"/>
  <c r="A53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J52" i="2"/>
  <c r="K52" i="2" s="1"/>
  <c r="I52" i="2"/>
  <c r="H52" i="2"/>
  <c r="G52" i="2"/>
  <c r="F52" i="2"/>
  <c r="E52" i="2"/>
  <c r="D52" i="2"/>
  <c r="B52" i="2"/>
  <c r="A52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J51" i="2"/>
  <c r="K51" i="2" s="1"/>
  <c r="I51" i="2"/>
  <c r="H51" i="2"/>
  <c r="G51" i="2"/>
  <c r="F51" i="2"/>
  <c r="E51" i="2"/>
  <c r="D51" i="2"/>
  <c r="B51" i="2"/>
  <c r="A51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J50" i="2"/>
  <c r="K50" i="2" s="1"/>
  <c r="I50" i="2"/>
  <c r="H50" i="2"/>
  <c r="G50" i="2"/>
  <c r="F50" i="2"/>
  <c r="E50" i="2"/>
  <c r="D50" i="2"/>
  <c r="B50" i="2"/>
  <c r="A50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J49" i="2"/>
  <c r="K49" i="2" s="1"/>
  <c r="I49" i="2"/>
  <c r="H49" i="2"/>
  <c r="G49" i="2"/>
  <c r="F49" i="2"/>
  <c r="E49" i="2"/>
  <c r="D49" i="2"/>
  <c r="B49" i="2"/>
  <c r="A49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B48" i="2"/>
  <c r="A48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J47" i="2"/>
  <c r="K47" i="2" s="1"/>
  <c r="I47" i="2"/>
  <c r="H47" i="2"/>
  <c r="G47" i="2"/>
  <c r="F47" i="2"/>
  <c r="E47" i="2"/>
  <c r="D47" i="2"/>
  <c r="B47" i="2"/>
  <c r="A47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J46" i="2"/>
  <c r="K46" i="2" s="1"/>
  <c r="I46" i="2"/>
  <c r="H46" i="2"/>
  <c r="G46" i="2"/>
  <c r="F46" i="2"/>
  <c r="E46" i="2"/>
  <c r="D46" i="2"/>
  <c r="B46" i="2"/>
  <c r="A46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B45" i="2"/>
  <c r="A45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J44" i="2"/>
  <c r="K44" i="2" s="1"/>
  <c r="I44" i="2"/>
  <c r="H44" i="2"/>
  <c r="G44" i="2"/>
  <c r="F44" i="2"/>
  <c r="E44" i="2"/>
  <c r="D44" i="2"/>
  <c r="B44" i="2"/>
  <c r="A44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J43" i="2"/>
  <c r="K43" i="2" s="1"/>
  <c r="I43" i="2"/>
  <c r="H43" i="2"/>
  <c r="G43" i="2"/>
  <c r="F43" i="2"/>
  <c r="E43" i="2"/>
  <c r="D43" i="2"/>
  <c r="B43" i="2"/>
  <c r="A43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J42" i="2"/>
  <c r="K42" i="2" s="1"/>
  <c r="I42" i="2"/>
  <c r="H42" i="2"/>
  <c r="G42" i="2"/>
  <c r="F42" i="2"/>
  <c r="E42" i="2"/>
  <c r="D42" i="2"/>
  <c r="B42" i="2"/>
  <c r="A42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J41" i="2"/>
  <c r="K41" i="2" s="1"/>
  <c r="I41" i="2"/>
  <c r="H41" i="2"/>
  <c r="G41" i="2"/>
  <c r="F41" i="2"/>
  <c r="E41" i="2"/>
  <c r="D41" i="2"/>
  <c r="B41" i="2"/>
  <c r="A41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J40" i="2"/>
  <c r="K40" i="2" s="1"/>
  <c r="I40" i="2"/>
  <c r="H40" i="2"/>
  <c r="G40" i="2"/>
  <c r="F40" i="2"/>
  <c r="E40" i="2"/>
  <c r="D40" i="2"/>
  <c r="B40" i="2"/>
  <c r="A40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J39" i="2"/>
  <c r="K39" i="2" s="1"/>
  <c r="I39" i="2"/>
  <c r="H39" i="2"/>
  <c r="G39" i="2"/>
  <c r="F39" i="2"/>
  <c r="E39" i="2"/>
  <c r="D39" i="2"/>
  <c r="B39" i="2"/>
  <c r="A39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J38" i="2"/>
  <c r="K38" i="2" s="1"/>
  <c r="I38" i="2"/>
  <c r="H38" i="2"/>
  <c r="G38" i="2"/>
  <c r="F38" i="2"/>
  <c r="E38" i="2"/>
  <c r="D38" i="2"/>
  <c r="B38" i="2"/>
  <c r="A38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J37" i="2"/>
  <c r="K37" i="2" s="1"/>
  <c r="I37" i="2"/>
  <c r="H37" i="2"/>
  <c r="G37" i="2"/>
  <c r="F37" i="2"/>
  <c r="E37" i="2"/>
  <c r="D37" i="2"/>
  <c r="B37" i="2"/>
  <c r="A37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J36" i="2"/>
  <c r="K36" i="2" s="1"/>
  <c r="I36" i="2"/>
  <c r="H36" i="2"/>
  <c r="G36" i="2"/>
  <c r="F36" i="2"/>
  <c r="E36" i="2"/>
  <c r="D36" i="2"/>
  <c r="B36" i="2"/>
  <c r="A36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J35" i="2"/>
  <c r="K35" i="2" s="1"/>
  <c r="I35" i="2"/>
  <c r="H35" i="2"/>
  <c r="G35" i="2"/>
  <c r="F35" i="2"/>
  <c r="E35" i="2"/>
  <c r="D35" i="2"/>
  <c r="B35" i="2"/>
  <c r="A35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J34" i="2"/>
  <c r="K34" i="2" s="1"/>
  <c r="I34" i="2"/>
  <c r="H34" i="2"/>
  <c r="G34" i="2"/>
  <c r="F34" i="2"/>
  <c r="E34" i="2"/>
  <c r="D34" i="2"/>
  <c r="B34" i="2"/>
  <c r="A34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J33" i="2"/>
  <c r="K33" i="2" s="1"/>
  <c r="I33" i="2"/>
  <c r="H33" i="2"/>
  <c r="G33" i="2"/>
  <c r="F33" i="2"/>
  <c r="E33" i="2"/>
  <c r="D33" i="2"/>
  <c r="B33" i="2"/>
  <c r="A33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J32" i="2"/>
  <c r="K32" i="2" s="1"/>
  <c r="I32" i="2"/>
  <c r="H32" i="2"/>
  <c r="G32" i="2"/>
  <c r="F32" i="2"/>
  <c r="E32" i="2"/>
  <c r="D32" i="2"/>
  <c r="B32" i="2"/>
  <c r="A32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J31" i="2"/>
  <c r="K31" i="2" s="1"/>
  <c r="I31" i="2"/>
  <c r="H31" i="2"/>
  <c r="G31" i="2"/>
  <c r="F31" i="2"/>
  <c r="E31" i="2"/>
  <c r="D31" i="2"/>
  <c r="B31" i="2"/>
  <c r="A31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J30" i="2"/>
  <c r="K30" i="2" s="1"/>
  <c r="I30" i="2"/>
  <c r="H30" i="2"/>
  <c r="G30" i="2"/>
  <c r="F30" i="2"/>
  <c r="E30" i="2"/>
  <c r="D30" i="2"/>
  <c r="B30" i="2"/>
  <c r="A30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B29" i="2"/>
  <c r="A29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J28" i="2"/>
  <c r="K28" i="2" s="1"/>
  <c r="I28" i="2"/>
  <c r="H28" i="2"/>
  <c r="G28" i="2"/>
  <c r="F28" i="2"/>
  <c r="E28" i="2"/>
  <c r="D28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J27" i="2"/>
  <c r="K27" i="2" s="1"/>
  <c r="I27" i="2"/>
  <c r="H27" i="2"/>
  <c r="G27" i="2"/>
  <c r="F27" i="2"/>
  <c r="E27" i="2"/>
  <c r="D27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J26" i="2"/>
  <c r="K26" i="2" s="1"/>
  <c r="I26" i="2"/>
  <c r="H26" i="2"/>
  <c r="G26" i="2"/>
  <c r="F26" i="2"/>
  <c r="E26" i="2"/>
  <c r="D26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J25" i="2"/>
  <c r="K25" i="2" s="1"/>
  <c r="I25" i="2"/>
  <c r="H25" i="2"/>
  <c r="G25" i="2"/>
  <c r="F25" i="2"/>
  <c r="E25" i="2"/>
  <c r="D25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J24" i="2"/>
  <c r="K24" i="2" s="1"/>
  <c r="I24" i="2"/>
  <c r="H24" i="2"/>
  <c r="G24" i="2"/>
  <c r="F24" i="2"/>
  <c r="E24" i="2"/>
  <c r="D24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J23" i="2"/>
  <c r="K23" i="2" s="1"/>
  <c r="I23" i="2"/>
  <c r="H23" i="2"/>
  <c r="G23" i="2"/>
  <c r="F23" i="2"/>
  <c r="E23" i="2"/>
  <c r="D23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J22" i="2"/>
  <c r="K22" i="2" s="1"/>
  <c r="I22" i="2"/>
  <c r="H22" i="2"/>
  <c r="G22" i="2"/>
  <c r="F22" i="2"/>
  <c r="E22" i="2"/>
  <c r="D22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J20" i="2"/>
  <c r="K20" i="2" s="1"/>
  <c r="I20" i="2"/>
  <c r="H20" i="2"/>
  <c r="G20" i="2"/>
  <c r="F20" i="2"/>
  <c r="E20" i="2"/>
  <c r="D20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J19" i="2"/>
  <c r="K19" i="2" s="1"/>
  <c r="I19" i="2"/>
  <c r="H19" i="2"/>
  <c r="G19" i="2"/>
  <c r="F19" i="2"/>
  <c r="E19" i="2"/>
  <c r="D19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J18" i="2"/>
  <c r="K18" i="2" s="1"/>
  <c r="I18" i="2"/>
  <c r="H18" i="2"/>
  <c r="G18" i="2"/>
  <c r="F18" i="2"/>
  <c r="E18" i="2"/>
  <c r="D18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J16" i="2"/>
  <c r="K16" i="2" s="1"/>
  <c r="I16" i="2"/>
  <c r="H16" i="2"/>
  <c r="G16" i="2"/>
  <c r="F16" i="2"/>
  <c r="E16" i="2"/>
  <c r="D16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J15" i="2"/>
  <c r="K15" i="2" s="1"/>
  <c r="I15" i="2"/>
  <c r="H15" i="2"/>
  <c r="G15" i="2"/>
  <c r="F15" i="2"/>
  <c r="E15" i="2"/>
  <c r="D15" i="2"/>
  <c r="B15" i="2"/>
  <c r="A15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J14" i="2"/>
  <c r="K14" i="2" s="1"/>
  <c r="I14" i="2"/>
  <c r="H14" i="2"/>
  <c r="G14" i="2"/>
  <c r="F14" i="2"/>
  <c r="E14" i="2"/>
  <c r="D14" i="2"/>
  <c r="B14" i="2"/>
  <c r="A14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B13" i="2"/>
  <c r="A13" i="2"/>
  <c r="AE12" i="2"/>
  <c r="AD12" i="2"/>
  <c r="AC12" i="2"/>
  <c r="AB12" i="2"/>
  <c r="AA12" i="2"/>
  <c r="Z12" i="2"/>
  <c r="Y12" i="2"/>
  <c r="X12" i="2"/>
  <c r="W12" i="2"/>
  <c r="V12" i="2"/>
  <c r="S12" i="2"/>
  <c r="R12" i="2"/>
  <c r="Q12" i="2"/>
  <c r="P12" i="2"/>
  <c r="O12" i="2"/>
  <c r="N12" i="2"/>
  <c r="M12" i="2"/>
  <c r="J12" i="2"/>
  <c r="K12" i="2" s="1"/>
  <c r="I12" i="2"/>
  <c r="H12" i="2"/>
  <c r="G12" i="2"/>
  <c r="F12" i="2"/>
  <c r="E12" i="2"/>
  <c r="D12" i="2"/>
  <c r="B12" i="2"/>
  <c r="A12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J11" i="2"/>
  <c r="K11" i="2" s="1"/>
  <c r="I11" i="2"/>
  <c r="H11" i="2"/>
  <c r="G11" i="2"/>
  <c r="F11" i="2"/>
  <c r="E11" i="2"/>
  <c r="D11" i="2"/>
  <c r="B11" i="2"/>
  <c r="A11" i="2"/>
  <c r="AE10" i="2"/>
  <c r="AD10" i="2"/>
  <c r="AC10" i="2"/>
  <c r="AB10" i="2"/>
  <c r="AA10" i="2"/>
  <c r="Z10" i="2"/>
  <c r="Y10" i="2"/>
  <c r="X10" i="2"/>
  <c r="W10" i="2"/>
  <c r="V10" i="2"/>
  <c r="T10" i="2"/>
  <c r="S10" i="2"/>
  <c r="R10" i="2"/>
  <c r="P10" i="2"/>
  <c r="O10" i="2"/>
  <c r="N10" i="2"/>
  <c r="M10" i="2"/>
  <c r="J10" i="2"/>
  <c r="K10" i="2" s="1"/>
  <c r="I10" i="2"/>
  <c r="H10" i="2"/>
  <c r="G10" i="2"/>
  <c r="F10" i="2"/>
  <c r="E10" i="2"/>
  <c r="D10" i="2"/>
  <c r="B10" i="2"/>
  <c r="A10" i="2"/>
  <c r="AE9" i="2"/>
  <c r="AD9" i="2"/>
  <c r="AC9" i="2"/>
  <c r="AB9" i="2"/>
  <c r="AA9" i="2"/>
  <c r="Z9" i="2"/>
  <c r="Y9" i="2"/>
  <c r="X9" i="2"/>
  <c r="W9" i="2"/>
  <c r="V9" i="2"/>
  <c r="T9" i="2"/>
  <c r="S9" i="2"/>
  <c r="R9" i="2"/>
  <c r="Q9" i="2"/>
  <c r="P9" i="2"/>
  <c r="O9" i="2"/>
  <c r="N9" i="2"/>
  <c r="K9" i="2"/>
  <c r="L9" i="2" s="1"/>
  <c r="J9" i="2"/>
  <c r="I9" i="2"/>
  <c r="H9" i="2"/>
  <c r="G9" i="2"/>
  <c r="F9" i="2"/>
  <c r="E9" i="2"/>
  <c r="D9" i="2"/>
  <c r="B9" i="2"/>
  <c r="A9" i="2"/>
  <c r="AE8" i="2"/>
  <c r="AD8" i="2"/>
  <c r="AC8" i="2"/>
  <c r="AB8" i="2"/>
  <c r="AA8" i="2"/>
  <c r="Z8" i="2"/>
  <c r="Y8" i="2"/>
  <c r="X8" i="2"/>
  <c r="V8" i="2"/>
  <c r="S8" i="2"/>
  <c r="R8" i="2"/>
  <c r="Q8" i="2"/>
  <c r="P8" i="2"/>
  <c r="O8" i="2"/>
  <c r="N8" i="2"/>
  <c r="J8" i="2"/>
  <c r="K8" i="2" s="1"/>
  <c r="I8" i="2"/>
  <c r="H8" i="2"/>
  <c r="G8" i="2"/>
  <c r="F8" i="2"/>
  <c r="E8" i="2"/>
  <c r="D8" i="2"/>
  <c r="B8" i="2"/>
  <c r="A8" i="2"/>
  <c r="AE7" i="2"/>
  <c r="AD7" i="2"/>
  <c r="AC7" i="2"/>
  <c r="AB7" i="2"/>
  <c r="AA7" i="2"/>
  <c r="Z7" i="2"/>
  <c r="Y7" i="2"/>
  <c r="X7" i="2"/>
  <c r="V7" i="2"/>
  <c r="U7" i="2"/>
  <c r="T7" i="2"/>
  <c r="S7" i="2"/>
  <c r="R7" i="2"/>
  <c r="Q7" i="2"/>
  <c r="P7" i="2"/>
  <c r="O7" i="2"/>
  <c r="N7" i="2"/>
  <c r="J7" i="2"/>
  <c r="K7" i="2" s="1"/>
  <c r="I7" i="2"/>
  <c r="H7" i="2"/>
  <c r="G7" i="2"/>
  <c r="F7" i="2"/>
  <c r="E7" i="2"/>
  <c r="D7" i="2"/>
  <c r="B7" i="2"/>
  <c r="A7" i="2"/>
  <c r="AE6" i="2"/>
  <c r="AD6" i="2"/>
  <c r="AC6" i="2"/>
  <c r="AB6" i="2"/>
  <c r="AA6" i="2"/>
  <c r="Z6" i="2"/>
  <c r="O6" i="2"/>
  <c r="J6" i="2"/>
  <c r="K6" i="2" s="1"/>
  <c r="I6" i="2"/>
  <c r="H6" i="2"/>
  <c r="G6" i="2"/>
  <c r="F6" i="2"/>
  <c r="E6" i="2"/>
  <c r="D6" i="2"/>
  <c r="B6" i="2"/>
  <c r="A6" i="2"/>
  <c r="AE5" i="2"/>
  <c r="AD5" i="2"/>
  <c r="AC5" i="2"/>
  <c r="AB5" i="2"/>
  <c r="AA5" i="2"/>
  <c r="Z5" i="2"/>
  <c r="Y5" i="2"/>
  <c r="X5" i="2"/>
  <c r="W5" i="2"/>
  <c r="V5" i="2"/>
  <c r="S5" i="2"/>
  <c r="R5" i="2"/>
  <c r="P5" i="2"/>
  <c r="O5" i="2"/>
  <c r="K5" i="2"/>
  <c r="T5" i="2" s="1"/>
  <c r="J5" i="2"/>
  <c r="I5" i="2"/>
  <c r="H5" i="2"/>
  <c r="G5" i="2"/>
  <c r="F5" i="2"/>
  <c r="E5" i="2"/>
  <c r="D5" i="2"/>
  <c r="B5" i="2"/>
  <c r="A5" i="2"/>
  <c r="AE4" i="2"/>
  <c r="AD4" i="2"/>
  <c r="AC4" i="2"/>
  <c r="AB4" i="2"/>
  <c r="AA4" i="2"/>
  <c r="Z4" i="2"/>
  <c r="Y4" i="2"/>
  <c r="X4" i="2"/>
  <c r="W4" i="2"/>
  <c r="V4" i="2"/>
  <c r="T4" i="2"/>
  <c r="S4" i="2"/>
  <c r="R4" i="2"/>
  <c r="Q4" i="2"/>
  <c r="P4" i="2"/>
  <c r="O4" i="2"/>
  <c r="N4" i="2"/>
  <c r="J4" i="2"/>
  <c r="K4" i="2" s="1"/>
  <c r="I4" i="2"/>
  <c r="H4" i="2"/>
  <c r="G4" i="2"/>
  <c r="F4" i="2"/>
  <c r="E4" i="2"/>
  <c r="D4" i="2"/>
  <c r="B4" i="2"/>
  <c r="A4" i="2"/>
  <c r="AE3" i="2"/>
  <c r="AD3" i="2"/>
  <c r="AC3" i="2"/>
  <c r="AB3" i="2"/>
  <c r="AA3" i="2"/>
  <c r="Z3" i="2"/>
  <c r="Y3" i="2"/>
  <c r="X3" i="2"/>
  <c r="V3" i="2"/>
  <c r="U3" i="2"/>
  <c r="T3" i="2"/>
  <c r="R3" i="2"/>
  <c r="Q3" i="2"/>
  <c r="P3" i="2"/>
  <c r="O3" i="2"/>
  <c r="N3" i="2"/>
  <c r="M3" i="2"/>
  <c r="J3" i="2"/>
  <c r="K3" i="2" s="1"/>
  <c r="I3" i="2"/>
  <c r="H3" i="2"/>
  <c r="G3" i="2"/>
  <c r="F3" i="2"/>
  <c r="E3" i="2"/>
  <c r="D3" i="2"/>
  <c r="B3" i="2"/>
  <c r="A3" i="2"/>
  <c r="AE2" i="2"/>
  <c r="AD2" i="2"/>
  <c r="AC2" i="2"/>
  <c r="AB2" i="2"/>
  <c r="AA2" i="2"/>
  <c r="Z2" i="2"/>
  <c r="Y2" i="2"/>
  <c r="X2" i="2"/>
  <c r="S2" i="2"/>
  <c r="R2" i="2"/>
  <c r="Q2" i="2"/>
  <c r="P2" i="2"/>
  <c r="O2" i="2"/>
  <c r="J2" i="2"/>
  <c r="K2" i="2" s="1"/>
  <c r="I2" i="2"/>
  <c r="H2" i="2"/>
  <c r="G2" i="2"/>
  <c r="F2" i="2"/>
  <c r="E2" i="2"/>
  <c r="D2" i="2"/>
  <c r="B2" i="2"/>
  <c r="A2" i="2"/>
  <c r="AF20" i="1"/>
  <c r="AE20" i="1"/>
  <c r="AD20" i="1"/>
  <c r="AC20" i="1"/>
  <c r="AB20" i="1"/>
  <c r="AA20" i="1"/>
  <c r="Z20" i="1"/>
  <c r="Y20" i="1"/>
  <c r="X20" i="1"/>
  <c r="W20" i="1"/>
  <c r="U20" i="1"/>
  <c r="T20" i="1"/>
  <c r="S20" i="1"/>
  <c r="R20" i="1"/>
  <c r="Q20" i="1"/>
  <c r="N20" i="1"/>
  <c r="K20" i="1"/>
  <c r="L20" i="1" s="1"/>
  <c r="J20" i="1"/>
  <c r="I20" i="1"/>
  <c r="H20" i="1"/>
  <c r="G20" i="1"/>
  <c r="F20" i="1"/>
  <c r="E20" i="1"/>
  <c r="D20" i="1"/>
  <c r="B20" i="1"/>
  <c r="AF19" i="1"/>
  <c r="AE19" i="1"/>
  <c r="AD19" i="1"/>
  <c r="AC19" i="1"/>
  <c r="AB19" i="1"/>
  <c r="AA19" i="1"/>
  <c r="Z19" i="1"/>
  <c r="Y19" i="1"/>
  <c r="V19" i="1"/>
  <c r="U19" i="1"/>
  <c r="T19" i="1"/>
  <c r="S19" i="1"/>
  <c r="R19" i="1"/>
  <c r="P19" i="1"/>
  <c r="O19" i="1"/>
  <c r="N19" i="1"/>
  <c r="K19" i="1"/>
  <c r="L19" i="1" s="1"/>
  <c r="J19" i="1"/>
  <c r="I19" i="1"/>
  <c r="H19" i="1"/>
  <c r="G19" i="1"/>
  <c r="F19" i="1"/>
  <c r="E19" i="1"/>
  <c r="D19" i="1"/>
  <c r="B19" i="1"/>
  <c r="AF18" i="1"/>
  <c r="AE18" i="1"/>
  <c r="AD18" i="1"/>
  <c r="AC18" i="1"/>
  <c r="AB18" i="1"/>
  <c r="AA18" i="1"/>
  <c r="Z18" i="1"/>
  <c r="Y18" i="1"/>
  <c r="W18" i="1"/>
  <c r="T18" i="1"/>
  <c r="S18" i="1"/>
  <c r="R18" i="1"/>
  <c r="Q18" i="1"/>
  <c r="P18" i="1"/>
  <c r="O18" i="1"/>
  <c r="K18" i="1"/>
  <c r="L18" i="1" s="1"/>
  <c r="X18" i="1" s="1"/>
  <c r="J18" i="1"/>
  <c r="I18" i="1"/>
  <c r="H18" i="1"/>
  <c r="G18" i="1"/>
  <c r="F18" i="1"/>
  <c r="E18" i="1"/>
  <c r="D18" i="1"/>
  <c r="B18" i="1"/>
  <c r="A18" i="1"/>
  <c r="AF17" i="1"/>
  <c r="AE17" i="1"/>
  <c r="AD17" i="1"/>
  <c r="AC17" i="1"/>
  <c r="AB17" i="1"/>
  <c r="AA17" i="1"/>
  <c r="Z17" i="1"/>
  <c r="Y17" i="1"/>
  <c r="X17" i="1"/>
  <c r="W17" i="1"/>
  <c r="U17" i="1"/>
  <c r="T17" i="1"/>
  <c r="R17" i="1"/>
  <c r="Q17" i="1"/>
  <c r="P17" i="1"/>
  <c r="K17" i="1"/>
  <c r="L17" i="1" s="1"/>
  <c r="J17" i="1"/>
  <c r="I17" i="1"/>
  <c r="H17" i="1"/>
  <c r="G17" i="1"/>
  <c r="F17" i="1"/>
  <c r="E17" i="1"/>
  <c r="D17" i="1"/>
  <c r="B17" i="1"/>
  <c r="A17" i="1"/>
  <c r="AF16" i="1"/>
  <c r="AE16" i="1"/>
  <c r="AD16" i="1"/>
  <c r="AC16" i="1"/>
  <c r="AB16" i="1"/>
  <c r="AA16" i="1"/>
  <c r="Z16" i="1"/>
  <c r="Y16" i="1"/>
  <c r="X16" i="1"/>
  <c r="U16" i="1"/>
  <c r="T16" i="1"/>
  <c r="S16" i="1"/>
  <c r="R16" i="1"/>
  <c r="Q16" i="1"/>
  <c r="P16" i="1"/>
  <c r="K16" i="1"/>
  <c r="L16" i="1" s="1"/>
  <c r="J16" i="1"/>
  <c r="I16" i="1"/>
  <c r="H16" i="1"/>
  <c r="G16" i="1"/>
  <c r="F16" i="1"/>
  <c r="E16" i="1"/>
  <c r="D16" i="1"/>
  <c r="B16" i="1"/>
  <c r="A16" i="1"/>
  <c r="AF15" i="1"/>
  <c r="AE15" i="1"/>
  <c r="AD15" i="1"/>
  <c r="AC15" i="1"/>
  <c r="AB15" i="1"/>
  <c r="AA15" i="1"/>
  <c r="Z15" i="1"/>
  <c r="Y15" i="1"/>
  <c r="X15" i="1"/>
  <c r="W15" i="1"/>
  <c r="U15" i="1"/>
  <c r="T15" i="1"/>
  <c r="S15" i="1"/>
  <c r="R15" i="1"/>
  <c r="Q15" i="1"/>
  <c r="P15" i="1"/>
  <c r="O15" i="1"/>
  <c r="J15" i="1"/>
  <c r="I15" i="1"/>
  <c r="H15" i="1"/>
  <c r="B15" i="1"/>
  <c r="C15" i="1" s="1" a="1"/>
  <c r="C15" i="1" s="1"/>
  <c r="A15" i="1"/>
  <c r="AF14" i="1"/>
  <c r="AE14" i="1"/>
  <c r="AD14" i="1"/>
  <c r="AC14" i="1"/>
  <c r="AB14" i="1"/>
  <c r="AA14" i="1"/>
  <c r="Z14" i="1"/>
  <c r="Y14" i="1"/>
  <c r="X14" i="1"/>
  <c r="W14" i="1"/>
  <c r="U14" i="1"/>
  <c r="T14" i="1"/>
  <c r="S14" i="1"/>
  <c r="R14" i="1"/>
  <c r="Q14" i="1"/>
  <c r="P14" i="1"/>
  <c r="O14" i="1"/>
  <c r="J14" i="1"/>
  <c r="I14" i="1"/>
  <c r="H14" i="1"/>
  <c r="B14" i="1"/>
  <c r="C14" i="1" s="1" a="1"/>
  <c r="C14" i="1" s="1"/>
  <c r="A14" i="1"/>
  <c r="AF13" i="1"/>
  <c r="AE13" i="1"/>
  <c r="AD13" i="1"/>
  <c r="AC13" i="1"/>
  <c r="AB13" i="1"/>
  <c r="AA13" i="1"/>
  <c r="Z13" i="1"/>
  <c r="Y13" i="1"/>
  <c r="X13" i="1"/>
  <c r="W13" i="1"/>
  <c r="U13" i="1"/>
  <c r="T13" i="1"/>
  <c r="S13" i="1"/>
  <c r="R13" i="1"/>
  <c r="Q13" i="1"/>
  <c r="P13" i="1"/>
  <c r="N13" i="1"/>
  <c r="J13" i="1"/>
  <c r="I13" i="1"/>
  <c r="H13" i="1"/>
  <c r="B13" i="1"/>
  <c r="C13" i="1" s="1" a="1"/>
  <c r="C13" i="1" s="1"/>
  <c r="A13" i="1"/>
  <c r="AF12" i="1"/>
  <c r="AE12" i="1"/>
  <c r="AD12" i="1"/>
  <c r="AC12" i="1"/>
  <c r="AB12" i="1"/>
  <c r="AA12" i="1"/>
  <c r="Z12" i="1"/>
  <c r="Y12" i="1"/>
  <c r="X12" i="1"/>
  <c r="W12" i="1"/>
  <c r="U12" i="1"/>
  <c r="T12" i="1"/>
  <c r="S12" i="1"/>
  <c r="R12" i="1"/>
  <c r="Q12" i="1"/>
  <c r="P12" i="1"/>
  <c r="N12" i="1"/>
  <c r="K12" i="1"/>
  <c r="L12" i="1" s="1"/>
  <c r="O12" i="1" s="1"/>
  <c r="J12" i="1"/>
  <c r="I12" i="1"/>
  <c r="H12" i="1"/>
  <c r="G12" i="1"/>
  <c r="F12" i="1"/>
  <c r="E12" i="1"/>
  <c r="D12" i="1"/>
  <c r="B12" i="1"/>
  <c r="A12" i="1"/>
  <c r="AF11" i="1"/>
  <c r="AE11" i="1"/>
  <c r="AD11" i="1"/>
  <c r="AC11" i="1"/>
  <c r="AB11" i="1"/>
  <c r="AA11" i="1"/>
  <c r="Z11" i="1"/>
  <c r="Y11" i="1"/>
  <c r="X11" i="1"/>
  <c r="W11" i="1"/>
  <c r="U11" i="1"/>
  <c r="T11" i="1"/>
  <c r="S11" i="1"/>
  <c r="R11" i="1"/>
  <c r="Q11" i="1"/>
  <c r="P11" i="1"/>
  <c r="N11" i="1"/>
  <c r="K11" i="1"/>
  <c r="L11" i="1" s="1"/>
  <c r="J11" i="1"/>
  <c r="I11" i="1"/>
  <c r="H11" i="1"/>
  <c r="G11" i="1"/>
  <c r="F11" i="1"/>
  <c r="E11" i="1"/>
  <c r="D11" i="1"/>
  <c r="B11" i="1"/>
  <c r="A11" i="1"/>
  <c r="AF10" i="1"/>
  <c r="AE10" i="1"/>
  <c r="AD10" i="1"/>
  <c r="AC10" i="1"/>
  <c r="AB10" i="1"/>
  <c r="AA10" i="1"/>
  <c r="Z10" i="1"/>
  <c r="Y10" i="1"/>
  <c r="X10" i="1"/>
  <c r="W10" i="1"/>
  <c r="U10" i="1"/>
  <c r="T10" i="1"/>
  <c r="R10" i="1"/>
  <c r="Q10" i="1"/>
  <c r="P10" i="1"/>
  <c r="O10" i="1"/>
  <c r="K10" i="1"/>
  <c r="L10" i="1" s="1"/>
  <c r="J10" i="1"/>
  <c r="I10" i="1"/>
  <c r="H10" i="1"/>
  <c r="G10" i="1"/>
  <c r="F10" i="1"/>
  <c r="E10" i="1"/>
  <c r="D10" i="1"/>
  <c r="B10" i="1"/>
  <c r="A10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J9" i="1"/>
  <c r="I9" i="1"/>
  <c r="H9" i="1"/>
  <c r="B9" i="1"/>
  <c r="C9" i="1" s="1" a="1"/>
  <c r="C9" i="1" s="1"/>
  <c r="A9" i="1"/>
  <c r="AF8" i="1"/>
  <c r="AE8" i="1"/>
  <c r="AD8" i="1"/>
  <c r="AC8" i="1"/>
  <c r="AB8" i="1"/>
  <c r="AA8" i="1"/>
  <c r="Z8" i="1"/>
  <c r="Y8" i="1"/>
  <c r="X8" i="1"/>
  <c r="W8" i="1"/>
  <c r="U8" i="1"/>
  <c r="T8" i="1"/>
  <c r="S8" i="1"/>
  <c r="R8" i="1"/>
  <c r="Q8" i="1"/>
  <c r="P8" i="1"/>
  <c r="N8" i="1"/>
  <c r="J8" i="1"/>
  <c r="I8" i="1"/>
  <c r="H8" i="1"/>
  <c r="C8" i="1" a="1"/>
  <c r="C8" i="1" s="1"/>
  <c r="B8" i="1"/>
  <c r="A8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K7" i="1"/>
  <c r="L7" i="1" s="1"/>
  <c r="J7" i="1"/>
  <c r="I7" i="1"/>
  <c r="H7" i="1"/>
  <c r="G7" i="1"/>
  <c r="F7" i="1"/>
  <c r="E7" i="1"/>
  <c r="D7" i="1"/>
  <c r="B7" i="1"/>
  <c r="A7" i="1"/>
  <c r="AF6" i="1"/>
  <c r="AE6" i="1"/>
  <c r="AD6" i="1"/>
  <c r="AC6" i="1"/>
  <c r="AB6" i="1"/>
  <c r="AA6" i="1"/>
  <c r="Z6" i="1"/>
  <c r="Y6" i="1"/>
  <c r="T6" i="1"/>
  <c r="S6" i="1"/>
  <c r="R6" i="1"/>
  <c r="Q6" i="1"/>
  <c r="P6" i="1"/>
  <c r="J6" i="1"/>
  <c r="I6" i="1"/>
  <c r="H6" i="1"/>
  <c r="B6" i="1"/>
  <c r="C6" i="1" s="1" a="1"/>
  <c r="C6" i="1" s="1"/>
  <c r="A6" i="1"/>
  <c r="AF5" i="1"/>
  <c r="AE5" i="1"/>
  <c r="AD5" i="1"/>
  <c r="AC5" i="1"/>
  <c r="AB5" i="1"/>
  <c r="AA5" i="1"/>
  <c r="J5" i="1"/>
  <c r="I5" i="1"/>
  <c r="H5" i="1"/>
  <c r="B5" i="1"/>
  <c r="C5" i="1" s="1" a="1"/>
  <c r="C5" i="1" s="1"/>
  <c r="A5" i="1"/>
  <c r="AF4" i="1"/>
  <c r="AE4" i="1"/>
  <c r="AD4" i="1"/>
  <c r="AC4" i="1"/>
  <c r="AB4" i="1"/>
  <c r="AA4" i="1"/>
  <c r="Z4" i="1"/>
  <c r="Y4" i="1"/>
  <c r="X4" i="1"/>
  <c r="W4" i="1"/>
  <c r="U4" i="1"/>
  <c r="T4" i="1"/>
  <c r="S4" i="1"/>
  <c r="R4" i="1"/>
  <c r="Q4" i="1"/>
  <c r="P4" i="1"/>
  <c r="O4" i="1"/>
  <c r="J4" i="1"/>
  <c r="I4" i="1"/>
  <c r="H4" i="1"/>
  <c r="C4" i="1" a="1"/>
  <c r="C4" i="1" s="1"/>
  <c r="B4" i="1"/>
  <c r="A4" i="1"/>
  <c r="AF3" i="1"/>
  <c r="AE3" i="1"/>
  <c r="AD3" i="1"/>
  <c r="AC3" i="1"/>
  <c r="AB3" i="1"/>
  <c r="AA3" i="1"/>
  <c r="Z3" i="1"/>
  <c r="Y3" i="1"/>
  <c r="X3" i="1"/>
  <c r="W3" i="1"/>
  <c r="U3" i="1"/>
  <c r="T3" i="1"/>
  <c r="S3" i="1"/>
  <c r="R3" i="1"/>
  <c r="Q3" i="1"/>
  <c r="P3" i="1"/>
  <c r="O3" i="1"/>
  <c r="J3" i="1"/>
  <c r="I3" i="1"/>
  <c r="H3" i="1"/>
  <c r="B3" i="1"/>
  <c r="C3" i="1" s="1" a="1"/>
  <c r="C3" i="1" s="1"/>
  <c r="A3" i="1"/>
  <c r="AF2" i="1"/>
  <c r="AE2" i="1"/>
  <c r="AD2" i="1"/>
  <c r="AC2" i="1"/>
  <c r="AB2" i="1"/>
  <c r="AA2" i="1"/>
  <c r="Z2" i="1"/>
  <c r="Y2" i="1"/>
  <c r="T2" i="1"/>
  <c r="S2" i="1"/>
  <c r="R2" i="1"/>
  <c r="Q2" i="1"/>
  <c r="O2" i="1"/>
  <c r="J2" i="1"/>
  <c r="I2" i="1"/>
  <c r="H2" i="1"/>
  <c r="B2" i="1"/>
  <c r="A2" i="1"/>
  <c r="G13" i="1" l="1"/>
  <c r="K13" i="1"/>
  <c r="L13" i="1" s="1"/>
  <c r="N92" i="3"/>
  <c r="X92" i="3"/>
  <c r="O92" i="3"/>
  <c r="W92" i="3"/>
  <c r="P92" i="3"/>
  <c r="D5" i="1"/>
  <c r="K5" i="1"/>
  <c r="L5" i="1" s="1"/>
  <c r="V63" i="3"/>
  <c r="X63" i="3"/>
  <c r="W63" i="3"/>
  <c r="P63" i="3"/>
  <c r="O63" i="3"/>
  <c r="N86" i="3"/>
  <c r="P86" i="3"/>
  <c r="X86" i="3"/>
  <c r="O86" i="3"/>
  <c r="W86" i="3"/>
  <c r="N88" i="3"/>
  <c r="P88" i="3"/>
  <c r="W88" i="3"/>
  <c r="O88" i="3"/>
  <c r="N17" i="3"/>
  <c r="W17" i="3"/>
  <c r="O17" i="3"/>
  <c r="K4" i="1"/>
  <c r="L4" i="1" s="1"/>
  <c r="D4" i="1"/>
  <c r="O23" i="3"/>
  <c r="W23" i="3"/>
  <c r="Q6" i="3"/>
  <c r="X36" i="3"/>
  <c r="Z3" i="3"/>
  <c r="W83" i="3"/>
  <c r="C2" i="1" a="1"/>
  <c r="C2" i="1" s="1"/>
  <c r="R18" i="9"/>
  <c r="Q14" i="9"/>
  <c r="Q22" i="9"/>
  <c r="P18" i="9"/>
  <c r="O6" i="9"/>
  <c r="O14" i="9"/>
  <c r="O22" i="9"/>
  <c r="N18" i="9"/>
  <c r="M6" i="9"/>
  <c r="M14" i="9"/>
  <c r="M22" i="9"/>
  <c r="R19" i="9"/>
  <c r="O7" i="9"/>
  <c r="M15" i="9"/>
  <c r="P13" i="9"/>
  <c r="M9" i="9"/>
  <c r="N14" i="9"/>
  <c r="Q19" i="9"/>
  <c r="M19" i="9"/>
  <c r="R12" i="9"/>
  <c r="M17" i="9"/>
  <c r="R22" i="9"/>
  <c r="P14" i="9"/>
  <c r="M10" i="9"/>
  <c r="R15" i="9"/>
  <c r="O19" i="9"/>
  <c r="M11" i="9"/>
  <c r="Q12" i="9"/>
  <c r="Q20" i="9"/>
  <c r="O12" i="9"/>
  <c r="O20" i="9"/>
  <c r="M4" i="9"/>
  <c r="M12" i="9"/>
  <c r="M20" i="9"/>
  <c r="O21" i="9"/>
  <c r="M13" i="9"/>
  <c r="Q23" i="9"/>
  <c r="M7" i="9"/>
  <c r="R20" i="9"/>
  <c r="P20" i="9"/>
  <c r="N20" i="9"/>
  <c r="M16" i="9"/>
  <c r="R21" i="9"/>
  <c r="O9" i="9"/>
  <c r="N21" i="9"/>
  <c r="O18" i="9"/>
  <c r="R23" i="9"/>
  <c r="R9" i="9"/>
  <c r="Q13" i="9"/>
  <c r="Q21" i="9"/>
  <c r="P9" i="9"/>
  <c r="O13" i="9"/>
  <c r="N9" i="9"/>
  <c r="M5" i="9"/>
  <c r="M21" i="9"/>
  <c r="P19" i="9"/>
  <c r="O23" i="9"/>
  <c r="N19" i="9"/>
  <c r="P12" i="9"/>
  <c r="N12" i="9"/>
  <c r="M8" i="9"/>
  <c r="R13" i="9"/>
  <c r="Q9" i="9"/>
  <c r="P21" i="9"/>
  <c r="N13" i="9"/>
  <c r="R14" i="9"/>
  <c r="Q18" i="9"/>
  <c r="P22" i="9"/>
  <c r="N22" i="9"/>
  <c r="M18" i="9"/>
  <c r="P23" i="9"/>
  <c r="N7" i="9"/>
  <c r="N15" i="9"/>
  <c r="O6" i="3"/>
  <c r="W35" i="3"/>
  <c r="O83" i="3"/>
  <c r="N96" i="3"/>
  <c r="P5" i="3"/>
  <c r="V5" i="3"/>
  <c r="N5" i="3"/>
  <c r="W56" i="3"/>
  <c r="O56" i="3"/>
  <c r="X81" i="3"/>
  <c r="P81" i="3"/>
  <c r="W81" i="3"/>
  <c r="O81" i="3"/>
  <c r="V81" i="3"/>
  <c r="N81" i="3"/>
  <c r="O5" i="3"/>
  <c r="X7" i="3"/>
  <c r="P7" i="3"/>
  <c r="V7" i="3"/>
  <c r="N7" i="3"/>
  <c r="T7" i="3"/>
  <c r="S7" i="3"/>
  <c r="O13" i="3"/>
  <c r="W13" i="3"/>
  <c r="O21" i="3"/>
  <c r="W21" i="3"/>
  <c r="W29" i="3"/>
  <c r="O29" i="3"/>
  <c r="N29" i="3"/>
  <c r="N56" i="3"/>
  <c r="P74" i="3"/>
  <c r="W74" i="3"/>
  <c r="N74" i="3"/>
  <c r="N111" i="3"/>
  <c r="W111" i="3"/>
  <c r="O111" i="3"/>
  <c r="V120" i="3"/>
  <c r="N120" i="3"/>
  <c r="U120" i="3"/>
  <c r="T120" i="3"/>
  <c r="AA120" i="3"/>
  <c r="S120" i="3"/>
  <c r="Z120" i="3"/>
  <c r="R120" i="3"/>
  <c r="Y120" i="3"/>
  <c r="Q120" i="3"/>
  <c r="X120" i="3"/>
  <c r="P120" i="3"/>
  <c r="W120" i="3"/>
  <c r="O120" i="3"/>
  <c r="P15" i="3"/>
  <c r="W15" i="3"/>
  <c r="N15" i="3"/>
  <c r="P8" i="3"/>
  <c r="V8" i="3"/>
  <c r="N8" i="3"/>
  <c r="AA8" i="3"/>
  <c r="V16" i="3"/>
  <c r="N16" i="3"/>
  <c r="S16" i="3"/>
  <c r="T42" i="3"/>
  <c r="AA42" i="3"/>
  <c r="S42" i="3"/>
  <c r="Z42" i="3"/>
  <c r="R42" i="3"/>
  <c r="Y42" i="3"/>
  <c r="Q42" i="3"/>
  <c r="X42" i="3"/>
  <c r="P42" i="3"/>
  <c r="N42" i="3"/>
  <c r="W42" i="3"/>
  <c r="O42" i="3"/>
  <c r="V42" i="3"/>
  <c r="T53" i="3"/>
  <c r="O53" i="3"/>
  <c r="W53" i="3"/>
  <c r="X53" i="3"/>
  <c r="P53" i="3"/>
  <c r="N71" i="3"/>
  <c r="O71" i="3"/>
  <c r="W71" i="3"/>
  <c r="P71" i="3"/>
  <c r="V115" i="3"/>
  <c r="N115" i="3"/>
  <c r="W115" i="3"/>
  <c r="O115" i="3"/>
  <c r="W25" i="3"/>
  <c r="O25" i="3"/>
  <c r="N25" i="3"/>
  <c r="W2" i="3"/>
  <c r="O4" i="3"/>
  <c r="W4" i="3"/>
  <c r="Q7" i="3"/>
  <c r="O8" i="3"/>
  <c r="X10" i="3"/>
  <c r="P10" i="3"/>
  <c r="N10" i="3"/>
  <c r="O16" i="3"/>
  <c r="P20" i="3"/>
  <c r="N20" i="3"/>
  <c r="W20" i="3"/>
  <c r="O24" i="3"/>
  <c r="W24" i="3"/>
  <c r="U42" i="3"/>
  <c r="T51" i="3"/>
  <c r="S51" i="3"/>
  <c r="O51" i="3"/>
  <c r="Y51" i="3"/>
  <c r="X51" i="3"/>
  <c r="N53" i="3"/>
  <c r="O55" i="3"/>
  <c r="W55" i="3"/>
  <c r="P100" i="3"/>
  <c r="W100" i="3"/>
  <c r="O100" i="3"/>
  <c r="N100" i="3"/>
  <c r="T100" i="3"/>
  <c r="Q100" i="3"/>
  <c r="X102" i="3"/>
  <c r="P102" i="3"/>
  <c r="W102" i="3"/>
  <c r="O102" i="3"/>
  <c r="V102" i="3"/>
  <c r="N102" i="3"/>
  <c r="U102" i="3"/>
  <c r="T102" i="3"/>
  <c r="Q102" i="3"/>
  <c r="S102" i="3"/>
  <c r="Y102" i="3"/>
  <c r="R102" i="3"/>
  <c r="P106" i="3"/>
  <c r="W106" i="3"/>
  <c r="O106" i="3"/>
  <c r="N106" i="3"/>
  <c r="P2" i="3"/>
  <c r="N2" i="3"/>
  <c r="V6" i="3"/>
  <c r="N6" i="3"/>
  <c r="W6" i="3"/>
  <c r="X12" i="3"/>
  <c r="P12" i="3"/>
  <c r="N12" i="3"/>
  <c r="W12" i="3"/>
  <c r="O20" i="3"/>
  <c r="X31" i="3"/>
  <c r="P31" i="3"/>
  <c r="W31" i="3"/>
  <c r="O31" i="3"/>
  <c r="N31" i="3"/>
  <c r="N55" i="3"/>
  <c r="P76" i="3"/>
  <c r="W76" i="3"/>
  <c r="O76" i="3"/>
  <c r="V76" i="3"/>
  <c r="N76" i="3"/>
  <c r="Q79" i="3"/>
  <c r="X79" i="3"/>
  <c r="P79" i="3"/>
  <c r="W79" i="3"/>
  <c r="N79" i="3"/>
  <c r="U79" i="3"/>
  <c r="W109" i="3"/>
  <c r="V109" i="3"/>
  <c r="N109" i="3"/>
  <c r="X30" i="3"/>
  <c r="P30" i="3"/>
  <c r="O30" i="3"/>
  <c r="W30" i="3"/>
  <c r="V30" i="3"/>
  <c r="N30" i="3"/>
  <c r="T30" i="3"/>
  <c r="S30" i="3"/>
  <c r="T39" i="3"/>
  <c r="V39" i="3"/>
  <c r="N39" i="3"/>
  <c r="X39" i="3"/>
  <c r="P39" i="3"/>
  <c r="W39" i="3"/>
  <c r="O39" i="3"/>
  <c r="T43" i="3"/>
  <c r="S43" i="3"/>
  <c r="AA43" i="3"/>
  <c r="Z43" i="3"/>
  <c r="R43" i="3"/>
  <c r="Y43" i="3"/>
  <c r="Q43" i="3"/>
  <c r="X43" i="3"/>
  <c r="P43" i="3"/>
  <c r="V43" i="3"/>
  <c r="W43" i="3"/>
  <c r="O43" i="3"/>
  <c r="N43" i="3"/>
  <c r="T52" i="3"/>
  <c r="X52" i="3"/>
  <c r="O57" i="3"/>
  <c r="W57" i="3"/>
  <c r="O67" i="3"/>
  <c r="W67" i="3"/>
  <c r="N67" i="3"/>
  <c r="W73" i="3"/>
  <c r="O73" i="3"/>
  <c r="N73" i="3"/>
  <c r="Q80" i="3"/>
  <c r="P80" i="3"/>
  <c r="W80" i="3"/>
  <c r="N80" i="3"/>
  <c r="O9" i="3"/>
  <c r="W9" i="3"/>
  <c r="X14" i="3"/>
  <c r="V14" i="3"/>
  <c r="N14" i="3"/>
  <c r="W14" i="3"/>
  <c r="X32" i="3"/>
  <c r="P32" i="3"/>
  <c r="W32" i="3"/>
  <c r="O32" i="3"/>
  <c r="V32" i="3"/>
  <c r="N32" i="3"/>
  <c r="T32" i="3"/>
  <c r="S32" i="3"/>
  <c r="V40" i="3"/>
  <c r="N40" i="3"/>
  <c r="W40" i="3"/>
  <c r="O40" i="3"/>
  <c r="U43" i="3"/>
  <c r="U44" i="3"/>
  <c r="T44" i="3"/>
  <c r="AA44" i="3"/>
  <c r="S44" i="3"/>
  <c r="W44" i="3"/>
  <c r="Z44" i="3"/>
  <c r="R44" i="3"/>
  <c r="Y44" i="3"/>
  <c r="Q44" i="3"/>
  <c r="O44" i="3"/>
  <c r="X44" i="3"/>
  <c r="P44" i="3"/>
  <c r="N52" i="3"/>
  <c r="N57" i="3"/>
  <c r="W59" i="3"/>
  <c r="O59" i="3"/>
  <c r="N59" i="3"/>
  <c r="W95" i="3"/>
  <c r="N95" i="3"/>
  <c r="T95" i="3"/>
  <c r="P3" i="3"/>
  <c r="V3" i="3"/>
  <c r="N3" i="3"/>
  <c r="U3" i="3"/>
  <c r="Y3" i="3"/>
  <c r="W5" i="3"/>
  <c r="P11" i="3"/>
  <c r="N11" i="3"/>
  <c r="W11" i="3"/>
  <c r="O14" i="3"/>
  <c r="Y14" i="3"/>
  <c r="O22" i="3"/>
  <c r="W22" i="3"/>
  <c r="Q32" i="3"/>
  <c r="N44" i="3"/>
  <c r="O99" i="3"/>
  <c r="N99" i="3"/>
  <c r="T99" i="3"/>
  <c r="W121" i="3"/>
  <c r="O121" i="3"/>
  <c r="N121" i="3"/>
  <c r="U121" i="3"/>
  <c r="Q36" i="3"/>
  <c r="Y36" i="3"/>
  <c r="Y37" i="3"/>
  <c r="Q63" i="3"/>
  <c r="Y63" i="3"/>
  <c r="Y88" i="3"/>
  <c r="Q92" i="3"/>
  <c r="N97" i="3"/>
  <c r="X35" i="3"/>
  <c r="R36" i="3"/>
  <c r="R37" i="3"/>
  <c r="R63" i="3"/>
  <c r="Z63" i="3"/>
  <c r="N72" i="3"/>
  <c r="R86" i="3"/>
  <c r="S63" i="3"/>
  <c r="AA63" i="3"/>
  <c r="O72" i="3"/>
  <c r="P35" i="3"/>
  <c r="T63" i="3"/>
  <c r="T83" i="3"/>
  <c r="Y97" i="3"/>
  <c r="U63" i="3"/>
  <c r="N35" i="3"/>
  <c r="N63" i="3"/>
  <c r="O96" i="3"/>
  <c r="Q10" i="2"/>
  <c r="U10" i="2"/>
  <c r="L10" i="2"/>
  <c r="U12" i="2"/>
  <c r="T12" i="2"/>
  <c r="L12" i="2"/>
  <c r="U2" i="2"/>
  <c r="V2" i="2"/>
  <c r="W2" i="2"/>
  <c r="N2" i="2"/>
  <c r="M2" i="2"/>
  <c r="T2" i="2"/>
  <c r="L2" i="2"/>
  <c r="U4" i="2"/>
  <c r="M4" i="2"/>
  <c r="L4" i="2"/>
  <c r="S3" i="2"/>
  <c r="W3" i="2"/>
  <c r="L3" i="2"/>
  <c r="U8" i="2"/>
  <c r="M8" i="2"/>
  <c r="T8" i="2"/>
  <c r="L8" i="2"/>
  <c r="W8" i="2"/>
  <c r="Y6" i="2"/>
  <c r="Q6" i="2"/>
  <c r="X6" i="2"/>
  <c r="P6" i="2"/>
  <c r="N6" i="2"/>
  <c r="M6" i="2"/>
  <c r="W6" i="2"/>
  <c r="U6" i="2"/>
  <c r="V6" i="2"/>
  <c r="T6" i="2"/>
  <c r="L6" i="2"/>
  <c r="S6" i="2"/>
  <c r="R6" i="2"/>
  <c r="W7" i="2"/>
  <c r="M7" i="2"/>
  <c r="L7" i="2"/>
  <c r="Q5" i="2"/>
  <c r="L5" i="2"/>
  <c r="U5" i="2"/>
  <c r="M9" i="2"/>
  <c r="U9" i="2"/>
  <c r="M5" i="2"/>
  <c r="N5" i="2"/>
  <c r="G8" i="1"/>
  <c r="R10" i="9" s="1"/>
  <c r="F8" i="1"/>
  <c r="Q10" i="9" s="1"/>
  <c r="E8" i="1"/>
  <c r="P10" i="9" s="1"/>
  <c r="D8" i="1"/>
  <c r="O10" i="9" s="1"/>
  <c r="K8" i="1"/>
  <c r="L8" i="1" s="1"/>
  <c r="G15" i="1"/>
  <c r="R17" i="9" s="1"/>
  <c r="F15" i="1"/>
  <c r="Q17" i="9" s="1"/>
  <c r="E15" i="1"/>
  <c r="P17" i="9" s="1"/>
  <c r="D15" i="1"/>
  <c r="O17" i="9" s="1"/>
  <c r="K15" i="1"/>
  <c r="L15" i="1" s="1"/>
  <c r="D3" i="1"/>
  <c r="O5" i="9" s="1"/>
  <c r="K3" i="1"/>
  <c r="L3" i="1" s="1"/>
  <c r="F3" i="1"/>
  <c r="Q5" i="9" s="1"/>
  <c r="G3" i="1"/>
  <c r="R5" i="9" s="1"/>
  <c r="E3" i="1"/>
  <c r="P5" i="9" s="1"/>
  <c r="O11" i="1"/>
  <c r="V11" i="1"/>
  <c r="M11" i="1"/>
  <c r="M19" i="1"/>
  <c r="Q19" i="1"/>
  <c r="X19" i="1"/>
  <c r="W19" i="1"/>
  <c r="G14" i="1"/>
  <c r="R16" i="9" s="1"/>
  <c r="F14" i="1"/>
  <c r="Q16" i="9" s="1"/>
  <c r="E14" i="1"/>
  <c r="P16" i="9" s="1"/>
  <c r="D14" i="1"/>
  <c r="O16" i="9" s="1"/>
  <c r="K14" i="1"/>
  <c r="L14" i="1" s="1"/>
  <c r="P20" i="1"/>
  <c r="O20" i="1"/>
  <c r="V20" i="1"/>
  <c r="M20" i="1"/>
  <c r="M4" i="1"/>
  <c r="V4" i="1"/>
  <c r="N4" i="1"/>
  <c r="S5" i="1"/>
  <c r="Z5" i="1"/>
  <c r="R5" i="1"/>
  <c r="Y5" i="1"/>
  <c r="Q5" i="1"/>
  <c r="X5" i="1"/>
  <c r="P5" i="1"/>
  <c r="O5" i="1"/>
  <c r="V5" i="1"/>
  <c r="U5" i="1"/>
  <c r="W5" i="1"/>
  <c r="N5" i="1"/>
  <c r="M5" i="1"/>
  <c r="T5" i="1"/>
  <c r="G9" i="1"/>
  <c r="R11" i="9" s="1"/>
  <c r="D9" i="1"/>
  <c r="O11" i="9" s="1"/>
  <c r="F9" i="1"/>
  <c r="Q11" i="9" s="1"/>
  <c r="E9" i="1"/>
  <c r="P11" i="9" s="1"/>
  <c r="K9" i="1"/>
  <c r="L9" i="1" s="1"/>
  <c r="O13" i="1"/>
  <c r="V13" i="1"/>
  <c r="M13" i="1"/>
  <c r="W16" i="1"/>
  <c r="O16" i="1"/>
  <c r="V16" i="1"/>
  <c r="N16" i="1"/>
  <c r="M16" i="1"/>
  <c r="E2" i="1"/>
  <c r="P4" i="9" s="1"/>
  <c r="D2" i="1"/>
  <c r="O4" i="9" s="1"/>
  <c r="G2" i="1"/>
  <c r="R4" i="9" s="1"/>
  <c r="K2" i="1"/>
  <c r="L2" i="1" s="1"/>
  <c r="F2" i="1"/>
  <c r="Q4" i="9" s="1"/>
  <c r="G6" i="1"/>
  <c r="R8" i="9" s="1"/>
  <c r="F6" i="1"/>
  <c r="Q8" i="9" s="1"/>
  <c r="E6" i="1"/>
  <c r="P8" i="9" s="1"/>
  <c r="D6" i="1"/>
  <c r="O8" i="9" s="1"/>
  <c r="K6" i="1"/>
  <c r="L6" i="1" s="1"/>
  <c r="V10" i="1"/>
  <c r="N10" i="1"/>
  <c r="S10" i="1"/>
  <c r="M10" i="1"/>
  <c r="S17" i="1"/>
  <c r="O17" i="1"/>
  <c r="V17" i="1"/>
  <c r="N17" i="1"/>
  <c r="M17" i="1"/>
  <c r="M12" i="1"/>
  <c r="D13" i="1"/>
  <c r="O15" i="9" s="1"/>
  <c r="M18" i="1"/>
  <c r="U18" i="1"/>
  <c r="E4" i="1"/>
  <c r="P6" i="9" s="1"/>
  <c r="V12" i="1"/>
  <c r="E13" i="1"/>
  <c r="P15" i="9" s="1"/>
  <c r="N18" i="1"/>
  <c r="V18" i="1"/>
  <c r="E5" i="1"/>
  <c r="P7" i="9" s="1"/>
  <c r="F13" i="1"/>
  <c r="Q15" i="9" s="1"/>
  <c r="G4" i="1"/>
  <c r="R6" i="9" s="1"/>
  <c r="F4" i="1"/>
  <c r="Q6" i="9" s="1"/>
  <c r="F5" i="1"/>
  <c r="Q7" i="9" s="1"/>
  <c r="G5" i="1"/>
  <c r="R7" i="9" s="1"/>
  <c r="N8" i="9" l="1"/>
  <c r="N17" i="9"/>
  <c r="N10" i="9"/>
  <c r="N5" i="9"/>
  <c r="N6" i="9"/>
  <c r="N4" i="9"/>
  <c r="N11" i="9"/>
  <c r="N16" i="9"/>
  <c r="V15" i="1"/>
  <c r="N15" i="1"/>
  <c r="M15" i="1"/>
  <c r="N2" i="1"/>
  <c r="U2" i="1"/>
  <c r="M2" i="1"/>
  <c r="X2" i="1"/>
  <c r="W2" i="1"/>
  <c r="P2" i="1"/>
  <c r="V2" i="1"/>
  <c r="X6" i="1"/>
  <c r="W6" i="1"/>
  <c r="O6" i="1"/>
  <c r="V6" i="1"/>
  <c r="N6" i="1"/>
  <c r="U6" i="1"/>
  <c r="M6" i="1"/>
  <c r="M8" i="1"/>
  <c r="O8" i="1"/>
  <c r="V8" i="1"/>
  <c r="M3" i="1"/>
  <c r="N3" i="1"/>
  <c r="V3" i="1"/>
  <c r="V14" i="1"/>
  <c r="N14" i="1"/>
  <c r="M14" i="1"/>
  <c r="AG13" i="7"/>
  <c r="AG8" i="7"/>
  <c r="AG17" i="7"/>
  <c r="AG4" i="7"/>
  <c r="AG3" i="7"/>
  <c r="AG16" i="7"/>
  <c r="AG11" i="7"/>
  <c r="AG2" i="7"/>
  <c r="AG10" i="7"/>
  <c r="AG9" i="7"/>
  <c r="AG12" i="7"/>
  <c r="AG14" i="7"/>
  <c r="AG6" i="7"/>
  <c r="AG7" i="7"/>
  <c r="AG18" i="7"/>
  <c r="AG19" i="7"/>
  <c r="AG5" i="7"/>
  <c r="AG1" i="7"/>
  <c r="AG15" i="7"/>
  <c r="AH11" i="7"/>
  <c r="AH10" i="7"/>
  <c r="AH16" i="7"/>
  <c r="AH6" i="7"/>
  <c r="AH7" i="7"/>
  <c r="AH13" i="7"/>
  <c r="AH3" i="7"/>
  <c r="AH12" i="7"/>
  <c r="AH5" i="7"/>
  <c r="AH18" i="7"/>
  <c r="AH17" i="7"/>
  <c r="AH19" i="7"/>
  <c r="AH4" i="7"/>
  <c r="AH15" i="7"/>
  <c r="AH2" i="7"/>
  <c r="AH14" i="7"/>
  <c r="AH9" i="7"/>
  <c r="AH1" i="7"/>
  <c r="AH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tc={FFAEB2F0-C2EE-45DC-BF3A-C8061FEAB73A}</author>
  </authors>
  <commentList>
    <comment ref="M1" authorId="0" shapeId="0" xr:uid="{FFAEB2F0-C2EE-45DC-BF3A-C8061FEAB73A}">
      <text>
        <t>[Threaded comment]
Your version of Excel allows you to read this threaded comment; however, any edits to it will get removed if the file is opened in a newer version of Excel. Learn more: https://go.microsoft.com/fwlink/?linkid=870924
Comment:
    EUR 1,1??? similar for other analysis files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tc={2E496019-7CD7-4621-AEEB-4AD9E740FD48}</author>
  </authors>
  <commentList>
    <comment ref="M1" authorId="0" shapeId="0" xr:uid="{2E496019-7CD7-4621-AEEB-4AD9E740FD48}">
      <text>
        <t>[Threaded comment]
Your version of Excel allows you to read this threaded comment; however, any edits to it will get removed if the file is opened in a newer version of Excel. Learn more: https://go.microsoft.com/fwlink/?linkid=870924
Comment:
    EUR 1,1??? similar for other analysis files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<sst xmlns="http://schemas.openxmlformats.org/spreadsheetml/2006/main" count="4786" uniqueCount="488">
  <si>
    <t>Company Name</t>
  </si>
  <si>
    <t>Vehicle Name</t>
  </si>
  <si>
    <t>ID</t>
  </si>
  <si>
    <t>Loan Strategy</t>
  </si>
  <si>
    <t>Target Regional Strategy</t>
  </si>
  <si>
    <t>Vehicle Structure</t>
  </si>
  <si>
    <t>year of first closing</t>
  </si>
  <si>
    <t>RaisedCapital</t>
  </si>
  <si>
    <t>WhyNo</t>
  </si>
  <si>
    <t>Other (please specify)</t>
  </si>
  <si>
    <t>Currency of Reporting</t>
  </si>
  <si>
    <t>EUR</t>
  </si>
  <si>
    <t>TotalAmountRaised</t>
  </si>
  <si>
    <t>PensionFunds</t>
  </si>
  <si>
    <t>InsuranceCompanies</t>
  </si>
  <si>
    <t>SWFs</t>
  </si>
  <si>
    <t>Government</t>
  </si>
  <si>
    <t>Charities</t>
  </si>
  <si>
    <t>FundOfFunds</t>
  </si>
  <si>
    <t>HNWI</t>
  </si>
  <si>
    <t>Other</t>
  </si>
  <si>
    <t>Europe</t>
  </si>
  <si>
    <t>APAC</t>
  </si>
  <si>
    <t>NorthAmerica</t>
  </si>
  <si>
    <t>SouthAmerica</t>
  </si>
  <si>
    <t>Africa</t>
  </si>
  <si>
    <t>PlacementAgent</t>
  </si>
  <si>
    <t>InvestorsContacting</t>
  </si>
  <si>
    <t>OwnRelationship</t>
  </si>
  <si>
    <t>Other2</t>
  </si>
  <si>
    <t>Expectations</t>
  </si>
  <si>
    <t>Name</t>
  </si>
  <si>
    <t>Company name</t>
  </si>
  <si>
    <t>VehicleID</t>
  </si>
  <si>
    <t>Manager Defined Style</t>
  </si>
  <si>
    <t>Year of first closing</t>
  </si>
  <si>
    <t>CapitalRaised</t>
  </si>
  <si>
    <t>OtherInvestors</t>
  </si>
  <si>
    <t>OtherAgency</t>
  </si>
  <si>
    <t>Multi country/Single country</t>
  </si>
  <si>
    <t>Target Country (Single-Country Funds)</t>
  </si>
  <si>
    <t>Launched in 2021</t>
  </si>
  <si>
    <t>US</t>
  </si>
  <si>
    <t>Asia</t>
  </si>
  <si>
    <t>Global Fund</t>
  </si>
  <si>
    <t>Core</t>
  </si>
  <si>
    <t>multi country</t>
  </si>
  <si>
    <t>Value-added</t>
  </si>
  <si>
    <t>single country</t>
  </si>
  <si>
    <t>Netherlands</t>
  </si>
  <si>
    <t>SMA</t>
  </si>
  <si>
    <t>Debt</t>
  </si>
  <si>
    <t/>
  </si>
  <si>
    <t>Global</t>
  </si>
  <si>
    <t>aggregated</t>
  </si>
  <si>
    <t>United Kingdom</t>
  </si>
  <si>
    <t>GBP</t>
  </si>
  <si>
    <t>Germany</t>
  </si>
  <si>
    <t>launched in 2021</t>
  </si>
  <si>
    <t>debt fund</t>
  </si>
  <si>
    <t>GLOBAL</t>
  </si>
  <si>
    <t>???</t>
  </si>
  <si>
    <t>question</t>
  </si>
  <si>
    <t>question_code</t>
  </si>
  <si>
    <t>answer</t>
  </si>
  <si>
    <t>answer_code</t>
  </si>
  <si>
    <t>format</t>
  </si>
  <si>
    <t>Respondent ID</t>
  </si>
  <si>
    <t>respondentId</t>
  </si>
  <si>
    <t>TEXT</t>
  </si>
  <si>
    <t>Collector ID</t>
  </si>
  <si>
    <t>collectorId</t>
  </si>
  <si>
    <t>Start Date</t>
  </si>
  <si>
    <t>dateStarted</t>
  </si>
  <si>
    <t>End Date</t>
  </si>
  <si>
    <t>dateEnded</t>
  </si>
  <si>
    <t>IP Address</t>
  </si>
  <si>
    <t>ipAddress</t>
  </si>
  <si>
    <t>Email Address</t>
  </si>
  <si>
    <t>email</t>
  </si>
  <si>
    <t>First Name</t>
  </si>
  <si>
    <t>firstname</t>
  </si>
  <si>
    <t>Last Name</t>
  </si>
  <si>
    <t>lastname</t>
  </si>
  <si>
    <t>Custom Data 1</t>
  </si>
  <si>
    <t>customData1</t>
  </si>
  <si>
    <t>Open-Ended Response</t>
  </si>
  <si>
    <t>qfundname</t>
  </si>
  <si>
    <t>Vehicle ID</t>
  </si>
  <si>
    <t>universeFundID</t>
  </si>
  <si>
    <t>Currency</t>
  </si>
  <si>
    <t>qcurrency</t>
  </si>
  <si>
    <t>loan_strategy</t>
  </si>
  <si>
    <t>qtarget_regional_strategy</t>
  </si>
  <si>
    <t>qfundstructure</t>
  </si>
  <si>
    <t>first_closing_year</t>
  </si>
  <si>
    <t>q1</t>
  </si>
  <si>
    <t>Response</t>
  </si>
  <si>
    <t>q2</t>
  </si>
  <si>
    <t>q2other</t>
  </si>
  <si>
    <t>What was the total amount of capital raised for this vehicle in 2019? (millions)</t>
  </si>
  <si>
    <t>q3</t>
  </si>
  <si>
    <t>currency</t>
  </si>
  <si>
    <t>q4</t>
  </si>
  <si>
    <t>Pension funds</t>
  </si>
  <si>
    <t>q4_1</t>
  </si>
  <si>
    <t>Insurance companies</t>
  </si>
  <si>
    <t>q4_2</t>
  </si>
  <si>
    <t>Sovereign wealth fund</t>
  </si>
  <si>
    <t>q4_3</t>
  </si>
  <si>
    <t>Government institutions</t>
  </si>
  <si>
    <t>q4_4</t>
  </si>
  <si>
    <t>Charities, foundations, non-profit organisations</t>
  </si>
  <si>
    <t>q4_5</t>
  </si>
  <si>
    <t>Fund of funds</t>
  </si>
  <si>
    <t>q4_6</t>
  </si>
  <si>
    <t>High net worth individulas / Family offices</t>
  </si>
  <si>
    <t>q4_7</t>
  </si>
  <si>
    <t>q4_8</t>
  </si>
  <si>
    <t>q5</t>
  </si>
  <si>
    <t>q5_1</t>
  </si>
  <si>
    <t>Asia Pacific</t>
  </si>
  <si>
    <t>q5_2</t>
  </si>
  <si>
    <t>North America</t>
  </si>
  <si>
    <t>q5_3</t>
  </si>
  <si>
    <t>South America</t>
  </si>
  <si>
    <t>q5_4</t>
  </si>
  <si>
    <t>q5_5</t>
  </si>
  <si>
    <t>What percentage of the total capital was raised via...?Total figure should sum up to 100%</t>
  </si>
  <si>
    <t>q6</t>
  </si>
  <si>
    <t>Placement agent (%)</t>
  </si>
  <si>
    <t>q6_1</t>
  </si>
  <si>
    <t>%</t>
  </si>
  <si>
    <t>Investors contacting you directly (%)</t>
  </si>
  <si>
    <t>q6_2</t>
  </si>
  <si>
    <t>Your own direct relationship with investors (%)</t>
  </si>
  <si>
    <t>q6_3</t>
  </si>
  <si>
    <t>Other (%)</t>
  </si>
  <si>
    <t>q6_4</t>
  </si>
  <si>
    <t>How do you expect capital raising activities to develop for non-listed real estate funds over the next two years?</t>
  </si>
  <si>
    <t>q7</t>
  </si>
  <si>
    <t>Would you like the name of your company to be included in the list of participants?</t>
  </si>
  <si>
    <t>q8</t>
  </si>
  <si>
    <t>Style</t>
  </si>
  <si>
    <t>qstyle</t>
  </si>
  <si>
    <t>Vintage</t>
  </si>
  <si>
    <t>Did your company raise capital for this vehicle in 2019?</t>
  </si>
  <si>
    <t>Please state the reason why?</t>
  </si>
  <si>
    <t>Sovereign wealth funds</t>
  </si>
  <si>
    <t>High net worth individuals / Family offices</t>
  </si>
  <si>
    <t>How much capital was raised for this vehicle in 2018 from Institutional Investors by investor domicile? (millions)Please ensure that the total values provided match the values you entered in Q3</t>
  </si>
  <si>
    <t>Increase</t>
  </si>
  <si>
    <t>Yes</t>
  </si>
  <si>
    <t>Vehicle name</t>
  </si>
  <si>
    <t>Did your company raise capital for this vehicle in 2020?</t>
  </si>
  <si>
    <t>If no, please state the reason why?</t>
  </si>
  <si>
    <t>What was the total amount of capital raised for this vehicle in 2020? (millions)</t>
  </si>
  <si>
    <t>How much capital was raised for this vehicle in 2020 from Institutional Investors by investor type? (millions)Please ensure that the total values provided match the values you entered in Q5 - total capital raised</t>
  </si>
  <si>
    <t>How much capital was raised for this vehicle in 2020 from Institutional Investors by investor domicile? (millions)Please ensure that the total values provided match the values you entered in Q5 - total capital raised</t>
  </si>
  <si>
    <t>194.196.91.66</t>
  </si>
  <si>
    <t>PGIM Real Estate</t>
  </si>
  <si>
    <t>PRECap VII</t>
  </si>
  <si>
    <t>208.65.107.140</t>
  </si>
  <si>
    <t>BentallGreenOak</t>
  </si>
  <si>
    <t>UK Secured Lending III</t>
  </si>
  <si>
    <t>Europe Secured Lending II</t>
  </si>
  <si>
    <t>85.115.60.202</t>
  </si>
  <si>
    <t>SCOR Investment Partners</t>
  </si>
  <si>
    <t>SCOR Real Estate Loans IV</t>
  </si>
  <si>
    <t>No change</t>
  </si>
  <si>
    <t>No</t>
  </si>
  <si>
    <t>81.141.109.31</t>
  </si>
  <si>
    <t xml:space="preserve">LaSalle Investment Management </t>
  </si>
  <si>
    <t>LaSalle Real Estate Debt Strategies IV</t>
  </si>
  <si>
    <t>147.161.167.99</t>
  </si>
  <si>
    <t>Octopus Investments</t>
  </si>
  <si>
    <t xml:space="preserve">Commercial Real Estate Debt Fund </t>
  </si>
  <si>
    <t xml:space="preserve">Market </t>
  </si>
  <si>
    <t>37.156.72.21</t>
  </si>
  <si>
    <t>LaSalle Investment Management</t>
  </si>
  <si>
    <t>LaSalle Whole Loan Strategy I</t>
  </si>
  <si>
    <t>LaSalle Real Estate Strategies IV</t>
  </si>
  <si>
    <t>147.161.167.71</t>
  </si>
  <si>
    <t>Octopus Real Estate</t>
  </si>
  <si>
    <t>CREDF II-S</t>
  </si>
  <si>
    <t>86.10.228.4</t>
  </si>
  <si>
    <t>AgFe LLP</t>
  </si>
  <si>
    <t>Managed Accounts</t>
  </si>
  <si>
    <t>Decrease</t>
  </si>
  <si>
    <t>92.246.34.60</t>
  </si>
  <si>
    <t>Generali Real Estate SGR S.p.A.</t>
  </si>
  <si>
    <t>Generali Real Estate Debt Investment Fund</t>
  </si>
  <si>
    <t>88.202.197.95</t>
  </si>
  <si>
    <t xml:space="preserve">DRC Capital </t>
  </si>
  <si>
    <t>European Real Estate Senior Debt 6</t>
  </si>
  <si>
    <t>DRC European Real Estate Senior Debt 4</t>
  </si>
  <si>
    <t>DRC UK Whole Loan Fund II</t>
  </si>
  <si>
    <t>DRC European Real Estate Debt Fund IV</t>
  </si>
  <si>
    <t>86.179.86.221</t>
  </si>
  <si>
    <t>Pluto Finance</t>
  </si>
  <si>
    <t>Fund V</t>
  </si>
  <si>
    <t>213.127.79.181</t>
  </si>
  <si>
    <t>CBRE Global Investors</t>
  </si>
  <si>
    <t>Special Situations Fund</t>
  </si>
  <si>
    <t>165.225.60.57</t>
  </si>
  <si>
    <t>Heitman</t>
  </si>
  <si>
    <t>Heitman Closed End Debt Fund</t>
  </si>
  <si>
    <t>194.140.225.246</t>
  </si>
  <si>
    <t>AEW</t>
  </si>
  <si>
    <t>SELF III</t>
  </si>
  <si>
    <t>qcompany</t>
  </si>
  <si>
    <t>keep</t>
  </si>
  <si>
    <t>yes</t>
  </si>
  <si>
    <t>no</t>
  </si>
  <si>
    <t>How much capital was raised for this vehicle in 2020 from Institutional Investors by investor type? (millions)Please ensure that the total values provided match the values you entered in Q3</t>
  </si>
  <si>
    <t>Global Alpha</t>
  </si>
  <si>
    <t>213.127.78.109</t>
  </si>
  <si>
    <t>UBS Asset Management</t>
  </si>
  <si>
    <t>US Global Real Estate Funds Selection LP</t>
  </si>
  <si>
    <t>UBS AST 3 Global Real Estate (ex CH)</t>
  </si>
  <si>
    <t>34.99.220.188</t>
  </si>
  <si>
    <t>Helaba Invest</t>
  </si>
  <si>
    <t>HI-Immobilien-Multi Manager-Fonds IV</t>
  </si>
  <si>
    <t>62.45.12.106</t>
  </si>
  <si>
    <t>UBS (Lux) Real Estate Funds Selection - Global</t>
  </si>
  <si>
    <t>UBS</t>
  </si>
  <si>
    <t>UBS (UK) Real Estate Funds Selection - Global ex Canada LP</t>
  </si>
  <si>
    <t>REFIS</t>
  </si>
  <si>
    <t>92.11.151.220</t>
  </si>
  <si>
    <t>LaSalle</t>
  </si>
  <si>
    <t>LaSalle Global Navigator Fund</t>
  </si>
  <si>
    <t>212.25.22.162</t>
  </si>
  <si>
    <t>Swiss Finance &amp; Property</t>
  </si>
  <si>
    <t>SFP AST Global Core Property</t>
  </si>
  <si>
    <t>147.161.165.98</t>
  </si>
  <si>
    <t>PATRIZIA Global Partners</t>
  </si>
  <si>
    <t>PMM Global V</t>
  </si>
  <si>
    <t>45.158.3.20</t>
  </si>
  <si>
    <t>Altan Capital</t>
  </si>
  <si>
    <t>Altan IV</t>
  </si>
  <si>
    <t>Fund already raised and in investment period</t>
  </si>
  <si>
    <t>Altamar Capital Partners</t>
  </si>
  <si>
    <t>192.166.106.125</t>
  </si>
  <si>
    <t>Deka Immobilien Investment GmbH</t>
  </si>
  <si>
    <t>Deka-Immobilien StrategieInstitutionell</t>
  </si>
  <si>
    <t>Fund structure</t>
  </si>
  <si>
    <t>How much capital was raised for this vehicle in 2020 from Institutional Investors by investor type? (millions)Please ensure that the total values provided match the values you entered in Q6 - total capital raised</t>
  </si>
  <si>
    <t>How much capital was raised for this vehicle in 2020 from Institutional Investors by investor domicile? (millions)Please ensure that the total values provided match the values you entered in Q6 - total capital raised</t>
  </si>
  <si>
    <t>Pan-European Real Estate Fund II</t>
  </si>
  <si>
    <t>Open end</t>
  </si>
  <si>
    <t>European Value Partners II</t>
  </si>
  <si>
    <t>PGIM Real Estate UK Affordable Housing Fund</t>
  </si>
  <si>
    <t>Eurocore</t>
  </si>
  <si>
    <t>CBRE GI</t>
  </si>
  <si>
    <t>Strategic Partners U.S. Value 9, L.P.</t>
  </si>
  <si>
    <t>Closed end</t>
  </si>
  <si>
    <t>US Core Partners</t>
  </si>
  <si>
    <t>Asia Value Partners V SCSp SICAV-RAIF</t>
  </si>
  <si>
    <t>Dutch Residential Fund</t>
  </si>
  <si>
    <t>Europe Value Partners 2</t>
  </si>
  <si>
    <t>European Industrial Fund</t>
  </si>
  <si>
    <t>Pan-European Core Fund (PEC)</t>
  </si>
  <si>
    <t>UK Long Income Fund</t>
  </si>
  <si>
    <t>Caledon Global Infrastructure Fund (CGIF)</t>
  </si>
  <si>
    <t>145.131.178.65</t>
  </si>
  <si>
    <t>DWS Alternatives GmbH</t>
  </si>
  <si>
    <t>Transatlantik fonds</t>
  </si>
  <si>
    <t>194.35.33.254</t>
  </si>
  <si>
    <t>Invesco Real Estate</t>
  </si>
  <si>
    <t>Invesco Real Estate - European Value-Add Fund II</t>
  </si>
  <si>
    <t>92.18.75.212</t>
  </si>
  <si>
    <t>Hearthstone Investment Management Ltd</t>
  </si>
  <si>
    <t>Hearthstone Residential Fund 2</t>
  </si>
  <si>
    <t>185.222.102.3</t>
  </si>
  <si>
    <t>Bouwinvest</t>
  </si>
  <si>
    <t>Hotel Fund</t>
  </si>
  <si>
    <t>Because the fund is closed ended.</t>
  </si>
  <si>
    <t>Healthcare Fund</t>
  </si>
  <si>
    <t>Because the Fund is closed ended.</t>
  </si>
  <si>
    <t>Office Fund</t>
  </si>
  <si>
    <t>Retail Fund</t>
  </si>
  <si>
    <t>Residential Fund</t>
  </si>
  <si>
    <t>165.225.26.158</t>
  </si>
  <si>
    <t>AXA Investment Managers Deutschland GmbH</t>
  </si>
  <si>
    <t>ImmoWert</t>
  </si>
  <si>
    <t>We didn't have to raise capital. Extra cash on bank account.</t>
  </si>
  <si>
    <t>195.46.228.67</t>
  </si>
  <si>
    <t>Genesta Nordic Real Estate Fund II FCP-SIF</t>
  </si>
  <si>
    <t>No capital raising needed</t>
  </si>
  <si>
    <t>No capital raising required</t>
  </si>
  <si>
    <t>Hearthstone Investment Management</t>
  </si>
  <si>
    <t>208.127.241.147</t>
  </si>
  <si>
    <t>Prologis</t>
  </si>
  <si>
    <t>Prologis Targeted U.S. Logistics Fund, L.P.</t>
  </si>
  <si>
    <t>Prologis China Core Logistics Fund, LP</t>
  </si>
  <si>
    <t>Prologis European Logistics Fund, FCP-FIS</t>
  </si>
  <si>
    <t>31.186.239.207</t>
  </si>
  <si>
    <t>b</t>
  </si>
  <si>
    <t>40.128.118.120</t>
  </si>
  <si>
    <t>Harbert Management Corporation ("HMC")</t>
  </si>
  <si>
    <t>Harbert United States Real Estate Fund VII, LP</t>
  </si>
  <si>
    <t>194.35.32.254</t>
  </si>
  <si>
    <t xml:space="preserve">Invesco Real Estate - European Fund </t>
  </si>
  <si>
    <t>Heitman US Open-End Core Fund</t>
  </si>
  <si>
    <t xml:space="preserve">Invesco Real Estate </t>
  </si>
  <si>
    <t>Encore+</t>
  </si>
  <si>
    <t>194.35.35.254</t>
  </si>
  <si>
    <t>Invesco Real Estate - European Living Fund</t>
  </si>
  <si>
    <t>Invesco Real Estate - European Hotel Fund</t>
  </si>
  <si>
    <t>Impact of COVID-19 on Hotel Sector</t>
  </si>
  <si>
    <t>82.98.70.144</t>
  </si>
  <si>
    <t>Savills Investment Management</t>
  </si>
  <si>
    <t>Savills IM Asia Pacific Income and Growth Fund</t>
  </si>
  <si>
    <t>Savills IM European Commercial Fund</t>
  </si>
  <si>
    <t>Savills IM European Logistics Fund 3</t>
  </si>
  <si>
    <t>98.158.253.63</t>
  </si>
  <si>
    <t xml:space="preserve">Goodman </t>
  </si>
  <si>
    <t>GEP</t>
  </si>
  <si>
    <t>N/A</t>
  </si>
  <si>
    <t>109.115.49.146</t>
  </si>
  <si>
    <t>Savills Investment Management SGR SpA</t>
  </si>
  <si>
    <t>Boccaccio - Fondo comune di investimento immobiliare di tipo chiuso</t>
  </si>
  <si>
    <t>End of the subscription/capital raising period</t>
  </si>
  <si>
    <t>Goodman</t>
  </si>
  <si>
    <t>Goodman European Partnership</t>
  </si>
  <si>
    <t>Sufficient liquidity and remaining outstanding capital commitment.</t>
  </si>
  <si>
    <t>165.225.114.78</t>
  </si>
  <si>
    <t>Lendlease</t>
  </si>
  <si>
    <t>Australian Prime Property Commercial</t>
  </si>
  <si>
    <t>New equity not required</t>
  </si>
  <si>
    <t>Australian Prime Property Fund Industrial</t>
  </si>
  <si>
    <t>165.225.114.74</t>
  </si>
  <si>
    <t>Australian Prime Property Fund Retail</t>
  </si>
  <si>
    <t>165.225.60.125</t>
  </si>
  <si>
    <t xml:space="preserve">Heitman US Closed-End Value Fund </t>
  </si>
  <si>
    <t>165.225.60.119</t>
  </si>
  <si>
    <t>Heitman Global Open-End Core Fund</t>
  </si>
  <si>
    <t>86.81.47.70</t>
  </si>
  <si>
    <t>Vesteda</t>
  </si>
  <si>
    <t>Vesteda Residential Fund</t>
  </si>
  <si>
    <t>Not necessary. Enough equity and debt facilities available.</t>
  </si>
  <si>
    <t>80.247.60.10</t>
  </si>
  <si>
    <t>M&amp;G Plc</t>
  </si>
  <si>
    <t>M&amp;G European Secured Property Income Fund</t>
  </si>
  <si>
    <t>80.247.61.10</t>
  </si>
  <si>
    <t>M&amp;G Secured Lease Income Fund</t>
  </si>
  <si>
    <t>M&amp;G Secured Property Income Fund</t>
  </si>
  <si>
    <t>185.69.116.107</t>
  </si>
  <si>
    <t>NN Direct Real Estate Engine</t>
  </si>
  <si>
    <t>New investments sourced out of disposals</t>
  </si>
  <si>
    <t>185.69.116.106</t>
  </si>
  <si>
    <t>CBRE Dutch Residential Fund</t>
  </si>
  <si>
    <t>178.78.218.98</t>
  </si>
  <si>
    <t>Areim AB</t>
  </si>
  <si>
    <t>Areim Fastigheter 4 (D) AB</t>
  </si>
  <si>
    <t>No capital raised in 2020, final closing was in December 2019.</t>
  </si>
  <si>
    <t>Areim Fastigheter 4 (EQ) AB</t>
  </si>
  <si>
    <t>194.35.34.254</t>
  </si>
  <si>
    <t>hi</t>
  </si>
  <si>
    <t>covid</t>
  </si>
  <si>
    <t>217.150.152.145</t>
  </si>
  <si>
    <t>Union Investment Real Estate GmbH</t>
  </si>
  <si>
    <t>Real Estate Funds</t>
  </si>
  <si>
    <t>95.116.39.169</t>
  </si>
  <si>
    <t>Quantum Immobilien Kapitalverwaltungsgesellschaft</t>
  </si>
  <si>
    <t>Habitare</t>
  </si>
  <si>
    <t>AEW UK Investment Management LLP</t>
  </si>
  <si>
    <t>AEW UK Urban Real Estate Fund</t>
  </si>
  <si>
    <t>Still in capital raising phase</t>
  </si>
  <si>
    <t>AEW UK Real Return Fund</t>
  </si>
  <si>
    <t>AEW UK Core Property Fund</t>
  </si>
  <si>
    <t>69.52.66.36</t>
  </si>
  <si>
    <t>BlackRock Investment Management (UK) Limited</t>
  </si>
  <si>
    <t>BlackRock UK Property Fund</t>
  </si>
  <si>
    <t>The Fund is most actively traded in the secondary market.</t>
  </si>
  <si>
    <t>69.52.66.38</t>
  </si>
  <si>
    <t>BlackRock UK Long Lease Property Fund</t>
  </si>
  <si>
    <t>The Fund was not actively fundraising in 2020. Trades took place on the secondary market.</t>
  </si>
  <si>
    <t>178.201.125.228</t>
  </si>
  <si>
    <t>Hahn Group</t>
  </si>
  <si>
    <t>HAHN German Mixed-Used Fund II</t>
  </si>
  <si>
    <t>Hahn German Retail Fund IV</t>
  </si>
  <si>
    <t>HAHN German Retail Fund II</t>
  </si>
  <si>
    <t>HAHN Individual 2</t>
  </si>
  <si>
    <t>37.71.10.34</t>
  </si>
  <si>
    <t>Stam Europe</t>
  </si>
  <si>
    <t>Opera</t>
  </si>
  <si>
    <t>Scarcity of investment opportunity</t>
  </si>
  <si>
    <t>62.216.203.240</t>
  </si>
  <si>
    <t>Savills IM European Food Retail Fund</t>
  </si>
  <si>
    <t>Savills IM European Retail Fund</t>
  </si>
  <si>
    <t>The Fund is closed to new investors</t>
  </si>
  <si>
    <t>Savills IM European Logistics Fund 2</t>
  </si>
  <si>
    <t>86.145.167.249</t>
  </si>
  <si>
    <t>BC Partners</t>
  </si>
  <si>
    <t>BC Partners European Real Estate I</t>
  </si>
  <si>
    <t>EUROCORE</t>
  </si>
  <si>
    <t>Genesta</t>
  </si>
  <si>
    <t>82.50.139.104</t>
  </si>
  <si>
    <t>Optimum Asset Management S.A.</t>
  </si>
  <si>
    <t>German Real Estate Fund IV</t>
  </si>
  <si>
    <t>Optimum Evolution Fund SIF - Property III</t>
  </si>
  <si>
    <t>Corporate governance framework</t>
  </si>
  <si>
    <t>Optimum Evolution Fund SIF - Property II</t>
  </si>
  <si>
    <t>188.149.165.242</t>
  </si>
  <si>
    <t>Areim Fund III</t>
  </si>
  <si>
    <t>92.234.118.213</t>
  </si>
  <si>
    <t>ICG plc</t>
  </si>
  <si>
    <t>ICG European Sales and Leaseback Fund I</t>
  </si>
  <si>
    <t>213.52.102.79</t>
  </si>
  <si>
    <t>DNB REIM</t>
  </si>
  <si>
    <t>DNB Scandinavian Property Fund</t>
  </si>
  <si>
    <t>Covid 19</t>
  </si>
  <si>
    <t>Harbert European Real Estate Fund V</t>
  </si>
  <si>
    <t>The fund isn't raising capital anymore</t>
  </si>
  <si>
    <t>89.99.187.29</t>
  </si>
  <si>
    <t>GLP Management</t>
  </si>
  <si>
    <t>GLP Europe Income Partners II SCSp</t>
  </si>
  <si>
    <t>109.118.87.103</t>
  </si>
  <si>
    <t>Invesco Real Estate - Global Direct Real Estate Fund</t>
  </si>
  <si>
    <t>Invesco Real Estate - UK Residential Fund FCP-RAIF</t>
  </si>
  <si>
    <t>51.105.28.107</t>
  </si>
  <si>
    <t>Frogmore</t>
  </si>
  <si>
    <t>Frogmore Real Estate Partners IV</t>
  </si>
  <si>
    <t>213.207.106.179</t>
  </si>
  <si>
    <t>Altera Vastgoed</t>
  </si>
  <si>
    <t>Altera Retail</t>
  </si>
  <si>
    <t>Altera Residential</t>
  </si>
  <si>
    <t>212.161.80.4</t>
  </si>
  <si>
    <t>CapMan Real Estate</t>
  </si>
  <si>
    <t>CapMan Nordic Real Estate III FCP-RAIF</t>
  </si>
  <si>
    <t>213.205.84.210</t>
  </si>
  <si>
    <t>sonae sierra</t>
  </si>
  <si>
    <t>sierra retail ventures</t>
  </si>
  <si>
    <t>investments monetizing stage</t>
  </si>
  <si>
    <t>iberia coop</t>
  </si>
  <si>
    <t>investment period has elapsed</t>
  </si>
  <si>
    <t>sierra portugal fund</t>
  </si>
  <si>
    <t>sierra prime</t>
  </si>
  <si>
    <t>84.85.29.243</t>
  </si>
  <si>
    <t>Amvest Management B.V.</t>
  </si>
  <si>
    <t>Amvest Living and Care Fund</t>
  </si>
  <si>
    <t>Sufficient capital for coming periods</t>
  </si>
  <si>
    <t>Amvest Residential Core Fund</t>
  </si>
  <si>
    <t>Sufficient capital for coming periods and capital raising expires in 3 years after signing</t>
  </si>
  <si>
    <t>148.64.26.108</t>
  </si>
  <si>
    <t>Aberdeen Standard Investments Deutschland AG</t>
  </si>
  <si>
    <t>Aberdeen Standard German Urbanisation Property Fund</t>
  </si>
  <si>
    <t>217.151.193.46</t>
  </si>
  <si>
    <t>Niam AB</t>
  </si>
  <si>
    <t>Niam Core-Plus III</t>
  </si>
  <si>
    <t>Expected first close Q1 2021</t>
  </si>
  <si>
    <t>165.225.72.125</t>
  </si>
  <si>
    <t>AXA Real Invest HPK</t>
  </si>
  <si>
    <t>208.127.53.106</t>
  </si>
  <si>
    <t>Pro</t>
  </si>
  <si>
    <t>s</t>
  </si>
  <si>
    <t>86.154.124.63</t>
  </si>
  <si>
    <t>Moorfield</t>
  </si>
  <si>
    <t>MRIF</t>
  </si>
  <si>
    <t>165.225.80.104</t>
  </si>
  <si>
    <t>Heitman Value Partners V</t>
  </si>
  <si>
    <t>Invesco</t>
  </si>
  <si>
    <t>European Hotel Fund</t>
  </si>
  <si>
    <t>194.111.75.187</t>
  </si>
  <si>
    <t>Sirius Capital Partners</t>
  </si>
  <si>
    <t>Sirius Fund III SCSp</t>
  </si>
  <si>
    <t>Fund was closed 2018</t>
  </si>
  <si>
    <t>5.88.8.248</t>
  </si>
  <si>
    <t>Coima Sgr</t>
  </si>
  <si>
    <t>COIMA CORE FUND VII</t>
  </si>
  <si>
    <t>the fund regulation did not provide for additional capital calls</t>
  </si>
  <si>
    <t>Aberdeen Standard Investments</t>
  </si>
  <si>
    <t>Long Lease Property</t>
  </si>
  <si>
    <t>46.39.111.21</t>
  </si>
  <si>
    <t>Areim Fastigheter 2 AB</t>
  </si>
  <si>
    <t>213.52.102.78</t>
  </si>
  <si>
    <t>DNB Real Estate Investment Management</t>
  </si>
  <si>
    <t>78.61.255.113</t>
  </si>
  <si>
    <t>Northern Horizon</t>
  </si>
  <si>
    <t xml:space="preserve">Northern Horizon Aged Care IV </t>
  </si>
  <si>
    <t>qtarget_country_strategy</t>
  </si>
  <si>
    <t>qtarget_country</t>
  </si>
  <si>
    <t>Keep?</t>
  </si>
  <si>
    <t>UK RE Senior Debt Fund LP</t>
  </si>
  <si>
    <t>Target Equity</t>
  </si>
  <si>
    <t>Target Gross Assets Value</t>
  </si>
  <si>
    <t>Gross Asset Value of the Vehicle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</si>
</sst>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0.0000"/>
    <numFmt numFmtId="166" formatCode="yyyy\-mm\-dd\ hh:mm:ss"/>
  </numFmts>
  <fonts count="10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4" tint="-0.249977111117893"/>
      <name val="Calibri"/>
      <family val="2"/>
    </font>
    <font>
      <sz val="11"/>
      <color rgb="FF3333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324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4C0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rgb="FFEAEAE8"/>
      </patternFill>
    </fill>
  </fills>
  <borders count="9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</borders>
  <cellStyleXfs count="9">
    <xf numFmtId="0" fontId="0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4" fillId="2" borderId="1" xfId="0" applyFont="1" applyFill="1" applyBorder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6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164" fontId="0" fillId="0" borderId="0" xfId="0" applyNumberFormat="1" applyAlignment="1">
      <alignment horizontal="left"/>
    </xf>
    <xf numFmtId="0" fontId="0" fillId="6" borderId="1" xfId="0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164" fontId="0" fillId="0" borderId="0" xfId="0" applyNumberFormat="1"/>
    <xf numFmtId="0" fontId="0" fillId="3" borderId="0" xfId="0" applyFill="1"/>
    <xf numFmtId="0" fontId="8" fillId="0" borderId="4" xfId="1" applyFont="1" applyBorder="1"/>
    <xf numFmtId="0" fontId="8" fillId="7" borderId="4" xfId="1" applyFont="1" applyFill="1" applyBorder="1"/>
    <xf numFmtId="0" fontId="8" fillId="0" borderId="0" xfId="1" applyFont="1"/>
    <xf numFmtId="165" fontId="0" fillId="0" borderId="0" xfId="0" applyNumberFormat="1" applyAlignment="1">
      <alignment horizontal="left"/>
    </xf>
    <xf numFmtId="0" fontId="0" fillId="0" borderId="5" xfId="0" applyBorder="1" applyAlignment="1">
      <alignment horizontal="left"/>
    </xf>
    <xf numFmtId="0" fontId="0" fillId="8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3" fillId="0" borderId="0" xfId="2"/>
    <xf numFmtId="0" fontId="9" fillId="9" borderId="6" xfId="3" applyFont="1" applyFill="1" applyBorder="1"/>
    <xf numFmtId="0" fontId="3" fillId="0" borderId="0" xfId="3"/>
    <xf numFmtId="0" fontId="9" fillId="9" borderId="7" xfId="3" applyFont="1" applyFill="1" applyBorder="1"/>
    <xf numFmtId="0" fontId="9" fillId="9" borderId="8" xfId="3" applyFont="1" applyFill="1" applyBorder="1"/>
    <xf numFmtId="0" fontId="9" fillId="9" borderId="6" xfId="0" applyFont="1" applyFill="1" applyBorder="1"/>
    <xf numFmtId="0" fontId="3" fillId="0" borderId="0" xfId="4"/>
    <xf numFmtId="166" fontId="3" fillId="0" borderId="0" xfId="4" applyNumberFormat="1"/>
    <xf numFmtId="166" fontId="0" fillId="0" borderId="0" xfId="0" applyNumberFormat="1"/>
    <xf numFmtId="0" fontId="0" fillId="8" borderId="0" xfId="0" applyFill="1"/>
    <xf numFmtId="0" fontId="9" fillId="9" borderId="6" xfId="5" applyFont="1" applyFill="1" applyBorder="1"/>
    <xf numFmtId="0" fontId="2" fillId="0" borderId="0" xfId="6"/>
    <xf numFmtId="166" fontId="2" fillId="0" borderId="0" xfId="6" applyNumberFormat="1"/>
    <xf numFmtId="0" fontId="2" fillId="0" borderId="0" xfId="3" applyFont="1"/>
    <xf numFmtId="0" fontId="2" fillId="0" borderId="0" xfId="2" applyFont="1"/>
    <xf numFmtId="0" fontId="6" fillId="0" borderId="0" xfId="0" applyFont="1"/>
    <xf numFmtId="164" fontId="6" fillId="0" borderId="0" xfId="0" applyNumberFormat="1" applyFont="1" applyAlignment="1">
      <alignment horizontal="left"/>
    </xf>
    <xf numFmtId="0" fontId="9" fillId="9" borderId="6" xfId="7" applyFont="1" applyFill="1" applyBorder="1"/>
    <xf numFmtId="0" fontId="1" fillId="0" borderId="0" xfId="8"/>
    <xf numFmtId="166" fontId="1" fillId="0" borderId="0" xfId="8" applyNumberFormat="1"/>
    <xf numFmtId="164" fontId="6" fillId="0" borderId="0" xfId="0" applyNumberFormat="1" applyFont="1"/>
  </cellXfs>
  <cellStyles count="9">
    <cellStyle name="General" xfId="1" xr:uid="{BAF158E4-2D0D-42B5-A1A7-2908577C4989}"/>
    <cellStyle name="Normal" xfId="0" builtinId="0"/>
    <cellStyle name="Normal 12" xfId="4" xr:uid="{A9427879-3AB5-4D22-BA77-918EF0CE554B}"/>
    <cellStyle name="Normal 12 2" xfId="6" xr:uid="{0C52F178-EB74-479F-A872-EB8F49CC65C7}"/>
    <cellStyle name="Normal 12 3" xfId="8" xr:uid="{0686DC2A-71B1-4E1F-B73F-E9C5C39D233C}"/>
    <cellStyle name="Normal 2" xfId="2" xr:uid="{09743B72-CBCE-4BFB-B36C-A60E1A14658F}"/>
    <cellStyle name="Normal 9" xfId="3" xr:uid="{D7801203-BEC6-4346-A9A1-A60D77FD0D09}"/>
    <cellStyle name="Normal 9 2" xfId="5" xr:uid="{F85A5163-9717-4AB8-A82F-9B2F4E7293B4}"/>
    <cellStyle name="Normal 9 3" xfId="7" xr:uid="{27C55B78-2F17-4EF2-98FF-0E0C79D1FABC}"/>
  </cellStyles>
  <dxfs count="310">
    <dxf>
      <numFmt numFmtId="164" formatCode="0.0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ill>
        <patternFill>
          <bgColor rgb="FFEBEBEB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color auto="1"/>
      </font>
      <fill>
        <patternFill>
          <bgColor rgb="FFF9F9F9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0"/>
      </font>
      <fill>
        <patternFill>
          <bgColor rgb="FF55585A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0"/>
      </font>
      <fill>
        <patternFill>
          <bgColor rgb="FF232425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bottom style="thin">
          <color auto="1"/>
        </bottom>
      </border>
    </dxf>
  </dxfs>
  <tableStyles count="1" defaultTableStyle="TableStyleMedium2" defaultPivotStyle="PivotStyleLight16">
    <tableStyle name="INREV Data" pivot="0" count="5" xr9:uid="{D70CB442-5EF9-4688-A88C-96173CA56AE8}">
      <tableStyleElement type="wholeTable" dxfId="309"/>
      <tableStyleElement type="headerRow" dxfId="308"/>
      <tableStyleElement type="totalRow" dxfId="307"/>
      <tableStyleElement type="firstRowStripe" dxfId="306"/>
      <tableStyleElement type="secondRowStripe" dxfId="30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zabethKalinaki/Documents/INREV/DWProject/SurveyWork/cr_survey/CapitalRaising2021-SurveyMonkey%20-%20ANALYSIS_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INREV/2.%20Capital%20Raising/analysis/2021/analysis/CapitalRaising2021-SurveyMonkey-%20ANALYSIS_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NREV%20Research/2.%20Capital%20Raising%20Survey/Capital%20Raising%202021/Analysis/Surveymonkey/CapitalRaising2021-SurveyMonkey%20-%20ANALYSI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INREV/2.%20Capital%20Raising/analysis/2021/analysis/CapitalRaising2021-SurveyMonkey%20-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TableofContents"/>
      <sheetName val="Figure(35x)"/>
      <sheetName val="Figure(36x)"/>
      <sheetName val="Figure(37x)"/>
      <sheetName val="Figure(34)"/>
      <sheetName val="Figure(40)"/>
      <sheetName val="Figure(41)"/>
      <sheetName val="Figure(42)"/>
      <sheetName val="Figure(43)"/>
      <sheetName val="Figure(35)"/>
      <sheetName val="Figure(36)"/>
      <sheetName val="Figure(37)"/>
      <sheetName val="Figure(38)"/>
      <sheetName val="Figure(39)"/>
      <sheetName val="Figure(44)"/>
      <sheetName val="Figure(45)"/>
      <sheetName val="Figure(46)"/>
      <sheetName val="Figure(47)"/>
      <sheetName val="Figure(48)"/>
      <sheetName val="Figure(49)"/>
      <sheetName val="Sheet1"/>
      <sheetName val="DebtFundUniverse"/>
      <sheetName val="DFsmonkeyCompl"/>
      <sheetName val="DFanalysis"/>
      <sheetName val="FundOfFundsUniverse"/>
      <sheetName val="FoFsmonkeyCompl"/>
      <sheetName val="FoFsanalysis"/>
      <sheetName val="VehiclesUniverse"/>
      <sheetName val="NLFsmonkeyCompl"/>
      <sheetName val="NLFsanalysis"/>
      <sheetName val="Xrate31.12.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 t="str">
            <v>Vehicle Name</v>
          </cell>
          <cell r="C1" t="str">
            <v>Vehicle Manager Company</v>
          </cell>
          <cell r="D1" t="str">
            <v>Business Address</v>
          </cell>
          <cell r="E1" t="str">
            <v>Postcode</v>
          </cell>
          <cell r="F1" t="str">
            <v>City</v>
          </cell>
          <cell r="G1" t="str">
            <v>Country</v>
          </cell>
          <cell r="H1" t="str">
            <v>Switchboard</v>
          </cell>
          <cell r="I1" t="str">
            <v>Fax Number</v>
          </cell>
          <cell r="J1" t="str">
            <v>Company Website</v>
          </cell>
          <cell r="K1" t="str">
            <v>Vehicle Manager Name</v>
          </cell>
          <cell r="L1" t="str">
            <v>Vehicle Manager Email</v>
          </cell>
          <cell r="M1" t="str">
            <v>Vehicle Manager Telephone</v>
          </cell>
          <cell r="N1" t="str">
            <v>Investor Client Relations Name</v>
          </cell>
          <cell r="O1" t="str">
            <v>Investor Client Relations Email</v>
          </cell>
          <cell r="P1" t="str">
            <v>Investor Client Relations Telephone</v>
          </cell>
          <cell r="Q1" t="str">
            <v>Vehicle Domicile</v>
          </cell>
          <cell r="R1" t="str">
            <v>Currency of Reporting</v>
          </cell>
          <cell r="S1" t="str">
            <v>Accounting Standards</v>
          </cell>
          <cell r="T1" t="str">
            <v>Financial Reporting Frequency</v>
          </cell>
          <cell r="U1" t="str">
            <v>Frequency of External Property Valuations</v>
          </cell>
          <cell r="V1" t="str">
            <v>Valuation approach applied to properties</v>
          </cell>
          <cell r="W1" t="str">
            <v>What NAV calculation method has been used for the figures in this database?</v>
          </cell>
          <cell r="X1" t="str">
            <v>Name of Vehicle Auditor</v>
          </cell>
          <cell r="Y1" t="str">
            <v>Legal vehicle structure</v>
          </cell>
          <cell r="Z1" t="str">
            <v>Does your fund report an INREV NAV to investors?</v>
          </cell>
          <cell r="AA1" t="str">
            <v>Is there a Non-Executive Body</v>
          </cell>
          <cell r="AB1" t="str">
            <v>Number of Independents</v>
          </cell>
          <cell r="AC1" t="str">
            <v>Vehicle Type</v>
          </cell>
          <cell r="AD1" t="str">
            <v>Manager Defined Style</v>
          </cell>
          <cell r="AE1" t="str">
            <v>Finite/Infinite structure</v>
          </cell>
          <cell r="AF1" t="str">
            <v>Vehicle Structure</v>
          </cell>
          <cell r="AG1" t="str">
            <v>Target IRR - From (%)</v>
          </cell>
          <cell r="AH1" t="str">
            <v>Target IRR - To (%)</v>
          </cell>
          <cell r="AI1" t="str">
            <v>Basis for IRR Calculation</v>
          </cell>
          <cell r="AJ1" t="str">
            <v>Performance Benchmark</v>
          </cell>
          <cell r="AK1" t="str">
            <v>Target Distribution Yield (%)</v>
          </cell>
          <cell r="AL1" t="str">
            <v>Target Gearing Level as a % of GAV</v>
          </cell>
          <cell r="AM1" t="str">
            <v>Maximum LTV (%)</v>
          </cell>
          <cell r="AN1" t="str">
            <v>Target Investors</v>
          </cell>
          <cell r="AO1" t="str">
            <v>Target Number of Investors</v>
          </cell>
          <cell r="AP1" t="str">
            <v>Total value of loans provided since vehicle launch</v>
          </cell>
          <cell r="AQ1" t="str">
            <v>Number of loans in portfolio</v>
          </cell>
          <cell r="AR1" t="str">
            <v>Target loan LTV</v>
          </cell>
          <cell r="AS1" t="str">
            <v>Maximum loan LTV</v>
          </cell>
          <cell r="AT1" t="str">
            <v>Target number of loans</v>
          </cell>
          <cell r="AU1" t="str">
            <v>Target average loan size</v>
          </cell>
          <cell r="AV1" t="str">
            <v>Investment period</v>
          </cell>
          <cell r="AW1" t="str">
            <v>Loan generation strategy</v>
          </cell>
          <cell r="AX1" t="str">
            <v>Loan valuation method</v>
          </cell>
          <cell r="AY1" t="str">
            <v>Loan strategy</v>
          </cell>
          <cell r="AZ1" t="str">
            <v>Fund life</v>
          </cell>
          <cell r="BA1" t="str">
            <v>Target Proportion of Institutional Holdings</v>
          </cell>
          <cell r="BB1" t="str">
            <v>Target Regional Strategy</v>
          </cell>
          <cell r="BC1" t="str">
            <v>Multi country/Single country</v>
          </cell>
          <cell r="BD1" t="str">
            <v>Target Region (Multi-Country Funds)</v>
          </cell>
          <cell r="BE1" t="str">
            <v>Target Country (Single-Country Funds)</v>
          </cell>
          <cell r="BF1" t="str">
            <v>Multi sector/Single sector strategy</v>
          </cell>
          <cell r="BG1" t="str">
            <v>Target Sector</v>
          </cell>
          <cell r="BH1" t="str">
            <v>Target Equity</v>
          </cell>
          <cell r="BI1" t="str">
            <v>Target Gross Assets Value</v>
          </cell>
          <cell r="BJ1" t="str">
            <v>Year of first closing</v>
          </cell>
          <cell r="BK1" t="str">
            <v>Planned Termination year</v>
          </cell>
          <cell r="BL1" t="str">
            <v>Provision to Extend Termination Date</v>
          </cell>
          <cell r="BM1" t="str">
            <v>Fixed Extension Period Set</v>
          </cell>
          <cell r="BN1" t="str">
            <v>Length of Extension Period</v>
          </cell>
          <cell r="BO1" t="str">
            <v>Does Manager Actively Facilitate Secondary Trading</v>
          </cell>
          <cell r="BP1" t="str">
            <v>Target return derived from income</v>
          </cell>
          <cell r="BQ1" t="str">
            <v>Target percentage of non-income producing investments</v>
          </cell>
          <cell r="BR1" t="str">
            <v>Target percentage (re)development  exposure</v>
          </cell>
          <cell r="BS1" t="str">
            <v>Reporting date</v>
          </cell>
          <cell r="BT1" t="str">
            <v>Gross Asset Value of the Vehicle (reporting currency)</v>
          </cell>
          <cell r="BU1" t="str">
            <v>Gross Asset Value of the Vehicle (EUR)</v>
          </cell>
          <cell r="BV1" t="str">
            <v>Net Asset Value of the Vehicle (reporting currency)</v>
          </cell>
          <cell r="BW1" t="str">
            <v>Net Asset Value of the Vehicle (EUR)</v>
          </cell>
          <cell r="BX1" t="str">
            <v>Gearing as a % of GAV</v>
          </cell>
          <cell r="BY1" t="str">
            <v>Are figures audited by external auditor</v>
          </cell>
          <cell r="BZ1" t="str">
            <v>Are Figures based on external/internal valuations.</v>
          </cell>
          <cell r="CA1" t="str">
            <v>Number of institutional investors</v>
          </cell>
          <cell r="CB1" t="str">
            <v>Number of properties in portfolio</v>
          </cell>
          <cell r="CC1" t="str">
            <v>Total equity commited (reporting currency</v>
          </cell>
          <cell r="CD1" t="str">
            <v>Total equity commited (local currency)</v>
          </cell>
          <cell r="CE1" t="str">
            <v>Total equity invested (reporting currency)</v>
          </cell>
          <cell r="CF1" t="str">
            <v>Total equity invested (local currency)</v>
          </cell>
          <cell r="CG1" t="str">
            <v>Open for investment/raising capital</v>
          </cell>
          <cell r="CH1" t="str">
            <v>Allocation 1 Country</v>
          </cell>
          <cell r="CI1" t="str">
            <v>Allocation 1 Sector</v>
          </cell>
          <cell r="CJ1" t="str">
            <v>Allocation 1 Value</v>
          </cell>
          <cell r="CK1" t="str">
            <v>Allocation 2 Country</v>
          </cell>
          <cell r="CL1" t="str">
            <v>Allocation 2 Sector</v>
          </cell>
          <cell r="CM1" t="str">
            <v>Allocation 2 Value</v>
          </cell>
          <cell r="CN1" t="str">
            <v>Allocation 3 Country</v>
          </cell>
          <cell r="CO1" t="str">
            <v>Allocation 3 Sector</v>
          </cell>
          <cell r="CP1" t="str">
            <v>Allocation 3 Value</v>
          </cell>
          <cell r="CQ1" t="str">
            <v>Allocation 4 Country</v>
          </cell>
          <cell r="CR1" t="str">
            <v>Allocation 4 Sector</v>
          </cell>
          <cell r="CS1" t="str">
            <v>Allocation 4 Value</v>
          </cell>
          <cell r="CT1" t="str">
            <v>Allocation 5 Country</v>
          </cell>
          <cell r="CU1" t="str">
            <v>Allocation 5 Sector</v>
          </cell>
          <cell r="CV1" t="str">
            <v>Allocation 5 Value</v>
          </cell>
          <cell r="CW1" t="str">
            <v>Allocation 6 Country</v>
          </cell>
          <cell r="CX1" t="str">
            <v>Allocation 6 Sector</v>
          </cell>
          <cell r="CY1" t="str">
            <v>Allocation 6 Value</v>
          </cell>
          <cell r="CZ1" t="str">
            <v>Allocation 7 Country</v>
          </cell>
          <cell r="DA1" t="str">
            <v>Allocation 7 Sector</v>
          </cell>
          <cell r="DB1" t="str">
            <v>Allocation 7 Value</v>
          </cell>
          <cell r="DC1" t="str">
            <v>Allocation 8 Country</v>
          </cell>
          <cell r="DD1" t="str">
            <v>Allocation 8 Sector</v>
          </cell>
          <cell r="DE1" t="str">
            <v>Allocation 8 Value</v>
          </cell>
          <cell r="DF1" t="str">
            <v>Allocation 9 Country</v>
          </cell>
          <cell r="DG1" t="str">
            <v>Allocation 9 Sector</v>
          </cell>
          <cell r="DH1" t="str">
            <v>Allocation 9 Value</v>
          </cell>
          <cell r="DI1" t="str">
            <v>Allocation 10 Country</v>
          </cell>
          <cell r="DJ1" t="str">
            <v>Allocation 10 Sector</v>
          </cell>
          <cell r="DK1" t="str">
            <v>Allocation 10 Value</v>
          </cell>
          <cell r="DL1" t="str">
            <v>Allocation 11 Country</v>
          </cell>
          <cell r="DM1" t="str">
            <v>Allocation 11 Sector</v>
          </cell>
          <cell r="DN1" t="str">
            <v>Allocation 11 Value</v>
          </cell>
          <cell r="DO1" t="str">
            <v>Allocation 12 Country</v>
          </cell>
          <cell r="DP1" t="str">
            <v>Allocation 12 Sector</v>
          </cell>
          <cell r="DQ1" t="str">
            <v>Allocation 12 Value</v>
          </cell>
          <cell r="DR1" t="str">
            <v>Allocation 13 Country</v>
          </cell>
          <cell r="DS1" t="str">
            <v>Allocation 13 Sector</v>
          </cell>
          <cell r="DT1" t="str">
            <v>Allocation 13 Value</v>
          </cell>
          <cell r="DU1" t="str">
            <v>Allocation 14 Country</v>
          </cell>
          <cell r="DV1" t="str">
            <v>Allocation 14 Sector</v>
          </cell>
          <cell r="DW1" t="str">
            <v>Allocation 14 Value</v>
          </cell>
          <cell r="DX1" t="str">
            <v>Allocation 15 Country</v>
          </cell>
          <cell r="DY1" t="str">
            <v>Allocation 15 Sector</v>
          </cell>
          <cell r="DZ1" t="str">
            <v>Allocation 15 Value</v>
          </cell>
          <cell r="EA1" t="str">
            <v>Allocation 16 Country</v>
          </cell>
          <cell r="EB1" t="str">
            <v>Allocation 16 Sector</v>
          </cell>
          <cell r="EC1" t="str">
            <v>Allocation 16 Value</v>
          </cell>
          <cell r="ED1" t="str">
            <v>Allocation 17 Country</v>
          </cell>
          <cell r="EE1" t="str">
            <v>Allocation 17 Sector</v>
          </cell>
          <cell r="EF1" t="str">
            <v>Allocation 17 Value</v>
          </cell>
          <cell r="EG1" t="str">
            <v>Allocation 18 Country</v>
          </cell>
          <cell r="EH1" t="str">
            <v>Allocation 18 Sector</v>
          </cell>
          <cell r="EI1" t="str">
            <v>Allocation 18 Value</v>
          </cell>
          <cell r="EJ1" t="str">
            <v>Allocation 19 Country</v>
          </cell>
          <cell r="EK1" t="str">
            <v>Allocation 19 Sector</v>
          </cell>
          <cell r="EL1" t="str">
            <v>Allocation 19 Value</v>
          </cell>
          <cell r="EM1" t="str">
            <v>Allocation 20 Country</v>
          </cell>
          <cell r="EN1" t="str">
            <v>Allocation 20 Sector</v>
          </cell>
          <cell r="EO1" t="str">
            <v>Allocation 20 Value</v>
          </cell>
          <cell r="EP1" t="str">
            <v>Allocation 21 Country</v>
          </cell>
          <cell r="EQ1" t="str">
            <v>Allocation 21 Sector</v>
          </cell>
          <cell r="ER1" t="str">
            <v>Allocation 21 Value</v>
          </cell>
          <cell r="ES1" t="str">
            <v>Allocation 22 Country</v>
          </cell>
          <cell r="ET1" t="str">
            <v>Allocation 22 Sector</v>
          </cell>
          <cell r="EU1" t="str">
            <v>Allocation 22 Value</v>
          </cell>
        </row>
        <row r="2">
          <cell r="A2">
            <v>17380</v>
          </cell>
          <cell r="B2" t="str">
            <v>AALTO COMMERCIAL REAL ESTATE PROGRAMME</v>
          </cell>
          <cell r="C2" t="str">
            <v>AALTO INVEST UK LTD.</v>
          </cell>
          <cell r="D2" t="str">
            <v>Riverbank House, 2 Swan Lane</v>
          </cell>
          <cell r="E2" t="str">
            <v>EC4R</v>
          </cell>
          <cell r="F2" t="str">
            <v>London</v>
          </cell>
          <cell r="G2" t="str">
            <v>United Kingdom</v>
          </cell>
          <cell r="H2">
            <v>442071442903</v>
          </cell>
          <cell r="J2" t="str">
            <v>https://www.man.com</v>
          </cell>
          <cell r="K2" t="str">
            <v>Mikko Syrjanen</v>
          </cell>
          <cell r="L2" t="str">
            <v>mikko.syrjanen@man.com</v>
          </cell>
          <cell r="N2" t="str">
            <v>Jonathan Shaw</v>
          </cell>
          <cell r="O2" t="str">
            <v>jonathan.shaw@man.com</v>
          </cell>
          <cell r="P2">
            <v>442071442911</v>
          </cell>
          <cell r="Q2" t="str">
            <v>Ireland</v>
          </cell>
          <cell r="R2" t="str">
            <v>GBP</v>
          </cell>
          <cell r="S2" t="str">
            <v>IFRS</v>
          </cell>
          <cell r="T2" t="str">
            <v>Quarterly</v>
          </cell>
          <cell r="U2" t="str">
            <v>Quarterly</v>
          </cell>
          <cell r="X2" t="str">
            <v>Grant Thornton</v>
          </cell>
          <cell r="AF2" t="str">
            <v>Closed end</v>
          </cell>
          <cell r="AG2">
            <v>5</v>
          </cell>
          <cell r="AH2">
            <v>6</v>
          </cell>
          <cell r="AK2" t="str">
            <v>5%</v>
          </cell>
          <cell r="AL2">
            <v>0</v>
          </cell>
          <cell r="AN2" t="str">
            <v>Institutional</v>
          </cell>
          <cell r="AO2" t="str">
            <v>&gt; 2</v>
          </cell>
          <cell r="AP2">
            <v>206000000</v>
          </cell>
          <cell r="AQ2">
            <v>8</v>
          </cell>
          <cell r="AR2" t="str">
            <v>65%</v>
          </cell>
          <cell r="AS2">
            <v>70</v>
          </cell>
          <cell r="AT2">
            <v>15</v>
          </cell>
          <cell r="AV2" t="str">
            <v>1 year</v>
          </cell>
          <cell r="AW2" t="str">
            <v>Both</v>
          </cell>
          <cell r="AX2" t="str">
            <v>Book value(excl. amortisation)</v>
          </cell>
          <cell r="AY2" t="str">
            <v>Senior</v>
          </cell>
          <cell r="AZ2" t="str">
            <v>9 years</v>
          </cell>
          <cell r="BA2" t="str">
            <v>≥ 50%</v>
          </cell>
          <cell r="BB2" t="str">
            <v>Europe</v>
          </cell>
          <cell r="BC2" t="str">
            <v>multi country</v>
          </cell>
          <cell r="BD2" t="str">
            <v>Western Europe</v>
          </cell>
          <cell r="BF2" t="str">
            <v>multi sector</v>
          </cell>
          <cell r="BH2">
            <v>1000000000</v>
          </cell>
          <cell r="BI2">
            <v>1000000000</v>
          </cell>
          <cell r="BJ2">
            <v>2013</v>
          </cell>
          <cell r="BK2">
            <v>2022</v>
          </cell>
          <cell r="BL2" t="str">
            <v>No</v>
          </cell>
          <cell r="BS2" t="str">
            <v>2014-06-30</v>
          </cell>
          <cell r="BT2">
            <v>206000000</v>
          </cell>
          <cell r="BU2">
            <v>257335200</v>
          </cell>
          <cell r="BV2">
            <v>206000000</v>
          </cell>
          <cell r="BW2">
            <v>257335200</v>
          </cell>
          <cell r="BX2">
            <v>0</v>
          </cell>
          <cell r="BY2" t="str">
            <v>No</v>
          </cell>
          <cell r="CC2">
            <v>206000000</v>
          </cell>
          <cell r="CD2">
            <v>249115800</v>
          </cell>
          <cell r="CF2">
            <v>0</v>
          </cell>
          <cell r="CG2" t="str">
            <v>Yes</v>
          </cell>
          <cell r="CH2" t="str">
            <v>United Kingdom</v>
          </cell>
          <cell r="CI2" t="str">
            <v>Office</v>
          </cell>
          <cell r="CJ2">
            <v>60</v>
          </cell>
          <cell r="CK2" t="str">
            <v>United Kingdom</v>
          </cell>
          <cell r="CL2" t="str">
            <v>Retail</v>
          </cell>
          <cell r="CM2">
            <v>20</v>
          </cell>
          <cell r="CN2" t="str">
            <v>United Kingdom</v>
          </cell>
          <cell r="CO2" t="str">
            <v>Industrial / Logistics</v>
          </cell>
          <cell r="CP2">
            <v>10</v>
          </cell>
          <cell r="CQ2" t="str">
            <v>United Kingdom</v>
          </cell>
          <cell r="CR2" t="str">
            <v>Other</v>
          </cell>
          <cell r="CS2">
            <v>10</v>
          </cell>
        </row>
        <row r="3">
          <cell r="A3">
            <v>18096</v>
          </cell>
          <cell r="B3" t="str">
            <v>AALTO IRISH RESIDENTIAL LOAN FUND I</v>
          </cell>
          <cell r="C3" t="str">
            <v>AALTO INVEST UK LTD</v>
          </cell>
          <cell r="D3" t="str">
            <v>Riverbank House, 2 Swan Lane</v>
          </cell>
          <cell r="E3" t="str">
            <v>EC4R</v>
          </cell>
          <cell r="F3" t="str">
            <v>London</v>
          </cell>
          <cell r="G3" t="str">
            <v>United Kingdom</v>
          </cell>
          <cell r="J3" t="str">
            <v>https://www.man.com</v>
          </cell>
          <cell r="K3" t="str">
            <v>Matthew Pritchard</v>
          </cell>
          <cell r="L3" t="str">
            <v>matthew.pritchard@man.com</v>
          </cell>
          <cell r="N3" t="str">
            <v>Jonathan Shaw</v>
          </cell>
          <cell r="O3" t="str">
            <v>jonathan.shaw@man.com</v>
          </cell>
          <cell r="P3">
            <v>442071442911</v>
          </cell>
          <cell r="Q3" t="str">
            <v>Ireland</v>
          </cell>
          <cell r="R3" t="str">
            <v>EUR</v>
          </cell>
          <cell r="S3" t="str">
            <v>IFRS</v>
          </cell>
          <cell r="T3" t="str">
            <v>Annually</v>
          </cell>
          <cell r="U3" t="str">
            <v>Quarterly</v>
          </cell>
          <cell r="X3" t="str">
            <v>Grant Thornton</v>
          </cell>
          <cell r="Y3" t="str">
            <v>Section 110 company domiciled in Ireland</v>
          </cell>
          <cell r="AF3" t="str">
            <v>Closed end</v>
          </cell>
          <cell r="AG3">
            <v>9</v>
          </cell>
          <cell r="AH3">
            <v>10</v>
          </cell>
          <cell r="AI3" t="str">
            <v>Net</v>
          </cell>
          <cell r="AN3" t="str">
            <v>Institutional</v>
          </cell>
          <cell r="AR3" t="str">
            <v>65%</v>
          </cell>
          <cell r="AX3" t="str">
            <v>Book value(excl. amortisation)</v>
          </cell>
          <cell r="AY3" t="str">
            <v>Senior</v>
          </cell>
          <cell r="AZ3" t="str">
            <v>5 years</v>
          </cell>
          <cell r="BB3" t="str">
            <v>Europe</v>
          </cell>
          <cell r="BC3" t="str">
            <v>single country</v>
          </cell>
          <cell r="BE3" t="str">
            <v>Ireland</v>
          </cell>
          <cell r="BF3" t="str">
            <v>single sector</v>
          </cell>
          <cell r="BG3" t="str">
            <v>Development Residential</v>
          </cell>
          <cell r="BH3">
            <v>75000000</v>
          </cell>
          <cell r="BJ3">
            <v>2014</v>
          </cell>
        </row>
        <row r="4">
          <cell r="A4">
            <v>18097</v>
          </cell>
          <cell r="B4" t="str">
            <v>AALTO IRISH RESIDENTIAL LOAN FUND II</v>
          </cell>
          <cell r="C4" t="str">
            <v>AALTO INVEST UK LTD</v>
          </cell>
          <cell r="D4" t="str">
            <v>Riverbank House, 2 Swan Lane</v>
          </cell>
          <cell r="E4" t="str">
            <v>EC4R</v>
          </cell>
          <cell r="F4" t="str">
            <v>London</v>
          </cell>
          <cell r="G4" t="str">
            <v>United Kingdom</v>
          </cell>
          <cell r="H4">
            <v>442071442903</v>
          </cell>
          <cell r="J4" t="str">
            <v>https://www.man.com</v>
          </cell>
          <cell r="K4" t="str">
            <v>Matthew Pritchard</v>
          </cell>
          <cell r="L4" t="str">
            <v>matthew.pritchard@man.com</v>
          </cell>
          <cell r="N4" t="str">
            <v>Jonathan Shaw</v>
          </cell>
          <cell r="O4" t="str">
            <v>jonathan.shaw@man.com</v>
          </cell>
          <cell r="P4">
            <v>442071442911</v>
          </cell>
          <cell r="Q4" t="str">
            <v>Ireland</v>
          </cell>
          <cell r="R4" t="str">
            <v>EUR</v>
          </cell>
          <cell r="S4" t="str">
            <v>IFRS</v>
          </cell>
          <cell r="T4" t="str">
            <v>Annually</v>
          </cell>
          <cell r="U4" t="str">
            <v>Quarterly</v>
          </cell>
          <cell r="X4" t="str">
            <v>Grant Thornton</v>
          </cell>
          <cell r="Y4" t="str">
            <v>Section 110 company domiciled in Ireland</v>
          </cell>
          <cell r="AF4" t="str">
            <v>Closed end</v>
          </cell>
          <cell r="AG4">
            <v>9</v>
          </cell>
          <cell r="AH4">
            <v>10</v>
          </cell>
          <cell r="AI4" t="str">
            <v>Net</v>
          </cell>
          <cell r="AN4" t="str">
            <v>Institutional</v>
          </cell>
          <cell r="AR4" t="str">
            <v>65%</v>
          </cell>
          <cell r="AX4" t="str">
            <v>Book value(excl. amortisation)</v>
          </cell>
          <cell r="AY4" t="str">
            <v>Senior</v>
          </cell>
          <cell r="AZ4" t="str">
            <v>5 years</v>
          </cell>
          <cell r="BB4" t="str">
            <v>Europe</v>
          </cell>
          <cell r="BC4" t="str">
            <v>single country</v>
          </cell>
          <cell r="BE4" t="str">
            <v>Ireland</v>
          </cell>
          <cell r="BF4" t="str">
            <v>single sector</v>
          </cell>
          <cell r="BG4" t="str">
            <v>Development Residential</v>
          </cell>
          <cell r="BH4">
            <v>25000000</v>
          </cell>
          <cell r="BJ4">
            <v>2016</v>
          </cell>
        </row>
        <row r="5">
          <cell r="A5">
            <v>18098</v>
          </cell>
          <cell r="B5" t="str">
            <v>AALTO IRISH RESIDENTIAL LOAN FUND III</v>
          </cell>
          <cell r="C5" t="str">
            <v>AALTO INVEST UK LTD</v>
          </cell>
          <cell r="D5" t="str">
            <v>Riverbank House, 2 Swan Lane</v>
          </cell>
          <cell r="E5" t="str">
            <v>EC4R</v>
          </cell>
          <cell r="F5" t="str">
            <v>London</v>
          </cell>
          <cell r="G5" t="str">
            <v>United Kingdom</v>
          </cell>
          <cell r="H5">
            <v>442071442903</v>
          </cell>
          <cell r="J5" t="str">
            <v>https://www.man.com</v>
          </cell>
          <cell r="K5" t="str">
            <v>Matthew Pritchard</v>
          </cell>
          <cell r="L5" t="str">
            <v>matthew.pritchard@man.com</v>
          </cell>
          <cell r="N5" t="str">
            <v>Jonathan Shaw</v>
          </cell>
          <cell r="O5" t="str">
            <v>jonathan.shaw@man.com</v>
          </cell>
          <cell r="P5">
            <v>442071442911</v>
          </cell>
          <cell r="Q5" t="str">
            <v>Ireland</v>
          </cell>
          <cell r="R5" t="str">
            <v>EUR</v>
          </cell>
          <cell r="S5" t="str">
            <v>IFRS</v>
          </cell>
          <cell r="T5" t="str">
            <v>Annually</v>
          </cell>
          <cell r="U5" t="str">
            <v>Quarterly</v>
          </cell>
          <cell r="X5" t="str">
            <v>Grant Thornton</v>
          </cell>
          <cell r="Y5" t="str">
            <v>Section 110 company domiciled in Ireland</v>
          </cell>
          <cell r="AF5" t="str">
            <v>Closed end</v>
          </cell>
          <cell r="AG5">
            <v>9</v>
          </cell>
          <cell r="AH5">
            <v>10</v>
          </cell>
          <cell r="AI5" t="str">
            <v>Net</v>
          </cell>
          <cell r="AN5" t="str">
            <v>Institutional</v>
          </cell>
          <cell r="AR5" t="str">
            <v>65%</v>
          </cell>
          <cell r="AX5" t="str">
            <v>Book value(excl. amortisation)</v>
          </cell>
          <cell r="AY5" t="str">
            <v>Senior</v>
          </cell>
          <cell r="BA5" t="str">
            <v>≥ 50%</v>
          </cell>
          <cell r="BB5" t="str">
            <v>Europe</v>
          </cell>
          <cell r="BC5" t="str">
            <v>single country</v>
          </cell>
          <cell r="BE5" t="str">
            <v>Ireland</v>
          </cell>
          <cell r="BF5" t="str">
            <v>single sector</v>
          </cell>
          <cell r="BG5" t="str">
            <v>Development Residential</v>
          </cell>
          <cell r="BH5">
            <v>200000000</v>
          </cell>
        </row>
        <row r="6">
          <cell r="A6">
            <v>17383</v>
          </cell>
          <cell r="B6" t="str">
            <v>AGFE UK REAL ESTATE SENIOR DEBT FUND LP</v>
          </cell>
          <cell r="C6" t="str">
            <v>AGFE LLP</v>
          </cell>
          <cell r="D6" t="str">
            <v>55 Baker Street</v>
          </cell>
          <cell r="E6" t="str">
            <v>W1U 8EW</v>
          </cell>
          <cell r="F6" t="str">
            <v>London</v>
          </cell>
          <cell r="G6" t="str">
            <v>United Kingdom</v>
          </cell>
          <cell r="H6" t="str">
            <v>+44202195000</v>
          </cell>
          <cell r="I6" t="str">
            <v>+44202195000</v>
          </cell>
          <cell r="J6" t="str">
            <v>http://www.agfe.com</v>
          </cell>
          <cell r="K6" t="str">
            <v>James Wright</v>
          </cell>
          <cell r="L6" t="str">
            <v>james.wright@agfe.com</v>
          </cell>
          <cell r="M6" t="str">
            <v>+44202195000</v>
          </cell>
          <cell r="Q6" t="str">
            <v>United Kingdom</v>
          </cell>
          <cell r="R6" t="str">
            <v>GBP</v>
          </cell>
          <cell r="S6" t="str">
            <v>IFRS</v>
          </cell>
          <cell r="T6" t="str">
            <v>Quarterly</v>
          </cell>
          <cell r="U6" t="str">
            <v>Quarterly</v>
          </cell>
          <cell r="Y6" t="str">
            <v>Limited Partnership</v>
          </cell>
          <cell r="AF6" t="str">
            <v>Closed end</v>
          </cell>
          <cell r="AG6">
            <v>2</v>
          </cell>
          <cell r="AH6">
            <v>3</v>
          </cell>
          <cell r="AI6" t="str">
            <v>Net</v>
          </cell>
          <cell r="AK6" t="str">
            <v>2,25-3%</v>
          </cell>
          <cell r="AL6">
            <v>0</v>
          </cell>
          <cell r="AN6" t="str">
            <v>Institutional</v>
          </cell>
          <cell r="AO6" t="str">
            <v>&gt; 2</v>
          </cell>
          <cell r="AQ6">
            <v>7</v>
          </cell>
          <cell r="AS6">
            <v>65</v>
          </cell>
          <cell r="AV6" t="str">
            <v>2 years</v>
          </cell>
          <cell r="AW6" t="str">
            <v>Direct lending</v>
          </cell>
          <cell r="AX6" t="str">
            <v>Mark to market</v>
          </cell>
          <cell r="AY6" t="str">
            <v>Senior</v>
          </cell>
          <cell r="AZ6" t="str">
            <v>10 years</v>
          </cell>
          <cell r="BA6" t="str">
            <v>≥ 50%</v>
          </cell>
          <cell r="BC6" t="str">
            <v>single country</v>
          </cell>
          <cell r="BE6" t="str">
            <v>United Kingdom</v>
          </cell>
          <cell r="BF6" t="str">
            <v>multi sector</v>
          </cell>
          <cell r="BH6">
            <v>750000000</v>
          </cell>
          <cell r="BI6">
            <v>750000000</v>
          </cell>
          <cell r="BJ6">
            <v>2014</v>
          </cell>
          <cell r="BK6">
            <v>2021</v>
          </cell>
          <cell r="BL6" t="str">
            <v>Yes</v>
          </cell>
          <cell r="BM6" t="str">
            <v>No</v>
          </cell>
          <cell r="BS6" t="str">
            <v>2019-09-30</v>
          </cell>
          <cell r="BT6">
            <v>328291566</v>
          </cell>
          <cell r="BU6">
            <v>368925465.0965361</v>
          </cell>
          <cell r="BV6">
            <v>328308762</v>
          </cell>
          <cell r="BW6">
            <v>368944789.51103479</v>
          </cell>
          <cell r="BX6">
            <v>0</v>
          </cell>
          <cell r="CA6">
            <v>4</v>
          </cell>
          <cell r="CC6">
            <v>577858000</v>
          </cell>
          <cell r="CD6">
            <v>645804235.60822403</v>
          </cell>
          <cell r="CE6">
            <v>577858000</v>
          </cell>
          <cell r="CF6">
            <v>645804235.60822403</v>
          </cell>
          <cell r="CG6" t="str">
            <v>No</v>
          </cell>
          <cell r="CH6" t="str">
            <v>United Kingdom</v>
          </cell>
          <cell r="CI6" t="str">
            <v>Office</v>
          </cell>
          <cell r="CJ6">
            <v>32</v>
          </cell>
          <cell r="CK6" t="str">
            <v>United Kingdom</v>
          </cell>
          <cell r="CL6" t="str">
            <v>Retail</v>
          </cell>
          <cell r="CM6">
            <v>43</v>
          </cell>
          <cell r="CN6" t="str">
            <v>United Kingdom</v>
          </cell>
          <cell r="CO6" t="str">
            <v>Industrial / Logistics</v>
          </cell>
          <cell r="CP6">
            <v>18</v>
          </cell>
          <cell r="CQ6" t="str">
            <v>United Kingdom</v>
          </cell>
          <cell r="CR6" t="str">
            <v>Other</v>
          </cell>
          <cell r="CS6">
            <v>7</v>
          </cell>
        </row>
        <row r="7">
          <cell r="A7">
            <v>18133</v>
          </cell>
          <cell r="B7" t="str">
            <v>AMREF 3</v>
          </cell>
          <cell r="C7" t="str">
            <v>AERIENCE INVESTMENT S.A.R.L</v>
          </cell>
          <cell r="D7" t="str">
            <v>20 Boulevard Emmanuel Servais</v>
          </cell>
          <cell r="E7" t="str">
            <v>L - 2535</v>
          </cell>
          <cell r="F7" t="str">
            <v>Luxembourg</v>
          </cell>
          <cell r="G7" t="str">
            <v>Luxembourg</v>
          </cell>
          <cell r="H7" t="str">
            <v>+352 26 94 81 1</v>
          </cell>
          <cell r="I7" t="str">
            <v>+352 26 94 81 50</v>
          </cell>
          <cell r="J7" t="str">
            <v>http://aeriance.com/</v>
          </cell>
          <cell r="Q7" t="str">
            <v>Luxembourg</v>
          </cell>
          <cell r="R7" t="str">
            <v>EUR</v>
          </cell>
          <cell r="T7" t="str">
            <v>Monthly</v>
          </cell>
          <cell r="U7" t="str">
            <v>Quarterly</v>
          </cell>
          <cell r="Y7" t="str">
            <v>FCP</v>
          </cell>
          <cell r="AG7">
            <v>8</v>
          </cell>
          <cell r="AH7">
            <v>10</v>
          </cell>
          <cell r="AI7" t="str">
            <v>Gross</v>
          </cell>
          <cell r="AS7">
            <v>85</v>
          </cell>
          <cell r="AW7" t="str">
            <v>Both</v>
          </cell>
          <cell r="AY7" t="str">
            <v>Mixed: Senior+Subordinated</v>
          </cell>
          <cell r="AZ7">
            <v>7</v>
          </cell>
          <cell r="BC7" t="str">
            <v>multi country</v>
          </cell>
          <cell r="BD7" t="str">
            <v>Europe</v>
          </cell>
          <cell r="BF7" t="str">
            <v>multi sector</v>
          </cell>
          <cell r="BH7">
            <v>500000000</v>
          </cell>
          <cell r="BI7">
            <v>500000000</v>
          </cell>
          <cell r="BJ7">
            <v>2016</v>
          </cell>
        </row>
        <row r="8">
          <cell r="A8">
            <v>17377</v>
          </cell>
          <cell r="B8" t="str">
            <v>AVIVA INVESTORS UK COMMERCIAL REAL ESTATE SENIOR DEBT FUND L.P.</v>
          </cell>
          <cell r="C8" t="str">
            <v>AVIVA INVESTORS</v>
          </cell>
          <cell r="D8" t="str">
            <v>1 Poultry</v>
          </cell>
          <cell r="E8" t="str">
            <v>EC2R 8EJ</v>
          </cell>
          <cell r="F8" t="str">
            <v>London</v>
          </cell>
          <cell r="G8" t="str">
            <v>United Kingdom</v>
          </cell>
          <cell r="H8" t="str">
            <v>+442078098420</v>
          </cell>
          <cell r="I8" t="str">
            <v>+442078098420</v>
          </cell>
          <cell r="J8" t="str">
            <v>http://www.avivainvestors.com</v>
          </cell>
          <cell r="K8" t="str">
            <v>James Tarry</v>
          </cell>
          <cell r="L8" t="str">
            <v>james.tarry@avivainvestors.com</v>
          </cell>
          <cell r="M8" t="str">
            <v>+442078098420</v>
          </cell>
          <cell r="Q8" t="str">
            <v>United Kingdom</v>
          </cell>
          <cell r="R8" t="str">
            <v>GBP</v>
          </cell>
          <cell r="S8" t="str">
            <v>IFRS</v>
          </cell>
          <cell r="T8" t="str">
            <v>Quarterly</v>
          </cell>
          <cell r="U8" t="str">
            <v>Quarterly</v>
          </cell>
          <cell r="AF8" t="str">
            <v>Closed end</v>
          </cell>
          <cell r="AK8" t="str">
            <v>Equivalent maturity yields + 2,50 - 3,50%</v>
          </cell>
          <cell r="AL8">
            <v>0</v>
          </cell>
          <cell r="AP8">
            <v>94000000</v>
          </cell>
          <cell r="AQ8">
            <v>3</v>
          </cell>
          <cell r="AR8" t="str">
            <v>60%</v>
          </cell>
          <cell r="AS8">
            <v>65</v>
          </cell>
          <cell r="AT8">
            <v>25</v>
          </cell>
          <cell r="AV8" t="str">
            <v>2 years</v>
          </cell>
          <cell r="AW8" t="str">
            <v>Direct lending</v>
          </cell>
          <cell r="AY8" t="str">
            <v>Senior</v>
          </cell>
          <cell r="AZ8" t="str">
            <v>12 years</v>
          </cell>
          <cell r="BB8" t="str">
            <v>Europe</v>
          </cell>
          <cell r="BC8" t="str">
            <v>single country</v>
          </cell>
          <cell r="BE8" t="str">
            <v>United Kingdom</v>
          </cell>
          <cell r="BF8" t="str">
            <v>multi sector</v>
          </cell>
          <cell r="BH8">
            <v>500000000</v>
          </cell>
          <cell r="BI8">
            <v>500000000</v>
          </cell>
          <cell r="BJ8">
            <v>2013</v>
          </cell>
          <cell r="BK8">
            <v>2025</v>
          </cell>
          <cell r="BL8" t="str">
            <v>Yes</v>
          </cell>
          <cell r="BM8" t="str">
            <v>Yes</v>
          </cell>
          <cell r="BS8" t="str">
            <v>2014-06-30</v>
          </cell>
          <cell r="BU8">
            <v>0</v>
          </cell>
          <cell r="BV8">
            <v>94000000</v>
          </cell>
          <cell r="BW8">
            <v>117424800</v>
          </cell>
          <cell r="BX8">
            <v>0</v>
          </cell>
          <cell r="BY8" t="str">
            <v>No</v>
          </cell>
          <cell r="CA8">
            <v>5</v>
          </cell>
          <cell r="CC8">
            <v>326000000</v>
          </cell>
          <cell r="CD8">
            <v>394231800</v>
          </cell>
          <cell r="CF8">
            <v>0</v>
          </cell>
          <cell r="CG8" t="str">
            <v>Yes</v>
          </cell>
          <cell r="CH8" t="str">
            <v>United Kingdom</v>
          </cell>
          <cell r="CI8" t="str">
            <v>Office</v>
          </cell>
          <cell r="CJ8">
            <v>56</v>
          </cell>
          <cell r="CK8" t="str">
            <v>United Kingdom</v>
          </cell>
          <cell r="CL8" t="str">
            <v>Retail</v>
          </cell>
          <cell r="CM8">
            <v>44</v>
          </cell>
        </row>
        <row r="9">
          <cell r="A9">
            <v>18339</v>
          </cell>
          <cell r="B9" t="str">
            <v>CAERUS REAL ESTATE DEBT LUX S.C.A., SICAV-SIF, FUND IV</v>
          </cell>
          <cell r="C9" t="str">
            <v>CAERUS DEBT INVESTMENTS AG</v>
          </cell>
          <cell r="D9" t="str">
            <v>Heinrich-Heine-Allee 12</v>
          </cell>
          <cell r="E9">
            <v>40213</v>
          </cell>
          <cell r="F9" t="str">
            <v>Dusseldorf</v>
          </cell>
          <cell r="G9" t="str">
            <v>Germany</v>
          </cell>
          <cell r="H9" t="str">
            <v>+4921141613310</v>
          </cell>
          <cell r="I9" t="str">
            <v>+4921141613333</v>
          </cell>
          <cell r="J9" t="str">
            <v>http://www.caerus.ag</v>
          </cell>
          <cell r="K9" t="str">
            <v>Michael Morgenroth</v>
          </cell>
          <cell r="L9" t="str">
            <v>M.Morgenroth@CAERUS.ag</v>
          </cell>
          <cell r="M9" t="str">
            <v>+4921141613311</v>
          </cell>
          <cell r="N9" t="str">
            <v>Michael Morgenroth</v>
          </cell>
          <cell r="O9" t="str">
            <v>M.Morgenroth@CAERUS.ag</v>
          </cell>
          <cell r="P9" t="str">
            <v>+4921141613310</v>
          </cell>
          <cell r="Q9" t="str">
            <v>Luxembourg</v>
          </cell>
          <cell r="R9" t="str">
            <v>EUR</v>
          </cell>
          <cell r="S9" t="str">
            <v>Local GAAP</v>
          </cell>
          <cell r="T9" t="str">
            <v>Quarterly</v>
          </cell>
          <cell r="U9" t="str">
            <v>Quarterly</v>
          </cell>
          <cell r="X9" t="str">
            <v>PwC Lux.</v>
          </cell>
          <cell r="Y9" t="str">
            <v>SCA</v>
          </cell>
          <cell r="AA9" t="str">
            <v>Yes</v>
          </cell>
          <cell r="AB9">
            <v>0</v>
          </cell>
          <cell r="AF9" t="str">
            <v>Closed end</v>
          </cell>
          <cell r="AG9">
            <v>3</v>
          </cell>
          <cell r="AH9">
            <v>4</v>
          </cell>
          <cell r="AI9" t="str">
            <v>Net</v>
          </cell>
          <cell r="AJ9" t="str">
            <v>absolute Benchmark</v>
          </cell>
          <cell r="AN9" t="str">
            <v>Institutional</v>
          </cell>
          <cell r="AO9" t="str">
            <v>≤ 2</v>
          </cell>
          <cell r="AP9">
            <v>142850000</v>
          </cell>
          <cell r="AQ9">
            <v>6</v>
          </cell>
          <cell r="AR9" t="str">
            <v>75-80</v>
          </cell>
          <cell r="AS9">
            <v>80</v>
          </cell>
          <cell r="AT9">
            <v>5</v>
          </cell>
          <cell r="AU9">
            <v>20000000</v>
          </cell>
          <cell r="AV9" t="str">
            <v>3 years</v>
          </cell>
          <cell r="AW9" t="str">
            <v>Both</v>
          </cell>
          <cell r="AX9" t="str">
            <v>Book value(excl. amortisation)</v>
          </cell>
          <cell r="AY9" t="str">
            <v>Senior</v>
          </cell>
          <cell r="AZ9" t="str">
            <v>10 years</v>
          </cell>
          <cell r="BA9" t="str">
            <v>≥ 50%</v>
          </cell>
          <cell r="BC9" t="str">
            <v>multi country</v>
          </cell>
          <cell r="BF9" t="str">
            <v>multi sector</v>
          </cell>
          <cell r="BH9">
            <v>300000000</v>
          </cell>
          <cell r="BI9">
            <v>300000000</v>
          </cell>
          <cell r="BJ9">
            <v>2016</v>
          </cell>
          <cell r="BK9">
            <v>2026</v>
          </cell>
          <cell r="BL9" t="str">
            <v>Yes</v>
          </cell>
          <cell r="BM9" t="str">
            <v>Yes</v>
          </cell>
          <cell r="BN9" t="str">
            <v>1+1 years</v>
          </cell>
          <cell r="BS9" t="str">
            <v>2019-09-30</v>
          </cell>
          <cell r="BT9">
            <v>132052896</v>
          </cell>
          <cell r="BU9">
            <v>132052896</v>
          </cell>
          <cell r="BV9">
            <v>130430817</v>
          </cell>
          <cell r="BW9">
            <v>130430817</v>
          </cell>
          <cell r="BX9">
            <v>0</v>
          </cell>
          <cell r="BY9" t="str">
            <v>Yes</v>
          </cell>
          <cell r="CA9">
            <v>1</v>
          </cell>
          <cell r="CC9">
            <v>145000000</v>
          </cell>
          <cell r="CD9">
            <v>145000000</v>
          </cell>
          <cell r="CE9">
            <v>129658341</v>
          </cell>
          <cell r="CF9">
            <v>129658341</v>
          </cell>
          <cell r="CG9" t="str">
            <v>No</v>
          </cell>
          <cell r="CH9" t="str">
            <v>Germany</v>
          </cell>
          <cell r="CI9" t="str">
            <v>Residential</v>
          </cell>
          <cell r="CJ9">
            <v>24.43</v>
          </cell>
          <cell r="CK9" t="str">
            <v>Germany</v>
          </cell>
          <cell r="CL9" t="str">
            <v>Other</v>
          </cell>
          <cell r="CM9">
            <v>0.13</v>
          </cell>
          <cell r="CN9" t="str">
            <v>Netherlands</v>
          </cell>
          <cell r="CO9" t="str">
            <v>Office</v>
          </cell>
          <cell r="CP9">
            <v>8.17</v>
          </cell>
          <cell r="CQ9" t="str">
            <v>Netherlands</v>
          </cell>
          <cell r="CR9" t="str">
            <v>Retail</v>
          </cell>
          <cell r="CS9">
            <v>10.3</v>
          </cell>
          <cell r="CT9" t="str">
            <v>Netherlands</v>
          </cell>
          <cell r="CU9" t="str">
            <v>Residential</v>
          </cell>
          <cell r="CV9">
            <v>12.42</v>
          </cell>
          <cell r="CW9" t="str">
            <v>Netherlands</v>
          </cell>
          <cell r="CX9" t="str">
            <v>Hotel</v>
          </cell>
          <cell r="CY9">
            <v>6.58</v>
          </cell>
          <cell r="CZ9" t="str">
            <v>Netherlands</v>
          </cell>
          <cell r="DA9" t="str">
            <v>Industrial / Logistics</v>
          </cell>
          <cell r="DB9">
            <v>5.28</v>
          </cell>
          <cell r="DC9" t="str">
            <v>Austria</v>
          </cell>
          <cell r="DD9" t="str">
            <v>Residential</v>
          </cell>
          <cell r="DE9">
            <v>10.85</v>
          </cell>
          <cell r="DF9" t="str">
            <v>Austria</v>
          </cell>
          <cell r="DG9" t="str">
            <v>Hotel</v>
          </cell>
          <cell r="DH9">
            <v>12.24</v>
          </cell>
          <cell r="DI9" t="str">
            <v>Netherlands</v>
          </cell>
          <cell r="DJ9" t="str">
            <v>Other</v>
          </cell>
          <cell r="DK9">
            <v>7.79</v>
          </cell>
        </row>
        <row r="10">
          <cell r="A10">
            <v>18140</v>
          </cell>
          <cell r="B10" t="str">
            <v>CAERUS REAL ESTATE DEBT LUX. S.C.A. SIVAV-SIF, FUND V (ARCHIMEDES)</v>
          </cell>
          <cell r="C10" t="str">
            <v>CAERUS DEBT INVESTMENT AG</v>
          </cell>
          <cell r="D10" t="str">
            <v>Heinrich-Heine-Allee 12</v>
          </cell>
          <cell r="E10">
            <v>40213</v>
          </cell>
          <cell r="F10" t="str">
            <v>Dusseldorf</v>
          </cell>
          <cell r="G10" t="str">
            <v>Germany</v>
          </cell>
          <cell r="H10" t="str">
            <v>+4921141613310</v>
          </cell>
          <cell r="I10" t="str">
            <v>+4921141613333</v>
          </cell>
          <cell r="J10" t="str">
            <v>http://www.caerus.ag</v>
          </cell>
          <cell r="K10" t="str">
            <v>Michael Morgenroth</v>
          </cell>
          <cell r="L10" t="str">
            <v>m.morgenroth@caerus.ag</v>
          </cell>
          <cell r="M10" t="str">
            <v>+4921141613310</v>
          </cell>
          <cell r="N10" t="str">
            <v>Michael Morgenroth</v>
          </cell>
          <cell r="O10" t="str">
            <v>m.morgenroth@caerus.ag</v>
          </cell>
          <cell r="P10" t="str">
            <v>+4921141613310</v>
          </cell>
          <cell r="Q10" t="str">
            <v>Luxembourg</v>
          </cell>
          <cell r="R10" t="str">
            <v>EUR</v>
          </cell>
          <cell r="S10" t="str">
            <v>Local GAAP</v>
          </cell>
          <cell r="T10" t="str">
            <v>Quarterly</v>
          </cell>
          <cell r="U10" t="str">
            <v>Quarterly</v>
          </cell>
          <cell r="X10" t="str">
            <v>PWC Lux</v>
          </cell>
          <cell r="Y10" t="str">
            <v>SCA</v>
          </cell>
          <cell r="AA10" t="str">
            <v>Yes</v>
          </cell>
          <cell r="AG10">
            <v>6</v>
          </cell>
          <cell r="AH10">
            <v>8</v>
          </cell>
          <cell r="AI10" t="str">
            <v>Net</v>
          </cell>
          <cell r="AJ10" t="str">
            <v>Absolute Benchmark</v>
          </cell>
          <cell r="AN10" t="str">
            <v>Institutional</v>
          </cell>
          <cell r="AO10" t="str">
            <v>&gt; 2</v>
          </cell>
          <cell r="AP10">
            <v>157278400</v>
          </cell>
          <cell r="AQ10">
            <v>7</v>
          </cell>
          <cell r="AS10">
            <v>85</v>
          </cell>
          <cell r="AW10" t="str">
            <v>Both</v>
          </cell>
          <cell r="AX10" t="str">
            <v>Book value(excl. amortisation)</v>
          </cell>
          <cell r="AY10" t="str">
            <v>Senior</v>
          </cell>
          <cell r="AZ10" t="str">
            <v>7 years</v>
          </cell>
          <cell r="BA10" t="str">
            <v>≥ 50%</v>
          </cell>
          <cell r="BC10" t="str">
            <v>multi country</v>
          </cell>
          <cell r="BD10" t="str">
            <v>Western Europe</v>
          </cell>
          <cell r="BF10" t="str">
            <v>multi sector</v>
          </cell>
          <cell r="BH10">
            <v>300000000</v>
          </cell>
          <cell r="BI10">
            <v>300000000</v>
          </cell>
          <cell r="BJ10">
            <v>2016</v>
          </cell>
          <cell r="BM10" t="str">
            <v>Yes</v>
          </cell>
          <cell r="BN10" t="str">
            <v>1+1 years</v>
          </cell>
          <cell r="BS10" t="str">
            <v>2019-09-30</v>
          </cell>
          <cell r="BT10">
            <v>125582463</v>
          </cell>
          <cell r="BU10">
            <v>125582463</v>
          </cell>
          <cell r="BV10">
            <v>126742385</v>
          </cell>
          <cell r="BW10">
            <v>126742385</v>
          </cell>
          <cell r="BX10">
            <v>0</v>
          </cell>
          <cell r="BY10" t="str">
            <v>Yes</v>
          </cell>
          <cell r="CA10">
            <v>7</v>
          </cell>
          <cell r="CC10">
            <v>129000000</v>
          </cell>
          <cell r="CD10">
            <v>129000000</v>
          </cell>
          <cell r="CE10">
            <v>126303387</v>
          </cell>
          <cell r="CF10">
            <v>126303387</v>
          </cell>
          <cell r="CG10" t="str">
            <v>Yes</v>
          </cell>
          <cell r="CH10" t="str">
            <v>Germany</v>
          </cell>
          <cell r="CI10" t="str">
            <v>Office</v>
          </cell>
          <cell r="CJ10">
            <v>9.24</v>
          </cell>
          <cell r="CK10" t="str">
            <v>Germany</v>
          </cell>
          <cell r="CL10" t="str">
            <v>Residential</v>
          </cell>
          <cell r="CM10">
            <v>4.67</v>
          </cell>
          <cell r="CN10" t="str">
            <v>Germany</v>
          </cell>
          <cell r="CO10" t="str">
            <v>Other</v>
          </cell>
          <cell r="CP10">
            <v>5.01</v>
          </cell>
          <cell r="CQ10" t="str">
            <v>Netherlands</v>
          </cell>
          <cell r="CR10" t="str">
            <v>Office</v>
          </cell>
          <cell r="CS10">
            <v>6.88</v>
          </cell>
          <cell r="CT10" t="str">
            <v>Netherlands</v>
          </cell>
          <cell r="CU10" t="str">
            <v>Retail</v>
          </cell>
          <cell r="CV10">
            <v>19.05</v>
          </cell>
          <cell r="CW10" t="str">
            <v>Netherlands</v>
          </cell>
          <cell r="CX10" t="str">
            <v>Residential</v>
          </cell>
          <cell r="CY10">
            <v>22.95</v>
          </cell>
          <cell r="CZ10" t="str">
            <v>Netherlands</v>
          </cell>
          <cell r="DA10" t="str">
            <v>Hotel</v>
          </cell>
          <cell r="DB10">
            <v>9.82</v>
          </cell>
          <cell r="DC10" t="str">
            <v>Netherlands</v>
          </cell>
          <cell r="DD10" t="str">
            <v>Industrial / Logistics</v>
          </cell>
          <cell r="DE10">
            <v>6.91</v>
          </cell>
          <cell r="DF10" t="str">
            <v>Netherlands</v>
          </cell>
          <cell r="DG10" t="str">
            <v>Other</v>
          </cell>
          <cell r="DH10">
            <v>3.3</v>
          </cell>
          <cell r="DI10" t="str">
            <v>Austria</v>
          </cell>
          <cell r="DJ10" t="str">
            <v>Residential</v>
          </cell>
          <cell r="DK10">
            <v>5.69</v>
          </cell>
          <cell r="DL10" t="str">
            <v>Austria</v>
          </cell>
          <cell r="DM10" t="str">
            <v>Hotel</v>
          </cell>
          <cell r="DN10">
            <v>5.05</v>
          </cell>
        </row>
        <row r="11">
          <cell r="A11">
            <v>17384</v>
          </cell>
          <cell r="B11" t="str">
            <v>CAERUS REAL ESTATE DEBT LUX. S.C.A., SICAV-SIF, FUND I</v>
          </cell>
          <cell r="C11" t="str">
            <v>CAERUS DEBT INVESTMENTS AG</v>
          </cell>
          <cell r="D11" t="str">
            <v>Heinrich-Heine-Allee 12</v>
          </cell>
          <cell r="E11">
            <v>40213</v>
          </cell>
          <cell r="F11" t="str">
            <v>Dusseldorf</v>
          </cell>
          <cell r="G11" t="str">
            <v>Germany</v>
          </cell>
          <cell r="H11" t="str">
            <v>+4921141613310</v>
          </cell>
          <cell r="I11" t="str">
            <v>+4921141613333</v>
          </cell>
          <cell r="J11" t="str">
            <v>http://www.caerus.ag</v>
          </cell>
          <cell r="K11" t="str">
            <v>Michael Morgenroth</v>
          </cell>
          <cell r="L11" t="str">
            <v>m.morgenroth@caerus.ag</v>
          </cell>
          <cell r="M11" t="str">
            <v>+4921141613311</v>
          </cell>
          <cell r="N11" t="str">
            <v>Michael Morgenroth</v>
          </cell>
          <cell r="O11" t="str">
            <v>m.morgenroth@caerus.ag</v>
          </cell>
          <cell r="P11" t="str">
            <v>+4921141613310</v>
          </cell>
          <cell r="Q11" t="str">
            <v>Luxembourg</v>
          </cell>
          <cell r="R11" t="str">
            <v>EUR</v>
          </cell>
          <cell r="S11" t="str">
            <v>Local GAAP</v>
          </cell>
          <cell r="T11" t="str">
            <v>Quarterly</v>
          </cell>
          <cell r="U11" t="str">
            <v>Quarterly</v>
          </cell>
          <cell r="X11" t="str">
            <v>PwC Lux.</v>
          </cell>
          <cell r="Y11" t="str">
            <v>SCA</v>
          </cell>
          <cell r="AA11" t="str">
            <v>Yes</v>
          </cell>
          <cell r="AB11">
            <v>0</v>
          </cell>
          <cell r="AF11" t="str">
            <v>Closed end</v>
          </cell>
          <cell r="AG11">
            <v>6</v>
          </cell>
          <cell r="AH11">
            <v>8</v>
          </cell>
          <cell r="AI11" t="str">
            <v>Net</v>
          </cell>
          <cell r="AJ11" t="str">
            <v>absolute benchmark</v>
          </cell>
          <cell r="AK11" t="str">
            <v>6-7%</v>
          </cell>
          <cell r="AL11">
            <v>0</v>
          </cell>
          <cell r="AN11" t="str">
            <v>Institutional</v>
          </cell>
          <cell r="AO11" t="str">
            <v>&gt; 2</v>
          </cell>
          <cell r="AP11">
            <v>177500000</v>
          </cell>
          <cell r="AQ11">
            <v>7</v>
          </cell>
          <cell r="AR11" t="str">
            <v>75-80</v>
          </cell>
          <cell r="AS11">
            <v>85</v>
          </cell>
          <cell r="AT11" t="str">
            <v>10-15</v>
          </cell>
          <cell r="AU11" t="str">
            <v>25 million</v>
          </cell>
          <cell r="AV11" t="str">
            <v>3 years</v>
          </cell>
          <cell r="AW11" t="str">
            <v>Both</v>
          </cell>
          <cell r="AX11" t="str">
            <v>Book value(excl. amortisation)</v>
          </cell>
          <cell r="AY11" t="str">
            <v>Subordinated: Junior+Mezzanine</v>
          </cell>
          <cell r="AZ11" t="str">
            <v>7 years</v>
          </cell>
          <cell r="BA11" t="str">
            <v>≥ 50%</v>
          </cell>
          <cell r="BC11" t="str">
            <v>multi country</v>
          </cell>
          <cell r="BD11" t="str">
            <v>Western Europe</v>
          </cell>
          <cell r="BF11" t="str">
            <v>multi sector</v>
          </cell>
          <cell r="BH11">
            <v>150000000</v>
          </cell>
          <cell r="BI11">
            <v>150000000</v>
          </cell>
          <cell r="BJ11">
            <v>2014</v>
          </cell>
          <cell r="BK11">
            <v>2021</v>
          </cell>
          <cell r="BL11" t="str">
            <v>Yes</v>
          </cell>
          <cell r="BM11" t="str">
            <v>Yes</v>
          </cell>
          <cell r="BN11" t="str">
            <v>1+1 years</v>
          </cell>
          <cell r="BS11" t="str">
            <v>2019-09-30</v>
          </cell>
          <cell r="BT11">
            <v>143419010</v>
          </cell>
          <cell r="BU11">
            <v>143419010</v>
          </cell>
          <cell r="BV11">
            <v>142137228</v>
          </cell>
          <cell r="BW11">
            <v>142137228</v>
          </cell>
          <cell r="BX11">
            <v>0</v>
          </cell>
          <cell r="BY11" t="str">
            <v>Yes</v>
          </cell>
          <cell r="CA11">
            <v>10</v>
          </cell>
          <cell r="CC11">
            <v>150000000</v>
          </cell>
          <cell r="CD11">
            <v>150000000</v>
          </cell>
          <cell r="CE11">
            <v>140229585</v>
          </cell>
          <cell r="CF11">
            <v>140229585</v>
          </cell>
          <cell r="CG11" t="str">
            <v>No</v>
          </cell>
          <cell r="CH11" t="str">
            <v>Germany</v>
          </cell>
          <cell r="CI11" t="str">
            <v>Office</v>
          </cell>
          <cell r="CJ11">
            <v>2.63</v>
          </cell>
          <cell r="CK11" t="str">
            <v>Germany</v>
          </cell>
          <cell r="CL11" t="str">
            <v>Retail</v>
          </cell>
          <cell r="CM11">
            <v>1.1100000000000001</v>
          </cell>
          <cell r="CN11" t="str">
            <v>Germany</v>
          </cell>
          <cell r="CO11" t="str">
            <v>Residential</v>
          </cell>
          <cell r="CP11">
            <v>56.37</v>
          </cell>
          <cell r="CQ11" t="str">
            <v>Germany</v>
          </cell>
          <cell r="CR11" t="str">
            <v>Other</v>
          </cell>
          <cell r="CS11">
            <v>3.31</v>
          </cell>
          <cell r="CT11" t="str">
            <v>Netherlands</v>
          </cell>
          <cell r="CU11" t="str">
            <v>Office</v>
          </cell>
          <cell r="CV11">
            <v>22.2</v>
          </cell>
          <cell r="CW11" t="str">
            <v>Netherlands</v>
          </cell>
          <cell r="CX11" t="str">
            <v>Retail</v>
          </cell>
          <cell r="CY11">
            <v>10.79</v>
          </cell>
          <cell r="CZ11" t="str">
            <v>Netherlands</v>
          </cell>
          <cell r="DA11" t="str">
            <v>Residential</v>
          </cell>
          <cell r="DB11">
            <v>1.35</v>
          </cell>
        </row>
        <row r="12">
          <cell r="A12">
            <v>17675</v>
          </cell>
          <cell r="B12" t="str">
            <v>CAERUS REAL ESTATE DEBT LUX. S.C.A., SICAV-SIF, FUND II</v>
          </cell>
          <cell r="C12" t="str">
            <v>CAERUS DEBT INVESTMENTS AG</v>
          </cell>
          <cell r="D12" t="str">
            <v>Heinrich-Heine-Allee 12</v>
          </cell>
          <cell r="E12">
            <v>40213</v>
          </cell>
          <cell r="F12" t="str">
            <v>Dusseldorf</v>
          </cell>
          <cell r="G12" t="str">
            <v>Germany</v>
          </cell>
          <cell r="H12" t="str">
            <v>+4921141613310</v>
          </cell>
          <cell r="I12" t="str">
            <v>+4921141613333</v>
          </cell>
          <cell r="J12" t="str">
            <v>http://www.caerus.ag</v>
          </cell>
          <cell r="K12" t="str">
            <v>+Michael Morgenroth</v>
          </cell>
          <cell r="L12" t="str">
            <v>m.morgenroth@caerus.ag</v>
          </cell>
          <cell r="M12" t="str">
            <v>+4921141613311</v>
          </cell>
          <cell r="N12" t="str">
            <v>Michael Morgenroth</v>
          </cell>
          <cell r="O12" t="str">
            <v>m.morgenroth@caerus.ag</v>
          </cell>
          <cell r="P12" t="str">
            <v>+4921141613311</v>
          </cell>
          <cell r="Q12" t="str">
            <v>Luxembourg</v>
          </cell>
          <cell r="R12" t="str">
            <v>EUR</v>
          </cell>
          <cell r="S12" t="str">
            <v>Local GAAP</v>
          </cell>
          <cell r="T12" t="str">
            <v>Quarterly</v>
          </cell>
          <cell r="U12" t="str">
            <v>Quarterly</v>
          </cell>
          <cell r="X12" t="str">
            <v>PwC Lux.</v>
          </cell>
          <cell r="Y12" t="str">
            <v>SCA</v>
          </cell>
          <cell r="AA12" t="str">
            <v>Yes</v>
          </cell>
          <cell r="AB12">
            <v>0</v>
          </cell>
          <cell r="AF12" t="str">
            <v>Open end</v>
          </cell>
          <cell r="AG12">
            <v>4</v>
          </cell>
          <cell r="AH12">
            <v>5</v>
          </cell>
          <cell r="AI12" t="str">
            <v>Net</v>
          </cell>
          <cell r="AJ12" t="str">
            <v>absolute benchmark</v>
          </cell>
          <cell r="AN12" t="str">
            <v>Institutional</v>
          </cell>
          <cell r="AO12" t="str">
            <v>≤ 2</v>
          </cell>
          <cell r="AP12">
            <v>918554600</v>
          </cell>
          <cell r="AQ12">
            <v>13</v>
          </cell>
          <cell r="AR12" t="str">
            <v>70-75</v>
          </cell>
          <cell r="AS12">
            <v>80</v>
          </cell>
          <cell r="AT12" t="str">
            <v>5-6</v>
          </cell>
          <cell r="AU12">
            <v>40</v>
          </cell>
          <cell r="AV12" t="str">
            <v>7 years</v>
          </cell>
          <cell r="AW12" t="str">
            <v>Both</v>
          </cell>
          <cell r="AX12" t="str">
            <v>Book value(excl. amortisation)</v>
          </cell>
          <cell r="AY12" t="str">
            <v>Senior</v>
          </cell>
          <cell r="AZ12" t="str">
            <v>infinite</v>
          </cell>
          <cell r="BA12" t="str">
            <v>≥ 50%</v>
          </cell>
          <cell r="BC12" t="str">
            <v>multi country</v>
          </cell>
          <cell r="BF12" t="str">
            <v>multi sector</v>
          </cell>
          <cell r="BH12">
            <v>1047308000</v>
          </cell>
          <cell r="BI12">
            <v>1047308000</v>
          </cell>
          <cell r="BJ12">
            <v>2014</v>
          </cell>
          <cell r="BS12" t="str">
            <v>2019-09-30</v>
          </cell>
          <cell r="BT12">
            <v>652176390</v>
          </cell>
          <cell r="BU12">
            <v>652176390</v>
          </cell>
          <cell r="BV12">
            <v>642726819</v>
          </cell>
          <cell r="BW12">
            <v>642726819</v>
          </cell>
          <cell r="BX12">
            <v>0</v>
          </cell>
          <cell r="BY12" t="str">
            <v>Yes</v>
          </cell>
          <cell r="CA12">
            <v>1</v>
          </cell>
          <cell r="CC12">
            <v>1047308000</v>
          </cell>
          <cell r="CD12">
            <v>1047308000</v>
          </cell>
          <cell r="CE12">
            <v>622632354</v>
          </cell>
          <cell r="CF12">
            <v>622632354</v>
          </cell>
          <cell r="CH12" t="str">
            <v>Germany</v>
          </cell>
          <cell r="CI12" t="str">
            <v>Office</v>
          </cell>
          <cell r="CJ12">
            <v>17.02</v>
          </cell>
          <cell r="CK12" t="str">
            <v>Germany</v>
          </cell>
          <cell r="CL12" t="str">
            <v>Residential</v>
          </cell>
          <cell r="CM12">
            <v>4.47</v>
          </cell>
          <cell r="CN12" t="str">
            <v>Germany</v>
          </cell>
          <cell r="CO12" t="str">
            <v>Hotel</v>
          </cell>
          <cell r="CP12">
            <v>29.36</v>
          </cell>
          <cell r="CQ12" t="str">
            <v>Germany</v>
          </cell>
          <cell r="CR12" t="str">
            <v>Other</v>
          </cell>
          <cell r="CS12">
            <v>2.93</v>
          </cell>
          <cell r="CT12" t="str">
            <v>Netherlands</v>
          </cell>
          <cell r="CU12" t="str">
            <v>Office</v>
          </cell>
          <cell r="CV12">
            <v>3.19</v>
          </cell>
          <cell r="CW12" t="str">
            <v>Netherlands</v>
          </cell>
          <cell r="CX12" t="str">
            <v>Retail</v>
          </cell>
          <cell r="CY12">
            <v>10.68</v>
          </cell>
          <cell r="CZ12" t="str">
            <v>Netherlands</v>
          </cell>
          <cell r="DA12" t="str">
            <v>Residential</v>
          </cell>
          <cell r="DB12">
            <v>2.42</v>
          </cell>
          <cell r="DC12" t="str">
            <v>Netherlands</v>
          </cell>
          <cell r="DD12" t="str">
            <v>Hotel</v>
          </cell>
          <cell r="DE12">
            <v>5.44</v>
          </cell>
          <cell r="DF12" t="str">
            <v>Netherlands</v>
          </cell>
          <cell r="DG12" t="str">
            <v>Industrial / Logistics</v>
          </cell>
          <cell r="DH12">
            <v>1.37</v>
          </cell>
          <cell r="DI12" t="str">
            <v>Netherlands</v>
          </cell>
          <cell r="DJ12" t="str">
            <v>Other</v>
          </cell>
          <cell r="DK12">
            <v>2</v>
          </cell>
          <cell r="DL12" t="str">
            <v>Austria</v>
          </cell>
          <cell r="DM12" t="str">
            <v>Retail</v>
          </cell>
          <cell r="DN12">
            <v>10.26</v>
          </cell>
          <cell r="DO12" t="str">
            <v>Austria</v>
          </cell>
          <cell r="DP12" t="str">
            <v>Residential</v>
          </cell>
          <cell r="DQ12">
            <v>1.87</v>
          </cell>
          <cell r="DR12" t="str">
            <v>Austria</v>
          </cell>
          <cell r="DS12" t="str">
            <v>Hotel</v>
          </cell>
          <cell r="DT12">
            <v>1.65</v>
          </cell>
          <cell r="DU12" t="str">
            <v>Austria</v>
          </cell>
          <cell r="DV12" t="str">
            <v>Other</v>
          </cell>
          <cell r="DW12">
            <v>2.8</v>
          </cell>
        </row>
        <row r="13">
          <cell r="A13">
            <v>17676</v>
          </cell>
          <cell r="B13" t="str">
            <v>CAERUS REAL ESTATE DEBT LUX. S.C.A., SICAV-SIF, FUND III</v>
          </cell>
          <cell r="C13" t="str">
            <v>CAERUS DEBT INVESTMENTS AG</v>
          </cell>
          <cell r="D13" t="str">
            <v>Heinrich-Heine-Allee 12</v>
          </cell>
          <cell r="E13">
            <v>40213</v>
          </cell>
          <cell r="F13" t="str">
            <v>Dusseldorf</v>
          </cell>
          <cell r="G13" t="str">
            <v>Germany</v>
          </cell>
          <cell r="H13" t="str">
            <v>+4921141613310</v>
          </cell>
          <cell r="I13" t="str">
            <v>+4921141613333</v>
          </cell>
          <cell r="J13" t="str">
            <v>http://www.caerus.ag</v>
          </cell>
          <cell r="K13" t="str">
            <v>Michael Morgenroth</v>
          </cell>
          <cell r="L13" t="str">
            <v>m.morgenroth@caerus.ag</v>
          </cell>
          <cell r="M13" t="str">
            <v>+4921141613311</v>
          </cell>
          <cell r="N13" t="str">
            <v>Michael Morgenroth</v>
          </cell>
          <cell r="O13" t="str">
            <v>m.morgenroth@caerus.ag</v>
          </cell>
          <cell r="P13" t="str">
            <v>+4921141613310</v>
          </cell>
          <cell r="Q13" t="str">
            <v>Luxembourg</v>
          </cell>
          <cell r="R13" t="str">
            <v>EUR</v>
          </cell>
          <cell r="S13" t="str">
            <v>Local GAAP</v>
          </cell>
          <cell r="T13" t="str">
            <v>Quarterly</v>
          </cell>
          <cell r="U13" t="str">
            <v>Quarterly</v>
          </cell>
          <cell r="X13" t="str">
            <v>PwC Lux.</v>
          </cell>
          <cell r="Y13" t="str">
            <v>SCA</v>
          </cell>
          <cell r="AA13" t="str">
            <v>Yes</v>
          </cell>
          <cell r="AB13">
            <v>0</v>
          </cell>
          <cell r="AF13" t="str">
            <v>Closed end</v>
          </cell>
          <cell r="AG13">
            <v>4</v>
          </cell>
          <cell r="AH13">
            <v>5</v>
          </cell>
          <cell r="AI13" t="str">
            <v>Net</v>
          </cell>
          <cell r="AJ13" t="str">
            <v>absolute benchmark</v>
          </cell>
          <cell r="AN13" t="str">
            <v>Institutional</v>
          </cell>
          <cell r="AO13" t="str">
            <v>≤ 2</v>
          </cell>
          <cell r="AP13">
            <v>289400000</v>
          </cell>
          <cell r="AQ13">
            <v>7</v>
          </cell>
          <cell r="AR13" t="str">
            <v>70-75</v>
          </cell>
          <cell r="AS13">
            <v>80</v>
          </cell>
          <cell r="AT13" t="str">
            <v>3-5</v>
          </cell>
          <cell r="AU13">
            <v>40</v>
          </cell>
          <cell r="AV13" t="str">
            <v>3 years</v>
          </cell>
          <cell r="AW13" t="str">
            <v>Both</v>
          </cell>
          <cell r="AX13" t="str">
            <v>Book value(excl. amortisation)</v>
          </cell>
          <cell r="AY13" t="str">
            <v>Mixed: Senior+Subordinated</v>
          </cell>
          <cell r="AZ13" t="str">
            <v>10 years</v>
          </cell>
          <cell r="BA13" t="str">
            <v>≥ 50%</v>
          </cell>
          <cell r="BC13" t="str">
            <v>multi country</v>
          </cell>
          <cell r="BF13" t="str">
            <v>multi sector</v>
          </cell>
          <cell r="BH13">
            <v>300000000</v>
          </cell>
          <cell r="BI13">
            <v>300000000</v>
          </cell>
          <cell r="BJ13">
            <v>2014</v>
          </cell>
          <cell r="BM13" t="str">
            <v>Yes</v>
          </cell>
          <cell r="BN13" t="str">
            <v>1+1 years</v>
          </cell>
          <cell r="BS13" t="str">
            <v>2019-09-30</v>
          </cell>
          <cell r="BT13">
            <v>224511180</v>
          </cell>
          <cell r="BU13">
            <v>224511180</v>
          </cell>
          <cell r="BV13">
            <v>221268317</v>
          </cell>
          <cell r="BW13">
            <v>221268317</v>
          </cell>
          <cell r="BX13">
            <v>0</v>
          </cell>
          <cell r="BY13" t="str">
            <v>Yes</v>
          </cell>
          <cell r="CA13">
            <v>4</v>
          </cell>
          <cell r="CC13">
            <v>300000000</v>
          </cell>
          <cell r="CD13">
            <v>300000000</v>
          </cell>
          <cell r="CE13">
            <v>221089021</v>
          </cell>
          <cell r="CF13">
            <v>221089021</v>
          </cell>
          <cell r="CG13" t="str">
            <v>No</v>
          </cell>
          <cell r="CH13" t="str">
            <v>Germany</v>
          </cell>
          <cell r="CI13" t="str">
            <v>Office</v>
          </cell>
          <cell r="CJ13">
            <v>19.59</v>
          </cell>
          <cell r="CK13" t="str">
            <v>Germany</v>
          </cell>
          <cell r="CL13" t="str">
            <v>Residential</v>
          </cell>
          <cell r="CM13">
            <v>21.69</v>
          </cell>
          <cell r="CN13" t="str">
            <v>Germany</v>
          </cell>
          <cell r="CO13" t="str">
            <v>Hotel</v>
          </cell>
          <cell r="CP13">
            <v>27.68</v>
          </cell>
          <cell r="CQ13" t="str">
            <v>Germany</v>
          </cell>
          <cell r="CR13" t="str">
            <v>Other</v>
          </cell>
          <cell r="CS13">
            <v>3.84</v>
          </cell>
          <cell r="CT13" t="str">
            <v>Netherlands</v>
          </cell>
          <cell r="CU13" t="str">
            <v>Retail</v>
          </cell>
          <cell r="CV13">
            <v>11.77</v>
          </cell>
          <cell r="CW13" t="str">
            <v>Austria</v>
          </cell>
          <cell r="CX13" t="str">
            <v>Retail</v>
          </cell>
          <cell r="CY13">
            <v>10.93</v>
          </cell>
          <cell r="CZ13" t="str">
            <v>Austria</v>
          </cell>
          <cell r="DA13" t="str">
            <v>Other</v>
          </cell>
          <cell r="DB13">
            <v>2.97</v>
          </cell>
        </row>
        <row r="14">
          <cell r="A14">
            <v>19335</v>
          </cell>
          <cell r="B14" t="str">
            <v>CAERUS REAL ESTATE DEBT LUX. S.C.A., SICAV-SIF, FUND VI</v>
          </cell>
          <cell r="C14" t="str">
            <v>CAERUS DEBT INVESTMENTS AG</v>
          </cell>
          <cell r="D14" t="str">
            <v>Heinrich-Heine-Allee 12</v>
          </cell>
          <cell r="E14">
            <v>40213</v>
          </cell>
          <cell r="F14" t="str">
            <v>Dusseldorf</v>
          </cell>
          <cell r="G14" t="str">
            <v>Germany</v>
          </cell>
          <cell r="H14" t="str">
            <v>+4921141613310</v>
          </cell>
          <cell r="I14" t="str">
            <v>+4921141613333</v>
          </cell>
          <cell r="J14" t="str">
            <v>http://www.caerus.ag</v>
          </cell>
          <cell r="K14" t="str">
            <v>Michael Morgenroth</v>
          </cell>
          <cell r="L14" t="str">
            <v>m.morgenroth@caerus.ag</v>
          </cell>
          <cell r="M14" t="str">
            <v>+4921141613311</v>
          </cell>
          <cell r="N14" t="str">
            <v>Michael Morgenroth</v>
          </cell>
          <cell r="O14" t="str">
            <v>m.morgenroth@caerus.ag</v>
          </cell>
          <cell r="P14" t="str">
            <v>+4921141613310</v>
          </cell>
          <cell r="Q14" t="str">
            <v>Luxembourg</v>
          </cell>
          <cell r="R14" t="str">
            <v>EUR</v>
          </cell>
          <cell r="S14" t="str">
            <v>Local GAAP</v>
          </cell>
          <cell r="T14" t="str">
            <v>Quarterly</v>
          </cell>
          <cell r="U14" t="str">
            <v>Quarterly</v>
          </cell>
          <cell r="X14" t="str">
            <v>PWC Lux</v>
          </cell>
          <cell r="Y14" t="str">
            <v>SCA</v>
          </cell>
          <cell r="AA14" t="str">
            <v>Yes</v>
          </cell>
          <cell r="AB14">
            <v>0</v>
          </cell>
          <cell r="AF14" t="str">
            <v>Closed end</v>
          </cell>
          <cell r="AG14">
            <v>3</v>
          </cell>
          <cell r="AH14">
            <v>6</v>
          </cell>
          <cell r="AI14" t="str">
            <v>Gross</v>
          </cell>
          <cell r="AJ14" t="str">
            <v>absolute benchmark</v>
          </cell>
          <cell r="AN14" t="str">
            <v>Institutional</v>
          </cell>
          <cell r="AO14" t="str">
            <v>≤ 2</v>
          </cell>
          <cell r="AP14">
            <v>18000000</v>
          </cell>
          <cell r="AQ14">
            <v>1</v>
          </cell>
          <cell r="AR14" t="str">
            <v>75-80</v>
          </cell>
          <cell r="AS14">
            <v>80</v>
          </cell>
          <cell r="AT14">
            <v>6</v>
          </cell>
          <cell r="AU14">
            <v>25000000</v>
          </cell>
          <cell r="AV14" t="str">
            <v>7 years</v>
          </cell>
          <cell r="AW14" t="str">
            <v>Both</v>
          </cell>
          <cell r="AX14" t="str">
            <v>Book value(excl. amortisation)</v>
          </cell>
          <cell r="AY14" t="str">
            <v>Mixed: Senior+Subordinated+Preferred equity</v>
          </cell>
          <cell r="AZ14" t="str">
            <v>infinite</v>
          </cell>
          <cell r="BA14" t="str">
            <v>≥ 50%</v>
          </cell>
          <cell r="BC14" t="str">
            <v>multi country</v>
          </cell>
          <cell r="BF14" t="str">
            <v>multi sector</v>
          </cell>
          <cell r="BH14">
            <v>151000000</v>
          </cell>
          <cell r="BI14">
            <v>151000000</v>
          </cell>
          <cell r="BJ14">
            <v>2019</v>
          </cell>
          <cell r="BL14" t="str">
            <v>No</v>
          </cell>
          <cell r="BM14" t="str">
            <v>No</v>
          </cell>
          <cell r="BS14" t="str">
            <v>2019-09-30</v>
          </cell>
          <cell r="BT14">
            <v>18310498</v>
          </cell>
          <cell r="BU14">
            <v>18310498</v>
          </cell>
          <cell r="BV14">
            <v>18093740</v>
          </cell>
          <cell r="BW14">
            <v>18093740</v>
          </cell>
          <cell r="BX14">
            <v>0</v>
          </cell>
          <cell r="BY14" t="str">
            <v>Yes</v>
          </cell>
          <cell r="CA14">
            <v>2</v>
          </cell>
          <cell r="CC14">
            <v>151000000</v>
          </cell>
          <cell r="CD14">
            <v>151000000</v>
          </cell>
          <cell r="CE14">
            <v>18000000</v>
          </cell>
          <cell r="CF14">
            <v>18000000</v>
          </cell>
          <cell r="CG14" t="str">
            <v>No</v>
          </cell>
          <cell r="CH14" t="str">
            <v>Netherlands</v>
          </cell>
          <cell r="CI14" t="str">
            <v>Office</v>
          </cell>
          <cell r="CJ14">
            <v>25.85</v>
          </cell>
          <cell r="CK14" t="str">
            <v>Netherlands</v>
          </cell>
          <cell r="CL14" t="str">
            <v>Retail</v>
          </cell>
          <cell r="CM14">
            <v>71.569999999999993</v>
          </cell>
          <cell r="CN14" t="str">
            <v>Netherlands</v>
          </cell>
          <cell r="CO14" t="str">
            <v>Other</v>
          </cell>
          <cell r="CP14">
            <v>0.88</v>
          </cell>
        </row>
        <row r="15">
          <cell r="A15">
            <v>19336</v>
          </cell>
          <cell r="B15" t="str">
            <v>CAERUS REAL ESTATE DEBT LUX. S.C.A., SICAV-SIF, FUND VII</v>
          </cell>
          <cell r="C15" t="str">
            <v>CAERUS DEBT INVESTMENTS AG</v>
          </cell>
          <cell r="D15" t="str">
            <v>Heinrich-Heine-Allee 12</v>
          </cell>
          <cell r="E15">
            <v>40213</v>
          </cell>
          <cell r="F15" t="str">
            <v>Dusseldorf</v>
          </cell>
          <cell r="G15" t="str">
            <v>Germany</v>
          </cell>
          <cell r="H15" t="str">
            <v>+4921141613310</v>
          </cell>
          <cell r="I15" t="str">
            <v>+4921141613333</v>
          </cell>
          <cell r="J15" t="str">
            <v>http://www.caerus.ag</v>
          </cell>
          <cell r="K15" t="str">
            <v>Michael Morgenroth</v>
          </cell>
          <cell r="L15" t="str">
            <v>m.morgenroth@caerus.ag</v>
          </cell>
          <cell r="M15" t="str">
            <v>+4921141613311</v>
          </cell>
          <cell r="N15" t="str">
            <v>Michael Morgenroth</v>
          </cell>
          <cell r="O15" t="str">
            <v>m.morgenroth@caerus.ag</v>
          </cell>
          <cell r="P15" t="str">
            <v>+4921141613310</v>
          </cell>
          <cell r="Q15" t="str">
            <v>Luxembourg</v>
          </cell>
          <cell r="R15" t="str">
            <v>EUR</v>
          </cell>
          <cell r="S15" t="str">
            <v>Local GAAP</v>
          </cell>
          <cell r="T15" t="str">
            <v>Quarterly</v>
          </cell>
          <cell r="U15" t="str">
            <v>Quarterly</v>
          </cell>
          <cell r="X15" t="str">
            <v>PWC Lux</v>
          </cell>
          <cell r="Y15" t="str">
            <v>SCA</v>
          </cell>
          <cell r="AA15" t="str">
            <v>Yes</v>
          </cell>
          <cell r="AB15">
            <v>0</v>
          </cell>
          <cell r="AF15" t="str">
            <v>Closed end</v>
          </cell>
          <cell r="AG15">
            <v>3</v>
          </cell>
          <cell r="AH15">
            <v>6</v>
          </cell>
          <cell r="AI15" t="str">
            <v>Gross</v>
          </cell>
          <cell r="AJ15" t="str">
            <v>absolute benchmark</v>
          </cell>
          <cell r="AN15" t="str">
            <v>Institutional</v>
          </cell>
          <cell r="AO15" t="str">
            <v>≤ 2</v>
          </cell>
          <cell r="AR15" t="str">
            <v>75-80</v>
          </cell>
          <cell r="AS15">
            <v>80</v>
          </cell>
          <cell r="AT15">
            <v>8</v>
          </cell>
          <cell r="AU15">
            <v>21875000</v>
          </cell>
          <cell r="AV15" t="str">
            <v>3 years</v>
          </cell>
          <cell r="AW15" t="str">
            <v>Both</v>
          </cell>
          <cell r="AX15" t="str">
            <v>Book value(excl. amortisation)</v>
          </cell>
          <cell r="AY15" t="str">
            <v>Mixed: Senior+Subordinated+Preferred equity</v>
          </cell>
          <cell r="AZ15" t="str">
            <v>10 years</v>
          </cell>
          <cell r="BA15" t="str">
            <v>≥ 50%</v>
          </cell>
          <cell r="BC15" t="str">
            <v>multi country</v>
          </cell>
          <cell r="BF15" t="str">
            <v>multi sector</v>
          </cell>
          <cell r="BH15">
            <v>175000000</v>
          </cell>
          <cell r="BI15">
            <v>175000000</v>
          </cell>
          <cell r="BJ15">
            <v>2019</v>
          </cell>
          <cell r="BK15">
            <v>2029</v>
          </cell>
          <cell r="BL15" t="str">
            <v>Yes</v>
          </cell>
          <cell r="BM15" t="str">
            <v>Yes</v>
          </cell>
          <cell r="BN15" t="str">
            <v>1+1 years</v>
          </cell>
        </row>
        <row r="16">
          <cell r="A16">
            <v>18131</v>
          </cell>
          <cell r="B16" t="str">
            <v>CAIRN EUROPEAN COMMERCIAL MORTGAGE FUND</v>
          </cell>
          <cell r="C16" t="str">
            <v>CAIRN CAPITAL</v>
          </cell>
          <cell r="D16" t="str">
            <v>27 Knightsbridge</v>
          </cell>
          <cell r="E16" t="str">
            <v>SW1X 7LY</v>
          </cell>
          <cell r="F16" t="str">
            <v>London</v>
          </cell>
          <cell r="G16" t="str">
            <v>United Kingdom</v>
          </cell>
          <cell r="H16" t="str">
            <v>020 7259 4800</v>
          </cell>
          <cell r="I16" t="str">
            <v>020 7259 4899</v>
          </cell>
          <cell r="J16" t="str">
            <v>http://www.cairncapital.com/</v>
          </cell>
          <cell r="K16" t="str">
            <v>Peter Hansell</v>
          </cell>
          <cell r="L16" t="str">
            <v>peter.hansell@cairncapital.com</v>
          </cell>
          <cell r="M16" t="str">
            <v>020 7259 4803</v>
          </cell>
          <cell r="N16" t="str">
            <v>Sophie Lee</v>
          </cell>
          <cell r="O16" t="str">
            <v>investor.relations@cairncapital.com</v>
          </cell>
          <cell r="P16" t="str">
            <v>020 7259 4861</v>
          </cell>
          <cell r="Q16" t="str">
            <v>Ireland</v>
          </cell>
          <cell r="R16" t="str">
            <v>EUR</v>
          </cell>
          <cell r="T16" t="str">
            <v>Monthly</v>
          </cell>
          <cell r="U16" t="str">
            <v>Quarterly</v>
          </cell>
          <cell r="X16" t="str">
            <v>PricewaterhouseCoopers LLP</v>
          </cell>
          <cell r="Y16" t="str">
            <v>Open ended sub-fund of Cairn Global Funds Plc, an umbrella investment company with segregated liability between sub-funds</v>
          </cell>
          <cell r="AA16" t="str">
            <v>Yes</v>
          </cell>
          <cell r="AF16" t="str">
            <v>Open end</v>
          </cell>
          <cell r="AG16">
            <v>7</v>
          </cell>
          <cell r="AH16">
            <v>8</v>
          </cell>
          <cell r="AI16" t="str">
            <v>Net</v>
          </cell>
          <cell r="AJ16" t="str">
            <v>n/a</v>
          </cell>
          <cell r="AN16" t="str">
            <v>Institutional</v>
          </cell>
          <cell r="AO16" t="str">
            <v>&gt; 2</v>
          </cell>
          <cell r="AT16" t="str">
            <v>20-25</v>
          </cell>
          <cell r="AW16" t="str">
            <v>Both</v>
          </cell>
          <cell r="AY16" t="str">
            <v>Mixed: Senior+Subordinated</v>
          </cell>
          <cell r="BA16" t="str">
            <v>≥ 50%</v>
          </cell>
          <cell r="BC16" t="str">
            <v>multi country</v>
          </cell>
          <cell r="BF16" t="str">
            <v>multi sector</v>
          </cell>
          <cell r="BH16">
            <v>500000000</v>
          </cell>
          <cell r="BJ16">
            <v>2016</v>
          </cell>
        </row>
        <row r="17">
          <cell r="A17">
            <v>18376</v>
          </cell>
          <cell r="B17" t="str">
            <v>CHENAVARI EUROPEAN PRIVATE CREDIT OPPORTUNITIES FUND SCSP SICAV - RAIF</v>
          </cell>
          <cell r="C17" t="str">
            <v>CHENAVARI INVESTMENT MANAGERS (LUXEMBOURG) S.à R.L.</v>
          </cell>
          <cell r="D17" t="str">
            <v>2 Boulevard de la Foire, 1er étage</v>
          </cell>
          <cell r="E17" t="str">
            <v>L-1528</v>
          </cell>
          <cell r="F17" t="str">
            <v>Luxembourg</v>
          </cell>
          <cell r="G17" t="str">
            <v>Luxembourg</v>
          </cell>
          <cell r="J17" t="str">
            <v>http://www.chenavari.com</v>
          </cell>
          <cell r="K17" t="str">
            <v>Loic Fery</v>
          </cell>
          <cell r="N17" t="str">
            <v>Kirstie Sumarno</v>
          </cell>
          <cell r="O17" t="str">
            <v>kirstie.sumarno@chenavari.com</v>
          </cell>
          <cell r="P17" t="str">
            <v>+442072593600</v>
          </cell>
          <cell r="Q17" t="str">
            <v>Luxembourg</v>
          </cell>
          <cell r="R17" t="str">
            <v>EUR</v>
          </cell>
          <cell r="T17" t="str">
            <v>Quarterly</v>
          </cell>
          <cell r="U17" t="str">
            <v>Quarterly</v>
          </cell>
          <cell r="X17" t="str">
            <v>Deloitte</v>
          </cell>
          <cell r="Y17" t="str">
            <v>SICAV</v>
          </cell>
          <cell r="AF17" t="str">
            <v>Closed end</v>
          </cell>
          <cell r="AG17">
            <v>12</v>
          </cell>
          <cell r="AI17" t="str">
            <v>Net</v>
          </cell>
          <cell r="AN17" t="str">
            <v>Institutional</v>
          </cell>
          <cell r="AO17" t="str">
            <v>&gt; 2</v>
          </cell>
          <cell r="AW17" t="str">
            <v>Both</v>
          </cell>
          <cell r="AY17" t="str">
            <v>Senior</v>
          </cell>
          <cell r="BA17" t="str">
            <v>≥ 50%</v>
          </cell>
          <cell r="BB17" t="str">
            <v>Europe</v>
          </cell>
          <cell r="BC17" t="str">
            <v>multi country</v>
          </cell>
          <cell r="BD17" t="str">
            <v>Western Europe</v>
          </cell>
          <cell r="BF17" t="str">
            <v>multi sector</v>
          </cell>
          <cell r="BH17">
            <v>750000000</v>
          </cell>
          <cell r="BI17">
            <v>750000000</v>
          </cell>
          <cell r="BJ17">
            <v>2017</v>
          </cell>
          <cell r="BK17">
            <v>2024</v>
          </cell>
          <cell r="BL17" t="str">
            <v>Yes</v>
          </cell>
          <cell r="BM17" t="str">
            <v>Yes</v>
          </cell>
          <cell r="BN17" t="str">
            <v>1 year fixed</v>
          </cell>
        </row>
        <row r="18">
          <cell r="A18">
            <v>17674</v>
          </cell>
          <cell r="B18" t="str">
            <v>CHENAVARI REAL ESTATE FUND II</v>
          </cell>
          <cell r="C18" t="str">
            <v>CHENAVARI CREDIT PARTNERS LLP</v>
          </cell>
          <cell r="D18" t="str">
            <v>80 Victoria Street</v>
          </cell>
          <cell r="E18" t="str">
            <v>SW1E 5JL</v>
          </cell>
          <cell r="F18" t="str">
            <v>London</v>
          </cell>
          <cell r="G18" t="str">
            <v>United Kingdom</v>
          </cell>
          <cell r="H18" t="str">
            <v>+442072593600</v>
          </cell>
          <cell r="J18" t="str">
            <v>http://www.chenavari.com/</v>
          </cell>
          <cell r="K18" t="str">
            <v>Andrew Haines</v>
          </cell>
          <cell r="L18" t="str">
            <v>andrew.haines@chenavari.com</v>
          </cell>
          <cell r="M18" t="str">
            <v>+44207593600</v>
          </cell>
          <cell r="N18" t="str">
            <v>Sophie Porter</v>
          </cell>
          <cell r="O18" t="str">
            <v>sophie.porter@chenavari.com</v>
          </cell>
          <cell r="P18" t="str">
            <v>+442072453600</v>
          </cell>
          <cell r="Q18" t="str">
            <v>Luxembourg</v>
          </cell>
          <cell r="R18" t="str">
            <v>GBP</v>
          </cell>
          <cell r="S18" t="str">
            <v>IFRS</v>
          </cell>
          <cell r="T18" t="str">
            <v>Quarterly</v>
          </cell>
          <cell r="U18" t="str">
            <v>Quarterly</v>
          </cell>
          <cell r="X18" t="str">
            <v>Deloitte</v>
          </cell>
          <cell r="Y18" t="str">
            <v>Limited Partnership</v>
          </cell>
          <cell r="AA18" t="str">
            <v>Yes</v>
          </cell>
          <cell r="AB18">
            <v>3</v>
          </cell>
          <cell r="AF18" t="str">
            <v>Closed end</v>
          </cell>
          <cell r="AG18">
            <v>12</v>
          </cell>
          <cell r="AH18">
            <v>15</v>
          </cell>
          <cell r="AI18" t="str">
            <v>Net</v>
          </cell>
          <cell r="AJ18" t="str">
            <v>n/a</v>
          </cell>
          <cell r="AN18" t="str">
            <v>Institutional</v>
          </cell>
          <cell r="AO18" t="str">
            <v>&gt; 2</v>
          </cell>
          <cell r="AP18">
            <v>62339173</v>
          </cell>
          <cell r="AQ18">
            <v>14</v>
          </cell>
          <cell r="AR18" t="str">
            <v>65-90%</v>
          </cell>
          <cell r="AU18">
            <v>15</v>
          </cell>
          <cell r="AV18">
            <v>2</v>
          </cell>
          <cell r="AW18" t="str">
            <v>Direct lending</v>
          </cell>
          <cell r="AY18" t="str">
            <v>Mixed: Senior+Subordinated+Preferred equity</v>
          </cell>
          <cell r="AZ18" t="str">
            <v>7 plus 1+1 extensions</v>
          </cell>
          <cell r="BA18" t="str">
            <v>≥ 50%</v>
          </cell>
          <cell r="BB18" t="str">
            <v>Europe</v>
          </cell>
          <cell r="BC18" t="str">
            <v>multi country</v>
          </cell>
          <cell r="BD18" t="str">
            <v>Western Europe</v>
          </cell>
          <cell r="BF18" t="str">
            <v>multi sector</v>
          </cell>
          <cell r="BJ18">
            <v>2015</v>
          </cell>
          <cell r="BL18" t="str">
            <v>Yes</v>
          </cell>
          <cell r="BM18" t="str">
            <v>Yes</v>
          </cell>
          <cell r="BN18" t="str">
            <v>1+1 years</v>
          </cell>
          <cell r="BS18" t="str">
            <v>2017-06-30</v>
          </cell>
          <cell r="BU18">
            <v>0</v>
          </cell>
          <cell r="BV18">
            <v>51405677</v>
          </cell>
          <cell r="BW18">
            <v>58438120.407651238</v>
          </cell>
          <cell r="BX18">
            <v>0</v>
          </cell>
          <cell r="BY18" t="str">
            <v>Yes</v>
          </cell>
          <cell r="CA18">
            <v>4</v>
          </cell>
          <cell r="CC18">
            <v>48000000</v>
          </cell>
          <cell r="CD18">
            <v>56117378.851199999</v>
          </cell>
          <cell r="CE18">
            <v>46946078</v>
          </cell>
          <cell r="CF18">
            <v>54885225.931333028</v>
          </cell>
          <cell r="CG18" t="str">
            <v>No</v>
          </cell>
          <cell r="CH18" t="str">
            <v>United Kingdom</v>
          </cell>
          <cell r="CI18" t="str">
            <v>Office</v>
          </cell>
          <cell r="CJ18">
            <v>12</v>
          </cell>
          <cell r="CK18" t="str">
            <v>United Kingdom</v>
          </cell>
          <cell r="CL18" t="str">
            <v>Industrial / Logistics</v>
          </cell>
          <cell r="CM18">
            <v>17</v>
          </cell>
          <cell r="CN18" t="str">
            <v>United Kingdom</v>
          </cell>
          <cell r="CO18" t="str">
            <v>Office</v>
          </cell>
          <cell r="CP18">
            <v>12</v>
          </cell>
          <cell r="CQ18" t="str">
            <v>United Kingdom</v>
          </cell>
          <cell r="CR18" t="str">
            <v>Office</v>
          </cell>
          <cell r="CS18">
            <v>6</v>
          </cell>
          <cell r="CT18" t="str">
            <v>Germany</v>
          </cell>
          <cell r="CU18" t="str">
            <v>Student Housing</v>
          </cell>
          <cell r="CV18">
            <v>9</v>
          </cell>
          <cell r="CW18" t="str">
            <v>United Kingdom</v>
          </cell>
          <cell r="CX18" t="str">
            <v>Retail</v>
          </cell>
          <cell r="CY18">
            <v>17</v>
          </cell>
          <cell r="CZ18" t="str">
            <v>United Kingdom</v>
          </cell>
          <cell r="DA18" t="str">
            <v>Office</v>
          </cell>
          <cell r="DB18">
            <v>2</v>
          </cell>
          <cell r="DC18" t="str">
            <v>United Kingdom</v>
          </cell>
          <cell r="DD18" t="str">
            <v>Office</v>
          </cell>
          <cell r="DE18">
            <v>2</v>
          </cell>
          <cell r="DF18" t="str">
            <v>United Kingdom</v>
          </cell>
          <cell r="DG18" t="str">
            <v>Office</v>
          </cell>
          <cell r="DH18">
            <v>6</v>
          </cell>
          <cell r="DI18" t="str">
            <v>Spain</v>
          </cell>
          <cell r="DJ18" t="str">
            <v>Retail</v>
          </cell>
          <cell r="DK18">
            <v>4</v>
          </cell>
          <cell r="DL18" t="str">
            <v>United Kingdom</v>
          </cell>
          <cell r="DM18" t="str">
            <v>Retail</v>
          </cell>
          <cell r="DN18">
            <v>5</v>
          </cell>
          <cell r="DO18" t="str">
            <v>United Kingdom</v>
          </cell>
          <cell r="DP18" t="str">
            <v>Retail</v>
          </cell>
          <cell r="DQ18">
            <v>2</v>
          </cell>
          <cell r="DR18" t="str">
            <v>Spain</v>
          </cell>
          <cell r="DS18" t="str">
            <v>Retail</v>
          </cell>
          <cell r="DT18">
            <v>2</v>
          </cell>
          <cell r="DU18" t="str">
            <v>United Kingdom</v>
          </cell>
          <cell r="DV18" t="str">
            <v>Retail</v>
          </cell>
          <cell r="DW18">
            <v>4</v>
          </cell>
        </row>
        <row r="19">
          <cell r="A19">
            <v>18417</v>
          </cell>
          <cell r="B19" t="str">
            <v>COMMERCIAL REAL ESTATE DEBT FUND II LP</v>
          </cell>
          <cell r="C19" t="str">
            <v>OCTOPUS AIF MANAGEMENT LIMITED</v>
          </cell>
          <cell r="D19" t="str">
            <v>6th Floor 33 Holborn</v>
          </cell>
          <cell r="E19" t="str">
            <v>EC1N 2HT</v>
          </cell>
          <cell r="F19" t="str">
            <v>London</v>
          </cell>
          <cell r="G19" t="str">
            <v>United Kingdom</v>
          </cell>
          <cell r="H19" t="str">
            <v>+12034325972</v>
          </cell>
          <cell r="J19" t="str">
            <v>https://octopusinvestments.com/</v>
          </cell>
          <cell r="K19" t="str">
            <v>Ludo Mackenzie</v>
          </cell>
          <cell r="L19" t="str">
            <v>ludo.mackenzie@octopusinvestments.com</v>
          </cell>
          <cell r="M19" t="str">
            <v>+442071907794</v>
          </cell>
          <cell r="N19" t="str">
            <v>Mark Williams</v>
          </cell>
          <cell r="O19" t="str">
            <v>investorrelations@octopusinvestments.com</v>
          </cell>
          <cell r="Q19" t="str">
            <v>Luxembourg</v>
          </cell>
          <cell r="R19" t="str">
            <v>GBP</v>
          </cell>
          <cell r="S19" t="str">
            <v>Local GAAP</v>
          </cell>
          <cell r="T19" t="str">
            <v>Quarterly</v>
          </cell>
          <cell r="U19" t="str">
            <v>Quarterly</v>
          </cell>
          <cell r="X19" t="str">
            <v xml:space="preserve">Pricewaterhouse Coopers LLP </v>
          </cell>
          <cell r="Y19" t="str">
            <v>Investment Fund</v>
          </cell>
          <cell r="Z19" t="str">
            <v>No</v>
          </cell>
          <cell r="AA19" t="str">
            <v>No</v>
          </cell>
          <cell r="AB19">
            <v>1</v>
          </cell>
          <cell r="AC19" t="str">
            <v>Non-Listed Fund</v>
          </cell>
          <cell r="AD19" t="str">
            <v>Core</v>
          </cell>
          <cell r="AE19" t="str">
            <v>finite</v>
          </cell>
          <cell r="AF19" t="str">
            <v>Closed end</v>
          </cell>
          <cell r="AG19">
            <v>11</v>
          </cell>
          <cell r="AH19">
            <v>12</v>
          </cell>
          <cell r="AI19" t="str">
            <v>Gross</v>
          </cell>
          <cell r="AN19" t="str">
            <v>Institutional</v>
          </cell>
          <cell r="AO19" t="str">
            <v>&gt; 2</v>
          </cell>
          <cell r="AR19" t="str">
            <v>65%</v>
          </cell>
          <cell r="AS19">
            <v>70</v>
          </cell>
          <cell r="AT19">
            <v>120</v>
          </cell>
          <cell r="AU19">
            <v>5000000</v>
          </cell>
          <cell r="AV19" t="str">
            <v>3 years</v>
          </cell>
          <cell r="AW19" t="str">
            <v>Direct lending</v>
          </cell>
          <cell r="AX19" t="str">
            <v>Book value(excl. amortisation)</v>
          </cell>
          <cell r="AY19" t="str">
            <v>Senior</v>
          </cell>
          <cell r="AZ19" t="str">
            <v>5 years</v>
          </cell>
          <cell r="BA19" t="str">
            <v>≥ 50%</v>
          </cell>
          <cell r="BB19" t="str">
            <v>Europe</v>
          </cell>
          <cell r="BC19" t="str">
            <v>single country</v>
          </cell>
          <cell r="BE19" t="str">
            <v>United Kingdom</v>
          </cell>
          <cell r="BF19" t="str">
            <v>multi sector</v>
          </cell>
          <cell r="BH19">
            <v>231000000</v>
          </cell>
          <cell r="BJ19">
            <v>2017</v>
          </cell>
          <cell r="BK19">
            <v>2022</v>
          </cell>
          <cell r="BL19" t="str">
            <v>Yes</v>
          </cell>
          <cell r="BM19" t="str">
            <v>Yes</v>
          </cell>
          <cell r="BN19" t="str">
            <v>2 years fixed</v>
          </cell>
        </row>
        <row r="20">
          <cell r="A20">
            <v>18415</v>
          </cell>
          <cell r="B20" t="str">
            <v>COMMERCIAL REAL ESTATE DEBT FUND LP</v>
          </cell>
          <cell r="C20" t="str">
            <v>OCTOPUS AIF MANAGEMENT LIMITED</v>
          </cell>
          <cell r="D20" t="str">
            <v>6th Floor 33 Holborn</v>
          </cell>
          <cell r="E20" t="str">
            <v>EC1N 2HT</v>
          </cell>
          <cell r="F20" t="str">
            <v>London</v>
          </cell>
          <cell r="G20" t="str">
            <v>United Kingdom</v>
          </cell>
          <cell r="H20" t="str">
            <v>+12034325972</v>
          </cell>
          <cell r="J20" t="str">
            <v>https://octopusinvestments.com/</v>
          </cell>
          <cell r="K20" t="str">
            <v>Ludo Mackenzie</v>
          </cell>
          <cell r="L20" t="str">
            <v>ludo.mackenzie@octopus-realestate.com</v>
          </cell>
          <cell r="M20" t="str">
            <v>+442071907794</v>
          </cell>
          <cell r="N20" t="str">
            <v>Mark Williams</v>
          </cell>
          <cell r="O20" t="str">
            <v>investorrelations@octopusinvestments.com</v>
          </cell>
          <cell r="Q20" t="str">
            <v>Luxembourg</v>
          </cell>
          <cell r="R20" t="str">
            <v>GBP</v>
          </cell>
          <cell r="S20" t="str">
            <v>Local GAAP</v>
          </cell>
          <cell r="T20" t="str">
            <v>Quarterly</v>
          </cell>
          <cell r="U20" t="str">
            <v>Quarterly</v>
          </cell>
          <cell r="X20" t="str">
            <v xml:space="preserve">Pricewaterhouse Coopers LLP </v>
          </cell>
          <cell r="Y20" t="str">
            <v>Real Estate Fund</v>
          </cell>
          <cell r="Z20" t="str">
            <v>No</v>
          </cell>
          <cell r="AA20" t="str">
            <v>Yes</v>
          </cell>
          <cell r="AB20">
            <v>1</v>
          </cell>
          <cell r="AC20" t="str">
            <v>Non-Listed Fund</v>
          </cell>
          <cell r="AD20" t="str">
            <v>Core</v>
          </cell>
          <cell r="AE20" t="str">
            <v>finite</v>
          </cell>
          <cell r="AF20" t="str">
            <v>Closed end</v>
          </cell>
          <cell r="AG20">
            <v>11</v>
          </cell>
          <cell r="AH20">
            <v>12</v>
          </cell>
          <cell r="AI20" t="str">
            <v>Gross</v>
          </cell>
          <cell r="AN20" t="str">
            <v>Institutional</v>
          </cell>
          <cell r="AO20" t="str">
            <v>&gt; 2</v>
          </cell>
          <cell r="AP20">
            <v>270080000</v>
          </cell>
          <cell r="AQ20">
            <v>34</v>
          </cell>
          <cell r="AR20" t="str">
            <v>65%</v>
          </cell>
          <cell r="AS20">
            <v>70</v>
          </cell>
          <cell r="AT20">
            <v>100</v>
          </cell>
          <cell r="AU20">
            <v>5000000</v>
          </cell>
          <cell r="AV20" t="str">
            <v>3 years</v>
          </cell>
          <cell r="AW20" t="str">
            <v>Direct lending</v>
          </cell>
          <cell r="AX20" t="str">
            <v>Book value(excl. amortisation)</v>
          </cell>
          <cell r="AY20" t="str">
            <v>Senior</v>
          </cell>
          <cell r="AZ20" t="str">
            <v>5 years</v>
          </cell>
          <cell r="BA20" t="str">
            <v>≥ 50%</v>
          </cell>
          <cell r="BB20" t="str">
            <v>Europe</v>
          </cell>
          <cell r="BC20" t="str">
            <v>single country</v>
          </cell>
          <cell r="BE20" t="str">
            <v>United Kingdom</v>
          </cell>
          <cell r="BF20" t="str">
            <v>multi sector</v>
          </cell>
          <cell r="BH20">
            <v>131000000</v>
          </cell>
          <cell r="BJ20">
            <v>2014</v>
          </cell>
          <cell r="BK20">
            <v>2019</v>
          </cell>
          <cell r="BL20" t="str">
            <v>Yes</v>
          </cell>
          <cell r="BM20" t="str">
            <v>Yes</v>
          </cell>
          <cell r="BN20" t="str">
            <v>2 years fixed</v>
          </cell>
          <cell r="BS20" t="str">
            <v>2017-09-30</v>
          </cell>
          <cell r="BT20">
            <v>91226689</v>
          </cell>
          <cell r="BU20">
            <v>103595345.53457481</v>
          </cell>
          <cell r="BV20">
            <v>90890000</v>
          </cell>
          <cell r="BW20">
            <v>103213007.71573</v>
          </cell>
          <cell r="BX20">
            <v>0</v>
          </cell>
          <cell r="BY20" t="str">
            <v>No</v>
          </cell>
          <cell r="CA20">
            <v>6</v>
          </cell>
          <cell r="CC20">
            <v>100500000</v>
          </cell>
          <cell r="CD20">
            <v>114406056.1188</v>
          </cell>
          <cell r="CE20">
            <v>100500000</v>
          </cell>
          <cell r="CF20">
            <v>114406056.1188</v>
          </cell>
          <cell r="CG20" t="str">
            <v>No</v>
          </cell>
          <cell r="CH20" t="str">
            <v>United Kingdom</v>
          </cell>
          <cell r="CI20" t="str">
            <v>Hotel</v>
          </cell>
          <cell r="CJ20">
            <v>32</v>
          </cell>
          <cell r="CK20" t="str">
            <v>United Kingdom</v>
          </cell>
          <cell r="CL20" t="str">
            <v>Retail</v>
          </cell>
          <cell r="CM20">
            <v>4</v>
          </cell>
          <cell r="CN20" t="str">
            <v>United Kingdom</v>
          </cell>
          <cell r="CO20" t="str">
            <v>Leisure</v>
          </cell>
          <cell r="CP20">
            <v>3</v>
          </cell>
          <cell r="CQ20" t="str">
            <v>United Kingdom</v>
          </cell>
          <cell r="CR20" t="str">
            <v>Mixed</v>
          </cell>
          <cell r="CS20">
            <v>20</v>
          </cell>
          <cell r="CT20" t="str">
            <v>United Kingdom</v>
          </cell>
          <cell r="CU20" t="str">
            <v>Other</v>
          </cell>
          <cell r="CV20">
            <v>10</v>
          </cell>
          <cell r="CW20" t="str">
            <v>United Kingdom</v>
          </cell>
          <cell r="CX20" t="str">
            <v>Office</v>
          </cell>
          <cell r="CY20">
            <v>24</v>
          </cell>
          <cell r="CZ20" t="str">
            <v>United Kingdom</v>
          </cell>
          <cell r="DA20" t="str">
            <v>Student Housing</v>
          </cell>
          <cell r="DB20">
            <v>3</v>
          </cell>
          <cell r="DC20" t="str">
            <v>United Kingdom</v>
          </cell>
          <cell r="DD20" t="str">
            <v>Industrial / Logistics</v>
          </cell>
          <cell r="DE20">
            <v>4</v>
          </cell>
        </row>
        <row r="21">
          <cell r="A21">
            <v>18419</v>
          </cell>
          <cell r="B21" t="str">
            <v>CREDF SYNDICATION LP</v>
          </cell>
          <cell r="C21" t="str">
            <v>OCTOPUS AIF MANAGEMENT LIMITED</v>
          </cell>
          <cell r="D21" t="str">
            <v>6th Floor 33 Holborn</v>
          </cell>
          <cell r="E21" t="str">
            <v>EC1N 2HT</v>
          </cell>
          <cell r="F21" t="str">
            <v>London</v>
          </cell>
          <cell r="G21" t="str">
            <v>United Kingdom</v>
          </cell>
          <cell r="H21" t="str">
            <v>+442034325972</v>
          </cell>
          <cell r="J21" t="str">
            <v>https://octopusinvestments.com/</v>
          </cell>
          <cell r="K21" t="str">
            <v>Ludo Mackenzie</v>
          </cell>
          <cell r="L21" t="str">
            <v>ludo.mackenzie@octopus-realestate.com</v>
          </cell>
          <cell r="M21" t="str">
            <v>+442071907794</v>
          </cell>
          <cell r="N21" t="str">
            <v>Mark Williams</v>
          </cell>
          <cell r="O21" t="str">
            <v>investorrelations@octopusinvestments.com</v>
          </cell>
          <cell r="Q21" t="str">
            <v>Luxembourg</v>
          </cell>
          <cell r="R21" t="str">
            <v>GBP</v>
          </cell>
          <cell r="S21" t="str">
            <v>Local GAAP</v>
          </cell>
          <cell r="T21" t="str">
            <v>Quarterly</v>
          </cell>
          <cell r="U21" t="str">
            <v>Quarterly</v>
          </cell>
          <cell r="X21" t="str">
            <v xml:space="preserve">Pricewaterhouse Coopers LLP </v>
          </cell>
          <cell r="Y21" t="str">
            <v>Real Estate Fund</v>
          </cell>
          <cell r="Z21" t="str">
            <v>No</v>
          </cell>
          <cell r="AA21" t="str">
            <v>Yes</v>
          </cell>
          <cell r="AB21">
            <v>1</v>
          </cell>
          <cell r="AC21" t="str">
            <v>Non-Listed Fund</v>
          </cell>
          <cell r="AD21" t="str">
            <v>Core</v>
          </cell>
          <cell r="AE21" t="str">
            <v>finite</v>
          </cell>
          <cell r="AF21" t="str">
            <v>Closed end</v>
          </cell>
          <cell r="AG21">
            <v>9</v>
          </cell>
          <cell r="AH21">
            <v>10</v>
          </cell>
          <cell r="AI21" t="str">
            <v>Gross</v>
          </cell>
          <cell r="AN21" t="str">
            <v>Institutional</v>
          </cell>
          <cell r="AO21" t="str">
            <v>&gt; 2</v>
          </cell>
          <cell r="AR21" t="str">
            <v>65%</v>
          </cell>
          <cell r="AS21">
            <v>70</v>
          </cell>
          <cell r="AT21">
            <v>15</v>
          </cell>
          <cell r="AU21">
            <v>5000000</v>
          </cell>
          <cell r="AV21" t="str">
            <v>3 years</v>
          </cell>
          <cell r="AW21" t="str">
            <v>Direct lending</v>
          </cell>
          <cell r="AX21" t="str">
            <v>Book value(excl. amortisation)</v>
          </cell>
          <cell r="AY21" t="str">
            <v>Senior</v>
          </cell>
          <cell r="AZ21" t="str">
            <v>5 years</v>
          </cell>
          <cell r="BA21" t="str">
            <v>≥ 50%</v>
          </cell>
          <cell r="BB21" t="str">
            <v>Europe</v>
          </cell>
          <cell r="BC21" t="str">
            <v>single country</v>
          </cell>
          <cell r="BE21" t="str">
            <v>United Kingdom</v>
          </cell>
          <cell r="BF21" t="str">
            <v>multi sector</v>
          </cell>
          <cell r="BH21">
            <v>49700000</v>
          </cell>
          <cell r="BJ21">
            <v>2016</v>
          </cell>
          <cell r="BK21">
            <v>2019</v>
          </cell>
          <cell r="BL21" t="str">
            <v>Yes</v>
          </cell>
          <cell r="BM21" t="str">
            <v>Yes</v>
          </cell>
          <cell r="BN21" t="str">
            <v>2 years fixed</v>
          </cell>
          <cell r="BS21" t="str">
            <v>2017-09-30</v>
          </cell>
          <cell r="BT21">
            <v>33021660</v>
          </cell>
          <cell r="BU21">
            <v>37498788.077524617</v>
          </cell>
          <cell r="BV21">
            <v>32908270</v>
          </cell>
          <cell r="BW21">
            <v>37370024.484776393</v>
          </cell>
          <cell r="BX21">
            <v>0</v>
          </cell>
          <cell r="CD21">
            <v>0</v>
          </cell>
        </row>
        <row r="22">
          <cell r="A22">
            <v>17375</v>
          </cell>
          <cell r="B22" t="str">
            <v>DEKA REALKREDIT KLASSIK</v>
          </cell>
          <cell r="C22" t="str">
            <v>DEKA IMMOBILIEN INVESTMENT GMBH</v>
          </cell>
          <cell r="D22" t="str">
            <v>Taunusanlage 1</v>
          </cell>
          <cell r="E22">
            <v>60329</v>
          </cell>
          <cell r="F22" t="str">
            <v>Frankfurt</v>
          </cell>
          <cell r="G22" t="str">
            <v>Germany</v>
          </cell>
          <cell r="H22" t="str">
            <v>+496971475432</v>
          </cell>
          <cell r="I22" t="str">
            <v>+496971475432</v>
          </cell>
          <cell r="J22" t="str">
            <v>http://www.deka-immobilien.de</v>
          </cell>
          <cell r="K22" t="str">
            <v>Hans Albert Eberhard</v>
          </cell>
          <cell r="L22" t="str">
            <v>hansalbert.eberhard@deka.de</v>
          </cell>
          <cell r="M22" t="str">
            <v>+496971475432</v>
          </cell>
          <cell r="Q22" t="str">
            <v>Germany</v>
          </cell>
          <cell r="R22" t="str">
            <v>EUR</v>
          </cell>
          <cell r="T22" t="str">
            <v>Quarterly</v>
          </cell>
          <cell r="U22" t="str">
            <v>Quarterly</v>
          </cell>
          <cell r="AF22" t="str">
            <v>Open end</v>
          </cell>
          <cell r="AG22">
            <v>0</v>
          </cell>
          <cell r="AH22">
            <v>0</v>
          </cell>
          <cell r="AK22" t="str">
            <v>Euribor+150bp</v>
          </cell>
          <cell r="AL22">
            <v>0</v>
          </cell>
          <cell r="AQ22">
            <v>30</v>
          </cell>
          <cell r="AR22" t="str">
            <v>50%</v>
          </cell>
          <cell r="AS22">
            <v>50</v>
          </cell>
          <cell r="AT22">
            <v>100</v>
          </cell>
          <cell r="AV22" t="str">
            <v>&gt;2 years</v>
          </cell>
          <cell r="AW22" t="str">
            <v>Loan acquisition</v>
          </cell>
          <cell r="AY22" t="str">
            <v>Senior</v>
          </cell>
          <cell r="AZ22" t="str">
            <v>5 years</v>
          </cell>
          <cell r="BC22" t="str">
            <v>multi country</v>
          </cell>
          <cell r="BF22" t="str">
            <v>multi sector</v>
          </cell>
          <cell r="BH22">
            <v>2000000000</v>
          </cell>
          <cell r="BI22">
            <v>2000000000</v>
          </cell>
          <cell r="BJ22">
            <v>2009</v>
          </cell>
          <cell r="BL22" t="str">
            <v>No</v>
          </cell>
          <cell r="BM22" t="str">
            <v>No</v>
          </cell>
          <cell r="BS22" t="str">
            <v>2016-09-30</v>
          </cell>
          <cell r="BT22">
            <v>572139131</v>
          </cell>
          <cell r="BU22">
            <v>572139131</v>
          </cell>
          <cell r="BV22">
            <v>572139131</v>
          </cell>
          <cell r="BW22">
            <v>572139131</v>
          </cell>
          <cell r="BY22" t="str">
            <v>No</v>
          </cell>
          <cell r="CA22">
            <v>39</v>
          </cell>
          <cell r="CC22">
            <v>634401220</v>
          </cell>
          <cell r="CD22">
            <v>634401220</v>
          </cell>
          <cell r="CE22">
            <v>575981527</v>
          </cell>
          <cell r="CF22">
            <v>575981527</v>
          </cell>
          <cell r="CH22" t="str">
            <v>France</v>
          </cell>
          <cell r="CI22" t="str">
            <v>Office</v>
          </cell>
          <cell r="CJ22">
            <v>14.1</v>
          </cell>
          <cell r="CK22" t="str">
            <v>France</v>
          </cell>
          <cell r="CL22" t="str">
            <v>Retail</v>
          </cell>
          <cell r="CM22">
            <v>2.4</v>
          </cell>
          <cell r="CN22" t="str">
            <v>Canada</v>
          </cell>
          <cell r="CO22" t="str">
            <v>Hotel</v>
          </cell>
          <cell r="CP22">
            <v>1.9</v>
          </cell>
          <cell r="CQ22" t="str">
            <v>Germany</v>
          </cell>
          <cell r="CR22" t="str">
            <v>Office</v>
          </cell>
          <cell r="CS22">
            <v>10.7</v>
          </cell>
          <cell r="CT22" t="str">
            <v>Germany</v>
          </cell>
          <cell r="CU22" t="str">
            <v>Industrial / Logistics</v>
          </cell>
          <cell r="CV22">
            <v>3.8</v>
          </cell>
          <cell r="CW22" t="str">
            <v>Germany</v>
          </cell>
          <cell r="CX22" t="str">
            <v>Retail</v>
          </cell>
          <cell r="CY22">
            <v>4</v>
          </cell>
          <cell r="CZ22" t="str">
            <v>United Kingdom</v>
          </cell>
          <cell r="DA22" t="str">
            <v>Office</v>
          </cell>
          <cell r="DB22">
            <v>21.1</v>
          </cell>
          <cell r="DC22" t="str">
            <v>United Kingdom</v>
          </cell>
          <cell r="DD22" t="str">
            <v>Retail</v>
          </cell>
          <cell r="DE22">
            <v>8.6999999999999993</v>
          </cell>
          <cell r="DF22" t="str">
            <v>Ireland</v>
          </cell>
          <cell r="DG22" t="str">
            <v>Office</v>
          </cell>
          <cell r="DH22">
            <v>2.8</v>
          </cell>
          <cell r="DI22" t="str">
            <v>Italy</v>
          </cell>
          <cell r="DJ22" t="str">
            <v>Office</v>
          </cell>
          <cell r="DK22">
            <v>2.2999999999999998</v>
          </cell>
          <cell r="DL22" t="str">
            <v>Italy</v>
          </cell>
          <cell r="DM22" t="str">
            <v>Retail</v>
          </cell>
          <cell r="DN22">
            <v>1.9</v>
          </cell>
          <cell r="DO22" t="str">
            <v>United States of America</v>
          </cell>
          <cell r="DP22" t="str">
            <v>Office</v>
          </cell>
          <cell r="DQ22">
            <v>26.3</v>
          </cell>
        </row>
        <row r="23">
          <cell r="A23">
            <v>18127</v>
          </cell>
          <cell r="B23" t="str">
            <v>DRC EUROPEAN REAL ESTATE DEBT FUND III</v>
          </cell>
          <cell r="C23" t="str">
            <v>DRC CAPITAL LLP</v>
          </cell>
          <cell r="D23" t="str">
            <v>6 Duke Street St James's</v>
          </cell>
          <cell r="E23" t="str">
            <v>SW1Y 6BN</v>
          </cell>
          <cell r="F23" t="str">
            <v>London</v>
          </cell>
          <cell r="G23" t="str">
            <v>United Kingdom</v>
          </cell>
          <cell r="H23" t="str">
            <v>+442070420600</v>
          </cell>
          <cell r="J23" t="str">
            <v>https://www.drccap.com</v>
          </cell>
          <cell r="N23" t="str">
            <v>Steve Emsley</v>
          </cell>
          <cell r="O23" t="str">
            <v>se@drccap.com</v>
          </cell>
          <cell r="P23" t="str">
            <v>+442070420600</v>
          </cell>
          <cell r="Q23" t="str">
            <v>Jersey</v>
          </cell>
          <cell r="R23" t="str">
            <v>GBP</v>
          </cell>
          <cell r="S23" t="str">
            <v>IFRS</v>
          </cell>
          <cell r="T23" t="str">
            <v>Quarterly</v>
          </cell>
          <cell r="U23" t="str">
            <v>Quarterly</v>
          </cell>
          <cell r="X23" t="str">
            <v>PwC</v>
          </cell>
          <cell r="Y23" t="str">
            <v>Limited Partnership</v>
          </cell>
          <cell r="AA23" t="str">
            <v>Yes</v>
          </cell>
          <cell r="AB23">
            <v>3</v>
          </cell>
          <cell r="AF23" t="str">
            <v>Closed end</v>
          </cell>
          <cell r="AG23">
            <v>9</v>
          </cell>
          <cell r="AH23">
            <v>10</v>
          </cell>
          <cell r="AI23" t="str">
            <v>Net</v>
          </cell>
          <cell r="AJ23" t="str">
            <v>N/A</v>
          </cell>
          <cell r="AN23" t="str">
            <v>Institutional</v>
          </cell>
          <cell r="AO23" t="str">
            <v>&gt; 2</v>
          </cell>
          <cell r="AR23" t="str">
            <v>75%</v>
          </cell>
          <cell r="AS23">
            <v>85</v>
          </cell>
          <cell r="AT23">
            <v>20</v>
          </cell>
          <cell r="AU23">
            <v>25000000</v>
          </cell>
          <cell r="AV23" t="str">
            <v>3 years</v>
          </cell>
          <cell r="AW23" t="str">
            <v>Both</v>
          </cell>
          <cell r="AX23" t="str">
            <v>Book value(excl. amortisation)</v>
          </cell>
          <cell r="AY23" t="str">
            <v>Mixed: Senior+Subordinated+Preferred equity</v>
          </cell>
          <cell r="AZ23" t="str">
            <v>7 years</v>
          </cell>
          <cell r="BA23" t="str">
            <v>≥ 50%</v>
          </cell>
          <cell r="BC23" t="str">
            <v>multi country</v>
          </cell>
          <cell r="BF23" t="str">
            <v>multi sector</v>
          </cell>
          <cell r="BH23">
            <v>500000000</v>
          </cell>
          <cell r="BI23">
            <v>750000000</v>
          </cell>
          <cell r="BJ23">
            <v>2016</v>
          </cell>
          <cell r="BK23">
            <v>2023</v>
          </cell>
          <cell r="BL23" t="str">
            <v>Yes</v>
          </cell>
          <cell r="BM23" t="str">
            <v>Yes</v>
          </cell>
          <cell r="BN23" t="str">
            <v>1+1 years</v>
          </cell>
          <cell r="BS23" t="str">
            <v>2018-06-30</v>
          </cell>
          <cell r="BT23">
            <v>358527675</v>
          </cell>
          <cell r="BU23">
            <v>404883308.0992831</v>
          </cell>
          <cell r="BV23">
            <v>358527675</v>
          </cell>
          <cell r="BW23">
            <v>404883308.0992831</v>
          </cell>
          <cell r="BX23">
            <v>0</v>
          </cell>
          <cell r="BY23" t="str">
            <v>No</v>
          </cell>
          <cell r="CC23">
            <v>600000000</v>
          </cell>
          <cell r="CD23">
            <v>682710360.12</v>
          </cell>
          <cell r="CE23">
            <v>360726000</v>
          </cell>
          <cell r="CF23">
            <v>410452295.60774517</v>
          </cell>
          <cell r="CG23" t="str">
            <v>No</v>
          </cell>
        </row>
        <row r="24">
          <cell r="A24">
            <v>19301</v>
          </cell>
          <cell r="B24" t="str">
            <v>DRC EUROPEAN REAL ESTATE DEBT FUND IV LP</v>
          </cell>
          <cell r="C24" t="str">
            <v>DRC CAPITAL LLP</v>
          </cell>
          <cell r="D24" t="str">
            <v>6 Duke Street St James's</v>
          </cell>
          <cell r="E24" t="str">
            <v>SW1Y 6BN</v>
          </cell>
          <cell r="F24" t="str">
            <v>London</v>
          </cell>
          <cell r="G24" t="str">
            <v>United Kingdom</v>
          </cell>
          <cell r="H24" t="str">
            <v>+44 207 042 0600</v>
          </cell>
          <cell r="I24" t="str">
            <v>+44 207 042 0610</v>
          </cell>
          <cell r="J24" t="str">
            <v>https://www.drccap.com</v>
          </cell>
          <cell r="N24" t="str">
            <v>Apwinder Foster</v>
          </cell>
          <cell r="O24" t="str">
            <v>ir@drccap.com</v>
          </cell>
          <cell r="P24" t="str">
            <v>+44 207 042 0600</v>
          </cell>
          <cell r="Q24" t="str">
            <v>Jersey</v>
          </cell>
          <cell r="R24" t="str">
            <v>GBP</v>
          </cell>
          <cell r="S24" t="str">
            <v>IFRS</v>
          </cell>
          <cell r="T24" t="str">
            <v>Quarterly</v>
          </cell>
          <cell r="U24" t="str">
            <v>Quarterly</v>
          </cell>
          <cell r="X24" t="str">
            <v>PwC</v>
          </cell>
          <cell r="Y24" t="str">
            <v>Limited Partnership</v>
          </cell>
          <cell r="AA24" t="str">
            <v>Yes</v>
          </cell>
          <cell r="AB24">
            <v>3</v>
          </cell>
          <cell r="AF24" t="str">
            <v>Closed end</v>
          </cell>
          <cell r="AG24">
            <v>9</v>
          </cell>
          <cell r="AH24">
            <v>10</v>
          </cell>
          <cell r="AI24" t="str">
            <v>Net</v>
          </cell>
          <cell r="AJ24" t="str">
            <v>N/A</v>
          </cell>
          <cell r="AN24" t="str">
            <v>Institutional</v>
          </cell>
          <cell r="AO24" t="str">
            <v>&gt; 2</v>
          </cell>
          <cell r="AR24" t="str">
            <v>75%</v>
          </cell>
          <cell r="AS24">
            <v>85</v>
          </cell>
          <cell r="AT24">
            <v>20</v>
          </cell>
          <cell r="AU24">
            <v>25000000</v>
          </cell>
          <cell r="AV24" t="str">
            <v>3 years</v>
          </cell>
          <cell r="AW24" t="str">
            <v>Direct lending</v>
          </cell>
          <cell r="AX24" t="str">
            <v>Book value(excl. amortisation)</v>
          </cell>
          <cell r="AY24" t="str">
            <v>Mixed: Senior+Subordinated</v>
          </cell>
          <cell r="AZ24" t="str">
            <v>8 years</v>
          </cell>
          <cell r="BA24" t="str">
            <v>≥ 50%</v>
          </cell>
          <cell r="BC24" t="str">
            <v>multi country</v>
          </cell>
          <cell r="BF24" t="str">
            <v>multi sector</v>
          </cell>
          <cell r="BH24">
            <v>500000000</v>
          </cell>
          <cell r="BI24">
            <v>750000000</v>
          </cell>
          <cell r="BJ24">
            <v>2019</v>
          </cell>
          <cell r="BK24">
            <v>2027</v>
          </cell>
          <cell r="BL24" t="str">
            <v>Yes</v>
          </cell>
          <cell r="BM24" t="str">
            <v>Yes</v>
          </cell>
          <cell r="BN24" t="str">
            <v>1+1 years</v>
          </cell>
        </row>
        <row r="25">
          <cell r="A25">
            <v>18456</v>
          </cell>
          <cell r="B25" t="str">
            <v>ELF</v>
          </cell>
          <cell r="C25" t="str">
            <v>AALTO INVEST UK LTD</v>
          </cell>
          <cell r="D25" t="str">
            <v>2 Swan Lane</v>
          </cell>
          <cell r="E25" t="str">
            <v>EC4R 3AD</v>
          </cell>
          <cell r="F25" t="str">
            <v>London</v>
          </cell>
          <cell r="G25" t="str">
            <v>United States of America</v>
          </cell>
          <cell r="J25" t="str">
            <v>https://www.man.com/gpm-aalto</v>
          </cell>
          <cell r="K25" t="str">
            <v>Travis Masters</v>
          </cell>
          <cell r="L25" t="str">
            <v>Travis.Masters@man.com</v>
          </cell>
          <cell r="M25" t="str">
            <v>+19803217561</v>
          </cell>
          <cell r="N25" t="str">
            <v>Jonathan Shaw</v>
          </cell>
          <cell r="O25" t="str">
            <v>Jonathan.Shaw@Man.com</v>
          </cell>
          <cell r="P25" t="str">
            <v>+102071142911</v>
          </cell>
          <cell r="Q25" t="str">
            <v>United States of America</v>
          </cell>
          <cell r="R25" t="str">
            <v>USD</v>
          </cell>
          <cell r="S25" t="str">
            <v>US GAAP</v>
          </cell>
          <cell r="T25" t="str">
            <v>Quarterly</v>
          </cell>
          <cell r="U25" t="str">
            <v>Quarterly</v>
          </cell>
          <cell r="Y25" t="str">
            <v>Real Estate Fund</v>
          </cell>
          <cell r="AA25" t="str">
            <v>Yes</v>
          </cell>
          <cell r="AF25" t="str">
            <v>Closed end</v>
          </cell>
          <cell r="AG25">
            <v>5</v>
          </cell>
          <cell r="AH25">
            <v>8</v>
          </cell>
          <cell r="AI25" t="str">
            <v>Gross</v>
          </cell>
          <cell r="AJ25" t="str">
            <v>Global credit index + agreed illiquidity premium</v>
          </cell>
          <cell r="AN25" t="str">
            <v>Institutional</v>
          </cell>
          <cell r="AO25" t="str">
            <v>≤ 2</v>
          </cell>
          <cell r="AR25" t="str">
            <v>50%</v>
          </cell>
          <cell r="AS25">
            <v>65</v>
          </cell>
          <cell r="AV25" t="str">
            <v>until 2022</v>
          </cell>
          <cell r="AW25" t="str">
            <v>Direct lending</v>
          </cell>
          <cell r="AX25" t="str">
            <v>Book value(excl. amortisation)</v>
          </cell>
          <cell r="AY25" t="str">
            <v>Senior</v>
          </cell>
          <cell r="BA25" t="str">
            <v>≥ 50%</v>
          </cell>
          <cell r="BB25" t="str">
            <v>North America</v>
          </cell>
          <cell r="BC25" t="str">
            <v>single country</v>
          </cell>
          <cell r="BE25" t="str">
            <v>United States of America</v>
          </cell>
          <cell r="BF25" t="str">
            <v>single sector</v>
          </cell>
          <cell r="BG25" t="str">
            <v>Residential</v>
          </cell>
          <cell r="BH25">
            <v>250000000</v>
          </cell>
          <cell r="BJ25">
            <v>2017</v>
          </cell>
          <cell r="BK25">
            <v>2022</v>
          </cell>
          <cell r="BL25" t="str">
            <v>No</v>
          </cell>
        </row>
        <row r="26">
          <cell r="A26">
            <v>17389</v>
          </cell>
          <cell r="B26" t="str">
            <v>EUROPEAN REAL ESTATE DEBT FUND II</v>
          </cell>
          <cell r="C26" t="str">
            <v>DRC CAPITAL LLP</v>
          </cell>
          <cell r="D26" t="str">
            <v>6 Duke Street St James's</v>
          </cell>
          <cell r="E26" t="str">
            <v>SW1Y 6BN</v>
          </cell>
          <cell r="F26" t="str">
            <v>London</v>
          </cell>
          <cell r="G26" t="str">
            <v>United Kingdom</v>
          </cell>
          <cell r="H26" t="str">
            <v>+442070420600</v>
          </cell>
          <cell r="I26" t="str">
            <v>+442070420600</v>
          </cell>
          <cell r="J26" t="str">
            <v>http://www.drccap.com</v>
          </cell>
          <cell r="K26" t="str">
            <v>Dale Lattanzio</v>
          </cell>
          <cell r="L26" t="str">
            <v>dl@drccap.com</v>
          </cell>
          <cell r="M26" t="str">
            <v>+442070420600</v>
          </cell>
          <cell r="N26" t="str">
            <v>Steve Emsley</v>
          </cell>
          <cell r="O26" t="str">
            <v>se@drccap.com</v>
          </cell>
          <cell r="P26" t="str">
            <v>+442070420617</v>
          </cell>
          <cell r="Q26" t="str">
            <v>Cayman Islands</v>
          </cell>
          <cell r="R26" t="str">
            <v>GBP</v>
          </cell>
          <cell r="S26" t="str">
            <v>IFRS</v>
          </cell>
          <cell r="T26" t="str">
            <v>Quarterly</v>
          </cell>
          <cell r="U26" t="str">
            <v>Quarterly</v>
          </cell>
          <cell r="X26" t="str">
            <v>PricewaterhouseCoopers</v>
          </cell>
          <cell r="Y26" t="str">
            <v>Real Estate Debt Fund</v>
          </cell>
          <cell r="AA26" t="str">
            <v>No</v>
          </cell>
          <cell r="AF26" t="str">
            <v>Closed end</v>
          </cell>
          <cell r="AG26">
            <v>14</v>
          </cell>
          <cell r="AH26">
            <v>16</v>
          </cell>
          <cell r="AI26" t="str">
            <v>Gross</v>
          </cell>
          <cell r="AJ26" t="str">
            <v>N/A</v>
          </cell>
          <cell r="AK26" t="str">
            <v>7%</v>
          </cell>
          <cell r="AL26">
            <v>0</v>
          </cell>
          <cell r="AN26" t="str">
            <v>Institutional</v>
          </cell>
          <cell r="AO26" t="str">
            <v>&gt; 2</v>
          </cell>
          <cell r="AR26" t="str">
            <v>70%</v>
          </cell>
          <cell r="AS26">
            <v>80</v>
          </cell>
          <cell r="AV26" t="str">
            <v>&gt;2 years</v>
          </cell>
          <cell r="AW26" t="str">
            <v>Both</v>
          </cell>
          <cell r="AX26" t="str">
            <v>Book value(excl. amortisation)</v>
          </cell>
          <cell r="AY26" t="str">
            <v>Subordinated: Junior+Mezzanine</v>
          </cell>
          <cell r="AZ26" t="str">
            <v>7 years</v>
          </cell>
          <cell r="BA26" t="str">
            <v>≥ 50%</v>
          </cell>
          <cell r="BB26" t="str">
            <v>Europe</v>
          </cell>
          <cell r="BC26" t="str">
            <v>multi country</v>
          </cell>
          <cell r="BD26" t="str">
            <v>Western Europe</v>
          </cell>
          <cell r="BF26" t="str">
            <v>multi sector</v>
          </cell>
          <cell r="BH26">
            <v>400000000</v>
          </cell>
          <cell r="BI26">
            <v>365000000</v>
          </cell>
          <cell r="BJ26">
            <v>2012</v>
          </cell>
          <cell r="BK26">
            <v>2019</v>
          </cell>
          <cell r="BL26" t="str">
            <v>Yes</v>
          </cell>
          <cell r="BM26" t="str">
            <v>Yes</v>
          </cell>
          <cell r="BN26" t="str">
            <v>3 years + 6 months</v>
          </cell>
          <cell r="BS26" t="str">
            <v>2018-06-30</v>
          </cell>
          <cell r="BT26">
            <v>152065774</v>
          </cell>
          <cell r="BU26">
            <v>171727032.3017545</v>
          </cell>
          <cell r="BV26">
            <v>152065774</v>
          </cell>
          <cell r="BW26">
            <v>171727032.3017545</v>
          </cell>
          <cell r="BX26">
            <v>0</v>
          </cell>
          <cell r="BY26" t="str">
            <v>No</v>
          </cell>
          <cell r="CC26">
            <v>487400000</v>
          </cell>
          <cell r="CD26">
            <v>554588382.53748</v>
          </cell>
          <cell r="CE26">
            <v>167474671</v>
          </cell>
          <cell r="CF26">
            <v>190561154.91564751</v>
          </cell>
          <cell r="CG26" t="str">
            <v>No</v>
          </cell>
        </row>
        <row r="27">
          <cell r="A27">
            <v>19302</v>
          </cell>
          <cell r="B27" t="str">
            <v>GENERALI REAL ESTATE DEBT INVESTMENT FUND</v>
          </cell>
          <cell r="C27" t="str">
            <v>GENERALI INVESTMENTS LUXEMBOURG S.A.</v>
          </cell>
          <cell r="D27" t="str">
            <v>Boulevard F.W. Raiffeisen, 15</v>
          </cell>
          <cell r="E27">
            <v>2411</v>
          </cell>
          <cell r="F27" t="str">
            <v>Luxembourg</v>
          </cell>
          <cell r="G27" t="str">
            <v>Luxembourg</v>
          </cell>
          <cell r="K27" t="str">
            <v>Nunzio Laurenziello</v>
          </cell>
          <cell r="L27" t="str">
            <v>nunzio.laurenziello@gre.generali.com</v>
          </cell>
          <cell r="M27" t="str">
            <v>+39 02 499 31619</v>
          </cell>
          <cell r="Q27" t="str">
            <v>Luxembourg</v>
          </cell>
          <cell r="R27" t="str">
            <v>EUR</v>
          </cell>
          <cell r="S27" t="str">
            <v>Local GAAP</v>
          </cell>
          <cell r="T27" t="str">
            <v>Twice per year</v>
          </cell>
          <cell r="U27" t="str">
            <v>Quarterly</v>
          </cell>
          <cell r="Y27" t="str">
            <v>Limited Partnership</v>
          </cell>
          <cell r="AF27" t="str">
            <v>Closed end</v>
          </cell>
          <cell r="AN27" t="str">
            <v>Institutional</v>
          </cell>
          <cell r="AO27" t="str">
            <v>&gt; 2</v>
          </cell>
          <cell r="AW27" t="str">
            <v>Both</v>
          </cell>
          <cell r="AX27" t="str">
            <v>Book value(excl. amortisation)</v>
          </cell>
          <cell r="AY27" t="str">
            <v>Mixed: Senior+Subordinated</v>
          </cell>
          <cell r="BA27" t="str">
            <v>&lt; 50%</v>
          </cell>
          <cell r="BC27" t="str">
            <v>multi country</v>
          </cell>
          <cell r="BF27" t="str">
            <v>multi sector</v>
          </cell>
          <cell r="BH27">
            <v>1500000000</v>
          </cell>
          <cell r="BI27">
            <v>1500000000</v>
          </cell>
          <cell r="BJ27">
            <v>2019</v>
          </cell>
          <cell r="BK27">
            <v>2034</v>
          </cell>
        </row>
        <row r="28">
          <cell r="A28">
            <v>17372</v>
          </cell>
          <cell r="B28" t="str">
            <v>GERMAN REAL ESTATE DEBT FUND</v>
          </cell>
          <cell r="C28" t="str">
            <v>BNP PARIBAS REIM GERMANY</v>
          </cell>
          <cell r="D28" t="str">
            <v>Albrechtstrasse 14</v>
          </cell>
          <cell r="E28">
            <v>80636</v>
          </cell>
          <cell r="F28" t="str">
            <v>Muenchen</v>
          </cell>
          <cell r="G28" t="str">
            <v>Germany</v>
          </cell>
          <cell r="H28" t="str">
            <v>+498912173121</v>
          </cell>
          <cell r="I28" t="str">
            <v>+498912173121</v>
          </cell>
          <cell r="J28" t="str">
            <v>http://www.reim.bnpparibas.de</v>
          </cell>
          <cell r="K28" t="str">
            <v>Stefanie Gertz</v>
          </cell>
          <cell r="L28" t="str">
            <v>stefanie.gertz@bnpparibas.com</v>
          </cell>
          <cell r="M28" t="str">
            <v>+498912173121</v>
          </cell>
          <cell r="Q28" t="str">
            <v>Germany</v>
          </cell>
          <cell r="R28" t="str">
            <v>EUR</v>
          </cell>
          <cell r="S28" t="str">
            <v>Local GAAP</v>
          </cell>
          <cell r="T28" t="str">
            <v>Quarterly</v>
          </cell>
          <cell r="U28" t="str">
            <v>Quarterly</v>
          </cell>
          <cell r="AF28" t="str">
            <v>Open end</v>
          </cell>
          <cell r="AG28">
            <v>4</v>
          </cell>
          <cell r="AH28">
            <v>5</v>
          </cell>
          <cell r="AK28" t="str">
            <v>5%</v>
          </cell>
          <cell r="AL28">
            <v>0</v>
          </cell>
          <cell r="AP28">
            <v>14900000</v>
          </cell>
          <cell r="AQ28">
            <v>1</v>
          </cell>
          <cell r="AR28" t="str">
            <v>70%</v>
          </cell>
          <cell r="AS28">
            <v>75</v>
          </cell>
          <cell r="AV28" t="str">
            <v>&gt; 2 years</v>
          </cell>
          <cell r="AW28" t="str">
            <v>Loan acquisition</v>
          </cell>
          <cell r="AY28" t="str">
            <v>Mixed: Senior+Subordinated</v>
          </cell>
          <cell r="AZ28" t="str">
            <v>12 years</v>
          </cell>
          <cell r="BB28" t="str">
            <v>Europe</v>
          </cell>
          <cell r="BC28" t="str">
            <v>single country</v>
          </cell>
          <cell r="BE28" t="str">
            <v>Germany</v>
          </cell>
          <cell r="BF28" t="str">
            <v>multi sector</v>
          </cell>
          <cell r="BH28">
            <v>300000000</v>
          </cell>
          <cell r="BI28">
            <v>300000000</v>
          </cell>
          <cell r="BJ28">
            <v>2013</v>
          </cell>
          <cell r="BK28">
            <v>2025</v>
          </cell>
          <cell r="BL28" t="str">
            <v>Yes</v>
          </cell>
          <cell r="BM28" t="str">
            <v>Yes</v>
          </cell>
          <cell r="BS28" t="str">
            <v>2014-06-30</v>
          </cell>
          <cell r="BT28">
            <v>16300000</v>
          </cell>
          <cell r="BU28">
            <v>16300000</v>
          </cell>
          <cell r="BV28">
            <v>16300000</v>
          </cell>
          <cell r="BW28">
            <v>16300000</v>
          </cell>
          <cell r="BX28">
            <v>0</v>
          </cell>
          <cell r="BY28" t="str">
            <v>No</v>
          </cell>
          <cell r="CC28">
            <v>120000000</v>
          </cell>
          <cell r="CD28">
            <v>120000000</v>
          </cell>
          <cell r="CF28">
            <v>0</v>
          </cell>
          <cell r="CG28" t="str">
            <v>Yes</v>
          </cell>
          <cell r="CH28" t="str">
            <v>Germany</v>
          </cell>
          <cell r="CI28" t="str">
            <v>Residential</v>
          </cell>
          <cell r="CJ28">
            <v>100</v>
          </cell>
        </row>
        <row r="29">
          <cell r="A29">
            <v>18360</v>
          </cell>
          <cell r="B29" t="str">
            <v>GLOBAL REAL ESTATE DEBT PARTNERS - FUND II (UK)</v>
          </cell>
          <cell r="C29" t="str">
            <v>NUVEEN ALTERNATIVES EUROPE S.à R.L.</v>
          </cell>
          <cell r="D29" t="str">
            <v>201 Bishopsgate</v>
          </cell>
          <cell r="E29" t="str">
            <v>EC2M 3BN</v>
          </cell>
          <cell r="F29" t="str">
            <v>London</v>
          </cell>
          <cell r="G29" t="str">
            <v>United Kingdom</v>
          </cell>
          <cell r="H29" t="str">
            <v>+442037278000</v>
          </cell>
          <cell r="I29" t="str">
            <v>+442037278001</v>
          </cell>
          <cell r="J29" t="str">
            <v>https://www.nuveen.com/global/real-estate</v>
          </cell>
          <cell r="K29" t="str">
            <v>Christian Janssen</v>
          </cell>
          <cell r="L29" t="str">
            <v>Christian.Janssen@nuveenglobal.com</v>
          </cell>
          <cell r="M29" t="str">
            <v>+442037278000</v>
          </cell>
          <cell r="N29" t="str">
            <v>Gabi Stein</v>
          </cell>
          <cell r="O29" t="str">
            <v>Gabi.Stein@nuveenglobal.com</v>
          </cell>
          <cell r="P29" t="str">
            <v>+442037278000</v>
          </cell>
          <cell r="Q29" t="str">
            <v>Luxembourg</v>
          </cell>
          <cell r="R29" t="str">
            <v>GBP</v>
          </cell>
          <cell r="S29" t="str">
            <v>IFRS</v>
          </cell>
          <cell r="T29" t="str">
            <v>Quarterly</v>
          </cell>
          <cell r="U29" t="str">
            <v>Quarterly</v>
          </cell>
          <cell r="X29" t="str">
            <v>PwC</v>
          </cell>
          <cell r="Y29" t="str">
            <v>Limited Partnership</v>
          </cell>
          <cell r="AE29" t="str">
            <v>finite</v>
          </cell>
          <cell r="AF29" t="str">
            <v>Closed end</v>
          </cell>
          <cell r="AG29">
            <v>8</v>
          </cell>
          <cell r="AH29">
            <v>9</v>
          </cell>
          <cell r="AI29" t="str">
            <v>Gross</v>
          </cell>
          <cell r="AN29" t="str">
            <v>Institutional</v>
          </cell>
          <cell r="AO29" t="str">
            <v>&gt; 2</v>
          </cell>
          <cell r="AR29" t="str">
            <v>75%</v>
          </cell>
          <cell r="AW29" t="str">
            <v>Both</v>
          </cell>
          <cell r="AY29" t="str">
            <v>Mixed: Senior+Subordinated</v>
          </cell>
          <cell r="AZ29" t="str">
            <v>7 years</v>
          </cell>
          <cell r="BA29" t="str">
            <v>≥ 50%</v>
          </cell>
          <cell r="BB29" t="str">
            <v>Europe</v>
          </cell>
          <cell r="BC29" t="str">
            <v>single country</v>
          </cell>
          <cell r="BE29" t="str">
            <v>United Kingdom</v>
          </cell>
          <cell r="BF29" t="str">
            <v>multi sector</v>
          </cell>
          <cell r="BH29">
            <v>500000000</v>
          </cell>
          <cell r="BI29">
            <v>500000000</v>
          </cell>
          <cell r="BJ29">
            <v>2017</v>
          </cell>
          <cell r="BK29">
            <v>2026</v>
          </cell>
          <cell r="BL29" t="str">
            <v>Yes</v>
          </cell>
          <cell r="BM29" t="str">
            <v>Yes</v>
          </cell>
          <cell r="BN29" t="str">
            <v>2 years fixed</v>
          </cell>
        </row>
        <row r="30">
          <cell r="A30">
            <v>17365</v>
          </cell>
          <cell r="B30" t="str">
            <v>GLOBAL REAL ESTATE DEBT PARTNERS – FUND I (UK)</v>
          </cell>
          <cell r="C30" t="str">
            <v>NUVEEN ALTERNATIVES EUROPE S.à R.L.</v>
          </cell>
          <cell r="D30" t="str">
            <v>201 Bishopsgate</v>
          </cell>
          <cell r="E30" t="str">
            <v>EC2M 3BN</v>
          </cell>
          <cell r="F30" t="str">
            <v>London</v>
          </cell>
          <cell r="G30" t="str">
            <v>United Kingdom</v>
          </cell>
          <cell r="H30" t="str">
            <v>+442037278000</v>
          </cell>
          <cell r="I30" t="str">
            <v>+442037278000</v>
          </cell>
          <cell r="J30" t="str">
            <v>https://www.nuveen.com/global/real-estate</v>
          </cell>
          <cell r="K30" t="str">
            <v>Christian Janssen</v>
          </cell>
          <cell r="L30" t="str">
            <v>christian.janseen@nuveenglobal.com</v>
          </cell>
          <cell r="M30" t="str">
            <v>+442037278000</v>
          </cell>
          <cell r="N30" t="str">
            <v>Gabi Stein</v>
          </cell>
          <cell r="O30" t="str">
            <v>Gabi.Stein@nuveenglobal.com</v>
          </cell>
          <cell r="P30" t="str">
            <v>+442037278000</v>
          </cell>
          <cell r="Q30" t="str">
            <v>Luxembourg</v>
          </cell>
          <cell r="R30" t="str">
            <v>GBP</v>
          </cell>
          <cell r="S30" t="str">
            <v>IFRS</v>
          </cell>
          <cell r="T30" t="str">
            <v>Quarterly</v>
          </cell>
          <cell r="U30" t="str">
            <v>Quarterly</v>
          </cell>
          <cell r="X30" t="str">
            <v>PwC</v>
          </cell>
          <cell r="Y30" t="str">
            <v>Limited Partnership</v>
          </cell>
          <cell r="AE30" t="str">
            <v>finite</v>
          </cell>
          <cell r="AF30" t="str">
            <v>Closed end</v>
          </cell>
          <cell r="AG30">
            <v>7</v>
          </cell>
          <cell r="AH30">
            <v>7</v>
          </cell>
          <cell r="AI30" t="str">
            <v>Net</v>
          </cell>
          <cell r="AK30" t="str">
            <v>6%</v>
          </cell>
          <cell r="AL30">
            <v>0</v>
          </cell>
          <cell r="AN30" t="str">
            <v>Institutional</v>
          </cell>
          <cell r="AR30" t="str">
            <v>75%</v>
          </cell>
          <cell r="AS30">
            <v>75</v>
          </cell>
          <cell r="AV30" t="str">
            <v>2 years</v>
          </cell>
          <cell r="AW30" t="str">
            <v>Both</v>
          </cell>
          <cell r="AY30" t="str">
            <v>Mixed: Senior+Subordinated</v>
          </cell>
          <cell r="AZ30" t="str">
            <v>6 years</v>
          </cell>
          <cell r="BA30" t="str">
            <v>≥ 50%</v>
          </cell>
          <cell r="BB30" t="str">
            <v>Europe</v>
          </cell>
          <cell r="BC30" t="str">
            <v>single country</v>
          </cell>
          <cell r="BE30" t="str">
            <v>United Kingdom</v>
          </cell>
          <cell r="BF30" t="str">
            <v>multi sector</v>
          </cell>
          <cell r="BH30">
            <v>300000000</v>
          </cell>
          <cell r="BI30">
            <v>300000000</v>
          </cell>
          <cell r="BJ30">
            <v>2014</v>
          </cell>
          <cell r="BK30">
            <v>2021</v>
          </cell>
          <cell r="BL30" t="str">
            <v>Yes</v>
          </cell>
          <cell r="BM30" t="str">
            <v>Yes</v>
          </cell>
          <cell r="BN30" t="str">
            <v>2 years fixed</v>
          </cell>
          <cell r="BS30" t="str">
            <v>2016-06-30</v>
          </cell>
          <cell r="BT30">
            <v>109900000</v>
          </cell>
          <cell r="BU30">
            <v>132861407</v>
          </cell>
          <cell r="BV30">
            <v>89400000</v>
          </cell>
          <cell r="BW30">
            <v>108078342</v>
          </cell>
          <cell r="BX30">
            <v>0</v>
          </cell>
          <cell r="CC30">
            <v>182905000</v>
          </cell>
          <cell r="CD30">
            <v>231457132.25</v>
          </cell>
          <cell r="CE30">
            <v>88500000</v>
          </cell>
          <cell r="CF30">
            <v>111992325</v>
          </cell>
          <cell r="CG30" t="str">
            <v>Yes</v>
          </cell>
          <cell r="CH30" t="str">
            <v>United Kingdom</v>
          </cell>
          <cell r="CI30" t="str">
            <v>Residential</v>
          </cell>
          <cell r="CJ30">
            <v>44.8</v>
          </cell>
          <cell r="CK30" t="str">
            <v>United Kingdom</v>
          </cell>
          <cell r="CL30" t="str">
            <v>Retail</v>
          </cell>
          <cell r="CM30">
            <v>1.9</v>
          </cell>
          <cell r="CN30" t="str">
            <v>United Kingdom</v>
          </cell>
          <cell r="CO30" t="str">
            <v>Office</v>
          </cell>
          <cell r="CP30">
            <v>30.2</v>
          </cell>
          <cell r="CQ30" t="str">
            <v>United Kingdom</v>
          </cell>
          <cell r="CR30" t="str">
            <v>Industrial / Logistics</v>
          </cell>
          <cell r="CS30">
            <v>2</v>
          </cell>
          <cell r="CT30" t="str">
            <v>United Kingdom</v>
          </cell>
          <cell r="CU30" t="str">
            <v>Other</v>
          </cell>
          <cell r="CV30">
            <v>21</v>
          </cell>
        </row>
        <row r="31">
          <cell r="A31">
            <v>18381</v>
          </cell>
          <cell r="B31" t="str">
            <v>GREENOAK EUROPE SECURED LENDING FUND</v>
          </cell>
          <cell r="C31" t="str">
            <v>BENTALLGREENOAK</v>
          </cell>
          <cell r="D31" t="str">
            <v>7 Seymour Street</v>
          </cell>
          <cell r="E31" t="str">
            <v>W1H 7JW</v>
          </cell>
          <cell r="F31" t="str">
            <v>London</v>
          </cell>
          <cell r="G31" t="str">
            <v>United Kingdom</v>
          </cell>
          <cell r="H31" t="str">
            <v>+442078668800</v>
          </cell>
          <cell r="I31" t="str">
            <v>+442078668800</v>
          </cell>
          <cell r="J31" t="str">
            <v>https://www.bentallgreenoak.com/</v>
          </cell>
          <cell r="K31" t="str">
            <v>Jim Blakemore</v>
          </cell>
          <cell r="L31" t="str">
            <v>jim.blakemore@bentallgreenoak.com</v>
          </cell>
          <cell r="M31" t="str">
            <v>+442078668800</v>
          </cell>
          <cell r="N31" t="str">
            <v>Manja Stueck</v>
          </cell>
          <cell r="O31" t="str">
            <v>manja.stueck@bentallgreenoak.com</v>
          </cell>
          <cell r="P31" t="str">
            <v>+442078668800</v>
          </cell>
          <cell r="Q31" t="str">
            <v>Luxembourg</v>
          </cell>
          <cell r="R31" t="str">
            <v>EUR</v>
          </cell>
          <cell r="S31" t="str">
            <v>IFRS</v>
          </cell>
          <cell r="T31" t="str">
            <v>Quarterly</v>
          </cell>
          <cell r="U31" t="str">
            <v>Quarterly</v>
          </cell>
          <cell r="W31" t="str">
            <v>IFRS NAV</v>
          </cell>
          <cell r="X31" t="str">
            <v>PwC</v>
          </cell>
          <cell r="Y31" t="str">
            <v>Limited Partnership</v>
          </cell>
          <cell r="Z31" t="str">
            <v>Yes</v>
          </cell>
          <cell r="AC31" t="str">
            <v>Non-Listed Fund</v>
          </cell>
          <cell r="AD31" t="str">
            <v>Value-added</v>
          </cell>
          <cell r="AE31" t="str">
            <v>finite</v>
          </cell>
          <cell r="AF31" t="str">
            <v>Closed end</v>
          </cell>
          <cell r="AG31">
            <v>7</v>
          </cell>
          <cell r="AH31">
            <v>9</v>
          </cell>
          <cell r="AI31" t="str">
            <v>Net</v>
          </cell>
          <cell r="AN31" t="str">
            <v>Institutional</v>
          </cell>
          <cell r="AO31" t="str">
            <v>&gt; 2</v>
          </cell>
          <cell r="AR31" t="str">
            <v>65 - 70%</v>
          </cell>
          <cell r="AS31">
            <v>75</v>
          </cell>
          <cell r="AT31">
            <v>20</v>
          </cell>
          <cell r="AU31">
            <v>25000000</v>
          </cell>
          <cell r="AV31" t="str">
            <v>2 years</v>
          </cell>
          <cell r="AW31" t="str">
            <v>Direct lending</v>
          </cell>
          <cell r="AY31" t="str">
            <v>Senior</v>
          </cell>
          <cell r="AZ31" t="str">
            <v>7 years</v>
          </cell>
          <cell r="BA31" t="str">
            <v>≥ 50%</v>
          </cell>
          <cell r="BB31" t="str">
            <v>Europe</v>
          </cell>
          <cell r="BC31" t="str">
            <v>multi country</v>
          </cell>
          <cell r="BD31" t="str">
            <v>Western Europe</v>
          </cell>
          <cell r="BF31" t="str">
            <v>multi sector</v>
          </cell>
          <cell r="BH31">
            <v>600000000</v>
          </cell>
          <cell r="BI31">
            <v>600000000</v>
          </cell>
          <cell r="BJ31">
            <v>2016</v>
          </cell>
          <cell r="BK31">
            <v>2024</v>
          </cell>
          <cell r="BL31" t="str">
            <v>Yes</v>
          </cell>
          <cell r="BM31" t="str">
            <v>Yes</v>
          </cell>
          <cell r="BN31" t="str">
            <v>1+1 years</v>
          </cell>
        </row>
        <row r="32">
          <cell r="A32">
            <v>17390</v>
          </cell>
          <cell r="B32" t="str">
            <v>GREENOAK UK SECURED LENDING FUND</v>
          </cell>
          <cell r="C32" t="str">
            <v>BENTALLGREENOAK</v>
          </cell>
          <cell r="D32" t="str">
            <v>7 Seymour Street</v>
          </cell>
          <cell r="E32" t="str">
            <v>W1H 7JW</v>
          </cell>
          <cell r="F32" t="str">
            <v>London</v>
          </cell>
          <cell r="G32" t="str">
            <v>United Kingdom</v>
          </cell>
          <cell r="H32" t="str">
            <v>+442078668800</v>
          </cell>
          <cell r="I32" t="str">
            <v>+442078668800</v>
          </cell>
          <cell r="J32" t="str">
            <v>https://www.bentallgreenoak.com</v>
          </cell>
          <cell r="K32" t="str">
            <v>Jim Blakemore</v>
          </cell>
          <cell r="L32" t="str">
            <v>jim.blakemore@bentallgreenoak.com</v>
          </cell>
          <cell r="M32" t="str">
            <v>+442078668800</v>
          </cell>
          <cell r="N32" t="str">
            <v>Manja Stueck</v>
          </cell>
          <cell r="O32" t="str">
            <v>manja.stueck@bentallgreenoak.com</v>
          </cell>
          <cell r="P32" t="str">
            <v>+442078668800</v>
          </cell>
          <cell r="Q32" t="str">
            <v>Jersey</v>
          </cell>
          <cell r="R32" t="str">
            <v>GBP</v>
          </cell>
          <cell r="S32" t="str">
            <v>IFRS</v>
          </cell>
          <cell r="T32" t="str">
            <v>Quarterly</v>
          </cell>
          <cell r="U32" t="str">
            <v>Quarterly</v>
          </cell>
          <cell r="W32" t="str">
            <v>IFRS NAV</v>
          </cell>
          <cell r="X32" t="str">
            <v>PwC</v>
          </cell>
          <cell r="Y32" t="str">
            <v>Limited Partnership</v>
          </cell>
          <cell r="Z32" t="str">
            <v>No</v>
          </cell>
          <cell r="AC32" t="str">
            <v>Non-Listed Fund</v>
          </cell>
          <cell r="AD32" t="str">
            <v>Value-added</v>
          </cell>
          <cell r="AE32" t="str">
            <v>finite</v>
          </cell>
          <cell r="AF32" t="str">
            <v>Closed end</v>
          </cell>
          <cell r="AG32">
            <v>7</v>
          </cell>
          <cell r="AH32">
            <v>9</v>
          </cell>
          <cell r="AI32" t="str">
            <v>Net</v>
          </cell>
          <cell r="AK32" t="str">
            <v>7%</v>
          </cell>
          <cell r="AL32">
            <v>0</v>
          </cell>
          <cell r="AN32" t="str">
            <v>Institutional</v>
          </cell>
          <cell r="AO32" t="str">
            <v>&gt; 2</v>
          </cell>
          <cell r="AR32" t="str">
            <v>65-70%</v>
          </cell>
          <cell r="AS32">
            <v>75</v>
          </cell>
          <cell r="AT32">
            <v>20</v>
          </cell>
          <cell r="AU32">
            <v>17500000</v>
          </cell>
          <cell r="AV32" t="str">
            <v>2 years</v>
          </cell>
          <cell r="AW32" t="str">
            <v>Direct lending</v>
          </cell>
          <cell r="AY32" t="str">
            <v>Senior</v>
          </cell>
          <cell r="AZ32" t="str">
            <v>7 years</v>
          </cell>
          <cell r="BA32" t="str">
            <v>≥ 50%</v>
          </cell>
          <cell r="BB32" t="str">
            <v>Europe</v>
          </cell>
          <cell r="BC32" t="str">
            <v>single country</v>
          </cell>
          <cell r="BE32" t="str">
            <v>United Kingdom</v>
          </cell>
          <cell r="BF32" t="str">
            <v>multi sector</v>
          </cell>
          <cell r="BH32">
            <v>300000000</v>
          </cell>
          <cell r="BI32">
            <v>300000000</v>
          </cell>
          <cell r="BJ32">
            <v>2013</v>
          </cell>
          <cell r="BK32">
            <v>2020</v>
          </cell>
          <cell r="BL32" t="str">
            <v>Yes</v>
          </cell>
          <cell r="BM32" t="str">
            <v>Yes</v>
          </cell>
          <cell r="BN32" t="str">
            <v>1+1 years</v>
          </cell>
          <cell r="BS32" t="str">
            <v>2020-12-31</v>
          </cell>
          <cell r="BU32">
            <v>0</v>
          </cell>
          <cell r="BW32">
            <v>0</v>
          </cell>
          <cell r="CD32">
            <v>0</v>
          </cell>
          <cell r="CG32" t="str">
            <v>No</v>
          </cell>
        </row>
        <row r="33">
          <cell r="A33">
            <v>18380</v>
          </cell>
          <cell r="B33" t="str">
            <v>GREENOAK UK SECURED LENDING FUND II</v>
          </cell>
          <cell r="C33" t="str">
            <v>BENTALLGREENOAK</v>
          </cell>
          <cell r="D33" t="str">
            <v>7 Seymour Street</v>
          </cell>
          <cell r="E33" t="str">
            <v>W1H 7JW</v>
          </cell>
          <cell r="F33" t="str">
            <v>London</v>
          </cell>
          <cell r="G33" t="str">
            <v>United Kingdom</v>
          </cell>
          <cell r="H33" t="str">
            <v>+442078668800</v>
          </cell>
          <cell r="I33" t="str">
            <v>+442078668800</v>
          </cell>
          <cell r="J33" t="str">
            <v>https://www.bentallgreenoak.com</v>
          </cell>
          <cell r="K33" t="str">
            <v>Jim Blakemore</v>
          </cell>
          <cell r="L33" t="str">
            <v>jim.blakemore@bentallgreenoak.com</v>
          </cell>
          <cell r="M33" t="str">
            <v>+442078668800</v>
          </cell>
          <cell r="N33" t="str">
            <v>Manja Stueck</v>
          </cell>
          <cell r="O33" t="str">
            <v>manja.stueck@bentallgreenoak.com</v>
          </cell>
          <cell r="P33" t="str">
            <v>+442078668800</v>
          </cell>
          <cell r="Q33" t="str">
            <v>Jersey</v>
          </cell>
          <cell r="R33" t="str">
            <v>GBP</v>
          </cell>
          <cell r="S33" t="str">
            <v>IFRS</v>
          </cell>
          <cell r="T33" t="str">
            <v>Quarterly</v>
          </cell>
          <cell r="U33" t="str">
            <v>Quarterly</v>
          </cell>
          <cell r="W33" t="str">
            <v>IFRS NAV</v>
          </cell>
          <cell r="X33" t="str">
            <v>PwC</v>
          </cell>
          <cell r="Y33" t="str">
            <v>Limited Partnership</v>
          </cell>
          <cell r="Z33" t="str">
            <v>No</v>
          </cell>
          <cell r="AC33" t="str">
            <v>Non-Listed Fund</v>
          </cell>
          <cell r="AD33" t="str">
            <v>Value-added</v>
          </cell>
          <cell r="AE33" t="str">
            <v>finite</v>
          </cell>
          <cell r="AF33" t="str">
            <v>Closed end</v>
          </cell>
          <cell r="AG33">
            <v>7</v>
          </cell>
          <cell r="AH33">
            <v>9</v>
          </cell>
          <cell r="AI33" t="str">
            <v>Net</v>
          </cell>
          <cell r="AN33" t="str">
            <v>Institutional</v>
          </cell>
          <cell r="AO33" t="str">
            <v>&gt; 2</v>
          </cell>
          <cell r="AR33" t="str">
            <v>65-70%</v>
          </cell>
          <cell r="AS33">
            <v>75</v>
          </cell>
          <cell r="AT33">
            <v>23</v>
          </cell>
          <cell r="AU33">
            <v>17500000</v>
          </cell>
          <cell r="AV33" t="str">
            <v>2 years</v>
          </cell>
          <cell r="AW33" t="str">
            <v>Direct lending</v>
          </cell>
          <cell r="AX33" t="str">
            <v>Book value(excl. amortisation)</v>
          </cell>
          <cell r="AY33" t="str">
            <v>Senior</v>
          </cell>
          <cell r="AZ33" t="str">
            <v>7 years</v>
          </cell>
          <cell r="BA33" t="str">
            <v>≥ 50%</v>
          </cell>
          <cell r="BB33" t="str">
            <v>Europe</v>
          </cell>
          <cell r="BC33" t="str">
            <v>single country</v>
          </cell>
          <cell r="BE33" t="str">
            <v>United Kingdom</v>
          </cell>
          <cell r="BF33" t="str">
            <v>multi sector</v>
          </cell>
          <cell r="BH33">
            <v>625000000</v>
          </cell>
          <cell r="BI33">
            <v>625000000</v>
          </cell>
          <cell r="BJ33">
            <v>2016</v>
          </cell>
          <cell r="BK33">
            <v>2024</v>
          </cell>
          <cell r="BL33" t="str">
            <v>Yes</v>
          </cell>
          <cell r="BM33" t="str">
            <v>Yes</v>
          </cell>
          <cell r="BN33" t="str">
            <v>1+1 years</v>
          </cell>
        </row>
        <row r="34">
          <cell r="A34">
            <v>18586</v>
          </cell>
          <cell r="B34" t="str">
            <v>HERMES EUROPEAN DIRECT LENDING FUND</v>
          </cell>
          <cell r="C34" t="str">
            <v xml:space="preserve">HERMES INVESTMENT MANAGEMENT LIMITED </v>
          </cell>
          <cell r="D34" t="str">
            <v>150 Cheapside</v>
          </cell>
          <cell r="E34" t="str">
            <v>EC2V 6ET</v>
          </cell>
          <cell r="F34" t="str">
            <v>London</v>
          </cell>
          <cell r="G34" t="str">
            <v>United Kingdom</v>
          </cell>
          <cell r="H34" t="str">
            <v xml:space="preserve"> +44 (0)20 7702 0888</v>
          </cell>
          <cell r="K34" t="str">
            <v>Patrick Marshall</v>
          </cell>
          <cell r="M34" t="str">
            <v>+44(0)20 7702 0888</v>
          </cell>
          <cell r="N34" t="str">
            <v>Doug Anderson</v>
          </cell>
          <cell r="O34" t="str">
            <v>Douglas.Anderson@hermes-investment.com</v>
          </cell>
          <cell r="P34" t="str">
            <v>0207 702 6127</v>
          </cell>
          <cell r="Q34" t="str">
            <v>Luxembourg</v>
          </cell>
          <cell r="R34" t="str">
            <v>EUR</v>
          </cell>
          <cell r="T34" t="str">
            <v>Quarterly</v>
          </cell>
          <cell r="U34" t="str">
            <v>Quarterly</v>
          </cell>
          <cell r="X34" t="str">
            <v>KPMG Luxembourg</v>
          </cell>
          <cell r="Y34" t="str">
            <v>SICAV SIF</v>
          </cell>
          <cell r="AA34" t="str">
            <v>No</v>
          </cell>
          <cell r="AF34" t="str">
            <v>Closed end</v>
          </cell>
          <cell r="AG34">
            <v>5</v>
          </cell>
          <cell r="AH34">
            <v>6</v>
          </cell>
          <cell r="AI34" t="str">
            <v>Gross</v>
          </cell>
          <cell r="AJ34" t="str">
            <v>n/a</v>
          </cell>
          <cell r="AN34" t="str">
            <v>Institutional</v>
          </cell>
          <cell r="AO34" t="str">
            <v>&gt; 2</v>
          </cell>
          <cell r="AT34" t="str">
            <v>50 - 70</v>
          </cell>
          <cell r="AU34" t="str">
            <v xml:space="preserve">Loan hold size will be a minimum 10% and on average 20-30% in a given deal. </v>
          </cell>
          <cell r="AV34" t="str">
            <v xml:space="preserve">The fund investment period is three years and six months from first close. </v>
          </cell>
          <cell r="AW34" t="str">
            <v>Direct lending</v>
          </cell>
          <cell r="AY34" t="str">
            <v>Senior</v>
          </cell>
          <cell r="AZ34" t="str">
            <v xml:space="preserve">The fund term is the seventh anniversary of the date of final closing. </v>
          </cell>
          <cell r="BA34" t="str">
            <v>≥ 50%</v>
          </cell>
          <cell r="BC34" t="str">
            <v>multi country</v>
          </cell>
          <cell r="BF34" t="str">
            <v>multi sector</v>
          </cell>
          <cell r="BH34">
            <v>1000000000</v>
          </cell>
          <cell r="BI34">
            <v>1000000000</v>
          </cell>
          <cell r="BJ34">
            <v>2011</v>
          </cell>
          <cell r="BM34" t="str">
            <v>Yes</v>
          </cell>
          <cell r="BN34" t="str">
            <v>1+1 years</v>
          </cell>
        </row>
        <row r="35">
          <cell r="A35">
            <v>18135</v>
          </cell>
          <cell r="B35" t="str">
            <v>ICG-LONGBOW SENIOR DEBT PROGRAMME VINTAGE I</v>
          </cell>
          <cell r="C35" t="str">
            <v>ICG PLC</v>
          </cell>
          <cell r="D35" t="str">
            <v>42 Wigmore Street</v>
          </cell>
          <cell r="E35" t="str">
            <v>W1U 2RY</v>
          </cell>
          <cell r="F35" t="str">
            <v>London</v>
          </cell>
          <cell r="G35" t="str">
            <v>United Kingdom</v>
          </cell>
          <cell r="H35" t="str">
            <v>+442032017500</v>
          </cell>
          <cell r="J35" t="str">
            <v>http://www.icgam.com</v>
          </cell>
          <cell r="K35" t="str">
            <v>David Mortimer</v>
          </cell>
          <cell r="L35" t="str">
            <v>David.mortimer@icgam.com</v>
          </cell>
          <cell r="M35" t="str">
            <v>+442032017500</v>
          </cell>
          <cell r="N35" t="str">
            <v>Cilla Yngvesson</v>
          </cell>
          <cell r="O35" t="str">
            <v>Cilla.Yngvesson@icgam.com</v>
          </cell>
          <cell r="P35" t="str">
            <v>+442032017772</v>
          </cell>
          <cell r="Q35" t="str">
            <v>United Kingdom</v>
          </cell>
          <cell r="R35" t="str">
            <v>GBP</v>
          </cell>
          <cell r="S35" t="str">
            <v>Local GAAP</v>
          </cell>
          <cell r="T35" t="str">
            <v>Quarterly</v>
          </cell>
          <cell r="U35" t="str">
            <v>Quarterly</v>
          </cell>
          <cell r="W35" t="str">
            <v>UK GAAP</v>
          </cell>
          <cell r="Y35" t="str">
            <v>Co-Investing Segregated Mandate</v>
          </cell>
          <cell r="Z35" t="str">
            <v>No</v>
          </cell>
          <cell r="AA35" t="str">
            <v>Yes</v>
          </cell>
          <cell r="AC35" t="str">
            <v>Co-Investing Segregated Mandates</v>
          </cell>
          <cell r="AD35" t="str">
            <v>Core</v>
          </cell>
          <cell r="AE35" t="str">
            <v>finite</v>
          </cell>
          <cell r="AF35" t="str">
            <v>Closed end</v>
          </cell>
          <cell r="AG35">
            <v>4</v>
          </cell>
          <cell r="AH35">
            <v>4</v>
          </cell>
          <cell r="AI35" t="str">
            <v>Net</v>
          </cell>
          <cell r="AN35" t="str">
            <v>Institutional</v>
          </cell>
          <cell r="AO35" t="str">
            <v>&gt; 2</v>
          </cell>
          <cell r="AR35" t="str">
            <v>N/A</v>
          </cell>
          <cell r="AS35">
            <v>65</v>
          </cell>
          <cell r="AT35">
            <v>15</v>
          </cell>
          <cell r="AU35">
            <v>25</v>
          </cell>
          <cell r="AV35" t="str">
            <v>1 year</v>
          </cell>
          <cell r="AW35" t="str">
            <v>Direct lending</v>
          </cell>
          <cell r="AX35" t="str">
            <v>Book value(excl. amortisation)</v>
          </cell>
          <cell r="AY35" t="str">
            <v>Senior</v>
          </cell>
          <cell r="AZ35" t="str">
            <v>N/A</v>
          </cell>
          <cell r="BA35" t="str">
            <v>&lt; 50%</v>
          </cell>
          <cell r="BB35" t="str">
            <v>Europe</v>
          </cell>
          <cell r="BC35" t="str">
            <v>single country</v>
          </cell>
          <cell r="BE35" t="str">
            <v>United Kingdom</v>
          </cell>
          <cell r="BF35" t="str">
            <v>multi sector</v>
          </cell>
          <cell r="BH35">
            <v>397000000</v>
          </cell>
          <cell r="BI35">
            <v>397000000</v>
          </cell>
          <cell r="BJ35">
            <v>2014</v>
          </cell>
          <cell r="BK35">
            <v>2026</v>
          </cell>
          <cell r="BL35" t="str">
            <v>Yes</v>
          </cell>
          <cell r="BM35" t="str">
            <v>Yes</v>
          </cell>
          <cell r="BN35" t="str">
            <v>1+1 years</v>
          </cell>
          <cell r="BS35" t="str">
            <v>2020-12-31</v>
          </cell>
          <cell r="BU35">
            <v>0</v>
          </cell>
          <cell r="BW35">
            <v>0</v>
          </cell>
          <cell r="CD35">
            <v>0</v>
          </cell>
        </row>
        <row r="36">
          <cell r="A36">
            <v>18136</v>
          </cell>
          <cell r="B36" t="str">
            <v>ICG-LONGBOW SENIOR DEBT PROGRAMME VINTAGE II</v>
          </cell>
          <cell r="C36" t="str">
            <v>ICG PLC</v>
          </cell>
          <cell r="D36" t="str">
            <v>42 Wigmore Street</v>
          </cell>
          <cell r="E36" t="str">
            <v>W1U 2RY</v>
          </cell>
          <cell r="F36" t="str">
            <v>London</v>
          </cell>
          <cell r="G36" t="str">
            <v>United Kingdom</v>
          </cell>
          <cell r="H36" t="str">
            <v>+442032017500</v>
          </cell>
          <cell r="J36" t="str">
            <v>http://www.icgam.com</v>
          </cell>
          <cell r="K36" t="str">
            <v>David Mortimer</v>
          </cell>
          <cell r="L36" t="str">
            <v>David.mortimer@icgam.com</v>
          </cell>
          <cell r="M36" t="str">
            <v>+442032017500</v>
          </cell>
          <cell r="N36" t="str">
            <v>Cilla Yngvesson</v>
          </cell>
          <cell r="O36" t="str">
            <v>Cilla.Yngvesson@icgam.com</v>
          </cell>
          <cell r="P36" t="str">
            <v>+442032017772</v>
          </cell>
          <cell r="Q36" t="str">
            <v>United Kingdom</v>
          </cell>
          <cell r="R36" t="str">
            <v>GBP</v>
          </cell>
          <cell r="S36" t="str">
            <v>Local GAAP</v>
          </cell>
          <cell r="T36" t="str">
            <v>Quarterly</v>
          </cell>
          <cell r="U36" t="str">
            <v>Quarterly</v>
          </cell>
          <cell r="W36" t="str">
            <v>UK GAAP</v>
          </cell>
          <cell r="Y36" t="str">
            <v>Co-Investing Segregated Mandate</v>
          </cell>
          <cell r="Z36" t="str">
            <v>No</v>
          </cell>
          <cell r="AA36" t="str">
            <v>Yes</v>
          </cell>
          <cell r="AC36" t="str">
            <v>Co-Investing Segregated Mandates</v>
          </cell>
          <cell r="AD36" t="str">
            <v>Core</v>
          </cell>
          <cell r="AE36" t="str">
            <v>finite</v>
          </cell>
          <cell r="AF36" t="str">
            <v>Closed end</v>
          </cell>
          <cell r="AG36">
            <v>3</v>
          </cell>
          <cell r="AI36" t="str">
            <v>Net</v>
          </cell>
          <cell r="AN36" t="str">
            <v>Institutional</v>
          </cell>
          <cell r="AO36" t="str">
            <v>≤ 2</v>
          </cell>
          <cell r="AR36" t="str">
            <v>N/A</v>
          </cell>
          <cell r="AS36">
            <v>65</v>
          </cell>
          <cell r="AT36">
            <v>17</v>
          </cell>
          <cell r="AU36">
            <v>25</v>
          </cell>
          <cell r="AV36" t="str">
            <v>1 year</v>
          </cell>
          <cell r="AW36" t="str">
            <v>Direct lending</v>
          </cell>
          <cell r="AX36" t="str">
            <v>Book value(excl. amortisation)</v>
          </cell>
          <cell r="AY36" t="str">
            <v>Senior</v>
          </cell>
          <cell r="AZ36">
            <v>12</v>
          </cell>
          <cell r="BA36" t="str">
            <v>&lt; 50%</v>
          </cell>
          <cell r="BB36" t="str">
            <v>Europe</v>
          </cell>
          <cell r="BC36" t="str">
            <v>single country</v>
          </cell>
          <cell r="BE36" t="str">
            <v>United Kingdom</v>
          </cell>
          <cell r="BF36" t="str">
            <v>multi sector</v>
          </cell>
          <cell r="BH36">
            <v>356000000</v>
          </cell>
          <cell r="BI36">
            <v>356000000</v>
          </cell>
          <cell r="BJ36">
            <v>2015</v>
          </cell>
          <cell r="BK36">
            <v>2025</v>
          </cell>
          <cell r="BL36" t="str">
            <v>Yes</v>
          </cell>
          <cell r="BM36" t="str">
            <v>Yes</v>
          </cell>
          <cell r="BN36" t="str">
            <v>1+1 years</v>
          </cell>
        </row>
        <row r="37">
          <cell r="A37">
            <v>18137</v>
          </cell>
          <cell r="B37" t="str">
            <v>ICG-LONGBOW SENIOR DEBT PROGRAMME VINTAGE III</v>
          </cell>
          <cell r="C37" t="str">
            <v>ICG PLC</v>
          </cell>
          <cell r="D37" t="str">
            <v>42 Wigmore Street</v>
          </cell>
          <cell r="E37" t="str">
            <v>W1U 2RY</v>
          </cell>
          <cell r="F37" t="str">
            <v>London</v>
          </cell>
          <cell r="G37" t="str">
            <v>United Kingdom</v>
          </cell>
          <cell r="H37" t="str">
            <v>+442032017500</v>
          </cell>
          <cell r="J37" t="str">
            <v>http://www.icgam.com</v>
          </cell>
          <cell r="K37" t="str">
            <v>David Mortimer</v>
          </cell>
          <cell r="L37" t="str">
            <v>David.mortimer@icgam.com</v>
          </cell>
          <cell r="M37" t="str">
            <v>+442032017500</v>
          </cell>
          <cell r="N37" t="str">
            <v>Cilla Yngvesson</v>
          </cell>
          <cell r="O37" t="str">
            <v>Cilla.Yngvesson@icgam.com</v>
          </cell>
          <cell r="P37" t="str">
            <v>+442032017772</v>
          </cell>
          <cell r="Q37" t="str">
            <v>United Kingdom</v>
          </cell>
          <cell r="R37" t="str">
            <v>GBP</v>
          </cell>
          <cell r="S37" t="str">
            <v>Local GAAP</v>
          </cell>
          <cell r="T37" t="str">
            <v>Quarterly</v>
          </cell>
          <cell r="U37" t="str">
            <v>Quarterly</v>
          </cell>
          <cell r="W37" t="str">
            <v>UK GAAP</v>
          </cell>
          <cell r="Y37" t="str">
            <v>Investment company</v>
          </cell>
          <cell r="Z37" t="str">
            <v>No</v>
          </cell>
          <cell r="AC37" t="str">
            <v>Co-Investing Segregated Mandates</v>
          </cell>
          <cell r="AD37" t="str">
            <v>Core</v>
          </cell>
          <cell r="AE37" t="str">
            <v>finite</v>
          </cell>
          <cell r="AF37" t="str">
            <v>Closed end</v>
          </cell>
          <cell r="AG37">
            <v>3</v>
          </cell>
          <cell r="AI37" t="str">
            <v>Net</v>
          </cell>
          <cell r="AN37" t="str">
            <v>Institutional</v>
          </cell>
          <cell r="AO37" t="str">
            <v>&gt; 2</v>
          </cell>
          <cell r="AR37" t="str">
            <v>0-65%</v>
          </cell>
          <cell r="AS37">
            <v>65</v>
          </cell>
          <cell r="AT37">
            <v>20</v>
          </cell>
          <cell r="AU37">
            <v>25</v>
          </cell>
          <cell r="AV37" t="str">
            <v>2 years</v>
          </cell>
          <cell r="AW37" t="str">
            <v>Direct lending</v>
          </cell>
          <cell r="AX37" t="str">
            <v>Book value(excl. amortisation)</v>
          </cell>
          <cell r="AY37" t="str">
            <v>Senior</v>
          </cell>
          <cell r="AZ37">
            <v>12</v>
          </cell>
          <cell r="BA37" t="str">
            <v>&lt; 50%</v>
          </cell>
          <cell r="BB37" t="str">
            <v>Europe</v>
          </cell>
          <cell r="BC37" t="str">
            <v>single country</v>
          </cell>
          <cell r="BE37" t="str">
            <v>United Kingdom</v>
          </cell>
          <cell r="BF37" t="str">
            <v>multi sector</v>
          </cell>
          <cell r="BH37">
            <v>370000000</v>
          </cell>
          <cell r="BI37">
            <v>370000000</v>
          </cell>
          <cell r="BJ37">
            <v>2016</v>
          </cell>
          <cell r="BK37">
            <v>2028</v>
          </cell>
          <cell r="BL37" t="str">
            <v>Yes</v>
          </cell>
          <cell r="BM37" t="str">
            <v>Yes</v>
          </cell>
          <cell r="BN37" t="str">
            <v>1+1 years</v>
          </cell>
        </row>
        <row r="38">
          <cell r="A38">
            <v>18441</v>
          </cell>
          <cell r="B38" t="str">
            <v>ICG-LONGBOW SENIOR DEBT PROGRAMME – VINTAGE IV</v>
          </cell>
          <cell r="C38" t="str">
            <v>ICG PLC</v>
          </cell>
          <cell r="D38" t="str">
            <v>42 Wigmore Street</v>
          </cell>
          <cell r="E38" t="str">
            <v>W1U 2RY</v>
          </cell>
          <cell r="F38" t="str">
            <v>London</v>
          </cell>
          <cell r="G38" t="str">
            <v>United Kingdom</v>
          </cell>
          <cell r="H38" t="str">
            <v>+442032017500</v>
          </cell>
          <cell r="J38" t="str">
            <v>http://www.icgam.com</v>
          </cell>
          <cell r="K38" t="str">
            <v>David Mortimer</v>
          </cell>
          <cell r="L38" t="str">
            <v>David.mortimer@icgam.com</v>
          </cell>
          <cell r="M38" t="str">
            <v>+442032017500</v>
          </cell>
          <cell r="N38" t="str">
            <v>Cilla Yngvesson</v>
          </cell>
          <cell r="O38" t="str">
            <v>cilla.yngvesson@icgam.com</v>
          </cell>
          <cell r="P38" t="str">
            <v>+44202 3201 7772</v>
          </cell>
          <cell r="Q38" t="str">
            <v>United Kingdom</v>
          </cell>
          <cell r="R38" t="str">
            <v>GBP</v>
          </cell>
          <cell r="S38" t="str">
            <v>Local GAAP</v>
          </cell>
          <cell r="T38" t="str">
            <v>Quarterly</v>
          </cell>
          <cell r="U38" t="str">
            <v>Quarterly</v>
          </cell>
          <cell r="W38" t="str">
            <v>UK GAAP</v>
          </cell>
          <cell r="Y38" t="str">
            <v>Limited Partnership</v>
          </cell>
          <cell r="Z38" t="str">
            <v>No</v>
          </cell>
          <cell r="AA38" t="str">
            <v>Yes</v>
          </cell>
          <cell r="AC38" t="str">
            <v>Non-Listed Fund</v>
          </cell>
          <cell r="AD38" t="str">
            <v>Core</v>
          </cell>
          <cell r="AE38" t="str">
            <v>finite</v>
          </cell>
          <cell r="AF38" t="str">
            <v>Closed end</v>
          </cell>
          <cell r="AG38">
            <v>3</v>
          </cell>
          <cell r="AH38">
            <v>3</v>
          </cell>
          <cell r="AI38" t="str">
            <v>Net</v>
          </cell>
          <cell r="AN38" t="str">
            <v>Institutional</v>
          </cell>
          <cell r="AO38" t="str">
            <v>&gt; 2</v>
          </cell>
          <cell r="AR38" t="str">
            <v>0-65%</v>
          </cell>
          <cell r="AS38">
            <v>65</v>
          </cell>
          <cell r="AT38">
            <v>20</v>
          </cell>
          <cell r="AU38">
            <v>25</v>
          </cell>
          <cell r="AV38" t="str">
            <v>2 years</v>
          </cell>
          <cell r="AW38" t="str">
            <v>Both</v>
          </cell>
          <cell r="AX38" t="str">
            <v>Book value(excl. amortisation)</v>
          </cell>
          <cell r="AY38" t="str">
            <v>Senior</v>
          </cell>
          <cell r="AZ38" t="str">
            <v>12 years</v>
          </cell>
          <cell r="BA38" t="str">
            <v>≥ 50%</v>
          </cell>
          <cell r="BB38" t="str">
            <v>Europe</v>
          </cell>
          <cell r="BC38" t="str">
            <v>single country</v>
          </cell>
          <cell r="BE38" t="str">
            <v>United Kingdom</v>
          </cell>
          <cell r="BF38" t="str">
            <v>multi sector</v>
          </cell>
          <cell r="BH38">
            <v>1000000000</v>
          </cell>
          <cell r="BI38">
            <v>1000000000</v>
          </cell>
          <cell r="BJ38">
            <v>2019</v>
          </cell>
          <cell r="BK38">
            <v>2031</v>
          </cell>
          <cell r="BL38" t="str">
            <v>Yes</v>
          </cell>
          <cell r="BM38" t="str">
            <v>Yes</v>
          </cell>
          <cell r="BN38" t="str">
            <v>1+1 years</v>
          </cell>
        </row>
        <row r="39">
          <cell r="A39">
            <v>17392</v>
          </cell>
          <cell r="B39" t="str">
            <v>ICG-LONGBOW UK REAL ESTATE DEBT INVESTMENTS III</v>
          </cell>
          <cell r="C39" t="str">
            <v>ICG PLC</v>
          </cell>
          <cell r="D39" t="str">
            <v>42 Wigmore Street</v>
          </cell>
          <cell r="E39" t="str">
            <v>W1U 2RY</v>
          </cell>
          <cell r="F39" t="str">
            <v>London</v>
          </cell>
          <cell r="G39" t="str">
            <v>United Kingdom</v>
          </cell>
          <cell r="H39" t="str">
            <v>+442032017500</v>
          </cell>
          <cell r="J39" t="str">
            <v>http://www.icgam.com</v>
          </cell>
          <cell r="K39" t="str">
            <v>Kevin Crowley</v>
          </cell>
          <cell r="L39" t="str">
            <v>Kevin.crowley@icgam.com</v>
          </cell>
          <cell r="M39" t="str">
            <v>+442032017500</v>
          </cell>
          <cell r="N39" t="str">
            <v>Cilla Yngvesson</v>
          </cell>
          <cell r="O39" t="str">
            <v>Cilla.Yngvesson@icgam.com</v>
          </cell>
          <cell r="P39" t="str">
            <v>+442032017772</v>
          </cell>
          <cell r="Q39" t="str">
            <v>Luxembourg</v>
          </cell>
          <cell r="R39" t="str">
            <v>GBP</v>
          </cell>
          <cell r="S39" t="str">
            <v>Local GAAP</v>
          </cell>
          <cell r="T39" t="str">
            <v>Quarterly</v>
          </cell>
          <cell r="U39" t="str">
            <v>Quarterly</v>
          </cell>
          <cell r="W39" t="str">
            <v>LUX GAAP</v>
          </cell>
          <cell r="X39" t="str">
            <v>Deloitte S.A</v>
          </cell>
          <cell r="Y39" t="str">
            <v>Limited Partnership</v>
          </cell>
          <cell r="Z39" t="str">
            <v>No</v>
          </cell>
          <cell r="AA39" t="str">
            <v>Yes</v>
          </cell>
          <cell r="AC39" t="str">
            <v>Non-Listed Fund</v>
          </cell>
          <cell r="AD39" t="str">
            <v>Value-added</v>
          </cell>
          <cell r="AE39" t="str">
            <v>finite</v>
          </cell>
          <cell r="AF39" t="str">
            <v>Closed end</v>
          </cell>
          <cell r="AG39">
            <v>11</v>
          </cell>
          <cell r="AH39">
            <v>11</v>
          </cell>
          <cell r="AI39" t="str">
            <v>Net</v>
          </cell>
          <cell r="AJ39" t="str">
            <v>Not applicable</v>
          </cell>
          <cell r="AN39" t="str">
            <v>Institutional</v>
          </cell>
          <cell r="AO39" t="str">
            <v>&gt; 2</v>
          </cell>
          <cell r="AP39">
            <v>691319000</v>
          </cell>
          <cell r="AR39">
            <v>81</v>
          </cell>
          <cell r="AS39">
            <v>85</v>
          </cell>
          <cell r="AT39">
            <v>32</v>
          </cell>
          <cell r="AU39">
            <v>23</v>
          </cell>
          <cell r="AV39" t="str">
            <v>2 years</v>
          </cell>
          <cell r="AW39" t="str">
            <v>Both</v>
          </cell>
          <cell r="AX39" t="str">
            <v>Book value(excl. amortisation)</v>
          </cell>
          <cell r="AY39" t="str">
            <v>Mixed: Senior+Subordinated+Preferred equity</v>
          </cell>
          <cell r="AZ39" t="str">
            <v xml:space="preserve">7 years from Initial closing </v>
          </cell>
          <cell r="BA39" t="str">
            <v>≥ 50%</v>
          </cell>
          <cell r="BB39" t="str">
            <v>Europe</v>
          </cell>
          <cell r="BC39" t="str">
            <v>single country</v>
          </cell>
          <cell r="BE39" t="str">
            <v>United Kingdom</v>
          </cell>
          <cell r="BF39" t="str">
            <v>multi sector</v>
          </cell>
          <cell r="BH39">
            <v>700000000</v>
          </cell>
          <cell r="BI39">
            <v>700000000</v>
          </cell>
          <cell r="BJ39">
            <v>2012</v>
          </cell>
          <cell r="BK39">
            <v>2021</v>
          </cell>
          <cell r="BL39" t="str">
            <v>Yes</v>
          </cell>
          <cell r="BM39" t="str">
            <v>Yes</v>
          </cell>
          <cell r="BN39" t="str">
            <v>1+1 years</v>
          </cell>
          <cell r="BS39" t="str">
            <v>2015-06-30</v>
          </cell>
          <cell r="BT39">
            <v>564968000</v>
          </cell>
          <cell r="BU39">
            <v>800531407.60000002</v>
          </cell>
          <cell r="BV39">
            <v>565693400</v>
          </cell>
          <cell r="BW39">
            <v>801559263.13</v>
          </cell>
          <cell r="BY39" t="str">
            <v>No</v>
          </cell>
          <cell r="CA39">
            <v>20</v>
          </cell>
          <cell r="CC39">
            <v>700000000</v>
          </cell>
          <cell r="CD39">
            <v>962066000</v>
          </cell>
          <cell r="CE39">
            <v>691319000</v>
          </cell>
          <cell r="CF39">
            <v>950135007.22000003</v>
          </cell>
          <cell r="CG39" t="str">
            <v>No</v>
          </cell>
          <cell r="CH39" t="str">
            <v>United Kingdom</v>
          </cell>
          <cell r="CI39" t="str">
            <v>Office</v>
          </cell>
          <cell r="CJ39">
            <v>23</v>
          </cell>
          <cell r="CK39" t="str">
            <v>United Kingdom</v>
          </cell>
          <cell r="CL39" t="str">
            <v>Industrial / Logistics</v>
          </cell>
          <cell r="CM39">
            <v>25</v>
          </cell>
          <cell r="CN39" t="str">
            <v>United Kingdom</v>
          </cell>
          <cell r="CO39" t="str">
            <v>Retail</v>
          </cell>
          <cell r="CP39">
            <v>4</v>
          </cell>
          <cell r="CQ39" t="str">
            <v>United Kingdom</v>
          </cell>
          <cell r="CR39" t="str">
            <v>Leisure</v>
          </cell>
          <cell r="CS39">
            <v>15</v>
          </cell>
          <cell r="CT39" t="str">
            <v>United Kingdom</v>
          </cell>
          <cell r="CU39" t="str">
            <v>Mixed</v>
          </cell>
          <cell r="CV39">
            <v>12</v>
          </cell>
          <cell r="CW39" t="str">
            <v>United Kingdom</v>
          </cell>
          <cell r="CX39" t="str">
            <v>Other</v>
          </cell>
          <cell r="CY39">
            <v>21</v>
          </cell>
        </row>
        <row r="40">
          <cell r="A40">
            <v>17695</v>
          </cell>
          <cell r="B40" t="str">
            <v>ICG-LONGBOW UK REAL ESTATE DEBT INVESTMENTS IV</v>
          </cell>
          <cell r="C40" t="str">
            <v>ICG PLC</v>
          </cell>
          <cell r="D40" t="str">
            <v>42 Wigmore Street</v>
          </cell>
          <cell r="E40" t="str">
            <v>W1U 2RY</v>
          </cell>
          <cell r="F40" t="str">
            <v>London</v>
          </cell>
          <cell r="G40" t="str">
            <v>United Kingdom</v>
          </cell>
          <cell r="H40" t="str">
            <v>+442032017500</v>
          </cell>
          <cell r="J40" t="str">
            <v>http://www.icgam.com</v>
          </cell>
          <cell r="K40" t="str">
            <v>Kevin Crowley</v>
          </cell>
          <cell r="L40" t="str">
            <v>Kevin.crowley@icgam.com</v>
          </cell>
          <cell r="M40" t="str">
            <v>+442032017500</v>
          </cell>
          <cell r="N40" t="str">
            <v>Cilla Yngvesson</v>
          </cell>
          <cell r="O40" t="str">
            <v>Cilla.Yngvesson@icgam.com</v>
          </cell>
          <cell r="P40" t="str">
            <v>+442032017772</v>
          </cell>
          <cell r="Q40" t="str">
            <v>Luxembourg</v>
          </cell>
          <cell r="R40" t="str">
            <v>GBP</v>
          </cell>
          <cell r="S40" t="str">
            <v>Local GAAP</v>
          </cell>
          <cell r="T40" t="str">
            <v>Quarterly</v>
          </cell>
          <cell r="U40" t="str">
            <v>Quarterly</v>
          </cell>
          <cell r="W40" t="str">
            <v>LUX GAAP</v>
          </cell>
          <cell r="X40" t="str">
            <v>Deloitte S.A</v>
          </cell>
          <cell r="Y40" t="str">
            <v>Limited Partnership</v>
          </cell>
          <cell r="Z40" t="str">
            <v>No</v>
          </cell>
          <cell r="AA40" t="str">
            <v>Yes</v>
          </cell>
          <cell r="AC40" t="str">
            <v>Non-Listed Fund</v>
          </cell>
          <cell r="AD40" t="str">
            <v>Value-added</v>
          </cell>
          <cell r="AE40" t="str">
            <v>finite</v>
          </cell>
          <cell r="AF40" t="str">
            <v>Closed end</v>
          </cell>
          <cell r="AG40">
            <v>9</v>
          </cell>
          <cell r="AH40">
            <v>10</v>
          </cell>
          <cell r="AI40" t="str">
            <v>Net</v>
          </cell>
          <cell r="AN40" t="str">
            <v>Institutional</v>
          </cell>
          <cell r="AO40" t="str">
            <v>&gt; 2</v>
          </cell>
          <cell r="AR40">
            <v>78</v>
          </cell>
          <cell r="AS40">
            <v>85</v>
          </cell>
          <cell r="AT40">
            <v>24</v>
          </cell>
          <cell r="AU40">
            <v>33</v>
          </cell>
          <cell r="AV40" t="str">
            <v>3 Years from First Close</v>
          </cell>
          <cell r="AW40" t="str">
            <v>Both</v>
          </cell>
          <cell r="AX40" t="str">
            <v>Book value(excl. amortisation)</v>
          </cell>
          <cell r="AY40" t="str">
            <v>Mixed: Senior+Subordinated+Preferred equity</v>
          </cell>
          <cell r="AZ40" t="str">
            <v>7 years from initial close</v>
          </cell>
          <cell r="BA40" t="str">
            <v>≥ 50%</v>
          </cell>
          <cell r="BB40" t="str">
            <v>Europe</v>
          </cell>
          <cell r="BC40" t="str">
            <v>single country</v>
          </cell>
          <cell r="BE40" t="str">
            <v>United Kingdom</v>
          </cell>
          <cell r="BF40" t="str">
            <v>multi sector</v>
          </cell>
          <cell r="BH40">
            <v>750000000</v>
          </cell>
          <cell r="BI40">
            <v>750000000</v>
          </cell>
          <cell r="BJ40">
            <v>2015</v>
          </cell>
          <cell r="BK40">
            <v>2022</v>
          </cell>
          <cell r="BL40" t="str">
            <v>Yes</v>
          </cell>
          <cell r="BM40" t="str">
            <v>Yes</v>
          </cell>
          <cell r="BN40" t="str">
            <v>1+1 years</v>
          </cell>
        </row>
        <row r="41">
          <cell r="A41">
            <v>18440</v>
          </cell>
          <cell r="B41" t="str">
            <v>ICG-LONGBOW UK REAL ESTATE DEBT INVESTMENTS V</v>
          </cell>
          <cell r="C41" t="str">
            <v>ICG PLC</v>
          </cell>
          <cell r="D41" t="str">
            <v>42 Wigmore Street</v>
          </cell>
          <cell r="E41" t="str">
            <v>W1U 2RY</v>
          </cell>
          <cell r="F41" t="str">
            <v>London</v>
          </cell>
          <cell r="G41" t="str">
            <v>United Kingdom</v>
          </cell>
          <cell r="H41" t="str">
            <v>+442032017500</v>
          </cell>
          <cell r="J41" t="str">
            <v>http://www.icgam.com</v>
          </cell>
          <cell r="K41" t="str">
            <v>Kevin Crowley</v>
          </cell>
          <cell r="L41" t="str">
            <v>Kevin.crowley@icgam.com</v>
          </cell>
          <cell r="M41" t="str">
            <v>+442032017500</v>
          </cell>
          <cell r="N41" t="str">
            <v>Cilla Yngvesson</v>
          </cell>
          <cell r="O41" t="str">
            <v>cilla.yngvesson@icgam.com</v>
          </cell>
          <cell r="P41" t="str">
            <v>+442032017772</v>
          </cell>
          <cell r="Q41" t="str">
            <v>Luxembourg</v>
          </cell>
          <cell r="R41" t="str">
            <v>GBP</v>
          </cell>
          <cell r="S41" t="str">
            <v>IFRS</v>
          </cell>
          <cell r="T41" t="str">
            <v>Quarterly</v>
          </cell>
          <cell r="U41" t="str">
            <v>Quarterly</v>
          </cell>
          <cell r="X41" t="str">
            <v>Deloitte S.A</v>
          </cell>
          <cell r="Y41" t="str">
            <v>Limited Partnership</v>
          </cell>
          <cell r="AA41" t="str">
            <v>Yes</v>
          </cell>
          <cell r="AC41" t="str">
            <v>Non-Listed Fund</v>
          </cell>
          <cell r="AD41" t="str">
            <v>Value-added</v>
          </cell>
          <cell r="AE41" t="str">
            <v>finite</v>
          </cell>
          <cell r="AF41" t="str">
            <v>Closed end</v>
          </cell>
          <cell r="AG41">
            <v>9</v>
          </cell>
          <cell r="AH41">
            <v>9</v>
          </cell>
          <cell r="AI41" t="str">
            <v>Net</v>
          </cell>
          <cell r="AJ41" t="str">
            <v>N/A</v>
          </cell>
          <cell r="AN41" t="str">
            <v>Institutional</v>
          </cell>
          <cell r="AO41" t="str">
            <v>&gt; 2</v>
          </cell>
          <cell r="AR41" t="str">
            <v>0-85</v>
          </cell>
          <cell r="AS41">
            <v>85</v>
          </cell>
          <cell r="AT41">
            <v>25</v>
          </cell>
          <cell r="AU41">
            <v>35</v>
          </cell>
          <cell r="AV41" t="str">
            <v>3 years</v>
          </cell>
          <cell r="AW41" t="str">
            <v>Both</v>
          </cell>
          <cell r="AX41" t="str">
            <v>Book value(excl. amortisation)</v>
          </cell>
          <cell r="AY41" t="str">
            <v>Mixed: Senior+Subordinated+Preferred equity</v>
          </cell>
          <cell r="AZ41" t="str">
            <v>7 years</v>
          </cell>
          <cell r="BA41" t="str">
            <v>≥ 50%</v>
          </cell>
          <cell r="BB41" t="str">
            <v>Europe</v>
          </cell>
          <cell r="BC41" t="str">
            <v>single country</v>
          </cell>
          <cell r="BE41" t="str">
            <v>United Kingdom</v>
          </cell>
          <cell r="BF41" t="str">
            <v>multi sector</v>
          </cell>
          <cell r="BH41">
            <v>1000000000</v>
          </cell>
          <cell r="BI41">
            <v>1000000000</v>
          </cell>
          <cell r="BJ41">
            <v>2018</v>
          </cell>
          <cell r="BK41">
            <v>2025</v>
          </cell>
          <cell r="BL41" t="str">
            <v>Yes</v>
          </cell>
          <cell r="BM41" t="str">
            <v>Yes</v>
          </cell>
          <cell r="BN41" t="str">
            <v>1+1 years</v>
          </cell>
        </row>
        <row r="42">
          <cell r="A42">
            <v>17373</v>
          </cell>
          <cell r="B42" t="str">
            <v>III RE</v>
          </cell>
          <cell r="C42" t="str">
            <v>BNP PARIBAS REIM GERMANY</v>
          </cell>
          <cell r="D42" t="str">
            <v>Albrechtstrasse 14</v>
          </cell>
          <cell r="E42">
            <v>80636</v>
          </cell>
          <cell r="F42" t="str">
            <v>Muenchen</v>
          </cell>
          <cell r="G42" t="str">
            <v>Germany</v>
          </cell>
          <cell r="H42" t="str">
            <v>+498912173121</v>
          </cell>
          <cell r="I42" t="str">
            <v>+498912173121</v>
          </cell>
          <cell r="J42" t="str">
            <v>http://www.reim.bnpparibas.de</v>
          </cell>
          <cell r="K42" t="str">
            <v>Stefanie Gertz</v>
          </cell>
          <cell r="L42" t="str">
            <v>stefanie.gertz@bnpparibas.com</v>
          </cell>
          <cell r="M42" t="str">
            <v>+498912173121</v>
          </cell>
          <cell r="Q42" t="str">
            <v>Germany</v>
          </cell>
          <cell r="R42" t="str">
            <v>EUR</v>
          </cell>
          <cell r="S42" t="str">
            <v>Local GAAP</v>
          </cell>
          <cell r="T42" t="str">
            <v>Quarterly</v>
          </cell>
          <cell r="U42" t="str">
            <v>Quarterly</v>
          </cell>
          <cell r="AF42" t="str">
            <v>Open end</v>
          </cell>
          <cell r="AG42">
            <v>5</v>
          </cell>
          <cell r="AH42">
            <v>6</v>
          </cell>
          <cell r="AK42" t="str">
            <v>5%</v>
          </cell>
          <cell r="AL42">
            <v>0</v>
          </cell>
          <cell r="AP42">
            <v>14900000</v>
          </cell>
          <cell r="AQ42">
            <v>1</v>
          </cell>
          <cell r="AR42" t="str">
            <v>70%</v>
          </cell>
          <cell r="AS42">
            <v>75</v>
          </cell>
          <cell r="AV42" t="str">
            <v>&gt; 2 years</v>
          </cell>
          <cell r="AW42" t="str">
            <v>Loan acquisition</v>
          </cell>
          <cell r="AY42" t="str">
            <v>Mixed: Senior+Subordinated</v>
          </cell>
          <cell r="AZ42" t="str">
            <v>Strategy based</v>
          </cell>
          <cell r="BB42" t="str">
            <v>Europe</v>
          </cell>
          <cell r="BC42" t="str">
            <v>single country</v>
          </cell>
          <cell r="BE42" t="str">
            <v>Germany</v>
          </cell>
          <cell r="BF42" t="str">
            <v>multi sector</v>
          </cell>
          <cell r="BH42">
            <v>200000000</v>
          </cell>
          <cell r="BI42">
            <v>200000000</v>
          </cell>
          <cell r="BJ42">
            <v>2013</v>
          </cell>
          <cell r="BM42" t="str">
            <v>No</v>
          </cell>
          <cell r="BS42" t="str">
            <v>2014-06-30</v>
          </cell>
          <cell r="BT42">
            <v>39500000</v>
          </cell>
          <cell r="BU42">
            <v>39500000</v>
          </cell>
          <cell r="BV42">
            <v>16500000</v>
          </cell>
          <cell r="BW42">
            <v>16500000</v>
          </cell>
          <cell r="BX42">
            <v>0</v>
          </cell>
          <cell r="BY42" t="str">
            <v>No</v>
          </cell>
          <cell r="CC42">
            <v>200000000</v>
          </cell>
          <cell r="CD42">
            <v>200000000</v>
          </cell>
          <cell r="CF42">
            <v>0</v>
          </cell>
          <cell r="CG42" t="str">
            <v>No</v>
          </cell>
          <cell r="CH42" t="str">
            <v>Germany</v>
          </cell>
          <cell r="CI42" t="str">
            <v>Residential</v>
          </cell>
          <cell r="CJ42">
            <v>100</v>
          </cell>
        </row>
        <row r="43">
          <cell r="A43">
            <v>17362</v>
          </cell>
          <cell r="B43" t="str">
            <v>LASALLE REAL ESTATE DEBT STRATEGIES II</v>
          </cell>
          <cell r="C43" t="str">
            <v>LASALLE INVESTMENT MANAGEMENT</v>
          </cell>
          <cell r="D43" t="str">
            <v>One Curzon Street</v>
          </cell>
          <cell r="E43" t="str">
            <v>W1J 5HD</v>
          </cell>
          <cell r="F43" t="str">
            <v>London</v>
          </cell>
          <cell r="G43" t="str">
            <v>United Kingdom</v>
          </cell>
          <cell r="H43" t="str">
            <v>+442078524418</v>
          </cell>
          <cell r="I43">
            <v>0</v>
          </cell>
          <cell r="J43" t="str">
            <v>http://www.lasalle.com</v>
          </cell>
          <cell r="K43" t="str">
            <v>Marc Tevendale</v>
          </cell>
          <cell r="L43" t="str">
            <v>marc.tevendale@lasalle.com</v>
          </cell>
          <cell r="M43">
            <v>0</v>
          </cell>
          <cell r="N43" t="str">
            <v>Anne Lucking</v>
          </cell>
          <cell r="O43" t="str">
            <v>anne.lucking@lasalle.com</v>
          </cell>
          <cell r="P43" t="str">
            <v>+442078524409</v>
          </cell>
          <cell r="Q43" t="str">
            <v>United Kingdom</v>
          </cell>
          <cell r="R43" t="str">
            <v>GBP</v>
          </cell>
          <cell r="S43" t="str">
            <v>IFRS</v>
          </cell>
          <cell r="T43" t="str">
            <v>Quarterly</v>
          </cell>
          <cell r="U43" t="str">
            <v>Quarterly</v>
          </cell>
          <cell r="W43" t="str">
            <v>IFRS NAV</v>
          </cell>
          <cell r="Y43" t="str">
            <v>Limited Partnership</v>
          </cell>
          <cell r="Z43" t="str">
            <v>Yes</v>
          </cell>
          <cell r="AC43" t="str">
            <v>Non-Listed Fund</v>
          </cell>
          <cell r="AD43" t="str">
            <v>Value-added</v>
          </cell>
          <cell r="AE43" t="str">
            <v>finite</v>
          </cell>
          <cell r="AF43" t="str">
            <v>Closed end</v>
          </cell>
          <cell r="AG43">
            <v>10</v>
          </cell>
          <cell r="AH43">
            <v>13</v>
          </cell>
          <cell r="AI43" t="str">
            <v>Gross</v>
          </cell>
          <cell r="AK43" t="str">
            <v>8%</v>
          </cell>
          <cell r="AL43">
            <v>0</v>
          </cell>
          <cell r="AN43" t="str">
            <v>Institutional</v>
          </cell>
          <cell r="AO43" t="str">
            <v>&gt; 2</v>
          </cell>
          <cell r="AR43" t="str">
            <v>--</v>
          </cell>
          <cell r="AS43">
            <v>80</v>
          </cell>
          <cell r="AT43">
            <v>22</v>
          </cell>
          <cell r="AU43">
            <v>25000000</v>
          </cell>
          <cell r="AV43" t="str">
            <v>&gt;2 years</v>
          </cell>
          <cell r="AW43" t="str">
            <v>Both</v>
          </cell>
          <cell r="AX43" t="str">
            <v>Book value(excl. amortisation)</v>
          </cell>
          <cell r="AY43" t="str">
            <v>Mixed: Senior+Subordinated</v>
          </cell>
          <cell r="AZ43" t="str">
            <v>7 years</v>
          </cell>
          <cell r="BA43" t="str">
            <v>≥ 50%</v>
          </cell>
          <cell r="BB43" t="str">
            <v>Europe</v>
          </cell>
          <cell r="BC43" t="str">
            <v>multi country</v>
          </cell>
          <cell r="BD43" t="str">
            <v>Western Europe</v>
          </cell>
          <cell r="BF43" t="str">
            <v>multi sector</v>
          </cell>
          <cell r="BH43">
            <v>600000000</v>
          </cell>
          <cell r="BI43">
            <v>600000000</v>
          </cell>
          <cell r="BJ43">
            <v>2013</v>
          </cell>
          <cell r="BK43">
            <v>2020</v>
          </cell>
          <cell r="BL43" t="str">
            <v>Yes</v>
          </cell>
          <cell r="BM43" t="str">
            <v>Yes</v>
          </cell>
          <cell r="BN43" t="str">
            <v>1+1 years</v>
          </cell>
          <cell r="BO43" t="str">
            <v>No</v>
          </cell>
          <cell r="BS43" t="str">
            <v>2020-06-30</v>
          </cell>
          <cell r="BU43">
            <v>0</v>
          </cell>
          <cell r="BW43">
            <v>0</v>
          </cell>
          <cell r="CD43">
            <v>0</v>
          </cell>
        </row>
        <row r="44">
          <cell r="A44">
            <v>17364</v>
          </cell>
          <cell r="B44" t="str">
            <v>LASALLE RESIDENTIAL FINANCE FUND I &amp; II</v>
          </cell>
          <cell r="C44" t="str">
            <v>LASALLE INVESTMENT MANAGEMENT</v>
          </cell>
          <cell r="D44" t="str">
            <v>One Curzon Street</v>
          </cell>
          <cell r="E44" t="str">
            <v>W1J 5HD</v>
          </cell>
          <cell r="F44" t="str">
            <v>London</v>
          </cell>
          <cell r="G44" t="str">
            <v>United Kingdom</v>
          </cell>
          <cell r="H44" t="str">
            <v>+442078524418</v>
          </cell>
          <cell r="I44" t="str">
            <v>+442078524418</v>
          </cell>
          <cell r="J44" t="str">
            <v>http://www.lasalle.com</v>
          </cell>
          <cell r="K44" t="str">
            <v>Robert Fay</v>
          </cell>
          <cell r="L44" t="str">
            <v>robert.fay@lasalle.com</v>
          </cell>
          <cell r="M44" t="str">
            <v>+442078524467</v>
          </cell>
          <cell r="N44" t="str">
            <v>Anne Lucking</v>
          </cell>
          <cell r="O44" t="str">
            <v>anne.lucking@lasalle.com</v>
          </cell>
          <cell r="P44" t="str">
            <v>+442078524409</v>
          </cell>
          <cell r="Q44" t="str">
            <v>United Kingdom</v>
          </cell>
          <cell r="R44" t="str">
            <v>GBP</v>
          </cell>
          <cell r="S44" t="str">
            <v>IFRS</v>
          </cell>
          <cell r="T44" t="str">
            <v>Quarterly</v>
          </cell>
          <cell r="U44" t="str">
            <v>Quarterly</v>
          </cell>
          <cell r="AF44" t="str">
            <v>Closed end</v>
          </cell>
          <cell r="AL44">
            <v>0</v>
          </cell>
          <cell r="AV44" t="str">
            <v>2 years</v>
          </cell>
          <cell r="AW44" t="str">
            <v>Direct lending</v>
          </cell>
          <cell r="AY44" t="str">
            <v>Senior</v>
          </cell>
          <cell r="AZ44" t="str">
            <v>5 years</v>
          </cell>
          <cell r="BB44" t="str">
            <v>Europe</v>
          </cell>
          <cell r="BC44" t="str">
            <v>single country</v>
          </cell>
          <cell r="BE44" t="str">
            <v>United Kingdom</v>
          </cell>
          <cell r="BF44" t="str">
            <v>multi sector</v>
          </cell>
          <cell r="BH44">
            <v>440300000</v>
          </cell>
          <cell r="BI44">
            <v>440300000</v>
          </cell>
          <cell r="BJ44">
            <v>2013</v>
          </cell>
          <cell r="BK44">
            <v>2018</v>
          </cell>
          <cell r="BS44" t="str">
            <v>2017-06-30</v>
          </cell>
          <cell r="BU44">
            <v>0</v>
          </cell>
          <cell r="BW44">
            <v>0</v>
          </cell>
          <cell r="BX44">
            <v>0</v>
          </cell>
          <cell r="BY44" t="str">
            <v>No</v>
          </cell>
          <cell r="CC44">
            <v>440300000</v>
          </cell>
          <cell r="CD44">
            <v>514760039.75382</v>
          </cell>
          <cell r="CF44">
            <v>0</v>
          </cell>
        </row>
        <row r="45">
          <cell r="A45">
            <v>17363</v>
          </cell>
          <cell r="B45" t="str">
            <v>LASALLE UK SPECIAL SITUATIONS FUND I</v>
          </cell>
          <cell r="C45" t="str">
            <v>LASALLE INVESTMENT MANAGEMENT</v>
          </cell>
          <cell r="D45" t="str">
            <v>One Curzon Street</v>
          </cell>
          <cell r="E45" t="str">
            <v>W1J 5HD</v>
          </cell>
          <cell r="F45" t="str">
            <v>London</v>
          </cell>
          <cell r="G45" t="str">
            <v>United Kingdom</v>
          </cell>
          <cell r="H45" t="str">
            <v>+442078524418</v>
          </cell>
          <cell r="I45" t="str">
            <v>+442078524418</v>
          </cell>
          <cell r="J45" t="str">
            <v>http://www.lasalle.com</v>
          </cell>
          <cell r="K45" t="str">
            <v>Robert Fay</v>
          </cell>
          <cell r="L45" t="str">
            <v>robert.fay@lasalle.com</v>
          </cell>
          <cell r="M45" t="str">
            <v>+442078524467</v>
          </cell>
          <cell r="N45" t="str">
            <v>Anne Lucking</v>
          </cell>
          <cell r="O45" t="str">
            <v>anne.lucking@lasalle.com</v>
          </cell>
          <cell r="P45" t="str">
            <v>+442078524409</v>
          </cell>
          <cell r="Q45" t="str">
            <v>United Kingdom</v>
          </cell>
          <cell r="R45" t="str">
            <v>GBP</v>
          </cell>
          <cell r="S45" t="str">
            <v>IFRS</v>
          </cell>
          <cell r="T45" t="str">
            <v>Quarterly</v>
          </cell>
          <cell r="U45" t="str">
            <v>Quarterly</v>
          </cell>
          <cell r="W45" t="str">
            <v>IFRS NAV</v>
          </cell>
          <cell r="Y45" t="str">
            <v>Limited Partnership</v>
          </cell>
          <cell r="Z45" t="str">
            <v>Yes</v>
          </cell>
          <cell r="AF45" t="str">
            <v>Closed end</v>
          </cell>
          <cell r="AG45">
            <v>15</v>
          </cell>
          <cell r="AH45">
            <v>18</v>
          </cell>
          <cell r="AV45" t="str">
            <v>&gt;2 years</v>
          </cell>
          <cell r="AW45" t="str">
            <v>Direct lending</v>
          </cell>
          <cell r="AX45" t="str">
            <v>Book value(excl. amortisation)</v>
          </cell>
          <cell r="AY45" t="str">
            <v>Mixed: Senior+Subordinated+Preferred equity</v>
          </cell>
          <cell r="AZ45" t="str">
            <v>5 years</v>
          </cell>
          <cell r="BB45" t="str">
            <v>Europe</v>
          </cell>
          <cell r="BC45" t="str">
            <v>single country</v>
          </cell>
          <cell r="BE45" t="str">
            <v>United Kingdom</v>
          </cell>
          <cell r="BF45" t="str">
            <v>multi sector</v>
          </cell>
          <cell r="BH45">
            <v>77000000</v>
          </cell>
          <cell r="BI45">
            <v>80000000</v>
          </cell>
          <cell r="BJ45">
            <v>2010</v>
          </cell>
          <cell r="BK45">
            <v>2017</v>
          </cell>
          <cell r="BS45" t="str">
            <v>2017-06-30</v>
          </cell>
          <cell r="BU45">
            <v>0</v>
          </cell>
          <cell r="BW45">
            <v>0</v>
          </cell>
          <cell r="CC45">
            <v>77380000</v>
          </cell>
          <cell r="CD45">
            <v>90465891.156371996</v>
          </cell>
          <cell r="CF45">
            <v>0</v>
          </cell>
        </row>
        <row r="46">
          <cell r="A46">
            <v>17376</v>
          </cell>
          <cell r="B46" t="str">
            <v>LFP PROPERTY SENIOR BONDS</v>
          </cell>
          <cell r="C46" t="str">
            <v>LA FRANCAISE REAL ESTATE MANAGER</v>
          </cell>
          <cell r="D46" t="str">
            <v>173 Bd Haussmann</v>
          </cell>
          <cell r="E46">
            <v>75008</v>
          </cell>
          <cell r="F46" t="str">
            <v>Paris</v>
          </cell>
          <cell r="G46" t="str">
            <v>France</v>
          </cell>
          <cell r="H46" t="str">
            <v>+33144561000</v>
          </cell>
          <cell r="I46" t="str">
            <v>+33144561100</v>
          </cell>
          <cell r="J46" t="str">
            <v>http://www.lafrancaise-group.com</v>
          </cell>
          <cell r="K46" t="str">
            <v>Bertrand Carrez</v>
          </cell>
          <cell r="L46" t="str">
            <v>bcarrez@lafrancaise-group.com</v>
          </cell>
          <cell r="M46" t="str">
            <v>+33153769986</v>
          </cell>
          <cell r="N46" t="str">
            <v>Grégory Neulat</v>
          </cell>
          <cell r="O46" t="str">
            <v>gneulat@lafrancaise-group.com</v>
          </cell>
          <cell r="P46" t="str">
            <v>+33144564933</v>
          </cell>
          <cell r="Q46" t="str">
            <v>France</v>
          </cell>
          <cell r="R46" t="str">
            <v>EUR</v>
          </cell>
          <cell r="S46" t="str">
            <v>IFRS</v>
          </cell>
          <cell r="T46" t="str">
            <v>Quarterly</v>
          </cell>
          <cell r="U46" t="str">
            <v>Quarterly</v>
          </cell>
          <cell r="X46" t="str">
            <v>PWC</v>
          </cell>
          <cell r="Y46" t="str">
            <v>FCT</v>
          </cell>
          <cell r="AA46" t="str">
            <v>Yes</v>
          </cell>
          <cell r="AB46">
            <v>0</v>
          </cell>
          <cell r="AF46" t="str">
            <v>Closed end</v>
          </cell>
          <cell r="AG46">
            <v>0</v>
          </cell>
          <cell r="AH46">
            <v>0</v>
          </cell>
          <cell r="AJ46" t="str">
            <v>Euribor 3M</v>
          </cell>
          <cell r="AK46" t="str">
            <v>Euribor+200-250bp</v>
          </cell>
          <cell r="AN46" t="str">
            <v>Institutional</v>
          </cell>
          <cell r="AO46" t="str">
            <v>&gt; 2</v>
          </cell>
          <cell r="AP46">
            <v>263000000</v>
          </cell>
          <cell r="AQ46">
            <v>9</v>
          </cell>
          <cell r="AR46" t="str">
            <v>60%</v>
          </cell>
          <cell r="AS46">
            <v>65</v>
          </cell>
          <cell r="AV46" t="str">
            <v>1 year</v>
          </cell>
          <cell r="AW46" t="str">
            <v>Both</v>
          </cell>
          <cell r="AX46" t="str">
            <v>Mark to market</v>
          </cell>
          <cell r="AY46" t="str">
            <v>Senior</v>
          </cell>
          <cell r="AZ46" t="str">
            <v>8 years</v>
          </cell>
          <cell r="BA46" t="str">
            <v>≥ 50%</v>
          </cell>
          <cell r="BB46" t="str">
            <v>Europe</v>
          </cell>
          <cell r="BC46" t="str">
            <v>single country</v>
          </cell>
          <cell r="BE46" t="str">
            <v>France</v>
          </cell>
          <cell r="BF46" t="str">
            <v>multi sector</v>
          </cell>
          <cell r="BH46">
            <v>255000000</v>
          </cell>
          <cell r="BI46">
            <v>255000000</v>
          </cell>
          <cell r="BJ46">
            <v>2013</v>
          </cell>
          <cell r="BK46">
            <v>2022</v>
          </cell>
          <cell r="BL46" t="str">
            <v>Yes</v>
          </cell>
          <cell r="BM46" t="str">
            <v>No</v>
          </cell>
          <cell r="BS46" t="str">
            <v>2014-06-30</v>
          </cell>
          <cell r="BT46">
            <v>181000000</v>
          </cell>
          <cell r="BU46">
            <v>181000000</v>
          </cell>
          <cell r="BV46">
            <v>181000000</v>
          </cell>
          <cell r="BW46">
            <v>181000000</v>
          </cell>
          <cell r="BY46" t="str">
            <v>Yes</v>
          </cell>
          <cell r="CA46">
            <v>8</v>
          </cell>
          <cell r="CC46">
            <v>256000000</v>
          </cell>
          <cell r="CD46">
            <v>256000000</v>
          </cell>
          <cell r="CF46">
            <v>0</v>
          </cell>
          <cell r="CG46" t="str">
            <v>No</v>
          </cell>
          <cell r="CH46" t="str">
            <v>France</v>
          </cell>
          <cell r="CI46" t="str">
            <v>Office</v>
          </cell>
          <cell r="CJ46">
            <v>49</v>
          </cell>
          <cell r="CK46" t="str">
            <v>France</v>
          </cell>
          <cell r="CL46" t="str">
            <v>Industrial / Logistics</v>
          </cell>
          <cell r="CM46">
            <v>16</v>
          </cell>
          <cell r="CN46" t="str">
            <v>France</v>
          </cell>
          <cell r="CO46" t="str">
            <v>Other</v>
          </cell>
          <cell r="CP46">
            <v>35</v>
          </cell>
        </row>
        <row r="47">
          <cell r="A47">
            <v>19310</v>
          </cell>
          <cell r="B47" t="str">
            <v>M&amp;G REAL ESTATE DEBT FINANCE VI</v>
          </cell>
          <cell r="C47" t="str">
            <v>M&amp;G PRUDENTIAL</v>
          </cell>
          <cell r="D47" t="str">
            <v>10 Fenchurch Avenue</v>
          </cell>
          <cell r="E47" t="str">
            <v>EC3M 5AG</v>
          </cell>
          <cell r="F47" t="str">
            <v>London</v>
          </cell>
          <cell r="G47" t="str">
            <v>United Kingdom</v>
          </cell>
          <cell r="J47" t="str">
            <v>https://www.mandg.co.uk/institutions/</v>
          </cell>
          <cell r="K47" t="str">
            <v>John Barakat</v>
          </cell>
          <cell r="L47" t="str">
            <v>john.barakat@mandg.co.uk</v>
          </cell>
          <cell r="M47" t="str">
            <v>+44 (0)20 3977 3301</v>
          </cell>
          <cell r="N47" t="str">
            <v>Isabelle Brennan</v>
          </cell>
          <cell r="O47" t="str">
            <v>isabelle.brennan@mandg.co.uk</v>
          </cell>
          <cell r="P47" t="str">
            <v>+44 (0)20 3977 2402</v>
          </cell>
          <cell r="Q47" t="str">
            <v>Ireland</v>
          </cell>
          <cell r="R47" t="str">
            <v>GBP</v>
          </cell>
          <cell r="S47" t="str">
            <v>IFRS</v>
          </cell>
          <cell r="V47" t="str">
            <v>RICS</v>
          </cell>
          <cell r="W47" t="str">
            <v>IFRS NAV</v>
          </cell>
          <cell r="X47" t="str">
            <v>Deloitte Ireland</v>
          </cell>
          <cell r="Y47" t="str">
            <v>Irish Section 110</v>
          </cell>
          <cell r="AA47" t="str">
            <v>Yes</v>
          </cell>
          <cell r="AB47">
            <v>1</v>
          </cell>
          <cell r="AC47" t="str">
            <v>Non-Listed Fund</v>
          </cell>
          <cell r="AD47" t="str">
            <v>Core</v>
          </cell>
          <cell r="AE47" t="str">
            <v>finite</v>
          </cell>
          <cell r="AF47" t="str">
            <v>Closed end</v>
          </cell>
          <cell r="AN47" t="str">
            <v>Institutional</v>
          </cell>
          <cell r="AO47" t="str">
            <v>&gt; 2</v>
          </cell>
          <cell r="AW47" t="str">
            <v>Both</v>
          </cell>
          <cell r="AX47" t="str">
            <v>Mark to market</v>
          </cell>
          <cell r="AY47" t="str">
            <v>Mixed: Senior+Subordinated+Preferred equity</v>
          </cell>
          <cell r="BA47" t="str">
            <v>≥ 50%</v>
          </cell>
          <cell r="BB47" t="str">
            <v>Europe</v>
          </cell>
          <cell r="BC47" t="str">
            <v>multi country</v>
          </cell>
          <cell r="BD47" t="str">
            <v>Europe</v>
          </cell>
          <cell r="BF47" t="str">
            <v>multi sector</v>
          </cell>
          <cell r="BH47">
            <v>875000000</v>
          </cell>
          <cell r="BI47">
            <v>875000000</v>
          </cell>
          <cell r="BJ47">
            <v>2017</v>
          </cell>
          <cell r="BK47">
            <v>2027</v>
          </cell>
          <cell r="BL47" t="str">
            <v>Yes</v>
          </cell>
          <cell r="BM47" t="str">
            <v>Yes</v>
          </cell>
          <cell r="BN47" t="str">
            <v>1+1 years</v>
          </cell>
          <cell r="BO47" t="str">
            <v>No</v>
          </cell>
        </row>
        <row r="48">
          <cell r="A48">
            <v>19304</v>
          </cell>
          <cell r="B48" t="str">
            <v>M&amp;G REAL ESTATE DEBT FUND II</v>
          </cell>
          <cell r="C48" t="str">
            <v>M&amp;G PRUDENTIAL</v>
          </cell>
          <cell r="D48" t="str">
            <v>10 Fenchurch Avenue</v>
          </cell>
          <cell r="E48" t="str">
            <v>EC3M 5AG</v>
          </cell>
          <cell r="F48" t="str">
            <v>London</v>
          </cell>
          <cell r="G48" t="str">
            <v>United Kingdom</v>
          </cell>
          <cell r="J48" t="str">
            <v>https://www.mandg.co.uk/institutions/</v>
          </cell>
          <cell r="K48" t="str">
            <v>John Barakat</v>
          </cell>
          <cell r="L48" t="str">
            <v>john.barakat@mandg.co.uk</v>
          </cell>
          <cell r="M48" t="str">
            <v>+442039773301</v>
          </cell>
          <cell r="N48" t="str">
            <v>Isabelle Brennan</v>
          </cell>
          <cell r="O48" t="str">
            <v>Isabelle.brennan@mandg.co.uk</v>
          </cell>
          <cell r="P48" t="str">
            <v>+442039772402</v>
          </cell>
          <cell r="Q48" t="str">
            <v>Guernsey</v>
          </cell>
          <cell r="R48" t="str">
            <v>GBP</v>
          </cell>
          <cell r="S48" t="str">
            <v>IFRS</v>
          </cell>
          <cell r="T48" t="str">
            <v>Annually</v>
          </cell>
          <cell r="V48" t="str">
            <v>RICS</v>
          </cell>
          <cell r="W48" t="str">
            <v>IFRS NAV</v>
          </cell>
          <cell r="X48" t="str">
            <v>Deloitte</v>
          </cell>
          <cell r="Y48" t="str">
            <v>Limited Partnership</v>
          </cell>
          <cell r="AA48" t="str">
            <v>No</v>
          </cell>
          <cell r="AB48">
            <v>0</v>
          </cell>
          <cell r="AC48" t="str">
            <v>Non-Listed Fund</v>
          </cell>
          <cell r="AD48" t="str">
            <v>Value-added</v>
          </cell>
          <cell r="AE48" t="str">
            <v>finite</v>
          </cell>
          <cell r="AF48" t="str">
            <v>Closed end</v>
          </cell>
          <cell r="AI48" t="str">
            <v>Gross</v>
          </cell>
          <cell r="AL48">
            <v>0</v>
          </cell>
          <cell r="AN48" t="str">
            <v>Institutional</v>
          </cell>
          <cell r="AO48" t="str">
            <v>&gt; 2</v>
          </cell>
          <cell r="AW48" t="str">
            <v>Both</v>
          </cell>
          <cell r="AX48" t="str">
            <v>Mark to market</v>
          </cell>
          <cell r="AY48" t="str">
            <v>Subordinated: Junior+Mezzanine</v>
          </cell>
          <cell r="BA48" t="str">
            <v>≥ 50%</v>
          </cell>
          <cell r="BB48" t="str">
            <v>Europe</v>
          </cell>
          <cell r="BC48" t="str">
            <v>multi country</v>
          </cell>
          <cell r="BD48" t="str">
            <v>Western Europe</v>
          </cell>
          <cell r="BF48" t="str">
            <v>multi sector</v>
          </cell>
          <cell r="BH48">
            <v>604700000</v>
          </cell>
          <cell r="BI48">
            <v>604700000</v>
          </cell>
          <cell r="BJ48">
            <v>2013</v>
          </cell>
          <cell r="BK48">
            <v>2021</v>
          </cell>
          <cell r="BL48" t="str">
            <v>Yes</v>
          </cell>
          <cell r="BM48" t="str">
            <v>Yes</v>
          </cell>
          <cell r="BN48" t="str">
            <v>1+1 years</v>
          </cell>
          <cell r="BO48" t="str">
            <v>No</v>
          </cell>
        </row>
        <row r="49">
          <cell r="A49">
            <v>17360</v>
          </cell>
          <cell r="B49" t="str">
            <v>M&amp;G REAL ESTATE DEBT FUND II</v>
          </cell>
          <cell r="C49" t="str">
            <v>M&amp;G INVESTMENTS</v>
          </cell>
          <cell r="D49" t="str">
            <v>Laurence Pountney Hill</v>
          </cell>
          <cell r="E49" t="str">
            <v>EC4R 0HH</v>
          </cell>
          <cell r="F49" t="str">
            <v>London</v>
          </cell>
          <cell r="G49" t="str">
            <v>United Kingdom</v>
          </cell>
          <cell r="H49" t="str">
            <v>+442075482073</v>
          </cell>
          <cell r="J49" t="str">
            <v>http://www.mandg.co.uk/</v>
          </cell>
          <cell r="K49" t="str">
            <v>John Barakat</v>
          </cell>
          <cell r="L49" t="str">
            <v>john.barakat@mandg.co.uk</v>
          </cell>
          <cell r="N49" t="str">
            <v>Huaiyuan Lu</v>
          </cell>
          <cell r="O49" t="str">
            <v>huaiyuan.lu@mandg.co.uk</v>
          </cell>
          <cell r="P49" t="str">
            <v>+442070044739</v>
          </cell>
          <cell r="Q49" t="str">
            <v>Guernsey</v>
          </cell>
          <cell r="R49" t="str">
            <v>GBP</v>
          </cell>
          <cell r="S49" t="str">
            <v>IFRS</v>
          </cell>
          <cell r="T49" t="str">
            <v>Quarterly</v>
          </cell>
          <cell r="U49" t="str">
            <v>Quarterly</v>
          </cell>
          <cell r="X49" t="str">
            <v xml:space="preserve">Deloitte LLP </v>
          </cell>
          <cell r="Y49" t="str">
            <v>Limited Partnership</v>
          </cell>
          <cell r="AA49" t="str">
            <v>Yes</v>
          </cell>
          <cell r="AB49">
            <v>0</v>
          </cell>
          <cell r="AF49" t="str">
            <v>Closed end</v>
          </cell>
          <cell r="AG49">
            <v>11</v>
          </cell>
          <cell r="AH49">
            <v>13</v>
          </cell>
          <cell r="AN49" t="str">
            <v>Institutional</v>
          </cell>
          <cell r="AV49" t="str">
            <v>&gt;2 years</v>
          </cell>
          <cell r="AW49" t="str">
            <v>Both</v>
          </cell>
          <cell r="AX49" t="str">
            <v>Book value(excl. amortisation)</v>
          </cell>
          <cell r="AY49" t="str">
            <v>Subordinated: Junior+Mezzanine</v>
          </cell>
          <cell r="BC49" t="str">
            <v>multi country</v>
          </cell>
          <cell r="BF49" t="str">
            <v>multi sector</v>
          </cell>
          <cell r="BH49">
            <v>604670000</v>
          </cell>
          <cell r="BI49">
            <v>604670000</v>
          </cell>
          <cell r="BJ49">
            <v>2012</v>
          </cell>
          <cell r="BK49">
            <v>2021</v>
          </cell>
          <cell r="BL49" t="str">
            <v>No</v>
          </cell>
          <cell r="BM49" t="str">
            <v>No</v>
          </cell>
        </row>
        <row r="50">
          <cell r="A50">
            <v>19305</v>
          </cell>
          <cell r="B50" t="str">
            <v>M&amp;G REAL ESTATE DEBT FUND III</v>
          </cell>
          <cell r="C50" t="str">
            <v>M&amp;G PRUDENTIAL</v>
          </cell>
          <cell r="D50" t="str">
            <v>10 Fenchurch Avenue</v>
          </cell>
          <cell r="E50" t="str">
            <v>EC3M 5AG</v>
          </cell>
          <cell r="F50" t="str">
            <v>London</v>
          </cell>
          <cell r="G50" t="str">
            <v>United Kingdom</v>
          </cell>
          <cell r="J50" t="str">
            <v>https://www.mandg.co.uk/institutions/</v>
          </cell>
          <cell r="K50" t="str">
            <v>John Barakat</v>
          </cell>
          <cell r="L50" t="str">
            <v>john.barakat@mandg.co.uk</v>
          </cell>
          <cell r="M50" t="str">
            <v>+442039773301</v>
          </cell>
          <cell r="N50" t="str">
            <v>Isabelle Brennan</v>
          </cell>
          <cell r="O50" t="str">
            <v>isabelle.brennan@mandg.co.uk</v>
          </cell>
          <cell r="P50" t="str">
            <v>+442039772402</v>
          </cell>
          <cell r="Q50" t="str">
            <v>Guernsey</v>
          </cell>
          <cell r="R50" t="str">
            <v>GBP</v>
          </cell>
          <cell r="S50" t="str">
            <v>IFRS</v>
          </cell>
          <cell r="T50" t="str">
            <v>Annually</v>
          </cell>
          <cell r="V50" t="str">
            <v>RICS</v>
          </cell>
          <cell r="W50" t="str">
            <v>IFRS NAV</v>
          </cell>
          <cell r="X50" t="str">
            <v>Deloitte</v>
          </cell>
          <cell r="Y50" t="str">
            <v>Limited Partnership</v>
          </cell>
          <cell r="AA50" t="str">
            <v>No</v>
          </cell>
          <cell r="AB50">
            <v>0</v>
          </cell>
          <cell r="AC50" t="str">
            <v>Non-Listed Fund</v>
          </cell>
          <cell r="AD50" t="str">
            <v>Value-added</v>
          </cell>
          <cell r="AE50" t="str">
            <v>finite</v>
          </cell>
          <cell r="AF50" t="str">
            <v>Closed end</v>
          </cell>
          <cell r="AL50">
            <v>0</v>
          </cell>
          <cell r="AN50" t="str">
            <v>Institutional</v>
          </cell>
          <cell r="AO50" t="str">
            <v>&gt; 2</v>
          </cell>
          <cell r="AW50" t="str">
            <v>Both</v>
          </cell>
          <cell r="AX50" t="str">
            <v>Mark to market</v>
          </cell>
          <cell r="AY50" t="str">
            <v>Subordinated: Junior+Mezzanine</v>
          </cell>
          <cell r="BA50" t="str">
            <v>≥ 50%</v>
          </cell>
          <cell r="BB50" t="str">
            <v>Europe</v>
          </cell>
          <cell r="BC50" t="str">
            <v>multi country</v>
          </cell>
          <cell r="BD50" t="str">
            <v>Western Europe</v>
          </cell>
          <cell r="BF50" t="str">
            <v>multi sector</v>
          </cell>
          <cell r="BH50">
            <v>579380000</v>
          </cell>
          <cell r="BI50">
            <v>610603090</v>
          </cell>
          <cell r="BJ50">
            <v>2013</v>
          </cell>
          <cell r="BK50">
            <v>2021</v>
          </cell>
          <cell r="BL50" t="str">
            <v>Yes</v>
          </cell>
          <cell r="BM50" t="str">
            <v>Yes</v>
          </cell>
          <cell r="BN50" t="str">
            <v>1+1 years</v>
          </cell>
          <cell r="BO50" t="str">
            <v>No</v>
          </cell>
        </row>
        <row r="51">
          <cell r="A51">
            <v>17361</v>
          </cell>
          <cell r="B51" t="str">
            <v>M&amp;G REAL ESTATE DEBT FUND III</v>
          </cell>
          <cell r="C51" t="str">
            <v>M&amp;G INVESTMENT MANAGEMENT LTD</v>
          </cell>
          <cell r="D51" t="str">
            <v>Laurence Pountney Hill</v>
          </cell>
          <cell r="E51" t="str">
            <v>EC4R 0HH</v>
          </cell>
          <cell r="F51" t="str">
            <v>London</v>
          </cell>
          <cell r="G51" t="str">
            <v>United Kingdom</v>
          </cell>
          <cell r="H51" t="str">
            <v>+442075482073</v>
          </cell>
          <cell r="J51" t="str">
            <v>http://www.mandg.co.uk/</v>
          </cell>
          <cell r="K51" t="str">
            <v>John Barakat</v>
          </cell>
          <cell r="L51" t="str">
            <v>john.barakat@mandg.co.uk</v>
          </cell>
          <cell r="N51" t="str">
            <v>Huaiyuan Lu</v>
          </cell>
          <cell r="O51" t="str">
            <v>huaiyuan.lu@mandg.co.uk</v>
          </cell>
          <cell r="P51" t="str">
            <v>+442070044739</v>
          </cell>
          <cell r="Q51" t="str">
            <v>Guernsey</v>
          </cell>
          <cell r="R51" t="str">
            <v>GBP</v>
          </cell>
          <cell r="S51" t="str">
            <v>IFRS</v>
          </cell>
          <cell r="T51" t="str">
            <v>Annually</v>
          </cell>
          <cell r="U51" t="str">
            <v>Quarterly</v>
          </cell>
          <cell r="X51" t="str">
            <v xml:space="preserve">Deloitte LLP </v>
          </cell>
          <cell r="Y51" t="str">
            <v>Limited Partnership</v>
          </cell>
          <cell r="AA51" t="str">
            <v>Yes</v>
          </cell>
          <cell r="AB51">
            <v>0</v>
          </cell>
          <cell r="AF51" t="str">
            <v>Closed end</v>
          </cell>
          <cell r="AG51">
            <v>6</v>
          </cell>
          <cell r="AH51">
            <v>9</v>
          </cell>
          <cell r="AV51" t="str">
            <v>&gt; 2 years</v>
          </cell>
          <cell r="AW51" t="str">
            <v>Both</v>
          </cell>
          <cell r="AX51" t="str">
            <v>Book value(excl. amortisation)</v>
          </cell>
          <cell r="AY51" t="str">
            <v>Subordinated: Junior+Mezzanine</v>
          </cell>
          <cell r="AZ51">
            <v>8</v>
          </cell>
          <cell r="BC51" t="str">
            <v>multi country</v>
          </cell>
          <cell r="BF51" t="str">
            <v>multi sector</v>
          </cell>
          <cell r="BH51">
            <v>579380000</v>
          </cell>
          <cell r="BI51">
            <v>579380000</v>
          </cell>
          <cell r="BJ51">
            <v>2013</v>
          </cell>
          <cell r="BK51">
            <v>2021</v>
          </cell>
          <cell r="BL51" t="str">
            <v>No</v>
          </cell>
        </row>
        <row r="52">
          <cell r="A52">
            <v>19308</v>
          </cell>
          <cell r="B52" t="str">
            <v>M&amp;G REAL ESTATE FINANCE IV</v>
          </cell>
          <cell r="C52" t="str">
            <v>M&amp;G PRUDENTIAL</v>
          </cell>
          <cell r="D52" t="str">
            <v>10 Fenchurch Avenue</v>
          </cell>
          <cell r="E52" t="str">
            <v>EC3M 5AG</v>
          </cell>
          <cell r="F52" t="str">
            <v>London</v>
          </cell>
          <cell r="G52" t="str">
            <v>United Kingdom</v>
          </cell>
          <cell r="J52" t="str">
            <v>https://www.mandg.co.uk/institutions/</v>
          </cell>
          <cell r="K52" t="str">
            <v>John Barakat</v>
          </cell>
          <cell r="L52" t="str">
            <v>john.barakat@mandg.co.uk</v>
          </cell>
          <cell r="M52" t="str">
            <v>+44 (0)20 3977 3301</v>
          </cell>
          <cell r="N52" t="str">
            <v>Isabelle Brennan</v>
          </cell>
          <cell r="O52" t="str">
            <v>isabelle.brennan@mandg.co.uk</v>
          </cell>
          <cell r="P52" t="str">
            <v>+44 (0)20 3977 2402</v>
          </cell>
          <cell r="Q52" t="str">
            <v>Ireland</v>
          </cell>
          <cell r="R52" t="str">
            <v>GBP</v>
          </cell>
          <cell r="S52" t="str">
            <v>IFRS</v>
          </cell>
          <cell r="V52" t="str">
            <v>RICS</v>
          </cell>
          <cell r="W52" t="str">
            <v>IFRS NAV</v>
          </cell>
          <cell r="X52" t="str">
            <v>Deloitte Ireland</v>
          </cell>
          <cell r="Y52" t="str">
            <v>Irish Section 110</v>
          </cell>
          <cell r="AA52" t="str">
            <v>Yes</v>
          </cell>
          <cell r="AB52">
            <v>1</v>
          </cell>
          <cell r="AC52" t="str">
            <v>Non-Listed Fund</v>
          </cell>
          <cell r="AD52" t="str">
            <v>Core</v>
          </cell>
          <cell r="AE52" t="str">
            <v>finite</v>
          </cell>
          <cell r="AF52" t="str">
            <v>Closed end</v>
          </cell>
          <cell r="AN52" t="str">
            <v>Institutional</v>
          </cell>
          <cell r="AO52" t="str">
            <v>&gt; 2</v>
          </cell>
          <cell r="AW52" t="str">
            <v>Both</v>
          </cell>
          <cell r="AX52" t="str">
            <v>Mark to market</v>
          </cell>
          <cell r="AY52" t="str">
            <v>Senior</v>
          </cell>
          <cell r="BA52" t="str">
            <v>≥ 50%</v>
          </cell>
          <cell r="BB52" t="str">
            <v>Europe</v>
          </cell>
          <cell r="BC52" t="str">
            <v>multi country</v>
          </cell>
          <cell r="BD52" t="str">
            <v>Europe</v>
          </cell>
          <cell r="BF52" t="str">
            <v>multi sector</v>
          </cell>
          <cell r="BH52">
            <v>1000000000</v>
          </cell>
          <cell r="BI52">
            <v>1000000000</v>
          </cell>
          <cell r="BJ52">
            <v>2017</v>
          </cell>
          <cell r="BK52">
            <v>2027</v>
          </cell>
          <cell r="BL52" t="str">
            <v>Yes</v>
          </cell>
          <cell r="BM52" t="str">
            <v>Yes</v>
          </cell>
          <cell r="BN52" t="str">
            <v>1 year fixed</v>
          </cell>
          <cell r="BO52" t="str">
            <v>No</v>
          </cell>
        </row>
        <row r="53">
          <cell r="A53">
            <v>19309</v>
          </cell>
          <cell r="B53" t="str">
            <v>M&amp;G REAL ESTATE FINANCE V</v>
          </cell>
          <cell r="C53" t="str">
            <v>M&amp;G PRUDENTIAL</v>
          </cell>
          <cell r="D53" t="str">
            <v>10 Fenchurch Avenue</v>
          </cell>
          <cell r="E53" t="str">
            <v>EC3M 5AG</v>
          </cell>
          <cell r="F53" t="str">
            <v>London</v>
          </cell>
          <cell r="G53" t="str">
            <v>United Kingdom</v>
          </cell>
          <cell r="J53" t="str">
            <v>https://www.mandg.co.uk/institutions/</v>
          </cell>
          <cell r="K53" t="str">
            <v>John Barakat</v>
          </cell>
          <cell r="L53" t="str">
            <v>john.barakat@mandg.co.uk</v>
          </cell>
          <cell r="M53" t="str">
            <v>+44 (0)20 3977 3301</v>
          </cell>
          <cell r="N53" t="str">
            <v>Isabelle Brennan</v>
          </cell>
          <cell r="O53" t="str">
            <v>isabelle.brennan@mandg.co.uk</v>
          </cell>
          <cell r="P53" t="str">
            <v>+44 (0)20 3977 2402</v>
          </cell>
          <cell r="Q53" t="str">
            <v>Ireland</v>
          </cell>
          <cell r="R53" t="str">
            <v>GBP</v>
          </cell>
          <cell r="S53" t="str">
            <v>IFRS</v>
          </cell>
          <cell r="V53" t="str">
            <v>RICS</v>
          </cell>
          <cell r="W53" t="str">
            <v>IFRS NAV</v>
          </cell>
          <cell r="X53" t="str">
            <v>Deloitte Ireland</v>
          </cell>
          <cell r="Y53" t="str">
            <v>Irish Section 110</v>
          </cell>
          <cell r="AA53" t="str">
            <v>Yes</v>
          </cell>
          <cell r="AB53">
            <v>1</v>
          </cell>
          <cell r="AC53" t="str">
            <v>Non-Listed Fund</v>
          </cell>
          <cell r="AD53" t="str">
            <v>Value-added</v>
          </cell>
          <cell r="AE53" t="str">
            <v>finite</v>
          </cell>
          <cell r="AF53" t="str">
            <v>Closed end</v>
          </cell>
          <cell r="AN53" t="str">
            <v>Institutional</v>
          </cell>
          <cell r="AO53" t="str">
            <v>&gt; 2</v>
          </cell>
          <cell r="AW53" t="str">
            <v>Both</v>
          </cell>
          <cell r="AX53" t="str">
            <v>Mark to market</v>
          </cell>
          <cell r="AY53" t="str">
            <v>Subordinated: Junior+Mezzanine</v>
          </cell>
          <cell r="BA53" t="str">
            <v>≥ 50%</v>
          </cell>
          <cell r="BB53" t="str">
            <v>Europe</v>
          </cell>
          <cell r="BC53" t="str">
            <v>multi country</v>
          </cell>
          <cell r="BD53" t="str">
            <v>Europe</v>
          </cell>
          <cell r="BF53" t="str">
            <v>multi sector</v>
          </cell>
          <cell r="BH53">
            <v>500000000</v>
          </cell>
          <cell r="BJ53">
            <v>2017</v>
          </cell>
          <cell r="BK53">
            <v>2027</v>
          </cell>
          <cell r="BL53" t="str">
            <v>Yes</v>
          </cell>
          <cell r="BM53" t="str">
            <v>Yes</v>
          </cell>
          <cell r="BN53" t="str">
            <v>1 year fixed</v>
          </cell>
          <cell r="BO53" t="str">
            <v>No</v>
          </cell>
        </row>
        <row r="54">
          <cell r="A54">
            <v>19306</v>
          </cell>
          <cell r="B54" t="str">
            <v>M&amp;G SENIOR COMMERCIAL MORTGAGE LOANS</v>
          </cell>
          <cell r="C54" t="str">
            <v>M&amp;G PRUDENTIAL</v>
          </cell>
          <cell r="D54" t="str">
            <v>10 Fenchurch Avenue</v>
          </cell>
          <cell r="E54" t="str">
            <v>EC3M 5AG</v>
          </cell>
          <cell r="F54" t="str">
            <v>London</v>
          </cell>
          <cell r="G54" t="str">
            <v>United Kingdom</v>
          </cell>
          <cell r="J54" t="str">
            <v>https://www.mandg.co.uk/institutions/</v>
          </cell>
          <cell r="K54" t="str">
            <v>John Barakat</v>
          </cell>
          <cell r="L54" t="str">
            <v>john.barakat@mandg.co.uk</v>
          </cell>
          <cell r="M54" t="str">
            <v>+44 (0)20 3977 3301</v>
          </cell>
          <cell r="N54" t="str">
            <v>Isabelle Brennan</v>
          </cell>
          <cell r="O54" t="str">
            <v>isabelle.brennan@mandg.co.uk</v>
          </cell>
          <cell r="P54" t="str">
            <v>+44 (0)20 3977 2402</v>
          </cell>
          <cell r="Q54" t="str">
            <v>Ireland</v>
          </cell>
          <cell r="R54" t="str">
            <v>GBP</v>
          </cell>
          <cell r="S54" t="str">
            <v>IFRS</v>
          </cell>
          <cell r="V54" t="str">
            <v>RICS</v>
          </cell>
          <cell r="W54" t="str">
            <v>IFRS NAV</v>
          </cell>
          <cell r="X54" t="str">
            <v>Deloitte Ireland</v>
          </cell>
          <cell r="Y54" t="str">
            <v>Irish Section 110</v>
          </cell>
          <cell r="AA54" t="str">
            <v>Yes</v>
          </cell>
          <cell r="AB54">
            <v>1</v>
          </cell>
          <cell r="AC54" t="str">
            <v>Non-Listed Fund</v>
          </cell>
          <cell r="AD54" t="str">
            <v>Core</v>
          </cell>
          <cell r="AE54" t="str">
            <v>finite</v>
          </cell>
          <cell r="AF54" t="str">
            <v>Closed end</v>
          </cell>
          <cell r="AL54">
            <v>0</v>
          </cell>
          <cell r="AN54" t="str">
            <v>Institutional</v>
          </cell>
          <cell r="AO54" t="str">
            <v>&gt; 2</v>
          </cell>
          <cell r="AW54" t="str">
            <v>Both</v>
          </cell>
          <cell r="AX54" t="str">
            <v>Mark to market</v>
          </cell>
          <cell r="AY54" t="str">
            <v>Senior</v>
          </cell>
          <cell r="BA54" t="str">
            <v>≥ 50%</v>
          </cell>
          <cell r="BB54" t="str">
            <v>Europe</v>
          </cell>
          <cell r="BC54" t="str">
            <v>single country</v>
          </cell>
          <cell r="BE54" t="str">
            <v>United Kingdom</v>
          </cell>
          <cell r="BF54" t="str">
            <v>multi sector</v>
          </cell>
          <cell r="BH54">
            <v>728500000</v>
          </cell>
          <cell r="BI54">
            <v>896842379</v>
          </cell>
          <cell r="BJ54">
            <v>2013</v>
          </cell>
          <cell r="BK54">
            <v>2021</v>
          </cell>
          <cell r="BL54" t="str">
            <v>Yes</v>
          </cell>
          <cell r="BM54" t="str">
            <v>Yes</v>
          </cell>
          <cell r="BN54" t="str">
            <v>1+1 years</v>
          </cell>
          <cell r="BO54" t="str">
            <v>No</v>
          </cell>
        </row>
        <row r="55">
          <cell r="A55">
            <v>19307</v>
          </cell>
          <cell r="B55" t="str">
            <v>M&amp;G SENIOR COMMERCIAL MORTGAGE LOANS II</v>
          </cell>
          <cell r="C55" t="str">
            <v>M&amp;G PRUDENTIAL</v>
          </cell>
          <cell r="D55" t="str">
            <v>10 Fenchurch Avenue</v>
          </cell>
          <cell r="E55" t="str">
            <v>EC3M 5AG</v>
          </cell>
          <cell r="F55" t="str">
            <v>London</v>
          </cell>
          <cell r="G55" t="str">
            <v>United Kingdom</v>
          </cell>
          <cell r="J55" t="str">
            <v>https://www.mandg.co.uk/institutions/</v>
          </cell>
          <cell r="K55" t="str">
            <v>John Barakat</v>
          </cell>
          <cell r="L55" t="str">
            <v>john.barakat@mandg.co.uk</v>
          </cell>
          <cell r="M55" t="str">
            <v>+44 (0)20 3977 3301</v>
          </cell>
          <cell r="N55" t="str">
            <v>Isabelle Brennan</v>
          </cell>
          <cell r="O55" t="str">
            <v>isabelle.brennan@mandg.co.uk</v>
          </cell>
          <cell r="P55" t="str">
            <v>+44 (0)20 3977 2402</v>
          </cell>
          <cell r="Q55" t="str">
            <v>Ireland</v>
          </cell>
          <cell r="R55" t="str">
            <v>GBP</v>
          </cell>
          <cell r="S55" t="str">
            <v>IFRS</v>
          </cell>
          <cell r="V55" t="str">
            <v>RICS</v>
          </cell>
          <cell r="W55" t="str">
            <v>IFRS NAV</v>
          </cell>
          <cell r="X55" t="str">
            <v>Deloitte Ireland</v>
          </cell>
          <cell r="Y55" t="str">
            <v>Irish Section 110</v>
          </cell>
          <cell r="AA55" t="str">
            <v>Yes</v>
          </cell>
          <cell r="AB55">
            <v>1</v>
          </cell>
          <cell r="AC55" t="str">
            <v>Non-Listed Fund</v>
          </cell>
          <cell r="AD55" t="str">
            <v>Core</v>
          </cell>
          <cell r="AE55" t="str">
            <v>finite</v>
          </cell>
          <cell r="AF55" t="str">
            <v>Closed end</v>
          </cell>
          <cell r="AL55">
            <v>0</v>
          </cell>
          <cell r="AN55" t="str">
            <v>Institutional</v>
          </cell>
          <cell r="AO55" t="str">
            <v>&gt; 2</v>
          </cell>
          <cell r="AW55" t="str">
            <v>Both</v>
          </cell>
          <cell r="AX55" t="str">
            <v>Mark to market</v>
          </cell>
          <cell r="AY55" t="str">
            <v>Senior</v>
          </cell>
          <cell r="BA55" t="str">
            <v>≥ 50%</v>
          </cell>
          <cell r="BB55" t="str">
            <v>Europe</v>
          </cell>
          <cell r="BC55" t="str">
            <v>single country</v>
          </cell>
          <cell r="BE55" t="str">
            <v>United Kingdom</v>
          </cell>
          <cell r="BF55" t="str">
            <v>multi sector</v>
          </cell>
          <cell r="BH55">
            <v>99350000</v>
          </cell>
          <cell r="BI55">
            <v>99350000</v>
          </cell>
          <cell r="BJ55">
            <v>2016</v>
          </cell>
          <cell r="BK55">
            <v>2026</v>
          </cell>
          <cell r="BL55" t="str">
            <v>Yes</v>
          </cell>
          <cell r="BM55" t="str">
            <v>Yes</v>
          </cell>
          <cell r="BN55" t="str">
            <v>1+1 years</v>
          </cell>
          <cell r="BO55" t="str">
            <v>No</v>
          </cell>
        </row>
        <row r="56">
          <cell r="A56">
            <v>17393</v>
          </cell>
          <cell r="B56" t="str">
            <v>MATRIX COMMERCIAL MORTGAGE FUND</v>
          </cell>
          <cell r="C56" t="str">
            <v>MATRIX PROPERTY FUND MANAGEMENT</v>
          </cell>
          <cell r="R56" t="str">
            <v>GBP</v>
          </cell>
          <cell r="T56" t="str">
            <v>Quarterly</v>
          </cell>
          <cell r="U56" t="str">
            <v>Quarterly</v>
          </cell>
          <cell r="AY56" t="str">
            <v>Subordinated: Junior+Mezzanine</v>
          </cell>
          <cell r="BB56" t="str">
            <v>Europe</v>
          </cell>
          <cell r="BC56" t="str">
            <v>single country</v>
          </cell>
          <cell r="BE56" t="str">
            <v>United Kingdom</v>
          </cell>
          <cell r="BF56" t="str">
            <v>multi sector</v>
          </cell>
          <cell r="BH56">
            <v>200000000</v>
          </cell>
          <cell r="BI56">
            <v>200000000</v>
          </cell>
        </row>
        <row r="57">
          <cell r="A57">
            <v>17382</v>
          </cell>
          <cell r="B57" t="str">
            <v>OREL</v>
          </cell>
          <cell r="C57" t="str">
            <v>AERIANCE INVESTMENTS S.A.</v>
          </cell>
          <cell r="R57" t="str">
            <v>GBP</v>
          </cell>
          <cell r="T57" t="str">
            <v>Quarterly</v>
          </cell>
          <cell r="U57" t="str">
            <v>Quarterly</v>
          </cell>
          <cell r="AY57" t="str">
            <v>Subordinated: Junior+Mezzanine</v>
          </cell>
          <cell r="BB57" t="str">
            <v>Europe</v>
          </cell>
          <cell r="BC57" t="str">
            <v>single country</v>
          </cell>
          <cell r="BE57" t="str">
            <v>United Kingdom</v>
          </cell>
          <cell r="BF57" t="str">
            <v>single sector</v>
          </cell>
          <cell r="BG57" t="str">
            <v>Residential</v>
          </cell>
          <cell r="BH57">
            <v>100000000</v>
          </cell>
          <cell r="BI57">
            <v>100000000</v>
          </cell>
        </row>
        <row r="58">
          <cell r="A58">
            <v>18132</v>
          </cell>
          <cell r="B58" t="str">
            <v>OREL 2</v>
          </cell>
          <cell r="C58" t="str">
            <v>AERIENCE INVESTMENT S.A.R.L</v>
          </cell>
          <cell r="D58" t="str">
            <v xml:space="preserve">20 Boulevard Servais, </v>
          </cell>
          <cell r="E58" t="str">
            <v>L - 2535</v>
          </cell>
          <cell r="F58" t="str">
            <v>Luxembourg</v>
          </cell>
          <cell r="G58" t="str">
            <v>Luxembourg</v>
          </cell>
          <cell r="H58" t="str">
            <v>+3522694811</v>
          </cell>
          <cell r="I58" t="str">
            <v>+35226948150</v>
          </cell>
          <cell r="J58" t="str">
            <v>http://aeriance.com/</v>
          </cell>
          <cell r="Q58" t="str">
            <v>United Kingdom</v>
          </cell>
          <cell r="R58" t="str">
            <v>GBP</v>
          </cell>
          <cell r="T58" t="str">
            <v>Monthly</v>
          </cell>
          <cell r="U58" t="str">
            <v>Quarterly</v>
          </cell>
          <cell r="Y58" t="str">
            <v>FCP</v>
          </cell>
          <cell r="AG58">
            <v>8</v>
          </cell>
          <cell r="AH58">
            <v>10</v>
          </cell>
          <cell r="AI58" t="str">
            <v>Gross</v>
          </cell>
          <cell r="AS58">
            <v>70</v>
          </cell>
          <cell r="AV58">
            <v>7</v>
          </cell>
          <cell r="AY58" t="str">
            <v>Senior</v>
          </cell>
          <cell r="BB58" t="str">
            <v>Europe</v>
          </cell>
          <cell r="BC58" t="str">
            <v>single country</v>
          </cell>
          <cell r="BE58" t="str">
            <v>United Kingdom</v>
          </cell>
          <cell r="BF58" t="str">
            <v>single sector</v>
          </cell>
          <cell r="BG58" t="str">
            <v>Residential</v>
          </cell>
          <cell r="BH58">
            <v>200000000</v>
          </cell>
          <cell r="BI58">
            <v>400000000</v>
          </cell>
          <cell r="BJ58">
            <v>2016</v>
          </cell>
        </row>
        <row r="59">
          <cell r="A59">
            <v>17394</v>
          </cell>
          <cell r="B59" t="str">
            <v>PARTNERS GROUP REAL ESTATE INCOME 2014</v>
          </cell>
          <cell r="C59" t="str">
            <v>PARTNERS GROUP</v>
          </cell>
          <cell r="D59" t="str">
            <v>Zugerstrasse 57</v>
          </cell>
          <cell r="E59" t="str">
            <v>6341 Baar-Zug</v>
          </cell>
          <cell r="F59" t="str">
            <v>Zug</v>
          </cell>
          <cell r="G59" t="str">
            <v>Switzerland</v>
          </cell>
          <cell r="H59" t="str">
            <v>+41417846534</v>
          </cell>
          <cell r="I59" t="str">
            <v>+41417846534</v>
          </cell>
          <cell r="J59" t="str">
            <v>http://www.partnersgroup.com</v>
          </cell>
          <cell r="K59" t="str">
            <v>Daniel Sorrell</v>
          </cell>
          <cell r="L59" t="str">
            <v>daniel.sorrell@partnersgroup.com</v>
          </cell>
          <cell r="M59" t="str">
            <v>+6566713728</v>
          </cell>
          <cell r="N59" t="str">
            <v>Max Ilmoni</v>
          </cell>
          <cell r="O59" t="str">
            <v>Max.Ilmoni@partnersgroup.com</v>
          </cell>
          <cell r="Q59" t="str">
            <v>Guernsey</v>
          </cell>
          <cell r="R59" t="str">
            <v>EUR</v>
          </cell>
          <cell r="S59" t="str">
            <v>IFRS</v>
          </cell>
          <cell r="T59" t="str">
            <v>Quarterly</v>
          </cell>
          <cell r="U59" t="str">
            <v>Quarterly</v>
          </cell>
          <cell r="W59" t="str">
            <v>IFRS NAV</v>
          </cell>
          <cell r="Y59" t="str">
            <v>Limited Partnership</v>
          </cell>
          <cell r="Z59" t="str">
            <v>No</v>
          </cell>
          <cell r="AC59" t="str">
            <v>Non-Listed Fund</v>
          </cell>
          <cell r="AD59" t="str">
            <v>Value-added</v>
          </cell>
          <cell r="AE59" t="str">
            <v>finite</v>
          </cell>
          <cell r="AF59" t="str">
            <v>Closed end</v>
          </cell>
          <cell r="AG59">
            <v>6</v>
          </cell>
          <cell r="AH59">
            <v>8</v>
          </cell>
          <cell r="AK59" t="str">
            <v>4-5%</v>
          </cell>
          <cell r="AN59" t="str">
            <v>Institutional</v>
          </cell>
          <cell r="AO59" t="str">
            <v>&gt; 2</v>
          </cell>
          <cell r="AR59">
            <v>65</v>
          </cell>
          <cell r="AS59">
            <v>65</v>
          </cell>
          <cell r="AT59">
            <v>15</v>
          </cell>
          <cell r="AU59">
            <v>10</v>
          </cell>
          <cell r="AV59" t="str">
            <v>2 years</v>
          </cell>
          <cell r="AW59" t="str">
            <v>Direct lending</v>
          </cell>
          <cell r="AY59" t="str">
            <v>Mixed: Senior+Subordinated</v>
          </cell>
          <cell r="AZ59" t="str">
            <v>7 years</v>
          </cell>
          <cell r="BA59" t="str">
            <v>≥ 50%</v>
          </cell>
          <cell r="BB59" t="str">
            <v>Europe</v>
          </cell>
          <cell r="BC59" t="str">
            <v>multi country</v>
          </cell>
          <cell r="BD59" t="str">
            <v>Western Europe</v>
          </cell>
          <cell r="BF59" t="str">
            <v>multi sector</v>
          </cell>
          <cell r="BH59">
            <v>150000000</v>
          </cell>
          <cell r="BI59">
            <v>200000000</v>
          </cell>
          <cell r="BJ59">
            <v>2013</v>
          </cell>
          <cell r="BK59">
            <v>2021</v>
          </cell>
          <cell r="BL59" t="str">
            <v>Yes</v>
          </cell>
          <cell r="BM59" t="str">
            <v>Yes</v>
          </cell>
          <cell r="BN59" t="str">
            <v>1+1 years</v>
          </cell>
          <cell r="BS59" t="str">
            <v>2013-12-31</v>
          </cell>
          <cell r="BU59">
            <v>0</v>
          </cell>
          <cell r="BW59">
            <v>0</v>
          </cell>
          <cell r="CC59">
            <v>70300000</v>
          </cell>
          <cell r="CD59">
            <v>70300000</v>
          </cell>
          <cell r="CF59">
            <v>0</v>
          </cell>
          <cell r="CG59" t="str">
            <v>Yes</v>
          </cell>
          <cell r="CH59" t="str">
            <v>United Kingdom</v>
          </cell>
          <cell r="CI59" t="str">
            <v>Industrial / Logistics</v>
          </cell>
          <cell r="CJ59">
            <v>70</v>
          </cell>
        </row>
        <row r="60">
          <cell r="A60">
            <v>18145</v>
          </cell>
          <cell r="B60" t="str">
            <v>PLUTO FINANCE FUND I</v>
          </cell>
          <cell r="C60" t="str">
            <v>PLUTO FINANCE</v>
          </cell>
          <cell r="D60" t="str">
            <v>9 Berkeley Street</v>
          </cell>
          <cell r="E60" t="str">
            <v>W1J 8DW</v>
          </cell>
          <cell r="F60" t="str">
            <v>London</v>
          </cell>
          <cell r="G60" t="str">
            <v>United Kingdom</v>
          </cell>
          <cell r="H60" t="str">
            <v>020 7442 2100</v>
          </cell>
          <cell r="J60" t="str">
            <v>http://www.pluto-finance.com</v>
          </cell>
          <cell r="N60" t="str">
            <v>Robert Swift</v>
          </cell>
          <cell r="O60" t="str">
            <v>rswift@plutocapital.com</v>
          </cell>
          <cell r="P60" t="str">
            <v>020 7 442 2119</v>
          </cell>
          <cell r="Q60" t="str">
            <v>United Kingdom</v>
          </cell>
          <cell r="R60" t="str">
            <v>GBP</v>
          </cell>
          <cell r="S60" t="str">
            <v>Local GAAP</v>
          </cell>
          <cell r="T60" t="str">
            <v>Quarterly</v>
          </cell>
          <cell r="U60" t="str">
            <v>Quarterly</v>
          </cell>
          <cell r="Y60" t="str">
            <v>Investment company</v>
          </cell>
          <cell r="AA60" t="str">
            <v>No</v>
          </cell>
          <cell r="AF60" t="str">
            <v>Closed end</v>
          </cell>
          <cell r="AG60">
            <v>12</v>
          </cell>
          <cell r="AH60">
            <v>16</v>
          </cell>
          <cell r="AI60" t="str">
            <v>Net</v>
          </cell>
          <cell r="AN60" t="str">
            <v>Institutional</v>
          </cell>
          <cell r="AO60" t="str">
            <v>&gt; 2</v>
          </cell>
          <cell r="AW60" t="str">
            <v>Direct lending</v>
          </cell>
          <cell r="AX60" t="str">
            <v>Book value(excl. amortisation)</v>
          </cell>
          <cell r="AY60" t="str">
            <v>Subordinated: Junior+Mezzanine</v>
          </cell>
          <cell r="BA60" t="str">
            <v>&lt; 50%</v>
          </cell>
          <cell r="BC60" t="str">
            <v>single country</v>
          </cell>
          <cell r="BE60" t="str">
            <v>United Kingdom</v>
          </cell>
          <cell r="BF60" t="str">
            <v>single sector</v>
          </cell>
          <cell r="BG60" t="str">
            <v>Development Residential</v>
          </cell>
          <cell r="BJ60">
            <v>2011</v>
          </cell>
          <cell r="BK60">
            <v>2017</v>
          </cell>
          <cell r="BL60" t="str">
            <v>Yes</v>
          </cell>
          <cell r="BM60" t="str">
            <v>No</v>
          </cell>
        </row>
        <row r="61">
          <cell r="A61">
            <v>18144</v>
          </cell>
          <cell r="B61" t="str">
            <v>PLUTO FINANCE FUND II</v>
          </cell>
          <cell r="C61" t="str">
            <v>PLUTO FINANCE</v>
          </cell>
          <cell r="D61" t="str">
            <v>9 Berkeley Street</v>
          </cell>
          <cell r="E61" t="str">
            <v>W1J 8DW</v>
          </cell>
          <cell r="F61" t="str">
            <v>London</v>
          </cell>
          <cell r="G61" t="str">
            <v>United Kingdom</v>
          </cell>
          <cell r="H61" t="str">
            <v>020 7442 2100</v>
          </cell>
          <cell r="J61" t="str">
            <v>http://www.pluto-finance.com</v>
          </cell>
          <cell r="N61" t="str">
            <v>Robert Swift</v>
          </cell>
          <cell r="O61" t="str">
            <v>rswift@plutocapital.com</v>
          </cell>
          <cell r="P61" t="str">
            <v>020 7442 2119</v>
          </cell>
          <cell r="Q61" t="str">
            <v>Jersey</v>
          </cell>
          <cell r="R61" t="str">
            <v>GBP</v>
          </cell>
          <cell r="S61" t="str">
            <v>Local GAAP</v>
          </cell>
          <cell r="T61" t="str">
            <v>Quarterly</v>
          </cell>
          <cell r="U61" t="str">
            <v>Quarterly</v>
          </cell>
          <cell r="Y61" t="str">
            <v>Investment company</v>
          </cell>
          <cell r="AA61" t="str">
            <v>No</v>
          </cell>
          <cell r="AF61" t="str">
            <v>Closed end</v>
          </cell>
          <cell r="AG61">
            <v>11</v>
          </cell>
          <cell r="AH61">
            <v>14</v>
          </cell>
          <cell r="AI61" t="str">
            <v>Net</v>
          </cell>
          <cell r="AN61" t="str">
            <v>Institutional</v>
          </cell>
          <cell r="AO61" t="str">
            <v>&gt; 2</v>
          </cell>
          <cell r="AW61" t="str">
            <v>Direct lending</v>
          </cell>
          <cell r="AX61" t="str">
            <v>Book value(excl. amortisation)</v>
          </cell>
          <cell r="AY61" t="str">
            <v>Senior</v>
          </cell>
          <cell r="BA61" t="str">
            <v>≥ 50%</v>
          </cell>
          <cell r="BC61" t="str">
            <v>single country</v>
          </cell>
          <cell r="BE61" t="str">
            <v>United Kingdom</v>
          </cell>
          <cell r="BF61" t="str">
            <v>single sector</v>
          </cell>
          <cell r="BG61" t="str">
            <v>Development Residential</v>
          </cell>
          <cell r="BH61">
            <v>193000000</v>
          </cell>
          <cell r="BI61">
            <v>324000000</v>
          </cell>
          <cell r="BJ61">
            <v>2013</v>
          </cell>
          <cell r="BK61">
            <v>2018</v>
          </cell>
          <cell r="BL61" t="str">
            <v>Yes</v>
          </cell>
          <cell r="BM61" t="str">
            <v>No</v>
          </cell>
        </row>
        <row r="62">
          <cell r="A62">
            <v>17395</v>
          </cell>
          <cell r="B62" t="str">
            <v>PLUTO FINANCE FUND III</v>
          </cell>
          <cell r="C62" t="str">
            <v>PLUTO FINANCE</v>
          </cell>
          <cell r="D62" t="str">
            <v>9 Berkeley Street</v>
          </cell>
          <cell r="E62" t="str">
            <v>W1J 8DW</v>
          </cell>
          <cell r="F62" t="str">
            <v>London</v>
          </cell>
          <cell r="G62" t="str">
            <v>United Kingdom</v>
          </cell>
          <cell r="H62" t="str">
            <v>+442074422110</v>
          </cell>
          <cell r="J62" t="str">
            <v>http://www.pluto-finance.com</v>
          </cell>
          <cell r="N62" t="str">
            <v>Robert Swift</v>
          </cell>
          <cell r="O62" t="str">
            <v>rswift@plutocapital.com</v>
          </cell>
          <cell r="P62" t="str">
            <v>+442074422119</v>
          </cell>
          <cell r="Q62" t="str">
            <v>Luxembourg</v>
          </cell>
          <cell r="R62" t="str">
            <v>GBP</v>
          </cell>
          <cell r="S62" t="str">
            <v>Local GAAP</v>
          </cell>
          <cell r="T62" t="str">
            <v>Quarterly</v>
          </cell>
          <cell r="U62" t="str">
            <v>Quarterly</v>
          </cell>
          <cell r="Y62" t="str">
            <v>Investment company</v>
          </cell>
          <cell r="AA62" t="str">
            <v>No</v>
          </cell>
          <cell r="AF62" t="str">
            <v>Closed end</v>
          </cell>
          <cell r="AG62">
            <v>10</v>
          </cell>
          <cell r="AH62">
            <v>13</v>
          </cell>
          <cell r="AI62" t="str">
            <v>Net</v>
          </cell>
          <cell r="AK62" t="str">
            <v>0%</v>
          </cell>
          <cell r="AL62">
            <v>50</v>
          </cell>
          <cell r="AN62" t="str">
            <v>Institutional</v>
          </cell>
          <cell r="AO62" t="str">
            <v>≤ 2</v>
          </cell>
          <cell r="AW62" t="str">
            <v>Direct lending</v>
          </cell>
          <cell r="AX62" t="str">
            <v>Book value(excl. amortisation)</v>
          </cell>
          <cell r="AY62" t="str">
            <v>Senior</v>
          </cell>
          <cell r="BA62" t="str">
            <v>≥ 50%</v>
          </cell>
          <cell r="BC62" t="str">
            <v>single country</v>
          </cell>
          <cell r="BE62" t="str">
            <v>United Kingdom</v>
          </cell>
          <cell r="BF62" t="str">
            <v>single sector</v>
          </cell>
          <cell r="BG62" t="str">
            <v>Development Residential</v>
          </cell>
          <cell r="BH62">
            <v>151000000</v>
          </cell>
          <cell r="BI62">
            <v>201000000</v>
          </cell>
          <cell r="BJ62">
            <v>2017</v>
          </cell>
          <cell r="BK62">
            <v>2018</v>
          </cell>
          <cell r="BL62" t="str">
            <v>Yes</v>
          </cell>
          <cell r="BM62" t="str">
            <v>No</v>
          </cell>
        </row>
        <row r="63">
          <cell r="A63">
            <v>19295</v>
          </cell>
          <cell r="B63" t="str">
            <v>PLUTO FINANCE FUND IV</v>
          </cell>
          <cell r="C63" t="str">
            <v>PLUTO FINANCE</v>
          </cell>
          <cell r="D63" t="str">
            <v>9 Berkeley Street</v>
          </cell>
          <cell r="E63" t="str">
            <v>W1J 8DW</v>
          </cell>
          <cell r="F63" t="str">
            <v>London</v>
          </cell>
          <cell r="G63" t="str">
            <v>United Kingdom</v>
          </cell>
          <cell r="H63" t="str">
            <v>+44 (0)207 442 2110</v>
          </cell>
          <cell r="J63" t="str">
            <v>http://www.pluto-finance.com</v>
          </cell>
          <cell r="N63" t="str">
            <v>Robert Swift</v>
          </cell>
          <cell r="O63" t="str">
            <v>rswift@plutocapital.com</v>
          </cell>
          <cell r="P63" t="str">
            <v>+44 (0)207 442 2119</v>
          </cell>
          <cell r="Q63" t="str">
            <v>Ireland</v>
          </cell>
          <cell r="R63" t="str">
            <v>GBP</v>
          </cell>
          <cell r="S63" t="str">
            <v>Local GAAP</v>
          </cell>
          <cell r="T63" t="str">
            <v>Quarterly</v>
          </cell>
          <cell r="U63" t="str">
            <v>Quarterly</v>
          </cell>
          <cell r="Y63" t="str">
            <v>Investment company</v>
          </cell>
          <cell r="AA63" t="str">
            <v>No</v>
          </cell>
          <cell r="AF63" t="str">
            <v>Closed end</v>
          </cell>
          <cell r="AG63">
            <v>5</v>
          </cell>
          <cell r="AH63">
            <v>7</v>
          </cell>
          <cell r="AN63" t="str">
            <v>Institutional</v>
          </cell>
          <cell r="AO63" t="str">
            <v>≤ 2</v>
          </cell>
          <cell r="AW63" t="str">
            <v>Direct lending</v>
          </cell>
          <cell r="AX63" t="str">
            <v>Book value(excl. amortisation)</v>
          </cell>
          <cell r="AY63" t="str">
            <v>Senior</v>
          </cell>
          <cell r="BA63" t="str">
            <v>≥ 50%</v>
          </cell>
          <cell r="BC63" t="str">
            <v>single country</v>
          </cell>
          <cell r="BE63" t="str">
            <v>United Kingdom</v>
          </cell>
          <cell r="BF63" t="str">
            <v>single sector</v>
          </cell>
          <cell r="BG63" t="str">
            <v>Development Residential</v>
          </cell>
          <cell r="BH63">
            <v>175000000</v>
          </cell>
          <cell r="BI63">
            <v>175000000</v>
          </cell>
          <cell r="BJ63">
            <v>2017</v>
          </cell>
        </row>
        <row r="64">
          <cell r="A64">
            <v>19296</v>
          </cell>
          <cell r="B64" t="str">
            <v>PLUTO FINANCE FUND V</v>
          </cell>
          <cell r="C64" t="str">
            <v>PLUTO FINANCE</v>
          </cell>
          <cell r="D64" t="str">
            <v>9 Berkeley Street</v>
          </cell>
          <cell r="E64" t="str">
            <v>W1J 8DW</v>
          </cell>
          <cell r="F64" t="str">
            <v>London</v>
          </cell>
          <cell r="G64" t="str">
            <v>United Kingdom</v>
          </cell>
          <cell r="H64" t="str">
            <v>+44 (0)207 442 2110</v>
          </cell>
          <cell r="J64" t="str">
            <v>http://www.pluto-finance.com</v>
          </cell>
          <cell r="N64" t="str">
            <v>Robert Swift</v>
          </cell>
          <cell r="O64" t="str">
            <v>rswift@plutocapital.com</v>
          </cell>
          <cell r="P64" t="str">
            <v>+44 (0)207 442 2119</v>
          </cell>
          <cell r="Q64" t="str">
            <v>Jersey</v>
          </cell>
          <cell r="R64" t="str">
            <v>GBP</v>
          </cell>
          <cell r="S64" t="str">
            <v>Local GAAP</v>
          </cell>
          <cell r="T64" t="str">
            <v>Quarterly</v>
          </cell>
          <cell r="U64" t="str">
            <v>Quarterly</v>
          </cell>
          <cell r="Y64" t="str">
            <v>Investment company</v>
          </cell>
          <cell r="AA64" t="str">
            <v>No</v>
          </cell>
          <cell r="AF64" t="str">
            <v>Open end</v>
          </cell>
          <cell r="AG64">
            <v>10</v>
          </cell>
          <cell r="AH64">
            <v>11</v>
          </cell>
          <cell r="AN64" t="str">
            <v>Institutional</v>
          </cell>
          <cell r="AO64" t="str">
            <v>&gt; 2</v>
          </cell>
          <cell r="AW64" t="str">
            <v>Direct lending</v>
          </cell>
          <cell r="AX64" t="str">
            <v>Book value(excl. amortisation)</v>
          </cell>
          <cell r="AY64" t="str">
            <v>Senior</v>
          </cell>
          <cell r="BA64" t="str">
            <v>≥ 50%</v>
          </cell>
          <cell r="BC64" t="str">
            <v>single country</v>
          </cell>
          <cell r="BE64" t="str">
            <v>United Kingdom</v>
          </cell>
          <cell r="BF64" t="str">
            <v>single sector</v>
          </cell>
          <cell r="BG64" t="str">
            <v>Mixed</v>
          </cell>
          <cell r="BH64">
            <v>141000000</v>
          </cell>
          <cell r="BI64">
            <v>141000000</v>
          </cell>
          <cell r="BJ64">
            <v>2017</v>
          </cell>
        </row>
        <row r="65">
          <cell r="A65">
            <v>19297</v>
          </cell>
          <cell r="B65" t="str">
            <v>PLUTO FINANCE FUND VI</v>
          </cell>
          <cell r="C65" t="str">
            <v>PLUTO FINANCE</v>
          </cell>
          <cell r="D65" t="str">
            <v>9 Berkeley Street</v>
          </cell>
          <cell r="E65" t="str">
            <v>W1J 8DW</v>
          </cell>
          <cell r="F65" t="str">
            <v>London</v>
          </cell>
          <cell r="G65" t="str">
            <v>United Kingdom</v>
          </cell>
          <cell r="H65" t="str">
            <v>+44 (0)207 442 2110</v>
          </cell>
          <cell r="J65" t="str">
            <v>http://www.pluto-finance.com</v>
          </cell>
          <cell r="N65" t="str">
            <v>Robert Swift</v>
          </cell>
          <cell r="O65" t="str">
            <v>rswift@plutocapital.com</v>
          </cell>
          <cell r="P65" t="str">
            <v>+44 (0)207 442 2119</v>
          </cell>
          <cell r="Q65" t="str">
            <v>Jersey</v>
          </cell>
          <cell r="R65" t="str">
            <v>GBP</v>
          </cell>
          <cell r="S65" t="str">
            <v>Local GAAP</v>
          </cell>
          <cell r="T65" t="str">
            <v>Quarterly</v>
          </cell>
          <cell r="U65" t="str">
            <v>Quarterly</v>
          </cell>
          <cell r="Y65" t="str">
            <v>Investment company</v>
          </cell>
          <cell r="AA65" t="str">
            <v>No</v>
          </cell>
          <cell r="AF65" t="str">
            <v>Closed end</v>
          </cell>
          <cell r="AG65">
            <v>10</v>
          </cell>
          <cell r="AH65">
            <v>12</v>
          </cell>
          <cell r="AN65" t="str">
            <v>Institutional</v>
          </cell>
          <cell r="AO65" t="str">
            <v>&gt; 2</v>
          </cell>
          <cell r="AW65" t="str">
            <v>Direct lending</v>
          </cell>
          <cell r="AX65" t="str">
            <v>Book value(excl. amortisation)</v>
          </cell>
          <cell r="AY65" t="str">
            <v>Senior</v>
          </cell>
          <cell r="BA65" t="str">
            <v>&lt; 50%</v>
          </cell>
          <cell r="BC65" t="str">
            <v>single country</v>
          </cell>
          <cell r="BE65" t="str">
            <v>United Kingdom</v>
          </cell>
          <cell r="BF65" t="str">
            <v>single sector</v>
          </cell>
          <cell r="BG65" t="str">
            <v>Development Residential</v>
          </cell>
          <cell r="BH65">
            <v>227000000</v>
          </cell>
          <cell r="BI65">
            <v>450000000</v>
          </cell>
          <cell r="BJ65">
            <v>2019</v>
          </cell>
        </row>
        <row r="66">
          <cell r="A66">
            <v>19298</v>
          </cell>
          <cell r="B66" t="str">
            <v>PLUTO FINANCE FUND VII</v>
          </cell>
          <cell r="C66" t="str">
            <v>PLUTO FINANCE</v>
          </cell>
          <cell r="D66" t="str">
            <v>9 Berkeley Street</v>
          </cell>
          <cell r="E66" t="str">
            <v>W1J 8DW</v>
          </cell>
          <cell r="F66" t="str">
            <v>London</v>
          </cell>
          <cell r="G66" t="str">
            <v>United Kingdom</v>
          </cell>
          <cell r="H66" t="str">
            <v>+44 (0)207 442 2110</v>
          </cell>
          <cell r="J66" t="str">
            <v>http://www.pluto-finance.com</v>
          </cell>
          <cell r="N66" t="str">
            <v>Robert Swift</v>
          </cell>
          <cell r="O66" t="str">
            <v>rswift@plutocapital.com</v>
          </cell>
          <cell r="P66" t="str">
            <v>+44 (0)207 442 2119</v>
          </cell>
          <cell r="Q66" t="str">
            <v>Jersey</v>
          </cell>
          <cell r="R66" t="str">
            <v>GBP</v>
          </cell>
          <cell r="S66" t="str">
            <v>Local GAAP</v>
          </cell>
          <cell r="T66" t="str">
            <v>Quarterly</v>
          </cell>
          <cell r="U66" t="str">
            <v>Quarterly</v>
          </cell>
          <cell r="Y66" t="str">
            <v>Investment company</v>
          </cell>
          <cell r="AA66" t="str">
            <v>No</v>
          </cell>
          <cell r="AF66" t="str">
            <v>Open end</v>
          </cell>
          <cell r="AG66">
            <v>6</v>
          </cell>
          <cell r="AH66">
            <v>7</v>
          </cell>
          <cell r="AN66" t="str">
            <v>Institutional</v>
          </cell>
          <cell r="AO66" t="str">
            <v>&gt; 2</v>
          </cell>
          <cell r="AW66" t="str">
            <v>Direct lending</v>
          </cell>
          <cell r="AX66" t="str">
            <v>Book value(excl. amortisation)</v>
          </cell>
          <cell r="AY66" t="str">
            <v>Senior</v>
          </cell>
          <cell r="BA66" t="str">
            <v>≥ 50%</v>
          </cell>
          <cell r="BC66" t="str">
            <v>single country</v>
          </cell>
          <cell r="BE66" t="str">
            <v>United Kingdom</v>
          </cell>
          <cell r="BF66" t="str">
            <v>single sector</v>
          </cell>
          <cell r="BG66" t="str">
            <v>Mixed</v>
          </cell>
          <cell r="BH66">
            <v>250000000</v>
          </cell>
          <cell r="BI66">
            <v>250000000</v>
          </cell>
          <cell r="BJ66">
            <v>2019</v>
          </cell>
        </row>
        <row r="67">
          <cell r="A67">
            <v>17368</v>
          </cell>
          <cell r="B67" t="str">
            <v>PRAMERICA REAL ESTATE CAPITAL I L.P.</v>
          </cell>
          <cell r="C67" t="str">
            <v xml:space="preserve">PGIM REAL ESTATE (UK) LIMITED </v>
          </cell>
          <cell r="D67" t="str">
            <v>Grand Buildings, 1-3 Strand, London</v>
          </cell>
          <cell r="E67" t="str">
            <v>WC2N 5HR</v>
          </cell>
          <cell r="F67" t="str">
            <v>London</v>
          </cell>
          <cell r="G67" t="str">
            <v>United Kingdom</v>
          </cell>
          <cell r="H67" t="str">
            <v>+442077662400</v>
          </cell>
          <cell r="I67" t="str">
            <v>+442077662445</v>
          </cell>
          <cell r="J67" t="str">
            <v>http://www.pgim.com</v>
          </cell>
          <cell r="K67" t="str">
            <v xml:space="preserve">Mathew Crowther </v>
          </cell>
          <cell r="L67" t="str">
            <v>mathew.crowther@pgim.com</v>
          </cell>
          <cell r="M67" t="str">
            <v>+442077662446</v>
          </cell>
          <cell r="N67" t="str">
            <v>Andrew Grigson</v>
          </cell>
          <cell r="O67" t="str">
            <v>andrew.grigson@pgim.com</v>
          </cell>
          <cell r="P67" t="str">
            <v>+442077662403</v>
          </cell>
          <cell r="Q67" t="str">
            <v>United Kingdom</v>
          </cell>
          <cell r="R67" t="str">
            <v>GBP</v>
          </cell>
          <cell r="S67" t="str">
            <v>IFRS</v>
          </cell>
          <cell r="T67" t="str">
            <v>Quarterly</v>
          </cell>
          <cell r="U67" t="str">
            <v>Quarterly</v>
          </cell>
          <cell r="W67" t="str">
            <v>IFRS NAV</v>
          </cell>
          <cell r="X67" t="str">
            <v xml:space="preserve">PwC </v>
          </cell>
          <cell r="Y67" t="str">
            <v>Limited Partnership</v>
          </cell>
          <cell r="Z67" t="str">
            <v>No</v>
          </cell>
          <cell r="AC67" t="str">
            <v>Non-Listed Fund</v>
          </cell>
          <cell r="AD67" t="str">
            <v>Value-added</v>
          </cell>
          <cell r="AE67" t="str">
            <v>finite</v>
          </cell>
          <cell r="AF67" t="str">
            <v>Closed end</v>
          </cell>
          <cell r="AG67">
            <v>12</v>
          </cell>
          <cell r="AH67">
            <v>14</v>
          </cell>
          <cell r="AI67" t="str">
            <v>Gross</v>
          </cell>
          <cell r="AK67" t="str">
            <v>8%</v>
          </cell>
          <cell r="AL67">
            <v>0</v>
          </cell>
          <cell r="AN67" t="str">
            <v>Institutional</v>
          </cell>
          <cell r="AO67" t="str">
            <v>&gt; 2</v>
          </cell>
          <cell r="AP67">
            <v>388326420</v>
          </cell>
          <cell r="AQ67">
            <v>15</v>
          </cell>
          <cell r="AR67" t="str">
            <v>N/A</v>
          </cell>
          <cell r="AS67">
            <v>83</v>
          </cell>
          <cell r="AT67">
            <v>15</v>
          </cell>
          <cell r="AU67">
            <v>0</v>
          </cell>
          <cell r="AV67" t="str">
            <v>2 years</v>
          </cell>
          <cell r="AW67" t="str">
            <v>Direct lending</v>
          </cell>
          <cell r="AX67" t="str">
            <v>Mark to market</v>
          </cell>
          <cell r="AY67" t="str">
            <v>Subordinated: Junior+Mezzanine</v>
          </cell>
          <cell r="AZ67" t="str">
            <v>8 years</v>
          </cell>
          <cell r="BA67" t="str">
            <v>≥ 50%</v>
          </cell>
          <cell r="BB67" t="str">
            <v>Europe</v>
          </cell>
          <cell r="BC67" t="str">
            <v>multi country</v>
          </cell>
          <cell r="BD67" t="str">
            <v>Western Europe</v>
          </cell>
          <cell r="BF67" t="str">
            <v>multi sector</v>
          </cell>
          <cell r="BH67">
            <v>492000000</v>
          </cell>
          <cell r="BI67">
            <v>492000000</v>
          </cell>
          <cell r="BJ67">
            <v>2010</v>
          </cell>
          <cell r="BK67">
            <v>2019</v>
          </cell>
          <cell r="BL67" t="str">
            <v>Yes</v>
          </cell>
          <cell r="BM67" t="str">
            <v>Yes</v>
          </cell>
          <cell r="BO67" t="str">
            <v>No</v>
          </cell>
          <cell r="BS67" t="str">
            <v>2013-12-31</v>
          </cell>
          <cell r="BT67">
            <v>367443668</v>
          </cell>
          <cell r="BU67">
            <v>440160769.89719999</v>
          </cell>
          <cell r="BV67">
            <v>361338781</v>
          </cell>
          <cell r="BW67">
            <v>432847725.75989997</v>
          </cell>
          <cell r="BX67">
            <v>0</v>
          </cell>
          <cell r="BY67" t="str">
            <v>Yes</v>
          </cell>
          <cell r="CA67">
            <v>8</v>
          </cell>
          <cell r="CC67">
            <v>491963184</v>
          </cell>
          <cell r="CD67">
            <v>588732342.29279995</v>
          </cell>
          <cell r="CF67">
            <v>0</v>
          </cell>
          <cell r="CG67" t="str">
            <v>No</v>
          </cell>
          <cell r="CH67" t="str">
            <v>Germany</v>
          </cell>
          <cell r="CI67" t="str">
            <v>Office</v>
          </cell>
          <cell r="CJ67">
            <v>13.5</v>
          </cell>
          <cell r="CK67" t="str">
            <v>United Kingdom</v>
          </cell>
          <cell r="CL67" t="str">
            <v>Office</v>
          </cell>
          <cell r="CM67">
            <v>21</v>
          </cell>
          <cell r="CN67" t="str">
            <v>Germany</v>
          </cell>
          <cell r="CO67" t="str">
            <v>Retail</v>
          </cell>
          <cell r="CP67">
            <v>20.9</v>
          </cell>
          <cell r="CQ67" t="str">
            <v>United Kingdom</v>
          </cell>
          <cell r="CR67" t="str">
            <v>Retail</v>
          </cell>
          <cell r="CS67">
            <v>6.1</v>
          </cell>
          <cell r="CT67" t="str">
            <v>United Kingdom</v>
          </cell>
          <cell r="CU67" t="str">
            <v>Industrial / Logistics</v>
          </cell>
          <cell r="CV67">
            <v>8.1</v>
          </cell>
          <cell r="CW67" t="str">
            <v>United Kingdom</v>
          </cell>
          <cell r="CX67" t="str">
            <v>Other</v>
          </cell>
          <cell r="CY67">
            <v>0.7</v>
          </cell>
          <cell r="CZ67" t="str">
            <v>Germany</v>
          </cell>
          <cell r="DA67" t="str">
            <v>Other</v>
          </cell>
          <cell r="DB67">
            <v>29.7</v>
          </cell>
        </row>
        <row r="68">
          <cell r="A68">
            <v>17367</v>
          </cell>
          <cell r="B68" t="str">
            <v>PRAMERICA REAL ESTATE CAPITAL II L.P.</v>
          </cell>
          <cell r="C68" t="str">
            <v>PGIM REAL ESTATE (UK) LIMITED</v>
          </cell>
          <cell r="D68" t="str">
            <v>Grand Buildings, 1-3 Strand, London</v>
          </cell>
          <cell r="E68" t="str">
            <v>WC2N 5HR</v>
          </cell>
          <cell r="F68" t="str">
            <v>London</v>
          </cell>
          <cell r="G68" t="str">
            <v>United Kingdom</v>
          </cell>
          <cell r="H68" t="str">
            <v>+442077662440</v>
          </cell>
          <cell r="I68" t="str">
            <v>+442077662445</v>
          </cell>
          <cell r="J68" t="str">
            <v>http://www.pgim.com</v>
          </cell>
          <cell r="K68" t="str">
            <v>Mathew Crowther</v>
          </cell>
          <cell r="L68" t="str">
            <v>mathew.crowther@pgim.com</v>
          </cell>
          <cell r="M68" t="str">
            <v>+442077662446</v>
          </cell>
          <cell r="N68" t="str">
            <v>Andrew Grigson</v>
          </cell>
          <cell r="O68" t="str">
            <v>andrew.grigson@pgim.com</v>
          </cell>
          <cell r="P68" t="str">
            <v>+442077662403</v>
          </cell>
          <cell r="Q68" t="str">
            <v>United Kingdom</v>
          </cell>
          <cell r="R68" t="str">
            <v>EUR</v>
          </cell>
          <cell r="S68" t="str">
            <v>IFRS</v>
          </cell>
          <cell r="T68" t="str">
            <v>Quarterly</v>
          </cell>
          <cell r="U68" t="str">
            <v>Quarterly</v>
          </cell>
          <cell r="W68" t="str">
            <v>IFRS NAV</v>
          </cell>
          <cell r="Y68" t="str">
            <v>Limited Partnership</v>
          </cell>
          <cell r="Z68" t="str">
            <v>No</v>
          </cell>
          <cell r="AA68" t="str">
            <v>Yes</v>
          </cell>
          <cell r="AC68" t="str">
            <v>Non-Listed Fund</v>
          </cell>
          <cell r="AD68" t="str">
            <v>Core</v>
          </cell>
          <cell r="AE68" t="str">
            <v>finite</v>
          </cell>
          <cell r="AF68" t="str">
            <v>Closed end</v>
          </cell>
          <cell r="AG68">
            <v>13</v>
          </cell>
          <cell r="AH68">
            <v>14</v>
          </cell>
          <cell r="AI68" t="str">
            <v>Gross</v>
          </cell>
          <cell r="AJ68" t="str">
            <v>N/A</v>
          </cell>
          <cell r="AK68" t="str">
            <v>13%</v>
          </cell>
          <cell r="AL68">
            <v>0</v>
          </cell>
          <cell r="AN68" t="str">
            <v>Institutional</v>
          </cell>
          <cell r="AO68" t="str">
            <v>≤ 2</v>
          </cell>
          <cell r="AP68">
            <v>40000000</v>
          </cell>
          <cell r="AQ68">
            <v>1</v>
          </cell>
          <cell r="AR68" t="str">
            <v>N/A</v>
          </cell>
          <cell r="AS68">
            <v>53</v>
          </cell>
          <cell r="AT68">
            <v>1</v>
          </cell>
          <cell r="AU68">
            <v>0</v>
          </cell>
          <cell r="AV68" t="str">
            <v>2 years</v>
          </cell>
          <cell r="AW68" t="str">
            <v>Direct lending</v>
          </cell>
          <cell r="AX68" t="str">
            <v>Mark to market</v>
          </cell>
          <cell r="AY68" t="str">
            <v>Subordinated: Junior+Mezzanine</v>
          </cell>
          <cell r="AZ68" t="str">
            <v>5 years</v>
          </cell>
          <cell r="BA68" t="str">
            <v>≥ 50%</v>
          </cell>
          <cell r="BB68" t="str">
            <v>Europe</v>
          </cell>
          <cell r="BC68" t="str">
            <v>single country</v>
          </cell>
          <cell r="BE68" t="str">
            <v>Spain</v>
          </cell>
          <cell r="BF68" t="str">
            <v>single sector</v>
          </cell>
          <cell r="BG68" t="str">
            <v>Retail</v>
          </cell>
          <cell r="BH68">
            <v>130000000</v>
          </cell>
          <cell r="BI68">
            <v>40000000</v>
          </cell>
          <cell r="BJ68">
            <v>2012</v>
          </cell>
          <cell r="BK68">
            <v>2021</v>
          </cell>
          <cell r="BL68" t="str">
            <v>No</v>
          </cell>
          <cell r="BM68" t="str">
            <v>Yes</v>
          </cell>
          <cell r="BO68" t="str">
            <v>No</v>
          </cell>
          <cell r="BS68" t="str">
            <v>2013-12-31</v>
          </cell>
          <cell r="BT68">
            <v>41662639</v>
          </cell>
          <cell r="BU68">
            <v>41662639</v>
          </cell>
          <cell r="BV68">
            <v>41599199</v>
          </cell>
          <cell r="BW68">
            <v>41599199</v>
          </cell>
          <cell r="BX68">
            <v>0</v>
          </cell>
          <cell r="BY68" t="str">
            <v>Yes</v>
          </cell>
          <cell r="CA68">
            <v>1</v>
          </cell>
          <cell r="CC68">
            <v>40000000</v>
          </cell>
          <cell r="CD68">
            <v>40000000</v>
          </cell>
          <cell r="CF68">
            <v>0</v>
          </cell>
          <cell r="CG68" t="str">
            <v>No</v>
          </cell>
          <cell r="CH68" t="str">
            <v>Spain</v>
          </cell>
          <cell r="CI68" t="str">
            <v>Retail</v>
          </cell>
          <cell r="CJ68">
            <v>100</v>
          </cell>
        </row>
        <row r="69">
          <cell r="A69">
            <v>17369</v>
          </cell>
          <cell r="B69" t="str">
            <v>PRAMERICA REAL ESTATE CAPITAL III L.P.</v>
          </cell>
          <cell r="C69" t="str">
            <v>PGIM REAL ESTATE (UK) LIMITED</v>
          </cell>
          <cell r="D69" t="str">
            <v>Grand Buildings, 1-3 Strand, London</v>
          </cell>
          <cell r="E69" t="str">
            <v>WC2N 5HR</v>
          </cell>
          <cell r="F69" t="str">
            <v>London</v>
          </cell>
          <cell r="G69" t="str">
            <v>United Kingdom</v>
          </cell>
          <cell r="H69" t="str">
            <v>+442077662440</v>
          </cell>
          <cell r="I69" t="str">
            <v>+442077662445</v>
          </cell>
          <cell r="J69" t="str">
            <v>http://www.pgim.com</v>
          </cell>
          <cell r="K69" t="str">
            <v>Mathew Crowther</v>
          </cell>
          <cell r="L69" t="str">
            <v>mathew.crowther@pgim.com</v>
          </cell>
          <cell r="M69" t="str">
            <v>+442077662446</v>
          </cell>
          <cell r="N69" t="str">
            <v>Andrew Grigson</v>
          </cell>
          <cell r="O69" t="str">
            <v>andrew.grigson@pgim.com</v>
          </cell>
          <cell r="P69" t="str">
            <v>+442077662403</v>
          </cell>
          <cell r="Q69" t="str">
            <v>United Kingdom</v>
          </cell>
          <cell r="R69" t="str">
            <v>GBP</v>
          </cell>
          <cell r="S69" t="str">
            <v>IFRS</v>
          </cell>
          <cell r="T69" t="str">
            <v>Quarterly</v>
          </cell>
          <cell r="U69" t="str">
            <v>Quarterly</v>
          </cell>
          <cell r="W69" t="str">
            <v>IFRS NAV</v>
          </cell>
          <cell r="Y69" t="str">
            <v>Limited Partnership</v>
          </cell>
          <cell r="Z69" t="str">
            <v>No</v>
          </cell>
          <cell r="AA69" t="str">
            <v>Yes</v>
          </cell>
          <cell r="AC69" t="str">
            <v>Non-Listed Fund</v>
          </cell>
          <cell r="AD69" t="str">
            <v>Core</v>
          </cell>
          <cell r="AE69" t="str">
            <v>finite</v>
          </cell>
          <cell r="AF69" t="str">
            <v>Closed end</v>
          </cell>
          <cell r="AG69">
            <v>8</v>
          </cell>
          <cell r="AH69">
            <v>10</v>
          </cell>
          <cell r="AI69" t="str">
            <v>Gross</v>
          </cell>
          <cell r="AJ69" t="str">
            <v>N/A</v>
          </cell>
          <cell r="AK69" t="str">
            <v>8%</v>
          </cell>
          <cell r="AL69">
            <v>0</v>
          </cell>
          <cell r="AN69" t="str">
            <v>Institutional</v>
          </cell>
          <cell r="AO69" t="str">
            <v>≤ 2</v>
          </cell>
          <cell r="AP69">
            <v>77975000</v>
          </cell>
          <cell r="AQ69">
            <v>3</v>
          </cell>
          <cell r="AR69" t="str">
            <v>75%</v>
          </cell>
          <cell r="AS69">
            <v>75</v>
          </cell>
          <cell r="AT69">
            <v>11</v>
          </cell>
          <cell r="AU69">
            <v>0</v>
          </cell>
          <cell r="AV69" t="str">
            <v>2 years</v>
          </cell>
          <cell r="AW69" t="str">
            <v>Direct lending</v>
          </cell>
          <cell r="AX69" t="str">
            <v>Mark to market</v>
          </cell>
          <cell r="AY69" t="str">
            <v>Subordinated: Junior+Mezzanine</v>
          </cell>
          <cell r="AZ69" t="str">
            <v>7 years</v>
          </cell>
          <cell r="BA69" t="str">
            <v>≥ 50%</v>
          </cell>
          <cell r="BB69" t="str">
            <v>Europe</v>
          </cell>
          <cell r="BC69" t="str">
            <v>multi country</v>
          </cell>
          <cell r="BD69" t="str">
            <v>Western Europe</v>
          </cell>
          <cell r="BF69" t="str">
            <v>multi sector</v>
          </cell>
          <cell r="BH69">
            <v>225000000</v>
          </cell>
          <cell r="BI69">
            <v>225000000</v>
          </cell>
          <cell r="BJ69">
            <v>2012</v>
          </cell>
          <cell r="BK69">
            <v>2020</v>
          </cell>
          <cell r="BL69" t="str">
            <v>Yes</v>
          </cell>
          <cell r="BM69" t="str">
            <v>Yes</v>
          </cell>
          <cell r="BN69" t="str">
            <v>1+1 years</v>
          </cell>
          <cell r="BO69" t="str">
            <v>No</v>
          </cell>
          <cell r="BS69" t="str">
            <v>2013-12-31</v>
          </cell>
          <cell r="BT69">
            <v>78239957</v>
          </cell>
          <cell r="BU69">
            <v>93723644.4903</v>
          </cell>
          <cell r="BV69">
            <v>78210455</v>
          </cell>
          <cell r="BW69">
            <v>93688304.044499993</v>
          </cell>
          <cell r="BX69">
            <v>0</v>
          </cell>
          <cell r="BY69" t="str">
            <v>Yes</v>
          </cell>
          <cell r="CA69">
            <v>2</v>
          </cell>
          <cell r="CC69">
            <v>225000000</v>
          </cell>
          <cell r="CD69">
            <v>269257500</v>
          </cell>
          <cell r="CF69">
            <v>0</v>
          </cell>
          <cell r="CG69" t="str">
            <v>No</v>
          </cell>
          <cell r="CH69" t="str">
            <v>United Kingdom</v>
          </cell>
          <cell r="CI69" t="str">
            <v>Retail</v>
          </cell>
          <cell r="CJ69">
            <v>85.3</v>
          </cell>
          <cell r="CK69" t="str">
            <v>United Kingdom</v>
          </cell>
          <cell r="CL69" t="str">
            <v>Industrial / Logistics</v>
          </cell>
          <cell r="CM69">
            <v>14.7</v>
          </cell>
        </row>
        <row r="70">
          <cell r="A70">
            <v>17370</v>
          </cell>
          <cell r="B70" t="str">
            <v>PRAMERICA REAL ESTATE CAPITAL IV L.P.</v>
          </cell>
          <cell r="C70" t="str">
            <v>PGIM REAL ESTATE (UK) LIMITED</v>
          </cell>
          <cell r="D70" t="str">
            <v>Grand Buildings, 1-3 Strand, London</v>
          </cell>
          <cell r="E70" t="str">
            <v>WC2N 5HR</v>
          </cell>
          <cell r="F70" t="str">
            <v>London</v>
          </cell>
          <cell r="G70" t="str">
            <v>United Kingdom</v>
          </cell>
          <cell r="H70" t="str">
            <v>+442077662440</v>
          </cell>
          <cell r="I70" t="str">
            <v>+442077662445</v>
          </cell>
          <cell r="J70" t="str">
            <v>http://www.pgim.com</v>
          </cell>
          <cell r="K70" t="str">
            <v>Mathew Crowther</v>
          </cell>
          <cell r="L70" t="str">
            <v>mathew.crowther@pgim.com</v>
          </cell>
          <cell r="M70" t="str">
            <v>+442077662446</v>
          </cell>
          <cell r="N70" t="str">
            <v>Andrew Grigson</v>
          </cell>
          <cell r="O70" t="str">
            <v>andrew.grigson@pgim.com</v>
          </cell>
          <cell r="P70" t="str">
            <v>+442077662403</v>
          </cell>
          <cell r="Q70" t="str">
            <v>United Kingdom</v>
          </cell>
          <cell r="R70" t="str">
            <v>GBP</v>
          </cell>
          <cell r="S70" t="str">
            <v>IFRS</v>
          </cell>
          <cell r="T70" t="str">
            <v>Quarterly</v>
          </cell>
          <cell r="U70" t="str">
            <v>Quarterly</v>
          </cell>
          <cell r="W70" t="str">
            <v>IFRS NAV</v>
          </cell>
          <cell r="X70" t="str">
            <v>PWC</v>
          </cell>
          <cell r="Y70" t="str">
            <v>Limited Partnership</v>
          </cell>
          <cell r="Z70" t="str">
            <v>Yes</v>
          </cell>
          <cell r="AA70" t="str">
            <v>Yes</v>
          </cell>
          <cell r="AC70" t="str">
            <v>Non-Listed Fund</v>
          </cell>
          <cell r="AD70" t="str">
            <v>Value-added</v>
          </cell>
          <cell r="AE70" t="str">
            <v>finite</v>
          </cell>
          <cell r="AF70" t="str">
            <v>Closed end</v>
          </cell>
          <cell r="AG70">
            <v>12</v>
          </cell>
          <cell r="AH70">
            <v>15</v>
          </cell>
          <cell r="AI70" t="str">
            <v>Gross</v>
          </cell>
          <cell r="AJ70">
            <v>0</v>
          </cell>
          <cell r="AK70" t="str">
            <v>9%</v>
          </cell>
          <cell r="AL70">
            <v>0</v>
          </cell>
          <cell r="AN70" t="str">
            <v>Institutional</v>
          </cell>
          <cell r="AO70" t="str">
            <v>&gt; 2</v>
          </cell>
          <cell r="AP70">
            <v>441700000</v>
          </cell>
          <cell r="AQ70">
            <v>75</v>
          </cell>
          <cell r="AR70" t="str">
            <v>70%</v>
          </cell>
          <cell r="AS70">
            <v>85</v>
          </cell>
          <cell r="AT70">
            <v>20</v>
          </cell>
          <cell r="AU70">
            <v>0</v>
          </cell>
          <cell r="AV70" t="str">
            <v>2 years</v>
          </cell>
          <cell r="AW70" t="str">
            <v>Direct lending</v>
          </cell>
          <cell r="AX70" t="str">
            <v>Mark to market</v>
          </cell>
          <cell r="AY70" t="str">
            <v>Subordinated: Junior+Mezzanine</v>
          </cell>
          <cell r="AZ70" t="str">
            <v>7 years</v>
          </cell>
          <cell r="BA70" t="str">
            <v>≥ 50%</v>
          </cell>
          <cell r="BB70" t="str">
            <v>Europe</v>
          </cell>
          <cell r="BC70" t="str">
            <v>multi country</v>
          </cell>
          <cell r="BD70" t="str">
            <v>Western Europe</v>
          </cell>
          <cell r="BF70" t="str">
            <v>multi sector</v>
          </cell>
          <cell r="BH70">
            <v>698600000</v>
          </cell>
          <cell r="BI70">
            <v>698600000</v>
          </cell>
          <cell r="BJ70">
            <v>2013</v>
          </cell>
          <cell r="BK70">
            <v>2020</v>
          </cell>
          <cell r="BL70" t="str">
            <v>Yes</v>
          </cell>
          <cell r="BM70" t="str">
            <v>Yes</v>
          </cell>
          <cell r="BN70" t="str">
            <v>1+1 years</v>
          </cell>
          <cell r="BO70" t="str">
            <v>No</v>
          </cell>
          <cell r="BS70" t="str">
            <v>2015-09-30</v>
          </cell>
          <cell r="BT70">
            <v>532633268</v>
          </cell>
          <cell r="BU70">
            <v>718484994.20324004</v>
          </cell>
          <cell r="BV70">
            <v>506677154</v>
          </cell>
          <cell r="BW70">
            <v>683472013.34521997</v>
          </cell>
          <cell r="BX70">
            <v>3</v>
          </cell>
          <cell r="BY70" t="str">
            <v>No</v>
          </cell>
          <cell r="CA70">
            <v>11</v>
          </cell>
          <cell r="CC70">
            <v>698600000</v>
          </cell>
          <cell r="CD70">
            <v>985333384</v>
          </cell>
          <cell r="CE70">
            <v>441700000</v>
          </cell>
          <cell r="CF70">
            <v>622991348</v>
          </cell>
          <cell r="CG70" t="str">
            <v>No</v>
          </cell>
          <cell r="CH70" t="str">
            <v>United Kingdom</v>
          </cell>
          <cell r="CI70" t="str">
            <v>Mixed</v>
          </cell>
          <cell r="CJ70">
            <v>98</v>
          </cell>
          <cell r="CK70" t="str">
            <v>Germany</v>
          </cell>
          <cell r="CL70" t="str">
            <v>Mixed</v>
          </cell>
          <cell r="CM70">
            <v>2</v>
          </cell>
        </row>
        <row r="71">
          <cell r="A71">
            <v>605</v>
          </cell>
          <cell r="B71" t="str">
            <v>PRECAP V</v>
          </cell>
          <cell r="C71" t="str">
            <v>PGIM REAL ESTATE (UK) LIMITED</v>
          </cell>
          <cell r="D71" t="str">
            <v>Grand Buildings, 1-3 Strand</v>
          </cell>
          <cell r="E71" t="str">
            <v>WC2N 6HR</v>
          </cell>
          <cell r="F71" t="str">
            <v>London</v>
          </cell>
          <cell r="G71" t="str">
            <v>United Kingdom</v>
          </cell>
          <cell r="H71" t="str">
            <v>+442077662400</v>
          </cell>
          <cell r="I71" t="str">
            <v>+442077662449</v>
          </cell>
          <cell r="J71" t="str">
            <v>http://www.pgim.com</v>
          </cell>
          <cell r="K71" t="str">
            <v>Mathew Crowther</v>
          </cell>
          <cell r="L71" t="str">
            <v>mathew.crowther@pgim.com</v>
          </cell>
          <cell r="M71" t="str">
            <v>+442077662446</v>
          </cell>
          <cell r="N71" t="str">
            <v>Andrew Grigson</v>
          </cell>
          <cell r="O71" t="str">
            <v>andrew.grigson@pgim.com</v>
          </cell>
          <cell r="Q71" t="str">
            <v>United Kingdom</v>
          </cell>
          <cell r="R71" t="str">
            <v>EUR</v>
          </cell>
          <cell r="S71" t="str">
            <v>IFRS</v>
          </cell>
          <cell r="T71" t="str">
            <v>Quarterly</v>
          </cell>
          <cell r="U71" t="str">
            <v>Annually</v>
          </cell>
          <cell r="V71" t="str">
            <v>RICS</v>
          </cell>
          <cell r="W71" t="str">
            <v>IFRS NAV</v>
          </cell>
          <cell r="X71" t="str">
            <v>PriceWaterhouseCoopers</v>
          </cell>
          <cell r="Y71" t="str">
            <v>Limited Partnership</v>
          </cell>
          <cell r="Z71" t="str">
            <v>No</v>
          </cell>
          <cell r="AA71" t="str">
            <v>Yes</v>
          </cell>
          <cell r="AB71">
            <v>0</v>
          </cell>
          <cell r="AC71" t="str">
            <v>Non-Listed Fund</v>
          </cell>
          <cell r="AD71" t="str">
            <v>Core</v>
          </cell>
          <cell r="AE71" t="str">
            <v>finite</v>
          </cell>
          <cell r="AF71" t="str">
            <v>Closed end</v>
          </cell>
          <cell r="AI71" t="str">
            <v>Gross</v>
          </cell>
          <cell r="AJ71" t="str">
            <v>NA</v>
          </cell>
          <cell r="AN71" t="str">
            <v>Institutional</v>
          </cell>
          <cell r="AO71" t="str">
            <v>≤ 2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 t="str">
            <v>2 years plus option of 1 year extension subject to AC approval</v>
          </cell>
          <cell r="AW71" t="str">
            <v>Direct lending</v>
          </cell>
          <cell r="AX71" t="str">
            <v>Mark to market</v>
          </cell>
          <cell r="AY71" t="str">
            <v>Subordinated: Junior+Mezzanine</v>
          </cell>
          <cell r="AZ71" t="str">
            <v>2 years plus option of 1 year extension subject to AC approval</v>
          </cell>
          <cell r="BA71" t="str">
            <v>≥ 50%</v>
          </cell>
          <cell r="BB71" t="str">
            <v>Europe</v>
          </cell>
          <cell r="BC71" t="str">
            <v>multi country</v>
          </cell>
          <cell r="BD71" t="str">
            <v>Western Europe</v>
          </cell>
          <cell r="BF71" t="str">
            <v>multi sector</v>
          </cell>
          <cell r="BH71">
            <v>264750000</v>
          </cell>
          <cell r="BI71">
            <v>103800000</v>
          </cell>
          <cell r="BJ71">
            <v>2013</v>
          </cell>
          <cell r="BK71">
            <v>2019</v>
          </cell>
          <cell r="BL71" t="str">
            <v>Yes</v>
          </cell>
          <cell r="BM71" t="str">
            <v>Yes</v>
          </cell>
          <cell r="BN71" t="str">
            <v>1+1 years</v>
          </cell>
          <cell r="BO71" t="str">
            <v>No</v>
          </cell>
          <cell r="BS71" t="str">
            <v>2016-06-30</v>
          </cell>
          <cell r="BT71">
            <v>118200000</v>
          </cell>
          <cell r="BU71">
            <v>118200000</v>
          </cell>
          <cell r="BV71">
            <v>110241201</v>
          </cell>
          <cell r="BW71">
            <v>110241201</v>
          </cell>
          <cell r="BX71">
            <v>0</v>
          </cell>
          <cell r="BY71" t="str">
            <v>Yes</v>
          </cell>
          <cell r="BZ71" t="str">
            <v>External</v>
          </cell>
          <cell r="CA71">
            <v>8</v>
          </cell>
          <cell r="CB71">
            <v>4</v>
          </cell>
          <cell r="CC71">
            <v>491963184</v>
          </cell>
          <cell r="CD71">
            <v>491963184</v>
          </cell>
          <cell r="CE71">
            <v>477000000</v>
          </cell>
          <cell r="CF71">
            <v>477000000</v>
          </cell>
          <cell r="CG71" t="str">
            <v>No</v>
          </cell>
          <cell r="CH71" t="str">
            <v>United Kingdom</v>
          </cell>
          <cell r="CI71" t="str">
            <v>Other</v>
          </cell>
          <cell r="CJ71">
            <v>77</v>
          </cell>
          <cell r="CK71" t="str">
            <v>Germany</v>
          </cell>
          <cell r="CL71" t="str">
            <v>Other</v>
          </cell>
          <cell r="CM71">
            <v>23</v>
          </cell>
        </row>
        <row r="72">
          <cell r="A72">
            <v>18130</v>
          </cell>
          <cell r="B72" t="str">
            <v>PRECAP VI</v>
          </cell>
          <cell r="C72" t="str">
            <v>PGIM REAL ESTATE (UK) LIMITED</v>
          </cell>
          <cell r="D72" t="str">
            <v>Grand Buildings, 1-3 Strand</v>
          </cell>
          <cell r="E72" t="str">
            <v>WC2N 5HR</v>
          </cell>
          <cell r="F72" t="str">
            <v>London</v>
          </cell>
          <cell r="G72" t="str">
            <v>United Kingdom</v>
          </cell>
          <cell r="H72" t="str">
            <v>+442077662400</v>
          </cell>
          <cell r="J72" t="str">
            <v>http://www.pgim.com</v>
          </cell>
          <cell r="K72" t="str">
            <v>Mathew Crowther</v>
          </cell>
          <cell r="L72" t="str">
            <v>mathew.crowther@pgim.com</v>
          </cell>
          <cell r="M72" t="str">
            <v>+442077662446</v>
          </cell>
          <cell r="N72" t="str">
            <v>Andrew Grigson</v>
          </cell>
          <cell r="O72" t="str">
            <v>andrew.grigson@pgim.com</v>
          </cell>
          <cell r="P72" t="str">
            <v>+442077662403</v>
          </cell>
          <cell r="Q72" t="str">
            <v>United Kingdom</v>
          </cell>
          <cell r="R72" t="str">
            <v>GBP</v>
          </cell>
          <cell r="S72" t="str">
            <v>IFRS</v>
          </cell>
          <cell r="T72" t="str">
            <v>Quarterly</v>
          </cell>
          <cell r="U72" t="str">
            <v>Quarterly</v>
          </cell>
          <cell r="W72" t="str">
            <v>IFRS NAV</v>
          </cell>
          <cell r="X72" t="str">
            <v>PWC</v>
          </cell>
          <cell r="Y72" t="str">
            <v>Limited Partnership</v>
          </cell>
          <cell r="Z72" t="str">
            <v>Yes</v>
          </cell>
          <cell r="AA72" t="str">
            <v>Yes</v>
          </cell>
          <cell r="AC72" t="str">
            <v>Non-Listed Fund</v>
          </cell>
          <cell r="AD72" t="str">
            <v>Value-added</v>
          </cell>
          <cell r="AE72" t="str">
            <v>finite</v>
          </cell>
          <cell r="AF72" t="str">
            <v>Closed end</v>
          </cell>
          <cell r="AI72" t="str">
            <v>Gross</v>
          </cell>
          <cell r="AN72" t="str">
            <v>Institutional</v>
          </cell>
          <cell r="AO72" t="str">
            <v>&gt; 2</v>
          </cell>
          <cell r="AP72">
            <v>141893893</v>
          </cell>
          <cell r="AQ72">
            <v>7</v>
          </cell>
          <cell r="AR72" t="str">
            <v>Less than 60%</v>
          </cell>
          <cell r="AS72">
            <v>85</v>
          </cell>
          <cell r="AT72">
            <v>0</v>
          </cell>
          <cell r="AU72">
            <v>0</v>
          </cell>
          <cell r="AV72" t="str">
            <v>2 years</v>
          </cell>
          <cell r="AW72" t="str">
            <v>Direct lending</v>
          </cell>
          <cell r="AX72" t="str">
            <v>Mark to market</v>
          </cell>
          <cell r="AY72" t="str">
            <v>Subordinated: Junior+Mezzanine</v>
          </cell>
          <cell r="AZ72" t="str">
            <v>5 years from end of Investment Period with 2 x 1 year extensions</v>
          </cell>
          <cell r="BA72" t="str">
            <v>≥ 50%</v>
          </cell>
          <cell r="BB72" t="str">
            <v>Europe</v>
          </cell>
          <cell r="BC72" t="str">
            <v>multi country</v>
          </cell>
          <cell r="BD72" t="str">
            <v>Western Europe</v>
          </cell>
          <cell r="BF72" t="str">
            <v>multi sector</v>
          </cell>
          <cell r="BH72">
            <v>750000000</v>
          </cell>
          <cell r="BI72">
            <v>750000000</v>
          </cell>
          <cell r="BJ72">
            <v>2015</v>
          </cell>
          <cell r="BK72">
            <v>2024</v>
          </cell>
          <cell r="BL72" t="str">
            <v>Yes</v>
          </cell>
          <cell r="BM72" t="str">
            <v>Yes</v>
          </cell>
          <cell r="BN72" t="str">
            <v>1+1 years</v>
          </cell>
          <cell r="BO72" t="str">
            <v>No</v>
          </cell>
          <cell r="BS72" t="str">
            <v>2016-06-30</v>
          </cell>
          <cell r="BT72">
            <v>141893893</v>
          </cell>
          <cell r="BU72">
            <v>171539784.06448999</v>
          </cell>
          <cell r="BV72">
            <v>105125864</v>
          </cell>
          <cell r="BW72">
            <v>127089810.76552001</v>
          </cell>
          <cell r="BX72">
            <v>33</v>
          </cell>
          <cell r="BY72" t="str">
            <v>No</v>
          </cell>
          <cell r="CA72">
            <v>8</v>
          </cell>
          <cell r="CC72">
            <v>330000000</v>
          </cell>
          <cell r="CD72">
            <v>417598500</v>
          </cell>
          <cell r="CE72">
            <v>92000000</v>
          </cell>
          <cell r="CF72">
            <v>116421400</v>
          </cell>
          <cell r="CG72" t="str">
            <v>Yes</v>
          </cell>
          <cell r="CH72" t="str">
            <v>United Kingdom</v>
          </cell>
          <cell r="CI72" t="str">
            <v>Other</v>
          </cell>
          <cell r="CJ72">
            <v>94</v>
          </cell>
          <cell r="CK72" t="str">
            <v>Germany</v>
          </cell>
          <cell r="CL72" t="str">
            <v>Other</v>
          </cell>
          <cell r="CM72">
            <v>6</v>
          </cell>
        </row>
        <row r="73">
          <cell r="A73">
            <v>17694</v>
          </cell>
          <cell r="B73" t="str">
            <v>QUADRANT ENHANCED DEBT FUND</v>
          </cell>
          <cell r="C73" t="str">
            <v>QUADRANT REAL ESTATE ADVISORS</v>
          </cell>
          <cell r="D73" t="str">
            <v>12735 Morris Road, Suite 100</v>
          </cell>
          <cell r="E73">
            <v>30004</v>
          </cell>
          <cell r="F73" t="str">
            <v>Alpharetta</v>
          </cell>
          <cell r="G73" t="str">
            <v>United States of America</v>
          </cell>
          <cell r="H73" t="str">
            <v>+17707526714</v>
          </cell>
          <cell r="I73" t="str">
            <v>+17707526731</v>
          </cell>
          <cell r="J73" t="str">
            <v>http://quadrantrea.com/</v>
          </cell>
          <cell r="K73" t="str">
            <v>Jessica Eggins</v>
          </cell>
          <cell r="L73" t="str">
            <v>jeggins@quadrantrea.com</v>
          </cell>
          <cell r="M73" t="str">
            <v>+17707526717</v>
          </cell>
          <cell r="N73" t="str">
            <v>Tom Mattinson</v>
          </cell>
          <cell r="O73" t="str">
            <v>tmattinson@quadrantrea.com</v>
          </cell>
          <cell r="P73" t="str">
            <v>+17707526714</v>
          </cell>
          <cell r="Q73" t="str">
            <v>United States of America</v>
          </cell>
          <cell r="R73" t="str">
            <v>USD</v>
          </cell>
          <cell r="S73" t="str">
            <v>US GAAP</v>
          </cell>
          <cell r="T73" t="str">
            <v>Quarterly</v>
          </cell>
          <cell r="U73" t="str">
            <v>Quarterly</v>
          </cell>
          <cell r="X73" t="str">
            <v xml:space="preserve">To be determined </v>
          </cell>
          <cell r="Y73" t="str">
            <v>Limited Partnership</v>
          </cell>
          <cell r="AA73" t="str">
            <v>Yes</v>
          </cell>
          <cell r="AB73">
            <v>1</v>
          </cell>
          <cell r="AF73" t="str">
            <v>Closed end</v>
          </cell>
          <cell r="AG73">
            <v>8</v>
          </cell>
          <cell r="AH73">
            <v>10</v>
          </cell>
          <cell r="AI73" t="str">
            <v>Net</v>
          </cell>
          <cell r="AJ73" t="str">
            <v>NCREIF</v>
          </cell>
          <cell r="AN73" t="str">
            <v>Institutional</v>
          </cell>
          <cell r="AO73" t="str">
            <v>&gt; 2</v>
          </cell>
          <cell r="AR73" t="str">
            <v>65%</v>
          </cell>
          <cell r="AS73">
            <v>75</v>
          </cell>
          <cell r="AT73">
            <v>200</v>
          </cell>
          <cell r="AV73" t="str">
            <v>5 years</v>
          </cell>
          <cell r="AW73" t="str">
            <v>Direct lending</v>
          </cell>
          <cell r="AX73" t="str">
            <v>Book value(excl. amortisation)</v>
          </cell>
          <cell r="AY73" t="str">
            <v>Mixed: Senior+Subordinated</v>
          </cell>
          <cell r="AZ73" t="str">
            <v>10 years</v>
          </cell>
          <cell r="BA73" t="str">
            <v>≥ 50%</v>
          </cell>
          <cell r="BB73" t="str">
            <v>North America</v>
          </cell>
          <cell r="BC73" t="str">
            <v>single country</v>
          </cell>
          <cell r="BE73" t="str">
            <v>United States of America</v>
          </cell>
          <cell r="BF73" t="str">
            <v>multi sector</v>
          </cell>
          <cell r="BH73">
            <v>700000000</v>
          </cell>
          <cell r="BI73">
            <v>700000000</v>
          </cell>
          <cell r="BJ73">
            <v>2016</v>
          </cell>
          <cell r="BK73">
            <v>2026</v>
          </cell>
          <cell r="BL73" t="str">
            <v>Yes</v>
          </cell>
          <cell r="BM73" t="str">
            <v>Yes</v>
          </cell>
          <cell r="BN73" t="str">
            <v>1+1 years</v>
          </cell>
        </row>
        <row r="74">
          <cell r="A74">
            <v>17396</v>
          </cell>
          <cell r="B74" t="str">
            <v>RENSHAW BAY REAL ESTATE FINANCE FUND L.P.</v>
          </cell>
          <cell r="C74" t="str">
            <v>RENSHAW BAY</v>
          </cell>
          <cell r="R74" t="str">
            <v>GBP</v>
          </cell>
          <cell r="T74" t="str">
            <v>Quarterly</v>
          </cell>
          <cell r="U74" t="str">
            <v>Quarterly</v>
          </cell>
          <cell r="AY74" t="str">
            <v>Mixed: Senior+Subordinated</v>
          </cell>
          <cell r="BB74" t="str">
            <v>Europe</v>
          </cell>
          <cell r="BC74" t="str">
            <v>multi country</v>
          </cell>
          <cell r="BD74" t="str">
            <v>Western Europe</v>
          </cell>
          <cell r="BF74" t="str">
            <v>multi sector</v>
          </cell>
          <cell r="BH74">
            <v>500000000</v>
          </cell>
          <cell r="BI74">
            <v>500000000</v>
          </cell>
        </row>
        <row r="75">
          <cell r="A75">
            <v>17397</v>
          </cell>
          <cell r="B75" t="str">
            <v>SCOR REAL ESTATE LOANS</v>
          </cell>
          <cell r="C75" t="str">
            <v>SCOR GLOBAL INVESTMENTS SE</v>
          </cell>
          <cell r="D75" t="str">
            <v>5 avenue Kleber</v>
          </cell>
          <cell r="E75">
            <v>75016</v>
          </cell>
          <cell r="F75" t="str">
            <v>Paris</v>
          </cell>
          <cell r="G75" t="str">
            <v>France</v>
          </cell>
          <cell r="H75" t="str">
            <v>+33158448417</v>
          </cell>
          <cell r="I75" t="str">
            <v>+33158448417</v>
          </cell>
          <cell r="J75" t="str">
            <v>http://www.scor.com</v>
          </cell>
          <cell r="K75" t="str">
            <v>Gilles Castiel</v>
          </cell>
          <cell r="L75" t="str">
            <v>gcastiel@scor.com</v>
          </cell>
          <cell r="M75" t="str">
            <v>+33158448417</v>
          </cell>
          <cell r="N75" t="str">
            <v>Olivier Nolland</v>
          </cell>
          <cell r="O75" t="str">
            <v>onolland@scor.com</v>
          </cell>
          <cell r="P75" t="str">
            <v>+33153646514</v>
          </cell>
          <cell r="Q75" t="str">
            <v>France</v>
          </cell>
          <cell r="R75" t="str">
            <v>EUR</v>
          </cell>
          <cell r="S75" t="str">
            <v>Local GAAP</v>
          </cell>
          <cell r="T75" t="str">
            <v>Quarterly</v>
          </cell>
          <cell r="U75" t="str">
            <v>Quarterly</v>
          </cell>
          <cell r="AF75" t="str">
            <v>Closed end</v>
          </cell>
          <cell r="AG75">
            <v>3</v>
          </cell>
          <cell r="AH75">
            <v>4</v>
          </cell>
          <cell r="AK75" t="str">
            <v>3%</v>
          </cell>
          <cell r="AL75">
            <v>0</v>
          </cell>
          <cell r="AP75">
            <v>68400000</v>
          </cell>
          <cell r="AQ75">
            <v>3</v>
          </cell>
          <cell r="AR75" t="str">
            <v>60%</v>
          </cell>
          <cell r="AS75">
            <v>65</v>
          </cell>
          <cell r="AT75">
            <v>15</v>
          </cell>
          <cell r="AU75" t="str">
            <v>25 million</v>
          </cell>
          <cell r="AV75" t="str">
            <v>2 years</v>
          </cell>
          <cell r="AW75" t="str">
            <v>Loan acquisition</v>
          </cell>
          <cell r="AY75" t="str">
            <v>Senior</v>
          </cell>
          <cell r="AZ75" t="str">
            <v>6,5 years</v>
          </cell>
          <cell r="BC75" t="str">
            <v>multi country</v>
          </cell>
          <cell r="BF75" t="str">
            <v>multi sector</v>
          </cell>
          <cell r="BH75">
            <v>400000000</v>
          </cell>
          <cell r="BI75">
            <v>400000000</v>
          </cell>
          <cell r="BJ75">
            <v>2013</v>
          </cell>
          <cell r="BK75">
            <v>2020</v>
          </cell>
          <cell r="BL75" t="str">
            <v>Yes</v>
          </cell>
          <cell r="BM75" t="str">
            <v>Yes</v>
          </cell>
          <cell r="BS75" t="str">
            <v>2014-03-31</v>
          </cell>
          <cell r="BT75">
            <v>63000000</v>
          </cell>
          <cell r="BU75">
            <v>63000000</v>
          </cell>
          <cell r="BV75">
            <v>63000000</v>
          </cell>
          <cell r="BW75">
            <v>63000000</v>
          </cell>
          <cell r="BX75">
            <v>0</v>
          </cell>
          <cell r="BY75" t="str">
            <v>No</v>
          </cell>
          <cell r="CA75">
            <v>2</v>
          </cell>
          <cell r="CC75">
            <v>102000000</v>
          </cell>
          <cell r="CD75">
            <v>102000000</v>
          </cell>
          <cell r="CF75">
            <v>0</v>
          </cell>
          <cell r="CG75" t="str">
            <v>No</v>
          </cell>
          <cell r="CH75" t="str">
            <v>France</v>
          </cell>
          <cell r="CI75" t="str">
            <v>Office</v>
          </cell>
          <cell r="CJ75">
            <v>71</v>
          </cell>
          <cell r="CK75" t="str">
            <v>France</v>
          </cell>
          <cell r="CL75" t="str">
            <v>Other</v>
          </cell>
          <cell r="CM75">
            <v>29</v>
          </cell>
        </row>
        <row r="76">
          <cell r="A76">
            <v>18134</v>
          </cell>
          <cell r="B76" t="str">
            <v>SENIOR  EUROPEAN LOAN FUND SCA-SIF 2</v>
          </cell>
          <cell r="C76" t="str">
            <v>AEW</v>
          </cell>
          <cell r="D76" t="str">
            <v>5, allee Scheffer</v>
          </cell>
          <cell r="E76" t="str">
            <v>L-2520</v>
          </cell>
          <cell r="F76" t="str">
            <v>Luxembourg</v>
          </cell>
          <cell r="G76" t="str">
            <v>Luxembourg</v>
          </cell>
          <cell r="H76" t="str">
            <v>+33178409320</v>
          </cell>
          <cell r="I76" t="str">
            <v>+33178409320</v>
          </cell>
          <cell r="J76" t="str">
            <v>http://www.aew.com</v>
          </cell>
          <cell r="K76" t="str">
            <v>Morgane Le Roux</v>
          </cell>
          <cell r="L76" t="str">
            <v>morgane.leroux@eu.aew.com</v>
          </cell>
          <cell r="M76" t="str">
            <v>+35247675138</v>
          </cell>
          <cell r="N76" t="str">
            <v>Alex Griffiths</v>
          </cell>
          <cell r="O76" t="str">
            <v>alex.griffiths@eu.aew.com</v>
          </cell>
          <cell r="P76" t="str">
            <v>+442070164750</v>
          </cell>
          <cell r="Q76" t="str">
            <v>Luxembourg</v>
          </cell>
          <cell r="R76" t="str">
            <v>EUR</v>
          </cell>
          <cell r="S76" t="str">
            <v>IFRS</v>
          </cell>
          <cell r="T76" t="str">
            <v>Quarterly</v>
          </cell>
          <cell r="U76" t="str">
            <v>Quarterly</v>
          </cell>
          <cell r="W76" t="str">
            <v>IFRS NAV</v>
          </cell>
          <cell r="X76" t="str">
            <v>PWC</v>
          </cell>
          <cell r="Y76" t="str">
            <v>Real Estate Fund</v>
          </cell>
          <cell r="Z76" t="str">
            <v>No</v>
          </cell>
          <cell r="AC76" t="str">
            <v>Non-Listed Fund</v>
          </cell>
          <cell r="AD76" t="str">
            <v>Core</v>
          </cell>
          <cell r="AE76" t="str">
            <v>finite</v>
          </cell>
          <cell r="AF76" t="str">
            <v>Closed end</v>
          </cell>
          <cell r="AN76" t="str">
            <v>Institutional</v>
          </cell>
          <cell r="AO76" t="str">
            <v>&gt; 2</v>
          </cell>
          <cell r="AR76">
            <v>65</v>
          </cell>
          <cell r="AS76">
            <v>65</v>
          </cell>
          <cell r="AT76">
            <v>15</v>
          </cell>
          <cell r="AU76">
            <v>35</v>
          </cell>
          <cell r="AV76" t="str">
            <v>2 years plus 1 year extension</v>
          </cell>
          <cell r="AW76" t="str">
            <v>Loan acquisition</v>
          </cell>
          <cell r="AX76" t="str">
            <v>Book value(excl. amortisation)</v>
          </cell>
          <cell r="AY76" t="str">
            <v>Senior</v>
          </cell>
          <cell r="AZ76" t="str">
            <v>7 years plus 2 year extension</v>
          </cell>
          <cell r="BA76" t="str">
            <v>≥ 50%</v>
          </cell>
          <cell r="BB76" t="str">
            <v>Europe</v>
          </cell>
          <cell r="BC76" t="str">
            <v>multi country</v>
          </cell>
          <cell r="BD76" t="str">
            <v>Europe</v>
          </cell>
          <cell r="BF76" t="str">
            <v>multi sector</v>
          </cell>
          <cell r="BH76">
            <v>750000000</v>
          </cell>
          <cell r="BI76">
            <v>750000000</v>
          </cell>
          <cell r="BJ76">
            <v>2016</v>
          </cell>
          <cell r="BK76">
            <v>2025</v>
          </cell>
          <cell r="BL76" t="str">
            <v>Yes</v>
          </cell>
          <cell r="BM76" t="str">
            <v>Yes</v>
          </cell>
          <cell r="BN76" t="str">
            <v>2 years fixed</v>
          </cell>
          <cell r="BO76" t="str">
            <v>No</v>
          </cell>
        </row>
        <row r="77">
          <cell r="A77">
            <v>17366</v>
          </cell>
          <cell r="B77" t="str">
            <v>SENIOR CRE LOAN</v>
          </cell>
          <cell r="C77" t="str">
            <v>AXA REAL ESTATE</v>
          </cell>
          <cell r="D77" t="str">
            <v>Coeur Defence, Tour B, 100, Esplanade du General de Geul</v>
          </cell>
          <cell r="E77">
            <v>92932</v>
          </cell>
          <cell r="F77" t="str">
            <v>Paris La Defence Cedex</v>
          </cell>
          <cell r="G77" t="str">
            <v>France</v>
          </cell>
          <cell r="H77" t="str">
            <v>+33144458455</v>
          </cell>
          <cell r="I77" t="str">
            <v>+33144458455</v>
          </cell>
          <cell r="J77" t="str">
            <v>http://www.axa-realestate.com</v>
          </cell>
          <cell r="K77" t="str">
            <v>Antonio De Laurentiis</v>
          </cell>
          <cell r="L77" t="str">
            <v>Antonio.deLaurentiis@axa-im.com</v>
          </cell>
          <cell r="M77" t="str">
            <v>+33144458455</v>
          </cell>
          <cell r="N77" t="str">
            <v>Sandra Da Rocha</v>
          </cell>
          <cell r="O77" t="str">
            <v>Sandra.DAROCHA@axa-im.com</v>
          </cell>
          <cell r="Q77" t="str">
            <v>Luxembourg</v>
          </cell>
          <cell r="R77" t="str">
            <v>EUR</v>
          </cell>
          <cell r="S77" t="str">
            <v>IFRS</v>
          </cell>
          <cell r="T77" t="str">
            <v>Quarterly</v>
          </cell>
          <cell r="U77" t="str">
            <v>Quarterly</v>
          </cell>
          <cell r="AD77" t="str">
            <v>Core</v>
          </cell>
          <cell r="AF77" t="str">
            <v>Closed end</v>
          </cell>
          <cell r="AL77">
            <v>0</v>
          </cell>
          <cell r="AP77">
            <v>6500000000</v>
          </cell>
          <cell r="AQ77">
            <v>90</v>
          </cell>
          <cell r="AS77">
            <v>70</v>
          </cell>
          <cell r="AV77" t="str">
            <v>&gt;2 years</v>
          </cell>
          <cell r="AW77" t="str">
            <v>Both</v>
          </cell>
          <cell r="AY77" t="str">
            <v>Senior</v>
          </cell>
          <cell r="AZ77" t="str">
            <v>10 years</v>
          </cell>
          <cell r="BB77" t="str">
            <v>Europe</v>
          </cell>
          <cell r="BC77" t="str">
            <v>multi country</v>
          </cell>
          <cell r="BD77" t="str">
            <v>Europe</v>
          </cell>
          <cell r="BF77" t="str">
            <v>multi sector</v>
          </cell>
          <cell r="BH77">
            <v>11000000000</v>
          </cell>
          <cell r="BI77">
            <v>11000000000</v>
          </cell>
          <cell r="BJ77">
            <v>2008</v>
          </cell>
          <cell r="BL77" t="str">
            <v>Yes</v>
          </cell>
          <cell r="BM77" t="str">
            <v>Yes</v>
          </cell>
          <cell r="BS77" t="str">
            <v>2014-06-30</v>
          </cell>
          <cell r="BU77">
            <v>0</v>
          </cell>
          <cell r="BW77">
            <v>0</v>
          </cell>
          <cell r="BX77">
            <v>0</v>
          </cell>
          <cell r="BY77" t="str">
            <v>No</v>
          </cell>
          <cell r="CA77">
            <v>43</v>
          </cell>
          <cell r="CC77">
            <v>8100000000</v>
          </cell>
          <cell r="CD77">
            <v>8100000000</v>
          </cell>
          <cell r="CF77">
            <v>0</v>
          </cell>
          <cell r="CG77" t="str">
            <v>Yes</v>
          </cell>
          <cell r="CH77" t="str">
            <v>France</v>
          </cell>
          <cell r="CI77" t="str">
            <v>Office</v>
          </cell>
          <cell r="CJ77">
            <v>9.9</v>
          </cell>
          <cell r="CK77" t="str">
            <v>Germany</v>
          </cell>
          <cell r="CL77" t="str">
            <v>Office</v>
          </cell>
          <cell r="CM77">
            <v>6.2</v>
          </cell>
          <cell r="CN77" t="str">
            <v>Italy</v>
          </cell>
          <cell r="CO77" t="str">
            <v>Office</v>
          </cell>
          <cell r="CP77">
            <v>0.7</v>
          </cell>
          <cell r="CQ77" t="str">
            <v>United Kingdom</v>
          </cell>
          <cell r="CR77" t="str">
            <v>Office</v>
          </cell>
          <cell r="CS77">
            <v>17</v>
          </cell>
          <cell r="CT77" t="str">
            <v>France</v>
          </cell>
          <cell r="CU77" t="str">
            <v>Retail</v>
          </cell>
          <cell r="CV77">
            <v>8.5</v>
          </cell>
          <cell r="CW77" t="str">
            <v>Germany</v>
          </cell>
          <cell r="CX77" t="str">
            <v>Retail</v>
          </cell>
          <cell r="CY77">
            <v>1.1000000000000001</v>
          </cell>
          <cell r="CZ77" t="str">
            <v>Italy</v>
          </cell>
          <cell r="DA77" t="str">
            <v>Retail</v>
          </cell>
          <cell r="DB77">
            <v>1.7</v>
          </cell>
          <cell r="DC77" t="str">
            <v>Netherlands</v>
          </cell>
          <cell r="DD77" t="str">
            <v>Retail</v>
          </cell>
          <cell r="DE77">
            <v>1.4</v>
          </cell>
          <cell r="DF77" t="str">
            <v>Poland</v>
          </cell>
          <cell r="DG77" t="str">
            <v>Retail</v>
          </cell>
          <cell r="DH77">
            <v>0.9</v>
          </cell>
          <cell r="DI77" t="str">
            <v>Spain</v>
          </cell>
          <cell r="DJ77" t="str">
            <v>Retail</v>
          </cell>
          <cell r="DK77">
            <v>5.4</v>
          </cell>
          <cell r="DL77" t="str">
            <v>United Kingdom</v>
          </cell>
          <cell r="DM77" t="str">
            <v>Retail</v>
          </cell>
          <cell r="DN77">
            <v>10.5</v>
          </cell>
          <cell r="DO77" t="str">
            <v>France</v>
          </cell>
          <cell r="DP77" t="str">
            <v>Industrial / Logistics</v>
          </cell>
          <cell r="DQ77">
            <v>3.6</v>
          </cell>
          <cell r="DR77" t="str">
            <v>France</v>
          </cell>
          <cell r="DS77" t="str">
            <v>Residential</v>
          </cell>
          <cell r="DT77">
            <v>3.1</v>
          </cell>
          <cell r="DU77" t="str">
            <v>Germany</v>
          </cell>
          <cell r="DV77" t="str">
            <v>Residential</v>
          </cell>
          <cell r="DW77">
            <v>4.7</v>
          </cell>
          <cell r="DX77" t="str">
            <v>United Kingdom</v>
          </cell>
          <cell r="DY77" t="str">
            <v>Residential</v>
          </cell>
          <cell r="DZ77">
            <v>3.1</v>
          </cell>
          <cell r="EA77" t="str">
            <v>Spain</v>
          </cell>
          <cell r="EB77" t="str">
            <v>Office</v>
          </cell>
          <cell r="EC77">
            <v>2.9</v>
          </cell>
          <cell r="ED77" t="str">
            <v>Germany</v>
          </cell>
          <cell r="EE77" t="str">
            <v>Industrial / Logistics</v>
          </cell>
          <cell r="EF77">
            <v>1</v>
          </cell>
          <cell r="EG77" t="str">
            <v>Netherlands</v>
          </cell>
          <cell r="EH77" t="str">
            <v>Residential</v>
          </cell>
          <cell r="EI77">
            <v>1.5</v>
          </cell>
          <cell r="EJ77" t="str">
            <v>Belgium</v>
          </cell>
          <cell r="EK77" t="str">
            <v>Other</v>
          </cell>
          <cell r="EL77">
            <v>1.2</v>
          </cell>
          <cell r="EM77" t="str">
            <v>France</v>
          </cell>
          <cell r="EN77" t="str">
            <v>Other</v>
          </cell>
          <cell r="EO77">
            <v>6.2</v>
          </cell>
          <cell r="EP77" t="str">
            <v>Germany</v>
          </cell>
          <cell r="EQ77" t="str">
            <v>Other</v>
          </cell>
          <cell r="ER77">
            <v>1.7</v>
          </cell>
          <cell r="ES77" t="str">
            <v>United Kingdom</v>
          </cell>
          <cell r="ET77" t="str">
            <v>Other</v>
          </cell>
          <cell r="EU77">
            <v>7.7</v>
          </cell>
        </row>
        <row r="78">
          <cell r="A78">
            <v>17359</v>
          </cell>
          <cell r="B78" t="str">
            <v>SENIOR EUROPEAN LOAN FUND SCA-SIF</v>
          </cell>
          <cell r="C78" t="str">
            <v>AEW EUROPE</v>
          </cell>
          <cell r="D78" t="str">
            <v>5, allee Scheffer</v>
          </cell>
          <cell r="E78" t="str">
            <v>L-2520</v>
          </cell>
          <cell r="F78" t="str">
            <v>Luxembourg</v>
          </cell>
          <cell r="G78" t="str">
            <v>Luxembourg</v>
          </cell>
          <cell r="H78" t="str">
            <v>+33178409320</v>
          </cell>
          <cell r="I78" t="str">
            <v>+33178409320</v>
          </cell>
          <cell r="J78" t="str">
            <v>http://aew.com</v>
          </cell>
          <cell r="K78" t="str">
            <v>Morgane Le Roux</v>
          </cell>
          <cell r="L78" t="str">
            <v>morgane.leroux@eu.aew.com</v>
          </cell>
          <cell r="M78" t="str">
            <v>+35247675138</v>
          </cell>
          <cell r="N78" t="str">
            <v>Alex Griffiths</v>
          </cell>
          <cell r="O78" t="str">
            <v>alex.griffiths@eu.aew.com</v>
          </cell>
          <cell r="P78" t="str">
            <v>+442070164840</v>
          </cell>
          <cell r="Q78" t="str">
            <v>Luxembourg</v>
          </cell>
          <cell r="R78" t="str">
            <v>EUR</v>
          </cell>
          <cell r="S78" t="str">
            <v>IFRS</v>
          </cell>
          <cell r="T78" t="str">
            <v>Quarterly</v>
          </cell>
          <cell r="U78" t="str">
            <v>Quarterly</v>
          </cell>
          <cell r="W78" t="str">
            <v>IFRS NAV</v>
          </cell>
          <cell r="Y78" t="str">
            <v>Part II UCI</v>
          </cell>
          <cell r="Z78" t="str">
            <v>No</v>
          </cell>
          <cell r="AC78" t="str">
            <v>Non-Listed Fund</v>
          </cell>
          <cell r="AD78" t="str">
            <v>Core</v>
          </cell>
          <cell r="AE78" t="str">
            <v>finite</v>
          </cell>
          <cell r="AF78" t="str">
            <v>Closed end</v>
          </cell>
          <cell r="AG78">
            <v>0</v>
          </cell>
          <cell r="AH78">
            <v>0</v>
          </cell>
          <cell r="AK78" t="str">
            <v>3%-4%</v>
          </cell>
          <cell r="AL78">
            <v>0</v>
          </cell>
          <cell r="AN78" t="str">
            <v>Institutional</v>
          </cell>
          <cell r="AO78" t="str">
            <v>&gt; 2</v>
          </cell>
          <cell r="AP78">
            <v>87561000</v>
          </cell>
          <cell r="AQ78">
            <v>9</v>
          </cell>
          <cell r="AR78" t="str">
            <v>55%</v>
          </cell>
          <cell r="AS78">
            <v>65</v>
          </cell>
          <cell r="AT78">
            <v>10</v>
          </cell>
          <cell r="AU78">
            <v>30000000</v>
          </cell>
          <cell r="AV78" t="str">
            <v>&gt;2 years</v>
          </cell>
          <cell r="AW78" t="str">
            <v>Both</v>
          </cell>
          <cell r="AX78" t="str">
            <v>Book value(excl. amortisation)</v>
          </cell>
          <cell r="AY78" t="str">
            <v>Senior</v>
          </cell>
          <cell r="AZ78" t="str">
            <v>7,5 years</v>
          </cell>
          <cell r="BA78" t="str">
            <v>≥ 50%</v>
          </cell>
          <cell r="BB78" t="str">
            <v>Europe</v>
          </cell>
          <cell r="BC78" t="str">
            <v>multi country</v>
          </cell>
          <cell r="BD78" t="str">
            <v>Western Europe</v>
          </cell>
          <cell r="BF78" t="str">
            <v>multi sector</v>
          </cell>
          <cell r="BH78">
            <v>320000000</v>
          </cell>
          <cell r="BI78">
            <v>320000000</v>
          </cell>
          <cell r="BJ78">
            <v>2012</v>
          </cell>
          <cell r="BK78">
            <v>2020</v>
          </cell>
          <cell r="BL78" t="str">
            <v>Yes</v>
          </cell>
          <cell r="BM78" t="str">
            <v>Yes</v>
          </cell>
          <cell r="BO78" t="str">
            <v>No</v>
          </cell>
          <cell r="BS78" t="str">
            <v>2013-12-31</v>
          </cell>
          <cell r="BT78">
            <v>94963255</v>
          </cell>
          <cell r="BU78">
            <v>94963255</v>
          </cell>
          <cell r="BV78">
            <v>94793245</v>
          </cell>
          <cell r="BW78">
            <v>94793245</v>
          </cell>
          <cell r="BX78">
            <v>0</v>
          </cell>
          <cell r="BY78" t="str">
            <v>Yes</v>
          </cell>
          <cell r="CA78">
            <v>6</v>
          </cell>
          <cell r="CC78">
            <v>323200000</v>
          </cell>
          <cell r="CD78">
            <v>323200000</v>
          </cell>
          <cell r="CF78">
            <v>0</v>
          </cell>
          <cell r="CG78" t="str">
            <v>No</v>
          </cell>
          <cell r="CH78" t="str">
            <v>France</v>
          </cell>
          <cell r="CI78" t="str">
            <v>Retail</v>
          </cell>
          <cell r="CJ78">
            <v>49.3</v>
          </cell>
          <cell r="CK78" t="str">
            <v>France</v>
          </cell>
          <cell r="CL78" t="str">
            <v>Industrial / Logistics</v>
          </cell>
          <cell r="CM78">
            <v>32.4</v>
          </cell>
          <cell r="CN78" t="str">
            <v>United Kingdom</v>
          </cell>
          <cell r="CO78" t="str">
            <v>Office</v>
          </cell>
          <cell r="CP78">
            <v>18.2</v>
          </cell>
        </row>
        <row r="79">
          <cell r="A79">
            <v>18420</v>
          </cell>
          <cell r="B79" t="str">
            <v>TEMBO</v>
          </cell>
          <cell r="C79" t="str">
            <v>OCTOPUS AIF MANAGEMENT LIMITED</v>
          </cell>
          <cell r="D79" t="str">
            <v>6th Floor 33 Holborn</v>
          </cell>
          <cell r="E79" t="str">
            <v>EC1N 2HT</v>
          </cell>
          <cell r="F79" t="str">
            <v>London</v>
          </cell>
          <cell r="G79" t="str">
            <v>United Kingdom</v>
          </cell>
          <cell r="J79" t="str">
            <v>https://octopusinvestments.com/</v>
          </cell>
          <cell r="Q79" t="str">
            <v>Luxembourg</v>
          </cell>
          <cell r="R79" t="str">
            <v>GBP</v>
          </cell>
          <cell r="S79" t="str">
            <v>Local GAAP</v>
          </cell>
          <cell r="T79" t="str">
            <v>Quarterly</v>
          </cell>
          <cell r="U79" t="str">
            <v>Quarterly</v>
          </cell>
          <cell r="X79" t="str">
            <v>N/A</v>
          </cell>
          <cell r="Y79" t="str">
            <v>Real Estate Fund</v>
          </cell>
          <cell r="AA79" t="str">
            <v>Yes</v>
          </cell>
          <cell r="AB79">
            <v>1</v>
          </cell>
          <cell r="AF79" t="str">
            <v>Open end</v>
          </cell>
          <cell r="AG79">
            <v>11</v>
          </cell>
          <cell r="AH79">
            <v>12</v>
          </cell>
          <cell r="AI79" t="str">
            <v>Gross</v>
          </cell>
          <cell r="AN79" t="str">
            <v>Institutional</v>
          </cell>
          <cell r="AO79" t="str">
            <v>≤ 2</v>
          </cell>
          <cell r="AR79" t="str">
            <v>65%</v>
          </cell>
          <cell r="AS79">
            <v>70</v>
          </cell>
          <cell r="AV79" t="str">
            <v>1 year</v>
          </cell>
          <cell r="AX79" t="str">
            <v>Book value(excl. amortisation)</v>
          </cell>
          <cell r="AY79" t="str">
            <v>Senior</v>
          </cell>
          <cell r="BA79" t="str">
            <v>≥ 50%</v>
          </cell>
          <cell r="BB79" t="str">
            <v>Europe</v>
          </cell>
          <cell r="BC79" t="str">
            <v>single country</v>
          </cell>
          <cell r="BE79" t="str">
            <v>United Kingdom</v>
          </cell>
          <cell r="BF79" t="str">
            <v>single sector</v>
          </cell>
          <cell r="BG79" t="str">
            <v>Residential</v>
          </cell>
          <cell r="BJ79">
            <v>2015</v>
          </cell>
          <cell r="BL79" t="str">
            <v>Yes</v>
          </cell>
          <cell r="BM79" t="str">
            <v>Yes</v>
          </cell>
          <cell r="BN79" t="str">
            <v>1 year fixed</v>
          </cell>
          <cell r="BS79" t="str">
            <v>2017-12-31</v>
          </cell>
          <cell r="BT79">
            <v>36949069</v>
          </cell>
          <cell r="BU79">
            <v>41622162.511797622</v>
          </cell>
          <cell r="BV79">
            <v>41508441.57</v>
          </cell>
          <cell r="BW79">
            <v>46758176.792979442</v>
          </cell>
          <cell r="BX79">
            <v>0</v>
          </cell>
          <cell r="CD79">
            <v>0</v>
          </cell>
        </row>
        <row r="80">
          <cell r="A80">
            <v>17371</v>
          </cell>
          <cell r="B80" t="str">
            <v>UBS PARTICIPATING REAL ESTATE MORTGAGE FUND (UBS-PREMF)</v>
          </cell>
          <cell r="C80" t="str">
            <v>UBS ASSET MANAGEMENT FUNDS LTD</v>
          </cell>
          <cell r="D80" t="str">
            <v>5 Broadgate</v>
          </cell>
          <cell r="E80" t="str">
            <v>EC2M 2QS</v>
          </cell>
          <cell r="F80" t="str">
            <v>London</v>
          </cell>
          <cell r="G80" t="str">
            <v>United Kingdom</v>
          </cell>
          <cell r="H80" t="str">
            <v>+442075678000</v>
          </cell>
          <cell r="I80" t="str">
            <v>+442075678000</v>
          </cell>
          <cell r="J80" t="str">
            <v>http://www.ubs.com/realestate</v>
          </cell>
          <cell r="K80" t="str">
            <v xml:space="preserve"> Mark Gifford</v>
          </cell>
          <cell r="L80" t="str">
            <v>mark.gifford@ubs.com</v>
          </cell>
          <cell r="N80" t="str">
            <v>Nick Clare</v>
          </cell>
          <cell r="O80" t="str">
            <v>nicholas.clare@ubs.com</v>
          </cell>
          <cell r="Q80" t="str">
            <v>United Kingdom</v>
          </cell>
          <cell r="R80" t="str">
            <v>GBP</v>
          </cell>
          <cell r="S80" t="str">
            <v>IFRS</v>
          </cell>
          <cell r="T80" t="str">
            <v>Quarterly</v>
          </cell>
          <cell r="U80" t="str">
            <v>Quarterly</v>
          </cell>
          <cell r="X80" t="str">
            <v>Ernst &amp; Young LLP</v>
          </cell>
          <cell r="Y80" t="str">
            <v>Limited Partnership</v>
          </cell>
          <cell r="AA80" t="str">
            <v>Yes</v>
          </cell>
          <cell r="AF80" t="str">
            <v>Closed end</v>
          </cell>
          <cell r="AG80">
            <v>8</v>
          </cell>
          <cell r="AH80">
            <v>10</v>
          </cell>
          <cell r="AI80" t="str">
            <v>Net</v>
          </cell>
          <cell r="AK80" t="str">
            <v>6-7.5%</v>
          </cell>
          <cell r="AL80">
            <v>15</v>
          </cell>
          <cell r="AN80" t="str">
            <v>Institutional</v>
          </cell>
          <cell r="AO80" t="str">
            <v>&gt; 2</v>
          </cell>
          <cell r="AP80">
            <v>340400000</v>
          </cell>
          <cell r="AQ80">
            <v>14</v>
          </cell>
          <cell r="AR80" t="str">
            <v>75%</v>
          </cell>
          <cell r="AS80">
            <v>80</v>
          </cell>
          <cell r="AV80" t="str">
            <v>&gt;2 years</v>
          </cell>
          <cell r="AW80" t="str">
            <v>Direct lending</v>
          </cell>
          <cell r="AX80" t="str">
            <v>Mark to market</v>
          </cell>
          <cell r="AY80" t="str">
            <v>Mixed: Senior+Subordinated</v>
          </cell>
          <cell r="AZ80" t="str">
            <v>5+ years remaining (21 December 2024)</v>
          </cell>
          <cell r="BA80" t="str">
            <v>≥ 50%</v>
          </cell>
          <cell r="BC80" t="str">
            <v>single country</v>
          </cell>
          <cell r="BE80" t="str">
            <v>United Kingdom</v>
          </cell>
          <cell r="BF80" t="str">
            <v>multi sector</v>
          </cell>
          <cell r="BH80">
            <v>250000000</v>
          </cell>
          <cell r="BI80">
            <v>250000000</v>
          </cell>
          <cell r="BJ80">
            <v>2013</v>
          </cell>
          <cell r="BK80">
            <v>2023</v>
          </cell>
          <cell r="BL80" t="str">
            <v>Yes</v>
          </cell>
          <cell r="BM80" t="str">
            <v>No</v>
          </cell>
          <cell r="BN80" t="str">
            <v>The option of two consecutive extensions of one year each, the latter of which is subject to investor approval.</v>
          </cell>
          <cell r="BS80" t="str">
            <v>2019-06-30</v>
          </cell>
          <cell r="BT80">
            <v>224531000</v>
          </cell>
          <cell r="BU80">
            <v>250937112.3365427</v>
          </cell>
          <cell r="BV80">
            <v>223627000</v>
          </cell>
          <cell r="BW80">
            <v>249926796.8364459</v>
          </cell>
          <cell r="BX80">
            <v>0</v>
          </cell>
          <cell r="BY80" t="str">
            <v>No</v>
          </cell>
          <cell r="CA80">
            <v>9</v>
          </cell>
          <cell r="CC80">
            <v>241000000</v>
          </cell>
          <cell r="CD80">
            <v>280218393.05739999</v>
          </cell>
          <cell r="CE80">
            <v>221000000</v>
          </cell>
          <cell r="CF80">
            <v>256963754.62940001</v>
          </cell>
          <cell r="CG80" t="str">
            <v>No</v>
          </cell>
          <cell r="CH80" t="str">
            <v>United Kingdom</v>
          </cell>
          <cell r="CI80" t="str">
            <v>Residential</v>
          </cell>
          <cell r="CJ80">
            <v>19.399999999999999</v>
          </cell>
          <cell r="CK80" t="str">
            <v>United Kingdom</v>
          </cell>
          <cell r="CL80" t="str">
            <v>Office</v>
          </cell>
          <cell r="CM80">
            <v>30.3</v>
          </cell>
          <cell r="CN80" t="str">
            <v>United Kingdom</v>
          </cell>
          <cell r="CO80" t="str">
            <v>Student Housing</v>
          </cell>
          <cell r="CP80">
            <v>10.8</v>
          </cell>
          <cell r="CQ80" t="str">
            <v>United Kingdom</v>
          </cell>
          <cell r="CR80" t="str">
            <v>Mixed</v>
          </cell>
          <cell r="CS80">
            <v>18.899999999999999</v>
          </cell>
          <cell r="CT80" t="str">
            <v>United Kingdom</v>
          </cell>
          <cell r="CU80" t="str">
            <v>Industrial / Logistics</v>
          </cell>
          <cell r="CV80">
            <v>9.3000000000000007</v>
          </cell>
          <cell r="CW80" t="str">
            <v>United Kingdom</v>
          </cell>
          <cell r="CX80" t="str">
            <v>Hotel</v>
          </cell>
          <cell r="CY80">
            <v>11.3</v>
          </cell>
        </row>
        <row r="81">
          <cell r="A81">
            <v>17510</v>
          </cell>
          <cell r="B81" t="str">
            <v>UK COMMERCIAL REAL ESTATE DEBT FUND</v>
          </cell>
          <cell r="C81" t="str">
            <v>ABERDEEN STANDARD INVESTMENTS</v>
          </cell>
          <cell r="D81" t="str">
            <v>1 George Street</v>
          </cell>
          <cell r="E81" t="str">
            <v>EH2 2LL</v>
          </cell>
          <cell r="F81" t="str">
            <v>Edinburgh</v>
          </cell>
          <cell r="G81" t="str">
            <v>United Kingdom</v>
          </cell>
          <cell r="H81" t="str">
            <v>+44 (0) 131 225 2345</v>
          </cell>
          <cell r="I81" t="str">
            <v>+44 (0) 131 245 2547</v>
          </cell>
          <cell r="J81" t="str">
            <v>http://www.aberdeenstandard.com</v>
          </cell>
          <cell r="K81" t="str">
            <v>Richard Marshall</v>
          </cell>
          <cell r="L81" t="str">
            <v>richard.marshall@aberdeenstandard.com</v>
          </cell>
          <cell r="M81" t="str">
            <v>+44 (0) 131 225 2823</v>
          </cell>
          <cell r="N81" t="str">
            <v>Neil Meikle</v>
          </cell>
          <cell r="O81" t="str">
            <v>neil.meikle@aberdeenstandard.com</v>
          </cell>
          <cell r="P81" t="str">
            <v>+44 131 2452781</v>
          </cell>
          <cell r="Q81" t="str">
            <v>United Kingdom</v>
          </cell>
          <cell r="R81" t="str">
            <v>GBP</v>
          </cell>
          <cell r="S81" t="str">
            <v>IFRS</v>
          </cell>
          <cell r="T81" t="str">
            <v>Quarterly</v>
          </cell>
          <cell r="U81" t="str">
            <v>Quarterly</v>
          </cell>
          <cell r="Y81" t="str">
            <v>Limited Partnership</v>
          </cell>
          <cell r="AF81" t="str">
            <v>Open end</v>
          </cell>
          <cell r="AG81">
            <v>3</v>
          </cell>
          <cell r="AH81">
            <v>6</v>
          </cell>
          <cell r="AI81" t="str">
            <v>Gross</v>
          </cell>
          <cell r="AN81" t="str">
            <v>Institutional</v>
          </cell>
          <cell r="AO81" t="str">
            <v>&gt; 2</v>
          </cell>
          <cell r="AP81">
            <v>1415700000</v>
          </cell>
          <cell r="AQ81">
            <v>7</v>
          </cell>
          <cell r="AY81" t="str">
            <v>Senior</v>
          </cell>
          <cell r="BA81" t="str">
            <v>≥ 50%</v>
          </cell>
          <cell r="BC81" t="str">
            <v>single country</v>
          </cell>
          <cell r="BE81" t="str">
            <v>United Kingdom</v>
          </cell>
          <cell r="BF81" t="str">
            <v>multi sector</v>
          </cell>
          <cell r="BH81">
            <v>350000000</v>
          </cell>
          <cell r="BI81">
            <v>350000000</v>
          </cell>
          <cell r="BJ81">
            <v>2014</v>
          </cell>
          <cell r="BK81">
            <v>2024</v>
          </cell>
          <cell r="BL81" t="str">
            <v>Yes</v>
          </cell>
          <cell r="BM81" t="str">
            <v>No</v>
          </cell>
          <cell r="BS81" t="str">
            <v>2019-09-30</v>
          </cell>
          <cell r="BT81">
            <v>155830091</v>
          </cell>
          <cell r="BU81">
            <v>175117775.63670501</v>
          </cell>
          <cell r="BV81">
            <v>155841085</v>
          </cell>
          <cell r="BW81">
            <v>175130130.40601179</v>
          </cell>
          <cell r="BX81">
            <v>0</v>
          </cell>
          <cell r="BY81" t="str">
            <v>No</v>
          </cell>
          <cell r="CA81">
            <v>2</v>
          </cell>
          <cell r="CC81">
            <v>15500000</v>
          </cell>
          <cell r="CD81">
            <v>17322535.384</v>
          </cell>
          <cell r="CE81">
            <v>155000000</v>
          </cell>
          <cell r="CF81">
            <v>173225353.84</v>
          </cell>
          <cell r="CH81" t="str">
            <v>United Kingdom</v>
          </cell>
          <cell r="CI81" t="str">
            <v>Retail</v>
          </cell>
          <cell r="CJ81">
            <v>40.700000000000003</v>
          </cell>
          <cell r="CK81" t="str">
            <v>United Kingdom</v>
          </cell>
          <cell r="CL81" t="str">
            <v>Office</v>
          </cell>
          <cell r="CM81">
            <v>27</v>
          </cell>
          <cell r="CN81" t="str">
            <v>United Kingdom</v>
          </cell>
          <cell r="CO81" t="str">
            <v>Industrial / Logistics</v>
          </cell>
          <cell r="CP81">
            <v>26.7</v>
          </cell>
          <cell r="CQ81" t="str">
            <v>United Kingdom</v>
          </cell>
          <cell r="CR81" t="str">
            <v>Other</v>
          </cell>
          <cell r="CS81">
            <v>5.6</v>
          </cell>
        </row>
        <row r="82">
          <cell r="A82">
            <v>19636</v>
          </cell>
          <cell r="B82" t="str">
            <v>ZENCAP REAL ESTATE DEBT FUND III PROJECT</v>
          </cell>
          <cell r="C82" t="str">
            <v>ZENCAP ASSET MANAGEMENT</v>
          </cell>
          <cell r="D82" t="str">
            <v>22 rue Vernier</v>
          </cell>
          <cell r="E82">
            <v>75017</v>
          </cell>
          <cell r="F82" t="str">
            <v>PARIS</v>
          </cell>
          <cell r="G82" t="str">
            <v>France</v>
          </cell>
          <cell r="H82" t="str">
            <v>+33156888361</v>
          </cell>
          <cell r="J82" t="str">
            <v>wwww.zencap-am.fr</v>
          </cell>
          <cell r="K82" t="str">
            <v>Victoire BLAZSIN</v>
          </cell>
          <cell r="L82" t="str">
            <v>vblazsin@zencap-am.fr</v>
          </cell>
          <cell r="N82" t="str">
            <v>Pierre CHAIZE</v>
          </cell>
          <cell r="O82" t="str">
            <v>pchaize@zencap-am.fr</v>
          </cell>
          <cell r="P82" t="str">
            <v>+33156888361</v>
          </cell>
          <cell r="Q82" t="str">
            <v>France</v>
          </cell>
          <cell r="R82" t="str">
            <v>EUR</v>
          </cell>
          <cell r="S82" t="str">
            <v>Local GAAP</v>
          </cell>
          <cell r="T82" t="str">
            <v>Quarterly</v>
          </cell>
          <cell r="X82" t="str">
            <v>PWC</v>
          </cell>
          <cell r="Y82" t="str">
            <v>Investment Fund</v>
          </cell>
          <cell r="Z82" t="str">
            <v>No</v>
          </cell>
          <cell r="AA82" t="str">
            <v>No</v>
          </cell>
          <cell r="AB82">
            <v>0</v>
          </cell>
          <cell r="AC82" t="str">
            <v>Non-Listed Fund</v>
          </cell>
          <cell r="AD82" t="str">
            <v>Opportunity</v>
          </cell>
          <cell r="AE82" t="str">
            <v>finite</v>
          </cell>
          <cell r="AF82" t="str">
            <v>Closed end</v>
          </cell>
          <cell r="AI82" t="str">
            <v>Net</v>
          </cell>
          <cell r="AN82" t="str">
            <v>Institutional</v>
          </cell>
          <cell r="AO82" t="str">
            <v>&gt; 2</v>
          </cell>
          <cell r="AW82" t="str">
            <v>Direct lending</v>
          </cell>
          <cell r="AX82" t="str">
            <v>Book value(excl. amortisation)</v>
          </cell>
          <cell r="AY82" t="str">
            <v>Mixed: Senior+Subordinated</v>
          </cell>
          <cell r="BA82" t="str">
            <v>≥ 50%</v>
          </cell>
          <cell r="BB82" t="str">
            <v>Europe</v>
          </cell>
          <cell r="BC82" t="str">
            <v>multi country</v>
          </cell>
          <cell r="BF82" t="str">
            <v>multi sector</v>
          </cell>
          <cell r="BH82">
            <v>300000000</v>
          </cell>
          <cell r="BJ82">
            <v>2020</v>
          </cell>
          <cell r="BK82">
            <v>2030</v>
          </cell>
          <cell r="BL82" t="str">
            <v>No</v>
          </cell>
          <cell r="BO82" t="str">
            <v>No</v>
          </cell>
        </row>
        <row r="84">
          <cell r="A84" t="str">
            <v>X</v>
          </cell>
          <cell r="B84" t="str">
            <v>X</v>
          </cell>
          <cell r="C84" t="str">
            <v>X</v>
          </cell>
          <cell r="R84" t="str">
            <v>FUND CURRENCY</v>
          </cell>
          <cell r="AF84" t="str">
            <v>STATUS</v>
          </cell>
          <cell r="AY84" t="str">
            <v>RE: DEBT TYPES</v>
          </cell>
          <cell r="BB84" t="str">
            <v>PRIMARY REGION FOCUS</v>
          </cell>
          <cell r="BJ84" t="str">
            <v>VINTAGE / INCEPTION YEAR</v>
          </cell>
        </row>
        <row r="85">
          <cell r="A85">
            <v>97174</v>
          </cell>
          <cell r="B85" t="str">
            <v>PRECap VII</v>
          </cell>
          <cell r="C85" t="str">
            <v>PGIM Real Estate</v>
          </cell>
          <cell r="R85" t="str">
            <v>GBP</v>
          </cell>
          <cell r="S85" t="e">
            <v>#N/A</v>
          </cell>
          <cell r="T85" t="e">
            <v>#N/A</v>
          </cell>
          <cell r="U85" t="e">
            <v>#N/A</v>
          </cell>
          <cell r="V85" t="e">
            <v>#N/A</v>
          </cell>
          <cell r="W85" t="e">
            <v>#N/A</v>
          </cell>
          <cell r="X85" t="e">
            <v>#N/A</v>
          </cell>
          <cell r="Y85" t="e">
            <v>#N/A</v>
          </cell>
          <cell r="Z85" t="e">
            <v>#N/A</v>
          </cell>
          <cell r="AA85" t="e">
            <v>#N/A</v>
          </cell>
          <cell r="AB85" t="e">
            <v>#N/A</v>
          </cell>
          <cell r="AC85" t="e">
            <v>#N/A</v>
          </cell>
          <cell r="AD85" t="e">
            <v>#N/A</v>
          </cell>
          <cell r="AE85" t="e">
            <v>#N/A</v>
          </cell>
          <cell r="AF85" t="str">
            <v>Closed end</v>
          </cell>
          <cell r="AG85" t="e">
            <v>#N/A</v>
          </cell>
          <cell r="AH85" t="e">
            <v>#N/A</v>
          </cell>
          <cell r="AI85" t="e">
            <v>#N/A</v>
          </cell>
          <cell r="AJ85" t="e">
            <v>#N/A</v>
          </cell>
          <cell r="AK85" t="e">
            <v>#N/A</v>
          </cell>
          <cell r="AL85" t="e">
            <v>#N/A</v>
          </cell>
          <cell r="AM85" t="e">
            <v>#N/A</v>
          </cell>
          <cell r="AN85" t="e">
            <v>#N/A</v>
          </cell>
          <cell r="AO85" t="e">
            <v>#N/A</v>
          </cell>
          <cell r="AP85" t="e">
            <v>#N/A</v>
          </cell>
          <cell r="AQ85" t="e">
            <v>#N/A</v>
          </cell>
          <cell r="AR85" t="e">
            <v>#N/A</v>
          </cell>
          <cell r="AS85" t="e">
            <v>#N/A</v>
          </cell>
          <cell r="AT85" t="e">
            <v>#N/A</v>
          </cell>
          <cell r="AU85" t="e">
            <v>#N/A</v>
          </cell>
          <cell r="AV85" t="e">
            <v>#N/A</v>
          </cell>
          <cell r="AW85" t="e">
            <v>#N/A</v>
          </cell>
          <cell r="AX85" t="e">
            <v>#N/A</v>
          </cell>
          <cell r="AY85" t="str">
            <v>Mixed: Senior+Subordinated+Preferred equity</v>
          </cell>
          <cell r="AZ85" t="e">
            <v>#N/A</v>
          </cell>
          <cell r="BA85" t="e">
            <v>#N/A</v>
          </cell>
          <cell r="BB85" t="str">
            <v>Europe</v>
          </cell>
          <cell r="BC85" t="e">
            <v>#N/A</v>
          </cell>
          <cell r="BD85" t="e">
            <v>#N/A</v>
          </cell>
          <cell r="BE85" t="e">
            <v>#N/A</v>
          </cell>
          <cell r="BF85" t="e">
            <v>#N/A</v>
          </cell>
          <cell r="BG85" t="e">
            <v>#N/A</v>
          </cell>
          <cell r="BH85" t="e">
            <v>#N/A</v>
          </cell>
          <cell r="BI85" t="e">
            <v>#N/A</v>
          </cell>
          <cell r="BJ85">
            <v>2019</v>
          </cell>
        </row>
        <row r="86">
          <cell r="A86">
            <v>10000001</v>
          </cell>
          <cell r="B86" t="str">
            <v>UK Secured Lending III</v>
          </cell>
          <cell r="C86" t="str">
            <v>BentallGreenOak</v>
          </cell>
          <cell r="R86" t="str">
            <v>GBP</v>
          </cell>
          <cell r="AF86" t="str">
            <v>Closed end</v>
          </cell>
          <cell r="AY86" t="str">
            <v>Senior</v>
          </cell>
          <cell r="BB86" t="str">
            <v>Europe</v>
          </cell>
          <cell r="BJ86">
            <v>2020</v>
          </cell>
        </row>
        <row r="87">
          <cell r="A87">
            <v>10000002</v>
          </cell>
          <cell r="B87" t="str">
            <v>Europe Secured Lending II</v>
          </cell>
          <cell r="C87" t="str">
            <v>BentallGreenOak</v>
          </cell>
          <cell r="R87" t="str">
            <v>GBP</v>
          </cell>
          <cell r="AF87" t="str">
            <v>Closed end</v>
          </cell>
          <cell r="AY87" t="str">
            <v>Senior</v>
          </cell>
          <cell r="BB87" t="str">
            <v>Europe</v>
          </cell>
          <cell r="BJ87">
            <v>2020</v>
          </cell>
        </row>
        <row r="88">
          <cell r="A88">
            <v>76090</v>
          </cell>
          <cell r="B88" t="str">
            <v>SCOR Real Estate Loans IV</v>
          </cell>
          <cell r="C88" t="str">
            <v>SCOR Investment Partners</v>
          </cell>
          <cell r="R88" t="str">
            <v>EUR</v>
          </cell>
          <cell r="AF88" t="str">
            <v>Closed end</v>
          </cell>
          <cell r="AY88" t="str">
            <v>Senior</v>
          </cell>
          <cell r="BB88" t="str">
            <v>Europe</v>
          </cell>
          <cell r="BJ88">
            <v>2020</v>
          </cell>
        </row>
        <row r="89">
          <cell r="A89">
            <v>105571</v>
          </cell>
          <cell r="B89" t="str">
            <v>LaSalle Real Estate Debt Strategies IV</v>
          </cell>
          <cell r="C89" t="str">
            <v xml:space="preserve">LaSalle Investment Management </v>
          </cell>
          <cell r="R89" t="str">
            <v>EUR</v>
          </cell>
          <cell r="AF89" t="str">
            <v>Closed end</v>
          </cell>
          <cell r="AY89" t="str">
            <v>Subordinated: Junior+Mezzanine</v>
          </cell>
          <cell r="BB89" t="str">
            <v>Europe</v>
          </cell>
          <cell r="BJ89">
            <v>2020</v>
          </cell>
        </row>
        <row r="90">
          <cell r="A90">
            <v>101287</v>
          </cell>
          <cell r="B90" t="str">
            <v>LaSalle Whole Loan Strategy I</v>
          </cell>
          <cell r="C90" t="str">
            <v>LaSalle Investment Management</v>
          </cell>
          <cell r="R90" t="str">
            <v>EUR</v>
          </cell>
          <cell r="AF90" t="str">
            <v>Closed end</v>
          </cell>
          <cell r="AY90" t="str">
            <v>Whole Loans</v>
          </cell>
          <cell r="BB90" t="str">
            <v>Europe</v>
          </cell>
          <cell r="BD90">
            <v>0.29004329004329005</v>
          </cell>
          <cell r="BJ90">
            <v>2019</v>
          </cell>
        </row>
        <row r="91">
          <cell r="A91">
            <v>105571</v>
          </cell>
          <cell r="B91" t="str">
            <v>LaSalle Real Estate Strategies IV</v>
          </cell>
          <cell r="C91" t="str">
            <v>LaSalle Investment Management</v>
          </cell>
          <cell r="R91" t="str">
            <v>EUR</v>
          </cell>
          <cell r="AF91" t="str">
            <v>Closed end</v>
          </cell>
          <cell r="AY91" t="str">
            <v>Subordinated: Junior+Mezzanine</v>
          </cell>
          <cell r="BB91" t="str">
            <v>Europe</v>
          </cell>
          <cell r="BJ91">
            <v>2020</v>
          </cell>
        </row>
        <row r="92">
          <cell r="A92" t="str">
            <v>XXX/</v>
          </cell>
          <cell r="B92" t="str">
            <v>European Real Estate Senior Debt 6</v>
          </cell>
          <cell r="C92" t="str">
            <v xml:space="preserve">DRC Capital </v>
          </cell>
          <cell r="R92" t="e">
            <v>#N/A</v>
          </cell>
          <cell r="AF92" t="e">
            <v>#N/A</v>
          </cell>
          <cell r="AY92" t="e">
            <v>#N/A</v>
          </cell>
          <cell r="BB92" t="e">
            <v>#N/A</v>
          </cell>
          <cell r="BJ92" t="e">
            <v>#N/A</v>
          </cell>
        </row>
        <row r="93">
          <cell r="A93">
            <v>105974</v>
          </cell>
          <cell r="B93" t="str">
            <v>DRC European Real Estate Senior Debt 4</v>
          </cell>
          <cell r="C93" t="str">
            <v xml:space="preserve">DRC Capital </v>
          </cell>
          <cell r="R93" t="str">
            <v>GBP</v>
          </cell>
          <cell r="AF93" t="str">
            <v>Closed end</v>
          </cell>
          <cell r="AY93" t="str">
            <v>Mixed: Senior+Subordinated+Preferred equity</v>
          </cell>
          <cell r="BB93" t="str">
            <v>Europe</v>
          </cell>
          <cell r="BJ93">
            <v>2019</v>
          </cell>
        </row>
        <row r="94">
          <cell r="A94">
            <v>120207</v>
          </cell>
          <cell r="B94" t="str">
            <v>DRC UK Whole Loan Fund II</v>
          </cell>
          <cell r="C94" t="str">
            <v xml:space="preserve">DRC Capital </v>
          </cell>
          <cell r="R94" t="str">
            <v>GBP</v>
          </cell>
          <cell r="AF94" t="str">
            <v>Closed end</v>
          </cell>
          <cell r="AY94" t="str">
            <v>Whole Loans</v>
          </cell>
          <cell r="BB94" t="str">
            <v>Europe</v>
          </cell>
          <cell r="BJ94">
            <v>2020</v>
          </cell>
        </row>
        <row r="95">
          <cell r="A95" t="str">
            <v>XXX/</v>
          </cell>
          <cell r="B95" t="str">
            <v>PGIM Real Estate Capital VII</v>
          </cell>
          <cell r="C95" t="str">
            <v>PGIM Real Estate</v>
          </cell>
          <cell r="R95" t="e">
            <v>#N/A</v>
          </cell>
          <cell r="AF95" t="e">
            <v>#N/A</v>
          </cell>
          <cell r="AY95" t="e">
            <v>#N/A</v>
          </cell>
          <cell r="BB95" t="e">
            <v>#N/A</v>
          </cell>
          <cell r="BJ95" t="e">
            <v>#N/A</v>
          </cell>
        </row>
        <row r="96">
          <cell r="A96">
            <v>28321</v>
          </cell>
          <cell r="B96" t="str">
            <v>Special Situations Fund</v>
          </cell>
          <cell r="C96" t="str">
            <v>CBRE Global Investors</v>
          </cell>
          <cell r="R96" t="str">
            <v>USD</v>
          </cell>
          <cell r="AF96" t="str">
            <v>Open end</v>
          </cell>
          <cell r="AY96" t="str">
            <v>Mixed: Senior+Subordinated</v>
          </cell>
          <cell r="BB96" t="str">
            <v>North America</v>
          </cell>
          <cell r="BJ96">
            <v>2009</v>
          </cell>
        </row>
        <row r="97">
          <cell r="A97">
            <v>73412</v>
          </cell>
          <cell r="B97" t="str">
            <v>CREDF II-S</v>
          </cell>
          <cell r="C97" t="str">
            <v>Octopus Real Estate</v>
          </cell>
          <cell r="R97" t="str">
            <v>GBP</v>
          </cell>
          <cell r="AF97" t="str">
            <v>Closed end</v>
          </cell>
          <cell r="AY97" t="str">
            <v>Subordinated: Junior+Mezzanine</v>
          </cell>
          <cell r="BB97" t="str">
            <v>Europe</v>
          </cell>
          <cell r="BJ97">
            <v>2017</v>
          </cell>
        </row>
      </sheetData>
      <sheetData sheetId="23">
        <row r="3">
          <cell r="J3" t="str">
            <v>PGIM Real Estate</v>
          </cell>
          <cell r="K3" t="str">
            <v>PRECap VII</v>
          </cell>
          <cell r="L3" t="str">
            <v>Yes</v>
          </cell>
          <cell r="O3">
            <v>918</v>
          </cell>
          <cell r="P3">
            <v>814</v>
          </cell>
          <cell r="R3">
            <v>52</v>
          </cell>
          <cell r="W3">
            <v>52</v>
          </cell>
          <cell r="X3">
            <v>52</v>
          </cell>
          <cell r="Y3">
            <v>34</v>
          </cell>
          <cell r="Z3">
            <v>832</v>
          </cell>
          <cell r="AE3">
            <v>100</v>
          </cell>
          <cell r="AG3" t="str">
            <v>Increase</v>
          </cell>
          <cell r="AH3" t="str">
            <v>Yes</v>
          </cell>
        </row>
        <row r="4">
          <cell r="J4" t="str">
            <v>BentallGreenOak</v>
          </cell>
          <cell r="K4" t="str">
            <v>UK Secured Lending III</v>
          </cell>
          <cell r="L4" t="str">
            <v>Yes</v>
          </cell>
          <cell r="O4">
            <v>360</v>
          </cell>
          <cell r="P4">
            <v>360</v>
          </cell>
          <cell r="X4">
            <v>360</v>
          </cell>
          <cell r="AE4">
            <v>100</v>
          </cell>
          <cell r="AG4" t="str">
            <v>Increase</v>
          </cell>
          <cell r="AH4" t="str">
            <v>Yes</v>
          </cell>
        </row>
        <row r="5">
          <cell r="J5" t="str">
            <v>BentallGreenOak</v>
          </cell>
          <cell r="K5" t="str">
            <v>Europe Secured Lending II</v>
          </cell>
          <cell r="L5" t="str">
            <v>Yes</v>
          </cell>
          <cell r="O5">
            <v>110</v>
          </cell>
          <cell r="P5">
            <v>110</v>
          </cell>
          <cell r="X5">
            <v>110</v>
          </cell>
          <cell r="AE5">
            <v>100</v>
          </cell>
          <cell r="AG5" t="str">
            <v>Increase</v>
          </cell>
          <cell r="AH5" t="str">
            <v>Yes</v>
          </cell>
        </row>
        <row r="6">
          <cell r="J6" t="str">
            <v>SCOR Investment Partners</v>
          </cell>
          <cell r="K6" t="str">
            <v>SCOR Real Estate Loans IV</v>
          </cell>
          <cell r="L6" t="str">
            <v>Yes</v>
          </cell>
          <cell r="O6">
            <v>175</v>
          </cell>
          <cell r="P6">
            <v>0</v>
          </cell>
          <cell r="Q6">
            <v>150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25</v>
          </cell>
          <cell r="X6">
            <v>175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100</v>
          </cell>
          <cell r="AF6">
            <v>0</v>
          </cell>
          <cell r="AG6" t="str">
            <v>No change</v>
          </cell>
          <cell r="AH6" t="str">
            <v>No</v>
          </cell>
        </row>
        <row r="7">
          <cell r="J7" t="str">
            <v xml:space="preserve">LaSalle Investment Management </v>
          </cell>
          <cell r="K7" t="str">
            <v>LaSalle Real Estate Debt Strategies IV</v>
          </cell>
          <cell r="L7" t="str">
            <v>Yes</v>
          </cell>
          <cell r="O7">
            <v>435</v>
          </cell>
          <cell r="P7">
            <v>310</v>
          </cell>
          <cell r="Q7">
            <v>100</v>
          </cell>
          <cell r="W7">
            <v>25</v>
          </cell>
          <cell r="X7">
            <v>180</v>
          </cell>
          <cell r="Y7">
            <v>230</v>
          </cell>
          <cell r="Z7">
            <v>25</v>
          </cell>
          <cell r="AE7">
            <v>100</v>
          </cell>
          <cell r="AG7" t="str">
            <v>Increase</v>
          </cell>
          <cell r="AH7" t="str">
            <v>Yes</v>
          </cell>
        </row>
        <row r="8">
          <cell r="J8" t="str">
            <v>Octopus Investments</v>
          </cell>
          <cell r="K8" t="str">
            <v xml:space="preserve">Commercial Real Estate Debt Fund </v>
          </cell>
          <cell r="L8" t="str">
            <v>No</v>
          </cell>
          <cell r="M8" t="str">
            <v>Other (please specify)</v>
          </cell>
          <cell r="N8" t="str">
            <v xml:space="preserve">Market </v>
          </cell>
          <cell r="AG8" t="str">
            <v>Increase</v>
          </cell>
          <cell r="AH8" t="str">
            <v>Yes</v>
          </cell>
        </row>
        <row r="9">
          <cell r="J9" t="str">
            <v>LaSalle Investment Management</v>
          </cell>
          <cell r="K9" t="str">
            <v>LaSalle Whole Loan Strategy I</v>
          </cell>
          <cell r="L9" t="str">
            <v>Yes</v>
          </cell>
          <cell r="O9">
            <v>300</v>
          </cell>
          <cell r="Q9">
            <v>300</v>
          </cell>
          <cell r="X9">
            <v>300</v>
          </cell>
          <cell r="AE9">
            <v>100</v>
          </cell>
          <cell r="AG9" t="str">
            <v>Increase</v>
          </cell>
          <cell r="AH9" t="str">
            <v>Yes</v>
          </cell>
        </row>
        <row r="10">
          <cell r="J10" t="str">
            <v>LaSalle Investment Management</v>
          </cell>
          <cell r="K10" t="str">
            <v>LaSalle Real Estate Strategies IV</v>
          </cell>
          <cell r="L10" t="str">
            <v>Yes</v>
          </cell>
        </row>
        <row r="11">
          <cell r="J11" t="str">
            <v>Octopus Real Estate</v>
          </cell>
          <cell r="K11" t="str">
            <v>CREDF II-S</v>
          </cell>
          <cell r="L11" t="str">
            <v>Yes</v>
          </cell>
          <cell r="O11">
            <v>76</v>
          </cell>
          <cell r="P11">
            <v>26</v>
          </cell>
          <cell r="U11">
            <v>50</v>
          </cell>
          <cell r="X11">
            <v>76</v>
          </cell>
          <cell r="AC11">
            <v>0</v>
          </cell>
          <cell r="AD11">
            <v>0</v>
          </cell>
          <cell r="AE11">
            <v>100</v>
          </cell>
          <cell r="AF11">
            <v>0</v>
          </cell>
          <cell r="AG11" t="str">
            <v>Increase</v>
          </cell>
          <cell r="AH11" t="str">
            <v>Yes</v>
          </cell>
        </row>
        <row r="12">
          <cell r="J12" t="str">
            <v>AgFe LLP</v>
          </cell>
          <cell r="K12" t="str">
            <v>Managed Accounts</v>
          </cell>
          <cell r="L12" t="str">
            <v>Yes</v>
          </cell>
          <cell r="O12">
            <v>800</v>
          </cell>
          <cell r="Q12">
            <v>800</v>
          </cell>
          <cell r="X12">
            <v>800</v>
          </cell>
          <cell r="AE12">
            <v>100</v>
          </cell>
          <cell r="AG12" t="str">
            <v>Decrease</v>
          </cell>
          <cell r="AH12" t="str">
            <v>Yes</v>
          </cell>
        </row>
        <row r="13">
          <cell r="J13" t="str">
            <v>Generali Real Estate SGR S.p.A.</v>
          </cell>
          <cell r="K13" t="str">
            <v>Generali Real Estate Debt Investment Fund</v>
          </cell>
          <cell r="L13" t="str">
            <v>Yes</v>
          </cell>
          <cell r="O13">
            <v>214</v>
          </cell>
          <cell r="Q13">
            <v>214</v>
          </cell>
          <cell r="X13">
            <v>214</v>
          </cell>
          <cell r="AE13">
            <v>100</v>
          </cell>
        </row>
        <row r="14">
          <cell r="J14" t="str">
            <v xml:space="preserve">DRC Capital </v>
          </cell>
          <cell r="K14" t="str">
            <v>European Real Estate Senior Debt 6</v>
          </cell>
          <cell r="L14" t="str">
            <v>Yes</v>
          </cell>
          <cell r="O14">
            <v>65</v>
          </cell>
          <cell r="Q14">
            <v>65</v>
          </cell>
          <cell r="X14">
            <v>65</v>
          </cell>
          <cell r="AD14">
            <v>100</v>
          </cell>
          <cell r="AG14" t="str">
            <v>Increase</v>
          </cell>
          <cell r="AH14" t="str">
            <v>Yes</v>
          </cell>
        </row>
        <row r="15">
          <cell r="J15" t="str">
            <v xml:space="preserve">DRC Capital </v>
          </cell>
          <cell r="K15" t="str">
            <v>DRC European Real Estate Senior Debt 4</v>
          </cell>
          <cell r="L15" t="str">
            <v>Yes</v>
          </cell>
          <cell r="O15">
            <v>100</v>
          </cell>
          <cell r="P15">
            <v>100</v>
          </cell>
          <cell r="X15">
            <v>100</v>
          </cell>
          <cell r="AE15">
            <v>100</v>
          </cell>
          <cell r="AG15" t="str">
            <v>Increase</v>
          </cell>
          <cell r="AH15" t="str">
            <v>Yes</v>
          </cell>
        </row>
        <row r="16">
          <cell r="J16" t="str">
            <v xml:space="preserve">DRC Capital </v>
          </cell>
          <cell r="K16" t="str">
            <v>DRC UK Whole Loan Fund II</v>
          </cell>
          <cell r="L16" t="str">
            <v>Yes</v>
          </cell>
          <cell r="O16">
            <v>145</v>
          </cell>
          <cell r="P16">
            <v>145</v>
          </cell>
          <cell r="X16">
            <v>145</v>
          </cell>
          <cell r="AE16">
            <v>100</v>
          </cell>
          <cell r="AG16" t="str">
            <v>Increase</v>
          </cell>
          <cell r="AH16" t="str">
            <v>Yes</v>
          </cell>
        </row>
        <row r="17">
          <cell r="J17" t="str">
            <v xml:space="preserve">DRC Capital </v>
          </cell>
          <cell r="K17" t="str">
            <v>DRC European Real Estate Debt Fund IV</v>
          </cell>
          <cell r="L17" t="str">
            <v>Yes</v>
          </cell>
          <cell r="O17">
            <v>104</v>
          </cell>
          <cell r="P17">
            <v>79</v>
          </cell>
          <cell r="Q17">
            <v>25</v>
          </cell>
          <cell r="X17">
            <v>27</v>
          </cell>
          <cell r="Y17">
            <v>77</v>
          </cell>
          <cell r="AC17">
            <v>74</v>
          </cell>
          <cell r="AE17">
            <v>26</v>
          </cell>
          <cell r="AG17" t="str">
            <v>Increase</v>
          </cell>
          <cell r="AH17" t="str">
            <v>Yes</v>
          </cell>
        </row>
        <row r="18">
          <cell r="J18" t="str">
            <v>Pluto Finance</v>
          </cell>
          <cell r="K18" t="str">
            <v>Fund V</v>
          </cell>
          <cell r="L18" t="str">
            <v>Yes</v>
          </cell>
          <cell r="O18">
            <v>48</v>
          </cell>
          <cell r="P18">
            <v>10</v>
          </cell>
          <cell r="Q18">
            <v>28</v>
          </cell>
          <cell r="U18">
            <v>10</v>
          </cell>
          <cell r="X18">
            <v>48</v>
          </cell>
          <cell r="AE18">
            <v>100</v>
          </cell>
          <cell r="AG18" t="str">
            <v>Increase</v>
          </cell>
          <cell r="AH18" t="str">
            <v>No</v>
          </cell>
        </row>
        <row r="19">
          <cell r="J19" t="str">
            <v>CBRE Global Investors</v>
          </cell>
          <cell r="K19" t="str">
            <v>Special Situations Fund</v>
          </cell>
          <cell r="L19" t="str">
            <v>Yes</v>
          </cell>
          <cell r="O19">
            <v>90</v>
          </cell>
          <cell r="P19">
            <v>82</v>
          </cell>
          <cell r="W19">
            <v>8</v>
          </cell>
          <cell r="X19">
            <v>65</v>
          </cell>
          <cell r="Z19">
            <v>25</v>
          </cell>
          <cell r="AE19">
            <v>100</v>
          </cell>
          <cell r="AG19" t="str">
            <v>Increase</v>
          </cell>
          <cell r="AH19" t="str">
            <v>Yes</v>
          </cell>
        </row>
        <row r="20">
          <cell r="K20" t="str">
            <v>Heitman Closed End Debt Fund</v>
          </cell>
          <cell r="L20" t="str">
            <v>Yes</v>
          </cell>
          <cell r="O20">
            <v>300</v>
          </cell>
          <cell r="S20">
            <v>300</v>
          </cell>
          <cell r="Y20">
            <v>200</v>
          </cell>
          <cell r="Z20">
            <v>100</v>
          </cell>
          <cell r="AE20">
            <v>100</v>
          </cell>
          <cell r="AG20" t="str">
            <v>Increase</v>
          </cell>
          <cell r="AH20" t="str">
            <v>Yes</v>
          </cell>
        </row>
        <row r="21">
          <cell r="K21" t="str">
            <v>SELF III</v>
          </cell>
          <cell r="L21" t="str">
            <v>Yes</v>
          </cell>
          <cell r="O21">
            <v>75</v>
          </cell>
          <cell r="Q21">
            <v>10</v>
          </cell>
          <cell r="R21">
            <v>65</v>
          </cell>
          <cell r="X21">
            <v>75</v>
          </cell>
          <cell r="AE21">
            <v>100</v>
          </cell>
          <cell r="AG21" t="str">
            <v>Increase</v>
          </cell>
          <cell r="AH21" t="str">
            <v>Yes</v>
          </cell>
        </row>
      </sheetData>
      <sheetData sheetId="24"/>
      <sheetData sheetId="25">
        <row r="1">
          <cell r="B1" t="str">
            <v>Vehicle Name</v>
          </cell>
          <cell r="C1" t="str">
            <v>Vehicle Manager Company</v>
          </cell>
          <cell r="D1" t="str">
            <v>Business Address</v>
          </cell>
          <cell r="E1" t="str">
            <v>Postcode</v>
          </cell>
          <cell r="F1" t="str">
            <v>City</v>
          </cell>
          <cell r="G1" t="str">
            <v>Country</v>
          </cell>
          <cell r="H1" t="str">
            <v>Switchboard</v>
          </cell>
          <cell r="I1" t="str">
            <v>Fax Number</v>
          </cell>
          <cell r="J1" t="str">
            <v>Company Website</v>
          </cell>
          <cell r="K1" t="str">
            <v>Vehicle Manager Name</v>
          </cell>
          <cell r="L1" t="str">
            <v>Vehicle Manager Email</v>
          </cell>
          <cell r="M1" t="str">
            <v>Vehicle Manager Telephone</v>
          </cell>
          <cell r="N1" t="str">
            <v>Investor Client Relations Name</v>
          </cell>
          <cell r="O1" t="str">
            <v>Investor Client Relations Email</v>
          </cell>
          <cell r="P1" t="str">
            <v>Investor Client Relations Telephone</v>
          </cell>
          <cell r="Q1" t="str">
            <v>Vehicle Domicile</v>
          </cell>
          <cell r="R1" t="str">
            <v>Currency of Reporting</v>
          </cell>
          <cell r="S1" t="str">
            <v>Accounting Standards</v>
          </cell>
          <cell r="T1" t="str">
            <v>Financial Reporting Frequency</v>
          </cell>
          <cell r="U1" t="str">
            <v>Frequency of External Property Valuations</v>
          </cell>
          <cell r="V1" t="str">
            <v>Valuation approach applied to properties</v>
          </cell>
          <cell r="W1" t="str">
            <v>What NAV calculation method has been used for the figures in this database?</v>
          </cell>
          <cell r="X1" t="str">
            <v>Name of Vehicle Auditor</v>
          </cell>
          <cell r="Y1" t="str">
            <v>Legal vehicle structure</v>
          </cell>
          <cell r="Z1" t="str">
            <v>Does your fund report an INREV NAV to investors?</v>
          </cell>
          <cell r="AA1" t="str">
            <v>Is there a Non-Executive Body</v>
          </cell>
          <cell r="AB1" t="str">
            <v>Number of Independents</v>
          </cell>
          <cell r="AC1" t="str">
            <v>Vehicle Type</v>
          </cell>
          <cell r="AD1" t="str">
            <v>Manager Defined Style</v>
          </cell>
          <cell r="AE1" t="str">
            <v>Finite/Infinite structure</v>
          </cell>
          <cell r="AF1" t="str">
            <v>Vehicle Structure</v>
          </cell>
          <cell r="AG1" t="str">
            <v>Target IRR - From (%)</v>
          </cell>
          <cell r="AH1" t="str">
            <v>Target IRR - To (%)</v>
          </cell>
          <cell r="AI1" t="str">
            <v>Basis for IRR Calculation</v>
          </cell>
          <cell r="AJ1" t="str">
            <v>Performance Benchmark</v>
          </cell>
          <cell r="AK1" t="str">
            <v>Target Distribution Yield (%)</v>
          </cell>
          <cell r="AL1" t="str">
            <v>Target Gearing Level as a % of GAV</v>
          </cell>
          <cell r="AM1" t="str">
            <v>Maximum LTV (%)</v>
          </cell>
          <cell r="AN1" t="str">
            <v>Target Investors</v>
          </cell>
          <cell r="AO1" t="str">
            <v>Target Number of Investors</v>
          </cell>
          <cell r="AP1" t="str">
            <v>Blended gearing as a % GAV</v>
          </cell>
          <cell r="AQ1" t="str">
            <v>Number of vehicles invested in</v>
          </cell>
          <cell r="AR1" t="str">
            <v>Number of managers invested in</v>
          </cell>
          <cell r="AS1" t="str">
            <v>Average size of commitments by fund</v>
          </cell>
          <cell r="AT1" t="str">
            <v>Target average blended gearing of vehicles(%GAV)</v>
          </cell>
          <cell r="AU1" t="str">
            <v>Target average total gearing</v>
          </cell>
          <cell r="AV1" t="str">
            <v>Target number of vehicles</v>
          </cell>
          <cell r="AW1" t="str">
            <v>Maximum share of one vehicle in the fund</v>
          </cell>
          <cell r="AX1" t="str">
            <v>Maximum number of managers</v>
          </cell>
          <cell r="AY1" t="str">
            <v>Maximum share of one manager in the fund</v>
          </cell>
          <cell r="AZ1" t="str">
            <v>Fund life</v>
          </cell>
          <cell r="BA1" t="str">
            <v>Target Proportion of Institutional Holdings</v>
          </cell>
          <cell r="BB1" t="str">
            <v>Target Regional Strategy</v>
          </cell>
          <cell r="BC1" t="str">
            <v>Multi country/Single country</v>
          </cell>
          <cell r="BD1" t="str">
            <v>Target Region (Multi-Country Funds)</v>
          </cell>
          <cell r="BE1" t="str">
            <v>Target Country (Single-Country Funds)</v>
          </cell>
          <cell r="BF1" t="str">
            <v>Multi sector/Single sector strategy</v>
          </cell>
          <cell r="BG1" t="str">
            <v>Target Sector</v>
          </cell>
          <cell r="BH1" t="str">
            <v>Target Equity</v>
          </cell>
          <cell r="BI1" t="str">
            <v>Target Gross Assets Value</v>
          </cell>
          <cell r="BJ1" t="str">
            <v>Year of first closing</v>
          </cell>
          <cell r="BK1" t="str">
            <v>Planned Termination year</v>
          </cell>
          <cell r="BL1" t="str">
            <v>Provision to Extend Termination Date</v>
          </cell>
          <cell r="BM1" t="str">
            <v>Fixed Extension Period Set</v>
          </cell>
          <cell r="BN1" t="str">
            <v>Length of Extension Period</v>
          </cell>
          <cell r="BO1" t="str">
            <v>Does Manager Actively Facilitate Secondary Trading</v>
          </cell>
          <cell r="BP1" t="str">
            <v>Target return derived from income</v>
          </cell>
          <cell r="BQ1" t="str">
            <v>Target percentage of non-income producing investments</v>
          </cell>
          <cell r="BR1" t="str">
            <v>Target percentage (re)development  exposure</v>
          </cell>
          <cell r="BS1" t="str">
            <v>Reporting date</v>
          </cell>
          <cell r="BT1" t="str">
            <v>Gross Asset Value of the Vehicle (reporting currency)</v>
          </cell>
          <cell r="BU1" t="str">
            <v>Gross Asset Value of the Vehicle (EUR)</v>
          </cell>
          <cell r="BV1" t="str">
            <v>Net Asset Value of the Vehicle (reporting currency)</v>
          </cell>
          <cell r="BW1" t="str">
            <v>Net Asset Value of the Vehicle (EUR)</v>
          </cell>
          <cell r="BX1" t="str">
            <v>Gearing as a % of GAV</v>
          </cell>
          <cell r="BY1" t="str">
            <v>Are figures audited by external auditor</v>
          </cell>
          <cell r="BZ1" t="str">
            <v>Are Figures based on external/internal valuations.</v>
          </cell>
          <cell r="CA1" t="str">
            <v>Number of institutional investors</v>
          </cell>
          <cell r="CB1" t="str">
            <v>Number of properties in portfolio</v>
          </cell>
          <cell r="CC1" t="str">
            <v>Total equity commited (reporting currency</v>
          </cell>
          <cell r="CD1" t="str">
            <v>Total equity commited (local currency)</v>
          </cell>
          <cell r="CE1" t="str">
            <v>Total equity invested (reporting currency)</v>
          </cell>
          <cell r="CF1" t="str">
            <v>Total equity invested (local currency)</v>
          </cell>
          <cell r="CG1" t="str">
            <v>Open for investment/raising capital</v>
          </cell>
          <cell r="CH1" t="str">
            <v>Allocation 1 Country</v>
          </cell>
          <cell r="CI1" t="str">
            <v>Allocation 1 Sector</v>
          </cell>
          <cell r="CJ1" t="str">
            <v>Allocation 1 Value</v>
          </cell>
          <cell r="CK1" t="str">
            <v>Allocation 2 Country</v>
          </cell>
          <cell r="CL1" t="str">
            <v>Allocation 2 Sector</v>
          </cell>
          <cell r="CM1" t="str">
            <v>Allocation 2 Value</v>
          </cell>
          <cell r="CN1" t="str">
            <v>Allocation 3 Country</v>
          </cell>
          <cell r="CO1" t="str">
            <v>Allocation 3 Sector</v>
          </cell>
          <cell r="CP1" t="str">
            <v>Allocation 3 Value</v>
          </cell>
          <cell r="CQ1" t="str">
            <v>Allocation 4 Country</v>
          </cell>
          <cell r="CR1" t="str">
            <v>Allocation 4 Sector</v>
          </cell>
          <cell r="CS1" t="str">
            <v>Allocation 4 Value</v>
          </cell>
          <cell r="CT1" t="str">
            <v>Allocation 5 Country</v>
          </cell>
          <cell r="CU1" t="str">
            <v>Allocation 5 Sector</v>
          </cell>
          <cell r="CV1" t="str">
            <v>Allocation 5 Value</v>
          </cell>
          <cell r="CW1" t="str">
            <v>Allocation 6 Country</v>
          </cell>
          <cell r="CX1" t="str">
            <v>Allocation 6 Sector</v>
          </cell>
          <cell r="CY1" t="str">
            <v>Allocation 6 Value</v>
          </cell>
          <cell r="CZ1" t="str">
            <v>Allocation 7 Country</v>
          </cell>
          <cell r="DA1" t="str">
            <v>Allocation 7 Sector</v>
          </cell>
          <cell r="DB1" t="str">
            <v>Allocation 7 Value</v>
          </cell>
          <cell r="DC1" t="str">
            <v>Allocation 8 Country</v>
          </cell>
          <cell r="DD1" t="str">
            <v>Allocation 8 Sector</v>
          </cell>
          <cell r="DE1" t="str">
            <v>Allocation 8 Value</v>
          </cell>
          <cell r="DF1" t="str">
            <v>Allocation 9 Country</v>
          </cell>
          <cell r="DG1" t="str">
            <v>Allocation 9 Sector</v>
          </cell>
          <cell r="DH1" t="str">
            <v>Allocation 9 Value</v>
          </cell>
          <cell r="DI1" t="str">
            <v>Allocation 10 Country</v>
          </cell>
          <cell r="DJ1" t="str">
            <v>Allocation 10 Sector</v>
          </cell>
          <cell r="DK1" t="str">
            <v>Allocation 10 Value</v>
          </cell>
          <cell r="DL1" t="str">
            <v>Allocation 11 Country</v>
          </cell>
          <cell r="DM1" t="str">
            <v>Allocation 11 Sector</v>
          </cell>
          <cell r="DN1" t="str">
            <v>Allocation 11 Value</v>
          </cell>
          <cell r="DO1" t="str">
            <v>Allocation 12 Country</v>
          </cell>
          <cell r="DP1" t="str">
            <v>Allocation 12 Sector</v>
          </cell>
          <cell r="DQ1" t="str">
            <v>Allocation 12 Value</v>
          </cell>
          <cell r="DR1" t="str">
            <v>Allocation 13 Country</v>
          </cell>
          <cell r="DS1" t="str">
            <v>Allocation 13 Sector</v>
          </cell>
          <cell r="DT1" t="str">
            <v>Allocation 13 Value</v>
          </cell>
          <cell r="DU1" t="str">
            <v>Allocation 14 Country</v>
          </cell>
          <cell r="DV1" t="str">
            <v>Allocation 14 Sector</v>
          </cell>
          <cell r="DW1" t="str">
            <v>Allocation 14 Value</v>
          </cell>
          <cell r="DX1" t="str">
            <v>Allocation 15 Country</v>
          </cell>
          <cell r="DY1" t="str">
            <v>Allocation 15 Sector</v>
          </cell>
          <cell r="DZ1" t="str">
            <v>Allocation 15 Value</v>
          </cell>
          <cell r="EA1" t="str">
            <v>Allocation 16 Country</v>
          </cell>
          <cell r="EB1" t="str">
            <v>Allocation 16 Sector</v>
          </cell>
          <cell r="EC1" t="str">
            <v>Allocation 16 Value</v>
          </cell>
          <cell r="ED1" t="str">
            <v>Allocation 17 Country</v>
          </cell>
          <cell r="EE1" t="str">
            <v>Allocation 17 Sector</v>
          </cell>
          <cell r="EF1" t="str">
            <v>Allocation 17 Value</v>
          </cell>
          <cell r="EG1" t="str">
            <v>Allocation 18 Country</v>
          </cell>
          <cell r="EH1" t="str">
            <v>Allocation 18 Sector</v>
          </cell>
          <cell r="EI1" t="str">
            <v>Allocation 18 Value</v>
          </cell>
          <cell r="EJ1" t="str">
            <v>Allocation 19 Country</v>
          </cell>
          <cell r="EK1" t="str">
            <v>Allocation 19 Sector</v>
          </cell>
          <cell r="EL1" t="str">
            <v>Allocation 19 Value</v>
          </cell>
          <cell r="EM1" t="str">
            <v>Allocation 20 Country</v>
          </cell>
          <cell r="EN1" t="str">
            <v>Allocation 20 Sector</v>
          </cell>
          <cell r="EO1" t="str">
            <v>Allocation 20 Value</v>
          </cell>
          <cell r="EP1" t="str">
            <v>Allocation 21 Country</v>
          </cell>
          <cell r="EQ1" t="str">
            <v>Allocation 21 Sector</v>
          </cell>
          <cell r="ER1" t="str">
            <v>Allocation 21 Value</v>
          </cell>
          <cell r="ES1" t="str">
            <v>Allocation 22 Country</v>
          </cell>
          <cell r="ET1" t="str">
            <v>Allocation 22 Sector</v>
          </cell>
          <cell r="EU1" t="str">
            <v>Allocation 22 Value</v>
          </cell>
        </row>
        <row r="2">
          <cell r="A2">
            <v>17417</v>
          </cell>
          <cell r="B2" t="str">
            <v>4IP EUROPEAN REAL ESTATE FUND OF FUNDS</v>
          </cell>
          <cell r="C2" t="str">
            <v>4IP MANAGEMENT AG</v>
          </cell>
          <cell r="D2" t="str">
            <v>Feldeggstrasse 3</v>
          </cell>
          <cell r="E2">
            <v>8008</v>
          </cell>
          <cell r="F2" t="str">
            <v>Zurich</v>
          </cell>
          <cell r="G2" t="str">
            <v>Switzerland</v>
          </cell>
          <cell r="H2" t="str">
            <v>+41 44 213 1400</v>
          </cell>
          <cell r="I2" t="str">
            <v>+41 44 212 8477</v>
          </cell>
          <cell r="J2" t="str">
            <v>http://www.4ip.ch</v>
          </cell>
          <cell r="K2" t="str">
            <v>Ulrich Kaluscha</v>
          </cell>
          <cell r="L2" t="str">
            <v>ulrich.kaluscha@4ip.ch</v>
          </cell>
          <cell r="M2" t="str">
            <v>+41 44 213 1401</v>
          </cell>
          <cell r="R2" t="str">
            <v>EUR</v>
          </cell>
          <cell r="T2" t="str">
            <v>Quarterly</v>
          </cell>
          <cell r="U2" t="str">
            <v>Quarterly</v>
          </cell>
          <cell r="AD2" t="str">
            <v>Value-added</v>
          </cell>
          <cell r="AF2" t="str">
            <v>Closed end</v>
          </cell>
          <cell r="AG2">
            <v>6</v>
          </cell>
          <cell r="AH2">
            <v>8</v>
          </cell>
          <cell r="AK2" t="str">
            <v>4-5%</v>
          </cell>
          <cell r="AN2" t="str">
            <v>Institutional</v>
          </cell>
          <cell r="AQ2">
            <v>6</v>
          </cell>
          <cell r="AR2">
            <v>6</v>
          </cell>
          <cell r="AS2">
            <v>15000000</v>
          </cell>
          <cell r="AT2">
            <v>60</v>
          </cell>
          <cell r="AU2">
            <v>60</v>
          </cell>
          <cell r="AV2">
            <v>8</v>
          </cell>
          <cell r="AW2">
            <v>20</v>
          </cell>
          <cell r="AX2">
            <v>8</v>
          </cell>
          <cell r="AZ2" t="str">
            <v>16 years</v>
          </cell>
          <cell r="BB2" t="str">
            <v>Europe</v>
          </cell>
          <cell r="BH2">
            <v>146000000</v>
          </cell>
          <cell r="BJ2">
            <v>2007</v>
          </cell>
          <cell r="BK2">
            <v>2019</v>
          </cell>
          <cell r="BS2" t="str">
            <v>2020-12-31</v>
          </cell>
          <cell r="BT2">
            <v>55200000</v>
          </cell>
          <cell r="BU2">
            <v>55200000</v>
          </cell>
          <cell r="BV2">
            <v>55200000</v>
          </cell>
          <cell r="BW2">
            <v>55200000</v>
          </cell>
          <cell r="BY2" t="str">
            <v>No</v>
          </cell>
          <cell r="CA2">
            <v>7</v>
          </cell>
          <cell r="CC2">
            <v>135000000</v>
          </cell>
          <cell r="CD2">
            <v>135000000</v>
          </cell>
          <cell r="CE2">
            <v>135000000</v>
          </cell>
          <cell r="CF2">
            <v>135000000</v>
          </cell>
          <cell r="CG2" t="str">
            <v>No</v>
          </cell>
        </row>
        <row r="3">
          <cell r="A3">
            <v>17422</v>
          </cell>
          <cell r="B3" t="str">
            <v>ACHMEA REALTY FUND - ASIA</v>
          </cell>
          <cell r="C3" t="str">
            <v>SYNTRUS ACHMEA REAL ESTATE</v>
          </cell>
          <cell r="D3" t="str">
            <v>PO Box 59347</v>
          </cell>
          <cell r="E3" t="str">
            <v>1040 KH</v>
          </cell>
          <cell r="F3" t="str">
            <v>Amsterdam</v>
          </cell>
          <cell r="G3" t="str">
            <v>Netherlands</v>
          </cell>
          <cell r="J3" t="str">
            <v>http://www.achmeavastgoed.nl</v>
          </cell>
          <cell r="K3" t="str">
            <v>Geert de Nekker</v>
          </cell>
          <cell r="L3" t="str">
            <v>geert.de.nekker@achmeavastgoed.nl</v>
          </cell>
          <cell r="M3" t="str">
            <v>+31 20 6065608</v>
          </cell>
          <cell r="R3" t="str">
            <v>USD</v>
          </cell>
          <cell r="T3" t="str">
            <v>Quarterly</v>
          </cell>
          <cell r="U3" t="str">
            <v>Quarterly</v>
          </cell>
          <cell r="AD3" t="str">
            <v>Value-added</v>
          </cell>
          <cell r="AF3" t="str">
            <v>Open end</v>
          </cell>
          <cell r="AG3">
            <v>12</v>
          </cell>
          <cell r="AH3">
            <v>15</v>
          </cell>
          <cell r="AN3" t="str">
            <v>Institutional</v>
          </cell>
          <cell r="AP3">
            <v>14.7</v>
          </cell>
          <cell r="AQ3">
            <v>7</v>
          </cell>
          <cell r="AR3">
            <v>7</v>
          </cell>
          <cell r="AS3">
            <v>40000000</v>
          </cell>
          <cell r="AV3" t="str">
            <v>&gt;10</v>
          </cell>
          <cell r="AW3">
            <v>20</v>
          </cell>
          <cell r="AX3" t="str">
            <v>&gt;10</v>
          </cell>
          <cell r="AY3">
            <v>20</v>
          </cell>
          <cell r="BB3" t="str">
            <v>Asia Pacific</v>
          </cell>
          <cell r="BJ3">
            <v>2007</v>
          </cell>
          <cell r="BS3" t="str">
            <v>2019-12-31</v>
          </cell>
          <cell r="BT3">
            <v>29075000</v>
          </cell>
          <cell r="BU3">
            <v>25963044.4168275</v>
          </cell>
          <cell r="BV3">
            <v>29075000</v>
          </cell>
          <cell r="BW3">
            <v>25963044.4168275</v>
          </cell>
          <cell r="BY3" t="str">
            <v>No</v>
          </cell>
          <cell r="CA3">
            <v>9</v>
          </cell>
          <cell r="CC3">
            <v>285784706</v>
          </cell>
          <cell r="CD3">
            <v>261797212.4638842</v>
          </cell>
          <cell r="CE3">
            <v>266386220</v>
          </cell>
          <cell r="CF3">
            <v>244026948.8556571</v>
          </cell>
        </row>
        <row r="4">
          <cell r="A4">
            <v>17423</v>
          </cell>
          <cell r="B4" t="str">
            <v>ACHMEA REALTY FUND - EUROPE</v>
          </cell>
          <cell r="C4" t="str">
            <v>SYNTRUS ACHMEA REAL ESTATE</v>
          </cell>
          <cell r="D4" t="str">
            <v>PO Box 59347</v>
          </cell>
          <cell r="E4" t="str">
            <v>1040 KH</v>
          </cell>
          <cell r="F4" t="str">
            <v>Amsterdam</v>
          </cell>
          <cell r="G4" t="str">
            <v>Netherlands</v>
          </cell>
          <cell r="J4" t="str">
            <v>http://www.achmeavastgoed.nl</v>
          </cell>
          <cell r="K4" t="str">
            <v>Geert de Nekker</v>
          </cell>
          <cell r="L4" t="str">
            <v>geert.de.nekker@achmeavastgoed.nl</v>
          </cell>
          <cell r="M4" t="str">
            <v>+31 20 6065608</v>
          </cell>
          <cell r="R4" t="str">
            <v>EUR</v>
          </cell>
          <cell r="T4" t="str">
            <v>Quarterly</v>
          </cell>
          <cell r="U4" t="str">
            <v>Quarterly</v>
          </cell>
          <cell r="AD4" t="str">
            <v>Core</v>
          </cell>
          <cell r="AF4" t="str">
            <v>Open end</v>
          </cell>
          <cell r="AG4">
            <v>7</v>
          </cell>
          <cell r="AH4">
            <v>10</v>
          </cell>
          <cell r="AK4" t="str">
            <v>4-5%</v>
          </cell>
          <cell r="AN4" t="str">
            <v>Institutional</v>
          </cell>
          <cell r="AP4">
            <v>12.3</v>
          </cell>
          <cell r="AQ4">
            <v>13</v>
          </cell>
          <cell r="AR4">
            <v>13</v>
          </cell>
          <cell r="AS4">
            <v>31307000</v>
          </cell>
          <cell r="AT4">
            <v>40</v>
          </cell>
          <cell r="AV4" t="str">
            <v>15-20</v>
          </cell>
          <cell r="AW4">
            <v>20</v>
          </cell>
          <cell r="AX4" t="str">
            <v>15-20</v>
          </cell>
          <cell r="AY4">
            <v>20</v>
          </cell>
          <cell r="BB4" t="str">
            <v>Europe</v>
          </cell>
          <cell r="BJ4">
            <v>2004</v>
          </cell>
          <cell r="BS4" t="str">
            <v>2018-12-31</v>
          </cell>
          <cell r="BT4">
            <v>99628253</v>
          </cell>
          <cell r="BU4">
            <v>99628253</v>
          </cell>
          <cell r="BV4">
            <v>98807381</v>
          </cell>
          <cell r="BW4">
            <v>98807381</v>
          </cell>
          <cell r="BY4" t="str">
            <v>No</v>
          </cell>
          <cell r="CA4">
            <v>13</v>
          </cell>
          <cell r="CC4">
            <v>647683328</v>
          </cell>
          <cell r="CD4">
            <v>647683328</v>
          </cell>
          <cell r="CE4">
            <v>644271904</v>
          </cell>
          <cell r="CF4">
            <v>644271904</v>
          </cell>
        </row>
        <row r="5">
          <cell r="A5">
            <v>17424</v>
          </cell>
          <cell r="B5" t="str">
            <v>ACHMEA REALTY FUND - NORTH AMERICA</v>
          </cell>
          <cell r="C5" t="str">
            <v>SYNTRUS ACHMEA REAL ESTATE</v>
          </cell>
          <cell r="D5" t="str">
            <v>PO Box 59347</v>
          </cell>
          <cell r="E5" t="str">
            <v>1040 KH</v>
          </cell>
          <cell r="F5" t="str">
            <v>Amsterdam</v>
          </cell>
          <cell r="G5" t="str">
            <v>Netherlands</v>
          </cell>
          <cell r="J5" t="str">
            <v>http://www.achmeavastgoed.nl</v>
          </cell>
          <cell r="K5" t="str">
            <v>Geert de Nekker</v>
          </cell>
          <cell r="L5" t="str">
            <v>geert.de.nekker@achmeavastgoed.nl</v>
          </cell>
          <cell r="M5" t="str">
            <v>+31 20 6065608</v>
          </cell>
          <cell r="R5" t="str">
            <v>USD</v>
          </cell>
          <cell r="T5" t="str">
            <v>Quarterly</v>
          </cell>
          <cell r="U5" t="str">
            <v>Quarterly</v>
          </cell>
          <cell r="AD5" t="str">
            <v>Core</v>
          </cell>
          <cell r="AF5" t="str">
            <v>Open end</v>
          </cell>
          <cell r="AG5">
            <v>9</v>
          </cell>
          <cell r="AH5">
            <v>11</v>
          </cell>
          <cell r="AK5" t="str">
            <v>4-5%</v>
          </cell>
          <cell r="AN5" t="str">
            <v>Institutional</v>
          </cell>
          <cell r="AP5">
            <v>28.9</v>
          </cell>
          <cell r="AQ5">
            <v>7</v>
          </cell>
          <cell r="AR5">
            <v>7</v>
          </cell>
          <cell r="AS5">
            <v>32912000</v>
          </cell>
          <cell r="AT5">
            <v>40</v>
          </cell>
          <cell r="AV5" t="str">
            <v>15-20</v>
          </cell>
          <cell r="AW5">
            <v>20</v>
          </cell>
          <cell r="AX5" t="str">
            <v>15-20</v>
          </cell>
          <cell r="AY5">
            <v>20</v>
          </cell>
          <cell r="BB5" t="str">
            <v>North America</v>
          </cell>
          <cell r="BJ5">
            <v>2004</v>
          </cell>
          <cell r="BS5" t="str">
            <v>2018-12-31</v>
          </cell>
          <cell r="BT5">
            <v>49833481</v>
          </cell>
          <cell r="BU5">
            <v>43568665.623787038</v>
          </cell>
          <cell r="BV5">
            <v>49277672</v>
          </cell>
          <cell r="BW5">
            <v>43082730.144551873</v>
          </cell>
          <cell r="BY5" t="str">
            <v>No</v>
          </cell>
          <cell r="CA5">
            <v>9</v>
          </cell>
          <cell r="CC5">
            <v>494501117</v>
          </cell>
          <cell r="CD5">
            <v>426226242.22943038</v>
          </cell>
          <cell r="CE5">
            <v>493824913</v>
          </cell>
          <cell r="CF5">
            <v>425643400.49259257</v>
          </cell>
        </row>
        <row r="6">
          <cell r="A6">
            <v>17442</v>
          </cell>
          <cell r="B6" t="str">
            <v>ALTAN III GLOBAL FIL</v>
          </cell>
          <cell r="C6" t="str">
            <v>ALTAN CAPITAL</v>
          </cell>
          <cell r="D6" t="str">
            <v>Paseo de la Castellana, 31</v>
          </cell>
          <cell r="E6">
            <v>28046</v>
          </cell>
          <cell r="F6" t="str">
            <v>Madrid</v>
          </cell>
          <cell r="G6" t="str">
            <v>Spain</v>
          </cell>
          <cell r="I6" t="str">
            <v>+34 91 391 52 43</v>
          </cell>
          <cell r="J6" t="str">
            <v>http://www.altancapital.com</v>
          </cell>
          <cell r="K6" t="str">
            <v>Fernando Olaso</v>
          </cell>
          <cell r="L6" t="str">
            <v>folaso@altancapital.com</v>
          </cell>
          <cell r="M6" t="str">
            <v>+34 91 426 2447</v>
          </cell>
          <cell r="Q6" t="str">
            <v>Spain</v>
          </cell>
          <cell r="R6" t="str">
            <v>EUR</v>
          </cell>
          <cell r="S6" t="str">
            <v>Local GAAP</v>
          </cell>
          <cell r="T6" t="str">
            <v>Quarterly</v>
          </cell>
          <cell r="U6" t="str">
            <v>Quarterly</v>
          </cell>
          <cell r="W6" t="str">
            <v>IFRS NAV</v>
          </cell>
          <cell r="X6" t="str">
            <v>PricewaterhouseCoopers</v>
          </cell>
          <cell r="Y6" t="str">
            <v>Spanish Fondo de Inversión Libre</v>
          </cell>
          <cell r="Z6" t="str">
            <v>No</v>
          </cell>
          <cell r="AD6" t="str">
            <v>Opportunity</v>
          </cell>
          <cell r="AF6" t="str">
            <v>Closed end</v>
          </cell>
          <cell r="AI6" t="str">
            <v>Net</v>
          </cell>
          <cell r="AN6" t="str">
            <v>Institutional and Retail</v>
          </cell>
          <cell r="AO6" t="str">
            <v>&gt; 2</v>
          </cell>
          <cell r="AP6">
            <v>0</v>
          </cell>
          <cell r="AU6">
            <v>0</v>
          </cell>
          <cell r="AV6">
            <v>20</v>
          </cell>
          <cell r="AW6">
            <v>100</v>
          </cell>
          <cell r="AX6">
            <v>100</v>
          </cell>
          <cell r="AY6">
            <v>100</v>
          </cell>
          <cell r="AZ6" t="str">
            <v>12 years</v>
          </cell>
          <cell r="BA6" t="str">
            <v>≥ 50%</v>
          </cell>
          <cell r="BB6" t="str">
            <v>Global</v>
          </cell>
          <cell r="BH6">
            <v>140000000</v>
          </cell>
          <cell r="BJ6">
            <v>2013</v>
          </cell>
          <cell r="BK6">
            <v>2024</v>
          </cell>
          <cell r="BS6" t="str">
            <v>2019-12-31</v>
          </cell>
          <cell r="BT6">
            <v>121056000</v>
          </cell>
          <cell r="BU6">
            <v>121056000</v>
          </cell>
          <cell r="BV6">
            <v>121056000</v>
          </cell>
          <cell r="BW6">
            <v>121056000</v>
          </cell>
          <cell r="BY6" t="str">
            <v>Yes</v>
          </cell>
          <cell r="CD6">
            <v>0</v>
          </cell>
        </row>
        <row r="7">
          <cell r="A7">
            <v>17431</v>
          </cell>
          <cell r="B7" t="str">
            <v>ALTAN INMOBILIARIO GLOBAL I&amp;II</v>
          </cell>
          <cell r="C7" t="str">
            <v>ALTAN CAPITAL</v>
          </cell>
          <cell r="D7" t="str">
            <v>Paseo de la Castellana, 31</v>
          </cell>
          <cell r="E7">
            <v>28046</v>
          </cell>
          <cell r="F7" t="str">
            <v>Madrid</v>
          </cell>
          <cell r="G7" t="str">
            <v>Spain</v>
          </cell>
          <cell r="I7" t="str">
            <v>+34 91 391 52 43</v>
          </cell>
          <cell r="J7" t="str">
            <v>http://www.altancapital.com</v>
          </cell>
          <cell r="K7" t="str">
            <v>Fernando Olaso</v>
          </cell>
          <cell r="L7" t="str">
            <v>folaso@altancapital.com</v>
          </cell>
          <cell r="M7" t="str">
            <v>+34 91 426 2447</v>
          </cell>
          <cell r="Q7" t="str">
            <v>Spain</v>
          </cell>
          <cell r="R7" t="str">
            <v>EUR</v>
          </cell>
          <cell r="S7" t="str">
            <v>Local GAAP</v>
          </cell>
          <cell r="T7" t="str">
            <v>Quarterly</v>
          </cell>
          <cell r="U7" t="str">
            <v>Quarterly</v>
          </cell>
          <cell r="W7" t="str">
            <v>IFRS NAV</v>
          </cell>
          <cell r="X7" t="str">
            <v>PricewaterhouseCoopers</v>
          </cell>
          <cell r="Y7" t="str">
            <v>Spanish Fondo de Inversión Libre</v>
          </cell>
          <cell r="Z7" t="str">
            <v>No</v>
          </cell>
          <cell r="AD7" t="str">
            <v>Opportunity</v>
          </cell>
          <cell r="AF7" t="str">
            <v>Closed end</v>
          </cell>
          <cell r="AN7" t="str">
            <v>Institutional and Retail</v>
          </cell>
          <cell r="AO7" t="str">
            <v>&gt; 2</v>
          </cell>
          <cell r="AP7">
            <v>0</v>
          </cell>
          <cell r="AQ7">
            <v>12</v>
          </cell>
          <cell r="AR7">
            <v>8</v>
          </cell>
          <cell r="AS7">
            <v>10</v>
          </cell>
          <cell r="AU7">
            <v>0</v>
          </cell>
          <cell r="AV7">
            <v>20</v>
          </cell>
          <cell r="AW7">
            <v>100</v>
          </cell>
          <cell r="AX7">
            <v>30</v>
          </cell>
          <cell r="AY7">
            <v>100</v>
          </cell>
          <cell r="AZ7" t="str">
            <v>12 years</v>
          </cell>
          <cell r="BA7" t="str">
            <v>≥ 50%</v>
          </cell>
          <cell r="BB7" t="str">
            <v>Global</v>
          </cell>
          <cell r="BH7">
            <v>140000000</v>
          </cell>
          <cell r="BJ7">
            <v>2007</v>
          </cell>
          <cell r="BK7">
            <v>2019</v>
          </cell>
          <cell r="BS7" t="str">
            <v>2020-03-31</v>
          </cell>
          <cell r="BT7">
            <v>17316244</v>
          </cell>
          <cell r="BU7">
            <v>17316244</v>
          </cell>
          <cell r="BV7">
            <v>17316244</v>
          </cell>
          <cell r="BW7">
            <v>17316244</v>
          </cell>
          <cell r="BY7" t="str">
            <v>Yes</v>
          </cell>
          <cell r="CA7">
            <v>20</v>
          </cell>
          <cell r="CC7">
            <v>139000000</v>
          </cell>
          <cell r="CD7">
            <v>139000000</v>
          </cell>
          <cell r="CE7">
            <v>139000000</v>
          </cell>
          <cell r="CF7">
            <v>139000000</v>
          </cell>
          <cell r="CG7" t="str">
            <v>No</v>
          </cell>
        </row>
        <row r="8">
          <cell r="A8">
            <v>17426</v>
          </cell>
          <cell r="B8" t="str">
            <v>ASIA EX JAPAN VALUE ADDED I</v>
          </cell>
          <cell r="C8" t="str">
            <v>BNP PARIBAS INVESTMENT PARTNERS</v>
          </cell>
          <cell r="D8" t="str">
            <v>Burgerweeshuispad 200, PO Box 71770</v>
          </cell>
          <cell r="E8" t="str">
            <v>1008 DG</v>
          </cell>
          <cell r="F8" t="str">
            <v>Amsterdam</v>
          </cell>
          <cell r="G8" t="str">
            <v>Netherlands</v>
          </cell>
          <cell r="I8" t="str">
            <v>+31205275250</v>
          </cell>
          <cell r="J8" t="str">
            <v>http://www.bnpparibas-ip.com</v>
          </cell>
          <cell r="K8" t="str">
            <v>Nick Brugman</v>
          </cell>
          <cell r="L8" t="str">
            <v>nick.brugman@bnpparibas.com</v>
          </cell>
          <cell r="M8" t="str">
            <v>+31205275195</v>
          </cell>
          <cell r="R8" t="str">
            <v>USD</v>
          </cell>
          <cell r="T8" t="str">
            <v>Quarterly</v>
          </cell>
          <cell r="U8" t="str">
            <v>Quarterly</v>
          </cell>
          <cell r="AD8" t="str">
            <v>Value-added</v>
          </cell>
          <cell r="AF8" t="str">
            <v>Closed end</v>
          </cell>
          <cell r="AG8">
            <v>10</v>
          </cell>
          <cell r="AH8">
            <v>12</v>
          </cell>
          <cell r="AN8" t="str">
            <v>Institutional</v>
          </cell>
          <cell r="AP8">
            <v>0</v>
          </cell>
          <cell r="AT8">
            <v>65</v>
          </cell>
          <cell r="AU8">
            <v>65</v>
          </cell>
          <cell r="AV8" t="str">
            <v>6-8</v>
          </cell>
          <cell r="AW8">
            <v>20</v>
          </cell>
          <cell r="AY8">
            <v>25</v>
          </cell>
          <cell r="AZ8" t="str">
            <v>10 years</v>
          </cell>
          <cell r="BB8" t="str">
            <v>Asia Pacific</v>
          </cell>
          <cell r="BH8">
            <v>150000000</v>
          </cell>
          <cell r="BJ8">
            <v>2006</v>
          </cell>
          <cell r="BK8">
            <v>2016</v>
          </cell>
          <cell r="BS8" t="str">
            <v>2013-12-31</v>
          </cell>
          <cell r="BT8">
            <v>68018084</v>
          </cell>
          <cell r="BU8">
            <v>49408336.217600003</v>
          </cell>
          <cell r="BV8">
            <v>68018084</v>
          </cell>
          <cell r="BW8">
            <v>49408336.217600003</v>
          </cell>
          <cell r="CD8">
            <v>0</v>
          </cell>
        </row>
        <row r="9">
          <cell r="A9">
            <v>17411</v>
          </cell>
          <cell r="B9" t="str">
            <v>AURORA EUROPE PROPERTY FUND</v>
          </cell>
          <cell r="C9" t="str">
            <v>DTZ INVESTMENT MANAGEMENT</v>
          </cell>
          <cell r="D9" t="str">
            <v>125 Old Broad Street</v>
          </cell>
          <cell r="E9" t="str">
            <v>EC2N 2BQ</v>
          </cell>
          <cell r="F9" t="str">
            <v>London</v>
          </cell>
          <cell r="G9" t="str">
            <v>United Kingdom</v>
          </cell>
          <cell r="H9" t="str">
            <v>+44 20 3296 3000</v>
          </cell>
          <cell r="I9" t="str">
            <v>+44 20 3296 3000</v>
          </cell>
          <cell r="J9" t="str">
            <v>http://www.dtzim.com</v>
          </cell>
          <cell r="K9" t="str">
            <v>Martin Gilbert</v>
          </cell>
          <cell r="L9" t="str">
            <v>martin.gilbert@dtz.com</v>
          </cell>
          <cell r="M9" t="str">
            <v>+44 20 3296 3273</v>
          </cell>
          <cell r="R9" t="str">
            <v>EUR</v>
          </cell>
          <cell r="T9" t="str">
            <v>Quarterly</v>
          </cell>
          <cell r="U9" t="str">
            <v>Quarterly</v>
          </cell>
          <cell r="AD9" t="str">
            <v>Value-added</v>
          </cell>
          <cell r="AF9" t="str">
            <v>Closed end</v>
          </cell>
          <cell r="AG9">
            <v>8</v>
          </cell>
          <cell r="AH9">
            <v>10</v>
          </cell>
          <cell r="AN9" t="str">
            <v>Institutional</v>
          </cell>
          <cell r="AT9">
            <v>56</v>
          </cell>
          <cell r="AU9">
            <v>56</v>
          </cell>
          <cell r="AV9" t="str">
            <v>10-20</v>
          </cell>
          <cell r="AW9">
            <v>25</v>
          </cell>
          <cell r="AX9" t="str">
            <v>10-20</v>
          </cell>
          <cell r="AY9">
            <v>25</v>
          </cell>
          <cell r="AZ9" t="str">
            <v>10 years</v>
          </cell>
          <cell r="BB9" t="str">
            <v>Europe</v>
          </cell>
          <cell r="BH9">
            <v>400000000</v>
          </cell>
          <cell r="BJ9">
            <v>2007</v>
          </cell>
          <cell r="BK9">
            <v>2017</v>
          </cell>
          <cell r="BS9" t="str">
            <v>2018-12-31</v>
          </cell>
          <cell r="BT9">
            <v>2200248</v>
          </cell>
          <cell r="BU9">
            <v>2200248</v>
          </cell>
          <cell r="BV9">
            <v>2200248</v>
          </cell>
          <cell r="BW9">
            <v>2200248</v>
          </cell>
          <cell r="CD9">
            <v>0</v>
          </cell>
        </row>
        <row r="10">
          <cell r="A10">
            <v>17441</v>
          </cell>
          <cell r="B10" t="str">
            <v>AVIVA INVESTORS REAL ESTATE CAPITAL PARTNERS I</v>
          </cell>
          <cell r="C10" t="str">
            <v>AVIVA INVESTORS MULTI-MANAGER</v>
          </cell>
          <cell r="D10" t="str">
            <v>No 1 Poultry</v>
          </cell>
          <cell r="E10" t="str">
            <v>EC2R 8EJ</v>
          </cell>
          <cell r="F10" t="str">
            <v>London</v>
          </cell>
          <cell r="G10" t="str">
            <v>United Kingdom</v>
          </cell>
          <cell r="H10" t="str">
            <v>+44 2078096000</v>
          </cell>
          <cell r="J10" t="str">
            <v>http://www.avivainvestors.com</v>
          </cell>
          <cell r="K10" t="str">
            <v>Ed Casal</v>
          </cell>
          <cell r="L10" t="str">
            <v>ed.casal@avivainvestors.com</v>
          </cell>
          <cell r="M10" t="str">
            <v>+44 791 2394258</v>
          </cell>
          <cell r="R10" t="str">
            <v>USD</v>
          </cell>
          <cell r="T10" t="str">
            <v>Quarterly</v>
          </cell>
          <cell r="U10" t="str">
            <v>Quarterly</v>
          </cell>
          <cell r="AD10" t="str">
            <v>Opportunity</v>
          </cell>
          <cell r="AF10" t="str">
            <v>Closed end</v>
          </cell>
          <cell r="AG10">
            <v>16</v>
          </cell>
          <cell r="AH10">
            <v>18</v>
          </cell>
          <cell r="AN10" t="str">
            <v>Institutional</v>
          </cell>
          <cell r="AT10">
            <v>60</v>
          </cell>
          <cell r="AU10">
            <v>60</v>
          </cell>
          <cell r="AV10">
            <v>8</v>
          </cell>
          <cell r="AW10">
            <v>15</v>
          </cell>
          <cell r="AX10">
            <v>8</v>
          </cell>
          <cell r="AY10">
            <v>15</v>
          </cell>
          <cell r="AZ10" t="str">
            <v>8 years</v>
          </cell>
          <cell r="BB10" t="str">
            <v>Global</v>
          </cell>
          <cell r="BH10">
            <v>500000000</v>
          </cell>
          <cell r="BJ10">
            <v>2010</v>
          </cell>
          <cell r="BK10">
            <v>2018</v>
          </cell>
          <cell r="BS10" t="str">
            <v>2016-03-31</v>
          </cell>
          <cell r="BT10">
            <v>47086219</v>
          </cell>
          <cell r="BU10">
            <v>41623935.078685999</v>
          </cell>
          <cell r="BV10">
            <v>47086219</v>
          </cell>
          <cell r="BW10">
            <v>41623935.078685999</v>
          </cell>
          <cell r="CD10">
            <v>0</v>
          </cell>
        </row>
        <row r="11">
          <cell r="A11">
            <v>18273</v>
          </cell>
          <cell r="B11" t="str">
            <v>CBRE ASIA VALUE PARTNERS IV</v>
          </cell>
          <cell r="C11" t="str">
            <v>CBRE GLOBAL INVESTMENT PARTNERS LIMITED</v>
          </cell>
          <cell r="D11" t="str">
            <v>Third Floor, One New Change</v>
          </cell>
          <cell r="E11" t="str">
            <v>EC4M 9AF</v>
          </cell>
          <cell r="F11" t="str">
            <v>London</v>
          </cell>
          <cell r="G11" t="str">
            <v>United Kingdom</v>
          </cell>
          <cell r="J11" t="str">
            <v>http://www.cbreglobalinvestors.com</v>
          </cell>
          <cell r="K11" t="str">
            <v>Adrian Baker</v>
          </cell>
          <cell r="L11" t="str">
            <v>adrian.baker@cbreglobalinvestors.com</v>
          </cell>
          <cell r="M11">
            <v>6565933481</v>
          </cell>
          <cell r="N11" t="str">
            <v>Yilan Koh</v>
          </cell>
          <cell r="O11" t="str">
            <v>yilan.koh@cbreglobalinvestors.com</v>
          </cell>
          <cell r="P11">
            <v>6565938561</v>
          </cell>
          <cell r="Q11" t="str">
            <v>Ireland</v>
          </cell>
          <cell r="R11" t="str">
            <v>USD</v>
          </cell>
          <cell r="S11" t="str">
            <v>IFRS</v>
          </cell>
          <cell r="T11" t="str">
            <v>Quarterly</v>
          </cell>
          <cell r="U11" t="str">
            <v>Quarterly</v>
          </cell>
          <cell r="X11" t="str">
            <v>Deloitte &amp; Touche</v>
          </cell>
          <cell r="Y11" t="str">
            <v>Unit trust</v>
          </cell>
          <cell r="AD11" t="str">
            <v>Value-added</v>
          </cell>
          <cell r="AF11" t="str">
            <v>Closed end</v>
          </cell>
          <cell r="AN11" t="str">
            <v>Institutional</v>
          </cell>
          <cell r="AO11" t="str">
            <v>&gt; 2</v>
          </cell>
          <cell r="AP11">
            <v>47.1</v>
          </cell>
          <cell r="AQ11">
            <v>3</v>
          </cell>
          <cell r="AR11">
            <v>3</v>
          </cell>
          <cell r="AS11">
            <v>75066000</v>
          </cell>
          <cell r="AU11">
            <v>60</v>
          </cell>
          <cell r="AV11">
            <v>21</v>
          </cell>
          <cell r="BA11" t="str">
            <v>≥ 50%</v>
          </cell>
          <cell r="BB11" t="str">
            <v>Asia Pacific</v>
          </cell>
          <cell r="BH11">
            <v>1100000000</v>
          </cell>
          <cell r="BI11">
            <v>2500000000</v>
          </cell>
          <cell r="BJ11">
            <v>2016</v>
          </cell>
          <cell r="BS11" t="str">
            <v>2017-12-31</v>
          </cell>
          <cell r="BT11">
            <v>322210000</v>
          </cell>
          <cell r="BU11">
            <v>268987230.37239897</v>
          </cell>
          <cell r="BV11">
            <v>192360000</v>
          </cell>
          <cell r="BW11">
            <v>160585902.46868399</v>
          </cell>
          <cell r="CA11">
            <v>17</v>
          </cell>
          <cell r="CC11">
            <v>225198125</v>
          </cell>
          <cell r="CD11">
            <v>190639080.43906811</v>
          </cell>
          <cell r="CE11">
            <v>124309365</v>
          </cell>
          <cell r="CF11">
            <v>105232772.4023656</v>
          </cell>
          <cell r="CG11" t="str">
            <v>Yes</v>
          </cell>
        </row>
        <row r="12">
          <cell r="A12">
            <v>17453</v>
          </cell>
          <cell r="B12" t="str">
            <v>CBRE GIP ASIA ALPHA PLUS FUND III</v>
          </cell>
          <cell r="C12" t="str">
            <v>CBRE GLOBAL COLLECTIVE INVESTORS UK LTD</v>
          </cell>
          <cell r="D12" t="str">
            <v>Third Floor, One New Change</v>
          </cell>
          <cell r="E12" t="str">
            <v>EC4M 9AF</v>
          </cell>
          <cell r="F12" t="str">
            <v>London</v>
          </cell>
          <cell r="G12" t="str">
            <v>United Kingdom</v>
          </cell>
          <cell r="H12" t="str">
            <v>+442078099000</v>
          </cell>
          <cell r="I12" t="str">
            <v>+442078099002</v>
          </cell>
          <cell r="J12" t="str">
            <v>http://www.cbreglobalinvestors.com</v>
          </cell>
          <cell r="K12" t="str">
            <v>Alice Wilcox</v>
          </cell>
          <cell r="L12" t="str">
            <v>alice.wilcox@cbreglobalinvestors.com</v>
          </cell>
          <cell r="M12" t="str">
            <v>+442078099372</v>
          </cell>
          <cell r="R12" t="str">
            <v>USD</v>
          </cell>
          <cell r="T12" t="str">
            <v>Quarterly</v>
          </cell>
          <cell r="U12" t="str">
            <v>Quarterly</v>
          </cell>
          <cell r="AD12" t="str">
            <v>Opportunity</v>
          </cell>
          <cell r="AF12" t="str">
            <v>Closed end</v>
          </cell>
          <cell r="AG12">
            <v>15</v>
          </cell>
          <cell r="AN12" t="str">
            <v>Institutional</v>
          </cell>
          <cell r="AP12">
            <v>28.5</v>
          </cell>
          <cell r="AQ12">
            <v>4</v>
          </cell>
          <cell r="AR12">
            <v>4</v>
          </cell>
          <cell r="AS12">
            <v>29475000</v>
          </cell>
          <cell r="AU12">
            <v>65</v>
          </cell>
          <cell r="AZ12" t="str">
            <v>10 years</v>
          </cell>
          <cell r="BB12" t="str">
            <v>Asia Pacific</v>
          </cell>
          <cell r="BH12">
            <v>236000000</v>
          </cell>
          <cell r="BJ12">
            <v>2013</v>
          </cell>
          <cell r="BK12">
            <v>2023</v>
          </cell>
          <cell r="BS12" t="str">
            <v>2019-12-31</v>
          </cell>
          <cell r="BT12">
            <v>79504786</v>
          </cell>
          <cell r="BU12">
            <v>70995229.243967846</v>
          </cell>
          <cell r="BV12">
            <v>56845922</v>
          </cell>
          <cell r="BW12">
            <v>50761588.918366693</v>
          </cell>
          <cell r="BY12" t="str">
            <v>Yes</v>
          </cell>
          <cell r="CA12">
            <v>8</v>
          </cell>
          <cell r="CC12">
            <v>235800000</v>
          </cell>
          <cell r="CD12">
            <v>216007999.73874</v>
          </cell>
          <cell r="CE12">
            <v>146783569.68000001</v>
          </cell>
          <cell r="CF12">
            <v>134463211.53981659</v>
          </cell>
          <cell r="CG12" t="str">
            <v>No</v>
          </cell>
        </row>
        <row r="13">
          <cell r="A13">
            <v>17429</v>
          </cell>
          <cell r="B13" t="str">
            <v>CLERESTORY SMALL CAP REAL ESTATE FUND I</v>
          </cell>
          <cell r="C13" t="str">
            <v>CLERESTORY CAPITAL ADVISORS, LLC</v>
          </cell>
          <cell r="D13" t="str">
            <v>11 East 44th Street, Suite 1603</v>
          </cell>
          <cell r="E13" t="str">
            <v>NY 10017</v>
          </cell>
          <cell r="F13" t="str">
            <v>New York</v>
          </cell>
          <cell r="G13" t="str">
            <v>United States of America</v>
          </cell>
          <cell r="H13" t="str">
            <v>+1 212 584 2020</v>
          </cell>
          <cell r="I13" t="str">
            <v>+1 212 792 5468</v>
          </cell>
          <cell r="J13" t="str">
            <v>http://www.clerestorycapital.com</v>
          </cell>
          <cell r="K13" t="str">
            <v>Thomas B. Brown or Ms Joanne Douvas</v>
          </cell>
          <cell r="L13" t="str">
            <v>tommy.brown@clerestorycapital.com</v>
          </cell>
          <cell r="M13" t="str">
            <v>+1 212 584 2021</v>
          </cell>
          <cell r="R13" t="str">
            <v>USD</v>
          </cell>
          <cell r="T13" t="str">
            <v>Quarterly</v>
          </cell>
          <cell r="U13" t="str">
            <v>Quarterly</v>
          </cell>
          <cell r="AD13" t="str">
            <v>Opportunity</v>
          </cell>
          <cell r="AF13" t="str">
            <v>Closed end</v>
          </cell>
          <cell r="AG13">
            <v>18</v>
          </cell>
          <cell r="AN13" t="str">
            <v>Institutional</v>
          </cell>
          <cell r="AP13">
            <v>3.83</v>
          </cell>
          <cell r="AV13" t="str">
            <v>11-12</v>
          </cell>
          <cell r="AW13">
            <v>20</v>
          </cell>
          <cell r="AX13" t="str">
            <v>11-12</v>
          </cell>
          <cell r="AZ13" t="str">
            <v>10 years</v>
          </cell>
          <cell r="BB13" t="str">
            <v>Global</v>
          </cell>
          <cell r="BH13">
            <v>138000000</v>
          </cell>
          <cell r="BJ13">
            <v>2007</v>
          </cell>
          <cell r="BK13">
            <v>2017</v>
          </cell>
          <cell r="BS13" t="str">
            <v>2016-12-31</v>
          </cell>
          <cell r="BT13">
            <v>50829219</v>
          </cell>
          <cell r="BU13">
            <v>48245213.993697003</v>
          </cell>
          <cell r="BV13">
            <v>48884693</v>
          </cell>
          <cell r="BW13">
            <v>46399541.861959003</v>
          </cell>
          <cell r="CD13">
            <v>0</v>
          </cell>
        </row>
        <row r="14">
          <cell r="A14">
            <v>17436</v>
          </cell>
          <cell r="B14" t="str">
            <v>CLERESTORY SMALL CAP REAL ESTATE FUND II</v>
          </cell>
          <cell r="C14" t="str">
            <v>LGT CAPITAL PARTNERS LTD.</v>
          </cell>
          <cell r="D14" t="str">
            <v>11 East 44th Street, Suite 1603</v>
          </cell>
          <cell r="E14" t="str">
            <v>NY 10017</v>
          </cell>
          <cell r="F14" t="str">
            <v>New York</v>
          </cell>
          <cell r="G14" t="str">
            <v>United States of America</v>
          </cell>
          <cell r="H14" t="str">
            <v>+1 212 584 2020</v>
          </cell>
          <cell r="I14" t="str">
            <v>+1 212 792 5468</v>
          </cell>
          <cell r="J14" t="str">
            <v>https://www.lgtcp.com/en/</v>
          </cell>
          <cell r="K14" t="str">
            <v>Thomas B. Brown or Ms Joanne Douvas</v>
          </cell>
          <cell r="L14" t="str">
            <v>tommy.brown@clerestorycapital.com</v>
          </cell>
          <cell r="M14" t="str">
            <v>+1 212 584 2021</v>
          </cell>
          <cell r="R14" t="str">
            <v>USD</v>
          </cell>
          <cell r="T14" t="str">
            <v>Quarterly</v>
          </cell>
          <cell r="U14" t="str">
            <v>Quarterly</v>
          </cell>
          <cell r="AD14" t="str">
            <v>Opportunity</v>
          </cell>
          <cell r="AF14" t="str">
            <v>Closed end</v>
          </cell>
          <cell r="AG14">
            <v>14</v>
          </cell>
          <cell r="AH14">
            <v>16</v>
          </cell>
          <cell r="AN14" t="str">
            <v>Institutional</v>
          </cell>
          <cell r="AV14" t="str">
            <v>10-14</v>
          </cell>
          <cell r="AW14">
            <v>15</v>
          </cell>
          <cell r="AX14" t="str">
            <v>12-14</v>
          </cell>
          <cell r="AZ14" t="str">
            <v>10 years</v>
          </cell>
          <cell r="BB14" t="str">
            <v>Global</v>
          </cell>
          <cell r="BH14">
            <v>400000000</v>
          </cell>
          <cell r="BJ14">
            <v>2011</v>
          </cell>
          <cell r="BK14">
            <v>2019</v>
          </cell>
          <cell r="BS14" t="str">
            <v>2011-12-31</v>
          </cell>
          <cell r="BU14">
            <v>0</v>
          </cell>
          <cell r="BW14">
            <v>0</v>
          </cell>
          <cell r="CD14">
            <v>0</v>
          </cell>
        </row>
        <row r="15">
          <cell r="A15">
            <v>17661</v>
          </cell>
          <cell r="B15" t="str">
            <v>CROWN SMALL REAL ESTATE FUND II</v>
          </cell>
          <cell r="C15" t="str">
            <v>LGT CAPITAL PARTNERS LTD</v>
          </cell>
          <cell r="D15" t="str">
            <v>Third Floor, 30 Hernert Street</v>
          </cell>
          <cell r="E15">
            <v>2</v>
          </cell>
          <cell r="F15" t="str">
            <v>Dublin</v>
          </cell>
          <cell r="G15" t="str">
            <v>Ireland</v>
          </cell>
          <cell r="J15" t="str">
            <v>https://www.lgtcp.com/en/</v>
          </cell>
          <cell r="K15" t="str">
            <v>Brian Goonan</v>
          </cell>
          <cell r="L15" t="str">
            <v>brian.goonan@lgt.com</v>
          </cell>
          <cell r="M15" t="str">
            <v>+35314337422</v>
          </cell>
          <cell r="Q15" t="str">
            <v>Ireland</v>
          </cell>
          <cell r="R15" t="str">
            <v>USD</v>
          </cell>
          <cell r="S15" t="str">
            <v>IFRS</v>
          </cell>
          <cell r="T15" t="str">
            <v>Quarterly</v>
          </cell>
          <cell r="U15" t="str">
            <v>Quarterly</v>
          </cell>
          <cell r="W15" t="str">
            <v>US GAAP</v>
          </cell>
          <cell r="Y15" t="str">
            <v>Limited Partnership</v>
          </cell>
          <cell r="Z15" t="str">
            <v>No</v>
          </cell>
          <cell r="AD15" t="str">
            <v>Opportunity</v>
          </cell>
          <cell r="AF15" t="str">
            <v>Closed end</v>
          </cell>
          <cell r="AN15" t="str">
            <v>Institutional</v>
          </cell>
          <cell r="AO15" t="str">
            <v>&gt; 2</v>
          </cell>
          <cell r="AP15">
            <v>0.03</v>
          </cell>
          <cell r="AQ15">
            <v>2</v>
          </cell>
          <cell r="BA15" t="str">
            <v>≥ 50%</v>
          </cell>
          <cell r="BB15" t="str">
            <v>Global</v>
          </cell>
          <cell r="BI15">
            <v>400000000</v>
          </cell>
          <cell r="BJ15">
            <v>2014</v>
          </cell>
          <cell r="BS15" t="str">
            <v>2019-12-31</v>
          </cell>
          <cell r="BT15">
            <v>193512665</v>
          </cell>
          <cell r="BU15">
            <v>172800616.2205902</v>
          </cell>
          <cell r="BV15">
            <v>175043913</v>
          </cell>
          <cell r="BW15">
            <v>156308611.80100739</v>
          </cell>
          <cell r="BY15" t="str">
            <v>Yes</v>
          </cell>
          <cell r="CA15">
            <v>11</v>
          </cell>
          <cell r="CC15">
            <v>231000000</v>
          </cell>
          <cell r="CD15">
            <v>211610890.32929999</v>
          </cell>
          <cell r="CE15">
            <v>220000000</v>
          </cell>
          <cell r="CF15">
            <v>201534181.266</v>
          </cell>
          <cell r="CG15" t="str">
            <v>No</v>
          </cell>
        </row>
        <row r="16">
          <cell r="A16">
            <v>17629</v>
          </cell>
          <cell r="B16" t="str">
            <v>DEKA-IMMOBILIEN STRATEGIEINSTITUTIONELL</v>
          </cell>
          <cell r="C16" t="str">
            <v>DEKA IMMOBILIEN INVESTMENT GMBH</v>
          </cell>
          <cell r="D16" t="str">
            <v>Taunusanlage 1</v>
          </cell>
          <cell r="E16">
            <v>60329</v>
          </cell>
          <cell r="F16" t="str">
            <v>Frankfurt</v>
          </cell>
          <cell r="G16" t="str">
            <v>Germany</v>
          </cell>
          <cell r="K16" t="str">
            <v xml:space="preserve">Barbara Kotzur </v>
          </cell>
          <cell r="L16" t="str">
            <v>barbara.kotzur@deka.de</v>
          </cell>
          <cell r="M16" t="str">
            <v>+496971472074</v>
          </cell>
          <cell r="N16" t="str">
            <v xml:space="preserve">Barbara Kotzur </v>
          </cell>
          <cell r="O16" t="str">
            <v>barbara.kotzur@deka.de</v>
          </cell>
          <cell r="P16" t="str">
            <v>+496971472074</v>
          </cell>
          <cell r="Q16" t="str">
            <v>Germany</v>
          </cell>
          <cell r="R16" t="str">
            <v>EUR</v>
          </cell>
          <cell r="S16" t="str">
            <v>German HGB</v>
          </cell>
          <cell r="T16" t="str">
            <v>Monthly</v>
          </cell>
          <cell r="U16" t="str">
            <v>Quarterly</v>
          </cell>
          <cell r="W16" t="str">
            <v>INREV NAV</v>
          </cell>
          <cell r="X16" t="str">
            <v>KPMG</v>
          </cell>
          <cell r="Y16" t="str">
            <v>Spezialfonds</v>
          </cell>
          <cell r="Z16" t="str">
            <v>No</v>
          </cell>
          <cell r="AA16" t="str">
            <v>No</v>
          </cell>
          <cell r="AB16">
            <v>0</v>
          </cell>
          <cell r="AD16" t="str">
            <v>Core</v>
          </cell>
          <cell r="AF16" t="str">
            <v>Open end</v>
          </cell>
          <cell r="AN16" t="str">
            <v>Institutional</v>
          </cell>
          <cell r="AO16" t="str">
            <v>&gt; 2</v>
          </cell>
          <cell r="AP16">
            <v>0</v>
          </cell>
          <cell r="AQ16">
            <v>7</v>
          </cell>
          <cell r="AR16">
            <v>2</v>
          </cell>
          <cell r="AS16">
            <v>30000000</v>
          </cell>
          <cell r="AT16">
            <v>0</v>
          </cell>
          <cell r="AU16">
            <v>0</v>
          </cell>
          <cell r="AV16">
            <v>10</v>
          </cell>
          <cell r="AW16">
            <v>1000000000</v>
          </cell>
          <cell r="AX16">
            <v>5</v>
          </cell>
          <cell r="AY16">
            <v>1000000000</v>
          </cell>
          <cell r="AZ16" t="str">
            <v>open ended</v>
          </cell>
          <cell r="BA16" t="str">
            <v>≥ 50%</v>
          </cell>
          <cell r="BB16" t="str">
            <v>Global</v>
          </cell>
          <cell r="BH16">
            <v>1000000000</v>
          </cell>
          <cell r="BJ16">
            <v>2012</v>
          </cell>
          <cell r="BS16" t="str">
            <v>2020-12-31</v>
          </cell>
          <cell r="BT16">
            <v>1027619539</v>
          </cell>
          <cell r="BU16">
            <v>1027619539</v>
          </cell>
          <cell r="BV16">
            <v>1027619539</v>
          </cell>
          <cell r="BW16">
            <v>1027619539</v>
          </cell>
          <cell r="BY16" t="str">
            <v>No</v>
          </cell>
          <cell r="CA16">
            <v>199</v>
          </cell>
          <cell r="CC16">
            <v>1027619539</v>
          </cell>
          <cell r="CD16">
            <v>1027619539</v>
          </cell>
          <cell r="CE16">
            <v>1027619539</v>
          </cell>
          <cell r="CF16">
            <v>1027619539</v>
          </cell>
          <cell r="CG16" t="str">
            <v>No</v>
          </cell>
        </row>
        <row r="17">
          <cell r="A17">
            <v>17412</v>
          </cell>
          <cell r="B17" t="str">
            <v>EUROPE VALUE ADDED I</v>
          </cell>
          <cell r="C17" t="str">
            <v>BNP PARIBAS INVESTMENT PARTNERS</v>
          </cell>
          <cell r="D17" t="str">
            <v>Burgerweeshuispad 200, PO Box 71770</v>
          </cell>
          <cell r="E17" t="str">
            <v>1008 DG</v>
          </cell>
          <cell r="F17" t="str">
            <v>Amsterdam</v>
          </cell>
          <cell r="G17" t="str">
            <v>Netherlands</v>
          </cell>
          <cell r="I17" t="str">
            <v>+31205275250</v>
          </cell>
          <cell r="J17" t="str">
            <v>http://www.bnpparibas-ip.com</v>
          </cell>
          <cell r="K17" t="str">
            <v>Nick Brugman</v>
          </cell>
          <cell r="L17" t="str">
            <v>nick.brugman@bnpparibas.com</v>
          </cell>
          <cell r="M17" t="str">
            <v>+31205275195</v>
          </cell>
          <cell r="Q17" t="str">
            <v>Luxembourg</v>
          </cell>
          <cell r="R17" t="str">
            <v>EUR</v>
          </cell>
          <cell r="T17" t="str">
            <v>Quarterly</v>
          </cell>
          <cell r="U17" t="str">
            <v>Quarterly</v>
          </cell>
          <cell r="Y17" t="str">
            <v>FCP</v>
          </cell>
          <cell r="AD17" t="str">
            <v>Value-added</v>
          </cell>
          <cell r="AF17" t="str">
            <v>Closed end</v>
          </cell>
          <cell r="AG17">
            <v>10</v>
          </cell>
          <cell r="AH17">
            <v>12</v>
          </cell>
          <cell r="AK17" t="str">
            <v>4-5%</v>
          </cell>
          <cell r="AN17" t="str">
            <v>Institutional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72</v>
          </cell>
          <cell r="AU17">
            <v>65</v>
          </cell>
          <cell r="AV17" t="str">
            <v>6-8</v>
          </cell>
          <cell r="AW17">
            <v>20</v>
          </cell>
          <cell r="AX17" t="str">
            <v>6-8</v>
          </cell>
          <cell r="AY17">
            <v>20</v>
          </cell>
          <cell r="AZ17" t="str">
            <v>10 years</v>
          </cell>
          <cell r="BB17" t="str">
            <v>Europe</v>
          </cell>
          <cell r="BH17">
            <v>250000000</v>
          </cell>
          <cell r="BJ17">
            <v>2006</v>
          </cell>
          <cell r="BK17">
            <v>2016</v>
          </cell>
          <cell r="BS17" t="str">
            <v>2019-03-31</v>
          </cell>
          <cell r="BT17">
            <v>5132045.93</v>
          </cell>
          <cell r="BU17">
            <v>5132045.93</v>
          </cell>
          <cell r="BV17">
            <v>5132045.93</v>
          </cell>
          <cell r="BW17">
            <v>5132045.93</v>
          </cell>
          <cell r="BY17" t="str">
            <v>No</v>
          </cell>
          <cell r="CA17">
            <v>12</v>
          </cell>
          <cell r="CC17">
            <v>77833000</v>
          </cell>
          <cell r="CD17">
            <v>77833000</v>
          </cell>
          <cell r="CE17">
            <v>75274000</v>
          </cell>
          <cell r="CF17">
            <v>75274000</v>
          </cell>
          <cell r="CG17" t="str">
            <v>No</v>
          </cell>
        </row>
        <row r="18">
          <cell r="A18">
            <v>17416</v>
          </cell>
          <cell r="B18" t="str">
            <v>EUROPEAN PROPERTY FUND</v>
          </cell>
          <cell r="C18" t="str">
            <v>LOTHBURY INVESTMENT MANAGEMENT</v>
          </cell>
          <cell r="D18" t="str">
            <v>155 Bishopsgate</v>
          </cell>
          <cell r="E18" t="str">
            <v>EC2M 3TQ</v>
          </cell>
          <cell r="F18" t="str">
            <v>London</v>
          </cell>
          <cell r="G18" t="str">
            <v>United Kingdom</v>
          </cell>
          <cell r="H18" t="str">
            <v>+44 203 551 4900</v>
          </cell>
          <cell r="J18" t="str">
            <v>http://www.lothburyim.com</v>
          </cell>
          <cell r="K18" t="str">
            <v>Sonia Bhuva</v>
          </cell>
          <cell r="L18" t="str">
            <v>sonia.bhuva@lothburyim.com</v>
          </cell>
          <cell r="M18" t="str">
            <v>+442035514911</v>
          </cell>
          <cell r="R18" t="str">
            <v>EUR</v>
          </cell>
          <cell r="T18" t="str">
            <v>Quarterly</v>
          </cell>
          <cell r="U18" t="str">
            <v>Quarterly</v>
          </cell>
          <cell r="AD18" t="str">
            <v>Core</v>
          </cell>
          <cell r="AF18" t="str">
            <v>Open end</v>
          </cell>
          <cell r="AG18">
            <v>9</v>
          </cell>
          <cell r="AN18" t="str">
            <v>Institutional</v>
          </cell>
          <cell r="BB18" t="str">
            <v>Europe</v>
          </cell>
          <cell r="BH18">
            <v>500000000</v>
          </cell>
          <cell r="BJ18">
            <v>2006</v>
          </cell>
          <cell r="BS18" t="str">
            <v>2014-12-31</v>
          </cell>
          <cell r="BU18">
            <v>0</v>
          </cell>
          <cell r="BV18">
            <v>57948855</v>
          </cell>
          <cell r="BW18">
            <v>57948855</v>
          </cell>
          <cell r="CD18">
            <v>0</v>
          </cell>
        </row>
        <row r="19">
          <cell r="A19">
            <v>17406</v>
          </cell>
          <cell r="B19" t="str">
            <v>FEI CAIXAGEST IMOBILIáRIO INTERNACIONAL</v>
          </cell>
          <cell r="C19" t="str">
            <v>CAIXAGEST</v>
          </cell>
          <cell r="D19" t="str">
            <v>Av. João XXI, 63 - 2º Piso</v>
          </cell>
          <cell r="E19" t="str">
            <v>1000-300</v>
          </cell>
          <cell r="F19" t="str">
            <v>Lisbon</v>
          </cell>
          <cell r="G19" t="str">
            <v>Portugal</v>
          </cell>
          <cell r="I19" t="str">
            <v>+351 217 905 765</v>
          </cell>
          <cell r="J19" t="str">
            <v>http://www.caixagest.pt</v>
          </cell>
          <cell r="K19" t="str">
            <v>Sofia Tomaz</v>
          </cell>
          <cell r="L19" t="str">
            <v>sofia.tomaz@cgd.pt</v>
          </cell>
          <cell r="M19" t="str">
            <v>+351 218456039</v>
          </cell>
          <cell r="R19" t="str">
            <v>EUR</v>
          </cell>
          <cell r="T19" t="str">
            <v>Quarterly</v>
          </cell>
          <cell r="U19" t="str">
            <v>Quarterly</v>
          </cell>
          <cell r="AD19" t="str">
            <v>Value-added</v>
          </cell>
          <cell r="AF19" t="str">
            <v>Open end</v>
          </cell>
          <cell r="AG19">
            <v>4</v>
          </cell>
          <cell r="AK19" t="str">
            <v>2-3%</v>
          </cell>
          <cell r="AN19" t="str">
            <v>Institutional and Retail</v>
          </cell>
          <cell r="AT19">
            <v>33</v>
          </cell>
          <cell r="AU19">
            <v>50</v>
          </cell>
          <cell r="AV19">
            <v>40</v>
          </cell>
          <cell r="AW19">
            <v>35</v>
          </cell>
          <cell r="AX19">
            <v>20</v>
          </cell>
          <cell r="AY19">
            <v>45</v>
          </cell>
          <cell r="BB19" t="str">
            <v>Global</v>
          </cell>
          <cell r="BH19">
            <v>400000000</v>
          </cell>
          <cell r="BJ19">
            <v>2005</v>
          </cell>
          <cell r="BS19" t="str">
            <v>2012-09-30</v>
          </cell>
          <cell r="BU19">
            <v>0</v>
          </cell>
          <cell r="BW19">
            <v>0</v>
          </cell>
          <cell r="CD19">
            <v>0</v>
          </cell>
        </row>
        <row r="20">
          <cell r="A20">
            <v>17454</v>
          </cell>
          <cell r="B20" t="str">
            <v>GLOBAL ALPHA FUND</v>
          </cell>
          <cell r="C20" t="str">
            <v>CBRE GLOBAL COLLECTIVE INVESTORS UK LTD</v>
          </cell>
          <cell r="D20" t="str">
            <v>Third Floor, One New Change</v>
          </cell>
          <cell r="E20" t="str">
            <v>EC4M 9AF</v>
          </cell>
          <cell r="F20" t="str">
            <v>London</v>
          </cell>
          <cell r="G20" t="str">
            <v>United Kingdom</v>
          </cell>
          <cell r="H20" t="str">
            <v>+442078099000</v>
          </cell>
          <cell r="I20" t="str">
            <v>+442078099002</v>
          </cell>
          <cell r="J20" t="str">
            <v>http://www.cbreglobalinvestors.com</v>
          </cell>
          <cell r="K20" t="str">
            <v>Elisabeth Troni</v>
          </cell>
          <cell r="L20" t="str">
            <v>elisabeth.troni@cbreglobalinvestors.com</v>
          </cell>
          <cell r="N20" t="str">
            <v>Alice Wilcox</v>
          </cell>
          <cell r="O20" t="str">
            <v>Alice.Wilcox@cbreglobalinvestors.com</v>
          </cell>
          <cell r="Q20" t="str">
            <v>Luxembourg</v>
          </cell>
          <cell r="R20" t="str">
            <v>USD</v>
          </cell>
          <cell r="S20" t="str">
            <v>IFRS</v>
          </cell>
          <cell r="T20" t="str">
            <v>Quarterly</v>
          </cell>
          <cell r="U20" t="str">
            <v>Quarterly</v>
          </cell>
          <cell r="W20" t="str">
            <v>INREV NAV</v>
          </cell>
          <cell r="Y20" t="str">
            <v>Real Estate Fund</v>
          </cell>
          <cell r="Z20" t="str">
            <v>Yes</v>
          </cell>
          <cell r="AD20" t="str">
            <v>Core</v>
          </cell>
          <cell r="AF20" t="str">
            <v>Open end</v>
          </cell>
          <cell r="AG20">
            <v>9</v>
          </cell>
          <cell r="AH20">
            <v>11</v>
          </cell>
          <cell r="AI20" t="str">
            <v>Net</v>
          </cell>
          <cell r="AK20" t="str">
            <v>5%</v>
          </cell>
          <cell r="AN20" t="str">
            <v>Institutional</v>
          </cell>
          <cell r="AO20" t="str">
            <v>&gt; 2</v>
          </cell>
          <cell r="AP20">
            <v>33.5</v>
          </cell>
          <cell r="AQ20">
            <v>50</v>
          </cell>
          <cell r="AR20">
            <v>32</v>
          </cell>
          <cell r="AS20">
            <v>136928763</v>
          </cell>
          <cell r="AT20">
            <v>40</v>
          </cell>
          <cell r="AU20">
            <v>40</v>
          </cell>
          <cell r="AV20">
            <v>50</v>
          </cell>
          <cell r="AW20">
            <v>15</v>
          </cell>
          <cell r="AX20">
            <v>100</v>
          </cell>
          <cell r="AY20">
            <v>20</v>
          </cell>
          <cell r="AZ20">
            <v>10</v>
          </cell>
          <cell r="BA20" t="str">
            <v>≥ 50%</v>
          </cell>
          <cell r="BB20" t="str">
            <v>Global</v>
          </cell>
          <cell r="BJ20">
            <v>2010</v>
          </cell>
          <cell r="BO20" t="str">
            <v>No</v>
          </cell>
          <cell r="BS20" t="str">
            <v>2020-09-30</v>
          </cell>
          <cell r="BT20">
            <v>10178864438.450001</v>
          </cell>
          <cell r="BU20">
            <v>8696021578.0163746</v>
          </cell>
          <cell r="BV20">
            <v>6768944851.5699997</v>
          </cell>
          <cell r="BW20">
            <v>5782854349.3815298</v>
          </cell>
          <cell r="CA20">
            <v>142</v>
          </cell>
          <cell r="CC20">
            <v>7113651627.0600004</v>
          </cell>
          <cell r="CD20">
            <v>6335528559.2942867</v>
          </cell>
          <cell r="CE20">
            <v>6360907322</v>
          </cell>
          <cell r="CF20">
            <v>5665122796.8849239</v>
          </cell>
          <cell r="CG20" t="str">
            <v>Yes</v>
          </cell>
        </row>
        <row r="21">
          <cell r="A21">
            <v>17438</v>
          </cell>
          <cell r="B21" t="str">
            <v>HENDERSON ASIAN INDIRECT PROPERTY FUND ("PAGODA")</v>
          </cell>
          <cell r="C21" t="str">
            <v>HENDERSON GLOBAL INVESTORS</v>
          </cell>
          <cell r="D21" t="str">
            <v>6 Battery Road, #12-01</v>
          </cell>
          <cell r="E21">
            <v>49909</v>
          </cell>
          <cell r="F21" t="str">
            <v>Singapore</v>
          </cell>
          <cell r="G21" t="str">
            <v>Singapore</v>
          </cell>
          <cell r="J21" t="str">
            <v>http://www.henderson.com</v>
          </cell>
          <cell r="K21" t="str">
            <v>Peter Lee</v>
          </cell>
          <cell r="L21" t="str">
            <v>peter.lee@henderson.com</v>
          </cell>
          <cell r="M21" t="str">
            <v>+65 6887 6972</v>
          </cell>
          <cell r="R21" t="str">
            <v>USD</v>
          </cell>
          <cell r="T21" t="str">
            <v>Quarterly</v>
          </cell>
          <cell r="U21" t="str">
            <v>Quarterly</v>
          </cell>
          <cell r="AD21" t="str">
            <v>Value-added</v>
          </cell>
          <cell r="AF21" t="str">
            <v>Open end</v>
          </cell>
          <cell r="AG21">
            <v>15</v>
          </cell>
          <cell r="AK21" t="str">
            <v>4%</v>
          </cell>
          <cell r="AN21" t="str">
            <v>Institutional and Retail</v>
          </cell>
          <cell r="AT21">
            <v>40</v>
          </cell>
          <cell r="AU21">
            <v>40</v>
          </cell>
          <cell r="AV21" t="str">
            <v>8-10</v>
          </cell>
          <cell r="AX21" t="str">
            <v>8-10</v>
          </cell>
          <cell r="AY21">
            <v>30</v>
          </cell>
          <cell r="BB21" t="str">
            <v>Asia Pacific</v>
          </cell>
          <cell r="BH21">
            <v>300000000</v>
          </cell>
          <cell r="BJ21">
            <v>2007</v>
          </cell>
          <cell r="BS21" t="str">
            <v>2014-12-31</v>
          </cell>
          <cell r="BU21">
            <v>0</v>
          </cell>
          <cell r="BV21">
            <v>44669795</v>
          </cell>
          <cell r="BW21">
            <v>36749840.346500002</v>
          </cell>
          <cell r="CD21">
            <v>0</v>
          </cell>
        </row>
        <row r="22">
          <cell r="A22">
            <v>17413</v>
          </cell>
          <cell r="B22" t="str">
            <v>HENDERSON INDIRECT PROPERTY FUND (EUROPE)</v>
          </cell>
          <cell r="C22" t="str">
            <v>HENDERSON GLOBAL INVESTORS</v>
          </cell>
          <cell r="D22" t="str">
            <v>201 Bishopsgate</v>
          </cell>
          <cell r="E22" t="str">
            <v>EC2M 3AE</v>
          </cell>
          <cell r="F22" t="str">
            <v>London</v>
          </cell>
          <cell r="G22" t="str">
            <v>United Kingdom</v>
          </cell>
          <cell r="H22" t="str">
            <v>+44 (0)20 7818 1818</v>
          </cell>
          <cell r="J22" t="str">
            <v>http://www.henderson.com</v>
          </cell>
          <cell r="K22" t="str">
            <v>Patrick Sumner</v>
          </cell>
          <cell r="L22" t="str">
            <v>patrick.sumner@henderson.com</v>
          </cell>
          <cell r="M22" t="str">
            <v>+44 (0)20 7818 4291</v>
          </cell>
          <cell r="R22" t="str">
            <v>EUR</v>
          </cell>
          <cell r="T22" t="str">
            <v>Quarterly</v>
          </cell>
          <cell r="U22" t="str">
            <v>Quarterly</v>
          </cell>
          <cell r="AD22" t="str">
            <v>Value-added</v>
          </cell>
          <cell r="AF22" t="str">
            <v>Open end</v>
          </cell>
          <cell r="AG22">
            <v>8</v>
          </cell>
          <cell r="AK22" t="str">
            <v>5%</v>
          </cell>
          <cell r="AN22" t="str">
            <v>Institutional</v>
          </cell>
          <cell r="AT22">
            <v>60</v>
          </cell>
          <cell r="AU22">
            <v>60</v>
          </cell>
          <cell r="AV22" t="str">
            <v>15-20</v>
          </cell>
          <cell r="AW22">
            <v>20</v>
          </cell>
          <cell r="AX22" t="str">
            <v>15-20</v>
          </cell>
          <cell r="AY22">
            <v>30</v>
          </cell>
          <cell r="BB22" t="str">
            <v>Europe</v>
          </cell>
          <cell r="BH22">
            <v>500000000</v>
          </cell>
          <cell r="BJ22">
            <v>2005</v>
          </cell>
          <cell r="BS22" t="str">
            <v>2014-12-31</v>
          </cell>
          <cell r="BU22">
            <v>0</v>
          </cell>
          <cell r="BV22">
            <v>217338272</v>
          </cell>
          <cell r="BW22">
            <v>217338272</v>
          </cell>
          <cell r="CD22">
            <v>0</v>
          </cell>
        </row>
        <row r="23">
          <cell r="A23">
            <v>17457</v>
          </cell>
          <cell r="B23" t="str">
            <v>HI-IMMOBILIEN-MULTI MANAGER-FONDS</v>
          </cell>
          <cell r="C23" t="str">
            <v>HELABA INVEST KAPITALANLAGEGESELLSCHAFT MBH</v>
          </cell>
          <cell r="D23" t="str">
            <v>Junghofstr. 24</v>
          </cell>
          <cell r="E23">
            <v>60311</v>
          </cell>
          <cell r="F23" t="str">
            <v>Franfurt</v>
          </cell>
          <cell r="G23" t="str">
            <v>Germany</v>
          </cell>
          <cell r="H23" t="str">
            <v>+496929970-0</v>
          </cell>
          <cell r="J23" t="str">
            <v>http://www.helaba-invest.de</v>
          </cell>
          <cell r="K23" t="str">
            <v>Jens-Dirk Meyer</v>
          </cell>
          <cell r="L23" t="str">
            <v>jens-dirk.meyer@helaba-invest.de</v>
          </cell>
          <cell r="M23" t="str">
            <v>+496929970272</v>
          </cell>
          <cell r="R23" t="str">
            <v>EUR</v>
          </cell>
          <cell r="T23" t="str">
            <v>Quarterly</v>
          </cell>
          <cell r="U23" t="str">
            <v>Quarterly</v>
          </cell>
          <cell r="AD23" t="str">
            <v>Core</v>
          </cell>
          <cell r="AF23" t="str">
            <v>Open end</v>
          </cell>
          <cell r="AG23">
            <v>5</v>
          </cell>
          <cell r="AK23" t="str">
            <v>4%</v>
          </cell>
          <cell r="AN23" t="str">
            <v>Institutional</v>
          </cell>
          <cell r="AT23">
            <v>40</v>
          </cell>
          <cell r="AU23">
            <v>40</v>
          </cell>
          <cell r="AW23">
            <v>20</v>
          </cell>
          <cell r="BB23" t="str">
            <v>Global</v>
          </cell>
          <cell r="BH23">
            <v>200000000</v>
          </cell>
          <cell r="BJ23">
            <v>2013</v>
          </cell>
          <cell r="BS23" t="str">
            <v>2018-12-31</v>
          </cell>
          <cell r="BT23">
            <v>269613306.18000001</v>
          </cell>
          <cell r="BU23">
            <v>269613306.18000001</v>
          </cell>
          <cell r="BV23">
            <v>269613306.18000001</v>
          </cell>
          <cell r="BW23">
            <v>269613306.18000001</v>
          </cell>
          <cell r="CD23">
            <v>0</v>
          </cell>
        </row>
        <row r="24">
          <cell r="A24">
            <v>18524</v>
          </cell>
          <cell r="B24" t="str">
            <v>HI-IMMOBILIEN-MULTI MANAGER-FONDS II</v>
          </cell>
          <cell r="C24" t="str">
            <v>HELABA INVEST KAPITALANLAGEGESELLSCHAFT MBH</v>
          </cell>
          <cell r="D24" t="str">
            <v>Junghofstr. 24</v>
          </cell>
          <cell r="E24">
            <v>60311</v>
          </cell>
          <cell r="F24" t="str">
            <v>Franfurt</v>
          </cell>
          <cell r="G24" t="str">
            <v>Germany</v>
          </cell>
          <cell r="H24" t="str">
            <v>+496929970-0</v>
          </cell>
          <cell r="J24" t="str">
            <v>http://www.helaba-invest.de</v>
          </cell>
          <cell r="K24" t="str">
            <v>Jens-Dirk Meyer</v>
          </cell>
          <cell r="L24" t="str">
            <v>jens-dirk.meyer@helaba-invest.de</v>
          </cell>
          <cell r="M24" t="str">
            <v>+496929970272</v>
          </cell>
          <cell r="Q24" t="str">
            <v>Germany</v>
          </cell>
          <cell r="R24" t="str">
            <v>EUR</v>
          </cell>
          <cell r="T24" t="str">
            <v>Quarterly</v>
          </cell>
          <cell r="U24" t="str">
            <v>Quarterly</v>
          </cell>
          <cell r="Y24" t="str">
            <v>Spezialfonds</v>
          </cell>
          <cell r="AD24" t="str">
            <v>Core</v>
          </cell>
          <cell r="AF24" t="str">
            <v>Open end</v>
          </cell>
          <cell r="AG24">
            <v>4</v>
          </cell>
          <cell r="AH24">
            <v>4</v>
          </cell>
          <cell r="AN24" t="str">
            <v>Institutional</v>
          </cell>
          <cell r="AT24">
            <v>40</v>
          </cell>
          <cell r="AW24">
            <v>20</v>
          </cell>
          <cell r="BB24" t="str">
            <v>Global</v>
          </cell>
          <cell r="BH24">
            <v>300000000</v>
          </cell>
          <cell r="BJ24">
            <v>2016</v>
          </cell>
          <cell r="BS24" t="str">
            <v>2018-12-31</v>
          </cell>
          <cell r="BT24">
            <v>247989757.21000001</v>
          </cell>
          <cell r="BU24">
            <v>247989757.21000001</v>
          </cell>
          <cell r="BV24">
            <v>247989757.21000001</v>
          </cell>
          <cell r="BW24">
            <v>247989757.21000001</v>
          </cell>
          <cell r="CD24">
            <v>0</v>
          </cell>
        </row>
        <row r="25">
          <cell r="A25">
            <v>17440</v>
          </cell>
          <cell r="B25" t="str">
            <v>LASALLE INVESTORS GLOBAL REAL ESTATE FUND OF FUNDS</v>
          </cell>
          <cell r="C25" t="str">
            <v>LASALLE GLOBAL PARTNER SOLUTIONS</v>
          </cell>
          <cell r="D25" t="str">
            <v>One Curzon Street</v>
          </cell>
          <cell r="E25" t="str">
            <v>W1J 5HD</v>
          </cell>
          <cell r="F25" t="str">
            <v>London</v>
          </cell>
          <cell r="G25" t="str">
            <v>United Kingdom</v>
          </cell>
          <cell r="H25" t="str">
            <v>+44 2078096000</v>
          </cell>
          <cell r="J25" t="str">
            <v>http://www.lasalle.com</v>
          </cell>
          <cell r="K25" t="str">
            <v>Catriona Allen</v>
          </cell>
          <cell r="L25" t="str">
            <v>catriona.allen@lasalle.com</v>
          </cell>
          <cell r="M25" t="str">
            <v>+44 2078524484</v>
          </cell>
          <cell r="Q25" t="str">
            <v>Jersey</v>
          </cell>
          <cell r="R25" t="str">
            <v>GBP</v>
          </cell>
          <cell r="S25" t="str">
            <v>IFRS</v>
          </cell>
          <cell r="T25" t="str">
            <v>Quarterly</v>
          </cell>
          <cell r="U25" t="str">
            <v>Quarterly</v>
          </cell>
          <cell r="W25" t="str">
            <v>IFRS NAV</v>
          </cell>
          <cell r="Y25" t="str">
            <v>Unit trust</v>
          </cell>
          <cell r="Z25" t="str">
            <v>No</v>
          </cell>
          <cell r="AA25" t="str">
            <v>Yes</v>
          </cell>
          <cell r="AB25">
            <v>2</v>
          </cell>
          <cell r="AD25" t="str">
            <v>Value-added</v>
          </cell>
          <cell r="AF25" t="str">
            <v>Open end</v>
          </cell>
          <cell r="AG25">
            <v>10</v>
          </cell>
          <cell r="AK25" t="str">
            <v>3-5%</v>
          </cell>
          <cell r="AN25" t="str">
            <v>Institutional</v>
          </cell>
          <cell r="AO25" t="str">
            <v>≤ 2</v>
          </cell>
          <cell r="AP25">
            <v>22.4</v>
          </cell>
          <cell r="AQ25">
            <v>18</v>
          </cell>
          <cell r="AR25">
            <v>18</v>
          </cell>
          <cell r="AS25">
            <v>7946105.8300000001</v>
          </cell>
          <cell r="AT25">
            <v>35</v>
          </cell>
          <cell r="AU25">
            <v>35</v>
          </cell>
          <cell r="AV25">
            <v>15</v>
          </cell>
          <cell r="AW25">
            <v>15</v>
          </cell>
          <cell r="AX25">
            <v>30</v>
          </cell>
          <cell r="AY25">
            <v>20</v>
          </cell>
          <cell r="AZ25" t="str">
            <v>indefinite</v>
          </cell>
          <cell r="BA25" t="str">
            <v>≥ 50%</v>
          </cell>
          <cell r="BB25" t="str">
            <v>Global</v>
          </cell>
          <cell r="BH25">
            <v>500000000</v>
          </cell>
          <cell r="BJ25">
            <v>2011</v>
          </cell>
          <cell r="BS25" t="str">
            <v>2020-03-31</v>
          </cell>
          <cell r="BT25">
            <v>170474241.30000001</v>
          </cell>
          <cell r="BU25">
            <v>191109641.83267859</v>
          </cell>
          <cell r="BV25">
            <v>170474241.30000001</v>
          </cell>
          <cell r="BW25">
            <v>191109641.83267859</v>
          </cell>
          <cell r="BY25" t="str">
            <v>No</v>
          </cell>
          <cell r="CA25">
            <v>2</v>
          </cell>
          <cell r="CC25">
            <v>113854911</v>
          </cell>
          <cell r="CD25">
            <v>133874129.22214609</v>
          </cell>
          <cell r="CE25">
            <v>113854911</v>
          </cell>
          <cell r="CF25">
            <v>133874129.22214609</v>
          </cell>
          <cell r="CG25" t="str">
            <v>No</v>
          </cell>
        </row>
        <row r="26">
          <cell r="A26">
            <v>17444</v>
          </cell>
          <cell r="B26" t="str">
            <v>LASALLE INVESTORS UK REAL ESTATE FUND OF FUNDS</v>
          </cell>
          <cell r="C26" t="str">
            <v>LASALLE GLOBAL PARTNER SOLUTIONS</v>
          </cell>
          <cell r="D26" t="str">
            <v>One Curzon Street</v>
          </cell>
          <cell r="E26" t="str">
            <v>W1J 5HD</v>
          </cell>
          <cell r="F26" t="str">
            <v>London</v>
          </cell>
          <cell r="G26" t="str">
            <v>United Kingdom</v>
          </cell>
          <cell r="J26" t="str">
            <v>http://www.lasalle.com</v>
          </cell>
          <cell r="K26" t="str">
            <v>Catriona Allen</v>
          </cell>
          <cell r="L26" t="str">
            <v>catriona.allen@lasalle.com</v>
          </cell>
          <cell r="M26" t="str">
            <v>+44 2078524484</v>
          </cell>
          <cell r="Q26" t="str">
            <v>Jersey</v>
          </cell>
          <cell r="R26" t="str">
            <v>GBP</v>
          </cell>
          <cell r="S26" t="str">
            <v>IFRS</v>
          </cell>
          <cell r="T26" t="str">
            <v>Quarterly</v>
          </cell>
          <cell r="U26" t="str">
            <v>Quarterly</v>
          </cell>
          <cell r="W26" t="str">
            <v>IFRS NAV</v>
          </cell>
          <cell r="Y26" t="str">
            <v>Unit trust</v>
          </cell>
          <cell r="Z26" t="str">
            <v>No</v>
          </cell>
          <cell r="AA26" t="str">
            <v>Yes</v>
          </cell>
          <cell r="AB26">
            <v>2</v>
          </cell>
          <cell r="AD26" t="str">
            <v>Core</v>
          </cell>
          <cell r="AF26" t="str">
            <v>Open end</v>
          </cell>
          <cell r="AJ26" t="str">
            <v>Median of MSCI All Property Funds Index</v>
          </cell>
          <cell r="AK26" t="str">
            <v>3-4%</v>
          </cell>
          <cell r="AN26" t="str">
            <v>Institutional</v>
          </cell>
          <cell r="AO26" t="str">
            <v>&gt; 2</v>
          </cell>
          <cell r="AP26">
            <v>7.2</v>
          </cell>
          <cell r="AQ26">
            <v>18</v>
          </cell>
          <cell r="AR26">
            <v>14</v>
          </cell>
          <cell r="AS26">
            <v>8760259.4299999997</v>
          </cell>
          <cell r="AT26">
            <v>25</v>
          </cell>
          <cell r="AU26">
            <v>25</v>
          </cell>
          <cell r="AV26">
            <v>25</v>
          </cell>
          <cell r="AW26">
            <v>25</v>
          </cell>
          <cell r="AX26">
            <v>25</v>
          </cell>
          <cell r="AY26">
            <v>25</v>
          </cell>
          <cell r="AZ26" t="str">
            <v>indefinite</v>
          </cell>
          <cell r="BA26" t="str">
            <v>≥ 50%</v>
          </cell>
          <cell r="BB26" t="str">
            <v>Europe</v>
          </cell>
          <cell r="BH26">
            <v>500000000</v>
          </cell>
          <cell r="BJ26">
            <v>2005</v>
          </cell>
          <cell r="BO26" t="str">
            <v>Yes</v>
          </cell>
          <cell r="BS26" t="str">
            <v>2019-12-31</v>
          </cell>
          <cell r="BT26">
            <v>163987305.00999999</v>
          </cell>
          <cell r="BU26">
            <v>192092802.50025979</v>
          </cell>
          <cell r="BV26">
            <v>163987305.00999999</v>
          </cell>
          <cell r="BW26">
            <v>192092802.50025979</v>
          </cell>
          <cell r="BY26" t="str">
            <v>No</v>
          </cell>
          <cell r="CA26">
            <v>8</v>
          </cell>
          <cell r="CC26">
            <v>171292110</v>
          </cell>
          <cell r="CD26">
            <v>192992728.46636501</v>
          </cell>
          <cell r="CE26">
            <v>171292110</v>
          </cell>
          <cell r="CF26">
            <v>192992728.46636501</v>
          </cell>
          <cell r="CG26" t="str">
            <v>Yes</v>
          </cell>
        </row>
        <row r="27">
          <cell r="A27">
            <v>17432</v>
          </cell>
          <cell r="B27" t="str">
            <v>MN PRIVATE PROPERTY FUND EUROPE</v>
          </cell>
          <cell r="C27" t="str">
            <v>MN SERVICES</v>
          </cell>
          <cell r="D27" t="str">
            <v>Princess Beatrixlaan 15, PO BOX 30025</v>
          </cell>
          <cell r="E27" t="str">
            <v>2500 GA</v>
          </cell>
          <cell r="F27" t="str">
            <v>The Hague</v>
          </cell>
          <cell r="G27" t="str">
            <v>Netherlands</v>
          </cell>
          <cell r="I27" t="str">
            <v>+31 703160575</v>
          </cell>
          <cell r="J27" t="str">
            <v>http://www.mn.nl</v>
          </cell>
          <cell r="K27" t="str">
            <v>Andrea van Buren</v>
          </cell>
          <cell r="L27" t="str">
            <v>aeb@mn.nl</v>
          </cell>
          <cell r="M27" t="str">
            <v>+31 703 160 93</v>
          </cell>
          <cell r="R27" t="str">
            <v>EUR</v>
          </cell>
          <cell r="T27" t="str">
            <v>Quarterly</v>
          </cell>
          <cell r="U27" t="str">
            <v>Quarterly</v>
          </cell>
          <cell r="AD27" t="str">
            <v>Core</v>
          </cell>
          <cell r="AF27" t="str">
            <v>Open end</v>
          </cell>
          <cell r="AG27">
            <v>9</v>
          </cell>
          <cell r="AN27" t="str">
            <v>Institutional</v>
          </cell>
          <cell r="AT27">
            <v>50</v>
          </cell>
          <cell r="AU27">
            <v>50</v>
          </cell>
          <cell r="AX27" t="str">
            <v>8-12</v>
          </cell>
          <cell r="AY27">
            <v>25</v>
          </cell>
          <cell r="BB27" t="str">
            <v>Europe</v>
          </cell>
          <cell r="BH27">
            <v>300000000</v>
          </cell>
          <cell r="BJ27">
            <v>2007</v>
          </cell>
          <cell r="BS27" t="str">
            <v>2014-12-31</v>
          </cell>
          <cell r="BT27">
            <v>270000000</v>
          </cell>
          <cell r="BU27">
            <v>270000000</v>
          </cell>
          <cell r="BV27">
            <v>139000000</v>
          </cell>
          <cell r="BW27">
            <v>139000000</v>
          </cell>
          <cell r="CD27">
            <v>0</v>
          </cell>
        </row>
        <row r="28">
          <cell r="A28">
            <v>17415</v>
          </cell>
          <cell r="B28" t="str">
            <v>OSIRIS PROPERTY FUND</v>
          </cell>
          <cell r="C28" t="str">
            <v>CBRE GLOBAL COLLECTIVE INVESTORS UK LTD</v>
          </cell>
          <cell r="D28" t="str">
            <v>Third Floor, One New Change</v>
          </cell>
          <cell r="E28" t="str">
            <v>EC4M 9AF</v>
          </cell>
          <cell r="F28" t="str">
            <v>London</v>
          </cell>
          <cell r="G28" t="str">
            <v>United Kingdom</v>
          </cell>
          <cell r="H28" t="str">
            <v>+442078099000</v>
          </cell>
          <cell r="I28" t="str">
            <v>+442078099002</v>
          </cell>
          <cell r="J28" t="str">
            <v>http://www.cbreglobalinvestors.com</v>
          </cell>
          <cell r="K28" t="str">
            <v>Max Johnson</v>
          </cell>
          <cell r="L28" t="str">
            <v>max.johnson@cbreglobalinvestors.com</v>
          </cell>
          <cell r="M28" t="str">
            <v>+442078099350</v>
          </cell>
          <cell r="Q28" t="str">
            <v>United Kingdom</v>
          </cell>
          <cell r="R28" t="str">
            <v>GBP</v>
          </cell>
          <cell r="T28" t="str">
            <v>Quarterly</v>
          </cell>
          <cell r="U28" t="str">
            <v>Quarterly</v>
          </cell>
          <cell r="AD28" t="str">
            <v>Core</v>
          </cell>
          <cell r="AF28" t="str">
            <v>Open end</v>
          </cell>
          <cell r="AG28">
            <v>0</v>
          </cell>
          <cell r="AJ28" t="str">
            <v>IPD All balanced funds</v>
          </cell>
          <cell r="AK28" t="str">
            <v>4-5%</v>
          </cell>
          <cell r="AN28" t="str">
            <v>Institutional</v>
          </cell>
          <cell r="AP28">
            <v>13.1</v>
          </cell>
          <cell r="AQ28">
            <v>21</v>
          </cell>
          <cell r="AR28">
            <v>17</v>
          </cell>
          <cell r="AS28">
            <v>22460803</v>
          </cell>
          <cell r="AT28">
            <v>15</v>
          </cell>
          <cell r="AU28">
            <v>30</v>
          </cell>
          <cell r="AV28">
            <v>27</v>
          </cell>
          <cell r="AW28">
            <v>20</v>
          </cell>
          <cell r="AX28">
            <v>19</v>
          </cell>
          <cell r="AY28">
            <v>20</v>
          </cell>
          <cell r="AZ28" t="str">
            <v>80 years</v>
          </cell>
          <cell r="BB28" t="str">
            <v>Europe</v>
          </cell>
          <cell r="BH28">
            <v>1000000000</v>
          </cell>
          <cell r="BJ28">
            <v>2003</v>
          </cell>
          <cell r="BK28">
            <v>2083</v>
          </cell>
          <cell r="BS28" t="str">
            <v>2019-12-31</v>
          </cell>
          <cell r="BT28">
            <v>486013172.52999997</v>
          </cell>
          <cell r="BU28">
            <v>569310120.4244858</v>
          </cell>
          <cell r="BV28">
            <v>422345446.93000001</v>
          </cell>
          <cell r="BW28">
            <v>494730494.65055329</v>
          </cell>
          <cell r="BY28" t="str">
            <v>Yes</v>
          </cell>
          <cell r="CA28">
            <v>35</v>
          </cell>
          <cell r="CC28">
            <v>539059262</v>
          </cell>
          <cell r="CD28">
            <v>607351487.34197474</v>
          </cell>
          <cell r="CE28">
            <v>539059262</v>
          </cell>
          <cell r="CF28">
            <v>607351487.34197474</v>
          </cell>
          <cell r="CG28" t="str">
            <v>No</v>
          </cell>
        </row>
        <row r="29">
          <cell r="A29">
            <v>17660</v>
          </cell>
          <cell r="B29" t="str">
            <v>PARTNERS GROUP GLOBAL REAL ESTATE 2013</v>
          </cell>
          <cell r="C29" t="str">
            <v>PARTNERS GROUP</v>
          </cell>
          <cell r="D29" t="str">
            <v>110 Bishopsgate</v>
          </cell>
          <cell r="E29" t="str">
            <v>EC2N 4AY</v>
          </cell>
          <cell r="F29" t="str">
            <v>London</v>
          </cell>
          <cell r="G29" t="str">
            <v>United Kingdom</v>
          </cell>
          <cell r="H29" t="str">
            <v>+442072752500</v>
          </cell>
          <cell r="J29" t="str">
            <v>http://www.partnersgroup.com/en/</v>
          </cell>
          <cell r="Q29" t="str">
            <v>Luxembourg</v>
          </cell>
          <cell r="R29" t="str">
            <v>EUR</v>
          </cell>
          <cell r="S29" t="str">
            <v>IFRS</v>
          </cell>
          <cell r="T29" t="str">
            <v>Quarterly</v>
          </cell>
          <cell r="U29" t="str">
            <v>Quarterly</v>
          </cell>
          <cell r="X29" t="str">
            <v>PWC</v>
          </cell>
          <cell r="Y29" t="str">
            <v>SICAR</v>
          </cell>
          <cell r="AA29" t="str">
            <v>Yes</v>
          </cell>
          <cell r="AD29" t="str">
            <v>Value-added</v>
          </cell>
          <cell r="AF29" t="str">
            <v>Closed end</v>
          </cell>
          <cell r="AG29">
            <v>11</v>
          </cell>
          <cell r="AH29">
            <v>14</v>
          </cell>
          <cell r="AN29" t="str">
            <v>Institutional</v>
          </cell>
          <cell r="AZ29" t="str">
            <v>10 years</v>
          </cell>
          <cell r="BB29" t="str">
            <v>Global</v>
          </cell>
          <cell r="BH29">
            <v>750000000</v>
          </cell>
          <cell r="BJ29">
            <v>2013</v>
          </cell>
        </row>
        <row r="30">
          <cell r="A30">
            <v>17450</v>
          </cell>
          <cell r="B30" t="str">
            <v>PENN SQUARE GLOBAL REAL ESTATE FUND I</v>
          </cell>
          <cell r="C30" t="str">
            <v>PENN SQUARE REAL ESTATE GROUP</v>
          </cell>
          <cell r="D30" t="str">
            <v>442 Lincoln Ave.</v>
          </cell>
          <cell r="E30">
            <v>80488</v>
          </cell>
          <cell r="F30" t="str">
            <v>Steamboat Springs</v>
          </cell>
          <cell r="G30" t="str">
            <v>United States of America</v>
          </cell>
          <cell r="I30" t="str">
            <v>+ 1 610 665 4082</v>
          </cell>
          <cell r="J30" t="str">
            <v>http://www.pennsquare.com</v>
          </cell>
          <cell r="K30" t="str">
            <v>Jon Albro</v>
          </cell>
          <cell r="L30" t="str">
            <v>jalbro@pennsquare.com</v>
          </cell>
          <cell r="M30" t="str">
            <v>+1 610 943 2361</v>
          </cell>
          <cell r="N30" t="str">
            <v>Brandon Gallegos</v>
          </cell>
          <cell r="O30" t="str">
            <v>brandong@pennsquare.com</v>
          </cell>
          <cell r="P30">
            <v>8778017366</v>
          </cell>
          <cell r="R30" t="str">
            <v>USD</v>
          </cell>
          <cell r="S30" t="str">
            <v>US GAAP</v>
          </cell>
          <cell r="T30" t="str">
            <v>Quarterly</v>
          </cell>
          <cell r="U30" t="str">
            <v>Quarterly</v>
          </cell>
          <cell r="Y30" t="str">
            <v>Limited Partnership</v>
          </cell>
          <cell r="AD30" t="str">
            <v>Opportunity</v>
          </cell>
          <cell r="AF30" t="str">
            <v>Closed end</v>
          </cell>
          <cell r="AG30">
            <v>15</v>
          </cell>
          <cell r="AH30">
            <v>20</v>
          </cell>
          <cell r="AN30" t="str">
            <v>Institutional and Retail</v>
          </cell>
          <cell r="AT30">
            <v>75</v>
          </cell>
          <cell r="AU30">
            <v>75</v>
          </cell>
          <cell r="AV30">
            <v>18</v>
          </cell>
          <cell r="AW30">
            <v>20</v>
          </cell>
          <cell r="AX30" t="str">
            <v>15-20</v>
          </cell>
          <cell r="AY30">
            <v>20</v>
          </cell>
          <cell r="AZ30" t="str">
            <v>10 years</v>
          </cell>
          <cell r="BB30" t="str">
            <v>Global</v>
          </cell>
          <cell r="BH30">
            <v>100000000</v>
          </cell>
          <cell r="BJ30">
            <v>2007</v>
          </cell>
          <cell r="BK30">
            <v>2017</v>
          </cell>
          <cell r="BS30" t="str">
            <v>2012-09-30</v>
          </cell>
          <cell r="BU30">
            <v>0</v>
          </cell>
          <cell r="BW30">
            <v>0</v>
          </cell>
          <cell r="CD30">
            <v>0</v>
          </cell>
        </row>
        <row r="31">
          <cell r="A31">
            <v>17448</v>
          </cell>
          <cell r="B31" t="str">
            <v>PENN SQUARE GLOBAL REAL ESTATE FUND II</v>
          </cell>
          <cell r="C31" t="str">
            <v>THE TOWNSEND GROUP</v>
          </cell>
          <cell r="D31" t="str">
            <v>150 N, Radnor-Chester Road, Suite A110</v>
          </cell>
          <cell r="E31" t="str">
            <v>PA 19087</v>
          </cell>
          <cell r="F31" t="str">
            <v>Radnor</v>
          </cell>
          <cell r="G31" t="str">
            <v>United States of America</v>
          </cell>
          <cell r="I31" t="str">
            <v>+ 1 610 665 4082</v>
          </cell>
          <cell r="J31" t="str">
            <v>http://www.pennsquare.com</v>
          </cell>
          <cell r="K31" t="str">
            <v>Jon Albro</v>
          </cell>
          <cell r="L31" t="str">
            <v>jalbro@pennsquare.com</v>
          </cell>
          <cell r="M31" t="str">
            <v>+1 610 943 2361</v>
          </cell>
          <cell r="R31" t="str">
            <v>USD</v>
          </cell>
          <cell r="T31" t="str">
            <v>Quarterly</v>
          </cell>
          <cell r="U31" t="str">
            <v>Quarterly</v>
          </cell>
          <cell r="AD31" t="str">
            <v>Opportunity</v>
          </cell>
          <cell r="AF31" t="str">
            <v>Closed end</v>
          </cell>
          <cell r="AG31">
            <v>15</v>
          </cell>
          <cell r="AN31" t="str">
            <v>Institutional and Retail</v>
          </cell>
          <cell r="AQ31">
            <v>17</v>
          </cell>
          <cell r="AS31">
            <v>8535294</v>
          </cell>
          <cell r="AT31">
            <v>75</v>
          </cell>
          <cell r="AU31">
            <v>75</v>
          </cell>
          <cell r="AV31" t="str">
            <v>15-20</v>
          </cell>
          <cell r="AW31">
            <v>20</v>
          </cell>
          <cell r="AX31" t="str">
            <v>15-20</v>
          </cell>
          <cell r="AY31">
            <v>20</v>
          </cell>
          <cell r="AZ31" t="str">
            <v>10 years</v>
          </cell>
          <cell r="BB31" t="str">
            <v>Global</v>
          </cell>
          <cell r="BH31">
            <v>200000000</v>
          </cell>
          <cell r="BJ31">
            <v>2008</v>
          </cell>
          <cell r="BK31">
            <v>2018</v>
          </cell>
          <cell r="BS31" t="str">
            <v>2018-12-31</v>
          </cell>
          <cell r="BT31">
            <v>25909845</v>
          </cell>
          <cell r="BU31">
            <v>22652589.193380859</v>
          </cell>
          <cell r="BV31">
            <v>21700000</v>
          </cell>
          <cell r="BW31">
            <v>18971984.799460001</v>
          </cell>
          <cell r="BY31" t="str">
            <v>No</v>
          </cell>
          <cell r="CC31">
            <v>145100000</v>
          </cell>
          <cell r="CD31">
            <v>125066305.45688</v>
          </cell>
          <cell r="CE31">
            <v>88511000</v>
          </cell>
          <cell r="CF31">
            <v>76290446.328696802</v>
          </cell>
          <cell r="CG31" t="str">
            <v>No</v>
          </cell>
        </row>
        <row r="32">
          <cell r="A32">
            <v>17421</v>
          </cell>
          <cell r="B32" t="str">
            <v>PMM GLOBAL I K/S</v>
          </cell>
          <cell r="C32" t="str">
            <v>PATRIZIA MULTI MANAGERS A/S</v>
          </cell>
          <cell r="D32" t="str">
            <v>Strandvejen 102E, 4th</v>
          </cell>
          <cell r="E32">
            <v>2900</v>
          </cell>
          <cell r="F32" t="str">
            <v>Hellerup</v>
          </cell>
          <cell r="G32" t="str">
            <v>Denmark</v>
          </cell>
          <cell r="H32" t="str">
            <v>+45 3272 7200</v>
          </cell>
          <cell r="J32" t="str">
            <v>https://www.patrizia.ag/en/investors/investment-strategy/</v>
          </cell>
          <cell r="K32" t="str">
            <v>Kresten Dahl Juelner</v>
          </cell>
          <cell r="L32" t="str">
            <v>Kresten.Juelner@patrizia.ag</v>
          </cell>
          <cell r="M32" t="str">
            <v>+45 3272 7223</v>
          </cell>
          <cell r="Q32" t="str">
            <v>Denmark</v>
          </cell>
          <cell r="R32" t="str">
            <v>DKK</v>
          </cell>
          <cell r="S32" t="str">
            <v>IFRS</v>
          </cell>
          <cell r="T32" t="str">
            <v>Quarterly</v>
          </cell>
          <cell r="U32" t="str">
            <v>Quarterly</v>
          </cell>
          <cell r="W32" t="str">
            <v>IFRS NAV</v>
          </cell>
          <cell r="Y32" t="str">
            <v>Limited Partnership</v>
          </cell>
          <cell r="Z32" t="str">
            <v>No</v>
          </cell>
          <cell r="AD32" t="str">
            <v>Core</v>
          </cell>
          <cell r="AF32" t="str">
            <v>Closed end</v>
          </cell>
          <cell r="AG32">
            <v>8</v>
          </cell>
          <cell r="AH32">
            <v>10</v>
          </cell>
          <cell r="AI32" t="str">
            <v>Net</v>
          </cell>
          <cell r="AK32" t="str">
            <v>4-6%</v>
          </cell>
          <cell r="AN32" t="str">
            <v>Institutional</v>
          </cell>
          <cell r="AO32" t="str">
            <v>&gt; 2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50</v>
          </cell>
          <cell r="AU32">
            <v>50</v>
          </cell>
          <cell r="AV32">
            <v>15</v>
          </cell>
          <cell r="AW32">
            <v>15</v>
          </cell>
          <cell r="AX32">
            <v>100</v>
          </cell>
          <cell r="AY32">
            <v>25</v>
          </cell>
          <cell r="AZ32" t="str">
            <v>12 years</v>
          </cell>
          <cell r="BA32" t="str">
            <v>≥ 50%</v>
          </cell>
          <cell r="BB32" t="str">
            <v>Global</v>
          </cell>
          <cell r="BH32">
            <v>500000000</v>
          </cell>
          <cell r="BJ32">
            <v>2006</v>
          </cell>
          <cell r="BK32">
            <v>2018</v>
          </cell>
          <cell r="BS32" t="str">
            <v>2020-12-31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Y32" t="str">
            <v>No</v>
          </cell>
          <cell r="CA32">
            <v>0</v>
          </cell>
          <cell r="CC32">
            <v>0</v>
          </cell>
          <cell r="CD32">
            <v>0</v>
          </cell>
          <cell r="CE32">
            <v>0</v>
          </cell>
          <cell r="CG32" t="str">
            <v>No</v>
          </cell>
        </row>
        <row r="33">
          <cell r="A33">
            <v>17433</v>
          </cell>
          <cell r="B33" t="str">
            <v>PMM GLOBAL II K/S</v>
          </cell>
          <cell r="C33" t="str">
            <v>PATRIZIA MULTI MANAGERS A/S</v>
          </cell>
          <cell r="D33" t="str">
            <v>Strandvejen 102 E, 4th floor</v>
          </cell>
          <cell r="E33">
            <v>2900</v>
          </cell>
          <cell r="F33" t="str">
            <v>Hellerup</v>
          </cell>
          <cell r="G33" t="str">
            <v>Denmark</v>
          </cell>
          <cell r="H33" t="str">
            <v>+45 3272 7200</v>
          </cell>
          <cell r="J33" t="str">
            <v>https://www.patrizia.ag/en/investors/investment-strategy/</v>
          </cell>
          <cell r="K33" t="str">
            <v>Mads Rude</v>
          </cell>
          <cell r="L33" t="str">
            <v>Mads.Rude@patrizia.ag</v>
          </cell>
          <cell r="M33" t="str">
            <v>+45 3272 7222</v>
          </cell>
          <cell r="Q33" t="str">
            <v>Denmark</v>
          </cell>
          <cell r="R33" t="str">
            <v>EUR</v>
          </cell>
          <cell r="S33" t="str">
            <v>IFRS</v>
          </cell>
          <cell r="T33" t="str">
            <v>Quarterly</v>
          </cell>
          <cell r="U33" t="str">
            <v>Quarterly</v>
          </cell>
          <cell r="W33" t="str">
            <v>IFRS NAV</v>
          </cell>
          <cell r="Y33" t="str">
            <v>Limited Partnership</v>
          </cell>
          <cell r="Z33" t="str">
            <v>No</v>
          </cell>
          <cell r="AD33" t="str">
            <v>Value-added</v>
          </cell>
          <cell r="AF33" t="str">
            <v>Closed end</v>
          </cell>
          <cell r="AG33">
            <v>10</v>
          </cell>
          <cell r="AH33">
            <v>13</v>
          </cell>
          <cell r="AK33" t="str">
            <v>3-4%</v>
          </cell>
          <cell r="AN33" t="str">
            <v>Institutional</v>
          </cell>
          <cell r="AO33" t="str">
            <v>&gt; 2</v>
          </cell>
          <cell r="AP33">
            <v>41</v>
          </cell>
          <cell r="AQ33">
            <v>7</v>
          </cell>
          <cell r="AR33">
            <v>7</v>
          </cell>
          <cell r="AS33">
            <v>13360000</v>
          </cell>
          <cell r="AT33">
            <v>60</v>
          </cell>
          <cell r="AU33">
            <v>60</v>
          </cell>
          <cell r="AV33">
            <v>15</v>
          </cell>
          <cell r="AW33">
            <v>25</v>
          </cell>
          <cell r="AX33">
            <v>100</v>
          </cell>
          <cell r="AY33">
            <v>25</v>
          </cell>
          <cell r="AZ33" t="str">
            <v>10 years</v>
          </cell>
          <cell r="BA33" t="str">
            <v>≥ 50%</v>
          </cell>
          <cell r="BB33" t="str">
            <v>Global</v>
          </cell>
          <cell r="BH33">
            <v>200000000</v>
          </cell>
          <cell r="BJ33">
            <v>2009</v>
          </cell>
          <cell r="BK33">
            <v>2019</v>
          </cell>
          <cell r="BS33" t="str">
            <v>2020-12-31</v>
          </cell>
          <cell r="BT33">
            <v>28159800</v>
          </cell>
          <cell r="BU33">
            <v>28159800</v>
          </cell>
          <cell r="BV33">
            <v>28142900</v>
          </cell>
          <cell r="BW33">
            <v>28142900</v>
          </cell>
          <cell r="BY33" t="str">
            <v>No</v>
          </cell>
          <cell r="CA33">
            <v>10</v>
          </cell>
          <cell r="CC33">
            <v>200400000</v>
          </cell>
          <cell r="CD33">
            <v>200400000</v>
          </cell>
          <cell r="CE33">
            <v>177185000</v>
          </cell>
          <cell r="CF33">
            <v>177185000</v>
          </cell>
          <cell r="CG33" t="str">
            <v>No</v>
          </cell>
        </row>
        <row r="34">
          <cell r="A34">
            <v>17455</v>
          </cell>
          <cell r="B34" t="str">
            <v>PMM GLOBAL III K/S</v>
          </cell>
          <cell r="C34" t="str">
            <v>PATRIZIA MULTI MANAGERS A/S</v>
          </cell>
          <cell r="D34" t="str">
            <v>Strandvejen 102 E, 4th floor</v>
          </cell>
          <cell r="E34">
            <v>2900</v>
          </cell>
          <cell r="F34" t="str">
            <v>Hellerup</v>
          </cell>
          <cell r="G34" t="str">
            <v>Denmark</v>
          </cell>
          <cell r="H34" t="str">
            <v>+45 3272 7200</v>
          </cell>
          <cell r="J34" t="str">
            <v>https://www.patrizia.ag/en/investors/investment-strategy/</v>
          </cell>
          <cell r="K34" t="str">
            <v>Marko Multas</v>
          </cell>
          <cell r="L34" t="str">
            <v>Marko.Multas@patrizia.ag</v>
          </cell>
          <cell r="M34" t="str">
            <v>+45 3272 7224</v>
          </cell>
          <cell r="Q34" t="str">
            <v>Denmark</v>
          </cell>
          <cell r="R34" t="str">
            <v>EUR</v>
          </cell>
          <cell r="S34" t="str">
            <v>IFRS</v>
          </cell>
          <cell r="T34" t="str">
            <v>Quarterly</v>
          </cell>
          <cell r="U34" t="str">
            <v>Quarterly</v>
          </cell>
          <cell r="W34" t="str">
            <v>IFRS NAV</v>
          </cell>
          <cell r="Y34" t="str">
            <v>Limited Partnership</v>
          </cell>
          <cell r="Z34" t="str">
            <v>No</v>
          </cell>
          <cell r="AD34" t="str">
            <v>Value-added</v>
          </cell>
          <cell r="AF34" t="str">
            <v>Closed end</v>
          </cell>
          <cell r="AG34">
            <v>11</v>
          </cell>
          <cell r="AH34">
            <v>13</v>
          </cell>
          <cell r="AK34" t="str">
            <v>3-4%</v>
          </cell>
          <cell r="AN34" t="str">
            <v>Institutional</v>
          </cell>
          <cell r="AO34" t="str">
            <v>&gt; 2</v>
          </cell>
          <cell r="AQ34">
            <v>11</v>
          </cell>
          <cell r="AR34">
            <v>11</v>
          </cell>
          <cell r="AS34">
            <v>21900000</v>
          </cell>
          <cell r="AT34">
            <v>50</v>
          </cell>
          <cell r="AU34">
            <v>50</v>
          </cell>
          <cell r="AV34">
            <v>14</v>
          </cell>
          <cell r="AW34">
            <v>79332500</v>
          </cell>
          <cell r="AX34">
            <v>100</v>
          </cell>
          <cell r="AY34">
            <v>79332500</v>
          </cell>
          <cell r="AZ34" t="str">
            <v>10 years</v>
          </cell>
          <cell r="BA34" t="str">
            <v>≥ 50%</v>
          </cell>
          <cell r="BB34" t="str">
            <v>Global</v>
          </cell>
          <cell r="BH34">
            <v>400000000</v>
          </cell>
          <cell r="BJ34">
            <v>2013</v>
          </cell>
          <cell r="BK34">
            <v>2023</v>
          </cell>
          <cell r="BS34" t="str">
            <v>2020-12-31</v>
          </cell>
          <cell r="BT34">
            <v>122983200</v>
          </cell>
          <cell r="BU34">
            <v>122983200</v>
          </cell>
          <cell r="BV34">
            <v>122029600</v>
          </cell>
          <cell r="BW34">
            <v>122029600</v>
          </cell>
          <cell r="BY34" t="str">
            <v>No</v>
          </cell>
          <cell r="CA34">
            <v>13</v>
          </cell>
          <cell r="CC34">
            <v>317330000</v>
          </cell>
          <cell r="CD34">
            <v>317330000</v>
          </cell>
          <cell r="CE34">
            <v>279092000</v>
          </cell>
          <cell r="CF34">
            <v>279092000</v>
          </cell>
          <cell r="CG34" t="str">
            <v>No</v>
          </cell>
        </row>
        <row r="35">
          <cell r="A35">
            <v>18171</v>
          </cell>
          <cell r="B35" t="str">
            <v>PMM GLOBAL IV K/S</v>
          </cell>
          <cell r="C35" t="str">
            <v>PATRIZIA MULTI MANAGERS A/S</v>
          </cell>
          <cell r="D35" t="str">
            <v>Strandvejen 102E, 4th floor</v>
          </cell>
          <cell r="E35">
            <v>2900</v>
          </cell>
          <cell r="F35" t="str">
            <v>Hellerup</v>
          </cell>
          <cell r="G35" t="str">
            <v>Denmark</v>
          </cell>
          <cell r="H35" t="str">
            <v>+4532727200</v>
          </cell>
          <cell r="J35" t="str">
            <v>https://www.patrizia.ag/en/investors/investment-strategy/</v>
          </cell>
          <cell r="K35" t="str">
            <v>Kresten Dahl Juelner</v>
          </cell>
          <cell r="L35" t="str">
            <v>Kresten.Juelner@patrizia.ag</v>
          </cell>
          <cell r="M35" t="str">
            <v>+4532727223</v>
          </cell>
          <cell r="Q35" t="str">
            <v>Denmark</v>
          </cell>
          <cell r="R35" t="str">
            <v>EUR</v>
          </cell>
          <cell r="S35" t="str">
            <v>IFRS</v>
          </cell>
          <cell r="T35" t="str">
            <v>Quarterly</v>
          </cell>
          <cell r="U35" t="str">
            <v>Quarterly</v>
          </cell>
          <cell r="W35" t="str">
            <v>IFRS NAV</v>
          </cell>
          <cell r="Y35" t="str">
            <v>Limited Partnership</v>
          </cell>
          <cell r="Z35" t="str">
            <v>No</v>
          </cell>
          <cell r="AD35" t="str">
            <v>Value-added</v>
          </cell>
          <cell r="AF35" t="str">
            <v>Closed end</v>
          </cell>
          <cell r="AG35">
            <v>11</v>
          </cell>
          <cell r="AH35">
            <v>13</v>
          </cell>
          <cell r="AI35" t="str">
            <v>Net</v>
          </cell>
          <cell r="AN35" t="str">
            <v>Institutional</v>
          </cell>
          <cell r="AO35" t="str">
            <v>&gt; 2</v>
          </cell>
          <cell r="AQ35">
            <v>18</v>
          </cell>
          <cell r="AR35">
            <v>12</v>
          </cell>
          <cell r="AS35">
            <v>27127778</v>
          </cell>
          <cell r="AT35">
            <v>50</v>
          </cell>
          <cell r="AU35">
            <v>50</v>
          </cell>
          <cell r="AV35">
            <v>20</v>
          </cell>
          <cell r="AW35">
            <v>25</v>
          </cell>
          <cell r="AX35">
            <v>100</v>
          </cell>
          <cell r="AY35">
            <v>25</v>
          </cell>
          <cell r="AZ35">
            <v>12</v>
          </cell>
          <cell r="BA35" t="str">
            <v>≥ 50%</v>
          </cell>
          <cell r="BB35" t="str">
            <v>Global</v>
          </cell>
          <cell r="BH35">
            <v>500000000</v>
          </cell>
          <cell r="BJ35">
            <v>2015</v>
          </cell>
          <cell r="BS35" t="str">
            <v>2020-12-31</v>
          </cell>
          <cell r="BT35">
            <v>325163300</v>
          </cell>
          <cell r="BU35">
            <v>325163300</v>
          </cell>
          <cell r="BV35">
            <v>325163300</v>
          </cell>
          <cell r="BW35">
            <v>325163300</v>
          </cell>
          <cell r="BY35" t="str">
            <v>No</v>
          </cell>
          <cell r="CA35">
            <v>16</v>
          </cell>
          <cell r="CC35">
            <v>504752000</v>
          </cell>
          <cell r="CD35">
            <v>504752000</v>
          </cell>
          <cell r="CE35">
            <v>398129000</v>
          </cell>
          <cell r="CF35">
            <v>398129000</v>
          </cell>
          <cell r="CG35" t="str">
            <v>No</v>
          </cell>
        </row>
        <row r="36">
          <cell r="A36">
            <v>17418</v>
          </cell>
          <cell r="B36" t="str">
            <v>SCHRODER REAL ESTATE FUND OF FUNDS - CONTINENTAL EUROPEAN FUND I</v>
          </cell>
          <cell r="C36" t="str">
            <v>SCHRODER INVESTMENT MANAGEMENT (LUXEMBOURG) S.A.</v>
          </cell>
          <cell r="D36" t="str">
            <v>31 Gresham Street</v>
          </cell>
          <cell r="E36" t="str">
            <v>EC2V 7QA</v>
          </cell>
          <cell r="F36" t="str">
            <v>London</v>
          </cell>
          <cell r="G36" t="str">
            <v>United Kingdom</v>
          </cell>
          <cell r="H36" t="str">
            <v>+44 207 658 6000</v>
          </cell>
          <cell r="I36" t="str">
            <v>+44 207 658 3960</v>
          </cell>
          <cell r="J36" t="str">
            <v>http://www.schroders.com</v>
          </cell>
          <cell r="K36" t="str">
            <v>Tom Dorey</v>
          </cell>
          <cell r="L36" t="str">
            <v>property@schroders.com</v>
          </cell>
          <cell r="M36" t="str">
            <v>+31 20 5708186</v>
          </cell>
          <cell r="R36" t="str">
            <v>EUR</v>
          </cell>
          <cell r="T36" t="str">
            <v>Quarterly</v>
          </cell>
          <cell r="U36" t="str">
            <v>Quarterly</v>
          </cell>
          <cell r="AD36" t="str">
            <v>Core</v>
          </cell>
          <cell r="AF36" t="str">
            <v>Closed end</v>
          </cell>
          <cell r="AG36">
            <v>10</v>
          </cell>
          <cell r="AK36" t="str">
            <v>5%</v>
          </cell>
          <cell r="AN36" t="str">
            <v>Institutional</v>
          </cell>
          <cell r="AT36">
            <v>55</v>
          </cell>
          <cell r="AU36">
            <v>55</v>
          </cell>
          <cell r="AV36" t="str">
            <v>10-15</v>
          </cell>
          <cell r="AW36">
            <v>25</v>
          </cell>
          <cell r="AX36" t="str">
            <v>10-15</v>
          </cell>
          <cell r="AY36">
            <v>25</v>
          </cell>
          <cell r="AZ36" t="str">
            <v>12 years</v>
          </cell>
          <cell r="BB36" t="str">
            <v>Europe</v>
          </cell>
          <cell r="BH36">
            <v>253000000</v>
          </cell>
          <cell r="BJ36">
            <v>2006</v>
          </cell>
          <cell r="BK36">
            <v>2018</v>
          </cell>
          <cell r="BS36" t="str">
            <v>2013-06-30</v>
          </cell>
          <cell r="BU36">
            <v>0</v>
          </cell>
          <cell r="BW36">
            <v>0</v>
          </cell>
          <cell r="CD36">
            <v>0</v>
          </cell>
        </row>
        <row r="37">
          <cell r="A37">
            <v>17419</v>
          </cell>
          <cell r="B37" t="str">
            <v>SCHRODER REAL ESTATE FUND OF FUNDS - CONTINENTAL EUROPEAN FUND II</v>
          </cell>
          <cell r="C37" t="str">
            <v>SCHRODER INVESTMENT MANAGEMENT (LUXEMBOURG) S.A.</v>
          </cell>
          <cell r="D37" t="str">
            <v>31 Gresham Street</v>
          </cell>
          <cell r="E37" t="str">
            <v>EC2V 7QA</v>
          </cell>
          <cell r="F37" t="str">
            <v>London</v>
          </cell>
          <cell r="G37" t="str">
            <v>United Kingdom</v>
          </cell>
          <cell r="H37" t="str">
            <v>+44 207 658 6000</v>
          </cell>
          <cell r="I37" t="str">
            <v>+44 207 658 3960</v>
          </cell>
          <cell r="J37" t="str">
            <v>http://www.schroders.com</v>
          </cell>
          <cell r="K37" t="str">
            <v>Tom Dorey</v>
          </cell>
          <cell r="L37" t="str">
            <v>property@schroders.com</v>
          </cell>
          <cell r="M37" t="str">
            <v>+31 20 5708186</v>
          </cell>
          <cell r="R37" t="str">
            <v>EUR</v>
          </cell>
          <cell r="T37" t="str">
            <v>Quarterly</v>
          </cell>
          <cell r="U37" t="str">
            <v>Quarterly</v>
          </cell>
          <cell r="AD37" t="str">
            <v>Core</v>
          </cell>
          <cell r="AF37" t="str">
            <v>Closed end</v>
          </cell>
          <cell r="AG37">
            <v>8</v>
          </cell>
          <cell r="AH37">
            <v>10</v>
          </cell>
          <cell r="AN37" t="str">
            <v>Institutional</v>
          </cell>
          <cell r="AV37" t="str">
            <v>10-15</v>
          </cell>
          <cell r="AW37">
            <v>25</v>
          </cell>
          <cell r="AX37" t="str">
            <v>10-15</v>
          </cell>
          <cell r="AY37">
            <v>30</v>
          </cell>
          <cell r="AZ37" t="str">
            <v>12 years</v>
          </cell>
          <cell r="BB37" t="str">
            <v>Europe</v>
          </cell>
          <cell r="BH37">
            <v>200000000</v>
          </cell>
          <cell r="BJ37">
            <v>2007</v>
          </cell>
          <cell r="BK37">
            <v>2019</v>
          </cell>
          <cell r="BS37" t="str">
            <v>2013-06-30</v>
          </cell>
          <cell r="BU37">
            <v>0</v>
          </cell>
          <cell r="BW37">
            <v>0</v>
          </cell>
          <cell r="CD37">
            <v>0</v>
          </cell>
        </row>
        <row r="38">
          <cell r="A38">
            <v>19261</v>
          </cell>
          <cell r="B38" t="str">
            <v>SFP AST GLOBAL CORE PROPERTY HEDGED</v>
          </cell>
          <cell r="C38" t="str">
            <v>SWISS FINANCE &amp; PROPERTY CORPORATION (SFP)</v>
          </cell>
          <cell r="D38" t="str">
            <v>Seefeldstrasse 275</v>
          </cell>
          <cell r="E38">
            <v>8008</v>
          </cell>
          <cell r="F38" t="str">
            <v>Zürich</v>
          </cell>
          <cell r="G38" t="str">
            <v>Switzerland</v>
          </cell>
          <cell r="K38" t="str">
            <v>Frederik De Block</v>
          </cell>
          <cell r="L38" t="str">
            <v>deblock@sfp.ch</v>
          </cell>
          <cell r="N38" t="str">
            <v>Urs Kunz</v>
          </cell>
          <cell r="O38" t="str">
            <v>kunz@sfp.ch</v>
          </cell>
          <cell r="Q38" t="str">
            <v>Switzerland</v>
          </cell>
          <cell r="R38" t="str">
            <v>CHF</v>
          </cell>
          <cell r="S38" t="str">
            <v>Swiss GAAP</v>
          </cell>
          <cell r="T38" t="str">
            <v>Quarterly</v>
          </cell>
          <cell r="U38" t="str">
            <v>Quarterly</v>
          </cell>
          <cell r="W38" t="str">
            <v>External Valuer</v>
          </cell>
          <cell r="Y38" t="str">
            <v>Anlagestiftung</v>
          </cell>
          <cell r="Z38" t="str">
            <v>No</v>
          </cell>
          <cell r="AD38" t="str">
            <v>Core</v>
          </cell>
          <cell r="AF38" t="str">
            <v>Open end</v>
          </cell>
          <cell r="AG38">
            <v>4</v>
          </cell>
          <cell r="AH38">
            <v>6</v>
          </cell>
          <cell r="AI38" t="str">
            <v>Net</v>
          </cell>
          <cell r="AN38" t="str">
            <v>Institutional</v>
          </cell>
          <cell r="AO38" t="str">
            <v>&gt; 2</v>
          </cell>
          <cell r="AQ38">
            <v>11</v>
          </cell>
          <cell r="AS38">
            <v>16777272.73</v>
          </cell>
          <cell r="AU38">
            <v>0</v>
          </cell>
          <cell r="AV38">
            <v>20</v>
          </cell>
          <cell r="AW38">
            <v>200000000</v>
          </cell>
          <cell r="AX38">
            <v>100</v>
          </cell>
          <cell r="AY38">
            <v>200000000</v>
          </cell>
          <cell r="AZ38" t="str">
            <v>open-ended</v>
          </cell>
          <cell r="BA38" t="str">
            <v>≥ 50%</v>
          </cell>
          <cell r="BB38" t="str">
            <v>Global</v>
          </cell>
          <cell r="BH38">
            <v>1000000000</v>
          </cell>
          <cell r="BI38">
            <v>1000000000</v>
          </cell>
          <cell r="BJ38">
            <v>2017</v>
          </cell>
          <cell r="BO38" t="str">
            <v>No</v>
          </cell>
          <cell r="BS38" t="str">
            <v>2019-03-31</v>
          </cell>
          <cell r="BT38">
            <v>171000000</v>
          </cell>
          <cell r="BU38">
            <v>153223060.52160001</v>
          </cell>
          <cell r="BV38">
            <v>171000000</v>
          </cell>
          <cell r="BW38">
            <v>153223060.52160001</v>
          </cell>
          <cell r="CC38">
            <v>184550000</v>
          </cell>
          <cell r="CD38">
            <v>163877716.56918001</v>
          </cell>
          <cell r="CF38">
            <v>0</v>
          </cell>
        </row>
        <row r="39">
          <cell r="A39">
            <v>19262</v>
          </cell>
          <cell r="B39" t="str">
            <v>SFP AST GLOBAL CORE PROPERTY UNHEDGED</v>
          </cell>
          <cell r="C39" t="str">
            <v>SWISS FINANCE &amp; PROPERTY CORPORATION (SFP)</v>
          </cell>
          <cell r="D39" t="str">
            <v>Seefeldstrasse 275</v>
          </cell>
          <cell r="E39">
            <v>8008</v>
          </cell>
          <cell r="F39" t="str">
            <v>Zürich</v>
          </cell>
          <cell r="G39" t="str">
            <v>Switzerland</v>
          </cell>
          <cell r="K39" t="str">
            <v>Frederik De Block</v>
          </cell>
          <cell r="L39" t="str">
            <v>deblock@sfp.ch</v>
          </cell>
          <cell r="N39" t="str">
            <v>Urs Kunz</v>
          </cell>
          <cell r="O39" t="str">
            <v>kunz@sfp.ch</v>
          </cell>
          <cell r="Q39" t="str">
            <v>Switzerland</v>
          </cell>
          <cell r="R39" t="str">
            <v>CHF</v>
          </cell>
          <cell r="T39" t="str">
            <v>Quarterly</v>
          </cell>
          <cell r="U39" t="str">
            <v>Quarterly</v>
          </cell>
          <cell r="AD39" t="str">
            <v>Core</v>
          </cell>
          <cell r="AF39" t="str">
            <v>Open end</v>
          </cell>
          <cell r="AG39">
            <v>5</v>
          </cell>
          <cell r="AH39">
            <v>7</v>
          </cell>
          <cell r="AI39" t="str">
            <v>Net</v>
          </cell>
          <cell r="AN39" t="str">
            <v>Institutional</v>
          </cell>
          <cell r="AO39" t="str">
            <v>&gt; 2</v>
          </cell>
          <cell r="AQ39">
            <v>11</v>
          </cell>
          <cell r="AS39">
            <v>5636363</v>
          </cell>
          <cell r="AW39">
            <v>20</v>
          </cell>
          <cell r="AY39">
            <v>20</v>
          </cell>
          <cell r="BA39" t="str">
            <v>≥ 50%</v>
          </cell>
          <cell r="BB39" t="str">
            <v>Global</v>
          </cell>
          <cell r="BJ39">
            <v>2017</v>
          </cell>
          <cell r="BS39" t="str">
            <v>2019-03-31</v>
          </cell>
          <cell r="BT39">
            <v>64000000</v>
          </cell>
          <cell r="BU39">
            <v>57346642.534400001</v>
          </cell>
          <cell r="BV39">
            <v>64000000</v>
          </cell>
          <cell r="BW39">
            <v>57346642.534400001</v>
          </cell>
          <cell r="CC39">
            <v>62000000</v>
          </cell>
          <cell r="CD39">
            <v>55055098.495200001</v>
          </cell>
          <cell r="CF39">
            <v>0</v>
          </cell>
        </row>
        <row r="40">
          <cell r="A40">
            <v>17420</v>
          </cell>
          <cell r="B40" t="str">
            <v>THE SCHRODER INDIRECT REAL ESTATE FUND</v>
          </cell>
          <cell r="C40" t="str">
            <v>SCHRODER PROPERTY MANAGERS (JERSEY) LIMITED</v>
          </cell>
          <cell r="D40" t="str">
            <v>31 Gresham Street</v>
          </cell>
          <cell r="E40" t="str">
            <v>EC2V 7QA</v>
          </cell>
          <cell r="F40" t="str">
            <v>London</v>
          </cell>
          <cell r="G40" t="str">
            <v>United Kingdom</v>
          </cell>
          <cell r="H40" t="str">
            <v>+44 207 658 6000</v>
          </cell>
          <cell r="I40" t="str">
            <v>+44 207 658 3960</v>
          </cell>
          <cell r="J40" t="str">
            <v>http://www.schroders.com</v>
          </cell>
          <cell r="K40" t="str">
            <v>Tom Dorey</v>
          </cell>
          <cell r="L40" t="str">
            <v>property@schroders.com</v>
          </cell>
          <cell r="M40" t="str">
            <v>+31 20 5708186</v>
          </cell>
          <cell r="R40" t="str">
            <v>GBP</v>
          </cell>
          <cell r="T40" t="str">
            <v>Quarterly</v>
          </cell>
          <cell r="U40" t="str">
            <v>Quarterly</v>
          </cell>
          <cell r="AD40" t="str">
            <v>Core</v>
          </cell>
          <cell r="AF40" t="str">
            <v>Open end</v>
          </cell>
          <cell r="AG40">
            <v>0</v>
          </cell>
          <cell r="AN40" t="str">
            <v>Institutional and Retail</v>
          </cell>
          <cell r="AV40" t="str">
            <v>10-20</v>
          </cell>
          <cell r="AW40">
            <v>40</v>
          </cell>
          <cell r="AX40" t="str">
            <v>10-15</v>
          </cell>
          <cell r="AY40">
            <v>50</v>
          </cell>
          <cell r="BB40" t="str">
            <v>Europe</v>
          </cell>
          <cell r="BH40">
            <v>300000000</v>
          </cell>
          <cell r="BJ40">
            <v>2004</v>
          </cell>
          <cell r="BK40">
            <v>2104</v>
          </cell>
          <cell r="BS40" t="str">
            <v>2013-06-30</v>
          </cell>
          <cell r="BU40">
            <v>0</v>
          </cell>
          <cell r="BW40">
            <v>0</v>
          </cell>
          <cell r="CD40">
            <v>0</v>
          </cell>
        </row>
        <row r="41">
          <cell r="A41">
            <v>17449</v>
          </cell>
          <cell r="B41" t="str">
            <v>TOWNSQUARE REAL ESTATE ALPHA FUND</v>
          </cell>
          <cell r="C41" t="str">
            <v>THE TOWNSEND GROUP</v>
          </cell>
          <cell r="D41" t="str">
            <v>150 N, Radnor-Chester Road, Suite A110</v>
          </cell>
          <cell r="E41" t="str">
            <v>PA 19087</v>
          </cell>
          <cell r="F41" t="str">
            <v>Radnor</v>
          </cell>
          <cell r="G41" t="str">
            <v>United States of America</v>
          </cell>
          <cell r="I41" t="str">
            <v>+ 1 610 665 4082</v>
          </cell>
          <cell r="J41" t="str">
            <v>http://www.pennsquare.com</v>
          </cell>
          <cell r="K41" t="str">
            <v>Jon Albro</v>
          </cell>
          <cell r="L41" t="str">
            <v>jalbro@pennsquare.com</v>
          </cell>
          <cell r="M41" t="str">
            <v>+1 610 943 2361</v>
          </cell>
          <cell r="R41" t="str">
            <v>USD</v>
          </cell>
          <cell r="T41" t="str">
            <v>Quarterly</v>
          </cell>
          <cell r="U41" t="str">
            <v>Quarterly</v>
          </cell>
          <cell r="AD41" t="str">
            <v>Opportunity</v>
          </cell>
          <cell r="AF41" t="str">
            <v>Closed end</v>
          </cell>
          <cell r="AG41">
            <v>15</v>
          </cell>
          <cell r="AN41" t="str">
            <v>Institutional and Retail</v>
          </cell>
          <cell r="AT41">
            <v>75</v>
          </cell>
          <cell r="AU41">
            <v>75</v>
          </cell>
          <cell r="AV41" t="str">
            <v>15-20</v>
          </cell>
          <cell r="AW41">
            <v>40</v>
          </cell>
          <cell r="AX41" t="str">
            <v>15-20</v>
          </cell>
          <cell r="AY41">
            <v>40</v>
          </cell>
          <cell r="AZ41" t="str">
            <v>10 years</v>
          </cell>
          <cell r="BB41" t="str">
            <v>Global</v>
          </cell>
          <cell r="BH41">
            <v>300000000</v>
          </cell>
          <cell r="BJ41">
            <v>2011</v>
          </cell>
          <cell r="BK41">
            <v>2021</v>
          </cell>
        </row>
        <row r="42">
          <cell r="A42">
            <v>17439</v>
          </cell>
          <cell r="B42" t="str">
            <v>UBS (LUX) REAL ESTATE FUNDS SELECTION - GLOBAL</v>
          </cell>
          <cell r="C42" t="str">
            <v>UBS GLOBAL ASSET MANAGEMENT (UK) LTD</v>
          </cell>
          <cell r="D42" t="str">
            <v>5 Broadgate</v>
          </cell>
          <cell r="E42" t="str">
            <v>EC2M 2QS</v>
          </cell>
          <cell r="F42" t="str">
            <v>London</v>
          </cell>
          <cell r="G42" t="str">
            <v>United Kingdom</v>
          </cell>
          <cell r="J42" t="str">
            <v>http://www.ubs.com</v>
          </cell>
          <cell r="K42" t="str">
            <v>Paul Guest</v>
          </cell>
          <cell r="L42" t="str">
            <v>paul.guest@ubs.com</v>
          </cell>
          <cell r="M42" t="str">
            <v>+442079015302</v>
          </cell>
          <cell r="N42" t="str">
            <v>Dhruv Kochhar</v>
          </cell>
          <cell r="O42" t="str">
            <v>dhruv.kochhar@ubs.com</v>
          </cell>
          <cell r="P42" t="str">
            <v>+442079016980</v>
          </cell>
          <cell r="Q42" t="str">
            <v>Luxembourg</v>
          </cell>
          <cell r="R42" t="str">
            <v>EUR</v>
          </cell>
          <cell r="S42" t="str">
            <v>Local GAAP</v>
          </cell>
          <cell r="T42" t="str">
            <v>Quarterly</v>
          </cell>
          <cell r="U42" t="str">
            <v>Quarterly</v>
          </cell>
          <cell r="X42" t="str">
            <v>Ernst &amp; Young</v>
          </cell>
          <cell r="Y42" t="str">
            <v>SICAV</v>
          </cell>
          <cell r="AA42" t="str">
            <v>No</v>
          </cell>
          <cell r="AD42" t="str">
            <v>Core</v>
          </cell>
          <cell r="AF42" t="str">
            <v>Open end</v>
          </cell>
          <cell r="AG42">
            <v>5</v>
          </cell>
          <cell r="AH42">
            <v>7</v>
          </cell>
          <cell r="AI42" t="str">
            <v>Net</v>
          </cell>
          <cell r="AJ42" t="str">
            <v>5% - 7% over the investment cycle, net of fees and taxes</v>
          </cell>
          <cell r="AK42" t="str">
            <v>3-3.5%</v>
          </cell>
          <cell r="AN42" t="str">
            <v>Institutional</v>
          </cell>
          <cell r="AO42" t="str">
            <v>&gt; 2</v>
          </cell>
          <cell r="AP42">
            <v>0</v>
          </cell>
          <cell r="AQ42">
            <v>45</v>
          </cell>
          <cell r="AR42">
            <v>43</v>
          </cell>
          <cell r="AW42">
            <v>20</v>
          </cell>
          <cell r="AY42">
            <v>20</v>
          </cell>
          <cell r="AZ42" t="str">
            <v>Infinite</v>
          </cell>
          <cell r="BA42" t="str">
            <v>≥ 50%</v>
          </cell>
          <cell r="BB42" t="str">
            <v>Global</v>
          </cell>
          <cell r="BH42">
            <v>3000000000</v>
          </cell>
          <cell r="BI42">
            <v>3000000000</v>
          </cell>
          <cell r="BJ42">
            <v>2008</v>
          </cell>
          <cell r="BS42" t="str">
            <v>2019-12-31</v>
          </cell>
          <cell r="BT42">
            <v>5975947869.9200001</v>
          </cell>
          <cell r="BU42">
            <v>5975947869.9200001</v>
          </cell>
          <cell r="BV42">
            <v>5975947869.9200001</v>
          </cell>
          <cell r="BW42">
            <v>5975947869.9200001</v>
          </cell>
          <cell r="BY42" t="str">
            <v>Yes</v>
          </cell>
          <cell r="CA42">
            <v>292</v>
          </cell>
          <cell r="CD42">
            <v>0</v>
          </cell>
        </row>
        <row r="43">
          <cell r="A43">
            <v>17456</v>
          </cell>
          <cell r="B43" t="str">
            <v>UBS (UK) REAL ESTATE FUNDS SELECTION - GLOBAL EX CANADA LP</v>
          </cell>
          <cell r="C43" t="str">
            <v>UBS GLOBAL ASSET MANAGEMENT (UK) LTD</v>
          </cell>
          <cell r="D43" t="str">
            <v>Stockerstrasse 15, 8008 Zurich, Switzerland</v>
          </cell>
          <cell r="F43" t="str">
            <v>Zurich</v>
          </cell>
          <cell r="G43" t="str">
            <v>Switzerland</v>
          </cell>
          <cell r="J43" t="str">
            <v>http://www.ubs.com</v>
          </cell>
          <cell r="K43" t="str">
            <v>Matthew Johnson</v>
          </cell>
          <cell r="L43" t="str">
            <v>matthew-g.johnson@ubs.com</v>
          </cell>
          <cell r="M43" t="str">
            <v>+1 312 525 7453</v>
          </cell>
          <cell r="N43" t="str">
            <v>David Coyle</v>
          </cell>
          <cell r="O43" t="str">
            <v>david.coyle@ubs.com</v>
          </cell>
          <cell r="P43" t="str">
            <v>+1 416 681 5264</v>
          </cell>
          <cell r="Q43" t="str">
            <v>United Kingdom</v>
          </cell>
          <cell r="R43" t="str">
            <v>CAD</v>
          </cell>
          <cell r="S43" t="str">
            <v>Local GAAP</v>
          </cell>
          <cell r="T43" t="str">
            <v>Quarterly</v>
          </cell>
          <cell r="U43" t="str">
            <v>Quarterly</v>
          </cell>
          <cell r="X43" t="str">
            <v>PricewaterhouseCoopers</v>
          </cell>
          <cell r="Y43" t="str">
            <v>Limited Partnership</v>
          </cell>
          <cell r="AA43" t="str">
            <v>No</v>
          </cell>
          <cell r="AD43" t="str">
            <v>Core</v>
          </cell>
          <cell r="AF43" t="str">
            <v>Open end</v>
          </cell>
          <cell r="AG43">
            <v>0</v>
          </cell>
          <cell r="AI43" t="str">
            <v>Net</v>
          </cell>
          <cell r="AJ43" t="str">
            <v>Canadian CPI + 4.5% (net of costs, management fees and taxes) over a market cycle - CPI figure is 2% based on long-term Candaian CPI average. Canadian CPI figures sourced from Bank of Canada</v>
          </cell>
          <cell r="AK43" t="str">
            <v>4-4,5%</v>
          </cell>
          <cell r="AN43" t="str">
            <v>Institutional</v>
          </cell>
          <cell r="AO43" t="str">
            <v>&gt; 2</v>
          </cell>
          <cell r="AQ43">
            <v>32</v>
          </cell>
          <cell r="AS43">
            <v>150349507</v>
          </cell>
          <cell r="AV43" t="str">
            <v>15-25</v>
          </cell>
          <cell r="AW43">
            <v>15</v>
          </cell>
          <cell r="AY43">
            <v>15</v>
          </cell>
          <cell r="AZ43" t="str">
            <v>infinite</v>
          </cell>
          <cell r="BA43" t="str">
            <v>≥ 50%</v>
          </cell>
          <cell r="BB43" t="str">
            <v>Global</v>
          </cell>
          <cell r="BH43">
            <v>500000000</v>
          </cell>
          <cell r="BI43">
            <v>500000000</v>
          </cell>
          <cell r="BJ43">
            <v>2011</v>
          </cell>
          <cell r="BS43" t="str">
            <v>2020-12-31</v>
          </cell>
          <cell r="BT43">
            <v>1235466446</v>
          </cell>
          <cell r="BU43">
            <v>787000013.93752444</v>
          </cell>
          <cell r="BV43">
            <v>1235466446</v>
          </cell>
          <cell r="BW43">
            <v>787000013.93752444</v>
          </cell>
          <cell r="CC43">
            <v>4811184231</v>
          </cell>
          <cell r="CD43">
            <v>3070941822.548326</v>
          </cell>
          <cell r="CE43">
            <v>4811184231</v>
          </cell>
          <cell r="CF43">
            <v>3070941822.548326</v>
          </cell>
        </row>
        <row r="44">
          <cell r="A44">
            <v>17443</v>
          </cell>
          <cell r="B44" t="str">
            <v>UBS AST 3 GLOBAL REAL ESTATE( EX CH)</v>
          </cell>
          <cell r="C44" t="str">
            <v>UBS GLOBAL ASSET MANAGEMENT (UK) LTD</v>
          </cell>
          <cell r="D44" t="str">
            <v>Stockerstrasse 64, 8098 Zurich, Switzerland</v>
          </cell>
          <cell r="F44" t="str">
            <v>Zurich</v>
          </cell>
          <cell r="G44" t="str">
            <v>Switzerland</v>
          </cell>
          <cell r="J44" t="str">
            <v>http://www.ubs.com</v>
          </cell>
          <cell r="K44" t="str">
            <v>Nick Chukiat</v>
          </cell>
          <cell r="L44" t="str">
            <v>nick.chukiat@ubs.com</v>
          </cell>
          <cell r="M44" t="str">
            <v>+65 64955270</v>
          </cell>
          <cell r="N44" t="str">
            <v>Marco Engesser</v>
          </cell>
          <cell r="O44" t="str">
            <v>marco.engesser@ubs.com</v>
          </cell>
          <cell r="P44" t="str">
            <v>+41-44-234 25 52</v>
          </cell>
          <cell r="Q44" t="str">
            <v>Switzerland</v>
          </cell>
          <cell r="R44" t="str">
            <v>CHF</v>
          </cell>
          <cell r="S44" t="str">
            <v>Local GAAP</v>
          </cell>
          <cell r="T44" t="str">
            <v>Quarterly</v>
          </cell>
          <cell r="U44" t="str">
            <v>Quarterly</v>
          </cell>
          <cell r="X44" t="str">
            <v>PricewaterhouseCoopers</v>
          </cell>
          <cell r="AA44" t="str">
            <v>No</v>
          </cell>
          <cell r="AD44" t="str">
            <v>Core</v>
          </cell>
          <cell r="AF44" t="str">
            <v>Open end</v>
          </cell>
          <cell r="AG44">
            <v>5</v>
          </cell>
          <cell r="AH44">
            <v>6</v>
          </cell>
          <cell r="AI44" t="str">
            <v>Net</v>
          </cell>
          <cell r="AJ44" t="str">
            <v>5%-6%</v>
          </cell>
          <cell r="AK44" t="str">
            <v>4%</v>
          </cell>
          <cell r="AN44" t="str">
            <v>Institutional</v>
          </cell>
          <cell r="AO44" t="str">
            <v>&gt; 2</v>
          </cell>
          <cell r="AQ44">
            <v>41</v>
          </cell>
          <cell r="AS44">
            <v>107178273</v>
          </cell>
          <cell r="AV44" t="str">
            <v>15-25</v>
          </cell>
          <cell r="AW44">
            <v>15</v>
          </cell>
          <cell r="AY44">
            <v>20</v>
          </cell>
          <cell r="AZ44" t="str">
            <v>Infinite</v>
          </cell>
          <cell r="BA44" t="str">
            <v>≥ 50%</v>
          </cell>
          <cell r="BB44" t="str">
            <v>Global</v>
          </cell>
          <cell r="BJ44">
            <v>2011</v>
          </cell>
          <cell r="BS44" t="str">
            <v>2020-12-31</v>
          </cell>
          <cell r="BT44">
            <v>4394309212</v>
          </cell>
          <cell r="BU44">
            <v>4052182171.785017</v>
          </cell>
          <cell r="BV44">
            <v>4394309212</v>
          </cell>
          <cell r="BW44">
            <v>4052182171.785017</v>
          </cell>
          <cell r="CC44">
            <v>4394309212</v>
          </cell>
          <cell r="CD44">
            <v>4069264300.4958081</v>
          </cell>
          <cell r="CE44">
            <v>4394309212</v>
          </cell>
          <cell r="CF44">
            <v>4069264300.4958081</v>
          </cell>
        </row>
        <row r="47">
          <cell r="A47" t="str">
            <v>X</v>
          </cell>
          <cell r="B47" t="str">
            <v>X</v>
          </cell>
          <cell r="C47" t="str">
            <v>X</v>
          </cell>
          <cell r="R47" t="str">
            <v>FUND CURRENCY</v>
          </cell>
          <cell r="AD47" t="str">
            <v>RE: OTHER STRATEGIES</v>
          </cell>
          <cell r="AF47" t="str">
            <v>STATUS</v>
          </cell>
          <cell r="BB47" t="str">
            <v>PRIMARY REGION FOCUS</v>
          </cell>
          <cell r="BJ47" t="str">
            <v>VINTAGE / INCEPTION YEAR</v>
          </cell>
        </row>
        <row r="48">
          <cell r="A48">
            <v>108365</v>
          </cell>
          <cell r="B48" t="str">
            <v>US Global Real Estate Funds Selection LP</v>
          </cell>
          <cell r="C48" t="str">
            <v>UBS Asset Management</v>
          </cell>
          <cell r="R48" t="str">
            <v>EUR</v>
          </cell>
          <cell r="AD48" t="str">
            <v>Core</v>
          </cell>
          <cell r="AF48" t="str">
            <v>Closed end</v>
          </cell>
          <cell r="BB48" t="str">
            <v>North America</v>
          </cell>
          <cell r="BJ48">
            <v>2020</v>
          </cell>
        </row>
        <row r="49">
          <cell r="A49">
            <v>114441</v>
          </cell>
          <cell r="B49" t="str">
            <v>HI-Immobilien-Multi Manager-Fonds IV</v>
          </cell>
          <cell r="C49" t="str">
            <v>Helaba Invest</v>
          </cell>
          <cell r="R49" t="str">
            <v>EUR</v>
          </cell>
          <cell r="AD49" t="str">
            <v>Core</v>
          </cell>
          <cell r="AF49" t="str">
            <v>Closed end</v>
          </cell>
          <cell r="BB49" t="str">
            <v>Europe</v>
          </cell>
          <cell r="BJ49">
            <v>2020</v>
          </cell>
        </row>
        <row r="50">
          <cell r="B50" t="str">
            <v>REFIS</v>
          </cell>
          <cell r="C50" t="str">
            <v>UBS Asset Management</v>
          </cell>
          <cell r="R50" t="e">
            <v>#N/A</v>
          </cell>
          <cell r="AD50" t="e">
            <v>#N/A</v>
          </cell>
          <cell r="AF50" t="e">
            <v>#N/A</v>
          </cell>
          <cell r="BB50" t="e">
            <v>#N/A</v>
          </cell>
          <cell r="BJ50" t="e">
            <v>#N/A</v>
          </cell>
        </row>
        <row r="51">
          <cell r="A51">
            <v>10000001</v>
          </cell>
          <cell r="B51" t="str">
            <v>LaSalle Global Navigator Fund</v>
          </cell>
          <cell r="C51" t="str">
            <v>LaSalle</v>
          </cell>
          <cell r="R51" t="str">
            <v>GBP</v>
          </cell>
          <cell r="AD51" t="str">
            <v>Core</v>
          </cell>
          <cell r="AF51" t="str">
            <v>Open end</v>
          </cell>
          <cell r="BB51" t="str">
            <v>Global</v>
          </cell>
          <cell r="BJ51">
            <v>2020</v>
          </cell>
        </row>
        <row r="52">
          <cell r="A52">
            <v>105127</v>
          </cell>
          <cell r="B52" t="str">
            <v>Altan IV</v>
          </cell>
          <cell r="C52" t="str">
            <v>Altan Capital</v>
          </cell>
          <cell r="R52" t="str">
            <v>EUR</v>
          </cell>
          <cell r="AD52" t="str">
            <v>Opportunity</v>
          </cell>
          <cell r="AF52" t="str">
            <v>Closed end</v>
          </cell>
          <cell r="BB52" t="str">
            <v>Global</v>
          </cell>
          <cell r="BJ52">
            <v>2018</v>
          </cell>
        </row>
        <row r="53">
          <cell r="A53">
            <v>65040</v>
          </cell>
          <cell r="B53" t="str">
            <v>PMM Global V</v>
          </cell>
          <cell r="C53" t="str">
            <v>PATRIZIA Global Partners</v>
          </cell>
          <cell r="R53" t="str">
            <v>EUR</v>
          </cell>
          <cell r="AD53" t="str">
            <v>Opportunity</v>
          </cell>
          <cell r="AF53" t="str">
            <v>Closed end</v>
          </cell>
          <cell r="BB53" t="str">
            <v>Global</v>
          </cell>
          <cell r="BJ53">
            <v>2019</v>
          </cell>
        </row>
      </sheetData>
      <sheetData sheetId="26">
        <row r="3">
          <cell r="J3" t="str">
            <v>CBRE Global Investors</v>
          </cell>
          <cell r="K3" t="str">
            <v>Global Alpha</v>
          </cell>
          <cell r="L3" t="str">
            <v>Yes</v>
          </cell>
          <cell r="O3">
            <v>410</v>
          </cell>
          <cell r="P3">
            <v>377</v>
          </cell>
          <cell r="Q3">
            <v>23</v>
          </cell>
          <cell r="W3">
            <v>10</v>
          </cell>
          <cell r="X3">
            <v>214</v>
          </cell>
          <cell r="Y3">
            <v>25</v>
          </cell>
          <cell r="Z3">
            <v>57</v>
          </cell>
          <cell r="AE3">
            <v>100</v>
          </cell>
          <cell r="AG3" t="str">
            <v>Increase</v>
          </cell>
          <cell r="AH3" t="str">
            <v>Yes</v>
          </cell>
        </row>
        <row r="4">
          <cell r="J4" t="str">
            <v>UBS Asset Management</v>
          </cell>
          <cell r="K4" t="str">
            <v>US Global Real Estate Funds Selection LP</v>
          </cell>
          <cell r="L4" t="str">
            <v>Yes</v>
          </cell>
          <cell r="O4">
            <v>112</v>
          </cell>
          <cell r="V4">
            <v>112</v>
          </cell>
          <cell r="Z4">
            <v>112</v>
          </cell>
          <cell r="AE4">
            <v>100</v>
          </cell>
          <cell r="AG4" t="str">
            <v>Increase</v>
          </cell>
          <cell r="AH4" t="str">
            <v>Yes</v>
          </cell>
        </row>
        <row r="5">
          <cell r="J5" t="str">
            <v>UBS Asset Management</v>
          </cell>
          <cell r="K5" t="str">
            <v>UBS AST 3 Global Real Estate (ex CH)</v>
          </cell>
          <cell r="L5" t="str">
            <v>Yes</v>
          </cell>
          <cell r="O5">
            <v>184</v>
          </cell>
          <cell r="P5">
            <v>184</v>
          </cell>
          <cell r="X5">
            <v>184</v>
          </cell>
          <cell r="AE5">
            <v>100</v>
          </cell>
          <cell r="AG5" t="str">
            <v>Increase</v>
          </cell>
          <cell r="AH5" t="str">
            <v>Yes</v>
          </cell>
        </row>
        <row r="6">
          <cell r="J6" t="str">
            <v>Helaba Invest</v>
          </cell>
          <cell r="K6" t="str">
            <v>HI-Immobilien-Multi Manager-Fonds IV</v>
          </cell>
          <cell r="L6" t="str">
            <v>Yes</v>
          </cell>
          <cell r="O6">
            <v>225</v>
          </cell>
          <cell r="P6">
            <v>71</v>
          </cell>
          <cell r="Q6">
            <v>25</v>
          </cell>
          <cell r="T6">
            <v>2</v>
          </cell>
          <cell r="W6">
            <v>127</v>
          </cell>
          <cell r="X6">
            <v>225</v>
          </cell>
          <cell r="AE6">
            <v>100</v>
          </cell>
          <cell r="AG6" t="str">
            <v>No change</v>
          </cell>
          <cell r="AH6" t="str">
            <v>Yes</v>
          </cell>
        </row>
        <row r="7">
          <cell r="J7" t="str">
            <v>UBS Asset Management</v>
          </cell>
          <cell r="K7" t="str">
            <v>UBS (Lux) Real Estate Funds Selection - Global</v>
          </cell>
          <cell r="L7" t="str">
            <v>Yes</v>
          </cell>
          <cell r="O7">
            <v>857</v>
          </cell>
          <cell r="P7">
            <v>241</v>
          </cell>
          <cell r="Q7">
            <v>116</v>
          </cell>
          <cell r="S7">
            <v>7</v>
          </cell>
          <cell r="T7">
            <v>41</v>
          </cell>
          <cell r="U7">
            <v>32</v>
          </cell>
          <cell r="V7">
            <v>263</v>
          </cell>
          <cell r="W7">
            <v>158</v>
          </cell>
          <cell r="X7">
            <v>465</v>
          </cell>
          <cell r="Y7">
            <v>297</v>
          </cell>
          <cell r="Z7">
            <v>63</v>
          </cell>
          <cell r="AA7">
            <v>28</v>
          </cell>
          <cell r="AB7">
            <v>4</v>
          </cell>
          <cell r="AE7">
            <v>100</v>
          </cell>
          <cell r="AG7" t="str">
            <v>Increase</v>
          </cell>
          <cell r="AH7" t="str">
            <v>Yes</v>
          </cell>
        </row>
        <row r="8">
          <cell r="J8" t="str">
            <v>UBS</v>
          </cell>
          <cell r="K8" t="str">
            <v>UBS (UK) Real Estate Funds Selection - Global ex Canada LP</v>
          </cell>
          <cell r="L8" t="str">
            <v>Yes</v>
          </cell>
          <cell r="O8">
            <v>147</v>
          </cell>
          <cell r="P8">
            <v>147</v>
          </cell>
          <cell r="Z8">
            <v>147</v>
          </cell>
          <cell r="AE8">
            <v>100</v>
          </cell>
          <cell r="AG8" t="str">
            <v>Increase</v>
          </cell>
          <cell r="AH8" t="str">
            <v>Yes</v>
          </cell>
        </row>
        <row r="10">
          <cell r="J10" t="str">
            <v>LaSalle</v>
          </cell>
          <cell r="K10" t="str">
            <v>LaSalle Global Navigator Fund</v>
          </cell>
          <cell r="L10" t="str">
            <v>Yes</v>
          </cell>
          <cell r="O10">
            <v>320</v>
          </cell>
          <cell r="P10">
            <v>295</v>
          </cell>
          <cell r="W10">
            <v>25</v>
          </cell>
          <cell r="X10">
            <v>295</v>
          </cell>
          <cell r="Z10">
            <v>25</v>
          </cell>
          <cell r="AE10">
            <v>100</v>
          </cell>
          <cell r="AG10" t="str">
            <v>Increase</v>
          </cell>
          <cell r="AH10" t="str">
            <v>Yes</v>
          </cell>
        </row>
        <row r="11">
          <cell r="J11" t="str">
            <v>Swiss Finance &amp; Property</v>
          </cell>
          <cell r="K11" t="str">
            <v>SFP AST Global Core Property</v>
          </cell>
          <cell r="L11" t="str">
            <v>Yes</v>
          </cell>
          <cell r="O11">
            <v>20</v>
          </cell>
          <cell r="P11">
            <v>20</v>
          </cell>
          <cell r="X11">
            <v>20</v>
          </cell>
          <cell r="AE11">
            <v>100</v>
          </cell>
          <cell r="AG11" t="str">
            <v>Increase</v>
          </cell>
          <cell r="AH11" t="str">
            <v>Yes</v>
          </cell>
        </row>
        <row r="12">
          <cell r="J12" t="str">
            <v>PATRIZIA Global Partners</v>
          </cell>
          <cell r="K12" t="str">
            <v>PMM Global V</v>
          </cell>
          <cell r="L12" t="str">
            <v>Yes</v>
          </cell>
          <cell r="O12">
            <v>10</v>
          </cell>
          <cell r="T12">
            <v>10</v>
          </cell>
          <cell r="X12">
            <v>10</v>
          </cell>
          <cell r="AD12">
            <v>100</v>
          </cell>
          <cell r="AG12" t="str">
            <v>Increase</v>
          </cell>
          <cell r="AH12" t="str">
            <v>Yes</v>
          </cell>
        </row>
        <row r="13">
          <cell r="J13" t="str">
            <v>Altan Capital</v>
          </cell>
          <cell r="K13" t="str">
            <v>Altan IV</v>
          </cell>
          <cell r="L13" t="str">
            <v>No</v>
          </cell>
          <cell r="M13" t="str">
            <v>Other (please specify)</v>
          </cell>
          <cell r="N13" t="str">
            <v>Fund already raised and in investment period</v>
          </cell>
          <cell r="AG13" t="str">
            <v>Decrease</v>
          </cell>
          <cell r="AH13" t="str">
            <v>Yes</v>
          </cell>
        </row>
        <row r="15">
          <cell r="J15" t="str">
            <v>Deka Immobilien Investment GmbH</v>
          </cell>
          <cell r="K15" t="str">
            <v>Deka-Immobilien StrategieInstitutionell</v>
          </cell>
          <cell r="L15" t="str">
            <v>Yes</v>
          </cell>
          <cell r="O15">
            <v>188</v>
          </cell>
          <cell r="W15">
            <v>188</v>
          </cell>
          <cell r="X15">
            <v>188</v>
          </cell>
          <cell r="AD15">
            <v>100</v>
          </cell>
          <cell r="AG15" t="str">
            <v>No change</v>
          </cell>
          <cell r="AH15" t="str">
            <v>No</v>
          </cell>
        </row>
      </sheetData>
      <sheetData sheetId="27"/>
      <sheetData sheetId="28">
        <row r="1">
          <cell r="B1" t="str">
            <v>Vehicle Name</v>
          </cell>
          <cell r="C1" t="str">
            <v>Vehicle Manager Company</v>
          </cell>
          <cell r="D1" t="str">
            <v>Business Address</v>
          </cell>
          <cell r="E1" t="str">
            <v>Postcode</v>
          </cell>
          <cell r="F1" t="str">
            <v>City</v>
          </cell>
          <cell r="G1" t="str">
            <v>Country</v>
          </cell>
          <cell r="H1" t="str">
            <v>Switchboard</v>
          </cell>
          <cell r="I1" t="str">
            <v>Fax Number</v>
          </cell>
          <cell r="J1" t="str">
            <v>Company Website</v>
          </cell>
          <cell r="K1" t="str">
            <v>Vehicle Manager Name</v>
          </cell>
          <cell r="L1" t="str">
            <v>Vehicle Manager Email</v>
          </cell>
          <cell r="M1" t="str">
            <v>Vehicle Manager Telephone</v>
          </cell>
          <cell r="N1" t="str">
            <v>Investor Client Relations Name</v>
          </cell>
          <cell r="O1" t="str">
            <v>Investor Client Relations Email</v>
          </cell>
          <cell r="P1" t="str">
            <v>Investor Client Relations Telephone</v>
          </cell>
          <cell r="Q1" t="str">
            <v>Vehicle Domicile</v>
          </cell>
          <cell r="R1" t="str">
            <v>Currency of Reporting</v>
          </cell>
          <cell r="S1" t="str">
            <v>Accounting Standards</v>
          </cell>
          <cell r="T1" t="str">
            <v>Financial Reporting Frequency</v>
          </cell>
          <cell r="U1" t="str">
            <v>Frequency of External Property Valuations</v>
          </cell>
          <cell r="V1" t="str">
            <v>Valuation approach applied to properties</v>
          </cell>
          <cell r="W1" t="str">
            <v>What NAV calculation method has been used for the figures in this database?</v>
          </cell>
          <cell r="X1" t="str">
            <v>Name of Vehicle Auditor</v>
          </cell>
          <cell r="Y1" t="str">
            <v>Legal vehicle structure</v>
          </cell>
          <cell r="Z1" t="str">
            <v>Does your fund report an INREV NAV to investors?</v>
          </cell>
          <cell r="AA1" t="str">
            <v>Is there a Non-Executive Body</v>
          </cell>
          <cell r="AB1" t="str">
            <v>Number of Independents</v>
          </cell>
          <cell r="AC1" t="str">
            <v>Vehicle Type</v>
          </cell>
          <cell r="AD1" t="str">
            <v>Manager Defined Style</v>
          </cell>
          <cell r="AE1" t="str">
            <v>Finite/Infinite structure</v>
          </cell>
          <cell r="AF1" t="str">
            <v>Vehicle Structure</v>
          </cell>
          <cell r="AG1" t="str">
            <v>Target IRR - From (%)</v>
          </cell>
          <cell r="AH1" t="str">
            <v>Target IRR - To (%)</v>
          </cell>
          <cell r="AI1" t="str">
            <v>Basis for IRR Calculation</v>
          </cell>
          <cell r="AJ1" t="str">
            <v>Performance Benchmark</v>
          </cell>
          <cell r="AK1" t="str">
            <v>Target Distribution Yield (%)</v>
          </cell>
          <cell r="AL1" t="str">
            <v>Target Gearing Level as a % of GAV</v>
          </cell>
          <cell r="AM1" t="str">
            <v>Maximum LTV (%)</v>
          </cell>
          <cell r="AN1" t="str">
            <v>Target Investors</v>
          </cell>
          <cell r="AO1" t="str">
            <v>Target Number of Investors</v>
          </cell>
          <cell r="AP1" t="str">
            <v>Target Proportion of Institutional Holdings</v>
          </cell>
          <cell r="AQ1" t="str">
            <v>Target Regional Strategy</v>
          </cell>
          <cell r="AR1" t="str">
            <v>Multi country/Single country</v>
          </cell>
          <cell r="AS1" t="str">
            <v>Target Region (Multi-Country Funds)</v>
          </cell>
          <cell r="AT1" t="str">
            <v>Target Country (Single-Country Funds)</v>
          </cell>
          <cell r="AU1" t="str">
            <v>Multi sector/Single sector strategy</v>
          </cell>
          <cell r="AV1" t="str">
            <v>Target Sector</v>
          </cell>
          <cell r="AW1" t="str">
            <v>Target Equity</v>
          </cell>
          <cell r="AX1" t="str">
            <v>Target Gross Assets Value</v>
          </cell>
          <cell r="AY1" t="str">
            <v>Year of first closing</v>
          </cell>
          <cell r="AZ1" t="str">
            <v>Planned Termination year</v>
          </cell>
          <cell r="BA1" t="str">
            <v>Provision to Extend Termination Date</v>
          </cell>
          <cell r="BB1" t="str">
            <v>Fixed Extension Period Set</v>
          </cell>
          <cell r="BC1" t="str">
            <v>Length of Extension Period</v>
          </cell>
          <cell r="BD1" t="str">
            <v>Does Manager Actively Facilitate Secondary Trading</v>
          </cell>
          <cell r="BE1" t="str">
            <v>Target return derived from income</v>
          </cell>
          <cell r="BF1" t="str">
            <v>Target percentage of non-income producing investments</v>
          </cell>
          <cell r="BG1" t="str">
            <v>Target percentage (re)development  exposure</v>
          </cell>
          <cell r="BH1" t="str">
            <v>Reporting date</v>
          </cell>
          <cell r="BI1" t="str">
            <v>Gross Asset Value of the Vehicle (reporting currency)</v>
          </cell>
          <cell r="BJ1" t="str">
            <v>Gross Asset Value of the Vehicle (EUR)</v>
          </cell>
          <cell r="BK1" t="str">
            <v>Net Asset Value of the Vehicle (reporting currency)</v>
          </cell>
          <cell r="BL1" t="str">
            <v>Net Asset Value of the Vehicle (EUR)</v>
          </cell>
          <cell r="BM1" t="str">
            <v>Gearing as a % of GAV</v>
          </cell>
          <cell r="BN1" t="str">
            <v>Are figures audited by external auditor</v>
          </cell>
          <cell r="BO1" t="str">
            <v>Are Figures based on external/internal valuations.</v>
          </cell>
          <cell r="BP1" t="str">
            <v>Number of institutional investors</v>
          </cell>
          <cell r="BQ1" t="str">
            <v>Number of properties in portfolio</v>
          </cell>
          <cell r="BR1" t="str">
            <v>Total equity commited (reporting currency</v>
          </cell>
          <cell r="BS1" t="str">
            <v>Total equity commited (local currency)</v>
          </cell>
          <cell r="BT1" t="str">
            <v>Total equity invested (reporting currency)</v>
          </cell>
          <cell r="BU1" t="str">
            <v>Total equity invested (local currency)</v>
          </cell>
          <cell r="BV1" t="str">
            <v>Open for investment/raising capital</v>
          </cell>
          <cell r="BW1" t="str">
            <v>Allocation 1 Country</v>
          </cell>
          <cell r="BX1" t="str">
            <v>Allocation 1 Sector</v>
          </cell>
          <cell r="BY1" t="str">
            <v>Allocation 1 Value</v>
          </cell>
          <cell r="BZ1" t="str">
            <v>Allocation 2 Country</v>
          </cell>
          <cell r="CA1" t="str">
            <v>Allocation 2 Sector</v>
          </cell>
          <cell r="CB1" t="str">
            <v>Allocation 2 Value</v>
          </cell>
          <cell r="CC1" t="str">
            <v>Allocation 3 Country</v>
          </cell>
          <cell r="CD1" t="str">
            <v>Allocation 3 Sector</v>
          </cell>
          <cell r="CE1" t="str">
            <v>Allocation 3 Value</v>
          </cell>
          <cell r="CF1" t="str">
            <v>Allocation 4 Country</v>
          </cell>
          <cell r="CG1" t="str">
            <v>Allocation 4 Sector</v>
          </cell>
          <cell r="CH1" t="str">
            <v>Allocation 4 Value</v>
          </cell>
          <cell r="CI1" t="str">
            <v>Allocation 5 Country</v>
          </cell>
          <cell r="CJ1" t="str">
            <v>Allocation 5 Sector</v>
          </cell>
          <cell r="CK1" t="str">
            <v>Allocation 5 Value</v>
          </cell>
          <cell r="CL1" t="str">
            <v>Allocation 6 Country</v>
          </cell>
          <cell r="CM1" t="str">
            <v>Allocation 6 Sector</v>
          </cell>
          <cell r="CN1" t="str">
            <v>Allocation 6 Value</v>
          </cell>
          <cell r="CO1" t="str">
            <v>Allocation 7 Country</v>
          </cell>
          <cell r="CP1" t="str">
            <v>Allocation 7 Sector</v>
          </cell>
          <cell r="CQ1" t="str">
            <v>Allocation 7 Value</v>
          </cell>
          <cell r="CR1" t="str">
            <v>Allocation 8 Country</v>
          </cell>
          <cell r="CS1" t="str">
            <v>Allocation 8 Sector</v>
          </cell>
          <cell r="CT1" t="str">
            <v>Allocation 8 Value</v>
          </cell>
          <cell r="CU1" t="str">
            <v>Allocation 9 Country</v>
          </cell>
          <cell r="CV1" t="str">
            <v>Allocation 9 Sector</v>
          </cell>
          <cell r="CW1" t="str">
            <v>Allocation 9 Value</v>
          </cell>
          <cell r="CX1" t="str">
            <v>Allocation 10 Country</v>
          </cell>
          <cell r="CY1" t="str">
            <v>Allocation 10 Sector</v>
          </cell>
          <cell r="CZ1" t="str">
            <v>Allocation 10 Value</v>
          </cell>
          <cell r="DA1" t="str">
            <v>Allocation 11 Country</v>
          </cell>
          <cell r="DB1" t="str">
            <v>Allocation 11 Sector</v>
          </cell>
          <cell r="DC1" t="str">
            <v>Allocation 11 Value</v>
          </cell>
          <cell r="DD1" t="str">
            <v>Allocation 12 Country</v>
          </cell>
          <cell r="DE1" t="str">
            <v>Allocation 12 Sector</v>
          </cell>
          <cell r="DF1" t="str">
            <v>Allocation 12 Value</v>
          </cell>
          <cell r="DG1" t="str">
            <v>Allocation 13 Country</v>
          </cell>
          <cell r="DH1" t="str">
            <v>Allocation 13 Sector</v>
          </cell>
          <cell r="DI1" t="str">
            <v>Allocation 13 Value</v>
          </cell>
          <cell r="DJ1" t="str">
            <v>Allocation 14 Country</v>
          </cell>
          <cell r="DK1" t="str">
            <v>Allocation 14 Sector</v>
          </cell>
          <cell r="DL1" t="str">
            <v>Allocation 14 Value</v>
          </cell>
          <cell r="DM1" t="str">
            <v>Allocation 15 Country</v>
          </cell>
          <cell r="DN1" t="str">
            <v>Allocation 15 Sector</v>
          </cell>
          <cell r="DO1" t="str">
            <v>Allocation 15 Value</v>
          </cell>
          <cell r="DP1" t="str">
            <v>Allocation 16 Country</v>
          </cell>
          <cell r="DQ1" t="str">
            <v>Allocation 16 Sector</v>
          </cell>
          <cell r="DR1" t="str">
            <v>Allocation 16 Value</v>
          </cell>
          <cell r="DS1" t="str">
            <v>Allocation 17 Country</v>
          </cell>
          <cell r="DT1" t="str">
            <v>Allocation 17 Sector</v>
          </cell>
          <cell r="DU1" t="str">
            <v>Allocation 17 Value</v>
          </cell>
          <cell r="DV1" t="str">
            <v>Allocation 18 Country</v>
          </cell>
          <cell r="DW1" t="str">
            <v>Allocation 18 Sector</v>
          </cell>
          <cell r="DX1" t="str">
            <v>Allocation 18 Value</v>
          </cell>
          <cell r="DY1" t="str">
            <v>Allocation 19 Country</v>
          </cell>
          <cell r="DZ1" t="str">
            <v>Allocation 19 Sector</v>
          </cell>
          <cell r="EA1" t="str">
            <v>Allocation 19 Value</v>
          </cell>
          <cell r="EB1" t="str">
            <v>Allocation 20 Country</v>
          </cell>
          <cell r="EC1" t="str">
            <v>Allocation 20 Sector</v>
          </cell>
          <cell r="ED1" t="str">
            <v>Allocation 20 Value</v>
          </cell>
          <cell r="EE1" t="str">
            <v>Allocation 21 Country</v>
          </cell>
          <cell r="EF1" t="str">
            <v>Allocation 21 Sector</v>
          </cell>
          <cell r="EG1" t="str">
            <v>Allocation 21 Value</v>
          </cell>
          <cell r="EH1" t="str">
            <v>Allocation 22 Country</v>
          </cell>
          <cell r="EI1" t="str">
            <v>Allocation 22 Sector</v>
          </cell>
          <cell r="EJ1" t="str">
            <v>Allocation 22 Value</v>
          </cell>
          <cell r="EK1" t="str">
            <v>Allocation 23 Country</v>
          </cell>
          <cell r="EL1" t="str">
            <v>Allocation 23 Sector</v>
          </cell>
          <cell r="EM1" t="str">
            <v>Allocation 23 Value</v>
          </cell>
          <cell r="EN1" t="str">
            <v>Allocation 24 Country</v>
          </cell>
          <cell r="EO1" t="str">
            <v>Allocation 24 Sector</v>
          </cell>
          <cell r="EP1" t="str">
            <v>Allocation 24 Value</v>
          </cell>
          <cell r="EQ1" t="str">
            <v>Allocation 25 Country</v>
          </cell>
          <cell r="ER1" t="str">
            <v>Allocation 25 Sector</v>
          </cell>
          <cell r="ES1" t="str">
            <v>Allocation 25 Value</v>
          </cell>
          <cell r="ET1" t="str">
            <v>Allocation 26 Country</v>
          </cell>
          <cell r="EU1" t="str">
            <v>Allocation 26 Sector</v>
          </cell>
        </row>
        <row r="2">
          <cell r="A2">
            <v>632</v>
          </cell>
          <cell r="B2" t="str">
            <v>AB ALTERNATIVE SICAV-SIF</v>
          </cell>
          <cell r="C2" t="str">
            <v xml:space="preserve">ARABBANK (SWITZERLAND) LTD. </v>
          </cell>
          <cell r="D2" t="str">
            <v>Place de Longemalle 10-12</v>
          </cell>
          <cell r="E2">
            <v>1204</v>
          </cell>
          <cell r="F2" t="str">
            <v>Geneva</v>
          </cell>
          <cell r="G2" t="str">
            <v>Switzerland</v>
          </cell>
          <cell r="H2" t="str">
            <v>+41 22 715 12 11</v>
          </cell>
          <cell r="I2" t="str">
            <v xml:space="preserve">+41 22 715 13 11 </v>
          </cell>
          <cell r="J2" t="str">
            <v>https://www.ab-europeanrealestate.com/</v>
          </cell>
          <cell r="K2" t="str">
            <v>Pierre-Marie GIET</v>
          </cell>
          <cell r="L2" t="str">
            <v>PGIET@ARABBANK.CH</v>
          </cell>
          <cell r="M2" t="str">
            <v xml:space="preserve">+41 22 715 13 15 </v>
          </cell>
          <cell r="N2" t="str">
            <v>Pierre-Marie GIET</v>
          </cell>
          <cell r="O2" t="str">
            <v>PGIET@ARABBANK.CH</v>
          </cell>
          <cell r="P2" t="str">
            <v xml:space="preserve">+41 22 715 13 15 </v>
          </cell>
          <cell r="Q2" t="str">
            <v>Luxembourg</v>
          </cell>
          <cell r="R2" t="str">
            <v>EUR</v>
          </cell>
          <cell r="S2" t="str">
            <v>IFRS</v>
          </cell>
          <cell r="T2" t="str">
            <v>Quarterly</v>
          </cell>
          <cell r="U2" t="str">
            <v>Quarterly</v>
          </cell>
          <cell r="V2" t="str">
            <v>RICS</v>
          </cell>
          <cell r="W2" t="str">
            <v>IFRS NAV</v>
          </cell>
          <cell r="X2" t="str">
            <v>Deloitte</v>
          </cell>
          <cell r="Y2" t="str">
            <v>SICAV</v>
          </cell>
          <cell r="Z2" t="str">
            <v>Yes</v>
          </cell>
          <cell r="AA2" t="str">
            <v>Yes</v>
          </cell>
          <cell r="AB2">
            <v>2</v>
          </cell>
          <cell r="AC2" t="str">
            <v>Non-Listed Fund</v>
          </cell>
          <cell r="AD2" t="str">
            <v>Core</v>
          </cell>
          <cell r="AE2" t="str">
            <v>infinite</v>
          </cell>
          <cell r="AF2" t="str">
            <v>Open end</v>
          </cell>
          <cell r="AG2">
            <v>8</v>
          </cell>
          <cell r="AH2">
            <v>10</v>
          </cell>
          <cell r="AI2" t="str">
            <v>Net</v>
          </cell>
          <cell r="AK2">
            <v>4.5</v>
          </cell>
          <cell r="AL2">
            <v>60</v>
          </cell>
          <cell r="AM2" t="str">
            <v>&gt; 40% - ≤ 60%</v>
          </cell>
          <cell r="AN2" t="str">
            <v>Institutional and Retail</v>
          </cell>
          <cell r="AO2" t="str">
            <v>&gt; 2</v>
          </cell>
          <cell r="AP2" t="str">
            <v>&lt; 50%</v>
          </cell>
          <cell r="AQ2" t="str">
            <v>Europe</v>
          </cell>
          <cell r="AR2" t="str">
            <v>multi country</v>
          </cell>
          <cell r="AS2" t="str">
            <v>Europe</v>
          </cell>
          <cell r="AU2" t="str">
            <v>multi sector</v>
          </cell>
          <cell r="AW2">
            <v>250000000</v>
          </cell>
          <cell r="AX2">
            <v>500000000</v>
          </cell>
          <cell r="AY2">
            <v>2016</v>
          </cell>
          <cell r="BA2" t="str">
            <v>Yes</v>
          </cell>
          <cell r="BB2" t="str">
            <v>No</v>
          </cell>
          <cell r="BD2" t="str">
            <v>No</v>
          </cell>
          <cell r="BH2" t="str">
            <v>2019-03-31</v>
          </cell>
          <cell r="BI2">
            <v>182600000</v>
          </cell>
          <cell r="BJ2">
            <v>182600000</v>
          </cell>
          <cell r="BK2">
            <v>105300000</v>
          </cell>
          <cell r="BL2">
            <v>105300000</v>
          </cell>
          <cell r="BM2">
            <v>43</v>
          </cell>
          <cell r="BN2" t="str">
            <v>Yes</v>
          </cell>
          <cell r="BO2" t="str">
            <v>External</v>
          </cell>
          <cell r="BQ2">
            <v>12</v>
          </cell>
          <cell r="BR2">
            <v>94400000</v>
          </cell>
          <cell r="BS2">
            <v>94400000</v>
          </cell>
          <cell r="BU2">
            <v>0</v>
          </cell>
        </row>
        <row r="3">
          <cell r="A3">
            <v>633</v>
          </cell>
          <cell r="B3" t="str">
            <v>AB CPFM REAL ESTATE HOLDING</v>
          </cell>
          <cell r="C3" t="str">
            <v>EQUITY ESTATE PROPERTY FUND MANAGEMENT BV</v>
          </cell>
          <cell r="D3" t="str">
            <v>Kabelweg 37</v>
          </cell>
          <cell r="E3" t="str">
            <v>1014 BA</v>
          </cell>
          <cell r="F3" t="str">
            <v>Amsterdam</v>
          </cell>
          <cell r="G3" t="str">
            <v>Netherlands</v>
          </cell>
          <cell r="H3" t="str">
            <v>+31 (0)20 4881442</v>
          </cell>
          <cell r="I3" t="str">
            <v>+31 (0)20 6889703</v>
          </cell>
          <cell r="K3" t="str">
            <v>Enrico van Erkelens</v>
          </cell>
          <cell r="L3" t="str">
            <v>vanerkelens@equityestate.nl</v>
          </cell>
          <cell r="M3" t="str">
            <v>+31 (0)20 4881442</v>
          </cell>
          <cell r="N3" t="str">
            <v>Enrico van Erkelens</v>
          </cell>
          <cell r="O3" t="str">
            <v>vanerkelens@equityestate.nl</v>
          </cell>
          <cell r="P3" t="str">
            <v>+31 (0)20 4881442</v>
          </cell>
          <cell r="Q3" t="str">
            <v>Netherlands</v>
          </cell>
          <cell r="R3" t="str">
            <v>EUR</v>
          </cell>
          <cell r="S3" t="str">
            <v>IFRS</v>
          </cell>
          <cell r="T3" t="str">
            <v>Quarterly</v>
          </cell>
          <cell r="U3" t="str">
            <v>Annually</v>
          </cell>
          <cell r="X3" t="str">
            <v>Deloitte</v>
          </cell>
          <cell r="Y3" t="str">
            <v>BV</v>
          </cell>
          <cell r="Z3" t="str">
            <v>No</v>
          </cell>
          <cell r="AA3" t="str">
            <v>Yes</v>
          </cell>
          <cell r="AB3">
            <v>1</v>
          </cell>
          <cell r="AC3" t="str">
            <v>Non-Listed Fund</v>
          </cell>
          <cell r="AD3" t="str">
            <v>Value-added</v>
          </cell>
          <cell r="AE3" t="str">
            <v>finite</v>
          </cell>
          <cell r="AF3" t="str">
            <v>Closed end</v>
          </cell>
          <cell r="AG3">
            <v>10</v>
          </cell>
          <cell r="AH3">
            <v>10</v>
          </cell>
          <cell r="AK3">
            <v>8</v>
          </cell>
          <cell r="AL3">
            <v>50</v>
          </cell>
          <cell r="AQ3" t="str">
            <v>Europe</v>
          </cell>
          <cell r="AR3" t="str">
            <v>multi country</v>
          </cell>
          <cell r="AS3" t="str">
            <v>Europe</v>
          </cell>
          <cell r="AU3" t="str">
            <v>multi sector</v>
          </cell>
          <cell r="AW3">
            <v>50000000</v>
          </cell>
          <cell r="AX3">
            <v>125000000</v>
          </cell>
          <cell r="AY3">
            <v>2006</v>
          </cell>
          <cell r="AZ3">
            <v>2014</v>
          </cell>
          <cell r="BH3" t="str">
            <v>2017-06-30</v>
          </cell>
          <cell r="BI3">
            <v>72887147</v>
          </cell>
          <cell r="BJ3">
            <v>72887147</v>
          </cell>
          <cell r="BK3">
            <v>67525000</v>
          </cell>
          <cell r="BL3">
            <v>67525000</v>
          </cell>
          <cell r="BM3">
            <v>50</v>
          </cell>
          <cell r="BN3" t="str">
            <v>Yes</v>
          </cell>
          <cell r="BO3" t="str">
            <v>External</v>
          </cell>
          <cell r="BQ3">
            <v>11</v>
          </cell>
          <cell r="BR3">
            <v>50000000</v>
          </cell>
          <cell r="BS3">
            <v>50000000</v>
          </cell>
          <cell r="BT3">
            <v>50000000</v>
          </cell>
          <cell r="BU3">
            <v>50000000</v>
          </cell>
          <cell r="BV3" t="str">
            <v>No</v>
          </cell>
          <cell r="BW3" t="str">
            <v>Belgium</v>
          </cell>
          <cell r="BX3" t="str">
            <v>Office</v>
          </cell>
          <cell r="BY3">
            <v>11</v>
          </cell>
          <cell r="BZ3" t="str">
            <v>Belgium</v>
          </cell>
          <cell r="CA3" t="str">
            <v>Retail</v>
          </cell>
          <cell r="CB3">
            <v>5</v>
          </cell>
          <cell r="CC3" t="str">
            <v>Germany</v>
          </cell>
          <cell r="CD3" t="str">
            <v>Industrial / Logistics</v>
          </cell>
          <cell r="CE3">
            <v>35</v>
          </cell>
          <cell r="CF3" t="str">
            <v>Germany</v>
          </cell>
          <cell r="CG3" t="str">
            <v>Retail</v>
          </cell>
          <cell r="CH3">
            <v>7</v>
          </cell>
          <cell r="CI3" t="str">
            <v>Netherlands</v>
          </cell>
          <cell r="CJ3" t="str">
            <v>Industrial / Logistics</v>
          </cell>
          <cell r="CK3">
            <v>5</v>
          </cell>
          <cell r="CL3" t="str">
            <v>Netherlands</v>
          </cell>
          <cell r="CM3" t="str">
            <v>Office</v>
          </cell>
          <cell r="CN3">
            <v>37</v>
          </cell>
        </row>
        <row r="4">
          <cell r="A4">
            <v>637</v>
          </cell>
          <cell r="B4" t="str">
            <v>ABERDEEN PAN-EUROPE CORE PROPERTY FUND</v>
          </cell>
          <cell r="C4" t="str">
            <v>ABERDEEN ASSET MANAGEMENT DEUTSCHLAND AG</v>
          </cell>
          <cell r="D4" t="str">
            <v>Bettinastraße 53-55</v>
          </cell>
          <cell r="E4">
            <v>60325</v>
          </cell>
          <cell r="F4" t="str">
            <v>Frankfurt am Main</v>
          </cell>
          <cell r="G4" t="str">
            <v>Germany</v>
          </cell>
          <cell r="H4" t="str">
            <v>+49 69 768072-0</v>
          </cell>
          <cell r="I4" t="str">
            <v>+49 69 768072256</v>
          </cell>
          <cell r="J4" t="str">
            <v>http://www.aberdeen-asset.de</v>
          </cell>
          <cell r="K4" t="str">
            <v>Attila Molnar</v>
          </cell>
          <cell r="L4" t="str">
            <v>attila.molnar@aberdeen-asset.com</v>
          </cell>
          <cell r="M4" t="str">
            <v>+49 69 768072204</v>
          </cell>
          <cell r="N4" t="str">
            <v>Robert Bauer</v>
          </cell>
          <cell r="O4" t="str">
            <v>info.germany@aberdeen-asset.com</v>
          </cell>
          <cell r="P4" t="str">
            <v>+49 69 768072-0</v>
          </cell>
          <cell r="Q4" t="str">
            <v>Germany</v>
          </cell>
          <cell r="R4" t="str">
            <v>EUR</v>
          </cell>
          <cell r="S4" t="str">
            <v>Local GAAP</v>
          </cell>
          <cell r="T4" t="str">
            <v>Annually</v>
          </cell>
          <cell r="U4" t="str">
            <v>Annually</v>
          </cell>
          <cell r="V4" t="str">
            <v>Other - mark to market</v>
          </cell>
          <cell r="W4" t="str">
            <v>mark to market</v>
          </cell>
          <cell r="X4" t="str">
            <v>KPMG AG</v>
          </cell>
          <cell r="Y4" t="str">
            <v>Spezialfonds</v>
          </cell>
          <cell r="Z4" t="str">
            <v>No</v>
          </cell>
          <cell r="AA4" t="str">
            <v>Yes</v>
          </cell>
          <cell r="AC4" t="str">
            <v>Non-Listed Fund</v>
          </cell>
          <cell r="AD4" t="str">
            <v>Core</v>
          </cell>
          <cell r="AE4" t="str">
            <v>infinite</v>
          </cell>
          <cell r="AF4" t="str">
            <v>Open end</v>
          </cell>
          <cell r="AM4" t="str">
            <v>&gt; 40% - ≤ 60%</v>
          </cell>
          <cell r="AN4" t="str">
            <v>Institutional</v>
          </cell>
          <cell r="AO4" t="str">
            <v>&gt; 2</v>
          </cell>
          <cell r="AP4" t="str">
            <v>≥ 50%</v>
          </cell>
          <cell r="AQ4" t="str">
            <v>Europe</v>
          </cell>
          <cell r="AR4" t="str">
            <v>multi country</v>
          </cell>
          <cell r="AS4" t="str">
            <v>Europe</v>
          </cell>
          <cell r="AU4" t="str">
            <v>multi sector</v>
          </cell>
          <cell r="AY4">
            <v>2011</v>
          </cell>
          <cell r="BB4" t="str">
            <v>No</v>
          </cell>
          <cell r="BD4" t="str">
            <v>No</v>
          </cell>
          <cell r="BH4" t="str">
            <v>2020-12-31</v>
          </cell>
          <cell r="BI4">
            <v>100173485.5</v>
          </cell>
          <cell r="BJ4">
            <v>100173485.5</v>
          </cell>
          <cell r="BK4">
            <v>98788268.469999999</v>
          </cell>
          <cell r="BL4">
            <v>98788268.469999999</v>
          </cell>
          <cell r="BM4">
            <v>0</v>
          </cell>
          <cell r="BN4" t="str">
            <v>No</v>
          </cell>
          <cell r="BO4" t="str">
            <v>External</v>
          </cell>
          <cell r="BP4">
            <v>6</v>
          </cell>
          <cell r="BQ4">
            <v>2</v>
          </cell>
          <cell r="BR4">
            <v>126299979.2</v>
          </cell>
          <cell r="BS4">
            <v>126299979.2</v>
          </cell>
          <cell r="BT4">
            <v>126299979.2</v>
          </cell>
          <cell r="BU4">
            <v>126299979.2</v>
          </cell>
          <cell r="BV4" t="str">
            <v>No</v>
          </cell>
          <cell r="BW4" t="str">
            <v>Belgium</v>
          </cell>
          <cell r="BX4" t="str">
            <v>Development Office</v>
          </cell>
          <cell r="BY4">
            <v>69.900000000000006</v>
          </cell>
        </row>
        <row r="5">
          <cell r="A5">
            <v>3</v>
          </cell>
          <cell r="B5" t="str">
            <v>ABERDEEN PROPERTY FUND FINLAND I KY</v>
          </cell>
          <cell r="C5" t="str">
            <v>ABERDEEN ASSET MANAGEMENT FINLAND OY</v>
          </cell>
          <cell r="D5" t="str">
            <v>Kaivokatu 6</v>
          </cell>
          <cell r="E5">
            <v>100</v>
          </cell>
          <cell r="F5" t="str">
            <v>Helsinki</v>
          </cell>
          <cell r="G5" t="str">
            <v>Finland</v>
          </cell>
          <cell r="H5" t="str">
            <v>+358 (0) 10 304 100</v>
          </cell>
          <cell r="I5" t="str">
            <v>+358 (0) 10 304 0303</v>
          </cell>
          <cell r="J5" t="str">
            <v>http://www.aberdeen-asset.com</v>
          </cell>
          <cell r="K5" t="str">
            <v>Ville Raitio</v>
          </cell>
          <cell r="L5" t="str">
            <v>ville.raitio@aberdeen-asset.com</v>
          </cell>
          <cell r="M5" t="str">
            <v>+358 (0) 10 3040 521</v>
          </cell>
          <cell r="N5" t="str">
            <v>Pia Michelsson</v>
          </cell>
          <cell r="O5" t="str">
            <v>pia.michelsson@aberdeen-asset.com</v>
          </cell>
          <cell r="P5" t="str">
            <v>+358 (0) 10 3040 530</v>
          </cell>
          <cell r="Q5" t="str">
            <v>Finland</v>
          </cell>
          <cell r="R5" t="str">
            <v>EUR</v>
          </cell>
          <cell r="S5" t="str">
            <v>IFRS</v>
          </cell>
          <cell r="T5" t="str">
            <v>Quarterly</v>
          </cell>
          <cell r="U5" t="str">
            <v>Quarterly</v>
          </cell>
          <cell r="W5" t="str">
            <v>INREV NAV</v>
          </cell>
          <cell r="X5" t="str">
            <v>PriceWaterhouseCoopers</v>
          </cell>
          <cell r="Y5" t="str">
            <v>Limited Partnership</v>
          </cell>
          <cell r="Z5" t="str">
            <v>Yes</v>
          </cell>
          <cell r="AA5" t="str">
            <v>Yes</v>
          </cell>
          <cell r="AB5">
            <v>1</v>
          </cell>
          <cell r="AC5" t="str">
            <v>Non-Listed Fund</v>
          </cell>
          <cell r="AD5" t="str">
            <v>Core</v>
          </cell>
          <cell r="AE5" t="str">
            <v>infinite</v>
          </cell>
          <cell r="AF5" t="str">
            <v>Open end</v>
          </cell>
          <cell r="AG5">
            <v>10</v>
          </cell>
          <cell r="AH5">
            <v>18</v>
          </cell>
          <cell r="AI5" t="str">
            <v>Net</v>
          </cell>
          <cell r="AJ5" t="str">
            <v>10%</v>
          </cell>
          <cell r="AK5">
            <v>6</v>
          </cell>
          <cell r="AL5">
            <v>50</v>
          </cell>
          <cell r="AM5" t="str">
            <v>&gt; 60%</v>
          </cell>
          <cell r="AN5" t="str">
            <v>Institutional</v>
          </cell>
          <cell r="AO5" t="str">
            <v>&gt; 2</v>
          </cell>
          <cell r="AP5" t="str">
            <v>≥ 50%</v>
          </cell>
          <cell r="AQ5" t="str">
            <v>Europe</v>
          </cell>
          <cell r="AR5" t="str">
            <v>single country</v>
          </cell>
          <cell r="AT5" t="str">
            <v>Finland</v>
          </cell>
          <cell r="AU5" t="str">
            <v>multi sector</v>
          </cell>
          <cell r="AW5">
            <v>250000000</v>
          </cell>
          <cell r="AX5">
            <v>500000000</v>
          </cell>
          <cell r="AY5">
            <v>2006</v>
          </cell>
          <cell r="BA5" t="str">
            <v>No</v>
          </cell>
          <cell r="BB5" t="str">
            <v>No</v>
          </cell>
          <cell r="BD5" t="str">
            <v>Yes</v>
          </cell>
          <cell r="BH5" t="str">
            <v>2020-03-31</v>
          </cell>
          <cell r="BI5">
            <v>230073100</v>
          </cell>
          <cell r="BJ5">
            <v>230073100</v>
          </cell>
          <cell r="BK5">
            <v>122618961</v>
          </cell>
          <cell r="BL5">
            <v>122618961</v>
          </cell>
          <cell r="BM5">
            <v>46.7</v>
          </cell>
          <cell r="BN5" t="str">
            <v>Yes</v>
          </cell>
          <cell r="BO5" t="str">
            <v>External</v>
          </cell>
          <cell r="BS5">
            <v>0</v>
          </cell>
          <cell r="BW5" t="str">
            <v>Finland</v>
          </cell>
          <cell r="BX5" t="str">
            <v>Industrial / Logistics</v>
          </cell>
          <cell r="BY5">
            <v>38</v>
          </cell>
          <cell r="BZ5" t="str">
            <v>Finland</v>
          </cell>
          <cell r="CA5" t="str">
            <v>Retail</v>
          </cell>
          <cell r="CB5">
            <v>47</v>
          </cell>
          <cell r="CC5" t="str">
            <v>Finland</v>
          </cell>
          <cell r="CD5" t="str">
            <v>Office</v>
          </cell>
          <cell r="CE5">
            <v>15</v>
          </cell>
        </row>
        <row r="6">
          <cell r="A6">
            <v>4</v>
          </cell>
          <cell r="B6" t="str">
            <v>ABERDEEN PROPERTY FUND NORWAY I</v>
          </cell>
          <cell r="C6" t="str">
            <v>ABERDEEN ASSET MANAGEMENT NORWAY AS</v>
          </cell>
          <cell r="D6" t="str">
            <v>PO Box 2882 Solli</v>
          </cell>
          <cell r="E6">
            <v>230</v>
          </cell>
          <cell r="F6" t="str">
            <v>Oslo</v>
          </cell>
          <cell r="G6" t="str">
            <v>Norway</v>
          </cell>
          <cell r="H6" t="str">
            <v>+47 2201 2700</v>
          </cell>
          <cell r="I6" t="str">
            <v>+47 2201 2701</v>
          </cell>
          <cell r="J6" t="str">
            <v>http://www.aberdeen-asset.com</v>
          </cell>
          <cell r="K6" t="str">
            <v>Knut Haraldson</v>
          </cell>
          <cell r="L6" t="str">
            <v>knut.haraldson@aberdeen-asset.com</v>
          </cell>
          <cell r="M6" t="str">
            <v>+47 2201 2700</v>
          </cell>
          <cell r="N6" t="str">
            <v>Alessandro Bronda</v>
          </cell>
          <cell r="O6" t="str">
            <v>alessandro.bronda@aberdeen-asset.com</v>
          </cell>
          <cell r="P6" t="str">
            <v>+47 91605822</v>
          </cell>
          <cell r="Q6" t="str">
            <v>Norway</v>
          </cell>
          <cell r="R6" t="str">
            <v>NOK</v>
          </cell>
          <cell r="S6" t="str">
            <v>Local GAAP</v>
          </cell>
          <cell r="T6" t="str">
            <v>Quarterly</v>
          </cell>
          <cell r="U6" t="str">
            <v>Quarterly</v>
          </cell>
          <cell r="W6" t="str">
            <v>INREV NAV</v>
          </cell>
          <cell r="X6" t="str">
            <v>BDO Noraudit</v>
          </cell>
          <cell r="Y6" t="str">
            <v>Joint Ownership</v>
          </cell>
          <cell r="Z6" t="str">
            <v>No</v>
          </cell>
          <cell r="AA6" t="str">
            <v>Yes</v>
          </cell>
          <cell r="AB6">
            <v>0</v>
          </cell>
          <cell r="AC6" t="str">
            <v>Non-Listed Fund</v>
          </cell>
          <cell r="AD6" t="str">
            <v>Core</v>
          </cell>
          <cell r="AE6" t="str">
            <v>finite</v>
          </cell>
          <cell r="AF6" t="str">
            <v>Open end</v>
          </cell>
          <cell r="AG6">
            <v>9</v>
          </cell>
          <cell r="AH6">
            <v>12</v>
          </cell>
          <cell r="AI6" t="str">
            <v>Net</v>
          </cell>
          <cell r="AJ6" t="str">
            <v>Norwegian Property Index IPD (portfolio level)</v>
          </cell>
          <cell r="AK6">
            <v>6</v>
          </cell>
          <cell r="AN6" t="str">
            <v>Institutional</v>
          </cell>
          <cell r="AO6" t="str">
            <v>&gt; 2</v>
          </cell>
          <cell r="AP6" t="str">
            <v>≥ 50%</v>
          </cell>
          <cell r="AQ6" t="str">
            <v>Europe</v>
          </cell>
          <cell r="AR6" t="str">
            <v>single country</v>
          </cell>
          <cell r="AT6" t="str">
            <v>Norway</v>
          </cell>
          <cell r="AU6" t="str">
            <v>multi sector</v>
          </cell>
          <cell r="AW6">
            <v>8000000000</v>
          </cell>
          <cell r="AX6">
            <v>8000000000</v>
          </cell>
          <cell r="AY6">
            <v>2004</v>
          </cell>
          <cell r="BA6" t="str">
            <v>No</v>
          </cell>
          <cell r="BB6" t="str">
            <v>No</v>
          </cell>
          <cell r="BC6" t="str">
            <v>1+1+1 years</v>
          </cell>
          <cell r="BG6" t="str">
            <v>≤ 5%</v>
          </cell>
          <cell r="BH6" t="str">
            <v>2020-12-31</v>
          </cell>
          <cell r="BI6">
            <v>10948692541</v>
          </cell>
          <cell r="BJ6">
            <v>1040830159.106586</v>
          </cell>
          <cell r="BK6">
            <v>10549505240</v>
          </cell>
          <cell r="BL6">
            <v>1002881684.395357</v>
          </cell>
          <cell r="BM6">
            <v>0</v>
          </cell>
          <cell r="BN6" t="str">
            <v>Yes</v>
          </cell>
          <cell r="BO6" t="str">
            <v>External</v>
          </cell>
          <cell r="BP6">
            <v>97</v>
          </cell>
          <cell r="BQ6">
            <v>32</v>
          </cell>
          <cell r="BR6">
            <v>8921241968</v>
          </cell>
          <cell r="BS6">
            <v>809203364.36541378</v>
          </cell>
          <cell r="BT6">
            <v>8838041968</v>
          </cell>
          <cell r="BU6">
            <v>801656688.67197382</v>
          </cell>
          <cell r="BV6" t="str">
            <v>Yes</v>
          </cell>
          <cell r="BW6" t="str">
            <v>Norway</v>
          </cell>
          <cell r="BX6" t="str">
            <v>Other</v>
          </cell>
          <cell r="BY6">
            <v>7.1</v>
          </cell>
          <cell r="BZ6" t="str">
            <v>Norway</v>
          </cell>
          <cell r="CA6" t="str">
            <v>Industrial / Logistics</v>
          </cell>
          <cell r="CB6">
            <v>17.7</v>
          </cell>
          <cell r="CC6" t="str">
            <v>Norway</v>
          </cell>
          <cell r="CD6" t="str">
            <v>Retail</v>
          </cell>
          <cell r="CE6">
            <v>15.4</v>
          </cell>
          <cell r="CF6" t="str">
            <v>Norway</v>
          </cell>
          <cell r="CG6" t="str">
            <v>Office</v>
          </cell>
          <cell r="CH6">
            <v>59.8</v>
          </cell>
        </row>
        <row r="7">
          <cell r="A7">
            <v>9</v>
          </cell>
          <cell r="B7" t="str">
            <v>ABERDEEN PROPERTY NORDIC FUND I SICAV-FIS</v>
          </cell>
          <cell r="C7" t="str">
            <v>ABERDEEN MANAGEMENT SERVICES S.A.</v>
          </cell>
          <cell r="D7" t="str">
            <v>2B, Rue Borschette</v>
          </cell>
          <cell r="E7">
            <v>1246</v>
          </cell>
          <cell r="F7" t="str">
            <v>Luxembourg</v>
          </cell>
          <cell r="G7" t="str">
            <v>Luxembourg</v>
          </cell>
          <cell r="H7" t="str">
            <v>+35226005728</v>
          </cell>
          <cell r="I7" t="str">
            <v>+35226005816</v>
          </cell>
          <cell r="J7" t="str">
            <v>https://www.aberdeenstandard.com</v>
          </cell>
          <cell r="K7" t="str">
            <v>Marc Pamin</v>
          </cell>
          <cell r="L7" t="str">
            <v>marc.pamin@aberdeen-asset.com</v>
          </cell>
          <cell r="M7" t="str">
            <v>+4969768072354</v>
          </cell>
          <cell r="N7" t="str">
            <v>Marc Pamin</v>
          </cell>
          <cell r="O7" t="str">
            <v>marc.pamin@aberdeen-asset.com</v>
          </cell>
          <cell r="P7" t="str">
            <v>+4969768072354</v>
          </cell>
          <cell r="Q7" t="str">
            <v>Luxembourg</v>
          </cell>
          <cell r="R7" t="str">
            <v>EUR</v>
          </cell>
          <cell r="S7" t="str">
            <v>Local GAAP</v>
          </cell>
          <cell r="T7" t="str">
            <v>Quarterly</v>
          </cell>
          <cell r="U7" t="str">
            <v>Annually</v>
          </cell>
          <cell r="V7" t="str">
            <v>RICS</v>
          </cell>
          <cell r="W7" t="str">
            <v>IFRS NAV</v>
          </cell>
          <cell r="X7" t="str">
            <v>RBC Dexia Luxembourg S.A. (Custodian)</v>
          </cell>
          <cell r="Y7" t="str">
            <v>SICAV</v>
          </cell>
          <cell r="Z7" t="str">
            <v>No</v>
          </cell>
          <cell r="AA7" t="str">
            <v>Yes</v>
          </cell>
          <cell r="AB7">
            <v>3</v>
          </cell>
          <cell r="AC7" t="str">
            <v>Non-Listed Fund</v>
          </cell>
          <cell r="AD7" t="str">
            <v>Core</v>
          </cell>
          <cell r="AE7" t="str">
            <v>infinite</v>
          </cell>
          <cell r="AF7" t="str">
            <v>Open end</v>
          </cell>
          <cell r="AG7">
            <v>7</v>
          </cell>
          <cell r="AH7">
            <v>8</v>
          </cell>
          <cell r="AI7" t="str">
            <v>Net</v>
          </cell>
          <cell r="AJ7" t="str">
            <v>IPD</v>
          </cell>
          <cell r="AK7">
            <v>4.5</v>
          </cell>
          <cell r="AL7">
            <v>40</v>
          </cell>
          <cell r="AM7" t="str">
            <v>≤ 40%</v>
          </cell>
          <cell r="AN7" t="str">
            <v>Institutional</v>
          </cell>
          <cell r="AO7" t="str">
            <v>&gt; 2</v>
          </cell>
          <cell r="AP7" t="str">
            <v>≥ 50%</v>
          </cell>
          <cell r="AQ7" t="str">
            <v>Europe</v>
          </cell>
          <cell r="AR7" t="str">
            <v>multi country</v>
          </cell>
          <cell r="AS7" t="str">
            <v>Nordic</v>
          </cell>
          <cell r="AU7" t="str">
            <v>multi sector</v>
          </cell>
          <cell r="AW7">
            <v>500000000</v>
          </cell>
          <cell r="AX7">
            <v>500000000</v>
          </cell>
          <cell r="AY7">
            <v>2006</v>
          </cell>
          <cell r="BA7" t="str">
            <v>Yes</v>
          </cell>
          <cell r="BB7" t="str">
            <v>Yes</v>
          </cell>
          <cell r="BC7" t="str">
            <v xml:space="preserve">no specific period </v>
          </cell>
          <cell r="BD7" t="str">
            <v>Yes</v>
          </cell>
          <cell r="BF7" t="str">
            <v>≤ 15%</v>
          </cell>
          <cell r="BG7" t="str">
            <v>≤ 5%</v>
          </cell>
          <cell r="BH7" t="str">
            <v>2019-06-30</v>
          </cell>
          <cell r="BI7">
            <v>472444829.38999999</v>
          </cell>
          <cell r="BJ7">
            <v>472444829.38999999</v>
          </cell>
          <cell r="BK7">
            <v>355810357.06999999</v>
          </cell>
          <cell r="BL7">
            <v>355810357.06999999</v>
          </cell>
          <cell r="BM7">
            <v>22.3</v>
          </cell>
          <cell r="BN7" t="str">
            <v>No</v>
          </cell>
          <cell r="BO7" t="str">
            <v>External</v>
          </cell>
          <cell r="BP7">
            <v>13</v>
          </cell>
          <cell r="BQ7">
            <v>15</v>
          </cell>
          <cell r="BS7">
            <v>0</v>
          </cell>
          <cell r="BT7">
            <v>361231963.95999998</v>
          </cell>
          <cell r="BW7" t="str">
            <v>Denmark</v>
          </cell>
          <cell r="BX7" t="str">
            <v>Office</v>
          </cell>
          <cell r="BY7">
            <v>6.9</v>
          </cell>
          <cell r="BZ7" t="str">
            <v>Denmark</v>
          </cell>
          <cell r="CA7" t="str">
            <v>Retail</v>
          </cell>
          <cell r="CB7">
            <v>26.8</v>
          </cell>
          <cell r="CC7" t="str">
            <v>Finland</v>
          </cell>
          <cell r="CD7" t="str">
            <v>Office</v>
          </cell>
          <cell r="CE7">
            <v>16.7</v>
          </cell>
          <cell r="CF7" t="str">
            <v>Norway</v>
          </cell>
          <cell r="CG7" t="str">
            <v>Office</v>
          </cell>
          <cell r="CH7">
            <v>11.4</v>
          </cell>
          <cell r="CI7" t="str">
            <v>Norway</v>
          </cell>
          <cell r="CJ7" t="str">
            <v>Retail</v>
          </cell>
          <cell r="CK7">
            <v>7.1</v>
          </cell>
          <cell r="CL7" t="str">
            <v>Sweden</v>
          </cell>
          <cell r="CM7" t="str">
            <v>Office</v>
          </cell>
          <cell r="CN7">
            <v>28.5</v>
          </cell>
          <cell r="CO7" t="str">
            <v>Sweden</v>
          </cell>
          <cell r="CP7" t="str">
            <v>Retail</v>
          </cell>
          <cell r="CQ7">
            <v>2.6</v>
          </cell>
        </row>
        <row r="8">
          <cell r="A8">
            <v>507</v>
          </cell>
          <cell r="B8" t="str">
            <v>ABERDEEN PROPERTY UK RETAIL PARKS TRUST</v>
          </cell>
          <cell r="C8" t="str">
            <v>ABERDEEN PROPERTY FUND MANAGEMENT (JERSEY) LIMITED</v>
          </cell>
          <cell r="D8" t="str">
            <v>22 Grenville Street</v>
          </cell>
          <cell r="E8" t="str">
            <v>JE4 8PX</v>
          </cell>
          <cell r="F8" t="str">
            <v>St Helier</v>
          </cell>
          <cell r="H8" t="str">
            <v>+44 (0)1534 609 000</v>
          </cell>
          <cell r="I8" t="str">
            <v>+44 (0)1534 609 333</v>
          </cell>
          <cell r="J8" t="str">
            <v>http://www.aberdeen-asset.com</v>
          </cell>
          <cell r="K8" t="str">
            <v>Simon Moscow</v>
          </cell>
          <cell r="L8" t="str">
            <v>simon.moscow@aberdeen-asset.com</v>
          </cell>
          <cell r="M8" t="str">
            <v>+44 20 7463 6787</v>
          </cell>
          <cell r="N8" t="str">
            <v>Michael Dinsdale</v>
          </cell>
          <cell r="O8" t="str">
            <v>michael.dinsdale@aberdeen-asset.com</v>
          </cell>
          <cell r="P8" t="str">
            <v>+44 (0)1534 609 333</v>
          </cell>
          <cell r="Q8" t="str">
            <v>Jersey</v>
          </cell>
          <cell r="R8" t="str">
            <v>GBP</v>
          </cell>
          <cell r="S8" t="str">
            <v>Local GAAP</v>
          </cell>
          <cell r="T8" t="str">
            <v>Quarterly</v>
          </cell>
          <cell r="U8" t="str">
            <v>Monthly</v>
          </cell>
          <cell r="V8" t="str">
            <v>RICS</v>
          </cell>
          <cell r="X8" t="str">
            <v>PriceWaterhouseCoopers</v>
          </cell>
          <cell r="Y8" t="str">
            <v>Unauthorised Close-Ended PUT</v>
          </cell>
          <cell r="Z8" t="str">
            <v>No</v>
          </cell>
          <cell r="AA8" t="str">
            <v>Yes</v>
          </cell>
          <cell r="AB8">
            <v>0</v>
          </cell>
          <cell r="AC8" t="str">
            <v>Non-Listed Fund</v>
          </cell>
          <cell r="AD8" t="str">
            <v>Core</v>
          </cell>
          <cell r="AE8" t="str">
            <v>finite</v>
          </cell>
          <cell r="AF8" t="str">
            <v>Closed end</v>
          </cell>
          <cell r="AG8">
            <v>7</v>
          </cell>
          <cell r="AH8">
            <v>8</v>
          </cell>
          <cell r="AI8" t="str">
            <v>Net</v>
          </cell>
          <cell r="AJ8" t="str">
            <v>IPD Retail Warehouse Universe</v>
          </cell>
          <cell r="AK8">
            <v>4.5</v>
          </cell>
          <cell r="AL8">
            <v>40</v>
          </cell>
          <cell r="AM8" t="str">
            <v>&gt; 40% - ≤ 60%</v>
          </cell>
          <cell r="AN8" t="str">
            <v>Institutional</v>
          </cell>
          <cell r="AO8" t="str">
            <v>&gt; 2</v>
          </cell>
          <cell r="AP8" t="str">
            <v>≥ 50%</v>
          </cell>
          <cell r="AQ8" t="str">
            <v>Europe</v>
          </cell>
          <cell r="AR8" t="str">
            <v>single country</v>
          </cell>
          <cell r="AT8" t="str">
            <v>United Kingdom</v>
          </cell>
          <cell r="AU8" t="str">
            <v>single sector</v>
          </cell>
          <cell r="AV8" t="str">
            <v>Retail</v>
          </cell>
          <cell r="AW8">
            <v>200000000</v>
          </cell>
          <cell r="AX8">
            <v>600000000</v>
          </cell>
          <cell r="AY8">
            <v>1999</v>
          </cell>
          <cell r="AZ8">
            <v>2015</v>
          </cell>
          <cell r="BA8" t="str">
            <v>Yes</v>
          </cell>
          <cell r="BB8" t="str">
            <v>Yes</v>
          </cell>
          <cell r="BH8" t="str">
            <v>2020-12-31</v>
          </cell>
          <cell r="BI8">
            <v>64176</v>
          </cell>
          <cell r="BJ8">
            <v>70949.718720720004</v>
          </cell>
          <cell r="BK8">
            <v>64176</v>
          </cell>
          <cell r="BL8">
            <v>70949.718720720004</v>
          </cell>
          <cell r="BM8">
            <v>0</v>
          </cell>
          <cell r="BN8" t="str">
            <v>No</v>
          </cell>
          <cell r="BO8" t="str">
            <v>External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V8" t="str">
            <v>No</v>
          </cell>
        </row>
        <row r="9">
          <cell r="A9">
            <v>1</v>
          </cell>
          <cell r="B9" t="str">
            <v>ABERDEEN STANDARD EUROPEAN BALANCED PROPERTY FUND</v>
          </cell>
          <cell r="C9" t="str">
            <v>ABERDEEN PROPERTY INVESTORS EUROPE B.V.</v>
          </cell>
          <cell r="D9" t="str">
            <v>PO Box 79074</v>
          </cell>
          <cell r="E9" t="str">
            <v>1070 NC</v>
          </cell>
          <cell r="F9" t="str">
            <v>Amsterdam</v>
          </cell>
          <cell r="G9" t="str">
            <v>Netherlands</v>
          </cell>
          <cell r="H9" t="str">
            <v>+31206870500</v>
          </cell>
          <cell r="I9" t="str">
            <v>+31206844291</v>
          </cell>
          <cell r="J9" t="str">
            <v>https://www.aberdeenstandard.com</v>
          </cell>
          <cell r="K9" t="str">
            <v>Gert-Jan Kapiteijn</v>
          </cell>
          <cell r="L9" t="str">
            <v>gert-jan.kapiteyn@aberdeenstandard.com</v>
          </cell>
          <cell r="M9" t="str">
            <v>+31206870500</v>
          </cell>
          <cell r="N9" t="str">
            <v>John Danes</v>
          </cell>
          <cell r="O9" t="str">
            <v>john.danes@aberdeenstandard.com</v>
          </cell>
          <cell r="P9" t="str">
            <v>+442074636740</v>
          </cell>
          <cell r="Q9" t="str">
            <v>Luxembourg</v>
          </cell>
          <cell r="R9" t="str">
            <v>EUR</v>
          </cell>
          <cell r="S9" t="str">
            <v>Local GAAP</v>
          </cell>
          <cell r="T9" t="str">
            <v>Quarterly</v>
          </cell>
          <cell r="U9" t="str">
            <v>Quarterly</v>
          </cell>
          <cell r="V9" t="str">
            <v>RICS</v>
          </cell>
          <cell r="W9" t="str">
            <v>Adjusted INREV NAV</v>
          </cell>
          <cell r="X9" t="str">
            <v>Deloitte S.A.</v>
          </cell>
          <cell r="Y9" t="str">
            <v>SICAV-FIS</v>
          </cell>
          <cell r="Z9" t="str">
            <v>Yes</v>
          </cell>
          <cell r="AA9" t="str">
            <v>Yes</v>
          </cell>
          <cell r="AB9">
            <v>2</v>
          </cell>
          <cell r="AC9" t="str">
            <v>Non-Listed Fund</v>
          </cell>
          <cell r="AD9" t="str">
            <v>Core</v>
          </cell>
          <cell r="AE9" t="str">
            <v>infinite</v>
          </cell>
          <cell r="AF9" t="str">
            <v>Open end</v>
          </cell>
          <cell r="AH9">
            <v>6.5</v>
          </cell>
          <cell r="AI9" t="str">
            <v>Net</v>
          </cell>
          <cell r="AJ9" t="str">
            <v>IRR</v>
          </cell>
          <cell r="AK9">
            <v>4.5</v>
          </cell>
          <cell r="AL9">
            <v>25</v>
          </cell>
          <cell r="AM9" t="str">
            <v>&gt; 40%</v>
          </cell>
          <cell r="AN9" t="str">
            <v>Institutional</v>
          </cell>
          <cell r="AO9" t="str">
            <v>&gt; 2</v>
          </cell>
          <cell r="AP9" t="str">
            <v>≥ 50%</v>
          </cell>
          <cell r="AQ9" t="str">
            <v>Europe</v>
          </cell>
          <cell r="AR9" t="str">
            <v>multi country</v>
          </cell>
          <cell r="AS9" t="str">
            <v>Europe</v>
          </cell>
          <cell r="AU9" t="str">
            <v>multi sector</v>
          </cell>
          <cell r="AW9">
            <v>750000000</v>
          </cell>
          <cell r="AX9">
            <v>1000000000</v>
          </cell>
          <cell r="AY9">
            <v>2006</v>
          </cell>
          <cell r="BE9" t="str">
            <v>≥ 60%</v>
          </cell>
          <cell r="BF9" t="str">
            <v>≤ 15%</v>
          </cell>
          <cell r="BG9" t="str">
            <v>≤ 5%</v>
          </cell>
          <cell r="BH9" t="str">
            <v>2020-12-31</v>
          </cell>
          <cell r="BI9">
            <v>1230612759.1500001</v>
          </cell>
          <cell r="BJ9">
            <v>1230612759.1500001</v>
          </cell>
          <cell r="BK9">
            <v>999818431.08000004</v>
          </cell>
          <cell r="BL9">
            <v>999818431.08000004</v>
          </cell>
          <cell r="BM9">
            <v>16.09</v>
          </cell>
          <cell r="BN9" t="str">
            <v>No</v>
          </cell>
          <cell r="BO9" t="str">
            <v>External</v>
          </cell>
          <cell r="BP9">
            <v>63</v>
          </cell>
          <cell r="BQ9">
            <v>30</v>
          </cell>
          <cell r="BR9">
            <v>988582000</v>
          </cell>
          <cell r="BS9">
            <v>988582000</v>
          </cell>
          <cell r="BT9">
            <v>976985759.92999995</v>
          </cell>
          <cell r="BU9">
            <v>976985759.92999995</v>
          </cell>
          <cell r="BV9" t="str">
            <v>Yes</v>
          </cell>
          <cell r="BW9" t="str">
            <v>Belgium</v>
          </cell>
          <cell r="BX9" t="str">
            <v>Office</v>
          </cell>
          <cell r="BY9">
            <v>5.4</v>
          </cell>
          <cell r="BZ9" t="str">
            <v>Germany</v>
          </cell>
          <cell r="CA9" t="str">
            <v>Office</v>
          </cell>
          <cell r="CB9">
            <v>2.8</v>
          </cell>
          <cell r="CC9" t="str">
            <v>France</v>
          </cell>
          <cell r="CD9" t="str">
            <v>Retail</v>
          </cell>
          <cell r="CE9">
            <v>5.4</v>
          </cell>
          <cell r="CF9" t="str">
            <v>France</v>
          </cell>
          <cell r="CG9" t="str">
            <v>Industrial / Logistics</v>
          </cell>
          <cell r="CH9">
            <v>4.5</v>
          </cell>
          <cell r="CI9" t="str">
            <v>Netherlands</v>
          </cell>
          <cell r="CJ9" t="str">
            <v>Office</v>
          </cell>
          <cell r="CK9">
            <v>3.7</v>
          </cell>
          <cell r="CL9" t="str">
            <v>Netherlands</v>
          </cell>
          <cell r="CM9" t="str">
            <v>Industrial / Logistics</v>
          </cell>
          <cell r="CN9">
            <v>12.9</v>
          </cell>
          <cell r="CO9" t="str">
            <v>Austria</v>
          </cell>
          <cell r="CP9" t="str">
            <v>Industrial / Logistics</v>
          </cell>
          <cell r="CQ9">
            <v>5.4</v>
          </cell>
          <cell r="CR9" t="str">
            <v>France</v>
          </cell>
          <cell r="CS9" t="str">
            <v>Office</v>
          </cell>
          <cell r="CT9">
            <v>6.1</v>
          </cell>
          <cell r="CU9" t="str">
            <v>Finland</v>
          </cell>
          <cell r="CV9" t="str">
            <v>Industrial / Logistics</v>
          </cell>
          <cell r="CW9">
            <v>8.6999999999999993</v>
          </cell>
          <cell r="CX9" t="str">
            <v>Germany</v>
          </cell>
          <cell r="CY9" t="str">
            <v>Retail</v>
          </cell>
          <cell r="CZ9">
            <v>4.8</v>
          </cell>
          <cell r="DA9" t="str">
            <v>Portugal</v>
          </cell>
          <cell r="DB9" t="str">
            <v>Retail</v>
          </cell>
          <cell r="DC9">
            <v>6.7</v>
          </cell>
          <cell r="DD9" t="str">
            <v>Spain</v>
          </cell>
          <cell r="DE9" t="str">
            <v>Office</v>
          </cell>
          <cell r="DF9">
            <v>13.4</v>
          </cell>
        </row>
        <row r="10">
          <cell r="A10">
            <v>18094</v>
          </cell>
          <cell r="B10" t="str">
            <v>ABERDEEN STANDARD GERMAN URBANISATION PROPERTY FUND</v>
          </cell>
          <cell r="C10" t="str">
            <v>ABERDEEN STANDARD INVESTMENTS DEUTSCHLAND AG</v>
          </cell>
          <cell r="D10" t="str">
            <v>Bockenheimer Landstr. 25</v>
          </cell>
          <cell r="E10">
            <v>60325</v>
          </cell>
          <cell r="F10" t="str">
            <v>Frankfurt</v>
          </cell>
          <cell r="G10" t="str">
            <v>Germany</v>
          </cell>
          <cell r="H10" t="str">
            <v>+49697680720</v>
          </cell>
          <cell r="I10" t="str">
            <v>+4969768072256</v>
          </cell>
          <cell r="J10" t="str">
            <v>https://www.aberdeenstandard.de</v>
          </cell>
          <cell r="K10" t="str">
            <v>Fabian Klingler</v>
          </cell>
          <cell r="N10" t="str">
            <v>Peter Dombeck</v>
          </cell>
          <cell r="O10" t="str">
            <v>info.germany@aberdeen-asset.com</v>
          </cell>
          <cell r="P10" t="str">
            <v>+4969768072-0</v>
          </cell>
          <cell r="Q10" t="str">
            <v>Germany</v>
          </cell>
          <cell r="R10" t="str">
            <v>EUR</v>
          </cell>
          <cell r="S10" t="str">
            <v>Local GAAP</v>
          </cell>
          <cell r="T10" t="str">
            <v>Annually</v>
          </cell>
          <cell r="U10" t="str">
            <v>Annually</v>
          </cell>
          <cell r="V10" t="str">
            <v>Other - mark to market</v>
          </cell>
          <cell r="W10" t="str">
            <v>mark to market</v>
          </cell>
          <cell r="X10" t="str">
            <v>KPMG AG</v>
          </cell>
          <cell r="Y10" t="str">
            <v>Spezialfonds</v>
          </cell>
          <cell r="Z10" t="str">
            <v>No</v>
          </cell>
          <cell r="AA10" t="str">
            <v>Yes</v>
          </cell>
          <cell r="AC10" t="str">
            <v>Non-Listed Fund</v>
          </cell>
          <cell r="AD10" t="str">
            <v>Core</v>
          </cell>
          <cell r="AE10" t="str">
            <v>infinite</v>
          </cell>
          <cell r="AF10" t="str">
            <v>Open end</v>
          </cell>
          <cell r="AG10">
            <v>5</v>
          </cell>
          <cell r="AI10" t="str">
            <v>Net</v>
          </cell>
          <cell r="AK10">
            <v>3</v>
          </cell>
          <cell r="AL10">
            <v>35</v>
          </cell>
          <cell r="AM10" t="str">
            <v>≤ 40%</v>
          </cell>
          <cell r="AN10" t="str">
            <v>Institutional</v>
          </cell>
          <cell r="AO10" t="str">
            <v>&gt; 2</v>
          </cell>
          <cell r="AP10" t="str">
            <v>≥ 50%</v>
          </cell>
          <cell r="AQ10" t="str">
            <v>Europe</v>
          </cell>
          <cell r="AR10" t="str">
            <v>single country</v>
          </cell>
          <cell r="AT10" t="str">
            <v>Germany</v>
          </cell>
          <cell r="AU10" t="str">
            <v>single sector</v>
          </cell>
          <cell r="AV10" t="str">
            <v>Residential</v>
          </cell>
          <cell r="AX10">
            <v>1500000000</v>
          </cell>
          <cell r="AY10">
            <v>2016</v>
          </cell>
          <cell r="BB10" t="str">
            <v>No</v>
          </cell>
          <cell r="BD10" t="str">
            <v>No</v>
          </cell>
          <cell r="BE10" t="str">
            <v>≥ 60%</v>
          </cell>
          <cell r="BF10" t="str">
            <v>≤ 15%</v>
          </cell>
          <cell r="BG10" t="str">
            <v>≤ 5%</v>
          </cell>
          <cell r="BH10" t="str">
            <v>2020-12-31</v>
          </cell>
          <cell r="BI10">
            <v>368881752.51999998</v>
          </cell>
          <cell r="BJ10">
            <v>368881752.51999998</v>
          </cell>
          <cell r="BK10">
            <v>254222373.83000001</v>
          </cell>
          <cell r="BL10">
            <v>254222373.83000001</v>
          </cell>
          <cell r="BM10">
            <v>34.299999999999997</v>
          </cell>
          <cell r="BN10" t="str">
            <v>No</v>
          </cell>
          <cell r="BO10" t="str">
            <v>External</v>
          </cell>
          <cell r="BP10">
            <v>30</v>
          </cell>
          <cell r="BQ10">
            <v>7</v>
          </cell>
          <cell r="BR10">
            <v>297600000</v>
          </cell>
          <cell r="BS10">
            <v>297600000</v>
          </cell>
          <cell r="BT10">
            <v>229599750.30000001</v>
          </cell>
          <cell r="BU10">
            <v>229599750.30000001</v>
          </cell>
          <cell r="BV10" t="str">
            <v>No</v>
          </cell>
          <cell r="BW10" t="str">
            <v>Germany</v>
          </cell>
          <cell r="BX10" t="str">
            <v>Residential</v>
          </cell>
          <cell r="BY10">
            <v>50.1</v>
          </cell>
          <cell r="BZ10" t="str">
            <v>Germany</v>
          </cell>
          <cell r="CA10" t="str">
            <v>Mixed</v>
          </cell>
          <cell r="CB10">
            <v>32.4</v>
          </cell>
        </row>
        <row r="11">
          <cell r="A11">
            <v>11</v>
          </cell>
          <cell r="B11" t="str">
            <v>ACCESSION FUND SICAV</v>
          </cell>
          <cell r="C11" t="str">
            <v>GLL REAL ESTATE PARTNERS</v>
          </cell>
          <cell r="D11" t="str">
            <v>Lindwurmstrasse 76</v>
          </cell>
          <cell r="E11">
            <v>80337</v>
          </cell>
          <cell r="F11" t="str">
            <v>Munich</v>
          </cell>
          <cell r="G11" t="str">
            <v>Germany</v>
          </cell>
          <cell r="H11" t="str">
            <v>+49 (0) 89 72610 3930</v>
          </cell>
          <cell r="I11" t="str">
            <v>+49 (0) 89 72610 3945</v>
          </cell>
          <cell r="J11" t="str">
            <v>http://www.gll-partners.com</v>
          </cell>
          <cell r="K11" t="str">
            <v>Justyna Kaczmarek</v>
          </cell>
          <cell r="L11" t="str">
            <v>Justyna.Kaczmarek@gll-partners.com</v>
          </cell>
          <cell r="M11" t="str">
            <v>+49 (0) 89 72610 3956</v>
          </cell>
          <cell r="N11" t="str">
            <v>Justyna Kaczmarek</v>
          </cell>
          <cell r="O11" t="str">
            <v>Justyna.Kaczmarek@gll-partners.com</v>
          </cell>
          <cell r="P11" t="str">
            <v>+49 (0) 89 72610 - 3956</v>
          </cell>
          <cell r="Q11" t="str">
            <v>Luxembourg</v>
          </cell>
          <cell r="R11" t="str">
            <v>EUR</v>
          </cell>
          <cell r="S11" t="str">
            <v>IFRS</v>
          </cell>
          <cell r="T11" t="str">
            <v>Quarterly</v>
          </cell>
          <cell r="U11" t="str">
            <v>Annually</v>
          </cell>
          <cell r="V11" t="str">
            <v>ImmoWertV</v>
          </cell>
          <cell r="X11" t="str">
            <v>Ernst &amp; Young</v>
          </cell>
          <cell r="Y11" t="str">
            <v>SICAV</v>
          </cell>
          <cell r="Z11" t="str">
            <v>No</v>
          </cell>
          <cell r="AA11" t="str">
            <v>Yes</v>
          </cell>
          <cell r="AB11">
            <v>0</v>
          </cell>
          <cell r="AC11" t="str">
            <v>Non-Listed Fund</v>
          </cell>
          <cell r="AD11" t="str">
            <v>Value-added</v>
          </cell>
          <cell r="AE11" t="str">
            <v>finite</v>
          </cell>
          <cell r="AF11" t="str">
            <v>Closed end</v>
          </cell>
          <cell r="AG11">
            <v>15</v>
          </cell>
          <cell r="AH11">
            <v>15</v>
          </cell>
          <cell r="AI11" t="str">
            <v>Net</v>
          </cell>
          <cell r="AJ11" t="str">
            <v>None</v>
          </cell>
          <cell r="AL11">
            <v>70</v>
          </cell>
          <cell r="AM11" t="str">
            <v>&gt; 60%</v>
          </cell>
          <cell r="AN11" t="str">
            <v>Institutional</v>
          </cell>
          <cell r="AO11" t="str">
            <v>&gt; 2</v>
          </cell>
          <cell r="AP11" t="str">
            <v>≥ 50%</v>
          </cell>
          <cell r="AQ11" t="str">
            <v>Europe</v>
          </cell>
          <cell r="AR11" t="str">
            <v>multi country</v>
          </cell>
          <cell r="AS11" t="str">
            <v>Central and Eastern Europe(CEE)</v>
          </cell>
          <cell r="AU11" t="str">
            <v>multi sector</v>
          </cell>
          <cell r="AW11">
            <v>300000000</v>
          </cell>
          <cell r="AX11">
            <v>1000000000</v>
          </cell>
          <cell r="AY11">
            <v>2004</v>
          </cell>
          <cell r="AZ11">
            <v>2014</v>
          </cell>
          <cell r="BA11" t="str">
            <v>Yes</v>
          </cell>
          <cell r="BB11" t="str">
            <v>Yes</v>
          </cell>
          <cell r="BH11" t="str">
            <v>2018-12-31</v>
          </cell>
          <cell r="BI11">
            <v>26677530</v>
          </cell>
          <cell r="BJ11">
            <v>26677530</v>
          </cell>
          <cell r="BK11">
            <v>26677530</v>
          </cell>
          <cell r="BL11">
            <v>26677530</v>
          </cell>
          <cell r="BM11">
            <v>0</v>
          </cell>
          <cell r="BN11" t="str">
            <v>No</v>
          </cell>
          <cell r="BO11" t="str">
            <v>External</v>
          </cell>
          <cell r="BP11">
            <v>15</v>
          </cell>
          <cell r="BQ11">
            <v>2</v>
          </cell>
          <cell r="BR11">
            <v>300000000</v>
          </cell>
          <cell r="BS11">
            <v>300000000</v>
          </cell>
          <cell r="BT11">
            <v>209707574</v>
          </cell>
          <cell r="BU11">
            <v>209707574</v>
          </cell>
          <cell r="BV11" t="str">
            <v>No</v>
          </cell>
          <cell r="BW11" t="str">
            <v>Netherlands</v>
          </cell>
          <cell r="BX11" t="str">
            <v>Office</v>
          </cell>
          <cell r="BY11">
            <v>20.3</v>
          </cell>
          <cell r="BZ11" t="str">
            <v>Poland</v>
          </cell>
          <cell r="CA11" t="str">
            <v>Office</v>
          </cell>
          <cell r="CB11">
            <v>79.7</v>
          </cell>
        </row>
        <row r="12">
          <cell r="A12">
            <v>17248</v>
          </cell>
          <cell r="B12" t="str">
            <v>ACCIMMO PIERRE</v>
          </cell>
          <cell r="C12" t="str">
            <v>BNP PARIBAS REIM FRANCE</v>
          </cell>
          <cell r="D12" t="str">
            <v>167 quai de la bataille de Stalingrad</v>
          </cell>
          <cell r="E12">
            <v>92867</v>
          </cell>
          <cell r="F12" t="str">
            <v>Issy-les-Moulineaux</v>
          </cell>
          <cell r="G12" t="str">
            <v>France</v>
          </cell>
          <cell r="H12" t="str">
            <v>+33 1 55 65 23 55</v>
          </cell>
          <cell r="I12" t="str">
            <v>+33 1 46 42 72 54</v>
          </cell>
          <cell r="J12" t="str">
            <v>http://www.reim.bnpparibas.com</v>
          </cell>
          <cell r="K12" t="str">
            <v>Matthieu Laporte</v>
          </cell>
          <cell r="L12" t="str">
            <v>matthieu.laporte@bnpparibas.com</v>
          </cell>
          <cell r="M12" t="str">
            <v>+33 1 55 65 23 17</v>
          </cell>
          <cell r="N12" t="str">
            <v>Arnaud Romanet-Perroux</v>
          </cell>
          <cell r="O12" t="str">
            <v>arnaud.romanetperroux@bnpparibas.com</v>
          </cell>
          <cell r="P12" t="str">
            <v>+33 1 55 65 22 34</v>
          </cell>
          <cell r="Q12" t="str">
            <v>France</v>
          </cell>
          <cell r="R12" t="str">
            <v>EUR</v>
          </cell>
          <cell r="S12" t="str">
            <v>IFRS</v>
          </cell>
          <cell r="T12" t="str">
            <v>Quarterly</v>
          </cell>
          <cell r="U12" t="str">
            <v>Annually</v>
          </cell>
          <cell r="X12" t="str">
            <v>KPMG</v>
          </cell>
          <cell r="Y12" t="str">
            <v>SCPI</v>
          </cell>
          <cell r="Z12" t="str">
            <v>No</v>
          </cell>
          <cell r="AA12" t="str">
            <v>Yes</v>
          </cell>
          <cell r="AB12">
            <v>11</v>
          </cell>
          <cell r="AC12" t="str">
            <v>Non-Listed Fund</v>
          </cell>
          <cell r="AD12" t="str">
            <v>Core</v>
          </cell>
          <cell r="AE12" t="str">
            <v>finite</v>
          </cell>
          <cell r="AF12" t="str">
            <v>Open end</v>
          </cell>
          <cell r="AJ12" t="str">
            <v>IEIF</v>
          </cell>
          <cell r="AM12" t="str">
            <v>≤ 40%</v>
          </cell>
          <cell r="AN12" t="str">
            <v>Institutional and Retail</v>
          </cell>
          <cell r="AO12" t="str">
            <v>&gt; 2</v>
          </cell>
          <cell r="AP12" t="str">
            <v>&lt; 50%</v>
          </cell>
          <cell r="AQ12" t="str">
            <v>Europe</v>
          </cell>
          <cell r="AR12" t="str">
            <v>single country</v>
          </cell>
          <cell r="AT12" t="str">
            <v>France</v>
          </cell>
          <cell r="AU12" t="str">
            <v>multi sector</v>
          </cell>
          <cell r="BB12" t="str">
            <v>No</v>
          </cell>
          <cell r="BD12" t="str">
            <v>No</v>
          </cell>
          <cell r="BE12" t="str">
            <v>≥ 60%</v>
          </cell>
          <cell r="BF12" t="str">
            <v>≤ 15%</v>
          </cell>
          <cell r="BG12" t="str">
            <v>≤ 5%</v>
          </cell>
          <cell r="BH12" t="str">
            <v>2014-06-30</v>
          </cell>
          <cell r="BI12">
            <v>691252535.50999999</v>
          </cell>
          <cell r="BJ12">
            <v>691252535.50999999</v>
          </cell>
          <cell r="BK12">
            <v>691252535.50999999</v>
          </cell>
          <cell r="BL12">
            <v>691252535.50999999</v>
          </cell>
          <cell r="BS12">
            <v>0</v>
          </cell>
          <cell r="BW12" t="str">
            <v>France</v>
          </cell>
          <cell r="BX12" t="str">
            <v>Office</v>
          </cell>
          <cell r="BY12">
            <v>81.7</v>
          </cell>
          <cell r="BZ12" t="str">
            <v>France</v>
          </cell>
          <cell r="CA12" t="str">
            <v>Retail</v>
          </cell>
          <cell r="CB12">
            <v>10.64</v>
          </cell>
          <cell r="CC12" t="str">
            <v>France</v>
          </cell>
          <cell r="CD12" t="str">
            <v>Industrial / Logistics</v>
          </cell>
          <cell r="CE12">
            <v>7.66</v>
          </cell>
        </row>
        <row r="13">
          <cell r="A13">
            <v>561</v>
          </cell>
          <cell r="B13" t="str">
            <v>ACHMEA DUTCH HEALTH CARE PROPERTY FUND</v>
          </cell>
          <cell r="C13" t="str">
            <v>SYNTRUS ACHMEA VASTGOED B.V.</v>
          </cell>
          <cell r="D13" t="str">
            <v>Gatwickstraat 1</v>
          </cell>
          <cell r="E13" t="str">
            <v>1043 GK</v>
          </cell>
          <cell r="F13" t="str">
            <v>Amsterdam</v>
          </cell>
          <cell r="G13" t="str">
            <v>Netherlands</v>
          </cell>
          <cell r="I13" t="str">
            <v>+31206061219</v>
          </cell>
          <cell r="J13" t="str">
            <v>http://www.syntrusachmeavastgoed.nl</v>
          </cell>
          <cell r="K13" t="str">
            <v>Casper Hesp</v>
          </cell>
          <cell r="L13" t="str">
            <v>casper.hesp@achmeavastgoed.nl</v>
          </cell>
          <cell r="M13" t="str">
            <v>+31206065647</v>
          </cell>
          <cell r="N13" t="str">
            <v>Daan van der Werf</v>
          </cell>
          <cell r="O13" t="str">
            <v>daan.van.der.werf@achmeavastgoed.nl</v>
          </cell>
          <cell r="P13" t="str">
            <v>+31653893789</v>
          </cell>
          <cell r="Q13" t="str">
            <v>Netherlands</v>
          </cell>
          <cell r="R13" t="str">
            <v>EUR</v>
          </cell>
          <cell r="S13" t="str">
            <v>Local GAAP</v>
          </cell>
          <cell r="T13" t="str">
            <v>Quarterly</v>
          </cell>
          <cell r="U13" t="str">
            <v>Annually</v>
          </cell>
          <cell r="V13" t="str">
            <v>RICS</v>
          </cell>
          <cell r="W13" t="str">
            <v>INREV NAV</v>
          </cell>
          <cell r="X13" t="str">
            <v>PriceWaterhouseCoopers</v>
          </cell>
          <cell r="Y13" t="str">
            <v>Real Estate Fund</v>
          </cell>
          <cell r="Z13" t="str">
            <v>No</v>
          </cell>
          <cell r="AA13" t="str">
            <v>Yes</v>
          </cell>
          <cell r="AB13">
            <v>0</v>
          </cell>
          <cell r="AC13" t="str">
            <v>Non-Listed Fund</v>
          </cell>
          <cell r="AD13" t="str">
            <v>Core</v>
          </cell>
          <cell r="AE13" t="str">
            <v>infinite</v>
          </cell>
          <cell r="AF13" t="str">
            <v>Open end</v>
          </cell>
          <cell r="AG13">
            <v>7</v>
          </cell>
          <cell r="AH13">
            <v>7</v>
          </cell>
          <cell r="AI13" t="str">
            <v>Net</v>
          </cell>
          <cell r="AJ13" t="str">
            <v>Absolute return target</v>
          </cell>
          <cell r="AK13">
            <v>5.5</v>
          </cell>
          <cell r="AM13" t="str">
            <v>≤ 40%</v>
          </cell>
          <cell r="AN13" t="str">
            <v>Institutional</v>
          </cell>
          <cell r="AO13" t="str">
            <v>&gt; 2</v>
          </cell>
          <cell r="AP13" t="str">
            <v>≥ 50%</v>
          </cell>
          <cell r="AQ13" t="str">
            <v>Europe</v>
          </cell>
          <cell r="AR13" t="str">
            <v>single country</v>
          </cell>
          <cell r="AT13" t="str">
            <v>Netherlands</v>
          </cell>
          <cell r="AU13" t="str">
            <v>single sector</v>
          </cell>
          <cell r="AV13" t="str">
            <v>Health Care</v>
          </cell>
          <cell r="AW13">
            <v>800000000</v>
          </cell>
          <cell r="AX13">
            <v>800000000</v>
          </cell>
          <cell r="AY13">
            <v>2010</v>
          </cell>
          <cell r="BA13" t="str">
            <v>No</v>
          </cell>
          <cell r="BE13" t="str">
            <v>≥ 60%</v>
          </cell>
          <cell r="BF13" t="str">
            <v>≤ 15%</v>
          </cell>
          <cell r="BG13" t="str">
            <v>≤ 5%</v>
          </cell>
          <cell r="BH13" t="str">
            <v>2020-12-31</v>
          </cell>
          <cell r="BI13">
            <v>543298000</v>
          </cell>
          <cell r="BJ13">
            <v>543298000</v>
          </cell>
          <cell r="BK13">
            <v>541105775</v>
          </cell>
          <cell r="BL13">
            <v>541105775</v>
          </cell>
          <cell r="BM13">
            <v>0</v>
          </cell>
          <cell r="BN13" t="str">
            <v>No</v>
          </cell>
          <cell r="BO13" t="str">
            <v>External</v>
          </cell>
          <cell r="BP13">
            <v>17</v>
          </cell>
          <cell r="BQ13">
            <v>33</v>
          </cell>
          <cell r="BR13">
            <v>101508497</v>
          </cell>
          <cell r="BS13">
            <v>101508497</v>
          </cell>
          <cell r="BT13">
            <v>451919000</v>
          </cell>
          <cell r="BU13">
            <v>451919000</v>
          </cell>
          <cell r="BV13" t="str">
            <v>Yes</v>
          </cell>
          <cell r="BW13" t="str">
            <v>Netherlands</v>
          </cell>
          <cell r="BX13" t="str">
            <v>Health Care</v>
          </cell>
          <cell r="BY13">
            <v>96</v>
          </cell>
        </row>
        <row r="14">
          <cell r="A14">
            <v>14</v>
          </cell>
          <cell r="B14" t="str">
            <v>ACHMEA DUTCH RESIDENTIAL FUND</v>
          </cell>
          <cell r="C14" t="str">
            <v>SYNTRUS ACHMEA VASTGOED B.V.</v>
          </cell>
          <cell r="D14" t="str">
            <v>PO Box 59347</v>
          </cell>
          <cell r="E14" t="str">
            <v>1040 KH</v>
          </cell>
          <cell r="F14" t="str">
            <v>Amsterdam</v>
          </cell>
          <cell r="G14" t="str">
            <v>Netherlands</v>
          </cell>
          <cell r="H14" t="str">
            <v>+31206065600</v>
          </cell>
          <cell r="I14" t="str">
            <v>+31206065609</v>
          </cell>
          <cell r="J14" t="str">
            <v>http://www.syntrusachmeavastgoed.nl</v>
          </cell>
          <cell r="K14" t="str">
            <v>Onno Hoff</v>
          </cell>
          <cell r="L14" t="str">
            <v>onno.hoff@achmeavastgoed.nl</v>
          </cell>
          <cell r="M14" t="str">
            <v>+31206065869</v>
          </cell>
          <cell r="N14" t="str">
            <v>Daan van der Werf</v>
          </cell>
          <cell r="O14" t="str">
            <v>daan.van.der.werf@achmeavastgoed.nl</v>
          </cell>
          <cell r="P14" t="str">
            <v>+31653893789</v>
          </cell>
          <cell r="Q14" t="str">
            <v>Netherlands</v>
          </cell>
          <cell r="R14" t="str">
            <v>EUR</v>
          </cell>
          <cell r="S14" t="str">
            <v>Local GAAP</v>
          </cell>
          <cell r="T14" t="str">
            <v>Quarterly</v>
          </cell>
          <cell r="U14" t="str">
            <v>Annually</v>
          </cell>
          <cell r="V14" t="str">
            <v>RICS</v>
          </cell>
          <cell r="W14" t="str">
            <v>INREV NAV</v>
          </cell>
          <cell r="X14" t="str">
            <v>PriceWaterhouseCoopers</v>
          </cell>
          <cell r="Y14" t="str">
            <v>Open Ended Real Estate Fund</v>
          </cell>
          <cell r="Z14" t="str">
            <v>No</v>
          </cell>
          <cell r="AA14" t="str">
            <v>Yes</v>
          </cell>
          <cell r="AB14">
            <v>0</v>
          </cell>
          <cell r="AC14" t="str">
            <v>Non-Listed Fund</v>
          </cell>
          <cell r="AD14" t="str">
            <v>Core</v>
          </cell>
          <cell r="AE14" t="str">
            <v>infinite</v>
          </cell>
          <cell r="AF14" t="str">
            <v>Open end</v>
          </cell>
          <cell r="AJ14" t="str">
            <v>ROZ / IPD Netherlands Residential Index</v>
          </cell>
          <cell r="AK14">
            <v>3.8</v>
          </cell>
          <cell r="AM14" t="str">
            <v>≤ 40%</v>
          </cell>
          <cell r="AN14" t="str">
            <v>Institutional</v>
          </cell>
          <cell r="AO14" t="str">
            <v>&gt; 2</v>
          </cell>
          <cell r="AP14" t="str">
            <v>≥ 50%</v>
          </cell>
          <cell r="AQ14" t="str">
            <v>Europe</v>
          </cell>
          <cell r="AR14" t="str">
            <v>single country</v>
          </cell>
          <cell r="AT14" t="str">
            <v>Netherlands</v>
          </cell>
          <cell r="AU14" t="str">
            <v>single sector</v>
          </cell>
          <cell r="AV14" t="str">
            <v>Residential</v>
          </cell>
          <cell r="AW14">
            <v>1500000000</v>
          </cell>
          <cell r="AX14">
            <v>1500000000</v>
          </cell>
          <cell r="AY14">
            <v>1992</v>
          </cell>
          <cell r="BD14" t="str">
            <v>No</v>
          </cell>
          <cell r="BF14" t="str">
            <v>&gt; 15% - ≤ 40%</v>
          </cell>
          <cell r="BG14" t="str">
            <v>&gt; 5 - ≤ 25%</v>
          </cell>
          <cell r="BH14" t="str">
            <v>2020-12-31</v>
          </cell>
          <cell r="BI14">
            <v>1473187000</v>
          </cell>
          <cell r="BJ14">
            <v>1473187000</v>
          </cell>
          <cell r="BK14">
            <v>1461039105</v>
          </cell>
          <cell r="BL14">
            <v>1461039105</v>
          </cell>
          <cell r="BM14">
            <v>0</v>
          </cell>
          <cell r="BN14" t="str">
            <v>No</v>
          </cell>
          <cell r="BO14" t="str">
            <v>External</v>
          </cell>
          <cell r="BP14">
            <v>18</v>
          </cell>
          <cell r="BQ14">
            <v>102</v>
          </cell>
          <cell r="BR14">
            <v>176400000</v>
          </cell>
          <cell r="BS14">
            <v>176400000</v>
          </cell>
          <cell r="BT14">
            <v>1029385000</v>
          </cell>
          <cell r="BU14">
            <v>1029385000</v>
          </cell>
          <cell r="BV14" t="str">
            <v>Yes</v>
          </cell>
          <cell r="BW14" t="str">
            <v>Netherlands</v>
          </cell>
          <cell r="BX14" t="str">
            <v>Residential</v>
          </cell>
          <cell r="BY14">
            <v>98</v>
          </cell>
        </row>
        <row r="15">
          <cell r="A15">
            <v>15</v>
          </cell>
          <cell r="B15" t="str">
            <v>ACHMEA DUTCH RETAIL PROPERTY FUND</v>
          </cell>
          <cell r="C15" t="str">
            <v>SYNTRUS ACHMEA VASTGOED B.V.</v>
          </cell>
          <cell r="D15" t="str">
            <v>PO Box 59347</v>
          </cell>
          <cell r="E15" t="str">
            <v>1040 KH</v>
          </cell>
          <cell r="F15" t="str">
            <v>Amsterdam</v>
          </cell>
          <cell r="G15" t="str">
            <v>Netherlands</v>
          </cell>
          <cell r="H15" t="str">
            <v>+31206065600</v>
          </cell>
          <cell r="I15" t="str">
            <v>+31206065609</v>
          </cell>
          <cell r="J15" t="str">
            <v>http://www.achmeavastgoed.nl</v>
          </cell>
          <cell r="K15" t="str">
            <v>Peter Koppers</v>
          </cell>
          <cell r="L15" t="str">
            <v>peter.koppers@achmeavastgoed.nl</v>
          </cell>
          <cell r="M15" t="str">
            <v>+31610275478</v>
          </cell>
          <cell r="N15" t="str">
            <v>Daan van der Werf</v>
          </cell>
          <cell r="O15" t="str">
            <v>daan.van.der.werf@achmeavastgoed.nl</v>
          </cell>
          <cell r="P15" t="str">
            <v>+31653893789</v>
          </cell>
          <cell r="Q15" t="str">
            <v>Netherlands</v>
          </cell>
          <cell r="R15" t="str">
            <v>EUR</v>
          </cell>
          <cell r="S15" t="str">
            <v>Local GAAP</v>
          </cell>
          <cell r="T15" t="str">
            <v>Quarterly</v>
          </cell>
          <cell r="U15" t="str">
            <v>Annually</v>
          </cell>
          <cell r="V15" t="str">
            <v>RICS</v>
          </cell>
          <cell r="W15" t="str">
            <v>INREV NAV</v>
          </cell>
          <cell r="X15" t="str">
            <v>PriceWaterhouseCoopers</v>
          </cell>
          <cell r="Y15" t="str">
            <v>Real Estate Fund</v>
          </cell>
          <cell r="Z15" t="str">
            <v>Yes</v>
          </cell>
          <cell r="AA15" t="str">
            <v>Yes</v>
          </cell>
          <cell r="AB15">
            <v>6</v>
          </cell>
          <cell r="AC15" t="str">
            <v>Non-Listed Fund</v>
          </cell>
          <cell r="AD15" t="str">
            <v>Core</v>
          </cell>
          <cell r="AE15" t="str">
            <v>infinite</v>
          </cell>
          <cell r="AF15" t="str">
            <v>Open end</v>
          </cell>
          <cell r="AG15">
            <v>6</v>
          </cell>
          <cell r="AH15">
            <v>7</v>
          </cell>
          <cell r="AI15" t="str">
            <v>Net</v>
          </cell>
          <cell r="AJ15" t="str">
            <v>ROZ / IPD Netherlands Retail Index</v>
          </cell>
          <cell r="AK15">
            <v>4.7</v>
          </cell>
          <cell r="AL15">
            <v>0</v>
          </cell>
          <cell r="AM15" t="str">
            <v>≤ 40%</v>
          </cell>
          <cell r="AN15" t="str">
            <v>Institutional</v>
          </cell>
          <cell r="AO15" t="str">
            <v>&gt; 2</v>
          </cell>
          <cell r="AP15" t="str">
            <v>≥ 50%</v>
          </cell>
          <cell r="AQ15" t="str">
            <v>Europe</v>
          </cell>
          <cell r="AR15" t="str">
            <v>single country</v>
          </cell>
          <cell r="AT15" t="str">
            <v>Netherlands</v>
          </cell>
          <cell r="AU15" t="str">
            <v>single sector</v>
          </cell>
          <cell r="AV15" t="str">
            <v>Retail</v>
          </cell>
          <cell r="AW15">
            <v>1000000000</v>
          </cell>
          <cell r="AX15">
            <v>1000000000</v>
          </cell>
          <cell r="AY15">
            <v>1992</v>
          </cell>
          <cell r="BA15" t="str">
            <v>No</v>
          </cell>
          <cell r="BB15" t="str">
            <v>No</v>
          </cell>
          <cell r="BD15" t="str">
            <v>No</v>
          </cell>
          <cell r="BE15" t="str">
            <v>≥ 60%</v>
          </cell>
          <cell r="BF15" t="str">
            <v>≤ 15%</v>
          </cell>
          <cell r="BG15" t="str">
            <v>&gt; 5 - ≤ 25%</v>
          </cell>
          <cell r="BH15" t="str">
            <v>2020-12-31</v>
          </cell>
          <cell r="BI15">
            <v>627333000</v>
          </cell>
          <cell r="BJ15">
            <v>627333000</v>
          </cell>
          <cell r="BK15">
            <v>594058878</v>
          </cell>
          <cell r="BL15">
            <v>594058878</v>
          </cell>
          <cell r="BM15">
            <v>3.7</v>
          </cell>
          <cell r="BN15" t="str">
            <v>No</v>
          </cell>
          <cell r="BO15" t="str">
            <v>External</v>
          </cell>
          <cell r="BP15">
            <v>21</v>
          </cell>
          <cell r="BQ15">
            <v>42</v>
          </cell>
          <cell r="BR15">
            <v>62300000</v>
          </cell>
          <cell r="BS15">
            <v>62300000</v>
          </cell>
          <cell r="BT15">
            <v>770659000</v>
          </cell>
          <cell r="BU15">
            <v>770659000</v>
          </cell>
          <cell r="BV15" t="str">
            <v>No</v>
          </cell>
          <cell r="BW15" t="str">
            <v>Netherlands</v>
          </cell>
          <cell r="BX15" t="str">
            <v>Retail</v>
          </cell>
          <cell r="BY15">
            <v>99</v>
          </cell>
        </row>
        <row r="16">
          <cell r="A16">
            <v>566</v>
          </cell>
          <cell r="B16" t="str">
            <v>ACTIVE VALUE PROPERTY FUND</v>
          </cell>
          <cell r="C16" t="str">
            <v>KAMES CAPITAL</v>
          </cell>
          <cell r="D16" t="str">
            <v>3 Lochside Crescent</v>
          </cell>
          <cell r="E16" t="str">
            <v>EH12 9SA</v>
          </cell>
          <cell r="F16" t="str">
            <v>Edinburgh</v>
          </cell>
          <cell r="G16" t="str">
            <v>United Kingdom</v>
          </cell>
          <cell r="H16">
            <v>441315496850</v>
          </cell>
          <cell r="I16">
            <v>441314590027</v>
          </cell>
          <cell r="J16" t="str">
            <v>http://www.kamescapital.com</v>
          </cell>
          <cell r="K16" t="str">
            <v>Helen Batten</v>
          </cell>
          <cell r="L16" t="str">
            <v>helen.batten@kamescapital.co.uk</v>
          </cell>
          <cell r="M16">
            <v>442072002511</v>
          </cell>
          <cell r="N16" t="str">
            <v>Shaun McWilliam</v>
          </cell>
          <cell r="O16" t="str">
            <v>shaun.mcwilliam@kamescapital.com</v>
          </cell>
          <cell r="P16" t="str">
            <v>020 7200 2547</v>
          </cell>
          <cell r="Q16" t="str">
            <v>United Kingdom</v>
          </cell>
          <cell r="R16" t="str">
            <v>GBP</v>
          </cell>
          <cell r="S16" t="str">
            <v>IFRS</v>
          </cell>
          <cell r="T16" t="str">
            <v>Monthly</v>
          </cell>
          <cell r="U16" t="str">
            <v>Monthly</v>
          </cell>
          <cell r="V16" t="str">
            <v>RICS</v>
          </cell>
          <cell r="W16" t="str">
            <v>INREV NAV</v>
          </cell>
          <cell r="X16" t="str">
            <v>Ernst &amp; Young</v>
          </cell>
          <cell r="Y16" t="str">
            <v>Unit trust</v>
          </cell>
          <cell r="Z16" t="str">
            <v>Yes</v>
          </cell>
          <cell r="AA16" t="str">
            <v>No</v>
          </cell>
          <cell r="AB16">
            <v>0</v>
          </cell>
          <cell r="AC16" t="str">
            <v>Non-Listed Fund</v>
          </cell>
          <cell r="AD16" t="str">
            <v>Value-added</v>
          </cell>
          <cell r="AE16" t="str">
            <v>infinite</v>
          </cell>
          <cell r="AF16" t="str">
            <v>Open end</v>
          </cell>
          <cell r="AG16">
            <v>0.5</v>
          </cell>
          <cell r="AH16">
            <v>0.5</v>
          </cell>
          <cell r="AI16" t="str">
            <v>Gross</v>
          </cell>
          <cell r="AJ16" t="str">
            <v>IPD/AREF All Balanced Property Funds Index</v>
          </cell>
          <cell r="AN16" t="str">
            <v>Institutional</v>
          </cell>
          <cell r="AO16" t="str">
            <v>&gt; 2</v>
          </cell>
          <cell r="AP16" t="str">
            <v>≥ 50%</v>
          </cell>
          <cell r="AQ16" t="str">
            <v>Europe</v>
          </cell>
          <cell r="AR16" t="str">
            <v>single country</v>
          </cell>
          <cell r="AT16" t="str">
            <v>United Kingdom</v>
          </cell>
          <cell r="AU16" t="str">
            <v>multi sector</v>
          </cell>
          <cell r="AX16">
            <v>500000000</v>
          </cell>
          <cell r="AY16">
            <v>2009</v>
          </cell>
          <cell r="BB16" t="str">
            <v>No</v>
          </cell>
          <cell r="BD16" t="str">
            <v>Yes</v>
          </cell>
          <cell r="BF16" t="str">
            <v>≤ 15%</v>
          </cell>
          <cell r="BG16" t="str">
            <v>≤ 5%</v>
          </cell>
          <cell r="BH16" t="str">
            <v>2015-12-31</v>
          </cell>
          <cell r="BI16">
            <v>167467056.59</v>
          </cell>
          <cell r="BJ16">
            <v>227249446.45149821</v>
          </cell>
          <cell r="BK16">
            <v>167467056.59</v>
          </cell>
          <cell r="BL16">
            <v>227249446.45149821</v>
          </cell>
          <cell r="BM16">
            <v>0</v>
          </cell>
          <cell r="BS16">
            <v>0</v>
          </cell>
        </row>
        <row r="17">
          <cell r="A17">
            <v>19</v>
          </cell>
          <cell r="B17" t="str">
            <v>AERIUM IV</v>
          </cell>
          <cell r="C17" t="str">
            <v>AERIUM</v>
          </cell>
          <cell r="D17" t="str">
            <v>1 Knightsbridge</v>
          </cell>
          <cell r="E17" t="str">
            <v>SW1X 7LX</v>
          </cell>
          <cell r="F17" t="str">
            <v>London</v>
          </cell>
          <cell r="G17" t="str">
            <v>United Kingdom</v>
          </cell>
          <cell r="H17" t="str">
            <v>+44 (0) 20 7838 7900</v>
          </cell>
          <cell r="I17" t="str">
            <v>+44 (0) 20 7838 7858</v>
          </cell>
          <cell r="J17" t="str">
            <v>http://www.aerium.com</v>
          </cell>
          <cell r="K17" t="str">
            <v>Antoine Lam Chok</v>
          </cell>
          <cell r="L17" t="str">
            <v>alamchok@aerium.com</v>
          </cell>
          <cell r="M17" t="str">
            <v>+44 (0) 20 7838 7900</v>
          </cell>
          <cell r="N17" t="str">
            <v>Franck Ruimy</v>
          </cell>
          <cell r="O17" t="str">
            <v>fruimy@aerium.com</v>
          </cell>
          <cell r="P17" t="str">
            <v>+44 (0) 20 7838 7900</v>
          </cell>
          <cell r="Q17" t="str">
            <v>Luxembourg</v>
          </cell>
          <cell r="R17" t="str">
            <v>EUR</v>
          </cell>
          <cell r="S17" t="str">
            <v>IFRS</v>
          </cell>
          <cell r="T17" t="str">
            <v>Twice per year</v>
          </cell>
          <cell r="U17" t="str">
            <v>Annually</v>
          </cell>
          <cell r="X17" t="str">
            <v>BDO - E&amp;Y</v>
          </cell>
          <cell r="Y17" t="str">
            <v>SCA</v>
          </cell>
          <cell r="AB17">
            <v>0</v>
          </cell>
          <cell r="AC17" t="str">
            <v>Non-Listed Fund</v>
          </cell>
          <cell r="AD17" t="str">
            <v>Value-added</v>
          </cell>
          <cell r="AE17" t="str">
            <v>finite</v>
          </cell>
          <cell r="AF17" t="str">
            <v>Closed end</v>
          </cell>
          <cell r="AG17">
            <v>15</v>
          </cell>
          <cell r="AH17">
            <v>25</v>
          </cell>
          <cell r="AK17">
            <v>7</v>
          </cell>
          <cell r="AL17">
            <v>80</v>
          </cell>
          <cell r="AM17" t="str">
            <v>&gt; 60%</v>
          </cell>
          <cell r="AN17" t="str">
            <v>Institutional and Retail</v>
          </cell>
          <cell r="AQ17" t="str">
            <v>Europe</v>
          </cell>
          <cell r="AR17" t="str">
            <v>multi country</v>
          </cell>
          <cell r="AS17" t="str">
            <v>Western Europe</v>
          </cell>
          <cell r="AU17" t="str">
            <v>multi sector</v>
          </cell>
          <cell r="BA17" t="str">
            <v>Yes</v>
          </cell>
          <cell r="BB17" t="str">
            <v>Yes</v>
          </cell>
          <cell r="BH17" t="str">
            <v>2009-06-30</v>
          </cell>
          <cell r="BJ17">
            <v>0</v>
          </cell>
          <cell r="BL17">
            <v>0</v>
          </cell>
          <cell r="BM17">
            <v>67</v>
          </cell>
          <cell r="BP17">
            <v>50</v>
          </cell>
          <cell r="BQ17">
            <v>59</v>
          </cell>
          <cell r="BS17">
            <v>0</v>
          </cell>
          <cell r="BV17" t="str">
            <v>No</v>
          </cell>
        </row>
        <row r="18">
          <cell r="A18">
            <v>20</v>
          </cell>
          <cell r="B18" t="str">
            <v>AERIUM OPPORTUNITY</v>
          </cell>
          <cell r="C18" t="str">
            <v>AERIUM</v>
          </cell>
          <cell r="D18" t="str">
            <v>1 Knightsbridge</v>
          </cell>
          <cell r="E18" t="str">
            <v>SW1X 7LX</v>
          </cell>
          <cell r="F18" t="str">
            <v>London</v>
          </cell>
          <cell r="G18" t="str">
            <v>United Kingdom</v>
          </cell>
          <cell r="H18" t="str">
            <v>+44 (0) 20 7838 7900</v>
          </cell>
          <cell r="I18" t="str">
            <v>+44 (0) 20 7838 7858</v>
          </cell>
          <cell r="J18" t="str">
            <v>http://www.aerium.com</v>
          </cell>
          <cell r="K18" t="str">
            <v>Antoine Lam Chok</v>
          </cell>
          <cell r="L18" t="str">
            <v>alamchok@aerium.com</v>
          </cell>
          <cell r="M18" t="str">
            <v>+44 (0) 20 7838 7900</v>
          </cell>
          <cell r="N18" t="str">
            <v>Franck Ruimy</v>
          </cell>
          <cell r="O18" t="str">
            <v>fruimy@aerium.com</v>
          </cell>
          <cell r="P18" t="str">
            <v>+44 (0) 20 7838 7900</v>
          </cell>
          <cell r="Q18" t="str">
            <v>Luxembourg</v>
          </cell>
          <cell r="R18" t="str">
            <v>EUR</v>
          </cell>
          <cell r="S18" t="str">
            <v>IFRS</v>
          </cell>
          <cell r="T18" t="str">
            <v>Twice per year</v>
          </cell>
          <cell r="U18" t="str">
            <v>Annually</v>
          </cell>
          <cell r="X18" t="str">
            <v>BDO - E&amp;Y</v>
          </cell>
          <cell r="Y18" t="str">
            <v>SCA</v>
          </cell>
          <cell r="AB18">
            <v>0</v>
          </cell>
          <cell r="AC18" t="str">
            <v>Non-Listed Fund</v>
          </cell>
          <cell r="AD18" t="str">
            <v>Opportunity</v>
          </cell>
          <cell r="AE18" t="str">
            <v>finite</v>
          </cell>
          <cell r="AF18" t="str">
            <v>Closed end</v>
          </cell>
          <cell r="AG18">
            <v>15</v>
          </cell>
          <cell r="AH18">
            <v>25</v>
          </cell>
          <cell r="AK18">
            <v>6</v>
          </cell>
          <cell r="AL18">
            <v>80</v>
          </cell>
          <cell r="AM18" t="str">
            <v>&gt; 60%</v>
          </cell>
          <cell r="AN18" t="str">
            <v>Institutional and Retail</v>
          </cell>
          <cell r="AQ18" t="str">
            <v>Europe</v>
          </cell>
          <cell r="AR18" t="str">
            <v>multi country</v>
          </cell>
          <cell r="AS18" t="str">
            <v>Europe</v>
          </cell>
          <cell r="AU18" t="str">
            <v>multi sector</v>
          </cell>
          <cell r="AW18">
            <v>250000000</v>
          </cell>
          <cell r="AX18">
            <v>1000000000</v>
          </cell>
          <cell r="BA18" t="str">
            <v>Yes</v>
          </cell>
          <cell r="BB18" t="str">
            <v>Yes</v>
          </cell>
          <cell r="BC18" t="str">
            <v>16 years</v>
          </cell>
          <cell r="BH18" t="str">
            <v>2009-06-30</v>
          </cell>
          <cell r="BJ18">
            <v>0</v>
          </cell>
          <cell r="BL18">
            <v>0</v>
          </cell>
          <cell r="BM18">
            <v>76</v>
          </cell>
          <cell r="BP18">
            <v>10</v>
          </cell>
          <cell r="BQ18">
            <v>41</v>
          </cell>
          <cell r="BR18">
            <v>160000000</v>
          </cell>
          <cell r="BS18">
            <v>160000000</v>
          </cell>
          <cell r="BU18">
            <v>0</v>
          </cell>
          <cell r="BV18" t="str">
            <v>Yes</v>
          </cell>
        </row>
        <row r="19">
          <cell r="A19">
            <v>17200</v>
          </cell>
          <cell r="B19" t="str">
            <v>AEW UK CORE PROPERTY FUND</v>
          </cell>
          <cell r="C19" t="str">
            <v>AEW UK</v>
          </cell>
          <cell r="D19" t="str">
            <v>33 Jermyn Street</v>
          </cell>
          <cell r="E19" t="str">
            <v>SW1Y 6DN</v>
          </cell>
          <cell r="F19" t="str">
            <v>London</v>
          </cell>
          <cell r="G19" t="str">
            <v>United Kingdom</v>
          </cell>
          <cell r="H19" t="str">
            <v>+442070164880</v>
          </cell>
          <cell r="J19" t="str">
            <v>http://www.aewuk.co.uk</v>
          </cell>
          <cell r="K19" t="str">
            <v>Richard Tanner</v>
          </cell>
          <cell r="L19" t="str">
            <v>richard.tanner@eu.aew.com</v>
          </cell>
          <cell r="M19" t="str">
            <v>+442070164868</v>
          </cell>
          <cell r="N19" t="str">
            <v>Kari Clarke</v>
          </cell>
          <cell r="O19" t="str">
            <v>kari.clarke@eu.aew.com</v>
          </cell>
          <cell r="P19" t="str">
            <v>+442070164804</v>
          </cell>
          <cell r="Q19" t="str">
            <v>United Kingdom</v>
          </cell>
          <cell r="R19" t="str">
            <v>GBP</v>
          </cell>
          <cell r="S19" t="str">
            <v>FRS 102 ‘The Financial Reporting Standard</v>
          </cell>
          <cell r="T19" t="str">
            <v>Quarterly</v>
          </cell>
          <cell r="U19" t="str">
            <v>Monthly</v>
          </cell>
          <cell r="V19" t="str">
            <v>RICS</v>
          </cell>
          <cell r="W19" t="str">
            <v>FRS102</v>
          </cell>
          <cell r="X19" t="str">
            <v>KPMG</v>
          </cell>
          <cell r="Y19" t="str">
            <v>PAIF</v>
          </cell>
          <cell r="Z19" t="str">
            <v>No</v>
          </cell>
          <cell r="AA19" t="str">
            <v>Yes</v>
          </cell>
          <cell r="AC19" t="str">
            <v>Non-Listed Fund</v>
          </cell>
          <cell r="AD19" t="str">
            <v>Core</v>
          </cell>
          <cell r="AE19" t="str">
            <v>infinite</v>
          </cell>
          <cell r="AF19" t="str">
            <v>Open end</v>
          </cell>
          <cell r="AJ19" t="str">
            <v>All Balanced Property Funds Index – IPD UK Pooled Property Fund Index</v>
          </cell>
          <cell r="AL19">
            <v>0</v>
          </cell>
          <cell r="AM19" t="str">
            <v>≤ 40%</v>
          </cell>
          <cell r="AN19" t="str">
            <v>Institutional</v>
          </cell>
          <cell r="AO19" t="str">
            <v>&gt; 2</v>
          </cell>
          <cell r="AP19" t="str">
            <v>≥ 50%</v>
          </cell>
          <cell r="AQ19" t="str">
            <v>Europe</v>
          </cell>
          <cell r="AR19" t="str">
            <v>single country</v>
          </cell>
          <cell r="AT19" t="str">
            <v>United Kingdom</v>
          </cell>
          <cell r="AU19" t="str">
            <v>multi sector</v>
          </cell>
          <cell r="AY19">
            <v>2012</v>
          </cell>
          <cell r="BH19" t="str">
            <v>2020-12-31</v>
          </cell>
          <cell r="BI19">
            <v>288669291</v>
          </cell>
          <cell r="BJ19">
            <v>319138073.41934162</v>
          </cell>
          <cell r="BK19">
            <v>275297031</v>
          </cell>
          <cell r="BL19">
            <v>304354383.47823697</v>
          </cell>
          <cell r="BM19">
            <v>1.8</v>
          </cell>
          <cell r="BN19" t="str">
            <v>No</v>
          </cell>
          <cell r="BO19" t="str">
            <v>External</v>
          </cell>
          <cell r="BP19">
            <v>51</v>
          </cell>
          <cell r="BQ19">
            <v>65</v>
          </cell>
          <cell r="BR19">
            <v>258780318</v>
          </cell>
          <cell r="BS19">
            <v>284129019.08467442</v>
          </cell>
          <cell r="BT19">
            <v>258780318</v>
          </cell>
          <cell r="BU19">
            <v>284129019.08467442</v>
          </cell>
          <cell r="BV19" t="str">
            <v>Yes</v>
          </cell>
          <cell r="BW19" t="str">
            <v>United Kingdom</v>
          </cell>
          <cell r="BX19" t="str">
            <v>Other</v>
          </cell>
          <cell r="BY19">
            <v>18.3</v>
          </cell>
          <cell r="BZ19" t="str">
            <v>United Kingdom</v>
          </cell>
          <cell r="CA19" t="str">
            <v>Industrial / Logistics</v>
          </cell>
          <cell r="CB19">
            <v>50.8</v>
          </cell>
          <cell r="CC19" t="str">
            <v>United Kingdom</v>
          </cell>
          <cell r="CD19" t="str">
            <v>Retail</v>
          </cell>
          <cell r="CE19">
            <v>20</v>
          </cell>
          <cell r="CF19" t="str">
            <v>United Kingdom</v>
          </cell>
          <cell r="CG19" t="str">
            <v>Office</v>
          </cell>
          <cell r="CH19">
            <v>8.1999999999999993</v>
          </cell>
        </row>
        <row r="20">
          <cell r="A20">
            <v>23</v>
          </cell>
          <cell r="B20" t="str">
            <v>AIRPORT INDUSTRIAL PROPERTY UNIT TRUST</v>
          </cell>
          <cell r="C20" t="str">
            <v>SCOTTISH WIDOWS INVESTMENT PARTNERSHIP NOW PART OF ABERDEEN ASSET MANAGEMENT</v>
          </cell>
          <cell r="D20" t="str">
            <v>40 Princes Street</v>
          </cell>
          <cell r="E20" t="str">
            <v>EH32 2BY</v>
          </cell>
          <cell r="F20" t="str">
            <v>Edinburgh</v>
          </cell>
          <cell r="G20" t="str">
            <v>United Kingdom</v>
          </cell>
          <cell r="H20" t="str">
            <v>+44 (0) 131 528 4000</v>
          </cell>
          <cell r="I20" t="str">
            <v>+44 (0) 131 528 4400</v>
          </cell>
          <cell r="J20" t="str">
            <v>http://www.aberdeen-asset.com</v>
          </cell>
          <cell r="K20" t="str">
            <v>Nick Smith</v>
          </cell>
          <cell r="L20" t="str">
            <v>nick.smith@aberdeen-asset.com</v>
          </cell>
          <cell r="M20" t="str">
            <v xml:space="preserve">+44 131 528 4395 </v>
          </cell>
          <cell r="N20" t="str">
            <v>Nick Smith</v>
          </cell>
          <cell r="O20" t="str">
            <v>nick.smith@aberdeen-asset.com</v>
          </cell>
          <cell r="P20" t="str">
            <v xml:space="preserve">+44 131 528 4395 </v>
          </cell>
          <cell r="Q20" t="str">
            <v>Jersey</v>
          </cell>
          <cell r="R20" t="str">
            <v>GBP</v>
          </cell>
          <cell r="S20" t="str">
            <v>Local GAAP</v>
          </cell>
          <cell r="T20" t="str">
            <v>Quarterly</v>
          </cell>
          <cell r="U20" t="str">
            <v>Quarterly</v>
          </cell>
          <cell r="V20" t="str">
            <v>RICS</v>
          </cell>
          <cell r="W20" t="str">
            <v>FRS102</v>
          </cell>
          <cell r="X20" t="str">
            <v>PriceWaterhouseCoopers</v>
          </cell>
          <cell r="Y20" t="str">
            <v>Unit trust</v>
          </cell>
          <cell r="Z20" t="str">
            <v>No</v>
          </cell>
          <cell r="AA20" t="str">
            <v>No</v>
          </cell>
          <cell r="AB20">
            <v>0</v>
          </cell>
          <cell r="AC20" t="str">
            <v>Non-Listed Fund</v>
          </cell>
          <cell r="AD20" t="str">
            <v>Core</v>
          </cell>
          <cell r="AE20" t="str">
            <v>finite</v>
          </cell>
          <cell r="AF20" t="str">
            <v>Closed end</v>
          </cell>
          <cell r="AG20">
            <v>8</v>
          </cell>
          <cell r="AH20">
            <v>8</v>
          </cell>
          <cell r="AJ20" t="str">
            <v>IPD UK Quarterly Distribution Warehouses Index</v>
          </cell>
          <cell r="AL20">
            <v>40</v>
          </cell>
          <cell r="AM20" t="str">
            <v>&gt; 40% - ≤ 60%</v>
          </cell>
          <cell r="AN20" t="str">
            <v>Institutional</v>
          </cell>
          <cell r="AO20" t="str">
            <v>&gt; 2</v>
          </cell>
          <cell r="AP20" t="str">
            <v>≥ 50%</v>
          </cell>
          <cell r="AQ20" t="str">
            <v>Europe</v>
          </cell>
          <cell r="AR20" t="str">
            <v>single country</v>
          </cell>
          <cell r="AT20" t="str">
            <v>United Kingdom</v>
          </cell>
          <cell r="AU20" t="str">
            <v>single sector</v>
          </cell>
          <cell r="AV20" t="str">
            <v>Industrial / Logistics</v>
          </cell>
          <cell r="AY20">
            <v>2003</v>
          </cell>
          <cell r="AZ20">
            <v>2015</v>
          </cell>
          <cell r="BA20" t="str">
            <v>Yes</v>
          </cell>
          <cell r="BB20" t="str">
            <v>Yes</v>
          </cell>
          <cell r="BC20" t="str">
            <v>2 years</v>
          </cell>
          <cell r="BH20" t="str">
            <v>2020-12-31</v>
          </cell>
          <cell r="BI20">
            <v>635924245</v>
          </cell>
          <cell r="BJ20">
            <v>703045473.54830825</v>
          </cell>
          <cell r="BK20">
            <v>582934910</v>
          </cell>
          <cell r="BL20">
            <v>644463162.19440651</v>
          </cell>
          <cell r="BM20">
            <v>19.2</v>
          </cell>
          <cell r="BN20" t="str">
            <v>No</v>
          </cell>
          <cell r="BO20" t="str">
            <v>External</v>
          </cell>
          <cell r="BP20">
            <v>35</v>
          </cell>
          <cell r="BQ20">
            <v>19</v>
          </cell>
          <cell r="BR20">
            <v>393311702</v>
          </cell>
          <cell r="BS20">
            <v>431838359.83918911</v>
          </cell>
          <cell r="BT20">
            <v>393311702</v>
          </cell>
          <cell r="BU20">
            <v>431838359.83918911</v>
          </cell>
          <cell r="BW20" t="str">
            <v>United Kingdom</v>
          </cell>
          <cell r="BX20" t="str">
            <v>Industrial / Logistics</v>
          </cell>
          <cell r="BY20">
            <v>97</v>
          </cell>
          <cell r="BZ20" t="str">
            <v>United Kingdom</v>
          </cell>
          <cell r="CA20" t="str">
            <v>Other</v>
          </cell>
          <cell r="CB20">
            <v>0.7</v>
          </cell>
        </row>
        <row r="21">
          <cell r="A21">
            <v>24</v>
          </cell>
          <cell r="B21" t="str">
            <v>ALTERA VASTGOED INDUSTRIAL</v>
          </cell>
          <cell r="C21" t="str">
            <v>ALTERA VASTGOED N.V.</v>
          </cell>
          <cell r="D21" t="str">
            <v>PO Box 9220</v>
          </cell>
          <cell r="E21" t="str">
            <v>1180 ME</v>
          </cell>
          <cell r="F21" t="str">
            <v>Amstelveen</v>
          </cell>
          <cell r="G21" t="str">
            <v>Netherlands</v>
          </cell>
          <cell r="H21" t="str">
            <v>+31205452050</v>
          </cell>
          <cell r="I21" t="str">
            <v>+31205452060</v>
          </cell>
          <cell r="J21" t="str">
            <v>http://www.alteravastgoed.nl</v>
          </cell>
          <cell r="K21" t="str">
            <v>Jaap van der Bijl</v>
          </cell>
          <cell r="L21" t="str">
            <v>jaap.vanderbijl@alteravastgoed.nl</v>
          </cell>
          <cell r="M21" t="str">
            <v>+31205452050</v>
          </cell>
          <cell r="N21" t="str">
            <v>Mathijs Eikelenboom</v>
          </cell>
          <cell r="O21" t="str">
            <v>mathijs.eikelenboom@alteravastgoed.nl</v>
          </cell>
          <cell r="P21" t="str">
            <v>+31205452076</v>
          </cell>
          <cell r="Q21" t="str">
            <v>Netherlands</v>
          </cell>
          <cell r="R21" t="str">
            <v>EUR</v>
          </cell>
          <cell r="S21" t="str">
            <v>IFRS</v>
          </cell>
          <cell r="T21" t="str">
            <v>Quarterly</v>
          </cell>
          <cell r="U21" t="str">
            <v>Quarterly</v>
          </cell>
          <cell r="V21" t="str">
            <v>IVS</v>
          </cell>
          <cell r="W21" t="str">
            <v>INREV NAV</v>
          </cell>
          <cell r="X21" t="str">
            <v>Deloitte Accountants B.V.</v>
          </cell>
          <cell r="Y21" t="str">
            <v>NV</v>
          </cell>
          <cell r="Z21" t="str">
            <v>Yes</v>
          </cell>
          <cell r="AA21" t="str">
            <v>Yes</v>
          </cell>
          <cell r="AB21">
            <v>3</v>
          </cell>
          <cell r="AC21" t="str">
            <v>Non-Listed Fund</v>
          </cell>
          <cell r="AD21" t="str">
            <v>Core</v>
          </cell>
          <cell r="AE21" t="str">
            <v>infinite</v>
          </cell>
          <cell r="AF21" t="str">
            <v>Open end</v>
          </cell>
          <cell r="AJ21" t="str">
            <v>MSCI Netherlands Industrial Property Index</v>
          </cell>
          <cell r="AL21">
            <v>0</v>
          </cell>
          <cell r="AM21" t="str">
            <v>≤ 40%</v>
          </cell>
          <cell r="AN21" t="str">
            <v>Institutional</v>
          </cell>
          <cell r="AO21" t="str">
            <v>&gt; 2</v>
          </cell>
          <cell r="AP21" t="str">
            <v>≥ 50%</v>
          </cell>
          <cell r="AQ21" t="str">
            <v>Europe</v>
          </cell>
          <cell r="AR21" t="str">
            <v>single country</v>
          </cell>
          <cell r="AT21" t="str">
            <v>Netherlands</v>
          </cell>
          <cell r="AU21" t="str">
            <v>single sector</v>
          </cell>
          <cell r="AV21" t="str">
            <v>Industrial / Logistics</v>
          </cell>
          <cell r="AW21">
            <v>250000000</v>
          </cell>
          <cell r="AX21">
            <v>250000000</v>
          </cell>
          <cell r="AY21">
            <v>2000</v>
          </cell>
          <cell r="BD21" t="str">
            <v>No</v>
          </cell>
          <cell r="BE21" t="str">
            <v>≥ 60%</v>
          </cell>
          <cell r="BF21" t="str">
            <v>≤ 15%</v>
          </cell>
          <cell r="BG21" t="str">
            <v>≤ 5%</v>
          </cell>
          <cell r="BH21" t="str">
            <v>2020-12-31</v>
          </cell>
          <cell r="BI21">
            <v>9880645</v>
          </cell>
          <cell r="BJ21">
            <v>9880645</v>
          </cell>
          <cell r="BK21">
            <v>0</v>
          </cell>
          <cell r="BL21">
            <v>0</v>
          </cell>
          <cell r="BM21">
            <v>0</v>
          </cell>
          <cell r="BN21" t="str">
            <v>No</v>
          </cell>
          <cell r="BO21" t="str">
            <v>External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V21" t="str">
            <v>No</v>
          </cell>
          <cell r="BW21" t="str">
            <v>Netherlands</v>
          </cell>
          <cell r="BX21" t="str">
            <v>Industrial / Logistics</v>
          </cell>
          <cell r="BY21">
            <v>3.9</v>
          </cell>
        </row>
        <row r="22">
          <cell r="A22">
            <v>26</v>
          </cell>
          <cell r="B22" t="str">
            <v>ALTERA VASTGOED RESIDENTIAL</v>
          </cell>
          <cell r="C22" t="str">
            <v>ALTERA VASTGOED N.V.</v>
          </cell>
          <cell r="D22" t="str">
            <v>PO Box 9220</v>
          </cell>
          <cell r="E22" t="str">
            <v>1180 ME</v>
          </cell>
          <cell r="F22" t="str">
            <v>Amstelveen</v>
          </cell>
          <cell r="G22" t="str">
            <v>Netherlands</v>
          </cell>
          <cell r="H22" t="str">
            <v>+31205452050</v>
          </cell>
          <cell r="I22" t="str">
            <v>+31205452060</v>
          </cell>
          <cell r="J22" t="str">
            <v>http://www.alteravastgoed.nl</v>
          </cell>
          <cell r="K22" t="str">
            <v>Jaap van der Bijl</v>
          </cell>
          <cell r="L22" t="str">
            <v>jaap.vanderbijl@alteravastgoed.nl</v>
          </cell>
          <cell r="M22" t="str">
            <v>+31205452050</v>
          </cell>
          <cell r="N22" t="str">
            <v>Mathijs Eikelenboom</v>
          </cell>
          <cell r="O22" t="str">
            <v>mathijs.eikelenboom@alteravastgoed.nl</v>
          </cell>
          <cell r="P22" t="str">
            <v>+31205452076</v>
          </cell>
          <cell r="Q22" t="str">
            <v>Netherlands</v>
          </cell>
          <cell r="R22" t="str">
            <v>EUR</v>
          </cell>
          <cell r="S22" t="str">
            <v>IFRS</v>
          </cell>
          <cell r="T22" t="str">
            <v>Quarterly</v>
          </cell>
          <cell r="U22" t="str">
            <v>Quarterly</v>
          </cell>
          <cell r="V22" t="str">
            <v>IVS</v>
          </cell>
          <cell r="W22" t="str">
            <v>INREV NAV</v>
          </cell>
          <cell r="X22" t="str">
            <v>Deloitte Accountants B.V.</v>
          </cell>
          <cell r="Y22" t="str">
            <v>NV</v>
          </cell>
          <cell r="Z22" t="str">
            <v>Yes</v>
          </cell>
          <cell r="AA22" t="str">
            <v>Yes</v>
          </cell>
          <cell r="AB22">
            <v>3</v>
          </cell>
          <cell r="AC22" t="str">
            <v>Non-Listed Fund</v>
          </cell>
          <cell r="AD22" t="str">
            <v>Core</v>
          </cell>
          <cell r="AE22" t="str">
            <v>infinite</v>
          </cell>
          <cell r="AF22" t="str">
            <v>Open end</v>
          </cell>
          <cell r="AJ22" t="str">
            <v>MSCI Netherlands Residential Property Index</v>
          </cell>
          <cell r="AL22">
            <v>0</v>
          </cell>
          <cell r="AM22" t="str">
            <v>≤ 40%</v>
          </cell>
          <cell r="AN22" t="str">
            <v>Institutional</v>
          </cell>
          <cell r="AO22" t="str">
            <v>&gt; 2</v>
          </cell>
          <cell r="AP22" t="str">
            <v>≥ 50%</v>
          </cell>
          <cell r="AQ22" t="str">
            <v>Europe</v>
          </cell>
          <cell r="AR22" t="str">
            <v>single country</v>
          </cell>
          <cell r="AT22" t="str">
            <v>Netherlands</v>
          </cell>
          <cell r="AU22" t="str">
            <v>single sector</v>
          </cell>
          <cell r="AV22" t="str">
            <v>Residential</v>
          </cell>
          <cell r="AW22">
            <v>2500000000</v>
          </cell>
          <cell r="AX22">
            <v>2500000000</v>
          </cell>
          <cell r="AY22">
            <v>2000</v>
          </cell>
          <cell r="BD22" t="str">
            <v>No</v>
          </cell>
          <cell r="BE22" t="str">
            <v>≥ 60%</v>
          </cell>
          <cell r="BF22" t="str">
            <v>≤ 15%</v>
          </cell>
          <cell r="BG22" t="str">
            <v>≤ 5%</v>
          </cell>
          <cell r="BH22" t="str">
            <v>2020-12-31</v>
          </cell>
          <cell r="BI22">
            <v>1939842828.0799999</v>
          </cell>
          <cell r="BJ22">
            <v>1939842828.0799999</v>
          </cell>
          <cell r="BK22">
            <v>1912759828.1199999</v>
          </cell>
          <cell r="BL22">
            <v>1912759828.1199999</v>
          </cell>
          <cell r="BM22">
            <v>0</v>
          </cell>
          <cell r="BN22" t="str">
            <v>No</v>
          </cell>
          <cell r="BO22" t="str">
            <v>External</v>
          </cell>
          <cell r="BP22">
            <v>37</v>
          </cell>
          <cell r="BQ22">
            <v>98</v>
          </cell>
          <cell r="BR22">
            <v>354800000</v>
          </cell>
          <cell r="BS22">
            <v>354800000</v>
          </cell>
          <cell r="BT22">
            <v>0</v>
          </cell>
          <cell r="BU22">
            <v>0</v>
          </cell>
          <cell r="BV22" t="str">
            <v>No</v>
          </cell>
          <cell r="BW22" t="str">
            <v>Netherlands</v>
          </cell>
          <cell r="BX22" t="str">
            <v>Residential</v>
          </cell>
          <cell r="BY22">
            <v>96.7</v>
          </cell>
        </row>
        <row r="23">
          <cell r="A23">
            <v>27</v>
          </cell>
          <cell r="B23" t="str">
            <v>ALTERA VASTGOED RETAIL</v>
          </cell>
          <cell r="C23" t="str">
            <v>ALTERA VASTGOED N.V.</v>
          </cell>
          <cell r="D23" t="str">
            <v>PO Box 9220</v>
          </cell>
          <cell r="E23" t="str">
            <v>1180 ME</v>
          </cell>
          <cell r="F23" t="str">
            <v>Amstelveen</v>
          </cell>
          <cell r="G23" t="str">
            <v>Netherlands</v>
          </cell>
          <cell r="H23" t="str">
            <v>+31205452050</v>
          </cell>
          <cell r="I23" t="str">
            <v>+31205452060</v>
          </cell>
          <cell r="J23" t="str">
            <v>http://www.alteravastgoed.nl</v>
          </cell>
          <cell r="K23" t="str">
            <v>Jaap van der Bijl</v>
          </cell>
          <cell r="L23" t="str">
            <v>jaap.vanderbijl@alteravastgoed.nl</v>
          </cell>
          <cell r="M23" t="str">
            <v>+31205452050</v>
          </cell>
          <cell r="N23" t="str">
            <v>Mathijs Eikelenboom</v>
          </cell>
          <cell r="O23" t="str">
            <v>mathijs.eikelenboom@alteravastgoed.nl</v>
          </cell>
          <cell r="P23" t="str">
            <v>+31205452076</v>
          </cell>
          <cell r="Q23" t="str">
            <v>Netherlands</v>
          </cell>
          <cell r="R23" t="str">
            <v>EUR</v>
          </cell>
          <cell r="S23" t="str">
            <v>IFRS</v>
          </cell>
          <cell r="T23" t="str">
            <v>Quarterly</v>
          </cell>
          <cell r="U23" t="str">
            <v>Quarterly</v>
          </cell>
          <cell r="V23" t="str">
            <v>IVS</v>
          </cell>
          <cell r="W23" t="str">
            <v>INREV NAV</v>
          </cell>
          <cell r="X23" t="str">
            <v>Deloitte Accountants B.V.</v>
          </cell>
          <cell r="Y23" t="str">
            <v>NV</v>
          </cell>
          <cell r="Z23" t="str">
            <v>Yes</v>
          </cell>
          <cell r="AA23" t="str">
            <v>Yes</v>
          </cell>
          <cell r="AB23">
            <v>3</v>
          </cell>
          <cell r="AC23" t="str">
            <v>Non-Listed Fund</v>
          </cell>
          <cell r="AD23" t="str">
            <v>Core</v>
          </cell>
          <cell r="AE23" t="str">
            <v>infinite</v>
          </cell>
          <cell r="AF23" t="str">
            <v>Open end</v>
          </cell>
          <cell r="AJ23" t="str">
            <v>MSCI Netherlands Retail Property Index</v>
          </cell>
          <cell r="AL23">
            <v>0</v>
          </cell>
          <cell r="AM23" t="str">
            <v>≤ 40%</v>
          </cell>
          <cell r="AN23" t="str">
            <v>Institutional</v>
          </cell>
          <cell r="AO23" t="str">
            <v>&gt; 2</v>
          </cell>
          <cell r="AP23" t="str">
            <v>≥ 50%</v>
          </cell>
          <cell r="AQ23" t="str">
            <v>Europe</v>
          </cell>
          <cell r="AR23" t="str">
            <v>single country</v>
          </cell>
          <cell r="AT23" t="str">
            <v>Netherlands</v>
          </cell>
          <cell r="AU23" t="str">
            <v>single sector</v>
          </cell>
          <cell r="AV23" t="str">
            <v>Retail</v>
          </cell>
          <cell r="AW23">
            <v>1000000000</v>
          </cell>
          <cell r="AX23">
            <v>1000000000</v>
          </cell>
          <cell r="AY23">
            <v>2000</v>
          </cell>
          <cell r="BD23" t="str">
            <v>No</v>
          </cell>
          <cell r="BE23" t="str">
            <v>≥ 60%</v>
          </cell>
          <cell r="BF23" t="str">
            <v>≤ 15%</v>
          </cell>
          <cell r="BG23" t="str">
            <v>≤ 5%</v>
          </cell>
          <cell r="BH23" t="str">
            <v>2020-12-31</v>
          </cell>
          <cell r="BI23">
            <v>667364446.27999997</v>
          </cell>
          <cell r="BJ23">
            <v>667364446.27999997</v>
          </cell>
          <cell r="BK23">
            <v>599924402.95000005</v>
          </cell>
          <cell r="BL23">
            <v>599924402.95000005</v>
          </cell>
          <cell r="BM23">
            <v>0</v>
          </cell>
          <cell r="BN23" t="str">
            <v>No</v>
          </cell>
          <cell r="BO23" t="str">
            <v>External</v>
          </cell>
          <cell r="BP23">
            <v>29</v>
          </cell>
          <cell r="BQ23">
            <v>42</v>
          </cell>
          <cell r="BR23">
            <v>0</v>
          </cell>
          <cell r="BS23">
            <v>0</v>
          </cell>
          <cell r="BT23">
            <v>0</v>
          </cell>
          <cell r="BV23" t="str">
            <v>No</v>
          </cell>
          <cell r="BW23" t="str">
            <v>Netherlands</v>
          </cell>
          <cell r="BX23" t="str">
            <v>Retail</v>
          </cell>
          <cell r="BY23">
            <v>96.6</v>
          </cell>
        </row>
        <row r="24">
          <cell r="A24">
            <v>19322</v>
          </cell>
          <cell r="B24" t="str">
            <v>ALTERSVORSORGE FONDS ALTER WALL</v>
          </cell>
          <cell r="C24" t="str">
            <v>DWS GRUNDBESITZ GMBH</v>
          </cell>
          <cell r="D24" t="str">
            <v>Mainzer Landstr. 11-17</v>
          </cell>
          <cell r="E24" t="str">
            <v xml:space="preserve">60329 </v>
          </cell>
          <cell r="F24" t="str">
            <v>Frankfurt am Main</v>
          </cell>
          <cell r="G24" t="str">
            <v>Germany</v>
          </cell>
          <cell r="K24" t="str">
            <v>Thomas Köhler</v>
          </cell>
          <cell r="L24" t="str">
            <v>thomas-d.koehler@dws.com</v>
          </cell>
          <cell r="M24" t="str">
            <v>+49 (69) 910 - 14934</v>
          </cell>
          <cell r="Q24" t="str">
            <v>Germany</v>
          </cell>
          <cell r="R24" t="str">
            <v>EUR</v>
          </cell>
          <cell r="S24" t="str">
            <v>HGB</v>
          </cell>
          <cell r="T24" t="str">
            <v>Annually</v>
          </cell>
          <cell r="U24" t="str">
            <v>Annually</v>
          </cell>
          <cell r="V24" t="str">
            <v>ImmoWertV</v>
          </cell>
          <cell r="W24" t="str">
            <v>KAGB</v>
          </cell>
          <cell r="X24" t="str">
            <v>KPMG</v>
          </cell>
          <cell r="Y24" t="str">
            <v>Publikumsfonds</v>
          </cell>
          <cell r="Z24" t="str">
            <v>No</v>
          </cell>
          <cell r="AC24" t="str">
            <v>Non-Listed Fund</v>
          </cell>
          <cell r="AD24" t="str">
            <v>Core</v>
          </cell>
          <cell r="AE24" t="str">
            <v>finite</v>
          </cell>
          <cell r="AF24" t="str">
            <v>Closed end</v>
          </cell>
          <cell r="AN24" t="str">
            <v>Retail</v>
          </cell>
          <cell r="AO24" t="str">
            <v>&gt; 2</v>
          </cell>
          <cell r="AP24" t="str">
            <v>&lt; 50%</v>
          </cell>
          <cell r="AQ24" t="str">
            <v>Europe</v>
          </cell>
          <cell r="AR24" t="str">
            <v>single country</v>
          </cell>
          <cell r="AT24" t="str">
            <v>Germany</v>
          </cell>
          <cell r="AU24" t="str">
            <v>single sector</v>
          </cell>
          <cell r="AV24" t="str">
            <v>Office</v>
          </cell>
          <cell r="AY24">
            <v>2001</v>
          </cell>
          <cell r="BH24" t="str">
            <v>2018-12-31</v>
          </cell>
          <cell r="BI24">
            <v>36500000</v>
          </cell>
          <cell r="BJ24">
            <v>36500000</v>
          </cell>
          <cell r="BK24">
            <v>26656000</v>
          </cell>
          <cell r="BL24">
            <v>26656000</v>
          </cell>
          <cell r="BM24">
            <v>34.22</v>
          </cell>
          <cell r="BN24" t="str">
            <v>Yes</v>
          </cell>
          <cell r="BO24" t="str">
            <v>External</v>
          </cell>
          <cell r="BS24">
            <v>0</v>
          </cell>
          <cell r="BV24" t="str">
            <v>No</v>
          </cell>
          <cell r="BW24" t="str">
            <v>Germany</v>
          </cell>
          <cell r="BX24" t="str">
            <v>Office</v>
          </cell>
          <cell r="BY24">
            <v>100</v>
          </cell>
        </row>
        <row r="25">
          <cell r="A25">
            <v>610</v>
          </cell>
          <cell r="B25" t="str">
            <v>AMSTAR GLOBAL PROPERTY FUND I, L.P.</v>
          </cell>
          <cell r="C25" t="str">
            <v>AMSTAR GLOBAL PARTNERS, LTD.</v>
          </cell>
          <cell r="D25" t="str">
            <v>2 Church Street</v>
          </cell>
          <cell r="E25" t="str">
            <v>HM 11</v>
          </cell>
          <cell r="F25" t="str">
            <v>Hamilton</v>
          </cell>
          <cell r="G25" t="str">
            <v>Bermuda</v>
          </cell>
          <cell r="H25" t="str">
            <v>+1 303-534-6322</v>
          </cell>
          <cell r="I25" t="str">
            <v>+1 303-534-6713</v>
          </cell>
          <cell r="J25" t="str">
            <v>http://www.amstar.com</v>
          </cell>
          <cell r="K25" t="str">
            <v>Jason Lucas</v>
          </cell>
          <cell r="L25" t="str">
            <v>jason.lucas@amstar.com</v>
          </cell>
          <cell r="M25" t="str">
            <v>+1 303-534-6322</v>
          </cell>
          <cell r="N25" t="str">
            <v>Jason Lucas</v>
          </cell>
          <cell r="O25" t="str">
            <v>jason.lucas@amstar.com</v>
          </cell>
          <cell r="P25" t="str">
            <v>+1 303-534-6713</v>
          </cell>
          <cell r="Q25" t="str">
            <v>Bermuda</v>
          </cell>
          <cell r="R25" t="str">
            <v>EUR</v>
          </cell>
          <cell r="S25" t="str">
            <v>US GAAP</v>
          </cell>
          <cell r="T25" t="str">
            <v>Annually</v>
          </cell>
          <cell r="U25" t="str">
            <v>Annually</v>
          </cell>
          <cell r="X25" t="str">
            <v>PriceWaterhouseCoopers</v>
          </cell>
          <cell r="Y25" t="str">
            <v>Closed Ended Fund</v>
          </cell>
          <cell r="Z25" t="str">
            <v>Yes</v>
          </cell>
          <cell r="AA25" t="str">
            <v>Yes</v>
          </cell>
          <cell r="AB25">
            <v>3</v>
          </cell>
          <cell r="AC25" t="str">
            <v>Non-Listed Fund</v>
          </cell>
          <cell r="AD25" t="str">
            <v>Opportunity</v>
          </cell>
          <cell r="AE25" t="str">
            <v>finite</v>
          </cell>
          <cell r="AF25" t="str">
            <v>Closed end</v>
          </cell>
          <cell r="AG25">
            <v>25</v>
          </cell>
          <cell r="AH25">
            <v>30</v>
          </cell>
          <cell r="AI25" t="str">
            <v>Gross</v>
          </cell>
          <cell r="AJ25" t="str">
            <v>n/a</v>
          </cell>
          <cell r="AK25">
            <v>5</v>
          </cell>
          <cell r="AL25">
            <v>60</v>
          </cell>
          <cell r="AM25" t="str">
            <v>&gt; 60%</v>
          </cell>
          <cell r="AN25" t="str">
            <v>Institutional</v>
          </cell>
          <cell r="AO25" t="str">
            <v>&gt; 2</v>
          </cell>
          <cell r="AP25" t="str">
            <v>≥ 50%</v>
          </cell>
          <cell r="AQ25" t="str">
            <v>Global</v>
          </cell>
          <cell r="AR25" t="str">
            <v>multi country</v>
          </cell>
          <cell r="AU25" t="str">
            <v>multi sector</v>
          </cell>
          <cell r="AW25">
            <v>214000000</v>
          </cell>
          <cell r="AX25">
            <v>380000000</v>
          </cell>
          <cell r="AY25">
            <v>2007</v>
          </cell>
          <cell r="AZ25">
            <v>2017</v>
          </cell>
          <cell r="BA25" t="str">
            <v>Yes</v>
          </cell>
          <cell r="BB25" t="str">
            <v>Yes</v>
          </cell>
          <cell r="BC25" t="str">
            <v>1+1 years</v>
          </cell>
          <cell r="BH25" t="str">
            <v>2015-06-30</v>
          </cell>
          <cell r="BI25">
            <v>196138858</v>
          </cell>
          <cell r="BJ25">
            <v>196138858</v>
          </cell>
          <cell r="BK25">
            <v>114013424</v>
          </cell>
          <cell r="BL25">
            <v>114013424</v>
          </cell>
          <cell r="BM25">
            <v>41.9</v>
          </cell>
          <cell r="BN25" t="str">
            <v>No</v>
          </cell>
          <cell r="BO25" t="str">
            <v>Internal</v>
          </cell>
          <cell r="BP25">
            <v>12</v>
          </cell>
          <cell r="BQ25">
            <v>5</v>
          </cell>
          <cell r="BR25">
            <v>213757521</v>
          </cell>
          <cell r="BS25">
            <v>213757521</v>
          </cell>
          <cell r="BT25">
            <v>155493319</v>
          </cell>
          <cell r="BU25">
            <v>155493319</v>
          </cell>
          <cell r="BV25" t="str">
            <v>No</v>
          </cell>
          <cell r="BW25" t="str">
            <v>Turkey</v>
          </cell>
          <cell r="BX25" t="str">
            <v>Retail</v>
          </cell>
          <cell r="BY25">
            <v>64.3</v>
          </cell>
          <cell r="BZ25" t="str">
            <v>Russia</v>
          </cell>
          <cell r="CA25" t="str">
            <v>Industrial / Logistics</v>
          </cell>
          <cell r="CB25">
            <v>19.3</v>
          </cell>
          <cell r="CC25" t="str">
            <v>Russia</v>
          </cell>
          <cell r="CD25" t="str">
            <v>Other</v>
          </cell>
          <cell r="CE25">
            <v>5.7</v>
          </cell>
          <cell r="CF25" t="str">
            <v>India</v>
          </cell>
          <cell r="CG25" t="str">
            <v>Hotel</v>
          </cell>
          <cell r="CH25">
            <v>6.3</v>
          </cell>
        </row>
        <row r="26">
          <cell r="A26">
            <v>609</v>
          </cell>
          <cell r="B26" t="str">
            <v>AMSTAR GLOBAL PROPERTY FUND II, L.P.</v>
          </cell>
          <cell r="C26" t="str">
            <v>AMSTAR GLOBAL PARTNERS, LTD.</v>
          </cell>
          <cell r="D26" t="str">
            <v>2 Church Street</v>
          </cell>
          <cell r="E26" t="str">
            <v>HM 11</v>
          </cell>
          <cell r="F26" t="str">
            <v>Hamilton</v>
          </cell>
          <cell r="G26" t="str">
            <v>Bermuda</v>
          </cell>
          <cell r="H26" t="str">
            <v>+1 303-534-6322</v>
          </cell>
          <cell r="I26" t="str">
            <v>+1 303-534-6713</v>
          </cell>
          <cell r="J26" t="str">
            <v>http://www.amstar.com</v>
          </cell>
          <cell r="K26" t="str">
            <v>Jason Lucas</v>
          </cell>
          <cell r="L26" t="str">
            <v>jason.lucas@amstar.com</v>
          </cell>
          <cell r="M26" t="str">
            <v>+1 303-534-6322</v>
          </cell>
          <cell r="N26" t="str">
            <v>Jason Lucas</v>
          </cell>
          <cell r="O26" t="str">
            <v>jason.lucas@amstar.com</v>
          </cell>
          <cell r="P26" t="str">
            <v>+1 303-534-6713</v>
          </cell>
          <cell r="Q26" t="str">
            <v>Bermuda</v>
          </cell>
          <cell r="R26" t="str">
            <v>EUR</v>
          </cell>
          <cell r="S26" t="str">
            <v>US GAAP</v>
          </cell>
          <cell r="T26" t="str">
            <v>Annually</v>
          </cell>
          <cell r="U26" t="str">
            <v>Annually</v>
          </cell>
          <cell r="X26" t="str">
            <v>PriceWaterhouseCoopers</v>
          </cell>
          <cell r="Y26" t="str">
            <v>Closed Ended Fund</v>
          </cell>
          <cell r="Z26" t="str">
            <v>Yes</v>
          </cell>
          <cell r="AA26" t="str">
            <v>Yes</v>
          </cell>
          <cell r="AB26">
            <v>5</v>
          </cell>
          <cell r="AC26" t="str">
            <v>Non-Listed Fund</v>
          </cell>
          <cell r="AD26" t="str">
            <v>Opportunity</v>
          </cell>
          <cell r="AE26" t="str">
            <v>finite</v>
          </cell>
          <cell r="AF26" t="str">
            <v>Closed end</v>
          </cell>
          <cell r="AG26">
            <v>25</v>
          </cell>
          <cell r="AH26">
            <v>30</v>
          </cell>
          <cell r="AI26" t="str">
            <v>Gross</v>
          </cell>
          <cell r="AJ26" t="str">
            <v>n/a</v>
          </cell>
          <cell r="AK26">
            <v>10</v>
          </cell>
          <cell r="AL26">
            <v>60</v>
          </cell>
          <cell r="AM26" t="str">
            <v>&gt; 60%</v>
          </cell>
          <cell r="AN26" t="str">
            <v>Institutional</v>
          </cell>
          <cell r="AO26" t="str">
            <v>&gt; 2</v>
          </cell>
          <cell r="AP26" t="str">
            <v>≥ 50%</v>
          </cell>
          <cell r="AQ26" t="str">
            <v>Europe</v>
          </cell>
          <cell r="AR26" t="str">
            <v>single country</v>
          </cell>
          <cell r="AT26" t="str">
            <v>Turkey</v>
          </cell>
          <cell r="AU26" t="str">
            <v>single sector</v>
          </cell>
          <cell r="AV26" t="str">
            <v>Retail</v>
          </cell>
          <cell r="AW26">
            <v>95000000</v>
          </cell>
          <cell r="AX26">
            <v>250000000</v>
          </cell>
          <cell r="AY26">
            <v>2011</v>
          </cell>
          <cell r="AZ26">
            <v>2017</v>
          </cell>
          <cell r="BA26" t="str">
            <v>Yes</v>
          </cell>
          <cell r="BB26" t="str">
            <v>Yes</v>
          </cell>
          <cell r="BC26" t="str">
            <v>1+1 years</v>
          </cell>
          <cell r="BH26" t="str">
            <v>2015-03-31</v>
          </cell>
          <cell r="BI26">
            <v>228066591</v>
          </cell>
          <cell r="BJ26">
            <v>228066591</v>
          </cell>
          <cell r="BK26">
            <v>122667310</v>
          </cell>
          <cell r="BL26">
            <v>122667310</v>
          </cell>
          <cell r="BM26">
            <v>46.21</v>
          </cell>
          <cell r="BN26" t="str">
            <v>No</v>
          </cell>
          <cell r="BO26" t="str">
            <v>Internal</v>
          </cell>
          <cell r="BP26">
            <v>12</v>
          </cell>
          <cell r="BQ26">
            <v>3</v>
          </cell>
          <cell r="BR26">
            <v>95000000</v>
          </cell>
          <cell r="BS26">
            <v>95000000</v>
          </cell>
          <cell r="BT26">
            <v>54885000</v>
          </cell>
          <cell r="BU26">
            <v>54885000</v>
          </cell>
          <cell r="BV26" t="str">
            <v>No</v>
          </cell>
          <cell r="BW26" t="str">
            <v>Turkey</v>
          </cell>
          <cell r="BX26" t="str">
            <v>Retail</v>
          </cell>
          <cell r="BY26">
            <v>98.7</v>
          </cell>
        </row>
        <row r="27">
          <cell r="A27">
            <v>17488</v>
          </cell>
          <cell r="B27" t="str">
            <v>AMSTAR POLAND PROPERTY FUND I, L.P.</v>
          </cell>
          <cell r="C27" t="str">
            <v>AMSTAR GLOBAL PARTNERS, LTD.</v>
          </cell>
          <cell r="D27" t="str">
            <v>48 Par-la-Ville Road, Suite 203</v>
          </cell>
          <cell r="E27" t="str">
            <v>HM11</v>
          </cell>
          <cell r="F27" t="str">
            <v>Hamilton</v>
          </cell>
          <cell r="G27" t="str">
            <v>Bermuda</v>
          </cell>
          <cell r="H27" t="str">
            <v>+1 441 298 2600</v>
          </cell>
          <cell r="J27" t="str">
            <v>http://www.amstar.com/</v>
          </cell>
          <cell r="N27" t="str">
            <v>Jason Lucas</v>
          </cell>
          <cell r="O27" t="str">
            <v>jason.lucas@amstar.com</v>
          </cell>
          <cell r="P27" t="str">
            <v>+44 (0) 20 7590 3065</v>
          </cell>
          <cell r="Q27" t="str">
            <v>Cayman Islands</v>
          </cell>
          <cell r="R27" t="str">
            <v>EUR</v>
          </cell>
          <cell r="S27" t="str">
            <v>US GAAP</v>
          </cell>
          <cell r="T27" t="str">
            <v>Quarterly</v>
          </cell>
          <cell r="U27" t="str">
            <v>Annually</v>
          </cell>
          <cell r="X27" t="str">
            <v>PriceWaterhouseCoopers</v>
          </cell>
          <cell r="Y27" t="str">
            <v>Closed Ended Fund</v>
          </cell>
          <cell r="Z27" t="str">
            <v>No</v>
          </cell>
          <cell r="AA27" t="str">
            <v>Yes</v>
          </cell>
          <cell r="AB27">
            <v>6</v>
          </cell>
          <cell r="AC27" t="str">
            <v>Non-Listed Fund</v>
          </cell>
          <cell r="AD27" t="str">
            <v>Opportunity</v>
          </cell>
          <cell r="AE27" t="str">
            <v>finite</v>
          </cell>
          <cell r="AF27" t="str">
            <v>Closed end</v>
          </cell>
          <cell r="AG27">
            <v>25</v>
          </cell>
          <cell r="AH27">
            <v>30</v>
          </cell>
          <cell r="AI27" t="str">
            <v>Gross</v>
          </cell>
          <cell r="AJ27" t="str">
            <v>n/a</v>
          </cell>
          <cell r="AL27">
            <v>55</v>
          </cell>
          <cell r="AM27" t="str">
            <v>&gt; 60%</v>
          </cell>
          <cell r="AN27" t="str">
            <v>Institutional</v>
          </cell>
          <cell r="AO27" t="str">
            <v>&gt; 2</v>
          </cell>
          <cell r="AP27" t="str">
            <v>≥ 50%</v>
          </cell>
          <cell r="AQ27" t="str">
            <v>Europe</v>
          </cell>
          <cell r="AR27" t="str">
            <v>single country</v>
          </cell>
          <cell r="AT27" t="str">
            <v>Poland</v>
          </cell>
          <cell r="AU27" t="str">
            <v>single sector</v>
          </cell>
          <cell r="AV27" t="str">
            <v>Residential</v>
          </cell>
          <cell r="AW27">
            <v>84480000</v>
          </cell>
          <cell r="AY27">
            <v>2014</v>
          </cell>
          <cell r="AZ27">
            <v>2017</v>
          </cell>
          <cell r="BA27" t="str">
            <v>Yes</v>
          </cell>
          <cell r="BB27" t="str">
            <v>Yes</v>
          </cell>
          <cell r="BC27" t="str">
            <v>1+1 years</v>
          </cell>
          <cell r="BH27" t="str">
            <v>2015-06-30</v>
          </cell>
          <cell r="BI27">
            <v>76900100</v>
          </cell>
          <cell r="BJ27">
            <v>76900100</v>
          </cell>
          <cell r="BK27">
            <v>77365723</v>
          </cell>
          <cell r="BL27">
            <v>77365723</v>
          </cell>
          <cell r="BM27">
            <v>0</v>
          </cell>
          <cell r="BN27" t="str">
            <v>No</v>
          </cell>
          <cell r="BO27" t="str">
            <v>Internal</v>
          </cell>
          <cell r="BP27">
            <v>11</v>
          </cell>
          <cell r="BQ27">
            <v>1</v>
          </cell>
          <cell r="BR27">
            <v>84480000</v>
          </cell>
          <cell r="BS27">
            <v>84480000</v>
          </cell>
          <cell r="BT27">
            <v>76375000</v>
          </cell>
          <cell r="BU27">
            <v>76375000</v>
          </cell>
          <cell r="BV27" t="str">
            <v>No</v>
          </cell>
          <cell r="BW27" t="str">
            <v>Poland</v>
          </cell>
          <cell r="BX27" t="str">
            <v>Residential</v>
          </cell>
          <cell r="BY27">
            <v>99.4</v>
          </cell>
        </row>
        <row r="28">
          <cell r="A28">
            <v>19266</v>
          </cell>
          <cell r="B28" t="str">
            <v>AMUNDI REAL ESTATE PRIME EUROPE</v>
          </cell>
          <cell r="C28" t="str">
            <v>AMUNDI LUXEMBOURG</v>
          </cell>
          <cell r="D28" t="str">
            <v>5, Allée Scheffer</v>
          </cell>
          <cell r="E28" t="str">
            <v>L-2520</v>
          </cell>
          <cell r="F28" t="str">
            <v>Luxembourg</v>
          </cell>
          <cell r="G28" t="str">
            <v>Luxembourg</v>
          </cell>
          <cell r="J28" t="str">
            <v>https://www.amundi.com</v>
          </cell>
          <cell r="K28" t="str">
            <v>Benjamin Launay</v>
          </cell>
          <cell r="L28" t="str">
            <v>benjamin.launay@amundi.com</v>
          </cell>
          <cell r="N28" t="str">
            <v>Nathalie Hannon</v>
          </cell>
          <cell r="O28" t="str">
            <v>nathalie.hannon@amundi.com</v>
          </cell>
          <cell r="Q28" t="str">
            <v>Luxembourg</v>
          </cell>
          <cell r="R28" t="str">
            <v>EUR</v>
          </cell>
          <cell r="S28" t="str">
            <v>Local GAAP</v>
          </cell>
          <cell r="T28" t="str">
            <v>Quarterly</v>
          </cell>
          <cell r="U28" t="str">
            <v>Twice per year</v>
          </cell>
          <cell r="V28" t="str">
            <v>Fair Market Value</v>
          </cell>
          <cell r="W28" t="str">
            <v>INREV NAV</v>
          </cell>
          <cell r="X28" t="str">
            <v>Ernst and Young</v>
          </cell>
          <cell r="Y28" t="str">
            <v>Limited Partnership</v>
          </cell>
          <cell r="Z28" t="str">
            <v>Yes</v>
          </cell>
          <cell r="AA28" t="str">
            <v>No</v>
          </cell>
          <cell r="AC28" t="str">
            <v>Non-Listed Fund</v>
          </cell>
          <cell r="AD28" t="str">
            <v>Core</v>
          </cell>
          <cell r="AE28" t="str">
            <v>infinite</v>
          </cell>
          <cell r="AF28" t="str">
            <v>Open end</v>
          </cell>
          <cell r="AG28">
            <v>6</v>
          </cell>
          <cell r="AH28">
            <v>7</v>
          </cell>
          <cell r="AI28" t="str">
            <v>Net</v>
          </cell>
          <cell r="AK28">
            <v>4.5</v>
          </cell>
          <cell r="AL28">
            <v>45</v>
          </cell>
          <cell r="AM28" t="str">
            <v>&gt; 40% - ≤ 60%</v>
          </cell>
          <cell r="AN28" t="str">
            <v>Institutional</v>
          </cell>
          <cell r="AO28" t="str">
            <v>&gt; 2</v>
          </cell>
          <cell r="AP28" t="str">
            <v>≥ 50%</v>
          </cell>
          <cell r="AQ28" t="str">
            <v>Europe</v>
          </cell>
          <cell r="AR28" t="str">
            <v>multi country</v>
          </cell>
          <cell r="AS28" t="str">
            <v>Europe</v>
          </cell>
          <cell r="AU28" t="str">
            <v>multi sector</v>
          </cell>
          <cell r="AW28">
            <v>500000000</v>
          </cell>
          <cell r="AX28">
            <v>1000000000</v>
          </cell>
          <cell r="AY28">
            <v>2019</v>
          </cell>
          <cell r="BA28" t="str">
            <v>No</v>
          </cell>
          <cell r="BD28" t="str">
            <v>No</v>
          </cell>
          <cell r="BE28" t="str">
            <v>≥ 60%</v>
          </cell>
          <cell r="BF28" t="str">
            <v>≤ 15%</v>
          </cell>
          <cell r="BG28" t="str">
            <v>&gt; 5 - ≤ 25%</v>
          </cell>
          <cell r="BH28" t="str">
            <v>2020-12-31</v>
          </cell>
          <cell r="BI28">
            <v>272040000</v>
          </cell>
          <cell r="BJ28">
            <v>272040000</v>
          </cell>
          <cell r="BK28">
            <v>142559324</v>
          </cell>
          <cell r="BL28">
            <v>142559324</v>
          </cell>
          <cell r="BM28">
            <v>43.7</v>
          </cell>
          <cell r="BN28" t="str">
            <v>No</v>
          </cell>
          <cell r="BO28" t="str">
            <v>External</v>
          </cell>
          <cell r="BP28">
            <v>13</v>
          </cell>
          <cell r="BQ28">
            <v>3</v>
          </cell>
          <cell r="BR28">
            <v>190558000</v>
          </cell>
          <cell r="BS28">
            <v>190558000</v>
          </cell>
          <cell r="BT28">
            <v>126783000</v>
          </cell>
          <cell r="BU28">
            <v>126783000</v>
          </cell>
          <cell r="BV28" t="str">
            <v>Yes</v>
          </cell>
          <cell r="BW28" t="str">
            <v>Germany</v>
          </cell>
          <cell r="BX28" t="str">
            <v>Hotel</v>
          </cell>
          <cell r="BY28">
            <v>32</v>
          </cell>
          <cell r="BZ28" t="str">
            <v>Germany</v>
          </cell>
          <cell r="CA28" t="str">
            <v>Retail</v>
          </cell>
          <cell r="CB28">
            <v>17</v>
          </cell>
          <cell r="CC28" t="str">
            <v>Germany</v>
          </cell>
          <cell r="CD28" t="str">
            <v>Office</v>
          </cell>
          <cell r="CE28">
            <v>51</v>
          </cell>
        </row>
        <row r="29">
          <cell r="A29">
            <v>19273</v>
          </cell>
          <cell r="B29" t="str">
            <v>AMVEST LIVING AND CARE FUND</v>
          </cell>
          <cell r="C29" t="str">
            <v>AMVEST REIM B.V.</v>
          </cell>
          <cell r="D29" t="str">
            <v>Zeeburgerkade 1184</v>
          </cell>
          <cell r="E29" t="str">
            <v>1019 VK</v>
          </cell>
          <cell r="F29" t="str">
            <v>Amsterdam</v>
          </cell>
          <cell r="G29" t="str">
            <v>Netherlands</v>
          </cell>
          <cell r="K29" t="str">
            <v>Jordy Inden</v>
          </cell>
          <cell r="L29" t="str">
            <v>jinden@amvest.nl</v>
          </cell>
          <cell r="M29" t="str">
            <v>+31615264899</v>
          </cell>
          <cell r="N29" t="str">
            <v>Mark Nieuwenbroek</v>
          </cell>
          <cell r="O29" t="str">
            <v>mnieuwenbroek@amvest.nl</v>
          </cell>
          <cell r="Q29" t="str">
            <v>Netherlands</v>
          </cell>
          <cell r="R29" t="str">
            <v>EUR</v>
          </cell>
          <cell r="S29" t="str">
            <v>IFRS</v>
          </cell>
          <cell r="T29" t="str">
            <v>Quarterly</v>
          </cell>
          <cell r="U29" t="str">
            <v>Quarterly</v>
          </cell>
          <cell r="V29" t="str">
            <v>RICS</v>
          </cell>
          <cell r="W29" t="str">
            <v>INREV NAV</v>
          </cell>
          <cell r="X29" t="str">
            <v>KPMG</v>
          </cell>
          <cell r="Y29" t="str">
            <v>Real Estate Fund</v>
          </cell>
          <cell r="Z29" t="str">
            <v>Yes</v>
          </cell>
          <cell r="AC29" t="str">
            <v>Non-Listed Fund</v>
          </cell>
          <cell r="AD29" t="str">
            <v>Core</v>
          </cell>
          <cell r="AE29" t="str">
            <v>infinite</v>
          </cell>
          <cell r="AF29" t="str">
            <v>Open end</v>
          </cell>
          <cell r="AN29" t="str">
            <v>Institutional</v>
          </cell>
          <cell r="AO29" t="str">
            <v>≤ 2</v>
          </cell>
          <cell r="AP29" t="str">
            <v>≥ 50%</v>
          </cell>
          <cell r="AQ29" t="str">
            <v>Europe</v>
          </cell>
          <cell r="AR29" t="str">
            <v>single country</v>
          </cell>
          <cell r="AT29" t="str">
            <v>Netherlands</v>
          </cell>
          <cell r="AU29" t="str">
            <v>single sector</v>
          </cell>
          <cell r="AV29" t="str">
            <v>Health Care</v>
          </cell>
          <cell r="AY29">
            <v>2016</v>
          </cell>
          <cell r="BE29" t="str">
            <v>≥ 60%</v>
          </cell>
          <cell r="BF29" t="str">
            <v>&gt; 15% - ≤ 40%</v>
          </cell>
          <cell r="BG29" t="str">
            <v>&gt; 25%</v>
          </cell>
          <cell r="BH29" t="str">
            <v>2020-12-31</v>
          </cell>
          <cell r="BI29">
            <v>327321000</v>
          </cell>
          <cell r="BJ29">
            <v>327321000</v>
          </cell>
          <cell r="BK29">
            <v>321900000</v>
          </cell>
          <cell r="BL29">
            <v>321900000</v>
          </cell>
          <cell r="BM29">
            <v>0</v>
          </cell>
          <cell r="BN29" t="str">
            <v>No</v>
          </cell>
          <cell r="BO29" t="str">
            <v>External</v>
          </cell>
          <cell r="BP29">
            <v>2</v>
          </cell>
          <cell r="BQ29">
            <v>69</v>
          </cell>
          <cell r="BR29">
            <v>227688642</v>
          </cell>
          <cell r="BS29">
            <v>227688642</v>
          </cell>
          <cell r="BT29">
            <v>272311358</v>
          </cell>
          <cell r="BU29">
            <v>272311358</v>
          </cell>
          <cell r="BV29" t="str">
            <v>Yes</v>
          </cell>
          <cell r="BW29" t="str">
            <v>Netherlands</v>
          </cell>
          <cell r="BX29" t="str">
            <v>Health Care</v>
          </cell>
          <cell r="BY29">
            <v>96.3</v>
          </cell>
        </row>
        <row r="30">
          <cell r="A30">
            <v>16092</v>
          </cell>
          <cell r="B30" t="str">
            <v>AMVEST RESIDENTIAL CORE FUND</v>
          </cell>
          <cell r="C30" t="str">
            <v>AMVEST REIM B.V.</v>
          </cell>
          <cell r="D30" t="str">
            <v>Zeeburgerkade 1184</v>
          </cell>
          <cell r="E30" t="str">
            <v>1019 VK</v>
          </cell>
          <cell r="F30" t="str">
            <v>Amsterdam</v>
          </cell>
          <cell r="G30" t="str">
            <v>Netherlands</v>
          </cell>
          <cell r="K30" t="str">
            <v>Jordy Inden</v>
          </cell>
          <cell r="L30" t="str">
            <v>jinden@amvest.nl</v>
          </cell>
          <cell r="M30" t="str">
            <v>+31204301228</v>
          </cell>
          <cell r="N30" t="str">
            <v>Mark Nieuwenbroek</v>
          </cell>
          <cell r="O30" t="str">
            <v>mnieuwenbroek@amvest.nl</v>
          </cell>
          <cell r="Q30" t="str">
            <v>Netherlands</v>
          </cell>
          <cell r="R30" t="str">
            <v>EUR</v>
          </cell>
          <cell r="S30" t="str">
            <v>IFRS</v>
          </cell>
          <cell r="T30" t="str">
            <v>Quarterly</v>
          </cell>
          <cell r="U30" t="str">
            <v>Quarterly</v>
          </cell>
          <cell r="V30" t="str">
            <v>RICS</v>
          </cell>
          <cell r="W30" t="str">
            <v>INREV NAV</v>
          </cell>
          <cell r="X30" t="str">
            <v>KPMG</v>
          </cell>
          <cell r="Y30" t="str">
            <v>Real Estate Fund</v>
          </cell>
          <cell r="Z30" t="str">
            <v>Yes</v>
          </cell>
          <cell r="AC30" t="str">
            <v>Non-Listed Fund</v>
          </cell>
          <cell r="AD30" t="str">
            <v>Core</v>
          </cell>
          <cell r="AE30" t="str">
            <v>finite</v>
          </cell>
          <cell r="AF30" t="str">
            <v>Open end</v>
          </cell>
          <cell r="AM30" t="str">
            <v>≤ 40%</v>
          </cell>
          <cell r="AN30" t="str">
            <v>Institutional</v>
          </cell>
          <cell r="AO30" t="str">
            <v>&gt; 2</v>
          </cell>
          <cell r="AP30" t="str">
            <v>≥ 50%</v>
          </cell>
          <cell r="AQ30" t="str">
            <v>Europe</v>
          </cell>
          <cell r="AR30" t="str">
            <v>single country</v>
          </cell>
          <cell r="AT30" t="str">
            <v>Netherlands</v>
          </cell>
          <cell r="AU30" t="str">
            <v>single sector</v>
          </cell>
          <cell r="AV30" t="str">
            <v>Residential</v>
          </cell>
          <cell r="AY30">
            <v>2010</v>
          </cell>
          <cell r="AZ30">
            <v>2026</v>
          </cell>
          <cell r="BA30" t="str">
            <v>Yes</v>
          </cell>
          <cell r="BB30" t="str">
            <v>Yes</v>
          </cell>
          <cell r="BC30" t="str">
            <v>4 years fixed</v>
          </cell>
          <cell r="BE30" t="str">
            <v>≥ 60%</v>
          </cell>
          <cell r="BF30" t="str">
            <v>&gt; 15% - ≤ 40%</v>
          </cell>
          <cell r="BG30" t="str">
            <v>&gt; 5 - ≤ 25%</v>
          </cell>
          <cell r="BH30" t="str">
            <v>2020-12-31</v>
          </cell>
          <cell r="BI30">
            <v>3911450000</v>
          </cell>
          <cell r="BJ30">
            <v>3911450000</v>
          </cell>
          <cell r="BK30">
            <v>3185221000</v>
          </cell>
          <cell r="BL30">
            <v>3185221000</v>
          </cell>
          <cell r="BM30">
            <v>16</v>
          </cell>
          <cell r="BN30" t="str">
            <v>No</v>
          </cell>
          <cell r="BO30" t="str">
            <v>External</v>
          </cell>
          <cell r="BP30">
            <v>24</v>
          </cell>
          <cell r="BQ30">
            <v>219</v>
          </cell>
          <cell r="BR30">
            <v>385502791</v>
          </cell>
          <cell r="BS30">
            <v>385502791</v>
          </cell>
          <cell r="BT30">
            <v>0</v>
          </cell>
          <cell r="BU30">
            <v>0</v>
          </cell>
          <cell r="BV30" t="str">
            <v>No</v>
          </cell>
          <cell r="BW30" t="str">
            <v>Netherlands</v>
          </cell>
          <cell r="BX30" t="str">
            <v>Retail</v>
          </cell>
          <cell r="BY30">
            <v>1.5</v>
          </cell>
          <cell r="BZ30" t="str">
            <v>Netherlands</v>
          </cell>
          <cell r="CA30" t="str">
            <v>Residential</v>
          </cell>
          <cell r="CB30">
            <v>97.9</v>
          </cell>
        </row>
        <row r="31">
          <cell r="A31">
            <v>563</v>
          </cell>
          <cell r="B31" t="str">
            <v>ANASTASIA FUND</v>
          </cell>
          <cell r="C31" t="str">
            <v>PRELIOS SGR S.P.A.</v>
          </cell>
          <cell r="D31" t="str">
            <v>Viale Piero e Alberto Pirelli, 21</v>
          </cell>
          <cell r="E31">
            <v>20126</v>
          </cell>
          <cell r="F31" t="str">
            <v>Milano</v>
          </cell>
          <cell r="G31" t="str">
            <v>Italy</v>
          </cell>
          <cell r="H31" t="str">
            <v>+39 02 62811</v>
          </cell>
          <cell r="I31" t="str">
            <v>+39 02 6281 6061</v>
          </cell>
          <cell r="J31" t="str">
            <v>http://www.Pirelliresgr.com</v>
          </cell>
          <cell r="K31" t="str">
            <v>Gloria Bonavita</v>
          </cell>
          <cell r="L31" t="str">
            <v>gloria.bonavita@preliossgr.com</v>
          </cell>
          <cell r="M31" t="str">
            <v>+39 02 6281 25688</v>
          </cell>
          <cell r="N31" t="str">
            <v>Massimo Tagliabue</v>
          </cell>
          <cell r="O31" t="str">
            <v>massimo.tagliabue@preliossgr.com</v>
          </cell>
          <cell r="P31" t="str">
            <v>+39 02 6281 6061</v>
          </cell>
          <cell r="Q31" t="str">
            <v>Italy</v>
          </cell>
          <cell r="R31" t="str">
            <v>EUR</v>
          </cell>
          <cell r="S31" t="str">
            <v>Local GAAP</v>
          </cell>
          <cell r="T31" t="str">
            <v>Twice per year</v>
          </cell>
          <cell r="U31" t="str">
            <v>Twice per year</v>
          </cell>
          <cell r="X31" t="str">
            <v>PriceWaterhouseCoopers</v>
          </cell>
          <cell r="Y31" t="str">
            <v>Closed Ended Fund</v>
          </cell>
          <cell r="Z31" t="str">
            <v>No</v>
          </cell>
          <cell r="AA31" t="str">
            <v>No</v>
          </cell>
          <cell r="AB31">
            <v>0</v>
          </cell>
          <cell r="AC31" t="str">
            <v>Non-Listed Fund</v>
          </cell>
          <cell r="AD31" t="str">
            <v>Core</v>
          </cell>
          <cell r="AE31" t="str">
            <v>finite</v>
          </cell>
          <cell r="AF31" t="str">
            <v>Closed end</v>
          </cell>
          <cell r="AG31">
            <v>6.5</v>
          </cell>
          <cell r="AH31">
            <v>6.5</v>
          </cell>
          <cell r="AI31" t="str">
            <v>Net</v>
          </cell>
          <cell r="AK31">
            <v>7</v>
          </cell>
          <cell r="AL31">
            <v>50</v>
          </cell>
          <cell r="AM31" t="str">
            <v>&gt; 40% - ≤ 60%</v>
          </cell>
          <cell r="AN31" t="str">
            <v>Institutional</v>
          </cell>
          <cell r="AO31" t="str">
            <v>&gt; 2</v>
          </cell>
          <cell r="AP31" t="str">
            <v>≥ 50%</v>
          </cell>
          <cell r="AQ31" t="str">
            <v>Europe</v>
          </cell>
          <cell r="AR31" t="str">
            <v>single country</v>
          </cell>
          <cell r="AT31" t="str">
            <v>Italy</v>
          </cell>
          <cell r="AU31" t="str">
            <v>single sector</v>
          </cell>
          <cell r="AV31" t="str">
            <v>Office</v>
          </cell>
          <cell r="AW31">
            <v>140000000</v>
          </cell>
          <cell r="AX31">
            <v>321000000</v>
          </cell>
          <cell r="AY31">
            <v>2010</v>
          </cell>
          <cell r="AZ31">
            <v>2020</v>
          </cell>
          <cell r="BA31" t="str">
            <v>Yes</v>
          </cell>
          <cell r="BB31" t="str">
            <v>Yes</v>
          </cell>
          <cell r="BC31" t="str">
            <v>3 years</v>
          </cell>
          <cell r="BH31" t="str">
            <v>2020-06-30</v>
          </cell>
          <cell r="BI31">
            <v>31444779</v>
          </cell>
          <cell r="BJ31">
            <v>31444779</v>
          </cell>
          <cell r="BK31">
            <v>29539070</v>
          </cell>
          <cell r="BL31">
            <v>29539070</v>
          </cell>
          <cell r="BM31">
            <v>0</v>
          </cell>
          <cell r="BP31">
            <v>12</v>
          </cell>
          <cell r="BQ31">
            <v>3</v>
          </cell>
          <cell r="BR31">
            <v>40500001.719999999</v>
          </cell>
          <cell r="BS31">
            <v>40500001.719999999</v>
          </cell>
          <cell r="BT31">
            <v>40500001.719999999</v>
          </cell>
          <cell r="BU31">
            <v>40500001.719999999</v>
          </cell>
          <cell r="BW31" t="str">
            <v>Italy</v>
          </cell>
          <cell r="BX31" t="str">
            <v>Office</v>
          </cell>
          <cell r="BY31">
            <v>98.8</v>
          </cell>
        </row>
        <row r="32">
          <cell r="A32">
            <v>16070</v>
          </cell>
          <cell r="B32" t="str">
            <v>AREIM FASTIGHETER 2 AB</v>
          </cell>
          <cell r="C32" t="str">
            <v>AREIM AB</v>
          </cell>
          <cell r="D32" t="str">
            <v>Norrlandsgatan 18</v>
          </cell>
          <cell r="E32" t="str">
            <v>111 43</v>
          </cell>
          <cell r="F32" t="str">
            <v>Stockholm</v>
          </cell>
          <cell r="G32" t="str">
            <v>Sweden</v>
          </cell>
          <cell r="H32" t="str">
            <v>+46850105500</v>
          </cell>
          <cell r="I32" t="str">
            <v>+46850105501</v>
          </cell>
          <cell r="J32" t="str">
            <v>http://www.areim.com</v>
          </cell>
          <cell r="K32" t="str">
            <v>Marika Hilldoff</v>
          </cell>
          <cell r="L32" t="str">
            <v>Marika.hilldoff@areim.se</v>
          </cell>
          <cell r="M32" t="str">
            <v>+46708915079</v>
          </cell>
          <cell r="N32" t="str">
            <v>Marika Hilldoff</v>
          </cell>
          <cell r="O32" t="str">
            <v>Marika.hilldoff@areim.se</v>
          </cell>
          <cell r="P32" t="str">
            <v>+46708915079</v>
          </cell>
          <cell r="Q32" t="str">
            <v>Sweden</v>
          </cell>
          <cell r="R32" t="str">
            <v>SEK</v>
          </cell>
          <cell r="S32" t="str">
            <v>IFRS</v>
          </cell>
          <cell r="T32" t="str">
            <v>Quarterly</v>
          </cell>
          <cell r="U32" t="str">
            <v>Twice per year</v>
          </cell>
          <cell r="V32" t="str">
            <v>RICS</v>
          </cell>
          <cell r="W32" t="str">
            <v>INREV NAV</v>
          </cell>
          <cell r="X32" t="str">
            <v>KPMG</v>
          </cell>
          <cell r="Y32" t="str">
            <v>Swedish limited liability company (AB)</v>
          </cell>
          <cell r="Z32" t="str">
            <v>Yes</v>
          </cell>
          <cell r="AA32" t="str">
            <v>Yes</v>
          </cell>
          <cell r="AB32">
            <v>0</v>
          </cell>
          <cell r="AC32" t="str">
            <v>Non-Listed Fund</v>
          </cell>
          <cell r="AD32" t="str">
            <v>Value-added</v>
          </cell>
          <cell r="AE32" t="str">
            <v>finite</v>
          </cell>
          <cell r="AF32" t="str">
            <v>Closed end</v>
          </cell>
          <cell r="AG32">
            <v>12</v>
          </cell>
          <cell r="AH32">
            <v>14</v>
          </cell>
          <cell r="AI32" t="str">
            <v>Net</v>
          </cell>
          <cell r="AM32" t="str">
            <v>&gt; 40% - ≤ 60%</v>
          </cell>
          <cell r="AN32" t="str">
            <v>Institutional</v>
          </cell>
          <cell r="AO32" t="str">
            <v>&gt; 2</v>
          </cell>
          <cell r="AP32" t="str">
            <v>≥ 50%</v>
          </cell>
          <cell r="AQ32" t="str">
            <v>Europe</v>
          </cell>
          <cell r="AR32" t="str">
            <v>single country</v>
          </cell>
          <cell r="AT32" t="str">
            <v>Sweden</v>
          </cell>
          <cell r="AU32" t="str">
            <v>multi sector</v>
          </cell>
          <cell r="AW32">
            <v>3000000000</v>
          </cell>
          <cell r="AX32">
            <v>7500000000</v>
          </cell>
          <cell r="AY32">
            <v>2012</v>
          </cell>
          <cell r="AZ32">
            <v>2021</v>
          </cell>
          <cell r="BA32" t="str">
            <v>Yes</v>
          </cell>
          <cell r="BB32" t="str">
            <v>Yes</v>
          </cell>
          <cell r="BC32" t="str">
            <v>1+1 years</v>
          </cell>
          <cell r="BD32" t="str">
            <v>No</v>
          </cell>
          <cell r="BH32" t="str">
            <v>2020-12-31</v>
          </cell>
          <cell r="BI32">
            <v>1812101768</v>
          </cell>
          <cell r="BJ32">
            <v>180227961.8290095</v>
          </cell>
          <cell r="BK32">
            <v>759218621</v>
          </cell>
          <cell r="BL32">
            <v>75510342.223484471</v>
          </cell>
          <cell r="BM32">
            <v>62</v>
          </cell>
          <cell r="BN32" t="str">
            <v>Yes</v>
          </cell>
          <cell r="BO32" t="str">
            <v>Internal</v>
          </cell>
          <cell r="BP32">
            <v>6</v>
          </cell>
          <cell r="BQ32">
            <v>3</v>
          </cell>
          <cell r="BR32">
            <v>2565700000</v>
          </cell>
          <cell r="BS32">
            <v>243816068.73508999</v>
          </cell>
          <cell r="BT32">
            <v>2393425366</v>
          </cell>
          <cell r="BU32">
            <v>227444971.5668098</v>
          </cell>
          <cell r="BV32" t="str">
            <v>No</v>
          </cell>
          <cell r="BW32" t="str">
            <v>Sweden</v>
          </cell>
          <cell r="BX32" t="str">
            <v>Office</v>
          </cell>
          <cell r="BY32">
            <v>27</v>
          </cell>
          <cell r="BZ32" t="str">
            <v>Sweden</v>
          </cell>
          <cell r="CA32" t="str">
            <v>Retail</v>
          </cell>
          <cell r="CB32">
            <v>54</v>
          </cell>
          <cell r="CC32" t="str">
            <v>Sweden</v>
          </cell>
          <cell r="CD32" t="str">
            <v>Development Residential</v>
          </cell>
          <cell r="CE32">
            <v>17</v>
          </cell>
        </row>
        <row r="33">
          <cell r="A33">
            <v>17720</v>
          </cell>
          <cell r="B33" t="str">
            <v>AREIM FASTIGHETER 3 AB</v>
          </cell>
          <cell r="C33" t="str">
            <v>AREIM AB</v>
          </cell>
          <cell r="D33" t="str">
            <v>Norrlandsgatan 18</v>
          </cell>
          <cell r="E33" t="str">
            <v>111 43</v>
          </cell>
          <cell r="F33" t="str">
            <v>Stockholm</v>
          </cell>
          <cell r="G33" t="str">
            <v>Sweden</v>
          </cell>
          <cell r="H33" t="str">
            <v>+46850105500</v>
          </cell>
          <cell r="I33" t="str">
            <v>+46850105501</v>
          </cell>
          <cell r="J33" t="str">
            <v>http://www.areim.com</v>
          </cell>
          <cell r="K33" t="str">
            <v>Jan-Phillip Holzenburg</v>
          </cell>
          <cell r="L33" t="str">
            <v>jan-phillip.holzenburg@areim.se</v>
          </cell>
          <cell r="M33" t="str">
            <v>+46854501097</v>
          </cell>
          <cell r="N33" t="str">
            <v>Jan-Phillip Holzenburg</v>
          </cell>
          <cell r="O33" t="str">
            <v>jan-phillip.holzenburg@areim.se</v>
          </cell>
          <cell r="P33" t="str">
            <v>+46854501097</v>
          </cell>
          <cell r="Q33" t="str">
            <v>Sweden</v>
          </cell>
          <cell r="R33" t="str">
            <v>SEK</v>
          </cell>
          <cell r="S33" t="str">
            <v>IFRS</v>
          </cell>
          <cell r="T33" t="str">
            <v>Quarterly</v>
          </cell>
          <cell r="U33" t="str">
            <v>Twice per year</v>
          </cell>
          <cell r="V33" t="str">
            <v>RICS</v>
          </cell>
          <cell r="W33" t="str">
            <v>INREV NAV</v>
          </cell>
          <cell r="X33" t="str">
            <v>KPMG</v>
          </cell>
          <cell r="Y33" t="str">
            <v>Real Estate Fund</v>
          </cell>
          <cell r="Z33" t="str">
            <v>Yes</v>
          </cell>
          <cell r="AA33" t="str">
            <v>Yes</v>
          </cell>
          <cell r="AC33" t="str">
            <v>Non-Listed Fund</v>
          </cell>
          <cell r="AD33" t="str">
            <v>Value-added</v>
          </cell>
          <cell r="AE33" t="str">
            <v>finite</v>
          </cell>
          <cell r="AF33" t="str">
            <v>Closed end</v>
          </cell>
          <cell r="AG33">
            <v>12</v>
          </cell>
          <cell r="AH33">
            <v>14</v>
          </cell>
          <cell r="AI33" t="str">
            <v>Net</v>
          </cell>
          <cell r="AM33" t="str">
            <v>&gt; 40% - ≤ 60%</v>
          </cell>
          <cell r="AN33" t="str">
            <v>Institutional</v>
          </cell>
          <cell r="AO33" t="str">
            <v>&gt; 2</v>
          </cell>
          <cell r="AP33" t="str">
            <v>≥ 50%</v>
          </cell>
          <cell r="AQ33" t="str">
            <v>Europe</v>
          </cell>
          <cell r="AR33" t="str">
            <v>multi country</v>
          </cell>
          <cell r="AS33" t="str">
            <v>Nordic</v>
          </cell>
          <cell r="AU33" t="str">
            <v>multi sector</v>
          </cell>
          <cell r="AW33">
            <v>4000000000</v>
          </cell>
          <cell r="AX33">
            <v>10000000000</v>
          </cell>
          <cell r="AY33">
            <v>2015</v>
          </cell>
          <cell r="AZ33">
            <v>2028</v>
          </cell>
          <cell r="BA33" t="str">
            <v>Yes</v>
          </cell>
          <cell r="BB33" t="str">
            <v>Yes</v>
          </cell>
          <cell r="BC33" t="str">
            <v>2 years fixed</v>
          </cell>
          <cell r="BD33" t="str">
            <v>No</v>
          </cell>
          <cell r="BH33" t="str">
            <v>2020-12-31</v>
          </cell>
          <cell r="BI33">
            <v>5692105404</v>
          </cell>
          <cell r="BJ33">
            <v>566125243.95418561</v>
          </cell>
          <cell r="BK33">
            <v>3077255242</v>
          </cell>
          <cell r="BL33">
            <v>306057557.07937461</v>
          </cell>
          <cell r="BM33">
            <v>30</v>
          </cell>
          <cell r="BN33" t="str">
            <v>No</v>
          </cell>
          <cell r="BO33" t="str">
            <v>Internal</v>
          </cell>
          <cell r="BP33">
            <v>9</v>
          </cell>
          <cell r="BQ33">
            <v>5</v>
          </cell>
          <cell r="BR33">
            <v>4175803000</v>
          </cell>
          <cell r="BS33">
            <v>396822649.28565109</v>
          </cell>
          <cell r="BT33">
            <v>2921491156</v>
          </cell>
          <cell r="BU33">
            <v>277626569.16251057</v>
          </cell>
          <cell r="BV33" t="str">
            <v>No</v>
          </cell>
          <cell r="BW33" t="str">
            <v>Finland</v>
          </cell>
          <cell r="BX33" t="str">
            <v>Office</v>
          </cell>
          <cell r="BY33">
            <v>33</v>
          </cell>
          <cell r="BZ33" t="str">
            <v>Sweden</v>
          </cell>
          <cell r="CA33" t="str">
            <v>Mixed</v>
          </cell>
          <cell r="CB33">
            <v>10</v>
          </cell>
          <cell r="CC33" t="str">
            <v>Sweden</v>
          </cell>
          <cell r="CD33" t="str">
            <v>Office</v>
          </cell>
          <cell r="CE33">
            <v>57</v>
          </cell>
        </row>
        <row r="34">
          <cell r="A34">
            <v>18631</v>
          </cell>
          <cell r="B34" t="str">
            <v>AREIM FASTIGHETER 4 (D) AB</v>
          </cell>
          <cell r="C34" t="str">
            <v>AREIM AB</v>
          </cell>
          <cell r="D34" t="str">
            <v>Norrlandsgatan 18</v>
          </cell>
          <cell r="E34">
            <v>11143</v>
          </cell>
          <cell r="F34" t="str">
            <v>Stockholm</v>
          </cell>
          <cell r="G34" t="str">
            <v>Sweden</v>
          </cell>
          <cell r="H34" t="str">
            <v>+46850105500</v>
          </cell>
          <cell r="I34" t="str">
            <v>+46850105501</v>
          </cell>
          <cell r="J34" t="str">
            <v>https://www.areim.se</v>
          </cell>
          <cell r="K34" t="str">
            <v>helena.ekstrom@areim.se</v>
          </cell>
          <cell r="L34" t="str">
            <v>helena.ekstrom@areim.se</v>
          </cell>
          <cell r="M34" t="str">
            <v>+4685450190</v>
          </cell>
          <cell r="N34" t="str">
            <v>Helena Ekström</v>
          </cell>
          <cell r="O34" t="str">
            <v>helena.ekstrom@areim.se</v>
          </cell>
          <cell r="P34" t="str">
            <v>+4685450190</v>
          </cell>
          <cell r="Q34" t="str">
            <v>Sweden</v>
          </cell>
          <cell r="R34" t="str">
            <v>SEK</v>
          </cell>
          <cell r="S34" t="str">
            <v>IFRS</v>
          </cell>
          <cell r="T34" t="str">
            <v>Quarterly</v>
          </cell>
          <cell r="U34" t="str">
            <v>Twice per year</v>
          </cell>
          <cell r="V34" t="str">
            <v>RICS</v>
          </cell>
          <cell r="W34" t="str">
            <v>INREV NAV</v>
          </cell>
          <cell r="X34" t="str">
            <v>KPMG</v>
          </cell>
          <cell r="Y34" t="str">
            <v>Real Estate Fund</v>
          </cell>
          <cell r="Z34" t="str">
            <v>Yes</v>
          </cell>
          <cell r="AA34" t="str">
            <v>Yes</v>
          </cell>
          <cell r="AC34" t="str">
            <v>Non-Listed Fund</v>
          </cell>
          <cell r="AD34" t="str">
            <v>Value-added</v>
          </cell>
          <cell r="AE34" t="str">
            <v>finite</v>
          </cell>
          <cell r="AF34" t="str">
            <v>Closed end</v>
          </cell>
          <cell r="AG34">
            <v>12</v>
          </cell>
          <cell r="AH34">
            <v>14</v>
          </cell>
          <cell r="AI34" t="str">
            <v>Net</v>
          </cell>
          <cell r="AM34" t="str">
            <v>&gt; 40% - ≤ 60%</v>
          </cell>
          <cell r="AN34" t="str">
            <v>Institutional</v>
          </cell>
          <cell r="AO34" t="str">
            <v>&gt; 2</v>
          </cell>
          <cell r="AP34" t="str">
            <v>≥ 50%</v>
          </cell>
          <cell r="AQ34" t="str">
            <v>Europe</v>
          </cell>
          <cell r="AR34" t="str">
            <v>multi country</v>
          </cell>
          <cell r="AS34" t="str">
            <v>Nordic</v>
          </cell>
          <cell r="AU34" t="str">
            <v>multi sector</v>
          </cell>
          <cell r="AW34">
            <v>550000000</v>
          </cell>
          <cell r="AX34">
            <v>1375000000</v>
          </cell>
          <cell r="AY34">
            <v>2018</v>
          </cell>
          <cell r="AZ34">
            <v>2028</v>
          </cell>
          <cell r="BA34" t="str">
            <v>Yes</v>
          </cell>
          <cell r="BB34" t="str">
            <v>Yes</v>
          </cell>
          <cell r="BC34" t="str">
            <v>1+1 years</v>
          </cell>
          <cell r="BD34" t="str">
            <v>No</v>
          </cell>
          <cell r="BH34" t="str">
            <v>2020-12-31</v>
          </cell>
          <cell r="BI34">
            <v>417017064</v>
          </cell>
          <cell r="BJ34">
            <v>41475670.307186432</v>
          </cell>
          <cell r="BK34">
            <v>397385000</v>
          </cell>
          <cell r="BL34">
            <v>39523105.090542004</v>
          </cell>
          <cell r="BM34">
            <v>0</v>
          </cell>
          <cell r="BN34" t="str">
            <v>Yes</v>
          </cell>
          <cell r="BO34" t="str">
            <v>Internal</v>
          </cell>
          <cell r="BP34">
            <v>2</v>
          </cell>
          <cell r="BQ34">
            <v>8</v>
          </cell>
          <cell r="BR34">
            <v>831715000</v>
          </cell>
          <cell r="BS34">
            <v>79037097.7152455</v>
          </cell>
          <cell r="BT34">
            <v>416191399</v>
          </cell>
          <cell r="BU34">
            <v>39550278.966963112</v>
          </cell>
          <cell r="BV34" t="str">
            <v>No</v>
          </cell>
          <cell r="BW34" t="str">
            <v>Denmark</v>
          </cell>
          <cell r="BX34" t="str">
            <v>Office</v>
          </cell>
          <cell r="BY34">
            <v>3.4</v>
          </cell>
          <cell r="BZ34" t="str">
            <v>Sweden</v>
          </cell>
          <cell r="CA34" t="str">
            <v>Residential</v>
          </cell>
          <cell r="CB34">
            <v>1.4</v>
          </cell>
          <cell r="CC34" t="str">
            <v>Sweden</v>
          </cell>
          <cell r="CD34" t="str">
            <v>Office</v>
          </cell>
          <cell r="CE34">
            <v>45.5</v>
          </cell>
          <cell r="CF34" t="str">
            <v>Finland</v>
          </cell>
          <cell r="CG34" t="str">
            <v>Residential</v>
          </cell>
          <cell r="CH34">
            <v>15.7</v>
          </cell>
          <cell r="CI34" t="str">
            <v>Sweden</v>
          </cell>
          <cell r="CJ34" t="str">
            <v>Industrial / Logistics</v>
          </cell>
          <cell r="CK34">
            <v>16.7</v>
          </cell>
          <cell r="CL34" t="str">
            <v>Finland</v>
          </cell>
          <cell r="CM34" t="str">
            <v>Office</v>
          </cell>
          <cell r="CN34">
            <v>1.9</v>
          </cell>
        </row>
        <row r="35">
          <cell r="A35">
            <v>18616</v>
          </cell>
          <cell r="B35" t="str">
            <v>AREIM FASTIGHETER 4 (EQ) AB</v>
          </cell>
          <cell r="C35" t="str">
            <v>AREIM AB</v>
          </cell>
          <cell r="D35" t="str">
            <v>Norrlandsgatan 18</v>
          </cell>
          <cell r="E35" t="str">
            <v>111 43</v>
          </cell>
          <cell r="F35" t="str">
            <v>Stockholm</v>
          </cell>
          <cell r="G35" t="str">
            <v>Sweden</v>
          </cell>
          <cell r="H35" t="str">
            <v>+46850105500</v>
          </cell>
          <cell r="I35" t="str">
            <v>+46850105501</v>
          </cell>
          <cell r="J35" t="str">
            <v>https://www.areim.se</v>
          </cell>
          <cell r="K35" t="str">
            <v>Helena Ekström</v>
          </cell>
          <cell r="L35" t="str">
            <v>helena.ekstrom@areim.se</v>
          </cell>
          <cell r="M35" t="str">
            <v>+46854501090</v>
          </cell>
          <cell r="N35" t="str">
            <v>Helena Ekström</v>
          </cell>
          <cell r="O35" t="str">
            <v>helena.ekstrom@areim.se</v>
          </cell>
          <cell r="P35" t="str">
            <v>+46854501090</v>
          </cell>
          <cell r="Q35" t="str">
            <v>Sweden</v>
          </cell>
          <cell r="R35" t="str">
            <v>SEK</v>
          </cell>
          <cell r="S35" t="str">
            <v>IFRS</v>
          </cell>
          <cell r="T35" t="str">
            <v>Quarterly</v>
          </cell>
          <cell r="U35" t="str">
            <v>Twice per year</v>
          </cell>
          <cell r="V35" t="str">
            <v>RICS</v>
          </cell>
          <cell r="W35" t="str">
            <v>INREV NAV</v>
          </cell>
          <cell r="X35" t="str">
            <v>KPMG</v>
          </cell>
          <cell r="Y35" t="str">
            <v>Real Estate Fund</v>
          </cell>
          <cell r="Z35" t="str">
            <v>Yes</v>
          </cell>
          <cell r="AA35" t="str">
            <v>Yes</v>
          </cell>
          <cell r="AC35" t="str">
            <v>Non-Listed Fund</v>
          </cell>
          <cell r="AD35" t="str">
            <v>Value-added</v>
          </cell>
          <cell r="AE35" t="str">
            <v>finite</v>
          </cell>
          <cell r="AF35" t="str">
            <v>Closed end</v>
          </cell>
          <cell r="AG35">
            <v>12</v>
          </cell>
          <cell r="AH35">
            <v>14</v>
          </cell>
          <cell r="AI35" t="str">
            <v>Net</v>
          </cell>
          <cell r="AJ35" t="str">
            <v>MSCI</v>
          </cell>
          <cell r="AM35" t="str">
            <v>&gt; 40% - ≤ 60%</v>
          </cell>
          <cell r="AN35" t="str">
            <v>Institutional</v>
          </cell>
          <cell r="AO35" t="str">
            <v>&gt; 2</v>
          </cell>
          <cell r="AP35" t="str">
            <v>≥ 50%</v>
          </cell>
          <cell r="AQ35" t="str">
            <v>Europe</v>
          </cell>
          <cell r="AR35" t="str">
            <v>multi country</v>
          </cell>
          <cell r="AS35" t="str">
            <v>Nordic</v>
          </cell>
          <cell r="AU35" t="str">
            <v>multi sector</v>
          </cell>
          <cell r="AW35">
            <v>4950000000</v>
          </cell>
          <cell r="AX35">
            <v>12375000000</v>
          </cell>
          <cell r="AY35">
            <v>2018</v>
          </cell>
          <cell r="AZ35">
            <v>2029</v>
          </cell>
          <cell r="BA35" t="str">
            <v>No</v>
          </cell>
          <cell r="BB35" t="str">
            <v>No</v>
          </cell>
          <cell r="BD35" t="str">
            <v>No</v>
          </cell>
          <cell r="BH35" t="str">
            <v>2020-12-31</v>
          </cell>
          <cell r="BI35">
            <v>9395431866</v>
          </cell>
          <cell r="BJ35">
            <v>934450573.14932656</v>
          </cell>
          <cell r="BK35">
            <v>2271680759</v>
          </cell>
          <cell r="BL35">
            <v>225936754.96085459</v>
          </cell>
          <cell r="BM35">
            <v>52.17</v>
          </cell>
          <cell r="BN35" t="str">
            <v>Yes</v>
          </cell>
          <cell r="BO35" t="str">
            <v>Internal</v>
          </cell>
          <cell r="BP35">
            <v>11</v>
          </cell>
          <cell r="BQ35">
            <v>8</v>
          </cell>
          <cell r="BR35">
            <v>4750173325</v>
          </cell>
          <cell r="BS35">
            <v>451404523.4874658</v>
          </cell>
          <cell r="BT35">
            <v>2362848930</v>
          </cell>
          <cell r="BU35">
            <v>224539321.48244679</v>
          </cell>
          <cell r="BV35" t="str">
            <v>No</v>
          </cell>
          <cell r="BW35" t="str">
            <v>Denmark</v>
          </cell>
          <cell r="BX35" t="str">
            <v>Office</v>
          </cell>
          <cell r="BY35">
            <v>3.4</v>
          </cell>
          <cell r="BZ35" t="str">
            <v>Sweden</v>
          </cell>
          <cell r="CA35" t="str">
            <v>Residential</v>
          </cell>
          <cell r="CB35">
            <v>1.4</v>
          </cell>
          <cell r="CC35" t="str">
            <v>Sweden</v>
          </cell>
          <cell r="CD35" t="str">
            <v>Office</v>
          </cell>
          <cell r="CE35">
            <v>45.5</v>
          </cell>
          <cell r="CF35" t="str">
            <v>Finland</v>
          </cell>
          <cell r="CG35" t="str">
            <v>Residential</v>
          </cell>
          <cell r="CH35">
            <v>15.7</v>
          </cell>
          <cell r="CI35" t="str">
            <v>Sweden</v>
          </cell>
          <cell r="CJ35" t="str">
            <v>Industrial / Logistics</v>
          </cell>
          <cell r="CK35">
            <v>16.7</v>
          </cell>
          <cell r="CL35" t="str">
            <v>Finland</v>
          </cell>
          <cell r="CM35" t="str">
            <v>Office</v>
          </cell>
          <cell r="CN35">
            <v>1.9</v>
          </cell>
        </row>
        <row r="36">
          <cell r="A36">
            <v>523</v>
          </cell>
          <cell r="B36" t="str">
            <v>AREIM I FUND L.P.</v>
          </cell>
          <cell r="C36" t="str">
            <v>AREIM MANAGEMENT LTD</v>
          </cell>
          <cell r="D36" t="str">
            <v>IFC 5</v>
          </cell>
          <cell r="E36" t="str">
            <v>JE1 1ST</v>
          </cell>
          <cell r="F36" t="str">
            <v>St Helier</v>
          </cell>
          <cell r="G36" t="str">
            <v>Jersey</v>
          </cell>
          <cell r="H36" t="str">
            <v>+441534722787</v>
          </cell>
          <cell r="I36" t="str">
            <v>+441534769770</v>
          </cell>
          <cell r="K36" t="str">
            <v>Luc Wainwright</v>
          </cell>
          <cell r="L36" t="str">
            <v>luc.wainwright@sannegroup.com</v>
          </cell>
          <cell r="M36" t="str">
            <v>+441534750533</v>
          </cell>
          <cell r="N36" t="str">
            <v>Luc Wainwright</v>
          </cell>
          <cell r="O36" t="str">
            <v>luc.wainwright@sannegroup.com</v>
          </cell>
          <cell r="P36" t="str">
            <v>+441534750533</v>
          </cell>
          <cell r="Q36" t="str">
            <v>Jersey</v>
          </cell>
          <cell r="R36" t="str">
            <v>SEK</v>
          </cell>
          <cell r="S36" t="str">
            <v>IFRS</v>
          </cell>
          <cell r="T36" t="str">
            <v>Quarterly</v>
          </cell>
          <cell r="U36" t="str">
            <v>Annually</v>
          </cell>
          <cell r="V36" t="str">
            <v>RICS</v>
          </cell>
          <cell r="W36" t="str">
            <v>INREV NAV</v>
          </cell>
          <cell r="X36" t="str">
            <v>Ernst &amp; Young AB</v>
          </cell>
          <cell r="Y36" t="str">
            <v>Limited Partnership</v>
          </cell>
          <cell r="Z36" t="str">
            <v>Yes</v>
          </cell>
          <cell r="AA36" t="str">
            <v>Yes</v>
          </cell>
          <cell r="AB36">
            <v>0</v>
          </cell>
          <cell r="AC36" t="str">
            <v>Non-Listed Fund</v>
          </cell>
          <cell r="AD36" t="str">
            <v>Value-added</v>
          </cell>
          <cell r="AE36" t="str">
            <v>finite</v>
          </cell>
          <cell r="AF36" t="str">
            <v>Closed end</v>
          </cell>
          <cell r="AG36">
            <v>12</v>
          </cell>
          <cell r="AH36">
            <v>14</v>
          </cell>
          <cell r="AI36" t="str">
            <v>Net</v>
          </cell>
          <cell r="AM36" t="str">
            <v>&gt; 60%</v>
          </cell>
          <cell r="AN36" t="str">
            <v>Institutional</v>
          </cell>
          <cell r="AO36" t="str">
            <v>&gt; 2</v>
          </cell>
          <cell r="AP36" t="str">
            <v>≥ 50%</v>
          </cell>
          <cell r="AQ36" t="str">
            <v>Europe</v>
          </cell>
          <cell r="AR36" t="str">
            <v>single country</v>
          </cell>
          <cell r="AT36" t="str">
            <v>Sweden</v>
          </cell>
          <cell r="AU36" t="str">
            <v>multi sector</v>
          </cell>
          <cell r="AY36">
            <v>2007</v>
          </cell>
          <cell r="AZ36">
            <v>2015</v>
          </cell>
          <cell r="BA36" t="str">
            <v>Yes</v>
          </cell>
          <cell r="BB36" t="str">
            <v>No</v>
          </cell>
          <cell r="BD36" t="str">
            <v>No</v>
          </cell>
          <cell r="BH36" t="str">
            <v>2020-12-31</v>
          </cell>
          <cell r="BI36">
            <v>137598496</v>
          </cell>
          <cell r="BJ36">
            <v>13685266.977134321</v>
          </cell>
          <cell r="BK36">
            <v>117904769</v>
          </cell>
          <cell r="BL36">
            <v>11726568.883735109</v>
          </cell>
          <cell r="BM36">
            <v>0</v>
          </cell>
          <cell r="BN36" t="str">
            <v>No</v>
          </cell>
          <cell r="BO36" t="str">
            <v>Internal</v>
          </cell>
          <cell r="BP36">
            <v>3</v>
          </cell>
          <cell r="BQ36">
            <v>1</v>
          </cell>
          <cell r="BR36">
            <v>2105000000</v>
          </cell>
          <cell r="BS36">
            <v>200036179.08849999</v>
          </cell>
          <cell r="BT36">
            <v>1981964594</v>
          </cell>
          <cell r="BU36">
            <v>188344239.65437061</v>
          </cell>
          <cell r="BV36" t="str">
            <v>No</v>
          </cell>
          <cell r="BW36" t="str">
            <v>Sweden</v>
          </cell>
          <cell r="BX36" t="str">
            <v>Retail</v>
          </cell>
          <cell r="BY36">
            <v>7</v>
          </cell>
        </row>
        <row r="37">
          <cell r="A37">
            <v>19339</v>
          </cell>
          <cell r="B37" t="str">
            <v>ARES EUROPEAN PROPERTY ENHANCEMENT PARTNERS I, L.P.</v>
          </cell>
          <cell r="C37" t="str">
            <v xml:space="preserve">ARES MANAGEMENT LTD. </v>
          </cell>
          <cell r="D37" t="str">
            <v>10 New Burlington Street</v>
          </cell>
          <cell r="E37" t="str">
            <v>W1S 3BE</v>
          </cell>
          <cell r="F37" t="str">
            <v>London</v>
          </cell>
          <cell r="G37" t="str">
            <v>United Kingdom</v>
          </cell>
          <cell r="H37" t="str">
            <v>+442074346320</v>
          </cell>
          <cell r="J37" t="str">
            <v>http://www.aresmgmt.com</v>
          </cell>
          <cell r="K37" t="str">
            <v>Samia Behan</v>
          </cell>
          <cell r="L37" t="str">
            <v>sbehan@aresmgmt.com</v>
          </cell>
          <cell r="M37" t="str">
            <v>+44 (0) 2074346330</v>
          </cell>
          <cell r="N37" t="str">
            <v>Daniel Taylor</v>
          </cell>
          <cell r="O37" t="str">
            <v>dtaylor@aresmgmt.com</v>
          </cell>
          <cell r="P37" t="str">
            <v>+442074346320</v>
          </cell>
          <cell r="Q37" t="str">
            <v>United States of America</v>
          </cell>
          <cell r="R37" t="str">
            <v>USD</v>
          </cell>
          <cell r="S37" t="str">
            <v>US GAAP</v>
          </cell>
          <cell r="T37" t="str">
            <v>Quarterly</v>
          </cell>
          <cell r="U37" t="str">
            <v>Annually</v>
          </cell>
          <cell r="V37" t="str">
            <v>Other - mark to market</v>
          </cell>
          <cell r="W37" t="str">
            <v>US GAAP</v>
          </cell>
          <cell r="X37" t="str">
            <v>Ernst &amp; Young</v>
          </cell>
          <cell r="Y37" t="str">
            <v>Limited Partnership</v>
          </cell>
          <cell r="Z37" t="str">
            <v>No</v>
          </cell>
          <cell r="AA37" t="str">
            <v>No</v>
          </cell>
          <cell r="AC37" t="str">
            <v>Non-Listed Fund</v>
          </cell>
          <cell r="AD37" t="str">
            <v>Value-added</v>
          </cell>
          <cell r="AE37" t="str">
            <v>finite</v>
          </cell>
          <cell r="AF37" t="str">
            <v>Closed end</v>
          </cell>
          <cell r="AG37">
            <v>10</v>
          </cell>
          <cell r="AH37">
            <v>14</v>
          </cell>
          <cell r="AI37" t="str">
            <v>Gross</v>
          </cell>
          <cell r="AJ37" t="str">
            <v>None</v>
          </cell>
          <cell r="AK37">
            <v>5</v>
          </cell>
          <cell r="AL37">
            <v>55</v>
          </cell>
          <cell r="AM37" t="str">
            <v>&gt; 40% - ≤ 60%</v>
          </cell>
          <cell r="AN37" t="str">
            <v>Institutional</v>
          </cell>
          <cell r="AO37" t="str">
            <v>≤ 2</v>
          </cell>
          <cell r="AP37" t="str">
            <v>≥ 50%</v>
          </cell>
          <cell r="AQ37" t="str">
            <v>Europe</v>
          </cell>
          <cell r="AR37" t="str">
            <v>multi country</v>
          </cell>
          <cell r="AS37" t="str">
            <v>Europe</v>
          </cell>
          <cell r="AU37" t="str">
            <v>multi sector</v>
          </cell>
          <cell r="AW37">
            <v>212000000</v>
          </cell>
          <cell r="AX37">
            <v>470000000</v>
          </cell>
          <cell r="AY37">
            <v>2012</v>
          </cell>
          <cell r="AZ37">
            <v>2022</v>
          </cell>
          <cell r="BA37" t="str">
            <v>Yes</v>
          </cell>
          <cell r="BB37" t="str">
            <v>Yes</v>
          </cell>
          <cell r="BC37" t="str">
            <v>1+1 years</v>
          </cell>
          <cell r="BD37" t="str">
            <v>No</v>
          </cell>
          <cell r="BE37" t="str">
            <v>&lt; 60%</v>
          </cell>
          <cell r="BF37" t="str">
            <v>≤ 15%</v>
          </cell>
          <cell r="BG37" t="str">
            <v>≤ 5%</v>
          </cell>
        </row>
        <row r="38">
          <cell r="A38">
            <v>19340</v>
          </cell>
          <cell r="B38" t="str">
            <v>ARES EUROPEAN PROPERTY ENHANCEMENT PARTNERS II, L.P.</v>
          </cell>
          <cell r="C38" t="str">
            <v xml:space="preserve">ARES MANAGEMENT LTD. </v>
          </cell>
          <cell r="D38" t="str">
            <v>10 New Burlington Street</v>
          </cell>
          <cell r="E38" t="str">
            <v>W1S 3BE</v>
          </cell>
          <cell r="F38" t="str">
            <v>London</v>
          </cell>
          <cell r="G38" t="str">
            <v>United Kingdom</v>
          </cell>
          <cell r="H38" t="str">
            <v>+442074346320</v>
          </cell>
          <cell r="J38" t="str">
            <v>http://www.aresmgmt.com</v>
          </cell>
          <cell r="K38" t="str">
            <v>Samia Behan</v>
          </cell>
          <cell r="L38" t="str">
            <v>sbehan@aresmgmt.com</v>
          </cell>
          <cell r="M38" t="str">
            <v>+44 (0) 2074346330</v>
          </cell>
          <cell r="N38" t="str">
            <v>Daniel Taylor`</v>
          </cell>
          <cell r="O38" t="str">
            <v>dtaylor@aresmgmt.com</v>
          </cell>
          <cell r="P38" t="str">
            <v>+442074346320</v>
          </cell>
          <cell r="Q38" t="str">
            <v>United Kingdom</v>
          </cell>
          <cell r="R38" t="str">
            <v>EUR</v>
          </cell>
          <cell r="S38" t="str">
            <v>Local GAAP</v>
          </cell>
          <cell r="T38" t="str">
            <v>Quarterly</v>
          </cell>
          <cell r="U38" t="str">
            <v>Quarterly</v>
          </cell>
          <cell r="V38" t="str">
            <v>Other - mark to market</v>
          </cell>
          <cell r="W38" t="str">
            <v>Local GAAP</v>
          </cell>
          <cell r="X38" t="str">
            <v>Ernst &amp; Young</v>
          </cell>
          <cell r="Y38" t="str">
            <v>Limited Partnership</v>
          </cell>
          <cell r="Z38" t="str">
            <v>No</v>
          </cell>
          <cell r="AA38" t="str">
            <v>No</v>
          </cell>
          <cell r="AC38" t="str">
            <v>Non-Listed Fund</v>
          </cell>
          <cell r="AD38" t="str">
            <v>Value-added</v>
          </cell>
          <cell r="AE38" t="str">
            <v>finite</v>
          </cell>
          <cell r="AF38" t="str">
            <v>Closed end</v>
          </cell>
          <cell r="AG38">
            <v>10</v>
          </cell>
          <cell r="AH38">
            <v>14</v>
          </cell>
          <cell r="AI38" t="str">
            <v>Gross</v>
          </cell>
          <cell r="AJ38" t="str">
            <v>None</v>
          </cell>
          <cell r="AK38">
            <v>5</v>
          </cell>
          <cell r="AL38">
            <v>55</v>
          </cell>
          <cell r="AM38" t="str">
            <v>&gt; 40% - ≤ 60%</v>
          </cell>
          <cell r="AN38" t="str">
            <v>Institutional</v>
          </cell>
          <cell r="AO38" t="str">
            <v>&gt; 2</v>
          </cell>
          <cell r="AP38" t="str">
            <v>≥ 50%</v>
          </cell>
          <cell r="AQ38" t="str">
            <v>Europe</v>
          </cell>
          <cell r="AR38" t="str">
            <v>multi country</v>
          </cell>
          <cell r="AS38" t="str">
            <v>Europe</v>
          </cell>
          <cell r="AU38" t="str">
            <v>multi sector</v>
          </cell>
          <cell r="AW38">
            <v>665000000</v>
          </cell>
          <cell r="AX38">
            <v>1470000000</v>
          </cell>
          <cell r="AY38">
            <v>2015</v>
          </cell>
          <cell r="AZ38">
            <v>2026</v>
          </cell>
          <cell r="BA38" t="str">
            <v>Yes</v>
          </cell>
          <cell r="BB38" t="str">
            <v>Yes</v>
          </cell>
          <cell r="BC38" t="str">
            <v>1+1 years</v>
          </cell>
          <cell r="BD38" t="str">
            <v>No</v>
          </cell>
          <cell r="BE38" t="str">
            <v>&lt; 60%</v>
          </cell>
          <cell r="BF38" t="str">
            <v>≤ 15%</v>
          </cell>
          <cell r="BG38" t="str">
            <v>≤ 5%</v>
          </cell>
        </row>
        <row r="39">
          <cell r="A39">
            <v>19341</v>
          </cell>
          <cell r="B39" t="str">
            <v>ARES EUROPEAN PROPERTY ENHANCEMENT PARTNERS III SCSP</v>
          </cell>
          <cell r="C39" t="str">
            <v xml:space="preserve">ARES MANAGEMENT LTD. </v>
          </cell>
          <cell r="D39" t="str">
            <v>10 New Burlington Street</v>
          </cell>
          <cell r="E39" t="str">
            <v>W1S 3BE</v>
          </cell>
          <cell r="F39" t="str">
            <v>London</v>
          </cell>
          <cell r="G39" t="str">
            <v>United Kingdom</v>
          </cell>
          <cell r="H39" t="str">
            <v>+442074346320</v>
          </cell>
          <cell r="J39" t="str">
            <v>http://www.aresmgmt.com</v>
          </cell>
          <cell r="K39" t="str">
            <v>Samia Behan</v>
          </cell>
          <cell r="L39" t="str">
            <v>sbehan@aresmgmt.com</v>
          </cell>
          <cell r="M39" t="str">
            <v>+44 (0) 2074346330</v>
          </cell>
          <cell r="N39" t="str">
            <v>Daniel Taylor</v>
          </cell>
          <cell r="O39" t="str">
            <v>dtaylor@aresmgmt.com</v>
          </cell>
          <cell r="P39" t="str">
            <v>+442074346320</v>
          </cell>
          <cell r="Q39" t="str">
            <v>Luxembourg</v>
          </cell>
          <cell r="R39" t="str">
            <v>EUR</v>
          </cell>
          <cell r="S39" t="str">
            <v>Local GAAP</v>
          </cell>
          <cell r="T39" t="str">
            <v>Quarterly</v>
          </cell>
          <cell r="U39" t="str">
            <v>Quarterly</v>
          </cell>
          <cell r="V39" t="str">
            <v>Other - mark to market</v>
          </cell>
          <cell r="W39" t="str">
            <v>Local GAAP</v>
          </cell>
          <cell r="X39" t="str">
            <v>Ernst &amp; Young</v>
          </cell>
          <cell r="Y39" t="str">
            <v>Limited Partnership</v>
          </cell>
          <cell r="Z39" t="str">
            <v>No</v>
          </cell>
          <cell r="AA39" t="str">
            <v>No</v>
          </cell>
          <cell r="AC39" t="str">
            <v>Non-Listed Fund</v>
          </cell>
          <cell r="AD39" t="str">
            <v>Value-added</v>
          </cell>
          <cell r="AE39" t="str">
            <v>finite</v>
          </cell>
          <cell r="AF39" t="str">
            <v>Closed end</v>
          </cell>
          <cell r="AG39">
            <v>10</v>
          </cell>
          <cell r="AH39">
            <v>14</v>
          </cell>
          <cell r="AI39" t="str">
            <v>Gross</v>
          </cell>
          <cell r="AJ39" t="str">
            <v>None</v>
          </cell>
          <cell r="AK39">
            <v>5</v>
          </cell>
          <cell r="AL39">
            <v>55</v>
          </cell>
          <cell r="AM39" t="str">
            <v>&gt; 40% - ≤ 60%</v>
          </cell>
          <cell r="AN39" t="str">
            <v>Institutional</v>
          </cell>
          <cell r="AO39" t="str">
            <v>&gt; 2</v>
          </cell>
          <cell r="AP39" t="str">
            <v>≥ 50%</v>
          </cell>
          <cell r="AQ39" t="str">
            <v>Europe</v>
          </cell>
          <cell r="AR39" t="str">
            <v>multi country</v>
          </cell>
          <cell r="AS39" t="str">
            <v>Europe</v>
          </cell>
          <cell r="AU39" t="str">
            <v>multi sector</v>
          </cell>
          <cell r="AW39">
            <v>1000000000</v>
          </cell>
          <cell r="AX39">
            <v>2200000000</v>
          </cell>
          <cell r="AY39">
            <v>2020</v>
          </cell>
          <cell r="AZ39">
            <v>2030</v>
          </cell>
          <cell r="BA39" t="str">
            <v>Yes</v>
          </cell>
          <cell r="BB39" t="str">
            <v>Yes</v>
          </cell>
          <cell r="BC39" t="str">
            <v>1+1 years</v>
          </cell>
          <cell r="BD39" t="str">
            <v>No</v>
          </cell>
          <cell r="BE39" t="str">
            <v>&lt; 60%</v>
          </cell>
          <cell r="BF39" t="str">
            <v>≤ 15%</v>
          </cell>
          <cell r="BG39" t="str">
            <v>≤ 5%</v>
          </cell>
        </row>
        <row r="40">
          <cell r="A40">
            <v>34</v>
          </cell>
          <cell r="B40" t="str">
            <v>ARES EUROPEAN REAL ESTATE FUND II</v>
          </cell>
          <cell r="C40" t="str">
            <v>ARES MANAGEMENT LTD</v>
          </cell>
          <cell r="D40" t="str">
            <v>10 New Burlington Street</v>
          </cell>
          <cell r="E40" t="str">
            <v>W1S 3BE</v>
          </cell>
          <cell r="F40" t="str">
            <v>London</v>
          </cell>
          <cell r="G40" t="str">
            <v>United Kingdom</v>
          </cell>
          <cell r="H40" t="str">
            <v>+44 (0) 20 74346320</v>
          </cell>
          <cell r="J40" t="str">
            <v>http://www.aresmgmt.com</v>
          </cell>
          <cell r="K40" t="str">
            <v>Andreas Koukos</v>
          </cell>
          <cell r="L40" t="str">
            <v>akoukos@aresmgmt.com</v>
          </cell>
          <cell r="M40" t="str">
            <v>+44 20 74346329</v>
          </cell>
          <cell r="N40" t="str">
            <v>Mr Daniel Taylor</v>
          </cell>
          <cell r="O40" t="str">
            <v>dtaylor@aresmgmt.com</v>
          </cell>
          <cell r="P40" t="str">
            <v>+44 (0) 20 74346320</v>
          </cell>
          <cell r="Q40" t="str">
            <v>United States of America</v>
          </cell>
          <cell r="R40" t="str">
            <v>USD</v>
          </cell>
          <cell r="S40" t="str">
            <v>US GAAP</v>
          </cell>
          <cell r="T40" t="str">
            <v>Quarterly</v>
          </cell>
          <cell r="U40" t="str">
            <v>Annually</v>
          </cell>
          <cell r="V40" t="str">
            <v>Other - mark to market</v>
          </cell>
          <cell r="W40" t="str">
            <v>US GAAP</v>
          </cell>
          <cell r="X40" t="str">
            <v>Ernst &amp; Young</v>
          </cell>
          <cell r="Y40" t="str">
            <v>Limited Liability Partnership</v>
          </cell>
          <cell r="Z40" t="str">
            <v>No</v>
          </cell>
          <cell r="AA40" t="str">
            <v>No</v>
          </cell>
          <cell r="AB40">
            <v>0</v>
          </cell>
          <cell r="AC40" t="str">
            <v>Non-Listed Fund</v>
          </cell>
          <cell r="AD40" t="str">
            <v>Opportunity</v>
          </cell>
          <cell r="AE40" t="str">
            <v>finite</v>
          </cell>
          <cell r="AF40" t="str">
            <v>Closed end</v>
          </cell>
          <cell r="AG40">
            <v>16</v>
          </cell>
          <cell r="AH40">
            <v>20</v>
          </cell>
          <cell r="AI40" t="str">
            <v>Gross</v>
          </cell>
          <cell r="AJ40" t="str">
            <v>None</v>
          </cell>
          <cell r="AK40">
            <v>0</v>
          </cell>
          <cell r="AL40">
            <v>70</v>
          </cell>
          <cell r="AM40" t="str">
            <v>&gt; 60%</v>
          </cell>
          <cell r="AN40" t="str">
            <v>Institutional</v>
          </cell>
          <cell r="AO40" t="str">
            <v>&gt; 2</v>
          </cell>
          <cell r="AP40" t="str">
            <v>≥ 50%</v>
          </cell>
          <cell r="AQ40" t="str">
            <v>Europe</v>
          </cell>
          <cell r="AR40" t="str">
            <v>multi country</v>
          </cell>
          <cell r="AS40" t="str">
            <v>Europe</v>
          </cell>
          <cell r="AU40" t="str">
            <v>multi sector</v>
          </cell>
          <cell r="AW40">
            <v>600000000</v>
          </cell>
          <cell r="AX40">
            <v>2000000000</v>
          </cell>
          <cell r="AY40">
            <v>2004</v>
          </cell>
          <cell r="AZ40">
            <v>2015</v>
          </cell>
          <cell r="BA40" t="str">
            <v>Yes</v>
          </cell>
          <cell r="BB40" t="str">
            <v>Yes</v>
          </cell>
          <cell r="BC40" t="str">
            <v>1+1 years</v>
          </cell>
          <cell r="BD40" t="str">
            <v>Yes</v>
          </cell>
          <cell r="BE40" t="str">
            <v>&lt; 60%</v>
          </cell>
          <cell r="BF40" t="str">
            <v>&gt; 15% - ≤ 40%</v>
          </cell>
          <cell r="BG40" t="str">
            <v>&gt; 5 - ≤ 25%</v>
          </cell>
          <cell r="BH40" t="str">
            <v>2013-06-30</v>
          </cell>
          <cell r="BI40">
            <v>907944893</v>
          </cell>
          <cell r="BJ40">
            <v>698028033.73839998</v>
          </cell>
          <cell r="BK40">
            <v>210385941</v>
          </cell>
          <cell r="BL40">
            <v>161744711.44080001</v>
          </cell>
          <cell r="BM40">
            <v>77.900000000000006</v>
          </cell>
          <cell r="BN40" t="str">
            <v>No</v>
          </cell>
          <cell r="BO40" t="str">
            <v>Internal</v>
          </cell>
          <cell r="BP40">
            <v>64</v>
          </cell>
          <cell r="BQ40">
            <v>17</v>
          </cell>
          <cell r="BR40">
            <v>601788140</v>
          </cell>
          <cell r="BS40">
            <v>469575285.64200002</v>
          </cell>
          <cell r="BT40">
            <v>3711157</v>
          </cell>
          <cell r="BU40">
            <v>2895815.8070999999</v>
          </cell>
          <cell r="BV40" t="str">
            <v>No</v>
          </cell>
          <cell r="BW40" t="str">
            <v>Germany</v>
          </cell>
          <cell r="BX40" t="str">
            <v>Retail</v>
          </cell>
          <cell r="BY40">
            <v>29.5</v>
          </cell>
          <cell r="BZ40" t="str">
            <v>France</v>
          </cell>
          <cell r="CA40" t="str">
            <v>Industrial / Logistics</v>
          </cell>
          <cell r="CB40">
            <v>5.2</v>
          </cell>
          <cell r="CC40" t="str">
            <v>United Kingdom</v>
          </cell>
          <cell r="CD40" t="str">
            <v>Retail</v>
          </cell>
          <cell r="CE40">
            <v>7.85</v>
          </cell>
          <cell r="CF40" t="str">
            <v>United Kingdom</v>
          </cell>
          <cell r="CG40" t="str">
            <v>Hotel</v>
          </cell>
          <cell r="CH40">
            <v>6</v>
          </cell>
          <cell r="CI40" t="str">
            <v>Ukraine</v>
          </cell>
          <cell r="CJ40" t="str">
            <v>Retail</v>
          </cell>
          <cell r="CK40">
            <v>17.100000000000001</v>
          </cell>
          <cell r="CL40" t="str">
            <v>Czech Republic</v>
          </cell>
          <cell r="CM40" t="str">
            <v>Industrial / Logistics</v>
          </cell>
          <cell r="CN40">
            <v>1.9</v>
          </cell>
          <cell r="CO40" t="str">
            <v>Russia</v>
          </cell>
          <cell r="CP40" t="str">
            <v>Industrial / Logistics</v>
          </cell>
          <cell r="CQ40">
            <v>7</v>
          </cell>
          <cell r="CR40" t="str">
            <v>Russia</v>
          </cell>
          <cell r="CS40" t="str">
            <v>Retail</v>
          </cell>
          <cell r="CT40">
            <v>25.45</v>
          </cell>
        </row>
        <row r="41">
          <cell r="A41">
            <v>35</v>
          </cell>
          <cell r="B41" t="str">
            <v>ARES EUROPEAN REAL ESTATE FUND III</v>
          </cell>
          <cell r="C41" t="str">
            <v xml:space="preserve">ARES MANAGEMENT LTD. </v>
          </cell>
          <cell r="D41" t="str">
            <v>10 New Burlington Street</v>
          </cell>
          <cell r="E41" t="str">
            <v>W1S 3BE</v>
          </cell>
          <cell r="F41" t="str">
            <v>London</v>
          </cell>
          <cell r="G41" t="str">
            <v>United Kingdom</v>
          </cell>
          <cell r="H41" t="str">
            <v>+44 (0) 20 74346320</v>
          </cell>
          <cell r="J41" t="str">
            <v>http://www.aresmgmt.com</v>
          </cell>
          <cell r="K41" t="str">
            <v>Samia Behan</v>
          </cell>
          <cell r="L41" t="str">
            <v>sbehan@aresmgmt.com</v>
          </cell>
          <cell r="M41" t="str">
            <v>+44 (0) 2074346330</v>
          </cell>
          <cell r="N41" t="str">
            <v>Daniel Taylor</v>
          </cell>
          <cell r="O41" t="str">
            <v>dtaylor@aresmgmt.com</v>
          </cell>
          <cell r="P41" t="str">
            <v>+44 (0) 20 74346320</v>
          </cell>
          <cell r="Q41" t="str">
            <v>United Kingdom</v>
          </cell>
          <cell r="R41" t="str">
            <v>EUR</v>
          </cell>
          <cell r="S41" t="str">
            <v>US GAAP</v>
          </cell>
          <cell r="T41" t="str">
            <v>Quarterly</v>
          </cell>
          <cell r="U41" t="str">
            <v>Annually</v>
          </cell>
          <cell r="V41" t="str">
            <v>Other - mark to market</v>
          </cell>
          <cell r="W41" t="str">
            <v>IFRS NAV</v>
          </cell>
          <cell r="X41" t="str">
            <v>Ernst &amp; Young</v>
          </cell>
          <cell r="Y41" t="str">
            <v>Limited Partnership</v>
          </cell>
          <cell r="Z41" t="str">
            <v>No</v>
          </cell>
          <cell r="AA41" t="str">
            <v>No</v>
          </cell>
          <cell r="AC41" t="str">
            <v>Non-Listed Fund</v>
          </cell>
          <cell r="AD41" t="str">
            <v>Opportunity</v>
          </cell>
          <cell r="AE41" t="str">
            <v>finite</v>
          </cell>
          <cell r="AF41" t="str">
            <v>Closed end</v>
          </cell>
          <cell r="AG41">
            <v>16</v>
          </cell>
          <cell r="AH41">
            <v>20</v>
          </cell>
          <cell r="AI41" t="str">
            <v>Gross</v>
          </cell>
          <cell r="AJ41" t="str">
            <v>None</v>
          </cell>
          <cell r="AL41">
            <v>70</v>
          </cell>
          <cell r="AM41" t="str">
            <v>&gt; 60%</v>
          </cell>
          <cell r="AN41" t="str">
            <v>Institutional</v>
          </cell>
          <cell r="AO41" t="str">
            <v>&gt; 2</v>
          </cell>
          <cell r="AP41" t="str">
            <v>≥ 50%</v>
          </cell>
          <cell r="AQ41" t="str">
            <v>Europe</v>
          </cell>
          <cell r="AR41" t="str">
            <v>multi country</v>
          </cell>
          <cell r="AS41" t="str">
            <v>Europe</v>
          </cell>
          <cell r="AU41" t="str">
            <v>multi sector</v>
          </cell>
          <cell r="AW41">
            <v>1200000000</v>
          </cell>
          <cell r="AX41">
            <v>4000000000</v>
          </cell>
          <cell r="AY41">
            <v>2007</v>
          </cell>
          <cell r="AZ41">
            <v>2016</v>
          </cell>
          <cell r="BA41" t="str">
            <v>Yes</v>
          </cell>
          <cell r="BB41" t="str">
            <v>Yes</v>
          </cell>
          <cell r="BC41" t="str">
            <v>1+1 years</v>
          </cell>
          <cell r="BD41" t="str">
            <v>Yes</v>
          </cell>
          <cell r="BE41" t="str">
            <v>&lt; 60%</v>
          </cell>
          <cell r="BF41" t="str">
            <v>&gt; 15% - ≤ 40%</v>
          </cell>
          <cell r="BG41" t="str">
            <v>&gt; 5 - ≤ 25%</v>
          </cell>
          <cell r="BH41" t="str">
            <v>2013-06-30</v>
          </cell>
          <cell r="BI41">
            <v>2272962791</v>
          </cell>
          <cell r="BJ41">
            <v>2272962791</v>
          </cell>
          <cell r="BK41">
            <v>780090278</v>
          </cell>
          <cell r="BL41">
            <v>780090278</v>
          </cell>
          <cell r="BM41">
            <v>66.099999999999994</v>
          </cell>
          <cell r="BN41" t="str">
            <v>No</v>
          </cell>
          <cell r="BO41" t="str">
            <v>Internal</v>
          </cell>
          <cell r="BP41">
            <v>56</v>
          </cell>
          <cell r="BQ41">
            <v>25</v>
          </cell>
          <cell r="BR41">
            <v>972812246</v>
          </cell>
          <cell r="BS41">
            <v>972812246</v>
          </cell>
          <cell r="BT41">
            <v>707379757</v>
          </cell>
          <cell r="BU41">
            <v>707379757</v>
          </cell>
          <cell r="BV41" t="str">
            <v>No</v>
          </cell>
          <cell r="BW41" t="str">
            <v>France</v>
          </cell>
          <cell r="BX41" t="str">
            <v>Office</v>
          </cell>
          <cell r="BY41">
            <v>6.05</v>
          </cell>
          <cell r="BZ41" t="str">
            <v>Germany</v>
          </cell>
          <cell r="CA41" t="str">
            <v>Retail</v>
          </cell>
          <cell r="CB41">
            <v>12.47</v>
          </cell>
          <cell r="CC41" t="str">
            <v>Germany</v>
          </cell>
          <cell r="CD41" t="str">
            <v>Leisure</v>
          </cell>
          <cell r="CE41">
            <v>2</v>
          </cell>
          <cell r="CF41" t="str">
            <v>Romania</v>
          </cell>
          <cell r="CG41" t="str">
            <v>Office</v>
          </cell>
          <cell r="CH41">
            <v>2.78</v>
          </cell>
          <cell r="CI41" t="str">
            <v>Romania</v>
          </cell>
          <cell r="CJ41" t="str">
            <v>Residential</v>
          </cell>
          <cell r="CK41">
            <v>0.14000000000000001</v>
          </cell>
          <cell r="CL41" t="str">
            <v>Slovakia</v>
          </cell>
          <cell r="CM41" t="str">
            <v>Mixed</v>
          </cell>
          <cell r="CN41">
            <v>8.8000000000000007</v>
          </cell>
          <cell r="CO41" t="str">
            <v>Spain</v>
          </cell>
          <cell r="CP41" t="str">
            <v>Office</v>
          </cell>
          <cell r="CQ41">
            <v>9.59</v>
          </cell>
          <cell r="CR41" t="str">
            <v>Turkey</v>
          </cell>
          <cell r="CS41" t="str">
            <v>Retail</v>
          </cell>
          <cell r="CT41">
            <v>8.94</v>
          </cell>
          <cell r="CU41" t="str">
            <v>Turkey</v>
          </cell>
          <cell r="CV41" t="str">
            <v>Residential</v>
          </cell>
          <cell r="CW41">
            <v>0.28999999999999998</v>
          </cell>
          <cell r="CX41" t="str">
            <v>Ukraine</v>
          </cell>
          <cell r="CY41" t="str">
            <v>Office</v>
          </cell>
          <cell r="CZ41">
            <v>0.3</v>
          </cell>
          <cell r="DA41" t="str">
            <v>United Kingdom</v>
          </cell>
          <cell r="DB41" t="str">
            <v>Office</v>
          </cell>
          <cell r="DC41">
            <v>3.62</v>
          </cell>
          <cell r="DD41" t="str">
            <v>United Kingdom</v>
          </cell>
          <cell r="DE41" t="str">
            <v>Mixed</v>
          </cell>
          <cell r="DF41">
            <v>13.45</v>
          </cell>
          <cell r="DG41" t="str">
            <v>United Kingdom</v>
          </cell>
          <cell r="DH41" t="str">
            <v>Health Care</v>
          </cell>
          <cell r="DI41">
            <v>0.08</v>
          </cell>
          <cell r="DJ41" t="str">
            <v>United Kingdom</v>
          </cell>
          <cell r="DK41" t="str">
            <v>Retail</v>
          </cell>
          <cell r="DL41">
            <v>8.76</v>
          </cell>
          <cell r="DM41" t="str">
            <v>United Kingdom</v>
          </cell>
          <cell r="DN41" t="str">
            <v>Residential</v>
          </cell>
          <cell r="DO41">
            <v>22.73</v>
          </cell>
        </row>
        <row r="42">
          <cell r="A42">
            <v>19337</v>
          </cell>
          <cell r="B42" t="str">
            <v>ARES EUROPEAN REAL ESTATE FUND IV</v>
          </cell>
          <cell r="C42" t="str">
            <v>ARES MANAGEMENT LTD</v>
          </cell>
          <cell r="D42" t="str">
            <v>10 New Burlington Street</v>
          </cell>
          <cell r="E42" t="str">
            <v>W1S 3BE</v>
          </cell>
          <cell r="F42" t="str">
            <v>London</v>
          </cell>
          <cell r="G42" t="str">
            <v>United Kingdom</v>
          </cell>
          <cell r="H42" t="str">
            <v>+442074346320</v>
          </cell>
          <cell r="J42" t="str">
            <v>http://www.aresmgmt.com</v>
          </cell>
          <cell r="K42" t="str">
            <v>Andre</v>
          </cell>
          <cell r="L42" t="str">
            <v>akoukos@aresmgmt.com</v>
          </cell>
          <cell r="M42" t="str">
            <v>+442074346339</v>
          </cell>
          <cell r="N42" t="str">
            <v>Daniel Taylor</v>
          </cell>
          <cell r="O42" t="str">
            <v>dtaylor@aresmgmt.com</v>
          </cell>
          <cell r="P42" t="str">
            <v>+442074346320</v>
          </cell>
          <cell r="Q42" t="str">
            <v>United Kingdom</v>
          </cell>
          <cell r="R42" t="str">
            <v>USD</v>
          </cell>
          <cell r="S42" t="str">
            <v>Local GAAP</v>
          </cell>
          <cell r="T42" t="str">
            <v>Quarterly</v>
          </cell>
          <cell r="U42" t="str">
            <v>Annually</v>
          </cell>
          <cell r="V42" t="str">
            <v>Other - mark to market</v>
          </cell>
          <cell r="W42" t="str">
            <v>US GAAP</v>
          </cell>
          <cell r="X42" t="str">
            <v>Ernst &amp; Young</v>
          </cell>
          <cell r="Y42" t="str">
            <v>Real Estate Fund</v>
          </cell>
          <cell r="Z42" t="str">
            <v>No</v>
          </cell>
          <cell r="AA42" t="str">
            <v>No</v>
          </cell>
          <cell r="AC42" t="str">
            <v>Non-Listed Fund</v>
          </cell>
          <cell r="AD42" t="str">
            <v>Opportunity</v>
          </cell>
          <cell r="AE42" t="str">
            <v>finite</v>
          </cell>
          <cell r="AF42" t="str">
            <v>Closed end</v>
          </cell>
          <cell r="AG42">
            <v>16</v>
          </cell>
          <cell r="AH42">
            <v>20</v>
          </cell>
          <cell r="AI42" t="str">
            <v>Gross</v>
          </cell>
          <cell r="AJ42" t="str">
            <v>None</v>
          </cell>
          <cell r="AK42">
            <v>0</v>
          </cell>
          <cell r="AL42">
            <v>65</v>
          </cell>
          <cell r="AM42" t="str">
            <v>&gt; 60%</v>
          </cell>
          <cell r="AN42" t="str">
            <v>Institutional</v>
          </cell>
          <cell r="AO42" t="str">
            <v>&gt; 2</v>
          </cell>
          <cell r="AP42" t="str">
            <v>≥ 50%</v>
          </cell>
          <cell r="AQ42" t="str">
            <v>Europe</v>
          </cell>
          <cell r="AR42" t="str">
            <v>multi country</v>
          </cell>
          <cell r="AS42" t="str">
            <v>Europe</v>
          </cell>
          <cell r="AU42" t="str">
            <v>multi sector</v>
          </cell>
          <cell r="AW42">
            <v>1300000000</v>
          </cell>
          <cell r="AX42">
            <v>3700000000</v>
          </cell>
          <cell r="AY42">
            <v>2013</v>
          </cell>
          <cell r="AZ42">
            <v>2024</v>
          </cell>
          <cell r="BA42" t="str">
            <v>Yes</v>
          </cell>
          <cell r="BB42" t="str">
            <v>Yes</v>
          </cell>
          <cell r="BC42" t="str">
            <v>1+1 years</v>
          </cell>
          <cell r="BD42" t="str">
            <v>No</v>
          </cell>
          <cell r="BE42" t="str">
            <v>&lt; 60%</v>
          </cell>
          <cell r="BF42" t="str">
            <v>&gt; 15% - ≤ 40%</v>
          </cell>
          <cell r="BG42" t="str">
            <v>&gt; 5 - ≤ 25%</v>
          </cell>
        </row>
        <row r="43">
          <cell r="A43">
            <v>19338</v>
          </cell>
          <cell r="B43" t="str">
            <v>ARES EUROPEAN REAL ESTATE FUND V</v>
          </cell>
          <cell r="C43" t="str">
            <v xml:space="preserve">ARES MANAGEMENT LTD. </v>
          </cell>
          <cell r="D43">
            <v>10</v>
          </cell>
          <cell r="E43" t="str">
            <v>W1S 3BE</v>
          </cell>
          <cell r="F43" t="str">
            <v>London</v>
          </cell>
          <cell r="G43" t="str">
            <v>United Kingdom</v>
          </cell>
          <cell r="H43" t="str">
            <v>+442074346320</v>
          </cell>
          <cell r="J43" t="str">
            <v>http://www.aresmgmt.com</v>
          </cell>
          <cell r="K43" t="str">
            <v>Cameron Dewar</v>
          </cell>
          <cell r="L43" t="str">
            <v>cdewar@aresmgmt.com</v>
          </cell>
          <cell r="M43" t="str">
            <v xml:space="preserve">+442074346327 </v>
          </cell>
          <cell r="N43" t="str">
            <v>Daniel Taylor</v>
          </cell>
          <cell r="O43" t="str">
            <v>dtaylor@aresmgmt.com</v>
          </cell>
          <cell r="P43" t="str">
            <v>+442074346320</v>
          </cell>
          <cell r="Q43" t="str">
            <v>Luxembourg</v>
          </cell>
          <cell r="R43" t="str">
            <v>EUR</v>
          </cell>
          <cell r="S43" t="str">
            <v>Local GAAP</v>
          </cell>
          <cell r="T43" t="str">
            <v>Quarterly</v>
          </cell>
          <cell r="U43" t="str">
            <v>Quarterly</v>
          </cell>
          <cell r="V43" t="str">
            <v>Other - mark to market</v>
          </cell>
          <cell r="W43" t="str">
            <v>INREV NAV</v>
          </cell>
          <cell r="X43" t="str">
            <v>Ernst &amp; Young</v>
          </cell>
          <cell r="Y43" t="str">
            <v>SCSp</v>
          </cell>
          <cell r="Z43" t="str">
            <v>Yes</v>
          </cell>
          <cell r="AA43" t="str">
            <v>No</v>
          </cell>
          <cell r="AC43" t="str">
            <v>Non-Listed Fund</v>
          </cell>
          <cell r="AD43" t="str">
            <v>Opportunity</v>
          </cell>
          <cell r="AE43" t="str">
            <v>finite</v>
          </cell>
          <cell r="AF43" t="str">
            <v>Closed end</v>
          </cell>
          <cell r="AG43">
            <v>16</v>
          </cell>
          <cell r="AH43">
            <v>20</v>
          </cell>
          <cell r="AI43" t="str">
            <v>Gross</v>
          </cell>
          <cell r="AJ43" t="str">
            <v>None</v>
          </cell>
          <cell r="AK43">
            <v>0</v>
          </cell>
          <cell r="AL43">
            <v>65</v>
          </cell>
          <cell r="AM43" t="str">
            <v>&gt; 60%</v>
          </cell>
          <cell r="AN43" t="str">
            <v>Institutional</v>
          </cell>
          <cell r="AO43" t="str">
            <v>&gt; 2</v>
          </cell>
          <cell r="AP43" t="str">
            <v>≥ 50%</v>
          </cell>
          <cell r="AQ43" t="str">
            <v>Europe</v>
          </cell>
          <cell r="AR43" t="str">
            <v>multi country</v>
          </cell>
          <cell r="AS43" t="str">
            <v>Europe</v>
          </cell>
          <cell r="AU43" t="str">
            <v>multi sector</v>
          </cell>
          <cell r="AW43">
            <v>1800000000</v>
          </cell>
          <cell r="AX43">
            <v>5100000000</v>
          </cell>
          <cell r="AY43">
            <v>2018</v>
          </cell>
          <cell r="AZ43">
            <v>2029</v>
          </cell>
          <cell r="BA43" t="str">
            <v>Yes</v>
          </cell>
          <cell r="BB43" t="str">
            <v>Yes</v>
          </cell>
          <cell r="BC43" t="str">
            <v>1+1 years</v>
          </cell>
          <cell r="BD43" t="str">
            <v>No</v>
          </cell>
          <cell r="BE43" t="str">
            <v>&lt; 60%</v>
          </cell>
          <cell r="BF43" t="str">
            <v>&gt; 15% - ≤ 40%</v>
          </cell>
          <cell r="BG43" t="str">
            <v>&gt; 5 - ≤ 25%</v>
          </cell>
        </row>
        <row r="44">
          <cell r="A44">
            <v>36</v>
          </cell>
          <cell r="B44" t="str">
            <v>ARLINGTON BUSINESS PARKS PARTNERSHIP</v>
          </cell>
          <cell r="C44" t="str">
            <v>GOODMAN REAL ESTATE ADVISOR LTD</v>
          </cell>
          <cell r="D44" t="str">
            <v>Arlington House, 1025 Arlington Business Park</v>
          </cell>
          <cell r="E44" t="str">
            <v>RG7 4SA</v>
          </cell>
          <cell r="F44" t="str">
            <v>Theale</v>
          </cell>
          <cell r="G44" t="str">
            <v>United Kingdom</v>
          </cell>
          <cell r="H44" t="str">
            <v>+44 (0) 118 930 4141</v>
          </cell>
          <cell r="I44" t="str">
            <v>+44 (0) 118 930 4383</v>
          </cell>
          <cell r="J44" t="str">
            <v>http://www.goodman.com</v>
          </cell>
          <cell r="K44" t="str">
            <v>Penny Savidan</v>
          </cell>
          <cell r="L44" t="str">
            <v>penny.savidan@goodman.com</v>
          </cell>
          <cell r="M44" t="str">
            <v>+44 7876 331 756</v>
          </cell>
          <cell r="N44" t="str">
            <v>Sebastian Haufe</v>
          </cell>
          <cell r="O44" t="str">
            <v>sebastian.haufe@goodman.com</v>
          </cell>
          <cell r="P44" t="str">
            <v>+44 7827 353 084</v>
          </cell>
          <cell r="Q44" t="str">
            <v>United Kingdom</v>
          </cell>
          <cell r="R44" t="str">
            <v>GBP</v>
          </cell>
          <cell r="S44" t="str">
            <v>Local GAAP</v>
          </cell>
          <cell r="T44" t="str">
            <v>Annually</v>
          </cell>
          <cell r="U44" t="str">
            <v>Quarterly</v>
          </cell>
          <cell r="V44" t="str">
            <v>RICS</v>
          </cell>
          <cell r="X44" t="str">
            <v>PriceWaterhouseCoopers</v>
          </cell>
          <cell r="Y44" t="str">
            <v>UK Limited Partnership with entry via a Jersey PUT</v>
          </cell>
          <cell r="Z44" t="str">
            <v>No</v>
          </cell>
          <cell r="AB44">
            <v>0</v>
          </cell>
          <cell r="AC44" t="str">
            <v>Non-Listed Fund</v>
          </cell>
          <cell r="AD44" t="str">
            <v>Value-added</v>
          </cell>
          <cell r="AE44" t="str">
            <v>finite</v>
          </cell>
          <cell r="AF44" t="str">
            <v>Closed end</v>
          </cell>
          <cell r="AG44">
            <v>1</v>
          </cell>
          <cell r="AH44">
            <v>1</v>
          </cell>
          <cell r="AJ44" t="str">
            <v>Bespoke IPD Benchmark</v>
          </cell>
          <cell r="AL44">
            <v>50</v>
          </cell>
          <cell r="AM44" t="str">
            <v>&gt; 40% - ≤ 60%</v>
          </cell>
          <cell r="AN44" t="str">
            <v>Institutional</v>
          </cell>
          <cell r="AO44" t="str">
            <v>&gt; 2</v>
          </cell>
          <cell r="AP44" t="str">
            <v>≥ 50%</v>
          </cell>
          <cell r="AQ44" t="str">
            <v>Europe</v>
          </cell>
          <cell r="AR44" t="str">
            <v>single country</v>
          </cell>
          <cell r="AT44" t="str">
            <v>United Kingdom</v>
          </cell>
          <cell r="AU44" t="str">
            <v>single sector</v>
          </cell>
          <cell r="AV44" t="str">
            <v>Office</v>
          </cell>
          <cell r="AW44">
            <v>750000000</v>
          </cell>
          <cell r="AX44">
            <v>1300000000</v>
          </cell>
          <cell r="AY44">
            <v>2003</v>
          </cell>
          <cell r="AZ44">
            <v>2020</v>
          </cell>
          <cell r="BA44" t="str">
            <v>Yes</v>
          </cell>
          <cell r="BH44" t="str">
            <v>2017-06-30</v>
          </cell>
          <cell r="BI44">
            <v>488700000</v>
          </cell>
          <cell r="BJ44">
            <v>555555555.53172004</v>
          </cell>
          <cell r="BK44">
            <v>309300000</v>
          </cell>
          <cell r="BL44">
            <v>351613123.23707998</v>
          </cell>
          <cell r="BM44">
            <v>31.1</v>
          </cell>
          <cell r="BN44" t="str">
            <v>No</v>
          </cell>
          <cell r="BO44" t="str">
            <v>External</v>
          </cell>
          <cell r="BP44">
            <v>9</v>
          </cell>
          <cell r="BQ44">
            <v>32</v>
          </cell>
          <cell r="BR44">
            <v>309300000</v>
          </cell>
          <cell r="BS44">
            <v>361606359.97241998</v>
          </cell>
          <cell r="BT44">
            <v>309300000</v>
          </cell>
          <cell r="BU44">
            <v>361606359.97241998</v>
          </cell>
          <cell r="BV44" t="str">
            <v>No</v>
          </cell>
          <cell r="BW44" t="str">
            <v>United Kingdom</v>
          </cell>
          <cell r="BX44" t="str">
            <v>Office</v>
          </cell>
          <cell r="BY44">
            <v>87.2</v>
          </cell>
          <cell r="BZ44" t="str">
            <v>United Kingdom</v>
          </cell>
          <cell r="CA44" t="str">
            <v>Industrial / Logistics</v>
          </cell>
          <cell r="CB44">
            <v>0.7</v>
          </cell>
          <cell r="CC44" t="str">
            <v>United Kingdom</v>
          </cell>
          <cell r="CD44" t="str">
            <v>Development Office</v>
          </cell>
          <cell r="CE44">
            <v>2</v>
          </cell>
          <cell r="CF44" t="str">
            <v>United Kingdom</v>
          </cell>
          <cell r="CG44" t="str">
            <v>Other</v>
          </cell>
          <cell r="CH44">
            <v>6.4</v>
          </cell>
        </row>
        <row r="45">
          <cell r="A45">
            <v>37</v>
          </cell>
          <cell r="B45" t="str">
            <v>ARMILLA-FONDO COMUNE DI INVESTIMENTO IMMOBILIARE DI TIPO CHIUSO</v>
          </cell>
          <cell r="C45" t="str">
            <v>PRELIOS SGR S.P.A.</v>
          </cell>
          <cell r="D45" t="str">
            <v>Via Valtellina 15/17</v>
          </cell>
          <cell r="E45">
            <v>20159</v>
          </cell>
          <cell r="F45" t="str">
            <v>Milan</v>
          </cell>
          <cell r="G45" t="str">
            <v>Italy</v>
          </cell>
          <cell r="H45" t="str">
            <v>+39 02 62811</v>
          </cell>
          <cell r="I45" t="str">
            <v>+39 02 6281 6061</v>
          </cell>
          <cell r="J45" t="str">
            <v>http://www.preliossgr.com</v>
          </cell>
          <cell r="K45" t="str">
            <v>Francesco Centrone</v>
          </cell>
          <cell r="L45" t="str">
            <v>francesco.centrone@preliossgr.com</v>
          </cell>
          <cell r="M45" t="str">
            <v>+39 02 6281 4421</v>
          </cell>
          <cell r="P45" t="str">
            <v>+39 02 6281 6061</v>
          </cell>
          <cell r="Q45" t="str">
            <v>Italy</v>
          </cell>
          <cell r="R45" t="str">
            <v>EUR</v>
          </cell>
          <cell r="S45" t="str">
            <v>Local GAAP</v>
          </cell>
          <cell r="T45" t="str">
            <v>Quarterly</v>
          </cell>
          <cell r="U45" t="str">
            <v>Quarterly</v>
          </cell>
          <cell r="W45" t="str">
            <v>Banca d’Italia Rules</v>
          </cell>
          <cell r="X45" t="str">
            <v>EY</v>
          </cell>
          <cell r="Y45" t="str">
            <v>Real Estate Fund</v>
          </cell>
          <cell r="Z45" t="str">
            <v>No</v>
          </cell>
          <cell r="AA45" t="str">
            <v>No</v>
          </cell>
          <cell r="AB45">
            <v>0</v>
          </cell>
          <cell r="AC45" t="str">
            <v>Non-Listed Fund</v>
          </cell>
          <cell r="AD45" t="str">
            <v>Core</v>
          </cell>
          <cell r="AE45" t="str">
            <v>finite</v>
          </cell>
          <cell r="AF45" t="str">
            <v>Closed end</v>
          </cell>
          <cell r="AG45">
            <v>8.5</v>
          </cell>
          <cell r="AH45">
            <v>8.5</v>
          </cell>
          <cell r="AI45" t="str">
            <v>Net</v>
          </cell>
          <cell r="AJ45" t="str">
            <v>None</v>
          </cell>
          <cell r="AK45">
            <v>9</v>
          </cell>
          <cell r="AL45">
            <v>50</v>
          </cell>
          <cell r="AM45" t="str">
            <v>&gt; 40% - ≤ 60%</v>
          </cell>
          <cell r="AN45" t="str">
            <v>Institutional</v>
          </cell>
          <cell r="AO45" t="str">
            <v>&gt; 2</v>
          </cell>
          <cell r="AP45" t="str">
            <v>≥ 50%</v>
          </cell>
          <cell r="AQ45" t="str">
            <v>Europe</v>
          </cell>
          <cell r="AR45" t="str">
            <v>single country</v>
          </cell>
          <cell r="AT45" t="str">
            <v>Italy</v>
          </cell>
          <cell r="AU45" t="str">
            <v>single sector</v>
          </cell>
          <cell r="AV45" t="str">
            <v>Office</v>
          </cell>
          <cell r="AW45">
            <v>88500000</v>
          </cell>
          <cell r="AX45">
            <v>244600000</v>
          </cell>
          <cell r="AY45">
            <v>2006</v>
          </cell>
          <cell r="AZ45">
            <v>2021</v>
          </cell>
          <cell r="BA45" t="str">
            <v>Yes</v>
          </cell>
          <cell r="BB45" t="str">
            <v>Yes</v>
          </cell>
          <cell r="BC45" t="str">
            <v>15 years</v>
          </cell>
          <cell r="BH45" t="str">
            <v>2020-06-30</v>
          </cell>
          <cell r="BI45">
            <v>185360198</v>
          </cell>
          <cell r="BJ45">
            <v>185360198</v>
          </cell>
          <cell r="BK45">
            <v>93131627</v>
          </cell>
          <cell r="BL45">
            <v>93131627</v>
          </cell>
          <cell r="BM45">
            <v>48.6</v>
          </cell>
          <cell r="BN45" t="str">
            <v>No</v>
          </cell>
          <cell r="BO45" t="str">
            <v>External</v>
          </cell>
          <cell r="BP45">
            <v>3</v>
          </cell>
          <cell r="BQ45">
            <v>13</v>
          </cell>
          <cell r="BR45">
            <v>66528250.140000001</v>
          </cell>
          <cell r="BS45">
            <v>66528250.140000001</v>
          </cell>
          <cell r="BT45">
            <v>66528250.140000001</v>
          </cell>
          <cell r="BU45">
            <v>66528250.140000001</v>
          </cell>
          <cell r="BW45" t="str">
            <v>Italy</v>
          </cell>
          <cell r="BX45" t="str">
            <v>Office</v>
          </cell>
          <cell r="BY45">
            <v>97.75</v>
          </cell>
        </row>
        <row r="46">
          <cell r="A46">
            <v>575</v>
          </cell>
          <cell r="B46" t="str">
            <v>ARMINIUS REAL ESTATE OPPORTUNITY FUND, L.P.</v>
          </cell>
          <cell r="C46" t="str">
            <v>ARMINIUS FUNDS MANAGEMENT LIMITED</v>
          </cell>
          <cell r="D46" t="str">
            <v>First Island House 19-21 Peter Street</v>
          </cell>
          <cell r="E46" t="str">
            <v>JE2 4SP</v>
          </cell>
          <cell r="F46" t="str">
            <v>St. Helier</v>
          </cell>
          <cell r="G46" t="str">
            <v>Jersey</v>
          </cell>
          <cell r="H46" t="str">
            <v>+ 44 1534 723 402</v>
          </cell>
          <cell r="I46" t="str">
            <v>+44 1534 600 198</v>
          </cell>
          <cell r="J46" t="str">
            <v>http://www.arminiusgroup.com/</v>
          </cell>
          <cell r="K46" t="str">
            <v>Peter J. Jun</v>
          </cell>
          <cell r="L46" t="str">
            <v>pjun@arminiusgroup.com</v>
          </cell>
          <cell r="M46" t="str">
            <v>+31 6 151 70977</v>
          </cell>
          <cell r="N46" t="str">
            <v>Peter J. Jun</v>
          </cell>
          <cell r="O46" t="str">
            <v>pjun@arminiusgroup.com</v>
          </cell>
          <cell r="P46" t="str">
            <v>+31 6 151 70977</v>
          </cell>
          <cell r="Q46" t="str">
            <v>Jersey</v>
          </cell>
          <cell r="R46" t="str">
            <v>EUR</v>
          </cell>
          <cell r="S46" t="str">
            <v>Local GAAP</v>
          </cell>
          <cell r="T46" t="str">
            <v>Quarterly</v>
          </cell>
          <cell r="U46" t="str">
            <v>Annually</v>
          </cell>
          <cell r="X46" t="str">
            <v>KPMG</v>
          </cell>
          <cell r="Y46" t="str">
            <v>Limited Partnership</v>
          </cell>
          <cell r="Z46" t="str">
            <v>No</v>
          </cell>
          <cell r="AA46" t="str">
            <v>No</v>
          </cell>
          <cell r="AB46">
            <v>0</v>
          </cell>
          <cell r="AC46" t="str">
            <v>Non-Listed Fund</v>
          </cell>
          <cell r="AD46" t="str">
            <v>Opportunity</v>
          </cell>
          <cell r="AE46" t="str">
            <v>finite</v>
          </cell>
          <cell r="AF46" t="str">
            <v>Closed end</v>
          </cell>
          <cell r="AG46">
            <v>20</v>
          </cell>
          <cell r="AH46">
            <v>20</v>
          </cell>
          <cell r="AI46" t="str">
            <v>Gross</v>
          </cell>
          <cell r="AL46">
            <v>75</v>
          </cell>
          <cell r="AM46" t="str">
            <v>&gt; 60%</v>
          </cell>
          <cell r="AN46" t="str">
            <v>Institutional</v>
          </cell>
          <cell r="AO46" t="str">
            <v>≤ 2</v>
          </cell>
          <cell r="AP46" t="str">
            <v>≥ 50%</v>
          </cell>
          <cell r="AQ46" t="str">
            <v>Europe</v>
          </cell>
          <cell r="AR46" t="str">
            <v>single country</v>
          </cell>
          <cell r="AT46" t="str">
            <v>Germany</v>
          </cell>
          <cell r="AU46" t="str">
            <v>multi sector</v>
          </cell>
          <cell r="AW46">
            <v>362700000</v>
          </cell>
          <cell r="AX46">
            <v>1000000000</v>
          </cell>
          <cell r="AY46">
            <v>2006</v>
          </cell>
          <cell r="AZ46">
            <v>2014</v>
          </cell>
          <cell r="BA46" t="str">
            <v>Yes</v>
          </cell>
          <cell r="BB46" t="str">
            <v>Yes</v>
          </cell>
          <cell r="BC46" t="str">
            <v>1+1 years</v>
          </cell>
          <cell r="BH46" t="str">
            <v>2010-09-30</v>
          </cell>
          <cell r="BI46">
            <v>990300000</v>
          </cell>
          <cell r="BJ46">
            <v>990300000</v>
          </cell>
          <cell r="BK46">
            <v>355800000</v>
          </cell>
          <cell r="BL46">
            <v>355800000</v>
          </cell>
          <cell r="BM46">
            <v>66.400000000000006</v>
          </cell>
          <cell r="BP46">
            <v>21</v>
          </cell>
          <cell r="BQ46">
            <v>16</v>
          </cell>
          <cell r="BR46">
            <v>362700000</v>
          </cell>
          <cell r="BS46">
            <v>362700000</v>
          </cell>
          <cell r="BU46">
            <v>0</v>
          </cell>
          <cell r="BV46" t="str">
            <v>No</v>
          </cell>
        </row>
        <row r="47">
          <cell r="A47">
            <v>17353</v>
          </cell>
          <cell r="B47" t="str">
            <v>ASR DUTCH CORE RESIDENTIAL FUND</v>
          </cell>
          <cell r="C47" t="str">
            <v>A.S.R. REAL ESTATE</v>
          </cell>
          <cell r="D47" t="str">
            <v>Archimedeslaan 10</v>
          </cell>
          <cell r="E47" t="str">
            <v>3584 BA</v>
          </cell>
          <cell r="F47" t="str">
            <v>Utrecht</v>
          </cell>
          <cell r="G47" t="str">
            <v>Netherlands</v>
          </cell>
          <cell r="H47" t="str">
            <v>+31302572380</v>
          </cell>
          <cell r="J47" t="str">
            <v>http://www.asrrealestate.nl</v>
          </cell>
          <cell r="K47" t="str">
            <v>Robbert van Dijk</v>
          </cell>
          <cell r="L47" t="str">
            <v>robbert.van.dijk@asr.nl</v>
          </cell>
          <cell r="M47" t="str">
            <v>+31621294363</v>
          </cell>
          <cell r="N47" t="str">
            <v>Robbert van Dijk</v>
          </cell>
          <cell r="O47" t="str">
            <v>robbert.van.dijk@asr.nl</v>
          </cell>
          <cell r="P47" t="str">
            <v>+31621294363</v>
          </cell>
          <cell r="Q47" t="str">
            <v>Netherlands</v>
          </cell>
          <cell r="R47" t="str">
            <v>EUR</v>
          </cell>
          <cell r="S47" t="str">
            <v>IFRS</v>
          </cell>
          <cell r="T47" t="str">
            <v>Quarterly</v>
          </cell>
          <cell r="U47" t="str">
            <v>Quarterly</v>
          </cell>
          <cell r="V47" t="str">
            <v>RICS</v>
          </cell>
          <cell r="W47" t="str">
            <v>INREV NAV</v>
          </cell>
          <cell r="X47" t="str">
            <v>EY</v>
          </cell>
          <cell r="Y47" t="str">
            <v>Real Estate Fund</v>
          </cell>
          <cell r="Z47" t="str">
            <v>Yes</v>
          </cell>
          <cell r="AA47" t="str">
            <v>No</v>
          </cell>
          <cell r="AB47">
            <v>0</v>
          </cell>
          <cell r="AC47" t="str">
            <v>Non-Listed Fund</v>
          </cell>
          <cell r="AD47" t="str">
            <v>Core</v>
          </cell>
          <cell r="AE47" t="str">
            <v>infinite</v>
          </cell>
          <cell r="AF47" t="str">
            <v>Open end</v>
          </cell>
          <cell r="AG47">
            <v>6</v>
          </cell>
          <cell r="AH47">
            <v>8</v>
          </cell>
          <cell r="AI47" t="str">
            <v>Net</v>
          </cell>
          <cell r="AJ47" t="str">
            <v>IPD Index</v>
          </cell>
          <cell r="AK47">
            <v>4</v>
          </cell>
          <cell r="AL47">
            <v>0</v>
          </cell>
          <cell r="AM47" t="str">
            <v>≤ 40%</v>
          </cell>
          <cell r="AN47" t="str">
            <v>Institutional</v>
          </cell>
          <cell r="AO47" t="str">
            <v>&gt; 2</v>
          </cell>
          <cell r="AP47" t="str">
            <v>≥ 50%</v>
          </cell>
          <cell r="AQ47" t="str">
            <v>Europe</v>
          </cell>
          <cell r="AR47" t="str">
            <v>single country</v>
          </cell>
          <cell r="AT47" t="str">
            <v>Netherlands</v>
          </cell>
          <cell r="AU47" t="str">
            <v>single sector</v>
          </cell>
          <cell r="AV47" t="str">
            <v>Residential</v>
          </cell>
          <cell r="AW47">
            <v>300000000</v>
          </cell>
          <cell r="AX47">
            <v>1500000000</v>
          </cell>
          <cell r="AY47">
            <v>2013</v>
          </cell>
          <cell r="BD47" t="str">
            <v>Yes</v>
          </cell>
          <cell r="BE47" t="str">
            <v>≥ 60%</v>
          </cell>
          <cell r="BF47" t="str">
            <v>≤ 15%</v>
          </cell>
          <cell r="BG47" t="str">
            <v>&gt; 5 - ≤ 25%</v>
          </cell>
          <cell r="BH47" t="str">
            <v>2020-12-31</v>
          </cell>
          <cell r="BI47">
            <v>1788500000</v>
          </cell>
          <cell r="BJ47">
            <v>1788500000</v>
          </cell>
          <cell r="BK47">
            <v>1778948000</v>
          </cell>
          <cell r="BL47">
            <v>1778948000</v>
          </cell>
          <cell r="BM47">
            <v>0</v>
          </cell>
          <cell r="BN47" t="str">
            <v>No</v>
          </cell>
          <cell r="BO47" t="str">
            <v>External</v>
          </cell>
          <cell r="BP47">
            <v>11</v>
          </cell>
          <cell r="BQ47">
            <v>85</v>
          </cell>
          <cell r="BR47">
            <v>1532603000</v>
          </cell>
          <cell r="BS47">
            <v>1532603000</v>
          </cell>
          <cell r="BT47">
            <v>1532603000</v>
          </cell>
          <cell r="BU47">
            <v>1532603000</v>
          </cell>
          <cell r="BV47" t="str">
            <v>No</v>
          </cell>
          <cell r="BW47" t="str">
            <v>Netherlands</v>
          </cell>
          <cell r="BX47" t="str">
            <v>Residential</v>
          </cell>
          <cell r="BY47">
            <v>96</v>
          </cell>
        </row>
        <row r="48">
          <cell r="A48">
            <v>18272</v>
          </cell>
          <cell r="B48" t="str">
            <v>ASR DUTCH MOBILITY OFFICE FUND</v>
          </cell>
          <cell r="C48" t="str">
            <v>ASR REAL ESTATE B.V.</v>
          </cell>
          <cell r="D48" t="str">
            <v>Archimedeslaan 10</v>
          </cell>
          <cell r="E48" t="str">
            <v>3584 BA</v>
          </cell>
          <cell r="F48" t="str">
            <v>Utrecht</v>
          </cell>
          <cell r="G48" t="str">
            <v>Netherlands</v>
          </cell>
          <cell r="J48" t="str">
            <v>https://asrrealestate.nl</v>
          </cell>
          <cell r="K48" t="str">
            <v>Pieter Vandeginste</v>
          </cell>
          <cell r="L48" t="str">
            <v>pieter.vandeginste@asr.nl</v>
          </cell>
          <cell r="M48" t="str">
            <v>+31622787955</v>
          </cell>
          <cell r="N48" t="str">
            <v>Luc Joosten</v>
          </cell>
          <cell r="O48" t="str">
            <v>luc.joosten@asr.nl</v>
          </cell>
          <cell r="P48" t="str">
            <v>+31683648185</v>
          </cell>
          <cell r="Q48" t="str">
            <v>Netherlands</v>
          </cell>
          <cell r="R48" t="str">
            <v>EUR</v>
          </cell>
          <cell r="S48" t="str">
            <v>IFRS</v>
          </cell>
          <cell r="T48" t="str">
            <v>Quarterly</v>
          </cell>
          <cell r="U48" t="str">
            <v>Quarterly</v>
          </cell>
          <cell r="V48" t="str">
            <v>RICS</v>
          </cell>
          <cell r="W48" t="str">
            <v>IFRS NAV</v>
          </cell>
          <cell r="X48" t="str">
            <v>EY</v>
          </cell>
          <cell r="Y48" t="str">
            <v>Real Estate Fund</v>
          </cell>
          <cell r="Z48" t="str">
            <v>Yes</v>
          </cell>
          <cell r="AA48" t="str">
            <v>Yes</v>
          </cell>
          <cell r="AB48">
            <v>0</v>
          </cell>
          <cell r="AC48" t="str">
            <v>Non-Listed Fund</v>
          </cell>
          <cell r="AD48" t="str">
            <v>Core</v>
          </cell>
          <cell r="AE48" t="str">
            <v>infinite</v>
          </cell>
          <cell r="AF48" t="str">
            <v>Open end</v>
          </cell>
          <cell r="AG48">
            <v>6</v>
          </cell>
          <cell r="AH48">
            <v>8</v>
          </cell>
          <cell r="AI48" t="str">
            <v>Net</v>
          </cell>
          <cell r="AK48">
            <v>5</v>
          </cell>
          <cell r="AL48">
            <v>15</v>
          </cell>
          <cell r="AM48" t="str">
            <v>≤ 40%</v>
          </cell>
          <cell r="AN48" t="str">
            <v>Institutional</v>
          </cell>
          <cell r="AO48" t="str">
            <v>&gt; 2</v>
          </cell>
          <cell r="AP48" t="str">
            <v>≥ 50%</v>
          </cell>
          <cell r="AQ48" t="str">
            <v>Europe</v>
          </cell>
          <cell r="AR48" t="str">
            <v>single country</v>
          </cell>
          <cell r="AT48" t="str">
            <v>Netherlands</v>
          </cell>
          <cell r="AU48" t="str">
            <v>multi sector</v>
          </cell>
          <cell r="AW48">
            <v>650000000</v>
          </cell>
          <cell r="AX48">
            <v>750000000</v>
          </cell>
          <cell r="AY48">
            <v>2016</v>
          </cell>
          <cell r="BD48" t="str">
            <v>Yes</v>
          </cell>
          <cell r="BE48" t="str">
            <v>≥ 60%</v>
          </cell>
          <cell r="BF48" t="str">
            <v>≤ 15%</v>
          </cell>
          <cell r="BG48" t="str">
            <v>≤ 5%</v>
          </cell>
          <cell r="BH48" t="str">
            <v>2020-12-31</v>
          </cell>
          <cell r="BI48">
            <v>380017000</v>
          </cell>
          <cell r="BJ48">
            <v>380017000</v>
          </cell>
          <cell r="BK48">
            <v>345621000</v>
          </cell>
          <cell r="BL48">
            <v>345621000</v>
          </cell>
          <cell r="BM48">
            <v>4.4000000000000004</v>
          </cell>
          <cell r="BN48" t="str">
            <v>No</v>
          </cell>
          <cell r="BO48" t="str">
            <v>External</v>
          </cell>
          <cell r="BP48">
            <v>6</v>
          </cell>
          <cell r="BQ48">
            <v>12</v>
          </cell>
          <cell r="BR48">
            <v>270000000</v>
          </cell>
          <cell r="BS48">
            <v>270000000</v>
          </cell>
          <cell r="BT48">
            <v>270000000</v>
          </cell>
          <cell r="BU48">
            <v>270000000</v>
          </cell>
          <cell r="BV48" t="str">
            <v>Yes</v>
          </cell>
          <cell r="BW48" t="str">
            <v>Netherlands</v>
          </cell>
          <cell r="BX48" t="str">
            <v>Office</v>
          </cell>
          <cell r="BY48">
            <v>95.1</v>
          </cell>
        </row>
        <row r="49">
          <cell r="A49">
            <v>619</v>
          </cell>
          <cell r="B49" t="str">
            <v>ASR DUTCH PRIME RETAIL FUND</v>
          </cell>
          <cell r="C49" t="str">
            <v>A.S.R. REAL ESTATE</v>
          </cell>
          <cell r="D49" t="str">
            <v>Archimedeslaan 10</v>
          </cell>
          <cell r="E49" t="str">
            <v>3584 BA</v>
          </cell>
          <cell r="F49" t="str">
            <v>Utrecht</v>
          </cell>
          <cell r="G49" t="str">
            <v>Netherlands</v>
          </cell>
          <cell r="H49" t="str">
            <v>+31302573512</v>
          </cell>
          <cell r="I49" t="str">
            <v>+31302578306</v>
          </cell>
          <cell r="J49" t="str">
            <v>http://www.asrrealestate.nl</v>
          </cell>
          <cell r="K49" t="str">
            <v>Edwin van de Woestijne</v>
          </cell>
          <cell r="L49" t="str">
            <v>edwin.van.de.woestijne@asr.nl</v>
          </cell>
          <cell r="M49" t="str">
            <v>+31302572654</v>
          </cell>
          <cell r="N49" t="str">
            <v>Luc Joosten</v>
          </cell>
          <cell r="O49" t="str">
            <v>luc.joosten@asr.nl</v>
          </cell>
          <cell r="P49" t="str">
            <v>+31302579528</v>
          </cell>
          <cell r="Q49" t="str">
            <v>Netherlands</v>
          </cell>
          <cell r="R49" t="str">
            <v>EUR</v>
          </cell>
          <cell r="S49" t="str">
            <v>IFRS</v>
          </cell>
          <cell r="T49" t="str">
            <v>Quarterly</v>
          </cell>
          <cell r="U49" t="str">
            <v>Quarterly</v>
          </cell>
          <cell r="V49" t="str">
            <v>RICS</v>
          </cell>
          <cell r="W49" t="str">
            <v>INREV NAV</v>
          </cell>
          <cell r="X49" t="str">
            <v>EY</v>
          </cell>
          <cell r="Y49" t="str">
            <v>FGR</v>
          </cell>
          <cell r="Z49" t="str">
            <v>Yes</v>
          </cell>
          <cell r="AA49" t="str">
            <v>No</v>
          </cell>
          <cell r="AB49">
            <v>0</v>
          </cell>
          <cell r="AC49" t="str">
            <v>Non-Listed Fund</v>
          </cell>
          <cell r="AD49" t="str">
            <v>Core</v>
          </cell>
          <cell r="AE49" t="str">
            <v>infinite</v>
          </cell>
          <cell r="AF49" t="str">
            <v>Open end</v>
          </cell>
          <cell r="AG49">
            <v>7</v>
          </cell>
          <cell r="AH49">
            <v>9</v>
          </cell>
          <cell r="AI49" t="str">
            <v>Net</v>
          </cell>
          <cell r="AJ49" t="str">
            <v>Not applicable</v>
          </cell>
          <cell r="AK49">
            <v>5</v>
          </cell>
          <cell r="AL49">
            <v>7</v>
          </cell>
          <cell r="AM49" t="str">
            <v>≤ 40%</v>
          </cell>
          <cell r="AN49" t="str">
            <v>Institutional</v>
          </cell>
          <cell r="AO49" t="str">
            <v>&gt; 2</v>
          </cell>
          <cell r="AP49" t="str">
            <v>≥ 50%</v>
          </cell>
          <cell r="AQ49" t="str">
            <v>Europe</v>
          </cell>
          <cell r="AR49" t="str">
            <v>single country</v>
          </cell>
          <cell r="AT49" t="str">
            <v>Netherlands</v>
          </cell>
          <cell r="AU49" t="str">
            <v>single sector</v>
          </cell>
          <cell r="AV49" t="str">
            <v>Retail</v>
          </cell>
          <cell r="AW49">
            <v>1132000000</v>
          </cell>
          <cell r="AX49">
            <v>1134000000</v>
          </cell>
          <cell r="AY49">
            <v>2011</v>
          </cell>
          <cell r="BA49" t="str">
            <v>No</v>
          </cell>
          <cell r="BB49" t="str">
            <v>No</v>
          </cell>
          <cell r="BE49" t="str">
            <v>≥ 60%</v>
          </cell>
          <cell r="BF49" t="str">
            <v>≤ 15%</v>
          </cell>
          <cell r="BG49" t="str">
            <v>≤ 5%</v>
          </cell>
          <cell r="BH49" t="str">
            <v>2020-12-31</v>
          </cell>
          <cell r="BI49">
            <v>1661177000</v>
          </cell>
          <cell r="BJ49">
            <v>1661177000</v>
          </cell>
          <cell r="BK49">
            <v>1391850000</v>
          </cell>
          <cell r="BL49">
            <v>1391850000</v>
          </cell>
          <cell r="BM49">
            <v>14</v>
          </cell>
          <cell r="BN49" t="str">
            <v>No</v>
          </cell>
          <cell r="BO49" t="str">
            <v>External</v>
          </cell>
          <cell r="BP49">
            <v>12</v>
          </cell>
          <cell r="BQ49">
            <v>213</v>
          </cell>
          <cell r="BR49">
            <v>2504630000</v>
          </cell>
          <cell r="BS49">
            <v>2504630000</v>
          </cell>
          <cell r="BT49">
            <v>2504630000</v>
          </cell>
          <cell r="BU49">
            <v>2504630000</v>
          </cell>
          <cell r="BV49" t="str">
            <v>No</v>
          </cell>
          <cell r="BW49" t="str">
            <v>Netherlands</v>
          </cell>
          <cell r="BX49" t="str">
            <v>Residential</v>
          </cell>
          <cell r="BY49">
            <v>2</v>
          </cell>
          <cell r="BZ49" t="str">
            <v>Netherlands</v>
          </cell>
          <cell r="CA49" t="str">
            <v>Retail</v>
          </cell>
          <cell r="CB49">
            <v>96</v>
          </cell>
        </row>
        <row r="50">
          <cell r="A50">
            <v>620</v>
          </cell>
          <cell r="B50" t="str">
            <v>ASR PROPERTY FUND</v>
          </cell>
          <cell r="C50" t="str">
            <v>A.S.R. REAL ESTATE</v>
          </cell>
          <cell r="D50" t="str">
            <v>Archimedeslaan 10</v>
          </cell>
          <cell r="E50" t="str">
            <v>3584 BA</v>
          </cell>
          <cell r="F50" t="str">
            <v>Utrecht</v>
          </cell>
          <cell r="G50" t="str">
            <v>Netherlands</v>
          </cell>
          <cell r="H50" t="str">
            <v>+31302579861</v>
          </cell>
          <cell r="J50" t="str">
            <v>http://www.asrrealestate.nl</v>
          </cell>
          <cell r="K50" t="str">
            <v>Rodney Zimmerman</v>
          </cell>
          <cell r="L50" t="str">
            <v>Rodney.zimmerman@asr.nl</v>
          </cell>
          <cell r="M50" t="str">
            <v>+31302579861</v>
          </cell>
          <cell r="N50" t="str">
            <v>Rodney Zimmerman</v>
          </cell>
          <cell r="O50" t="str">
            <v>Rodney.zimmerman@asr.nl</v>
          </cell>
          <cell r="P50" t="str">
            <v>+31302579861</v>
          </cell>
          <cell r="Q50" t="str">
            <v>Netherlands</v>
          </cell>
          <cell r="R50" t="str">
            <v>EUR</v>
          </cell>
          <cell r="S50" t="str">
            <v>Local GAAP</v>
          </cell>
          <cell r="T50" t="str">
            <v>Twice per year</v>
          </cell>
          <cell r="U50" t="str">
            <v>Quarterly</v>
          </cell>
          <cell r="V50" t="str">
            <v>RICS</v>
          </cell>
          <cell r="W50" t="str">
            <v>IFRS NAV</v>
          </cell>
          <cell r="X50" t="str">
            <v>EY</v>
          </cell>
          <cell r="Y50" t="str">
            <v>FBI</v>
          </cell>
          <cell r="Z50" t="str">
            <v>No</v>
          </cell>
          <cell r="AA50" t="str">
            <v>No</v>
          </cell>
          <cell r="AB50">
            <v>0</v>
          </cell>
          <cell r="AC50" t="str">
            <v>Non-Listed Fund</v>
          </cell>
          <cell r="AD50" t="str">
            <v>Core</v>
          </cell>
          <cell r="AE50" t="str">
            <v>finite</v>
          </cell>
          <cell r="AF50" t="str">
            <v>Closed end</v>
          </cell>
          <cell r="AG50">
            <v>4</v>
          </cell>
          <cell r="AH50">
            <v>6</v>
          </cell>
          <cell r="AI50" t="str">
            <v>Net</v>
          </cell>
          <cell r="AJ50" t="str">
            <v>not applicable</v>
          </cell>
          <cell r="AK50">
            <v>5</v>
          </cell>
          <cell r="AL50">
            <v>5</v>
          </cell>
          <cell r="AM50" t="str">
            <v>≤ 40%</v>
          </cell>
          <cell r="AN50" t="str">
            <v>Institutional</v>
          </cell>
          <cell r="AO50" t="str">
            <v>&gt; 2</v>
          </cell>
          <cell r="AP50" t="str">
            <v>≥ 50%</v>
          </cell>
          <cell r="AQ50" t="str">
            <v>Europe</v>
          </cell>
          <cell r="AR50" t="str">
            <v>multi country</v>
          </cell>
          <cell r="AS50" t="str">
            <v>Europe</v>
          </cell>
          <cell r="AU50" t="str">
            <v>multi sector</v>
          </cell>
          <cell r="AW50">
            <v>575000000</v>
          </cell>
          <cell r="AX50">
            <v>575000000</v>
          </cell>
          <cell r="AY50">
            <v>2006</v>
          </cell>
          <cell r="AZ50">
            <v>2030</v>
          </cell>
          <cell r="BA50" t="str">
            <v>No</v>
          </cell>
          <cell r="BB50" t="str">
            <v>No</v>
          </cell>
          <cell r="BE50" t="str">
            <v>&lt; 60%</v>
          </cell>
          <cell r="BH50" t="str">
            <v>2020-12-31</v>
          </cell>
          <cell r="BI50">
            <v>334823000</v>
          </cell>
          <cell r="BJ50">
            <v>334823000</v>
          </cell>
          <cell r="BK50">
            <v>311430000</v>
          </cell>
          <cell r="BL50">
            <v>311430000</v>
          </cell>
          <cell r="BM50">
            <v>0.8</v>
          </cell>
          <cell r="BN50" t="str">
            <v>No</v>
          </cell>
          <cell r="BO50" t="str">
            <v>External</v>
          </cell>
          <cell r="BP50">
            <v>1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V50" t="str">
            <v>Yes</v>
          </cell>
          <cell r="BW50" t="str">
            <v>Netherlands</v>
          </cell>
          <cell r="BX50" t="str">
            <v>Other</v>
          </cell>
          <cell r="BY50">
            <v>78.900000000000006</v>
          </cell>
        </row>
        <row r="51">
          <cell r="A51">
            <v>586</v>
          </cell>
          <cell r="B51" t="str">
            <v>AVIVA INVESTORS EUROPEAN PROPERTY FUND</v>
          </cell>
          <cell r="C51" t="str">
            <v>AVIVA INVESTORS</v>
          </cell>
          <cell r="D51" t="str">
            <v>1 Poultry</v>
          </cell>
          <cell r="E51" t="str">
            <v>EC2R 8EJ</v>
          </cell>
          <cell r="F51" t="str">
            <v>London</v>
          </cell>
          <cell r="G51" t="str">
            <v>United Kingdom</v>
          </cell>
          <cell r="H51" t="str">
            <v>+442078096000</v>
          </cell>
          <cell r="I51" t="str">
            <v>+442078096816</v>
          </cell>
          <cell r="J51" t="str">
            <v>http://www.avivainvestors.com</v>
          </cell>
          <cell r="K51" t="str">
            <v>Julian Taylor</v>
          </cell>
          <cell r="L51" t="str">
            <v>julian.taylor@avivainvestors.com</v>
          </cell>
          <cell r="M51" t="str">
            <v>+442078096000</v>
          </cell>
          <cell r="N51" t="str">
            <v>Leanne Marx</v>
          </cell>
          <cell r="O51" t="str">
            <v>leanne.marx@avivainvestors.com</v>
          </cell>
          <cell r="P51" t="str">
            <v>+442078096816</v>
          </cell>
          <cell r="Q51" t="str">
            <v>United Kingdom</v>
          </cell>
          <cell r="R51" t="str">
            <v>GBP</v>
          </cell>
          <cell r="S51" t="str">
            <v>Local GAAP</v>
          </cell>
          <cell r="T51" t="str">
            <v>Monthly</v>
          </cell>
          <cell r="U51" t="str">
            <v>Monthly</v>
          </cell>
          <cell r="V51" t="str">
            <v>RICS</v>
          </cell>
          <cell r="X51" t="str">
            <v>Ernst &amp; Young</v>
          </cell>
          <cell r="Y51" t="str">
            <v>Non-UCITS Retail Scheme</v>
          </cell>
          <cell r="Z51" t="str">
            <v>No</v>
          </cell>
          <cell r="AA51" t="str">
            <v>No</v>
          </cell>
          <cell r="AB51">
            <v>0</v>
          </cell>
          <cell r="AC51" t="str">
            <v>Non-Listed Fund</v>
          </cell>
          <cell r="AD51" t="str">
            <v>Core</v>
          </cell>
          <cell r="AE51" t="str">
            <v>infinite</v>
          </cell>
          <cell r="AF51" t="str">
            <v>Open end</v>
          </cell>
          <cell r="AJ51" t="str">
            <v>None</v>
          </cell>
          <cell r="AL51">
            <v>0</v>
          </cell>
          <cell r="AM51" t="str">
            <v>≤ 40%</v>
          </cell>
          <cell r="AN51" t="str">
            <v>Institutional</v>
          </cell>
          <cell r="AO51" t="str">
            <v>&gt; 2</v>
          </cell>
          <cell r="AP51" t="str">
            <v>≥ 50%</v>
          </cell>
          <cell r="AQ51" t="str">
            <v>Europe</v>
          </cell>
          <cell r="AR51" t="str">
            <v>multi country</v>
          </cell>
          <cell r="AS51" t="str">
            <v>Europe</v>
          </cell>
          <cell r="AU51" t="str">
            <v>multi sector</v>
          </cell>
          <cell r="AY51">
            <v>2006</v>
          </cell>
          <cell r="BH51" t="str">
            <v>2020-12-31</v>
          </cell>
          <cell r="BI51">
            <v>18063469.739999998</v>
          </cell>
          <cell r="BJ51">
            <v>19970052.623616889</v>
          </cell>
          <cell r="BK51">
            <v>18063469.739999998</v>
          </cell>
          <cell r="BL51">
            <v>19970052.623616889</v>
          </cell>
          <cell r="BM51">
            <v>0</v>
          </cell>
          <cell r="BN51" t="str">
            <v>No</v>
          </cell>
          <cell r="BO51" t="str">
            <v>Internal</v>
          </cell>
          <cell r="BP51">
            <v>0</v>
          </cell>
          <cell r="BQ51">
            <v>1</v>
          </cell>
          <cell r="BS51">
            <v>0</v>
          </cell>
          <cell r="BV51" t="str">
            <v>No</v>
          </cell>
          <cell r="BW51" t="str">
            <v>Poland</v>
          </cell>
          <cell r="BX51" t="str">
            <v>Industrial / Logistics</v>
          </cell>
          <cell r="BY51">
            <v>100</v>
          </cell>
        </row>
        <row r="52">
          <cell r="A52">
            <v>18184</v>
          </cell>
          <cell r="B52" t="str">
            <v>AXA CORE EUROPE FUND</v>
          </cell>
          <cell r="C52" t="str">
            <v>AXA UK REAL ASSETS</v>
          </cell>
          <cell r="D52" t="str">
            <v xml:space="preserve">155 Bishopsgate </v>
          </cell>
          <cell r="E52" t="str">
            <v>EC2M 3XJ</v>
          </cell>
          <cell r="F52" t="str">
            <v>London</v>
          </cell>
          <cell r="G52" t="str">
            <v>United Kingdom</v>
          </cell>
          <cell r="J52" t="str">
            <v>https://realassets.axa-im.com</v>
          </cell>
          <cell r="K52" t="str">
            <v>Rainer Suter</v>
          </cell>
          <cell r="L52" t="str">
            <v>rainer.suter@axa-im.com</v>
          </cell>
          <cell r="M52" t="str">
            <v>+41583607960</v>
          </cell>
          <cell r="N52" t="str">
            <v>Jamie-Lee</v>
          </cell>
          <cell r="O52" t="str">
            <v>jamie-lee.chambers@axa-im.com</v>
          </cell>
          <cell r="P52" t="str">
            <v>+442070031371</v>
          </cell>
          <cell r="Q52" t="str">
            <v>Luxembourg</v>
          </cell>
          <cell r="R52" t="str">
            <v>EUR</v>
          </cell>
          <cell r="S52" t="str">
            <v>IFRS</v>
          </cell>
          <cell r="T52" t="str">
            <v>Quarterly</v>
          </cell>
          <cell r="U52" t="str">
            <v>Quarterly</v>
          </cell>
          <cell r="V52" t="str">
            <v>RICS</v>
          </cell>
          <cell r="W52" t="str">
            <v>Adjusted INREV NAV</v>
          </cell>
          <cell r="Y52" t="str">
            <v>Real Estate Fund</v>
          </cell>
          <cell r="Z52" t="str">
            <v>Yes</v>
          </cell>
          <cell r="AC52" t="str">
            <v>Non-Listed Fund</v>
          </cell>
          <cell r="AD52" t="str">
            <v>Core</v>
          </cell>
          <cell r="AE52" t="str">
            <v>infinite</v>
          </cell>
          <cell r="AF52" t="str">
            <v>Open end</v>
          </cell>
          <cell r="AM52" t="str">
            <v>≤ 40%</v>
          </cell>
          <cell r="AN52" t="str">
            <v>Institutional</v>
          </cell>
          <cell r="AO52" t="str">
            <v>&gt; 2</v>
          </cell>
          <cell r="AP52" t="str">
            <v>≥ 50%</v>
          </cell>
          <cell r="AQ52" t="str">
            <v>Europe</v>
          </cell>
          <cell r="AR52" t="str">
            <v>multi country</v>
          </cell>
          <cell r="AS52" t="str">
            <v>Europe</v>
          </cell>
          <cell r="AU52" t="str">
            <v>multi sector</v>
          </cell>
          <cell r="AY52">
            <v>2015</v>
          </cell>
          <cell r="BE52" t="str">
            <v>≥ 60%</v>
          </cell>
          <cell r="BF52" t="str">
            <v>≤ 15%</v>
          </cell>
          <cell r="BG52" t="str">
            <v>≤ 5%</v>
          </cell>
          <cell r="BH52" t="str">
            <v>2020-12-31</v>
          </cell>
          <cell r="BI52">
            <v>4688536713</v>
          </cell>
          <cell r="BJ52">
            <v>4688536713</v>
          </cell>
          <cell r="BK52">
            <v>3296963154</v>
          </cell>
          <cell r="BL52">
            <v>3296963154</v>
          </cell>
          <cell r="BM52">
            <v>30</v>
          </cell>
          <cell r="BN52" t="str">
            <v>No</v>
          </cell>
          <cell r="BO52" t="str">
            <v>External</v>
          </cell>
          <cell r="BP52">
            <v>135</v>
          </cell>
          <cell r="BQ52">
            <v>204</v>
          </cell>
          <cell r="BR52">
            <v>3827007723</v>
          </cell>
          <cell r="BS52">
            <v>3827007723</v>
          </cell>
          <cell r="BT52">
            <v>3253160571</v>
          </cell>
          <cell r="BU52">
            <v>3253160571</v>
          </cell>
          <cell r="BV52" t="str">
            <v>Yes</v>
          </cell>
          <cell r="BW52" t="str">
            <v>Austria</v>
          </cell>
          <cell r="BX52" t="str">
            <v>Hotel</v>
          </cell>
          <cell r="BY52">
            <v>0.76</v>
          </cell>
          <cell r="BZ52" t="str">
            <v>Germany</v>
          </cell>
          <cell r="CA52" t="str">
            <v>Office</v>
          </cell>
          <cell r="CB52">
            <v>8.31</v>
          </cell>
          <cell r="CC52" t="str">
            <v>Germany</v>
          </cell>
          <cell r="CD52" t="str">
            <v>Retail</v>
          </cell>
          <cell r="CE52">
            <v>1.19</v>
          </cell>
          <cell r="CF52" t="str">
            <v>Germany</v>
          </cell>
          <cell r="CG52" t="str">
            <v>Industrial / Logistics</v>
          </cell>
          <cell r="CH52">
            <v>5.74</v>
          </cell>
          <cell r="CI52" t="str">
            <v>Germany</v>
          </cell>
          <cell r="CJ52" t="str">
            <v>Hotel</v>
          </cell>
          <cell r="CK52">
            <v>3.18</v>
          </cell>
          <cell r="CL52" t="str">
            <v>Denmark</v>
          </cell>
          <cell r="CM52" t="str">
            <v>Residential</v>
          </cell>
          <cell r="CN52">
            <v>2.63</v>
          </cell>
          <cell r="CO52" t="str">
            <v>Spain</v>
          </cell>
          <cell r="CP52" t="str">
            <v>Retail</v>
          </cell>
          <cell r="CQ52">
            <v>1.91</v>
          </cell>
          <cell r="CR52" t="str">
            <v>Finland</v>
          </cell>
          <cell r="CS52" t="str">
            <v>Residential</v>
          </cell>
          <cell r="CT52">
            <v>2.14</v>
          </cell>
          <cell r="CU52" t="str">
            <v>France</v>
          </cell>
          <cell r="CV52" t="str">
            <v>Office</v>
          </cell>
          <cell r="CW52">
            <v>16.66</v>
          </cell>
          <cell r="CX52" t="str">
            <v>France</v>
          </cell>
          <cell r="CY52" t="str">
            <v>Retail</v>
          </cell>
          <cell r="CZ52">
            <v>4.1399999999999997</v>
          </cell>
          <cell r="DA52" t="str">
            <v>France</v>
          </cell>
          <cell r="DB52" t="str">
            <v>Industrial / Logistics</v>
          </cell>
          <cell r="DC52">
            <v>2.4500000000000002</v>
          </cell>
          <cell r="DD52" t="str">
            <v>Ireland</v>
          </cell>
          <cell r="DE52" t="str">
            <v>Office</v>
          </cell>
          <cell r="DF52">
            <v>1.1100000000000001</v>
          </cell>
          <cell r="DG52" t="str">
            <v>Ireland</v>
          </cell>
          <cell r="DH52" t="str">
            <v>Residential</v>
          </cell>
          <cell r="DI52">
            <v>4.28</v>
          </cell>
          <cell r="DJ52" t="str">
            <v>Italy</v>
          </cell>
          <cell r="DK52" t="str">
            <v>Office</v>
          </cell>
          <cell r="DL52">
            <v>2.19</v>
          </cell>
          <cell r="DM52" t="str">
            <v>Italy</v>
          </cell>
          <cell r="DN52" t="str">
            <v>Retail</v>
          </cell>
          <cell r="DO52">
            <v>0.48</v>
          </cell>
          <cell r="DP52" t="str">
            <v>Italy</v>
          </cell>
          <cell r="DQ52" t="str">
            <v>Industrial / Logistics</v>
          </cell>
          <cell r="DR52">
            <v>2.69</v>
          </cell>
          <cell r="DS52" t="str">
            <v>Italy</v>
          </cell>
          <cell r="DT52" t="str">
            <v>Hotel</v>
          </cell>
          <cell r="DU52">
            <v>0.28000000000000003</v>
          </cell>
          <cell r="DV52" t="str">
            <v>Luxembourg</v>
          </cell>
          <cell r="DW52" t="str">
            <v>Office</v>
          </cell>
          <cell r="DX52">
            <v>4.08</v>
          </cell>
          <cell r="DY52" t="str">
            <v>Netherlands</v>
          </cell>
          <cell r="DZ52" t="str">
            <v>Retail</v>
          </cell>
          <cell r="EA52">
            <v>0.5</v>
          </cell>
          <cell r="EB52" t="str">
            <v>Netherlands</v>
          </cell>
          <cell r="EC52" t="str">
            <v>Industrial / Logistics</v>
          </cell>
          <cell r="ED52">
            <v>2.33</v>
          </cell>
          <cell r="EE52" t="str">
            <v>Netherlands</v>
          </cell>
          <cell r="EF52" t="str">
            <v>Hotel</v>
          </cell>
          <cell r="EG52">
            <v>0.23</v>
          </cell>
          <cell r="EH52" t="str">
            <v>Poland</v>
          </cell>
          <cell r="EI52" t="str">
            <v>Industrial / Logistics</v>
          </cell>
          <cell r="EJ52">
            <v>0.46</v>
          </cell>
          <cell r="EK52" t="str">
            <v>Portugal</v>
          </cell>
          <cell r="EL52" t="str">
            <v>Retail</v>
          </cell>
          <cell r="EM52">
            <v>2.9</v>
          </cell>
          <cell r="EN52" t="str">
            <v>Portugal</v>
          </cell>
          <cell r="EO52" t="str">
            <v>Residential</v>
          </cell>
          <cell r="EP52">
            <v>1.59</v>
          </cell>
          <cell r="EQ52" t="str">
            <v>Portugal</v>
          </cell>
          <cell r="ER52" t="str">
            <v>Hotel</v>
          </cell>
          <cell r="ES52">
            <v>0.21</v>
          </cell>
          <cell r="ET52" t="str">
            <v>United Kingdom</v>
          </cell>
          <cell r="EU52" t="str">
            <v>Office</v>
          </cell>
        </row>
        <row r="53">
          <cell r="A53">
            <v>508</v>
          </cell>
          <cell r="B53" t="str">
            <v>AXA IMMORESIDENTIAL</v>
          </cell>
          <cell r="C53" t="str">
            <v>AXA INVESTMENT MANAGERS DETSCHLAND GMBH</v>
          </cell>
          <cell r="D53" t="str">
            <v xml:space="preserve">Im MediaPark 8a </v>
          </cell>
          <cell r="E53">
            <v>50670</v>
          </cell>
          <cell r="F53" t="str">
            <v>Köln</v>
          </cell>
          <cell r="G53" t="str">
            <v>Germany</v>
          </cell>
          <cell r="J53" t="str">
            <v>http://www.axa-im.de</v>
          </cell>
          <cell r="K53" t="str">
            <v>Roland Welter</v>
          </cell>
          <cell r="L53" t="str">
            <v>roland.welter@axa-im.com</v>
          </cell>
          <cell r="M53" t="str">
            <v>+49 (0) 221 6505 5373</v>
          </cell>
          <cell r="N53" t="str">
            <v>Jamie-Lee Chambers</v>
          </cell>
          <cell r="O53" t="str">
            <v>jamie-lee.chambers@axa-im.com</v>
          </cell>
          <cell r="Q53" t="str">
            <v>Germany</v>
          </cell>
          <cell r="R53" t="str">
            <v>EUR</v>
          </cell>
          <cell r="S53" t="str">
            <v>Local GAAP</v>
          </cell>
          <cell r="T53" t="str">
            <v>Annually</v>
          </cell>
          <cell r="U53" t="str">
            <v>Annually</v>
          </cell>
          <cell r="W53" t="str">
            <v>KAGB/KARBV</v>
          </cell>
          <cell r="X53" t="str">
            <v>PricewaterhouseCoopers</v>
          </cell>
          <cell r="Y53" t="str">
            <v>Spezialfonds</v>
          </cell>
          <cell r="Z53" t="str">
            <v>No</v>
          </cell>
          <cell r="AB53">
            <v>0</v>
          </cell>
          <cell r="AC53" t="str">
            <v>Non-Listed Fund</v>
          </cell>
          <cell r="AD53" t="str">
            <v>Core</v>
          </cell>
          <cell r="AE53" t="str">
            <v>infinite</v>
          </cell>
          <cell r="AF53" t="str">
            <v>Open end</v>
          </cell>
          <cell r="AJ53" t="str">
            <v>either absolute target of  5% total return or BVi benchmark</v>
          </cell>
          <cell r="AK53">
            <v>4</v>
          </cell>
          <cell r="AM53" t="str">
            <v>&gt; 40% - ≤ 60%</v>
          </cell>
          <cell r="AN53" t="str">
            <v>Institutional</v>
          </cell>
          <cell r="AO53" t="str">
            <v>&gt; 2</v>
          </cell>
          <cell r="AP53" t="str">
            <v>≥ 50%</v>
          </cell>
          <cell r="AQ53" t="str">
            <v>Europe</v>
          </cell>
          <cell r="AR53" t="str">
            <v>single country</v>
          </cell>
          <cell r="AT53" t="str">
            <v>Germany</v>
          </cell>
          <cell r="AU53" t="str">
            <v>single sector</v>
          </cell>
          <cell r="AV53" t="str">
            <v>Residential</v>
          </cell>
          <cell r="AY53">
            <v>2009</v>
          </cell>
          <cell r="BA53" t="str">
            <v>No</v>
          </cell>
          <cell r="BB53" t="str">
            <v>No</v>
          </cell>
          <cell r="BH53" t="str">
            <v>2020-12-31</v>
          </cell>
          <cell r="BI53">
            <v>973413329</v>
          </cell>
          <cell r="BJ53">
            <v>973413329</v>
          </cell>
          <cell r="BK53">
            <v>804868329</v>
          </cell>
          <cell r="BL53">
            <v>804868329</v>
          </cell>
          <cell r="BM53">
            <v>17</v>
          </cell>
          <cell r="BN53" t="str">
            <v>No</v>
          </cell>
          <cell r="BO53" t="str">
            <v>External</v>
          </cell>
          <cell r="BP53">
            <v>28</v>
          </cell>
          <cell r="BQ53">
            <v>53</v>
          </cell>
          <cell r="BR53">
            <v>735471672</v>
          </cell>
          <cell r="BS53">
            <v>735471672</v>
          </cell>
          <cell r="BT53">
            <v>735471786</v>
          </cell>
          <cell r="BU53">
            <v>735471786</v>
          </cell>
          <cell r="BV53" t="str">
            <v>Yes</v>
          </cell>
          <cell r="BW53" t="str">
            <v>Sweden</v>
          </cell>
          <cell r="BX53" t="str">
            <v>Residential</v>
          </cell>
          <cell r="BY53">
            <v>8</v>
          </cell>
          <cell r="BZ53" t="str">
            <v>Finland</v>
          </cell>
          <cell r="CA53" t="str">
            <v>Residential</v>
          </cell>
          <cell r="CB53">
            <v>7.5</v>
          </cell>
          <cell r="CC53" t="str">
            <v>Netherlands</v>
          </cell>
          <cell r="CD53" t="str">
            <v>Residential</v>
          </cell>
          <cell r="CE53">
            <v>4.8</v>
          </cell>
          <cell r="CF53" t="str">
            <v>Denmark</v>
          </cell>
          <cell r="CG53" t="str">
            <v>Residential</v>
          </cell>
          <cell r="CH53">
            <v>18</v>
          </cell>
          <cell r="CI53" t="str">
            <v>Germany</v>
          </cell>
          <cell r="CJ53" t="str">
            <v>Residential</v>
          </cell>
          <cell r="CK53">
            <v>57.7</v>
          </cell>
        </row>
        <row r="54">
          <cell r="A54">
            <v>18182</v>
          </cell>
          <cell r="B54" t="str">
            <v>AXA IMMOVATION COMMERCIAL</v>
          </cell>
          <cell r="C54" t="str">
            <v>AXA REIM SWITZERLAND</v>
          </cell>
          <cell r="D54" t="str">
            <v>42 Affolternstrasse</v>
          </cell>
          <cell r="E54">
            <v>8050</v>
          </cell>
          <cell r="F54" t="str">
            <v>Zurich</v>
          </cell>
          <cell r="G54" t="str">
            <v>Switzerland</v>
          </cell>
          <cell r="H54" t="str">
            <v>+41 58 360 79 55</v>
          </cell>
          <cell r="J54" t="str">
            <v>https://realassets.axa-im.com/</v>
          </cell>
          <cell r="K54" t="str">
            <v>Silvan Zehnder</v>
          </cell>
          <cell r="L54" t="str">
            <v>silvan.zehnder@axa-im.com</v>
          </cell>
          <cell r="N54" t="str">
            <v>Jamie-Lee Chambers</v>
          </cell>
          <cell r="O54" t="str">
            <v>jamie-lee.chambers@axa-im.com</v>
          </cell>
          <cell r="Q54" t="str">
            <v>Switzerland</v>
          </cell>
          <cell r="R54" t="str">
            <v>CHF</v>
          </cell>
          <cell r="T54" t="str">
            <v>Twice per year</v>
          </cell>
          <cell r="U54" t="str">
            <v>Quarterly</v>
          </cell>
          <cell r="Y54" t="str">
            <v>Real Estate Collective Investment</v>
          </cell>
          <cell r="AC54" t="str">
            <v>Non-Listed Fund</v>
          </cell>
          <cell r="AD54" t="str">
            <v>Core</v>
          </cell>
          <cell r="AE54" t="str">
            <v>infinite</v>
          </cell>
          <cell r="AF54" t="str">
            <v>Open end</v>
          </cell>
          <cell r="AQ54" t="str">
            <v>Europe</v>
          </cell>
          <cell r="AR54" t="str">
            <v>single country</v>
          </cell>
          <cell r="AT54" t="str">
            <v>Switzerland</v>
          </cell>
          <cell r="AU54" t="str">
            <v>multi sector</v>
          </cell>
          <cell r="AY54">
            <v>2009</v>
          </cell>
          <cell r="BH54" t="str">
            <v>2019-03-31</v>
          </cell>
          <cell r="BI54">
            <v>634904683.13999999</v>
          </cell>
          <cell r="BJ54">
            <v>568900811.05384493</v>
          </cell>
          <cell r="BK54">
            <v>506577171.75999999</v>
          </cell>
          <cell r="BL54">
            <v>453914062.26575112</v>
          </cell>
          <cell r="BM54">
            <v>18.600000000000001</v>
          </cell>
          <cell r="BN54" t="str">
            <v>No</v>
          </cell>
          <cell r="BO54" t="str">
            <v>External</v>
          </cell>
          <cell r="BQ54">
            <v>29</v>
          </cell>
          <cell r="BS54">
            <v>0</v>
          </cell>
        </row>
        <row r="55">
          <cell r="A55">
            <v>18183</v>
          </cell>
          <cell r="B55" t="str">
            <v>AXA IMMOVATION RESIDENTIAL</v>
          </cell>
          <cell r="C55" t="str">
            <v>AXA REIM SWITZERLAND</v>
          </cell>
          <cell r="D55" t="str">
            <v>42 Affolternstrasse</v>
          </cell>
          <cell r="E55">
            <v>8050</v>
          </cell>
          <cell r="F55" t="str">
            <v>Zurich</v>
          </cell>
          <cell r="G55" t="str">
            <v>Switzerland</v>
          </cell>
          <cell r="H55" t="str">
            <v>+41 58 360 79 55</v>
          </cell>
          <cell r="J55" t="str">
            <v>https://realassets.axa-im.com</v>
          </cell>
          <cell r="K55" t="str">
            <v>Silvan Zehnder</v>
          </cell>
          <cell r="L55" t="str">
            <v>silvan.zehnder@axa-im.com</v>
          </cell>
          <cell r="M55" t="str">
            <v>+41 58 360 79 61</v>
          </cell>
          <cell r="N55" t="str">
            <v>Jamie-Lee Chambers</v>
          </cell>
          <cell r="O55" t="str">
            <v>jamie-lee.chambers@axa-im.com</v>
          </cell>
          <cell r="Q55" t="str">
            <v>Switzerland</v>
          </cell>
          <cell r="R55" t="str">
            <v>CHF</v>
          </cell>
          <cell r="T55" t="str">
            <v>Twice per year</v>
          </cell>
          <cell r="U55" t="str">
            <v>Quarterly</v>
          </cell>
          <cell r="Y55" t="str">
            <v>Real Estate Collective Investment</v>
          </cell>
          <cell r="AC55" t="str">
            <v>Non-Listed Fund</v>
          </cell>
          <cell r="AD55" t="str">
            <v>Core</v>
          </cell>
          <cell r="AE55" t="str">
            <v>infinite</v>
          </cell>
          <cell r="AF55" t="str">
            <v>Open end</v>
          </cell>
          <cell r="AQ55" t="str">
            <v>Europe</v>
          </cell>
          <cell r="AR55" t="str">
            <v>single country</v>
          </cell>
          <cell r="AT55" t="str">
            <v>Switzerland</v>
          </cell>
          <cell r="AU55" t="str">
            <v>single sector</v>
          </cell>
          <cell r="AV55" t="str">
            <v>Residential</v>
          </cell>
          <cell r="AY55">
            <v>2009</v>
          </cell>
          <cell r="BH55" t="str">
            <v>2019-03-31</v>
          </cell>
          <cell r="BI55">
            <v>460422033.49000001</v>
          </cell>
          <cell r="BJ55">
            <v>412557152.64863402</v>
          </cell>
          <cell r="BK55">
            <v>384411544.87</v>
          </cell>
          <cell r="BL55">
            <v>344448616.40244311</v>
          </cell>
          <cell r="BM55">
            <v>14.39</v>
          </cell>
          <cell r="BN55" t="str">
            <v>Yes</v>
          </cell>
          <cell r="BO55" t="str">
            <v>External</v>
          </cell>
          <cell r="BQ55">
            <v>28</v>
          </cell>
          <cell r="BS55">
            <v>0</v>
          </cell>
          <cell r="BW55" t="str">
            <v>Switzerland</v>
          </cell>
          <cell r="BX55" t="str">
            <v>Residential</v>
          </cell>
          <cell r="BY55">
            <v>84</v>
          </cell>
          <cell r="BZ55" t="str">
            <v>Switzerland</v>
          </cell>
          <cell r="CA55" t="str">
            <v>Office</v>
          </cell>
          <cell r="CB55">
            <v>3</v>
          </cell>
          <cell r="CC55" t="str">
            <v>Switzerland</v>
          </cell>
          <cell r="CD55" t="str">
            <v>Retail</v>
          </cell>
          <cell r="CE55">
            <v>3</v>
          </cell>
          <cell r="CF55" t="str">
            <v>Switzerland</v>
          </cell>
          <cell r="CG55" t="str">
            <v>Industrial / Logistics</v>
          </cell>
          <cell r="CH55">
            <v>3</v>
          </cell>
          <cell r="CI55" t="str">
            <v>Switzerland</v>
          </cell>
          <cell r="CJ55" t="str">
            <v>Parking</v>
          </cell>
          <cell r="CK55">
            <v>5</v>
          </cell>
          <cell r="CL55" t="str">
            <v>Switzerland</v>
          </cell>
          <cell r="CM55" t="str">
            <v>Other</v>
          </cell>
          <cell r="CN55">
            <v>2</v>
          </cell>
        </row>
        <row r="56">
          <cell r="A56">
            <v>18185</v>
          </cell>
          <cell r="B56" t="str">
            <v>AXA REAL INVEST EUROPA I</v>
          </cell>
          <cell r="C56" t="str">
            <v>AXA IM RE GERMANY</v>
          </cell>
          <cell r="D56" t="str">
            <v>Thurn-und-Taxis-Platz 6</v>
          </cell>
          <cell r="E56">
            <v>60313</v>
          </cell>
          <cell r="F56" t="str">
            <v>Frankfurt am Main</v>
          </cell>
          <cell r="G56" t="str">
            <v>Germany</v>
          </cell>
          <cell r="J56" t="str">
            <v>https://real.assets.axa-im.com</v>
          </cell>
          <cell r="K56" t="str">
            <v>Kerstin Bernauer</v>
          </cell>
          <cell r="L56" t="str">
            <v>Kerstin.Bernauer@axa-im.com</v>
          </cell>
          <cell r="N56" t="str">
            <v>Jamie-Lee Chambers</v>
          </cell>
          <cell r="O56" t="str">
            <v>jamie-lee.chambers@axa-im.com</v>
          </cell>
          <cell r="Q56" t="str">
            <v>Germany</v>
          </cell>
          <cell r="R56" t="str">
            <v>EUR</v>
          </cell>
          <cell r="T56" t="str">
            <v>Quarterly</v>
          </cell>
          <cell r="U56" t="str">
            <v>Quarterly</v>
          </cell>
          <cell r="V56" t="str">
            <v>Ertragswertverfahren</v>
          </cell>
          <cell r="Y56" t="str">
            <v>Real Estate Fund</v>
          </cell>
          <cell r="AC56" t="str">
            <v>Non-Listed Fund</v>
          </cell>
          <cell r="AD56" t="str">
            <v>Core</v>
          </cell>
          <cell r="AE56" t="str">
            <v>infinite</v>
          </cell>
          <cell r="AF56" t="str">
            <v>Open end</v>
          </cell>
          <cell r="AN56" t="str">
            <v>Institutional</v>
          </cell>
          <cell r="AO56" t="str">
            <v>&gt; 2</v>
          </cell>
          <cell r="AP56" t="str">
            <v>≥ 50%</v>
          </cell>
          <cell r="AQ56" t="str">
            <v>Europe</v>
          </cell>
          <cell r="AR56" t="str">
            <v>multi country</v>
          </cell>
          <cell r="AS56" t="str">
            <v>Western Europe</v>
          </cell>
          <cell r="AU56" t="str">
            <v>multi sector</v>
          </cell>
          <cell r="AY56">
            <v>2004</v>
          </cell>
          <cell r="BH56" t="str">
            <v>2018-12-31</v>
          </cell>
          <cell r="BI56">
            <v>34124471.299999997</v>
          </cell>
          <cell r="BJ56">
            <v>34124471.299999997</v>
          </cell>
          <cell r="BK56">
            <v>23474755.16</v>
          </cell>
          <cell r="BL56">
            <v>23474755.16</v>
          </cell>
          <cell r="BM56">
            <v>31.21</v>
          </cell>
          <cell r="BQ56">
            <v>5</v>
          </cell>
          <cell r="BS56">
            <v>0</v>
          </cell>
        </row>
        <row r="57">
          <cell r="A57">
            <v>53</v>
          </cell>
          <cell r="B57" t="str">
            <v>BAINBRIDGE RETAIL PROPERTIES</v>
          </cell>
          <cell r="C57" t="str">
            <v>AERIUM</v>
          </cell>
          <cell r="D57" t="str">
            <v>49 Grosvenor Street</v>
          </cell>
          <cell r="E57" t="str">
            <v>W1K 3HP</v>
          </cell>
          <cell r="F57" t="str">
            <v>London</v>
          </cell>
          <cell r="G57" t="str">
            <v>United Kingdom</v>
          </cell>
          <cell r="H57" t="str">
            <v>+44 (0) 20 7838 7900</v>
          </cell>
          <cell r="I57" t="str">
            <v>+44 (0) 20 7838 7858</v>
          </cell>
          <cell r="J57" t="str">
            <v>http://www.aerium.com</v>
          </cell>
          <cell r="K57" t="str">
            <v>Antoine Lam Chok</v>
          </cell>
          <cell r="L57" t="str">
            <v>alamchok@aerium.com</v>
          </cell>
          <cell r="M57" t="str">
            <v>+44 (0) 20 7838 7900</v>
          </cell>
          <cell r="N57" t="str">
            <v>Franck Ruimy</v>
          </cell>
          <cell r="O57" t="str">
            <v>fruimy@aerium.com</v>
          </cell>
          <cell r="P57" t="str">
            <v>+44 (0) 20 7838 7900</v>
          </cell>
          <cell r="Q57" t="str">
            <v>Luxembourg</v>
          </cell>
          <cell r="R57" t="str">
            <v>EUR</v>
          </cell>
          <cell r="S57" t="str">
            <v>IFRS</v>
          </cell>
          <cell r="T57" t="str">
            <v>Twice per year</v>
          </cell>
          <cell r="U57" t="str">
            <v>Annually</v>
          </cell>
          <cell r="X57" t="str">
            <v>Mazars</v>
          </cell>
          <cell r="Y57" t="str">
            <v>SCA</v>
          </cell>
          <cell r="AB57">
            <v>0</v>
          </cell>
          <cell r="AC57" t="str">
            <v>Non-Listed Fund</v>
          </cell>
          <cell r="AD57" t="str">
            <v>Core</v>
          </cell>
          <cell r="AE57" t="str">
            <v>finite</v>
          </cell>
          <cell r="AF57" t="str">
            <v>Closed end</v>
          </cell>
          <cell r="AG57">
            <v>12</v>
          </cell>
          <cell r="AH57">
            <v>18</v>
          </cell>
          <cell r="AK57">
            <v>7</v>
          </cell>
          <cell r="AL57">
            <v>80</v>
          </cell>
          <cell r="AM57" t="str">
            <v>&gt; 60%</v>
          </cell>
          <cell r="AN57" t="str">
            <v>Institutional and Retail</v>
          </cell>
          <cell r="AQ57" t="str">
            <v>Europe</v>
          </cell>
          <cell r="AR57" t="str">
            <v>multi country</v>
          </cell>
          <cell r="AS57" t="str">
            <v>Europe</v>
          </cell>
          <cell r="AU57" t="str">
            <v>single sector</v>
          </cell>
          <cell r="AV57" t="str">
            <v>Retail</v>
          </cell>
          <cell r="AW57">
            <v>200000000</v>
          </cell>
          <cell r="AX57">
            <v>1000000000</v>
          </cell>
          <cell r="BA57" t="str">
            <v>Yes</v>
          </cell>
          <cell r="BB57" t="str">
            <v>Yes</v>
          </cell>
          <cell r="BC57" t="str">
            <v>15 years</v>
          </cell>
          <cell r="BH57" t="str">
            <v>2009-06-30</v>
          </cell>
          <cell r="BJ57">
            <v>0</v>
          </cell>
          <cell r="BL57">
            <v>0</v>
          </cell>
          <cell r="BM57">
            <v>68</v>
          </cell>
          <cell r="BP57">
            <v>6</v>
          </cell>
          <cell r="BQ57">
            <v>37</v>
          </cell>
          <cell r="BS57">
            <v>0</v>
          </cell>
          <cell r="BV57" t="str">
            <v>No</v>
          </cell>
        </row>
        <row r="58">
          <cell r="A58">
            <v>18146</v>
          </cell>
          <cell r="B58" t="str">
            <v>BARINGS EUROPEAN CORE PROPERTY FUND</v>
          </cell>
          <cell r="C58" t="str">
            <v>BARINGS REAL ESTATE ADVISERS</v>
          </cell>
          <cell r="D58" t="str">
            <v>20 Old Bailey</v>
          </cell>
          <cell r="E58" t="str">
            <v>EC4M 7BF</v>
          </cell>
          <cell r="F58" t="str">
            <v>London</v>
          </cell>
          <cell r="G58" t="str">
            <v>United Kingdom</v>
          </cell>
          <cell r="H58" t="str">
            <v>+442076286000</v>
          </cell>
          <cell r="J58" t="str">
            <v>http://www.barings.com/</v>
          </cell>
          <cell r="K58" t="str">
            <v>Jorge Duarte</v>
          </cell>
          <cell r="L58" t="str">
            <v>jorge.duarte@barings.com</v>
          </cell>
          <cell r="M58" t="str">
            <v>+442072970913</v>
          </cell>
          <cell r="N58" t="str">
            <v>Cathy Francica</v>
          </cell>
          <cell r="O58" t="str">
            <v>cathy.francica@barings.com</v>
          </cell>
          <cell r="P58" t="str">
            <v>+442077628814</v>
          </cell>
          <cell r="Q58" t="str">
            <v>Luxembourg</v>
          </cell>
          <cell r="R58" t="str">
            <v>EUR</v>
          </cell>
          <cell r="S58" t="str">
            <v>IFRS</v>
          </cell>
          <cell r="T58" t="str">
            <v>Quarterly</v>
          </cell>
          <cell r="U58" t="str">
            <v>Quarterly</v>
          </cell>
          <cell r="V58" t="str">
            <v>RICS</v>
          </cell>
          <cell r="W58" t="str">
            <v>Adjusted INREV NAV</v>
          </cell>
          <cell r="X58" t="str">
            <v>KPMG Luxembourg</v>
          </cell>
          <cell r="Y58" t="str">
            <v>Real Estate Fund</v>
          </cell>
          <cell r="Z58" t="str">
            <v>No</v>
          </cell>
          <cell r="AA58" t="str">
            <v>Yes</v>
          </cell>
          <cell r="AB58">
            <v>3</v>
          </cell>
          <cell r="AC58" t="str">
            <v>Non-Listed Fund</v>
          </cell>
          <cell r="AD58" t="str">
            <v>Core</v>
          </cell>
          <cell r="AE58" t="str">
            <v>infinite</v>
          </cell>
          <cell r="AF58" t="str">
            <v>Open end</v>
          </cell>
          <cell r="AG58">
            <v>7</v>
          </cell>
          <cell r="AH58">
            <v>9</v>
          </cell>
          <cell r="AI58" t="str">
            <v>Net</v>
          </cell>
          <cell r="AJ58" t="str">
            <v>PEPFI</v>
          </cell>
          <cell r="AK58">
            <v>4</v>
          </cell>
          <cell r="AL58">
            <v>30</v>
          </cell>
          <cell r="AM58" t="str">
            <v>≤ 40%</v>
          </cell>
          <cell r="AN58" t="str">
            <v>Institutional</v>
          </cell>
          <cell r="AO58" t="str">
            <v>&gt; 2</v>
          </cell>
          <cell r="AP58" t="str">
            <v>≥ 50%</v>
          </cell>
          <cell r="AQ58" t="str">
            <v>Europe</v>
          </cell>
          <cell r="AR58" t="str">
            <v>multi country</v>
          </cell>
          <cell r="AS58" t="str">
            <v>Europe</v>
          </cell>
          <cell r="AU58" t="str">
            <v>multi sector</v>
          </cell>
          <cell r="AW58">
            <v>2000000000</v>
          </cell>
          <cell r="AX58">
            <v>2000000000</v>
          </cell>
          <cell r="AY58">
            <v>2015</v>
          </cell>
          <cell r="BB58" t="str">
            <v>No</v>
          </cell>
          <cell r="BD58" t="str">
            <v>No</v>
          </cell>
          <cell r="BE58" t="str">
            <v>≥ 60%</v>
          </cell>
          <cell r="BF58" t="str">
            <v>≤ 15%</v>
          </cell>
          <cell r="BG58" t="str">
            <v>≤ 5%</v>
          </cell>
          <cell r="BH58" t="str">
            <v>2020-09-30</v>
          </cell>
          <cell r="BI58">
            <v>1953985915</v>
          </cell>
          <cell r="BJ58">
            <v>1953985915</v>
          </cell>
          <cell r="BK58">
            <v>1527425215</v>
          </cell>
          <cell r="BL58">
            <v>1527425215</v>
          </cell>
          <cell r="BM58">
            <v>18.100000000000001</v>
          </cell>
          <cell r="BN58" t="str">
            <v>No</v>
          </cell>
          <cell r="BO58" t="str">
            <v>External</v>
          </cell>
          <cell r="BP58">
            <v>37</v>
          </cell>
          <cell r="BQ58">
            <v>48</v>
          </cell>
          <cell r="BR58">
            <v>1912868382</v>
          </cell>
          <cell r="BS58">
            <v>1912868382</v>
          </cell>
          <cell r="BT58">
            <v>1385991622.72</v>
          </cell>
          <cell r="BU58">
            <v>1385991622.72</v>
          </cell>
          <cell r="BV58" t="str">
            <v>Yes</v>
          </cell>
          <cell r="BW58" t="str">
            <v>Netherlands</v>
          </cell>
          <cell r="BX58" t="str">
            <v>Industrial / Logistics</v>
          </cell>
          <cell r="BY58">
            <v>3.82</v>
          </cell>
          <cell r="BZ58" t="str">
            <v>Netherlands</v>
          </cell>
          <cell r="CA58" t="str">
            <v>Office</v>
          </cell>
          <cell r="CB58">
            <v>6.37</v>
          </cell>
          <cell r="CC58" t="str">
            <v>France</v>
          </cell>
          <cell r="CD58" t="str">
            <v>Industrial / Logistics</v>
          </cell>
          <cell r="CE58">
            <v>10.51</v>
          </cell>
          <cell r="CF58" t="str">
            <v>Italy</v>
          </cell>
          <cell r="CG58" t="str">
            <v>Industrial / Logistics</v>
          </cell>
          <cell r="CH58">
            <v>0.7</v>
          </cell>
          <cell r="CI58" t="str">
            <v>Italy</v>
          </cell>
          <cell r="CJ58" t="str">
            <v>Retail</v>
          </cell>
          <cell r="CK58">
            <v>4.17</v>
          </cell>
          <cell r="CL58" t="str">
            <v>Spain</v>
          </cell>
          <cell r="CM58" t="str">
            <v>Industrial / Logistics</v>
          </cell>
          <cell r="CN58">
            <v>5.43</v>
          </cell>
          <cell r="CO58" t="str">
            <v>Spain</v>
          </cell>
          <cell r="CP58" t="str">
            <v>Retail</v>
          </cell>
          <cell r="CQ58">
            <v>11</v>
          </cell>
          <cell r="CR58" t="str">
            <v>Germany</v>
          </cell>
          <cell r="CS58" t="str">
            <v>Industrial / Logistics</v>
          </cell>
          <cell r="CT58">
            <v>7.63</v>
          </cell>
          <cell r="CU58" t="str">
            <v>Germany</v>
          </cell>
          <cell r="CV58" t="str">
            <v>Retail</v>
          </cell>
          <cell r="CW58">
            <v>2.71</v>
          </cell>
          <cell r="CX58" t="str">
            <v>Germany</v>
          </cell>
          <cell r="CY58" t="str">
            <v>Office</v>
          </cell>
          <cell r="CZ58">
            <v>9.84</v>
          </cell>
          <cell r="DA58" t="str">
            <v>Finland</v>
          </cell>
          <cell r="DB58" t="str">
            <v>Hotel</v>
          </cell>
          <cell r="DC58">
            <v>2</v>
          </cell>
          <cell r="DD58" t="str">
            <v>Sweden</v>
          </cell>
          <cell r="DE58" t="str">
            <v>Industrial / Logistics</v>
          </cell>
          <cell r="DF58">
            <v>4.8600000000000003</v>
          </cell>
          <cell r="DG58" t="str">
            <v>Sweden</v>
          </cell>
          <cell r="DH58" t="str">
            <v>Development Residential</v>
          </cell>
          <cell r="DI58">
            <v>1.72</v>
          </cell>
          <cell r="DJ58" t="str">
            <v>Sweden</v>
          </cell>
          <cell r="DK58" t="str">
            <v>Office</v>
          </cell>
          <cell r="DL58">
            <v>6.26</v>
          </cell>
          <cell r="DM58" t="str">
            <v>Sweden</v>
          </cell>
          <cell r="DN58" t="str">
            <v>Retail</v>
          </cell>
          <cell r="DO58">
            <v>1.72</v>
          </cell>
          <cell r="DP58" t="str">
            <v>United Kingdom</v>
          </cell>
          <cell r="DQ58" t="str">
            <v>Residential</v>
          </cell>
          <cell r="DR58">
            <v>2.74</v>
          </cell>
          <cell r="DS58" t="str">
            <v>United Kingdom</v>
          </cell>
          <cell r="DT58" t="str">
            <v>Office</v>
          </cell>
          <cell r="DU58">
            <v>3.59</v>
          </cell>
        </row>
        <row r="59">
          <cell r="A59">
            <v>19620</v>
          </cell>
          <cell r="B59" t="str">
            <v>BC PARTNERS EUROPEAN REAL ESTATE I</v>
          </cell>
          <cell r="C59" t="str">
            <v>BC PARTNERS MANAGEMENT LUX S.A R.L</v>
          </cell>
          <cell r="D59" t="str">
            <v xml:space="preserve">18, Rue Erasme </v>
          </cell>
          <cell r="E59" t="str">
            <v>L-1468</v>
          </cell>
          <cell r="F59" t="str">
            <v>Luxembourg</v>
          </cell>
          <cell r="G59" t="str">
            <v>Luxembourg</v>
          </cell>
          <cell r="J59" t="str">
            <v>www.bcpartners.com</v>
          </cell>
          <cell r="K59" t="str">
            <v>Steven Tsang</v>
          </cell>
          <cell r="L59" t="str">
            <v>steven.tsang@bcpartners.com</v>
          </cell>
          <cell r="M59" t="str">
            <v>+442070094810</v>
          </cell>
          <cell r="Q59" t="str">
            <v>Luxembourg</v>
          </cell>
          <cell r="R59" t="str">
            <v>EUR</v>
          </cell>
          <cell r="S59" t="str">
            <v>IFRS</v>
          </cell>
          <cell r="T59" t="str">
            <v>Quarterly</v>
          </cell>
          <cell r="U59" t="str">
            <v>Twice per year</v>
          </cell>
          <cell r="V59" t="str">
            <v>RICS</v>
          </cell>
          <cell r="W59" t="str">
            <v>INREV NAV</v>
          </cell>
          <cell r="X59" t="str">
            <v>KPMG</v>
          </cell>
          <cell r="Y59" t="str">
            <v>Limited Partnership</v>
          </cell>
          <cell r="Z59" t="str">
            <v>Yes</v>
          </cell>
          <cell r="AA59" t="str">
            <v>Yes</v>
          </cell>
          <cell r="AB59">
            <v>2</v>
          </cell>
          <cell r="AC59" t="str">
            <v>Non-Listed Fund</v>
          </cell>
          <cell r="AD59" t="str">
            <v>Value-added</v>
          </cell>
          <cell r="AE59" t="str">
            <v>finite</v>
          </cell>
          <cell r="AF59" t="str">
            <v>Closed end</v>
          </cell>
          <cell r="AG59">
            <v>18</v>
          </cell>
          <cell r="AH59">
            <v>18</v>
          </cell>
          <cell r="AI59" t="str">
            <v>Gross</v>
          </cell>
          <cell r="AM59" t="str">
            <v>&gt; 60%</v>
          </cell>
          <cell r="AN59" t="str">
            <v>Institutional and Retail</v>
          </cell>
          <cell r="AO59" t="str">
            <v>&gt; 2</v>
          </cell>
          <cell r="AP59" t="str">
            <v>≥ 50%</v>
          </cell>
          <cell r="AQ59" t="str">
            <v>Europe</v>
          </cell>
          <cell r="AR59" t="str">
            <v>multi country</v>
          </cell>
          <cell r="AS59" t="str">
            <v>Europe</v>
          </cell>
          <cell r="AU59" t="str">
            <v>multi sector</v>
          </cell>
          <cell r="AW59">
            <v>750000000</v>
          </cell>
          <cell r="AX59">
            <v>1875000000</v>
          </cell>
          <cell r="AY59">
            <v>2019</v>
          </cell>
          <cell r="AZ59">
            <v>2029</v>
          </cell>
          <cell r="BA59" t="str">
            <v>Yes</v>
          </cell>
          <cell r="BB59" t="str">
            <v>Yes</v>
          </cell>
          <cell r="BC59" t="str">
            <v>2 years fixed</v>
          </cell>
          <cell r="BD59" t="str">
            <v>Yes</v>
          </cell>
          <cell r="BE59" t="str">
            <v>&lt; 60%</v>
          </cell>
          <cell r="BF59" t="str">
            <v>&gt; 40%</v>
          </cell>
          <cell r="BG59" t="str">
            <v>&gt; 25%</v>
          </cell>
          <cell r="BH59" t="str">
            <v>2020-12-31</v>
          </cell>
          <cell r="BI59">
            <v>90186409</v>
          </cell>
          <cell r="BJ59">
            <v>90186409</v>
          </cell>
          <cell r="BK59">
            <v>31216544</v>
          </cell>
          <cell r="BL59">
            <v>31216544</v>
          </cell>
          <cell r="BM59">
            <v>65</v>
          </cell>
          <cell r="BN59" t="str">
            <v>No</v>
          </cell>
          <cell r="BO59" t="str">
            <v>External</v>
          </cell>
          <cell r="BP59">
            <v>8</v>
          </cell>
          <cell r="BQ59">
            <v>1</v>
          </cell>
          <cell r="BR59">
            <v>679855000</v>
          </cell>
          <cell r="BS59">
            <v>679855000</v>
          </cell>
          <cell r="BT59">
            <v>32912412</v>
          </cell>
          <cell r="BU59">
            <v>32912412</v>
          </cell>
          <cell r="BV59" t="str">
            <v>Yes</v>
          </cell>
          <cell r="BW59" t="str">
            <v>United Kingdom</v>
          </cell>
          <cell r="BX59" t="str">
            <v>Mixed</v>
          </cell>
          <cell r="BY59">
            <v>99</v>
          </cell>
        </row>
        <row r="60">
          <cell r="A60">
            <v>18104</v>
          </cell>
          <cell r="B60" t="str">
            <v>BEOS CORPORATE REAL ESTATE FUND GERMANY I</v>
          </cell>
          <cell r="C60" t="str">
            <v>BEOS AG</v>
          </cell>
          <cell r="D60" t="str">
            <v>Kurfuerstendamm 188</v>
          </cell>
          <cell r="E60">
            <v>10707</v>
          </cell>
          <cell r="F60" t="str">
            <v>Berlin</v>
          </cell>
          <cell r="G60" t="str">
            <v>Germany</v>
          </cell>
          <cell r="H60" t="str">
            <v>+49302800990</v>
          </cell>
          <cell r="I60" t="str">
            <v>+493028009966</v>
          </cell>
          <cell r="J60" t="str">
            <v>http://www.beos.net</v>
          </cell>
          <cell r="K60" t="str">
            <v>Steffen Uttich</v>
          </cell>
          <cell r="L60" t="str">
            <v>steffen.uttich@beos.net</v>
          </cell>
          <cell r="M60" t="str">
            <v>+493028009918</v>
          </cell>
          <cell r="N60" t="str">
            <v>Steffen Uttich</v>
          </cell>
          <cell r="O60" t="str">
            <v>steffen.uttich@beos.net</v>
          </cell>
          <cell r="P60" t="str">
            <v>+493028009918</v>
          </cell>
          <cell r="Q60" t="str">
            <v>Germany</v>
          </cell>
          <cell r="R60" t="str">
            <v>EUR</v>
          </cell>
          <cell r="S60" t="str">
            <v>KAGB</v>
          </cell>
          <cell r="T60" t="str">
            <v>Annually</v>
          </cell>
          <cell r="U60" t="str">
            <v>Annually</v>
          </cell>
          <cell r="V60" t="str">
            <v>ImmoWertV</v>
          </cell>
          <cell r="W60" t="str">
            <v>KAGB</v>
          </cell>
          <cell r="X60" t="str">
            <v>KPMG</v>
          </cell>
          <cell r="Y60" t="str">
            <v>Spezialfonds</v>
          </cell>
          <cell r="Z60" t="str">
            <v>No</v>
          </cell>
          <cell r="AA60" t="str">
            <v>Yes</v>
          </cell>
          <cell r="AB60">
            <v>0</v>
          </cell>
          <cell r="AC60" t="str">
            <v>Non-Listed Fund</v>
          </cell>
          <cell r="AD60" t="str">
            <v>Core</v>
          </cell>
          <cell r="AE60" t="str">
            <v>infinite</v>
          </cell>
          <cell r="AF60" t="str">
            <v>Open end</v>
          </cell>
          <cell r="AG60">
            <v>10</v>
          </cell>
          <cell r="AH60">
            <v>10</v>
          </cell>
          <cell r="AI60" t="str">
            <v>Net</v>
          </cell>
          <cell r="AJ60" t="str">
            <v>SFIX Germany</v>
          </cell>
          <cell r="AK60">
            <v>7</v>
          </cell>
          <cell r="AL60">
            <v>42.5</v>
          </cell>
          <cell r="AM60" t="str">
            <v>&gt; 40% - ≤ 60%</v>
          </cell>
          <cell r="AN60" t="str">
            <v>Institutional</v>
          </cell>
          <cell r="AO60" t="str">
            <v>&gt; 2</v>
          </cell>
          <cell r="AP60" t="str">
            <v>≥ 50%</v>
          </cell>
          <cell r="AQ60" t="str">
            <v>Europe</v>
          </cell>
          <cell r="AR60" t="str">
            <v>single country</v>
          </cell>
          <cell r="AT60" t="str">
            <v>Germany</v>
          </cell>
          <cell r="AU60" t="str">
            <v>multi sector</v>
          </cell>
          <cell r="AW60">
            <v>255000000</v>
          </cell>
          <cell r="AX60">
            <v>440000000</v>
          </cell>
          <cell r="AY60">
            <v>2010</v>
          </cell>
          <cell r="BD60" t="str">
            <v>No</v>
          </cell>
          <cell r="BE60" t="str">
            <v>≥ 60%</v>
          </cell>
          <cell r="BF60" t="str">
            <v>≤ 15%</v>
          </cell>
          <cell r="BG60" t="str">
            <v>≤ 5%</v>
          </cell>
          <cell r="BH60" t="str">
            <v>2020-12-31</v>
          </cell>
          <cell r="BI60">
            <v>612478912</v>
          </cell>
          <cell r="BJ60">
            <v>612478912</v>
          </cell>
          <cell r="BK60">
            <v>349942297</v>
          </cell>
          <cell r="BL60">
            <v>349942297</v>
          </cell>
          <cell r="BM60">
            <v>42.39</v>
          </cell>
          <cell r="BN60" t="str">
            <v>No</v>
          </cell>
          <cell r="BO60" t="str">
            <v>External</v>
          </cell>
          <cell r="BP60">
            <v>30</v>
          </cell>
          <cell r="BQ60">
            <v>20</v>
          </cell>
          <cell r="BR60">
            <v>255009686</v>
          </cell>
          <cell r="BS60">
            <v>255009686</v>
          </cell>
          <cell r="BT60">
            <v>255009309</v>
          </cell>
          <cell r="BU60">
            <v>255009309</v>
          </cell>
          <cell r="BV60" t="str">
            <v>No</v>
          </cell>
          <cell r="BW60" t="str">
            <v>Germany</v>
          </cell>
          <cell r="BX60" t="str">
            <v>Mixed</v>
          </cell>
          <cell r="BY60">
            <v>95.3</v>
          </cell>
        </row>
        <row r="61">
          <cell r="A61">
            <v>16084</v>
          </cell>
          <cell r="B61" t="str">
            <v>BEOS CORPORATE REAL ESTATE FUND GERMANY II</v>
          </cell>
          <cell r="C61" t="str">
            <v>BEOS AG</v>
          </cell>
          <cell r="D61" t="str">
            <v>Kurfuerstendamm 188</v>
          </cell>
          <cell r="E61">
            <v>10707</v>
          </cell>
          <cell r="F61" t="str">
            <v>Berlin</v>
          </cell>
          <cell r="G61" t="str">
            <v>Germany</v>
          </cell>
          <cell r="H61" t="str">
            <v>+49302800990</v>
          </cell>
          <cell r="I61" t="str">
            <v>+493028009966</v>
          </cell>
          <cell r="J61" t="str">
            <v>http://www.beos.net</v>
          </cell>
          <cell r="K61" t="str">
            <v>Steffen Uttich</v>
          </cell>
          <cell r="L61" t="str">
            <v>steffen.uttich@beos.net</v>
          </cell>
          <cell r="M61" t="str">
            <v>+493028009918</v>
          </cell>
          <cell r="N61" t="str">
            <v>Steffen Uttich</v>
          </cell>
          <cell r="O61" t="str">
            <v>steffen.uttich@beos.net</v>
          </cell>
          <cell r="P61" t="str">
            <v>+493028009918</v>
          </cell>
          <cell r="Q61" t="str">
            <v>Germany</v>
          </cell>
          <cell r="R61" t="str">
            <v>EUR</v>
          </cell>
          <cell r="S61" t="str">
            <v>KAGB</v>
          </cell>
          <cell r="T61" t="str">
            <v>Annually</v>
          </cell>
          <cell r="U61" t="str">
            <v>Annually</v>
          </cell>
          <cell r="V61" t="str">
            <v>Wertermittlungsverordnung (WertV)</v>
          </cell>
          <cell r="W61" t="str">
            <v>KAGB</v>
          </cell>
          <cell r="X61" t="str">
            <v>KPMG</v>
          </cell>
          <cell r="Y61" t="str">
            <v>Spezialfonds</v>
          </cell>
          <cell r="Z61" t="str">
            <v>No</v>
          </cell>
          <cell r="AA61" t="str">
            <v>Yes</v>
          </cell>
          <cell r="AB61">
            <v>0</v>
          </cell>
          <cell r="AC61" t="str">
            <v>Non-Listed Fund</v>
          </cell>
          <cell r="AD61" t="str">
            <v>Core</v>
          </cell>
          <cell r="AE61" t="str">
            <v>infinite</v>
          </cell>
          <cell r="AF61" t="str">
            <v>Open end</v>
          </cell>
          <cell r="AG61">
            <v>9</v>
          </cell>
          <cell r="AH61">
            <v>9</v>
          </cell>
          <cell r="AI61" t="str">
            <v>Net</v>
          </cell>
          <cell r="AJ61" t="str">
            <v>SFIX Germany</v>
          </cell>
          <cell r="AK61">
            <v>6.75</v>
          </cell>
          <cell r="AL61">
            <v>42.5</v>
          </cell>
          <cell r="AM61" t="str">
            <v>&gt; 40% - ≤ 60%</v>
          </cell>
          <cell r="AN61" t="str">
            <v>Institutional</v>
          </cell>
          <cell r="AO61" t="str">
            <v>&gt; 2</v>
          </cell>
          <cell r="AP61" t="str">
            <v>≥ 50%</v>
          </cell>
          <cell r="AQ61" t="str">
            <v>Europe</v>
          </cell>
          <cell r="AR61" t="str">
            <v>single country</v>
          </cell>
          <cell r="AT61" t="str">
            <v>Germany</v>
          </cell>
          <cell r="AU61" t="str">
            <v>multi sector</v>
          </cell>
          <cell r="AW61">
            <v>364000000</v>
          </cell>
          <cell r="AX61">
            <v>630000000</v>
          </cell>
          <cell r="AY61">
            <v>2012</v>
          </cell>
          <cell r="BD61" t="str">
            <v>No</v>
          </cell>
          <cell r="BE61" t="str">
            <v>≥ 60%</v>
          </cell>
          <cell r="BF61" t="str">
            <v>≤ 15%</v>
          </cell>
          <cell r="BG61" t="str">
            <v>≤ 5%</v>
          </cell>
          <cell r="BH61" t="str">
            <v>2020-12-31</v>
          </cell>
          <cell r="BI61">
            <v>804318582</v>
          </cell>
          <cell r="BJ61">
            <v>804318582</v>
          </cell>
          <cell r="BK61">
            <v>526149113</v>
          </cell>
          <cell r="BL61">
            <v>526149113</v>
          </cell>
          <cell r="BM61">
            <v>35.03</v>
          </cell>
          <cell r="BN61" t="str">
            <v>No</v>
          </cell>
          <cell r="BO61" t="str">
            <v>External</v>
          </cell>
          <cell r="BP61">
            <v>27</v>
          </cell>
          <cell r="BQ61">
            <v>19</v>
          </cell>
          <cell r="BR61">
            <v>392390000</v>
          </cell>
          <cell r="BS61">
            <v>392390000</v>
          </cell>
          <cell r="BT61">
            <v>386560191</v>
          </cell>
          <cell r="BU61">
            <v>386560191</v>
          </cell>
          <cell r="BV61" t="str">
            <v>No</v>
          </cell>
          <cell r="BW61" t="str">
            <v>Germany</v>
          </cell>
          <cell r="BX61" t="str">
            <v>Mixed</v>
          </cell>
          <cell r="BY61">
            <v>89.49</v>
          </cell>
        </row>
        <row r="62">
          <cell r="A62">
            <v>18105</v>
          </cell>
          <cell r="B62" t="str">
            <v>BEOS CORPORATE REAL ESTATE FUND GERMANY III</v>
          </cell>
          <cell r="C62" t="str">
            <v>BEOS AG</v>
          </cell>
          <cell r="D62" t="str">
            <v>Kurfuerstendamm 188</v>
          </cell>
          <cell r="E62">
            <v>10707</v>
          </cell>
          <cell r="F62" t="str">
            <v>Berlin</v>
          </cell>
          <cell r="G62" t="str">
            <v>Germany</v>
          </cell>
          <cell r="H62" t="str">
            <v>+49302800990</v>
          </cell>
          <cell r="I62" t="str">
            <v>+493028009966</v>
          </cell>
          <cell r="J62" t="str">
            <v>http://www.beos.net</v>
          </cell>
          <cell r="K62" t="str">
            <v>Steffen Uttich</v>
          </cell>
          <cell r="L62" t="str">
            <v>steffen.uttich@beos.net</v>
          </cell>
          <cell r="M62" t="str">
            <v>+493028009918</v>
          </cell>
          <cell r="N62" t="str">
            <v>Steffen Uttich</v>
          </cell>
          <cell r="O62" t="str">
            <v>steffen.uttich@beos.net</v>
          </cell>
          <cell r="P62" t="str">
            <v>+493028009918</v>
          </cell>
          <cell r="Q62" t="str">
            <v>Germany</v>
          </cell>
          <cell r="R62" t="str">
            <v>EUR</v>
          </cell>
          <cell r="S62" t="str">
            <v>KAGB</v>
          </cell>
          <cell r="T62" t="str">
            <v>Annually</v>
          </cell>
          <cell r="U62" t="str">
            <v>Annually</v>
          </cell>
          <cell r="V62" t="str">
            <v>ImmoWertV</v>
          </cell>
          <cell r="W62" t="str">
            <v>KAGB</v>
          </cell>
          <cell r="X62" t="str">
            <v>KPMG</v>
          </cell>
          <cell r="Y62" t="str">
            <v>Spezialfonds</v>
          </cell>
          <cell r="Z62" t="str">
            <v>No</v>
          </cell>
          <cell r="AA62" t="str">
            <v>Yes</v>
          </cell>
          <cell r="AB62">
            <v>0</v>
          </cell>
          <cell r="AC62" t="str">
            <v>Non-Listed Fund</v>
          </cell>
          <cell r="AD62" t="str">
            <v>Core</v>
          </cell>
          <cell r="AE62" t="str">
            <v>infinite</v>
          </cell>
          <cell r="AF62" t="str">
            <v>Open end</v>
          </cell>
          <cell r="AG62">
            <v>8</v>
          </cell>
          <cell r="AH62">
            <v>10</v>
          </cell>
          <cell r="AI62" t="str">
            <v>Net</v>
          </cell>
          <cell r="AJ62" t="str">
            <v>SFIX Germany</v>
          </cell>
          <cell r="AK62">
            <v>6.5</v>
          </cell>
          <cell r="AL62">
            <v>42.5</v>
          </cell>
          <cell r="AM62" t="str">
            <v>&gt; 40% - ≤ 60%</v>
          </cell>
          <cell r="AN62" t="str">
            <v>Institutional</v>
          </cell>
          <cell r="AO62" t="str">
            <v>&gt; 2</v>
          </cell>
          <cell r="AP62" t="str">
            <v>≥ 50%</v>
          </cell>
          <cell r="AQ62" t="str">
            <v>Europe</v>
          </cell>
          <cell r="AR62" t="str">
            <v>single country</v>
          </cell>
          <cell r="AT62" t="str">
            <v>Germany</v>
          </cell>
          <cell r="AU62" t="str">
            <v>multi sector</v>
          </cell>
          <cell r="AW62">
            <v>627500000</v>
          </cell>
          <cell r="AX62">
            <v>1100000000</v>
          </cell>
          <cell r="AY62">
            <v>2015</v>
          </cell>
          <cell r="BD62" t="str">
            <v>No</v>
          </cell>
          <cell r="BE62" t="str">
            <v>≥ 60%</v>
          </cell>
          <cell r="BF62" t="str">
            <v>≤ 15%</v>
          </cell>
          <cell r="BG62" t="str">
            <v>≤ 5%</v>
          </cell>
          <cell r="BH62" t="str">
            <v>2020-12-31</v>
          </cell>
          <cell r="BI62">
            <v>1443078809</v>
          </cell>
          <cell r="BJ62">
            <v>1443078809</v>
          </cell>
          <cell r="BK62">
            <v>805248267</v>
          </cell>
          <cell r="BL62">
            <v>805248267</v>
          </cell>
          <cell r="BM62">
            <v>43.16</v>
          </cell>
          <cell r="BN62" t="str">
            <v>No</v>
          </cell>
          <cell r="BO62" t="str">
            <v>External</v>
          </cell>
          <cell r="BP62">
            <v>42</v>
          </cell>
          <cell r="BQ62">
            <v>34</v>
          </cell>
          <cell r="BR62">
            <v>744159867</v>
          </cell>
          <cell r="BS62">
            <v>744159867</v>
          </cell>
          <cell r="BT62">
            <v>695131214</v>
          </cell>
          <cell r="BU62">
            <v>695131214</v>
          </cell>
          <cell r="BV62" t="str">
            <v>No</v>
          </cell>
          <cell r="BW62" t="str">
            <v>Germany</v>
          </cell>
          <cell r="BX62" t="str">
            <v>Mixed</v>
          </cell>
          <cell r="BY62">
            <v>97.97</v>
          </cell>
        </row>
        <row r="63">
          <cell r="A63">
            <v>19145</v>
          </cell>
          <cell r="B63" t="str">
            <v>BEOS CORPORATE REAL ESTATE FUND GERMANY IV</v>
          </cell>
          <cell r="C63" t="str">
            <v>BEOS AG</v>
          </cell>
          <cell r="D63" t="str">
            <v>Kurfürstendamm 188</v>
          </cell>
          <cell r="E63">
            <v>10707</v>
          </cell>
          <cell r="F63" t="str">
            <v>Berlin</v>
          </cell>
          <cell r="G63" t="str">
            <v>Germany</v>
          </cell>
          <cell r="H63" t="str">
            <v>+49302800990</v>
          </cell>
          <cell r="J63" t="str">
            <v>https://beos.net/</v>
          </cell>
          <cell r="K63" t="str">
            <v>Maximilian Brüne</v>
          </cell>
          <cell r="L63" t="str">
            <v>maximilian.bruene@beos.net</v>
          </cell>
          <cell r="M63" t="str">
            <v>+4930280099116</v>
          </cell>
          <cell r="N63" t="str">
            <v>Kerstin Lauerbach</v>
          </cell>
          <cell r="O63" t="str">
            <v>kerstin.lauerbach@beos.net</v>
          </cell>
          <cell r="P63" t="str">
            <v>+4930280099400</v>
          </cell>
          <cell r="Q63" t="str">
            <v>Germany</v>
          </cell>
          <cell r="R63" t="str">
            <v>EUR</v>
          </cell>
          <cell r="S63" t="str">
            <v>IFRS</v>
          </cell>
          <cell r="T63" t="str">
            <v>Annually</v>
          </cell>
          <cell r="U63" t="str">
            <v>Annually</v>
          </cell>
          <cell r="V63" t="str">
            <v>ImmoWertV</v>
          </cell>
          <cell r="X63" t="str">
            <v>KPMG</v>
          </cell>
          <cell r="Y63" t="str">
            <v>Spezialfonds</v>
          </cell>
          <cell r="Z63" t="str">
            <v>No</v>
          </cell>
          <cell r="AC63" t="str">
            <v>Non-Listed Fund</v>
          </cell>
          <cell r="AD63" t="str">
            <v>Core</v>
          </cell>
          <cell r="AE63" t="str">
            <v>infinite</v>
          </cell>
          <cell r="AF63" t="str">
            <v>Open end</v>
          </cell>
          <cell r="AG63">
            <v>7</v>
          </cell>
          <cell r="AH63">
            <v>7</v>
          </cell>
          <cell r="AK63">
            <v>5.5</v>
          </cell>
          <cell r="AL63">
            <v>45</v>
          </cell>
          <cell r="AM63" t="str">
            <v>&gt; 40% - ≤ 60%</v>
          </cell>
          <cell r="AN63" t="str">
            <v>Institutional</v>
          </cell>
          <cell r="AO63" t="str">
            <v>&gt; 2</v>
          </cell>
          <cell r="AP63" t="str">
            <v>≥ 50%</v>
          </cell>
          <cell r="AQ63" t="str">
            <v>Europe</v>
          </cell>
          <cell r="AR63" t="str">
            <v>single country</v>
          </cell>
          <cell r="AT63" t="str">
            <v>Germany</v>
          </cell>
          <cell r="AU63" t="str">
            <v>multi sector</v>
          </cell>
          <cell r="AW63">
            <v>630000000</v>
          </cell>
          <cell r="AX63">
            <v>1100000000</v>
          </cell>
          <cell r="AY63">
            <v>2018</v>
          </cell>
          <cell r="BD63" t="str">
            <v>No</v>
          </cell>
          <cell r="BE63" t="str">
            <v>≥ 60%</v>
          </cell>
          <cell r="BF63" t="str">
            <v>≤ 15%</v>
          </cell>
          <cell r="BG63" t="str">
            <v>≤ 5%</v>
          </cell>
          <cell r="BH63" t="str">
            <v>2020-12-31</v>
          </cell>
          <cell r="BI63">
            <v>1192370203</v>
          </cell>
          <cell r="BJ63">
            <v>1192370203</v>
          </cell>
          <cell r="BK63">
            <v>668754157</v>
          </cell>
          <cell r="BL63">
            <v>668754157</v>
          </cell>
          <cell r="BM63">
            <v>44.77</v>
          </cell>
          <cell r="BN63" t="str">
            <v>No</v>
          </cell>
          <cell r="BO63" t="str">
            <v>External</v>
          </cell>
          <cell r="BP63">
            <v>53</v>
          </cell>
          <cell r="BQ63">
            <v>39</v>
          </cell>
          <cell r="BR63">
            <v>991390073</v>
          </cell>
          <cell r="BS63">
            <v>991390073</v>
          </cell>
          <cell r="BT63">
            <v>906957675</v>
          </cell>
          <cell r="BU63">
            <v>906957675</v>
          </cell>
          <cell r="BV63" t="str">
            <v>No</v>
          </cell>
          <cell r="BW63" t="str">
            <v>Germany</v>
          </cell>
          <cell r="BX63" t="str">
            <v>Mixed</v>
          </cell>
          <cell r="BY63">
            <v>97.29</v>
          </cell>
        </row>
        <row r="64">
          <cell r="A64">
            <v>17872</v>
          </cell>
          <cell r="B64" t="str">
            <v>BEST VALUE EUROPE I</v>
          </cell>
          <cell r="C64" t="str">
            <v xml:space="preserve">BMO REAL ESTATE PARTNERS GMBH &amp; CO. KG				</v>
          </cell>
          <cell r="G64" t="str">
            <v>Germany</v>
          </cell>
          <cell r="Q64" t="str">
            <v>Germany</v>
          </cell>
          <cell r="R64" t="str">
            <v>EUR</v>
          </cell>
          <cell r="T64" t="str">
            <v>Quarterly</v>
          </cell>
          <cell r="U64" t="str">
            <v>Quarterly</v>
          </cell>
          <cell r="V64" t="str">
            <v>ImmoWertV</v>
          </cell>
          <cell r="W64" t="str">
            <v>KAGB</v>
          </cell>
          <cell r="Y64" t="str">
            <v>Spezialfonds</v>
          </cell>
          <cell r="AC64" t="str">
            <v>Non-Listed Fund</v>
          </cell>
          <cell r="AD64" t="str">
            <v>Core</v>
          </cell>
          <cell r="AE64" t="str">
            <v>infinite</v>
          </cell>
          <cell r="AF64" t="str">
            <v>Open end</v>
          </cell>
          <cell r="AN64" t="str">
            <v>Institutional</v>
          </cell>
          <cell r="AO64" t="str">
            <v>&gt; 2</v>
          </cell>
          <cell r="AP64" t="str">
            <v>≥ 50%</v>
          </cell>
          <cell r="AQ64" t="str">
            <v>Europe</v>
          </cell>
          <cell r="AR64" t="str">
            <v>multi country</v>
          </cell>
          <cell r="AS64" t="str">
            <v>Europe</v>
          </cell>
          <cell r="AU64" t="str">
            <v>single sector</v>
          </cell>
          <cell r="AV64" t="str">
            <v>Retail</v>
          </cell>
          <cell r="AY64">
            <v>2015</v>
          </cell>
          <cell r="BH64" t="str">
            <v>2020-12-31</v>
          </cell>
          <cell r="BI64">
            <v>427018532</v>
          </cell>
          <cell r="BJ64">
            <v>427018532</v>
          </cell>
          <cell r="BK64">
            <v>426562786.68000001</v>
          </cell>
          <cell r="BL64">
            <v>426562786.68000001</v>
          </cell>
          <cell r="BM64">
            <v>0.1</v>
          </cell>
          <cell r="BN64" t="str">
            <v>No</v>
          </cell>
          <cell r="BS64">
            <v>0</v>
          </cell>
          <cell r="BV64" t="str">
            <v>No</v>
          </cell>
        </row>
        <row r="65">
          <cell r="A65">
            <v>17871</v>
          </cell>
          <cell r="B65" t="str">
            <v xml:space="preserve">BEST VALUE GERMANY II				</v>
          </cell>
          <cell r="C65" t="str">
            <v xml:space="preserve">BMO REAL ESTATE PARTNERS GMBH &amp; CO. KG				</v>
          </cell>
          <cell r="G65" t="str">
            <v>Germany</v>
          </cell>
          <cell r="Q65" t="str">
            <v>Germany</v>
          </cell>
          <cell r="R65" t="str">
            <v>EUR</v>
          </cell>
          <cell r="T65" t="str">
            <v>Quarterly</v>
          </cell>
          <cell r="U65" t="str">
            <v>Quarterly</v>
          </cell>
          <cell r="V65" t="str">
            <v>ImmoWertV</v>
          </cell>
          <cell r="W65" t="str">
            <v>KAGB</v>
          </cell>
          <cell r="Y65" t="str">
            <v>Spezialfonds</v>
          </cell>
          <cell r="AC65" t="str">
            <v>Non-Listed Fund</v>
          </cell>
          <cell r="AD65" t="str">
            <v>Core</v>
          </cell>
          <cell r="AE65" t="str">
            <v>infinite</v>
          </cell>
          <cell r="AF65" t="str">
            <v>Open end</v>
          </cell>
          <cell r="AN65" t="str">
            <v>Institutional</v>
          </cell>
          <cell r="AO65" t="str">
            <v>&gt; 2</v>
          </cell>
          <cell r="AP65" t="str">
            <v>≥ 50%</v>
          </cell>
          <cell r="AQ65" t="str">
            <v>Europe</v>
          </cell>
          <cell r="AR65" t="str">
            <v>single country</v>
          </cell>
          <cell r="AT65" t="str">
            <v>Germany</v>
          </cell>
          <cell r="AU65" t="str">
            <v>single sector</v>
          </cell>
          <cell r="AV65" t="str">
            <v>Retail</v>
          </cell>
          <cell r="AY65">
            <v>2014</v>
          </cell>
          <cell r="BH65" t="str">
            <v>2020-12-31</v>
          </cell>
          <cell r="BI65">
            <v>465763483</v>
          </cell>
          <cell r="BJ65">
            <v>465763483</v>
          </cell>
          <cell r="BK65">
            <v>268785156.88</v>
          </cell>
          <cell r="BL65">
            <v>268785156.88</v>
          </cell>
          <cell r="BM65">
            <v>42.3</v>
          </cell>
          <cell r="BN65" t="str">
            <v>No</v>
          </cell>
          <cell r="BS65">
            <v>0</v>
          </cell>
          <cell r="BV65" t="str">
            <v>No</v>
          </cell>
        </row>
        <row r="66">
          <cell r="A66">
            <v>18383</v>
          </cell>
          <cell r="B66" t="str">
            <v>BEST VALUE GERMANY III</v>
          </cell>
          <cell r="G66" t="str">
            <v>Germany</v>
          </cell>
          <cell r="Q66" t="str">
            <v>Germany</v>
          </cell>
          <cell r="R66" t="str">
            <v>EUR</v>
          </cell>
          <cell r="T66" t="str">
            <v>Quarterly</v>
          </cell>
          <cell r="U66" t="str">
            <v>Quarterly</v>
          </cell>
          <cell r="W66" t="str">
            <v>KAGB</v>
          </cell>
          <cell r="Y66" t="str">
            <v>Spezialfonds</v>
          </cell>
          <cell r="AC66" t="str">
            <v>Non-Listed Fund</v>
          </cell>
          <cell r="AD66" t="str">
            <v>Core</v>
          </cell>
          <cell r="AE66" t="str">
            <v>infinite</v>
          </cell>
          <cell r="AF66" t="str">
            <v>Open end</v>
          </cell>
          <cell r="AN66" t="str">
            <v>Institutional</v>
          </cell>
          <cell r="AO66" t="str">
            <v>&gt; 2</v>
          </cell>
          <cell r="AP66" t="str">
            <v>≥ 50%</v>
          </cell>
          <cell r="AQ66" t="str">
            <v>Europe</v>
          </cell>
          <cell r="AR66" t="str">
            <v>single country</v>
          </cell>
          <cell r="AT66" t="str">
            <v>Germany</v>
          </cell>
          <cell r="AU66" t="str">
            <v>single sector</v>
          </cell>
          <cell r="AV66" t="str">
            <v>Retail</v>
          </cell>
          <cell r="AY66">
            <v>2017</v>
          </cell>
          <cell r="BH66" t="str">
            <v>2020-12-31</v>
          </cell>
          <cell r="BI66">
            <v>275303568</v>
          </cell>
          <cell r="BJ66">
            <v>275303568</v>
          </cell>
          <cell r="BK66">
            <v>154545400.13</v>
          </cell>
          <cell r="BL66">
            <v>154545400.13</v>
          </cell>
          <cell r="BM66">
            <v>43.9</v>
          </cell>
          <cell r="BN66" t="str">
            <v>No</v>
          </cell>
          <cell r="BS66">
            <v>0</v>
          </cell>
          <cell r="BV66" t="str">
            <v>No</v>
          </cell>
        </row>
        <row r="67">
          <cell r="A67">
            <v>328</v>
          </cell>
          <cell r="B67" t="str">
            <v>BLACKROCK EUROPE PROPERTY FUND II</v>
          </cell>
          <cell r="C67" t="str">
            <v>DRAPERS GARDENS</v>
          </cell>
          <cell r="D67" t="str">
            <v>12 Throgmorton Avenue</v>
          </cell>
          <cell r="E67" t="str">
            <v>EC2N 2DL</v>
          </cell>
          <cell r="F67" t="str">
            <v>London</v>
          </cell>
          <cell r="G67" t="str">
            <v>United Kingdom</v>
          </cell>
          <cell r="J67" t="str">
            <v>http://www.blackrock.com</v>
          </cell>
          <cell r="K67" t="str">
            <v>Alexis Gisselbrecht</v>
          </cell>
          <cell r="L67" t="str">
            <v>alexis.gisselbrecht@blackrock.com</v>
          </cell>
          <cell r="M67" t="str">
            <v>+44 207 743 4177</v>
          </cell>
          <cell r="N67" t="str">
            <v>Paul Winters</v>
          </cell>
          <cell r="O67" t="str">
            <v>paul.winters@blackrock.com</v>
          </cell>
          <cell r="P67" t="str">
            <v>+44 207 743 4052</v>
          </cell>
          <cell r="Q67" t="str">
            <v>Bermuda</v>
          </cell>
          <cell r="R67" t="str">
            <v>EUR</v>
          </cell>
          <cell r="S67" t="str">
            <v>IFRS</v>
          </cell>
          <cell r="T67" t="str">
            <v>Quarterly</v>
          </cell>
          <cell r="U67" t="str">
            <v>Annually</v>
          </cell>
          <cell r="X67" t="str">
            <v>PriceWaterhouseCoopers</v>
          </cell>
          <cell r="Y67" t="str">
            <v>Limited Partnership</v>
          </cell>
          <cell r="Z67" t="str">
            <v>No</v>
          </cell>
          <cell r="AA67" t="str">
            <v>Yes</v>
          </cell>
          <cell r="AB67">
            <v>0</v>
          </cell>
          <cell r="AC67" t="str">
            <v>Non-Listed Fund</v>
          </cell>
          <cell r="AD67" t="str">
            <v>Opportunity</v>
          </cell>
          <cell r="AE67" t="str">
            <v>finite</v>
          </cell>
          <cell r="AF67" t="str">
            <v>Closed end</v>
          </cell>
          <cell r="AG67">
            <v>17</v>
          </cell>
          <cell r="AH67">
            <v>20</v>
          </cell>
          <cell r="AI67" t="str">
            <v>Net</v>
          </cell>
          <cell r="AJ67" t="str">
            <v>absolute return</v>
          </cell>
          <cell r="AM67" t="str">
            <v>&gt; 60%</v>
          </cell>
          <cell r="AN67" t="str">
            <v>Institutional</v>
          </cell>
          <cell r="AP67" t="str">
            <v>≥ 50%</v>
          </cell>
          <cell r="AQ67" t="str">
            <v>Europe</v>
          </cell>
          <cell r="AR67" t="str">
            <v>multi country</v>
          </cell>
          <cell r="AS67" t="str">
            <v>Europe</v>
          </cell>
          <cell r="AU67" t="str">
            <v>multi sector</v>
          </cell>
          <cell r="AW67">
            <v>281000000</v>
          </cell>
          <cell r="AY67">
            <v>2005</v>
          </cell>
          <cell r="AZ67">
            <v>2014</v>
          </cell>
          <cell r="BA67" t="str">
            <v>Yes</v>
          </cell>
          <cell r="BB67" t="str">
            <v>Yes</v>
          </cell>
          <cell r="BC67" t="str">
            <v>1+1 years</v>
          </cell>
          <cell r="BH67" t="str">
            <v>2013-09-30</v>
          </cell>
          <cell r="BI67">
            <v>406188000</v>
          </cell>
          <cell r="BJ67">
            <v>406188000</v>
          </cell>
          <cell r="BK67">
            <v>133578989</v>
          </cell>
          <cell r="BL67">
            <v>133578989</v>
          </cell>
          <cell r="BM67">
            <v>63.8</v>
          </cell>
          <cell r="BN67" t="str">
            <v>No</v>
          </cell>
          <cell r="BO67" t="str">
            <v>Internal</v>
          </cell>
          <cell r="BP67">
            <v>13</v>
          </cell>
          <cell r="BQ67">
            <v>11</v>
          </cell>
          <cell r="BR67">
            <v>280861569</v>
          </cell>
          <cell r="BS67">
            <v>280861569</v>
          </cell>
          <cell r="BT67">
            <v>274147228</v>
          </cell>
          <cell r="BU67">
            <v>274147228</v>
          </cell>
          <cell r="BV67" t="str">
            <v>No</v>
          </cell>
          <cell r="BW67" t="str">
            <v>Netherlands</v>
          </cell>
          <cell r="BX67" t="str">
            <v>Office</v>
          </cell>
          <cell r="BY67">
            <v>2.0099999999999998</v>
          </cell>
          <cell r="BZ67" t="str">
            <v>Switzerland</v>
          </cell>
          <cell r="CA67" t="str">
            <v>Office</v>
          </cell>
          <cell r="CB67">
            <v>2.56</v>
          </cell>
          <cell r="CC67" t="str">
            <v>United Kingdom</v>
          </cell>
          <cell r="CD67" t="str">
            <v>Office</v>
          </cell>
          <cell r="CE67">
            <v>3.51</v>
          </cell>
          <cell r="CF67" t="str">
            <v>Germany</v>
          </cell>
          <cell r="CG67" t="str">
            <v>Industrial / Logistics</v>
          </cell>
          <cell r="CH67">
            <v>8.17</v>
          </cell>
          <cell r="CI67" t="str">
            <v>Poland</v>
          </cell>
          <cell r="CJ67" t="str">
            <v>Office</v>
          </cell>
          <cell r="CK67">
            <v>83.75</v>
          </cell>
        </row>
        <row r="68">
          <cell r="A68">
            <v>327</v>
          </cell>
          <cell r="B68" t="str">
            <v>BLACKROCK EUROPE PROPERTY FUND III</v>
          </cell>
          <cell r="C68" t="str">
            <v>BLACKROCK</v>
          </cell>
          <cell r="D68" t="str">
            <v>Drapers Gardens</v>
          </cell>
          <cell r="E68" t="str">
            <v>EC2N 2DL</v>
          </cell>
          <cell r="F68" t="str">
            <v>London</v>
          </cell>
          <cell r="G68" t="str">
            <v>United Kingdom</v>
          </cell>
          <cell r="J68" t="str">
            <v>https://www.blackrock.com</v>
          </cell>
          <cell r="K68" t="str">
            <v>Alexis Gisselbrecht</v>
          </cell>
          <cell r="L68" t="str">
            <v>alexis.gisselbrecht@blackrock.com</v>
          </cell>
          <cell r="M68" t="str">
            <v>+44 20 7743 4177</v>
          </cell>
          <cell r="N68" t="str">
            <v>Paul Winters</v>
          </cell>
          <cell r="O68" t="str">
            <v>paul.winters@blackrock.com</v>
          </cell>
          <cell r="P68" t="str">
            <v>+44 20 7743 4052</v>
          </cell>
          <cell r="Q68" t="str">
            <v>United Kingdom</v>
          </cell>
          <cell r="R68" t="str">
            <v>EUR</v>
          </cell>
          <cell r="S68" t="str">
            <v>IFRS</v>
          </cell>
          <cell r="T68" t="str">
            <v>Twice per year</v>
          </cell>
          <cell r="U68" t="str">
            <v>Annually</v>
          </cell>
          <cell r="V68" t="str">
            <v>RICS</v>
          </cell>
          <cell r="X68" t="str">
            <v>PriceWaterhouseCoopers</v>
          </cell>
          <cell r="Y68" t="str">
            <v>Limited Partnership</v>
          </cell>
          <cell r="Z68" t="str">
            <v>No</v>
          </cell>
          <cell r="AA68" t="str">
            <v>No</v>
          </cell>
          <cell r="AB68">
            <v>0</v>
          </cell>
          <cell r="AC68" t="str">
            <v>Non-Listed Fund</v>
          </cell>
          <cell r="AD68" t="str">
            <v>Opportunity</v>
          </cell>
          <cell r="AE68" t="str">
            <v>finite</v>
          </cell>
          <cell r="AF68" t="str">
            <v>Closed end</v>
          </cell>
          <cell r="AG68">
            <v>6</v>
          </cell>
          <cell r="AH68">
            <v>7</v>
          </cell>
          <cell r="AI68" t="str">
            <v>Net</v>
          </cell>
          <cell r="AJ68" t="str">
            <v>absolute return</v>
          </cell>
          <cell r="AM68" t="str">
            <v>&gt; 60%</v>
          </cell>
          <cell r="AN68" t="str">
            <v>Institutional</v>
          </cell>
          <cell r="AO68" t="str">
            <v>&gt; 2</v>
          </cell>
          <cell r="AP68" t="str">
            <v>≥ 50%</v>
          </cell>
          <cell r="AQ68" t="str">
            <v>Europe</v>
          </cell>
          <cell r="AR68" t="str">
            <v>multi country</v>
          </cell>
          <cell r="AS68" t="str">
            <v>Europe</v>
          </cell>
          <cell r="AU68" t="str">
            <v>multi sector</v>
          </cell>
          <cell r="AW68">
            <v>841560000</v>
          </cell>
          <cell r="AY68">
            <v>2007</v>
          </cell>
          <cell r="AZ68">
            <v>2017</v>
          </cell>
          <cell r="BA68" t="str">
            <v>Yes</v>
          </cell>
          <cell r="BB68" t="str">
            <v>Yes</v>
          </cell>
          <cell r="BC68" t="str">
            <v>1+1 years</v>
          </cell>
          <cell r="BH68" t="str">
            <v>2013-09-30</v>
          </cell>
          <cell r="BI68">
            <v>1708945000</v>
          </cell>
          <cell r="BJ68">
            <v>1708945000</v>
          </cell>
          <cell r="BK68">
            <v>748770000</v>
          </cell>
          <cell r="BL68">
            <v>748770000</v>
          </cell>
          <cell r="BM68">
            <v>45.36</v>
          </cell>
          <cell r="BN68" t="str">
            <v>No</v>
          </cell>
          <cell r="BO68" t="str">
            <v>Internal</v>
          </cell>
          <cell r="BP68">
            <v>27</v>
          </cell>
          <cell r="BQ68">
            <v>166</v>
          </cell>
          <cell r="BR68">
            <v>841563239</v>
          </cell>
          <cell r="BS68">
            <v>841563239</v>
          </cell>
          <cell r="BT68">
            <v>670544227</v>
          </cell>
          <cell r="BU68">
            <v>670544227</v>
          </cell>
          <cell r="BV68" t="str">
            <v>No</v>
          </cell>
          <cell r="BW68" t="str">
            <v>Greece</v>
          </cell>
          <cell r="BX68" t="str">
            <v>Development Retail</v>
          </cell>
          <cell r="BY68">
            <v>6.88</v>
          </cell>
          <cell r="BZ68" t="str">
            <v>France</v>
          </cell>
          <cell r="CA68" t="str">
            <v>Mixed</v>
          </cell>
          <cell r="CB68">
            <v>19.72</v>
          </cell>
          <cell r="CC68" t="str">
            <v>United Kingdom</v>
          </cell>
          <cell r="CD68" t="str">
            <v>Development Residential</v>
          </cell>
          <cell r="CE68">
            <v>14.21</v>
          </cell>
          <cell r="CF68" t="str">
            <v>Poland</v>
          </cell>
          <cell r="CG68" t="str">
            <v>Retail</v>
          </cell>
          <cell r="CH68">
            <v>11.31</v>
          </cell>
          <cell r="CI68" t="str">
            <v>United Kingdom</v>
          </cell>
          <cell r="CJ68" t="str">
            <v>Office</v>
          </cell>
          <cell r="CK68">
            <v>12.17</v>
          </cell>
          <cell r="CL68" t="str">
            <v>United Kingdom</v>
          </cell>
          <cell r="CM68" t="str">
            <v>Development Office</v>
          </cell>
          <cell r="CN68">
            <v>9.0299999999999994</v>
          </cell>
          <cell r="CO68" t="str">
            <v>Germany</v>
          </cell>
          <cell r="CP68" t="str">
            <v>Retail</v>
          </cell>
          <cell r="CQ68">
            <v>15.72</v>
          </cell>
          <cell r="CR68" t="str">
            <v>Italy</v>
          </cell>
          <cell r="CS68" t="str">
            <v>Office</v>
          </cell>
          <cell r="CT68">
            <v>2.57</v>
          </cell>
          <cell r="CU68" t="str">
            <v>Denmark</v>
          </cell>
          <cell r="CV68" t="str">
            <v>Retail</v>
          </cell>
          <cell r="CW68">
            <v>8.39</v>
          </cell>
        </row>
        <row r="69">
          <cell r="A69">
            <v>57</v>
          </cell>
          <cell r="B69" t="str">
            <v>BLACKROCK UK PROPERTY FUND</v>
          </cell>
          <cell r="C69" t="str">
            <v>BLACKROCK</v>
          </cell>
          <cell r="D69" t="str">
            <v>12 Throgmorton Avenue</v>
          </cell>
          <cell r="E69" t="str">
            <v>EC2N2DL</v>
          </cell>
          <cell r="F69" t="str">
            <v>London</v>
          </cell>
          <cell r="G69" t="str">
            <v>United Kingdom</v>
          </cell>
          <cell r="H69" t="str">
            <v>+44 (0) 20 7743 5625</v>
          </cell>
          <cell r="I69" t="str">
            <v>+44 (0) 20 7743 1117</v>
          </cell>
          <cell r="J69" t="str">
            <v>http://www.blackrock.com</v>
          </cell>
          <cell r="K69" t="str">
            <v>Paul Tebbit</v>
          </cell>
          <cell r="M69" t="str">
            <v>+44 20 7743 2769</v>
          </cell>
          <cell r="N69" t="str">
            <v>Sian Roberts</v>
          </cell>
          <cell r="O69" t="str">
            <v>sian.roberts@blackrock.com</v>
          </cell>
          <cell r="P69" t="str">
            <v>+44 (0) 20 7 743 1681</v>
          </cell>
          <cell r="Q69" t="str">
            <v>Jersey</v>
          </cell>
          <cell r="R69" t="str">
            <v>GBP</v>
          </cell>
          <cell r="S69" t="str">
            <v>Local GAAP</v>
          </cell>
          <cell r="T69" t="str">
            <v>Twice per year</v>
          </cell>
          <cell r="U69" t="str">
            <v>Monthly</v>
          </cell>
          <cell r="V69" t="str">
            <v>RICS</v>
          </cell>
          <cell r="W69" t="str">
            <v>FRS102</v>
          </cell>
          <cell r="X69" t="str">
            <v>Deloitte</v>
          </cell>
          <cell r="Y69" t="str">
            <v>Unit trust</v>
          </cell>
          <cell r="AB69">
            <v>0</v>
          </cell>
          <cell r="AC69" t="str">
            <v>Non-Listed Fund</v>
          </cell>
          <cell r="AD69" t="str">
            <v>Core</v>
          </cell>
          <cell r="AE69" t="str">
            <v>infinite</v>
          </cell>
          <cell r="AF69" t="str">
            <v>Open end</v>
          </cell>
          <cell r="AJ69" t="str">
            <v>IPD UK Pooled Property Fund Indices All Balanced Funds Index Weighted Average</v>
          </cell>
          <cell r="AM69" t="str">
            <v>&gt; 40% - ≤ 60%</v>
          </cell>
          <cell r="AN69" t="str">
            <v>Institutional</v>
          </cell>
          <cell r="AO69" t="str">
            <v>&gt; 2</v>
          </cell>
          <cell r="AP69" t="str">
            <v>≥ 50%</v>
          </cell>
          <cell r="AQ69" t="str">
            <v>Europe</v>
          </cell>
          <cell r="AR69" t="str">
            <v>single country</v>
          </cell>
          <cell r="AT69" t="str">
            <v>United Kingdom</v>
          </cell>
          <cell r="AU69" t="str">
            <v>multi sector</v>
          </cell>
          <cell r="AY69">
            <v>1982</v>
          </cell>
          <cell r="BB69" t="str">
            <v>No</v>
          </cell>
          <cell r="BH69" t="str">
            <v>2020-12-31</v>
          </cell>
          <cell r="BI69">
            <v>3112561712.9000001</v>
          </cell>
          <cell r="BJ69">
            <v>3441089784.8282452</v>
          </cell>
          <cell r="BK69">
            <v>2992561712.9000001</v>
          </cell>
          <cell r="BL69">
            <v>3308423893.4282451</v>
          </cell>
          <cell r="BM69">
            <v>3.86</v>
          </cell>
          <cell r="BN69" t="str">
            <v>No</v>
          </cell>
          <cell r="BO69" t="str">
            <v>External</v>
          </cell>
          <cell r="BP69">
            <v>231</v>
          </cell>
          <cell r="BQ69">
            <v>150</v>
          </cell>
          <cell r="BS69">
            <v>0</v>
          </cell>
          <cell r="BV69" t="str">
            <v>No</v>
          </cell>
          <cell r="BW69" t="str">
            <v>United Kingdom</v>
          </cell>
          <cell r="BX69" t="str">
            <v>Office</v>
          </cell>
          <cell r="BY69">
            <v>23</v>
          </cell>
          <cell r="BZ69" t="str">
            <v>United Kingdom</v>
          </cell>
          <cell r="CA69" t="str">
            <v>Retail</v>
          </cell>
          <cell r="CB69">
            <v>18</v>
          </cell>
          <cell r="CC69" t="str">
            <v>United Kingdom</v>
          </cell>
          <cell r="CD69" t="str">
            <v>Student Housing</v>
          </cell>
          <cell r="CE69">
            <v>7.5</v>
          </cell>
          <cell r="CF69" t="str">
            <v>United Kingdom</v>
          </cell>
          <cell r="CG69" t="str">
            <v>Health Care</v>
          </cell>
          <cell r="CH69">
            <v>10.4</v>
          </cell>
          <cell r="CI69" t="str">
            <v>United Kingdom</v>
          </cell>
          <cell r="CJ69" t="str">
            <v>Hotel</v>
          </cell>
          <cell r="CK69">
            <v>0.9</v>
          </cell>
          <cell r="CL69" t="str">
            <v>United Kingdom</v>
          </cell>
          <cell r="CM69" t="str">
            <v>Industrial / Logistics</v>
          </cell>
          <cell r="CN69">
            <v>36.1</v>
          </cell>
        </row>
        <row r="70">
          <cell r="A70">
            <v>58</v>
          </cell>
          <cell r="B70" t="str">
            <v>BLACKSTONE REAL ESTATE PARTNERS EUROPE III LP</v>
          </cell>
          <cell r="C70" t="str">
            <v>THE BLACKSTONE GROUP</v>
          </cell>
          <cell r="D70" t="str">
            <v>345 Park Avenue</v>
          </cell>
          <cell r="E70" t="str">
            <v>New York 10154</v>
          </cell>
          <cell r="F70" t="str">
            <v>New York</v>
          </cell>
          <cell r="H70" t="str">
            <v>+1 212 583 5000</v>
          </cell>
          <cell r="I70" t="str">
            <v>+1 212 583 5712</v>
          </cell>
          <cell r="J70" t="str">
            <v>http://www.blackstone.com</v>
          </cell>
          <cell r="K70" t="str">
            <v>Mr Michael Casey</v>
          </cell>
          <cell r="L70" t="str">
            <v>caseym@blackstone.com</v>
          </cell>
          <cell r="M70" t="str">
            <v>+1 212 583 5003</v>
          </cell>
          <cell r="N70" t="str">
            <v>Mr Chad R Pike</v>
          </cell>
          <cell r="Q70" t="str">
            <v>United Kingdom</v>
          </cell>
          <cell r="R70" t="str">
            <v>EUR</v>
          </cell>
          <cell r="S70" t="str">
            <v>US GAAP</v>
          </cell>
          <cell r="T70" t="str">
            <v>Quarterly</v>
          </cell>
          <cell r="U70" t="str">
            <v>Annually</v>
          </cell>
          <cell r="X70" t="str">
            <v>Deloitte &amp; Touche LLP</v>
          </cell>
          <cell r="Y70" t="str">
            <v>Limited Partnership</v>
          </cell>
          <cell r="AB70">
            <v>0</v>
          </cell>
          <cell r="AC70" t="str">
            <v>Non-Listed Fund</v>
          </cell>
          <cell r="AD70" t="str">
            <v>Opportunity</v>
          </cell>
          <cell r="AE70" t="str">
            <v>finite</v>
          </cell>
          <cell r="AF70" t="str">
            <v>Closed end</v>
          </cell>
          <cell r="AG70">
            <v>20</v>
          </cell>
          <cell r="AH70">
            <v>20</v>
          </cell>
          <cell r="AI70" t="str">
            <v>Gross</v>
          </cell>
          <cell r="AM70" t="str">
            <v>&gt; 60%</v>
          </cell>
          <cell r="AN70" t="str">
            <v>Institutional and Retail</v>
          </cell>
          <cell r="AP70" t="str">
            <v>≥ 50%</v>
          </cell>
          <cell r="AQ70" t="str">
            <v>Europe</v>
          </cell>
          <cell r="AR70" t="str">
            <v>multi country</v>
          </cell>
          <cell r="AS70" t="str">
            <v>Europe</v>
          </cell>
          <cell r="AU70" t="str">
            <v>multi sector</v>
          </cell>
          <cell r="AY70">
            <v>2008</v>
          </cell>
          <cell r="AZ70">
            <v>2018</v>
          </cell>
          <cell r="BA70" t="str">
            <v>Yes</v>
          </cell>
          <cell r="BB70" t="str">
            <v>No</v>
          </cell>
          <cell r="BC70" t="str">
            <v>1+1 years</v>
          </cell>
          <cell r="BH70" t="str">
            <v>2010-12-31</v>
          </cell>
          <cell r="BI70">
            <v>293000000</v>
          </cell>
          <cell r="BJ70">
            <v>293000000</v>
          </cell>
          <cell r="BL70">
            <v>0</v>
          </cell>
          <cell r="BP70">
            <v>65</v>
          </cell>
          <cell r="BQ70">
            <v>2</v>
          </cell>
          <cell r="BR70">
            <v>3405000000</v>
          </cell>
          <cell r="BS70">
            <v>3405000000</v>
          </cell>
          <cell r="BU70">
            <v>0</v>
          </cell>
          <cell r="BV70" t="str">
            <v>No</v>
          </cell>
        </row>
        <row r="71">
          <cell r="A71">
            <v>59</v>
          </cell>
          <cell r="B71" t="str">
            <v>BLACKSTONE REAL ESTATE PARTNERS INTERNATIONAL II LP</v>
          </cell>
          <cell r="C71" t="str">
            <v>THE BLACKSTONE GROUP</v>
          </cell>
          <cell r="D71" t="str">
            <v>345 Park Lane</v>
          </cell>
          <cell r="E71">
            <v>10154</v>
          </cell>
          <cell r="F71" t="str">
            <v>New York</v>
          </cell>
          <cell r="H71" t="str">
            <v>+1 212 583 5000</v>
          </cell>
          <cell r="I71" t="str">
            <v>+1 212 583 5712</v>
          </cell>
          <cell r="J71" t="str">
            <v>http://www.blackstone.com</v>
          </cell>
          <cell r="K71" t="str">
            <v>Mr. Michael Casey</v>
          </cell>
          <cell r="L71" t="str">
            <v>caseym@blackstone.com</v>
          </cell>
          <cell r="M71" t="str">
            <v>+1 212 583 5003</v>
          </cell>
          <cell r="N71" t="str">
            <v>Mr. Chad R. Pike</v>
          </cell>
          <cell r="Q71" t="str">
            <v>United Kingdom</v>
          </cell>
          <cell r="R71" t="str">
            <v>EUR</v>
          </cell>
          <cell r="S71" t="str">
            <v>US GAAP</v>
          </cell>
          <cell r="T71" t="str">
            <v>Quarterly</v>
          </cell>
          <cell r="U71" t="str">
            <v>Annually</v>
          </cell>
          <cell r="X71" t="str">
            <v>Deloitte &amp; Touche LLP</v>
          </cell>
          <cell r="Y71" t="str">
            <v>Limited Partnership</v>
          </cell>
          <cell r="AB71">
            <v>0</v>
          </cell>
          <cell r="AC71" t="str">
            <v>Non-Listed Fund</v>
          </cell>
          <cell r="AD71" t="str">
            <v>Opportunity</v>
          </cell>
          <cell r="AE71" t="str">
            <v>finite</v>
          </cell>
          <cell r="AF71" t="str">
            <v>Closed end</v>
          </cell>
          <cell r="AG71">
            <v>20</v>
          </cell>
          <cell r="AH71">
            <v>20</v>
          </cell>
          <cell r="AI71" t="str">
            <v>Gross</v>
          </cell>
          <cell r="AM71" t="str">
            <v>&gt; 60%</v>
          </cell>
          <cell r="AN71" t="str">
            <v>Institutional and Retail</v>
          </cell>
          <cell r="AP71" t="str">
            <v>≥ 50%</v>
          </cell>
          <cell r="AQ71" t="str">
            <v>Europe</v>
          </cell>
          <cell r="AR71" t="str">
            <v>multi country</v>
          </cell>
          <cell r="AS71" t="str">
            <v>Europe</v>
          </cell>
          <cell r="AU71" t="str">
            <v>multi sector</v>
          </cell>
          <cell r="AY71">
            <v>2005</v>
          </cell>
          <cell r="AZ71">
            <v>2014</v>
          </cell>
          <cell r="BA71" t="str">
            <v>Yes</v>
          </cell>
          <cell r="BB71" t="str">
            <v>No</v>
          </cell>
          <cell r="BC71" t="str">
            <v>1+1 years</v>
          </cell>
          <cell r="BH71" t="str">
            <v>2010-12-31</v>
          </cell>
          <cell r="BI71">
            <v>1222690000</v>
          </cell>
          <cell r="BJ71">
            <v>1222690000</v>
          </cell>
          <cell r="BL71">
            <v>0</v>
          </cell>
          <cell r="BP71">
            <v>41</v>
          </cell>
          <cell r="BQ71">
            <v>24</v>
          </cell>
          <cell r="BR71">
            <v>1329380000</v>
          </cell>
          <cell r="BS71">
            <v>1329380000</v>
          </cell>
          <cell r="BU71">
            <v>0</v>
          </cell>
          <cell r="BV71" t="str">
            <v>No</v>
          </cell>
        </row>
        <row r="72">
          <cell r="A72">
            <v>60</v>
          </cell>
          <cell r="B72" t="str">
            <v>BLACKSTONE REAL ESTATE PARTNERS INTERNATIONAL LP</v>
          </cell>
          <cell r="C72" t="str">
            <v>THE BLACKSTONE GROUP</v>
          </cell>
          <cell r="D72" t="str">
            <v>345 Park Avenue</v>
          </cell>
          <cell r="E72">
            <v>10154</v>
          </cell>
          <cell r="F72" t="str">
            <v>New York</v>
          </cell>
          <cell r="H72" t="str">
            <v>+1 212 583 5000</v>
          </cell>
          <cell r="I72" t="str">
            <v>+1 212 583 5712</v>
          </cell>
          <cell r="J72" t="str">
            <v>http://www.blackstone.com</v>
          </cell>
          <cell r="K72" t="str">
            <v>Mr. Michael Casey</v>
          </cell>
          <cell r="L72" t="str">
            <v>caseym@blackstone.com</v>
          </cell>
          <cell r="M72" t="str">
            <v>+1 212 583 5003</v>
          </cell>
          <cell r="N72" t="str">
            <v>Mr. Chad R. Pike</v>
          </cell>
          <cell r="Q72" t="str">
            <v>Canada</v>
          </cell>
          <cell r="R72" t="str">
            <v>EUR</v>
          </cell>
          <cell r="S72" t="str">
            <v>US GAAP</v>
          </cell>
          <cell r="T72" t="str">
            <v>Quarterly</v>
          </cell>
          <cell r="U72" t="str">
            <v>Annually</v>
          </cell>
          <cell r="X72" t="str">
            <v>Deloitte &amp; Touche LLP</v>
          </cell>
          <cell r="Y72" t="str">
            <v>Limited Partnership</v>
          </cell>
          <cell r="AB72">
            <v>0</v>
          </cell>
          <cell r="AC72" t="str">
            <v>Non-Listed Fund</v>
          </cell>
          <cell r="AD72" t="str">
            <v>Opportunity</v>
          </cell>
          <cell r="AE72" t="str">
            <v>finite</v>
          </cell>
          <cell r="AF72" t="str">
            <v>Closed end</v>
          </cell>
          <cell r="AG72">
            <v>20</v>
          </cell>
          <cell r="AH72">
            <v>20</v>
          </cell>
          <cell r="AI72" t="str">
            <v>Gross</v>
          </cell>
          <cell r="AM72" t="str">
            <v>&gt; 60%</v>
          </cell>
          <cell r="AN72" t="str">
            <v>Institutional and Retail</v>
          </cell>
          <cell r="AP72" t="str">
            <v>≥ 50%</v>
          </cell>
          <cell r="AQ72" t="str">
            <v>Europe</v>
          </cell>
          <cell r="AR72" t="str">
            <v>multi country</v>
          </cell>
          <cell r="AS72" t="str">
            <v>Europe</v>
          </cell>
          <cell r="AU72" t="str">
            <v>multi sector</v>
          </cell>
          <cell r="AY72">
            <v>2001</v>
          </cell>
          <cell r="AZ72">
            <v>2009</v>
          </cell>
          <cell r="BA72" t="str">
            <v>Yes</v>
          </cell>
          <cell r="BB72" t="str">
            <v>Yes</v>
          </cell>
          <cell r="BC72" t="str">
            <v>1+1 years</v>
          </cell>
          <cell r="BH72" t="str">
            <v>2010-12-31</v>
          </cell>
          <cell r="BI72">
            <v>1287000000</v>
          </cell>
          <cell r="BJ72">
            <v>1287000000</v>
          </cell>
          <cell r="BL72">
            <v>0</v>
          </cell>
          <cell r="BP72">
            <v>15</v>
          </cell>
          <cell r="BQ72">
            <v>3</v>
          </cell>
          <cell r="BR72">
            <v>599000000</v>
          </cell>
          <cell r="BS72">
            <v>599000000</v>
          </cell>
          <cell r="BU72">
            <v>0</v>
          </cell>
          <cell r="BV72" t="str">
            <v>No</v>
          </cell>
        </row>
        <row r="73">
          <cell r="A73">
            <v>62</v>
          </cell>
          <cell r="B73" t="str">
            <v>BLUEHOUSE ACCESSION PROPERTY (II)</v>
          </cell>
          <cell r="C73" t="str">
            <v>BLUEHOUSE CAPITAL</v>
          </cell>
          <cell r="D73" t="str">
            <v>Chrisorrogiatissis &amp; Kolokotroni Corner</v>
          </cell>
          <cell r="E73" t="str">
            <v>CY-3040</v>
          </cell>
          <cell r="F73" t="str">
            <v>Limassol</v>
          </cell>
          <cell r="G73" t="str">
            <v>Cyprus</v>
          </cell>
          <cell r="H73">
            <v>35725339316</v>
          </cell>
          <cell r="I73">
            <v>35725339316</v>
          </cell>
          <cell r="J73" t="str">
            <v>http://www.bluehousecapital.com</v>
          </cell>
          <cell r="K73" t="str">
            <v>Julia Bernard</v>
          </cell>
          <cell r="L73" t="str">
            <v>jbernard@bluehousecapital.com</v>
          </cell>
          <cell r="M73" t="str">
            <v>+30 21 03650291</v>
          </cell>
          <cell r="N73" t="str">
            <v>Julia Bernard</v>
          </cell>
          <cell r="O73" t="str">
            <v>jbernard@bluehousecapital.com</v>
          </cell>
          <cell r="P73" t="str">
            <v>+30 21 03650291</v>
          </cell>
          <cell r="Q73" t="str">
            <v>Cyprus</v>
          </cell>
          <cell r="R73" t="str">
            <v>EUR</v>
          </cell>
          <cell r="S73" t="str">
            <v>IFRS</v>
          </cell>
          <cell r="T73" t="str">
            <v>Quarterly</v>
          </cell>
          <cell r="U73" t="str">
            <v>Quarterly</v>
          </cell>
          <cell r="V73" t="str">
            <v>RICS</v>
          </cell>
          <cell r="X73" t="str">
            <v>PriceWaterhouseCoopers</v>
          </cell>
          <cell r="Y73" t="str">
            <v>Limited Partnership</v>
          </cell>
          <cell r="Z73" t="str">
            <v>Yes</v>
          </cell>
          <cell r="AA73" t="str">
            <v>Yes</v>
          </cell>
          <cell r="AB73">
            <v>3</v>
          </cell>
          <cell r="AC73" t="str">
            <v>Non-Listed Fund</v>
          </cell>
          <cell r="AD73" t="str">
            <v>Opportunity</v>
          </cell>
          <cell r="AE73" t="str">
            <v>finite</v>
          </cell>
          <cell r="AF73" t="str">
            <v>Closed end</v>
          </cell>
          <cell r="AG73">
            <v>15</v>
          </cell>
          <cell r="AH73">
            <v>20</v>
          </cell>
          <cell r="AI73" t="str">
            <v>Net</v>
          </cell>
          <cell r="AJ73" t="str">
            <v>irr</v>
          </cell>
          <cell r="AL73">
            <v>60</v>
          </cell>
          <cell r="AM73" t="str">
            <v>&gt; 60%</v>
          </cell>
          <cell r="AN73" t="str">
            <v>Institutional</v>
          </cell>
          <cell r="AP73" t="str">
            <v>≥ 50%</v>
          </cell>
          <cell r="AQ73" t="str">
            <v>Europe</v>
          </cell>
          <cell r="AR73" t="str">
            <v>multi country</v>
          </cell>
          <cell r="AS73" t="str">
            <v>Central and Eastern Europe(CEE)</v>
          </cell>
          <cell r="AU73" t="str">
            <v>multi sector</v>
          </cell>
          <cell r="AW73">
            <v>152550000</v>
          </cell>
          <cell r="AX73">
            <v>380000000</v>
          </cell>
          <cell r="AY73">
            <v>2006</v>
          </cell>
          <cell r="AZ73">
            <v>2016</v>
          </cell>
          <cell r="BA73" t="str">
            <v>Yes</v>
          </cell>
          <cell r="BB73" t="str">
            <v>Yes</v>
          </cell>
          <cell r="BC73" t="str">
            <v>3 years</v>
          </cell>
          <cell r="BH73" t="str">
            <v>2013-09-30</v>
          </cell>
          <cell r="BI73">
            <v>149162672</v>
          </cell>
          <cell r="BJ73">
            <v>149162672</v>
          </cell>
          <cell r="BK73">
            <v>67934000</v>
          </cell>
          <cell r="BL73">
            <v>67934000</v>
          </cell>
          <cell r="BM73">
            <v>57</v>
          </cell>
          <cell r="BN73" t="str">
            <v>No</v>
          </cell>
          <cell r="BO73" t="str">
            <v>External</v>
          </cell>
          <cell r="BP73">
            <v>23</v>
          </cell>
          <cell r="BQ73">
            <v>8</v>
          </cell>
          <cell r="BR73">
            <v>152550000</v>
          </cell>
          <cell r="BS73">
            <v>152550000</v>
          </cell>
          <cell r="BT73">
            <v>127836900</v>
          </cell>
          <cell r="BU73">
            <v>127836900</v>
          </cell>
          <cell r="BV73" t="str">
            <v>No</v>
          </cell>
          <cell r="BW73" t="str">
            <v>Bulgaria</v>
          </cell>
          <cell r="BX73" t="str">
            <v>Development Residential</v>
          </cell>
          <cell r="BY73">
            <v>7</v>
          </cell>
          <cell r="BZ73" t="str">
            <v>Croatia</v>
          </cell>
          <cell r="CA73" t="str">
            <v>Retail</v>
          </cell>
          <cell r="CB73">
            <v>19</v>
          </cell>
          <cell r="CC73" t="str">
            <v>Serbia and Montenegro</v>
          </cell>
          <cell r="CD73" t="str">
            <v>Office</v>
          </cell>
          <cell r="CE73">
            <v>15</v>
          </cell>
          <cell r="CF73" t="str">
            <v>Romania</v>
          </cell>
          <cell r="CG73" t="str">
            <v>Retail</v>
          </cell>
          <cell r="CH73">
            <v>6</v>
          </cell>
          <cell r="CI73" t="str">
            <v>Romania</v>
          </cell>
          <cell r="CJ73" t="str">
            <v>Office</v>
          </cell>
          <cell r="CK73">
            <v>18</v>
          </cell>
          <cell r="CL73" t="str">
            <v>Romania</v>
          </cell>
          <cell r="CM73" t="str">
            <v>Development Residential</v>
          </cell>
          <cell r="CN73">
            <v>3</v>
          </cell>
          <cell r="CO73" t="str">
            <v>Romania</v>
          </cell>
          <cell r="CP73" t="str">
            <v>Development Mixed</v>
          </cell>
          <cell r="CQ73">
            <v>32</v>
          </cell>
        </row>
        <row r="74">
          <cell r="A74">
            <v>63</v>
          </cell>
          <cell r="B74" t="str">
            <v>BLUEHOUSE ACCESSION PROPERTY (III)</v>
          </cell>
          <cell r="C74" t="str">
            <v>BLUEHOUSE CAPITAL</v>
          </cell>
          <cell r="D74" t="str">
            <v>20 Rue de la Poste</v>
          </cell>
          <cell r="E74" t="str">
            <v>L-2346 Luxembourg</v>
          </cell>
          <cell r="F74" t="str">
            <v>Luxembourg</v>
          </cell>
          <cell r="G74" t="str">
            <v>Luxembourg</v>
          </cell>
          <cell r="H74">
            <v>352472323</v>
          </cell>
          <cell r="I74">
            <v>352472323</v>
          </cell>
          <cell r="J74" t="str">
            <v>http://www.bluehousecapital.com</v>
          </cell>
          <cell r="K74" t="str">
            <v>Julia Bernard</v>
          </cell>
          <cell r="L74" t="str">
            <v>jbernard@bluehousecapital.com</v>
          </cell>
          <cell r="N74" t="str">
            <v>Julia Bernard</v>
          </cell>
          <cell r="O74" t="str">
            <v>jbernard@bluehousecapital.com</v>
          </cell>
          <cell r="Q74" t="str">
            <v>Luxembourg</v>
          </cell>
          <cell r="R74" t="str">
            <v>EUR</v>
          </cell>
          <cell r="S74" t="str">
            <v>IFRS</v>
          </cell>
          <cell r="T74" t="str">
            <v>Quarterly</v>
          </cell>
          <cell r="U74" t="str">
            <v>Quarterly</v>
          </cell>
          <cell r="V74" t="str">
            <v>RICS</v>
          </cell>
          <cell r="W74" t="str">
            <v>INREV NAV</v>
          </cell>
          <cell r="X74" t="str">
            <v>PriceWaterhouseCoopers</v>
          </cell>
          <cell r="Y74" t="str">
            <v>Closed Ended Fund</v>
          </cell>
          <cell r="Z74" t="str">
            <v>Yes</v>
          </cell>
          <cell r="AA74" t="str">
            <v>Yes</v>
          </cell>
          <cell r="AB74">
            <v>7</v>
          </cell>
          <cell r="AC74" t="str">
            <v>Non-Listed Fund</v>
          </cell>
          <cell r="AD74" t="str">
            <v>Opportunity</v>
          </cell>
          <cell r="AE74" t="str">
            <v>finite</v>
          </cell>
          <cell r="AF74" t="str">
            <v>Closed end</v>
          </cell>
          <cell r="AG74">
            <v>15</v>
          </cell>
          <cell r="AH74">
            <v>20</v>
          </cell>
          <cell r="AI74" t="str">
            <v>Net</v>
          </cell>
          <cell r="AJ74" t="str">
            <v>irr</v>
          </cell>
          <cell r="AL74">
            <v>60</v>
          </cell>
          <cell r="AM74" t="str">
            <v>&gt; 60%</v>
          </cell>
          <cell r="AN74" t="str">
            <v>Institutional</v>
          </cell>
          <cell r="AP74" t="str">
            <v>≥ 50%</v>
          </cell>
          <cell r="AQ74" t="str">
            <v>Europe</v>
          </cell>
          <cell r="AR74" t="str">
            <v>multi country</v>
          </cell>
          <cell r="AS74" t="str">
            <v>Central and Eastern Europe(CEE)</v>
          </cell>
          <cell r="AU74" t="str">
            <v>multi sector</v>
          </cell>
          <cell r="AW74">
            <v>120750000</v>
          </cell>
          <cell r="AX74">
            <v>350000000</v>
          </cell>
          <cell r="AY74">
            <v>2008</v>
          </cell>
          <cell r="AZ74">
            <v>2020</v>
          </cell>
          <cell r="BA74" t="str">
            <v>Yes</v>
          </cell>
          <cell r="BB74" t="str">
            <v>Yes</v>
          </cell>
          <cell r="BC74" t="str">
            <v>1+1+1 years</v>
          </cell>
          <cell r="BH74" t="str">
            <v>2013-09-30</v>
          </cell>
          <cell r="BI74">
            <v>230850000</v>
          </cell>
          <cell r="BJ74">
            <v>230850000</v>
          </cell>
          <cell r="BK74">
            <v>132390435</v>
          </cell>
          <cell r="BL74">
            <v>132390435</v>
          </cell>
          <cell r="BM74">
            <v>53</v>
          </cell>
          <cell r="BN74" t="str">
            <v>No</v>
          </cell>
          <cell r="BO74" t="str">
            <v>External</v>
          </cell>
          <cell r="BP74">
            <v>17</v>
          </cell>
          <cell r="BQ74">
            <v>10</v>
          </cell>
          <cell r="BR74">
            <v>120750000</v>
          </cell>
          <cell r="BS74">
            <v>120750000</v>
          </cell>
          <cell r="BT74">
            <v>100101750</v>
          </cell>
          <cell r="BU74">
            <v>100101750</v>
          </cell>
          <cell r="BV74" t="str">
            <v>No</v>
          </cell>
          <cell r="BW74" t="str">
            <v>Greece</v>
          </cell>
          <cell r="BX74" t="str">
            <v>Retail</v>
          </cell>
          <cell r="BY74">
            <v>13</v>
          </cell>
          <cell r="BZ74" t="str">
            <v>Bulgaria</v>
          </cell>
          <cell r="CA74" t="str">
            <v>Retail</v>
          </cell>
          <cell r="CB74">
            <v>17</v>
          </cell>
          <cell r="CC74" t="str">
            <v>Bulgaria</v>
          </cell>
          <cell r="CD74" t="str">
            <v>Office</v>
          </cell>
          <cell r="CE74">
            <v>13</v>
          </cell>
          <cell r="CF74" t="str">
            <v>Romania</v>
          </cell>
          <cell r="CG74" t="str">
            <v>Retail</v>
          </cell>
          <cell r="CH74">
            <v>4</v>
          </cell>
          <cell r="CI74" t="str">
            <v>Romania</v>
          </cell>
          <cell r="CJ74" t="str">
            <v>Office</v>
          </cell>
          <cell r="CK74">
            <v>5</v>
          </cell>
          <cell r="CL74" t="str">
            <v>Hungary</v>
          </cell>
          <cell r="CM74" t="str">
            <v>Office</v>
          </cell>
          <cell r="CN74">
            <v>17</v>
          </cell>
          <cell r="CO74" t="str">
            <v>Hungary</v>
          </cell>
          <cell r="CP74" t="str">
            <v>Retail</v>
          </cell>
          <cell r="CQ74">
            <v>12</v>
          </cell>
          <cell r="CR74" t="str">
            <v>Czech Republic</v>
          </cell>
          <cell r="CS74" t="str">
            <v>Retail</v>
          </cell>
          <cell r="CT74">
            <v>19</v>
          </cell>
        </row>
        <row r="75">
          <cell r="A75">
            <v>64</v>
          </cell>
          <cell r="B75" t="str">
            <v>BLUEHOUSE CAPITAL PARTNERS</v>
          </cell>
          <cell r="C75" t="str">
            <v>BLUEHOUSE CAPITAL</v>
          </cell>
          <cell r="D75" t="str">
            <v>Chrisorrogiatissis &amp; Kolokotroni Corner</v>
          </cell>
          <cell r="E75" t="str">
            <v>CY-3040</v>
          </cell>
          <cell r="F75" t="str">
            <v>Limassol</v>
          </cell>
          <cell r="G75" t="str">
            <v>Cyprus</v>
          </cell>
          <cell r="H75">
            <v>35725339316</v>
          </cell>
          <cell r="I75">
            <v>35725339316</v>
          </cell>
          <cell r="J75" t="str">
            <v>http://www.bluehousecapital.com</v>
          </cell>
          <cell r="K75" t="str">
            <v>Julia Bernard</v>
          </cell>
          <cell r="L75" t="str">
            <v>jbernard@bluehousecapital.com</v>
          </cell>
          <cell r="M75" t="str">
            <v>+30 21 03650291</v>
          </cell>
          <cell r="N75" t="str">
            <v>Julia Bernard</v>
          </cell>
          <cell r="O75" t="str">
            <v>jbernard@bluehousecapital.com</v>
          </cell>
          <cell r="P75" t="str">
            <v>+30 21 03650291</v>
          </cell>
          <cell r="Q75" t="str">
            <v>Cyprus</v>
          </cell>
          <cell r="R75" t="str">
            <v>EUR</v>
          </cell>
          <cell r="S75" t="str">
            <v>IFRS</v>
          </cell>
          <cell r="T75" t="str">
            <v>Quarterly</v>
          </cell>
          <cell r="U75" t="str">
            <v>Twice per year</v>
          </cell>
          <cell r="V75" t="str">
            <v>RICS</v>
          </cell>
          <cell r="X75" t="str">
            <v>PriceWaterhouseCoopers</v>
          </cell>
          <cell r="Y75" t="str">
            <v>Limited Partnership</v>
          </cell>
          <cell r="Z75" t="str">
            <v>Yes</v>
          </cell>
          <cell r="AA75" t="str">
            <v>No</v>
          </cell>
          <cell r="AB75">
            <v>0</v>
          </cell>
          <cell r="AC75" t="str">
            <v>Non-Listed Fund</v>
          </cell>
          <cell r="AD75" t="str">
            <v>Opportunity</v>
          </cell>
          <cell r="AE75" t="str">
            <v>finite</v>
          </cell>
          <cell r="AF75" t="str">
            <v>Closed end</v>
          </cell>
          <cell r="AG75">
            <v>15</v>
          </cell>
          <cell r="AH75">
            <v>20</v>
          </cell>
          <cell r="AI75" t="str">
            <v>Net</v>
          </cell>
          <cell r="AJ75" t="str">
            <v>IRR</v>
          </cell>
          <cell r="AL75">
            <v>60</v>
          </cell>
          <cell r="AM75" t="str">
            <v>&gt; 60%</v>
          </cell>
          <cell r="AN75" t="str">
            <v>Institutional</v>
          </cell>
          <cell r="AP75" t="str">
            <v>≥ 50%</v>
          </cell>
          <cell r="AQ75" t="str">
            <v>Europe</v>
          </cell>
          <cell r="AR75" t="str">
            <v>multi country</v>
          </cell>
          <cell r="AS75" t="str">
            <v>Central and Eastern Europe(CEE)</v>
          </cell>
          <cell r="AU75" t="str">
            <v>multi sector</v>
          </cell>
          <cell r="AX75">
            <v>200000000</v>
          </cell>
          <cell r="AY75">
            <v>2005</v>
          </cell>
          <cell r="AZ75">
            <v>2015</v>
          </cell>
          <cell r="BA75" t="str">
            <v>Yes</v>
          </cell>
          <cell r="BB75" t="str">
            <v>Yes</v>
          </cell>
          <cell r="BC75" t="str">
            <v>3 years</v>
          </cell>
          <cell r="BH75" t="str">
            <v>2013-09-30</v>
          </cell>
          <cell r="BI75">
            <v>107308997</v>
          </cell>
          <cell r="BJ75">
            <v>107308997</v>
          </cell>
          <cell r="BK75">
            <v>31079370</v>
          </cell>
          <cell r="BL75">
            <v>31079370</v>
          </cell>
          <cell r="BM75">
            <v>57</v>
          </cell>
          <cell r="BN75" t="str">
            <v>No</v>
          </cell>
          <cell r="BO75" t="str">
            <v>External</v>
          </cell>
          <cell r="BP75">
            <v>20</v>
          </cell>
          <cell r="BQ75">
            <v>8</v>
          </cell>
          <cell r="BR75">
            <v>50600000</v>
          </cell>
          <cell r="BS75">
            <v>50600000</v>
          </cell>
          <cell r="BT75">
            <v>50600000</v>
          </cell>
          <cell r="BU75">
            <v>50600000</v>
          </cell>
          <cell r="BV75" t="str">
            <v>No</v>
          </cell>
          <cell r="BW75" t="str">
            <v>Bulgaria</v>
          </cell>
          <cell r="BX75" t="str">
            <v>Office</v>
          </cell>
          <cell r="BY75">
            <v>3</v>
          </cell>
          <cell r="BZ75" t="str">
            <v>Bulgaria</v>
          </cell>
          <cell r="CA75" t="str">
            <v>Hotel</v>
          </cell>
          <cell r="CB75">
            <v>8</v>
          </cell>
          <cell r="CC75" t="str">
            <v>Romania</v>
          </cell>
          <cell r="CD75" t="str">
            <v>Office</v>
          </cell>
          <cell r="CE75">
            <v>53</v>
          </cell>
          <cell r="CF75" t="str">
            <v>Romania</v>
          </cell>
          <cell r="CG75" t="str">
            <v>Industrial / Logistics</v>
          </cell>
          <cell r="CH75">
            <v>18</v>
          </cell>
          <cell r="CI75" t="str">
            <v>Romania</v>
          </cell>
          <cell r="CJ75" t="str">
            <v>Development Mixed</v>
          </cell>
          <cell r="CK75">
            <v>12</v>
          </cell>
          <cell r="CL75" t="str">
            <v>Romania</v>
          </cell>
          <cell r="CM75" t="str">
            <v>Development Residential</v>
          </cell>
          <cell r="CN75">
            <v>6</v>
          </cell>
        </row>
        <row r="76">
          <cell r="A76">
            <v>17491</v>
          </cell>
          <cell r="B76" t="str">
            <v>BLUEHOUSE PROPERTY FUND IV</v>
          </cell>
          <cell r="C76" t="str">
            <v>BLUEHOUSE CAPITAL</v>
          </cell>
          <cell r="N76" t="str">
            <v>Danielle Apostolatos</v>
          </cell>
          <cell r="Q76" t="str">
            <v>Luxembourg</v>
          </cell>
          <cell r="R76" t="str">
            <v>EUR</v>
          </cell>
          <cell r="S76" t="str">
            <v>IFRS</v>
          </cell>
          <cell r="T76" t="str">
            <v>Quarterly</v>
          </cell>
          <cell r="U76" t="str">
            <v>Annually</v>
          </cell>
          <cell r="V76" t="str">
            <v>Other - mark to market</v>
          </cell>
          <cell r="W76" t="str">
            <v>INREV NAV</v>
          </cell>
          <cell r="X76" t="str">
            <v>PWC</v>
          </cell>
          <cell r="Y76" t="str">
            <v>Real Estate Fund</v>
          </cell>
          <cell r="Z76" t="str">
            <v>No</v>
          </cell>
          <cell r="AA76" t="str">
            <v>No</v>
          </cell>
          <cell r="AC76" t="str">
            <v>Non-Listed Fund</v>
          </cell>
          <cell r="AD76" t="str">
            <v>Opportunity</v>
          </cell>
          <cell r="AE76" t="str">
            <v>finite</v>
          </cell>
          <cell r="AF76" t="str">
            <v>Closed end</v>
          </cell>
          <cell r="AQ76" t="str">
            <v>Europe</v>
          </cell>
          <cell r="AR76" t="str">
            <v>multi country</v>
          </cell>
          <cell r="AS76" t="str">
            <v>Central and Eastern Europe(CEE)</v>
          </cell>
          <cell r="AU76" t="str">
            <v>multi sector</v>
          </cell>
        </row>
        <row r="77">
          <cell r="A77">
            <v>19629</v>
          </cell>
          <cell r="B77" t="str">
            <v>BOCCACCIO - FONDO COMUNE DI INVESTIMENTO IMMOBILIARE DI TIPO CHIUSO</v>
          </cell>
          <cell r="C77" t="str">
            <v>SAVILLS INVESTMENT MANAGEMENT SGR SPA</v>
          </cell>
          <cell r="D77" t="str">
            <v>Via San Paolo, 7</v>
          </cell>
          <cell r="E77">
            <v>20121</v>
          </cell>
          <cell r="F77" t="str">
            <v>Milan</v>
          </cell>
          <cell r="G77" t="str">
            <v>Italy</v>
          </cell>
          <cell r="Q77" t="str">
            <v>Italy</v>
          </cell>
          <cell r="R77" t="str">
            <v>EUR</v>
          </cell>
          <cell r="S77" t="str">
            <v>Local GAAP</v>
          </cell>
          <cell r="T77" t="str">
            <v>Quarterly</v>
          </cell>
          <cell r="U77" t="str">
            <v>Quarterly</v>
          </cell>
          <cell r="V77" t="str">
            <v>RICS</v>
          </cell>
          <cell r="W77" t="str">
            <v>Adjusted INREV NAV on Adjusted IFRS NAV</v>
          </cell>
          <cell r="X77" t="str">
            <v>KPMG SpA</v>
          </cell>
          <cell r="Y77" t="str">
            <v>FIA Italiano Immobiliare Riservato</v>
          </cell>
          <cell r="Z77" t="str">
            <v>Yes</v>
          </cell>
          <cell r="AB77">
            <v>0</v>
          </cell>
          <cell r="AC77" t="str">
            <v>Non-Listed Fund</v>
          </cell>
          <cell r="AD77" t="str">
            <v>Core</v>
          </cell>
          <cell r="AE77" t="str">
            <v>finite</v>
          </cell>
          <cell r="AF77" t="str">
            <v>Closed end</v>
          </cell>
          <cell r="AM77" t="str">
            <v>&gt; 40% - ≤ 60%</v>
          </cell>
          <cell r="AN77" t="str">
            <v>Institutional</v>
          </cell>
          <cell r="AO77" t="str">
            <v>&gt; 2</v>
          </cell>
          <cell r="AP77" t="str">
            <v>≥ 50%</v>
          </cell>
          <cell r="AQ77" t="str">
            <v>Europe</v>
          </cell>
          <cell r="AR77" t="str">
            <v>single country</v>
          </cell>
          <cell r="AT77" t="str">
            <v>Italy</v>
          </cell>
          <cell r="AU77" t="str">
            <v>single sector</v>
          </cell>
          <cell r="AV77" t="str">
            <v>Retail</v>
          </cell>
          <cell r="AY77">
            <v>2007</v>
          </cell>
          <cell r="AZ77">
            <v>2019</v>
          </cell>
          <cell r="BA77" t="str">
            <v>Yes</v>
          </cell>
          <cell r="BB77" t="str">
            <v>Yes</v>
          </cell>
          <cell r="BD77" t="str">
            <v>No</v>
          </cell>
          <cell r="BE77" t="str">
            <v>≥ 60%</v>
          </cell>
          <cell r="BF77" t="str">
            <v>≤ 15%</v>
          </cell>
          <cell r="BG77" t="str">
            <v>≤ 5%</v>
          </cell>
          <cell r="BH77" t="str">
            <v>2020-12-31</v>
          </cell>
          <cell r="BI77">
            <v>248941969.61000001</v>
          </cell>
          <cell r="BJ77">
            <v>248941969.61000001</v>
          </cell>
          <cell r="BK77">
            <v>176238261.84</v>
          </cell>
          <cell r="BL77">
            <v>176238261.84</v>
          </cell>
          <cell r="BM77">
            <v>27.92</v>
          </cell>
          <cell r="BN77" t="str">
            <v>Yes</v>
          </cell>
          <cell r="BO77" t="str">
            <v>External</v>
          </cell>
          <cell r="BP77">
            <v>4</v>
          </cell>
          <cell r="BQ77">
            <v>9</v>
          </cell>
          <cell r="BR77">
            <v>169293835</v>
          </cell>
          <cell r="BS77">
            <v>169293835</v>
          </cell>
          <cell r="BT77">
            <v>169293835</v>
          </cell>
          <cell r="BU77">
            <v>169293835</v>
          </cell>
          <cell r="BV77" t="str">
            <v>No</v>
          </cell>
          <cell r="BW77" t="str">
            <v>Italy</v>
          </cell>
          <cell r="BX77" t="str">
            <v>Retail</v>
          </cell>
          <cell r="BY77">
            <v>95.43</v>
          </cell>
        </row>
        <row r="78">
          <cell r="A78">
            <v>68</v>
          </cell>
          <cell r="B78" t="str">
            <v>BOUWFONDS EUROPEAN RESIDENTIAL</v>
          </cell>
          <cell r="C78" t="str">
            <v>BOUWFONDS INVESTMENT MANAGEMENT</v>
          </cell>
          <cell r="D78" t="str">
            <v>De Beek 18</v>
          </cell>
          <cell r="E78" t="str">
            <v>3871 MS</v>
          </cell>
          <cell r="F78" t="str">
            <v>Hoevelaken</v>
          </cell>
          <cell r="G78" t="str">
            <v>Netherlands</v>
          </cell>
          <cell r="H78" t="str">
            <v>+49 30 59009760</v>
          </cell>
          <cell r="I78" t="str">
            <v>+31 (0) 33 750 47 77</v>
          </cell>
          <cell r="J78" t="str">
            <v>http://www.bouwfonds.com</v>
          </cell>
          <cell r="K78" t="str">
            <v>Michiel Dubois</v>
          </cell>
          <cell r="L78" t="str">
            <v>m.dubois@bouwfonds.nl</v>
          </cell>
          <cell r="M78" t="str">
            <v>+31 (0) 33 754 47 29</v>
          </cell>
          <cell r="N78" t="str">
            <v>Michiel Dubois</v>
          </cell>
          <cell r="O78" t="str">
            <v>m.dubois@bouwfonds.nl</v>
          </cell>
          <cell r="P78" t="str">
            <v>+31 (0) 33 750 47 29</v>
          </cell>
          <cell r="Q78" t="str">
            <v>Germany</v>
          </cell>
          <cell r="R78" t="str">
            <v>EUR</v>
          </cell>
          <cell r="S78" t="str">
            <v>Local GAAP</v>
          </cell>
          <cell r="T78" t="str">
            <v>Monthly</v>
          </cell>
          <cell r="U78" t="str">
            <v>Annually</v>
          </cell>
          <cell r="V78" t="str">
            <v>ImmoWertV</v>
          </cell>
          <cell r="X78" t="str">
            <v>PriceWaterhouseCoopers</v>
          </cell>
          <cell r="Y78" t="str">
            <v>Publikumsfonds</v>
          </cell>
          <cell r="Z78" t="str">
            <v>No</v>
          </cell>
          <cell r="AA78" t="str">
            <v>Yes</v>
          </cell>
          <cell r="AB78">
            <v>0</v>
          </cell>
          <cell r="AC78" t="str">
            <v>Non-Listed Fund</v>
          </cell>
          <cell r="AD78" t="str">
            <v>Core</v>
          </cell>
          <cell r="AE78" t="str">
            <v>infinite</v>
          </cell>
          <cell r="AF78" t="str">
            <v>Open end</v>
          </cell>
          <cell r="AG78">
            <v>5</v>
          </cell>
          <cell r="AH78">
            <v>6</v>
          </cell>
          <cell r="AI78" t="str">
            <v>Net</v>
          </cell>
          <cell r="AK78">
            <v>4</v>
          </cell>
          <cell r="AL78">
            <v>30</v>
          </cell>
          <cell r="AM78" t="str">
            <v>≤ 40%</v>
          </cell>
          <cell r="AN78" t="str">
            <v>Institutional</v>
          </cell>
          <cell r="AO78" t="str">
            <v>&gt; 2</v>
          </cell>
          <cell r="AP78" t="str">
            <v>≥ 50%</v>
          </cell>
          <cell r="AQ78" t="str">
            <v>Europe</v>
          </cell>
          <cell r="AR78" t="str">
            <v>multi country</v>
          </cell>
          <cell r="AS78" t="str">
            <v>Europe</v>
          </cell>
          <cell r="AU78" t="str">
            <v>single sector</v>
          </cell>
          <cell r="AV78" t="str">
            <v>Residential</v>
          </cell>
          <cell r="AW78">
            <v>700000000</v>
          </cell>
          <cell r="AX78">
            <v>1000000000</v>
          </cell>
          <cell r="AY78">
            <v>2008</v>
          </cell>
          <cell r="BH78" t="str">
            <v>2018-03-31</v>
          </cell>
          <cell r="BI78">
            <v>1025890623.15</v>
          </cell>
          <cell r="BJ78">
            <v>1025890623.15</v>
          </cell>
          <cell r="BK78">
            <v>879400656.37</v>
          </cell>
          <cell r="BL78">
            <v>879400656.37</v>
          </cell>
          <cell r="BM78">
            <v>24.7</v>
          </cell>
          <cell r="BN78" t="str">
            <v>No</v>
          </cell>
          <cell r="BO78" t="str">
            <v>External</v>
          </cell>
          <cell r="BP78">
            <v>81</v>
          </cell>
          <cell r="BQ78">
            <v>80</v>
          </cell>
          <cell r="BS78">
            <v>0</v>
          </cell>
          <cell r="BT78">
            <v>744335259.34000003</v>
          </cell>
          <cell r="BW78" t="str">
            <v>Germany</v>
          </cell>
          <cell r="BX78" t="str">
            <v>Retail</v>
          </cell>
          <cell r="BY78">
            <v>1.3</v>
          </cell>
          <cell r="BZ78" t="str">
            <v>Germany</v>
          </cell>
          <cell r="CA78" t="str">
            <v>Parking</v>
          </cell>
          <cell r="CB78">
            <v>1.7</v>
          </cell>
          <cell r="CC78" t="str">
            <v>Germany</v>
          </cell>
          <cell r="CD78" t="str">
            <v>Residential</v>
          </cell>
          <cell r="CE78">
            <v>29.2</v>
          </cell>
          <cell r="CF78" t="str">
            <v>Germany</v>
          </cell>
          <cell r="CG78" t="str">
            <v>Other</v>
          </cell>
          <cell r="CH78">
            <v>0.1</v>
          </cell>
          <cell r="CI78" t="str">
            <v>Germany</v>
          </cell>
          <cell r="CJ78" t="str">
            <v>Student Housing</v>
          </cell>
          <cell r="CK78">
            <v>8.5</v>
          </cell>
          <cell r="CL78" t="str">
            <v>Denmark</v>
          </cell>
          <cell r="CM78" t="str">
            <v>Retail</v>
          </cell>
          <cell r="CN78">
            <v>0.1</v>
          </cell>
          <cell r="CO78" t="str">
            <v>Denmark</v>
          </cell>
          <cell r="CP78" t="str">
            <v>Residential</v>
          </cell>
          <cell r="CQ78">
            <v>13.2</v>
          </cell>
          <cell r="CR78" t="str">
            <v>France</v>
          </cell>
          <cell r="CS78" t="str">
            <v>Retail</v>
          </cell>
          <cell r="CT78">
            <v>0.1</v>
          </cell>
          <cell r="CU78" t="str">
            <v>France</v>
          </cell>
          <cell r="CV78" t="str">
            <v>Residential</v>
          </cell>
          <cell r="CW78">
            <v>2.8</v>
          </cell>
          <cell r="CX78" t="str">
            <v>France</v>
          </cell>
          <cell r="CY78" t="str">
            <v>Student Housing</v>
          </cell>
          <cell r="CZ78">
            <v>10.6</v>
          </cell>
          <cell r="DA78" t="str">
            <v>Netherlands</v>
          </cell>
          <cell r="DB78" t="str">
            <v>Retail</v>
          </cell>
          <cell r="DC78">
            <v>1.3</v>
          </cell>
          <cell r="DD78" t="str">
            <v>Netherlands</v>
          </cell>
          <cell r="DE78" t="str">
            <v>Parking</v>
          </cell>
          <cell r="DF78">
            <v>0.6</v>
          </cell>
          <cell r="DG78" t="str">
            <v>Netherlands</v>
          </cell>
          <cell r="DH78" t="str">
            <v>Residential</v>
          </cell>
          <cell r="DI78">
            <v>23.1</v>
          </cell>
          <cell r="DJ78" t="str">
            <v>Netherlands</v>
          </cell>
          <cell r="DK78" t="str">
            <v>Office</v>
          </cell>
          <cell r="DL78">
            <v>0.1</v>
          </cell>
          <cell r="DM78" t="str">
            <v>Sweden</v>
          </cell>
          <cell r="DN78" t="str">
            <v>Residential</v>
          </cell>
          <cell r="DO78">
            <v>1.9</v>
          </cell>
          <cell r="DP78" t="str">
            <v>Netherlands</v>
          </cell>
          <cell r="DQ78" t="str">
            <v>Other</v>
          </cell>
          <cell r="DR78">
            <v>0.1</v>
          </cell>
          <cell r="DS78" t="str">
            <v>France</v>
          </cell>
          <cell r="DT78" t="str">
            <v>Parking</v>
          </cell>
          <cell r="DU78">
            <v>0.1</v>
          </cell>
          <cell r="DV78" t="str">
            <v>Netherlands</v>
          </cell>
          <cell r="DW78" t="str">
            <v>Student Housing</v>
          </cell>
          <cell r="DX78">
            <v>5.2</v>
          </cell>
        </row>
        <row r="79">
          <cell r="A79">
            <v>590</v>
          </cell>
          <cell r="B79" t="str">
            <v>BOUWINVEST DUTCH INSTITUTIONAL OFFICE FUND NV</v>
          </cell>
          <cell r="C79" t="str">
            <v>BOUWINVEST REAL ESTATE INVESTMENT MANAGEMENT BV</v>
          </cell>
          <cell r="D79" t="str">
            <v>La Guardiaweg 4</v>
          </cell>
          <cell r="E79" t="str">
            <v>1043 DG</v>
          </cell>
          <cell r="F79" t="str">
            <v>Amsterdam</v>
          </cell>
          <cell r="G79" t="str">
            <v>Netherlands</v>
          </cell>
          <cell r="H79" t="str">
            <v>+31206771600</v>
          </cell>
          <cell r="I79" t="str">
            <v>+31206771700</v>
          </cell>
          <cell r="J79" t="str">
            <v>http://www.bouwinvest.nl</v>
          </cell>
          <cell r="K79" t="str">
            <v>Bas Jochims</v>
          </cell>
          <cell r="O79" t="str">
            <v>clientmanagement@bouwinvest.nl</v>
          </cell>
          <cell r="Q79" t="str">
            <v>Netherlands</v>
          </cell>
          <cell r="R79" t="str">
            <v>EUR</v>
          </cell>
          <cell r="S79" t="str">
            <v>IFRS</v>
          </cell>
          <cell r="T79" t="str">
            <v>Quarterly</v>
          </cell>
          <cell r="U79" t="str">
            <v>Quarterly</v>
          </cell>
          <cell r="V79" t="str">
            <v>RICS</v>
          </cell>
          <cell r="W79" t="str">
            <v>INREV NAV</v>
          </cell>
          <cell r="X79" t="str">
            <v>Deloitte</v>
          </cell>
          <cell r="Y79" t="str">
            <v>Real Estate Fund</v>
          </cell>
          <cell r="Z79" t="str">
            <v>Yes</v>
          </cell>
          <cell r="AA79" t="str">
            <v>Yes</v>
          </cell>
          <cell r="AB79">
            <v>4</v>
          </cell>
          <cell r="AC79" t="str">
            <v>Non-Listed Fund</v>
          </cell>
          <cell r="AD79" t="str">
            <v>Core</v>
          </cell>
          <cell r="AE79" t="str">
            <v>infinite</v>
          </cell>
          <cell r="AF79" t="str">
            <v>Closed end</v>
          </cell>
          <cell r="AG79">
            <v>6</v>
          </cell>
          <cell r="AH79">
            <v>7.5</v>
          </cell>
          <cell r="AI79" t="str">
            <v>Net</v>
          </cell>
          <cell r="AJ79" t="str">
            <v>Absolute return target</v>
          </cell>
          <cell r="AL79">
            <v>0</v>
          </cell>
          <cell r="AM79" t="str">
            <v>≤ 40%</v>
          </cell>
          <cell r="AN79" t="str">
            <v>Institutional</v>
          </cell>
          <cell r="AO79" t="str">
            <v>&gt; 2</v>
          </cell>
          <cell r="AP79" t="str">
            <v>≥ 50%</v>
          </cell>
          <cell r="AQ79" t="str">
            <v>Europe</v>
          </cell>
          <cell r="AR79" t="str">
            <v>single country</v>
          </cell>
          <cell r="AT79" t="str">
            <v>Netherlands</v>
          </cell>
          <cell r="AU79" t="str">
            <v>single sector</v>
          </cell>
          <cell r="AV79" t="str">
            <v>Office</v>
          </cell>
          <cell r="AY79">
            <v>2010</v>
          </cell>
          <cell r="BE79" t="str">
            <v>≥ 60%</v>
          </cell>
          <cell r="BH79" t="str">
            <v>2020-12-31</v>
          </cell>
          <cell r="BI79">
            <v>1252446000</v>
          </cell>
          <cell r="BJ79">
            <v>1252446000</v>
          </cell>
          <cell r="BK79">
            <v>1154720000</v>
          </cell>
          <cell r="BL79">
            <v>1154720000</v>
          </cell>
          <cell r="BM79">
            <v>0</v>
          </cell>
          <cell r="BN79" t="str">
            <v>No</v>
          </cell>
          <cell r="BO79" t="str">
            <v>External</v>
          </cell>
          <cell r="BP79">
            <v>4</v>
          </cell>
          <cell r="BQ79">
            <v>18</v>
          </cell>
          <cell r="BR79">
            <v>1180543000</v>
          </cell>
          <cell r="BS79">
            <v>1180543000</v>
          </cell>
          <cell r="BT79">
            <v>1030893000</v>
          </cell>
          <cell r="BU79">
            <v>1030893000</v>
          </cell>
          <cell r="BV79" t="str">
            <v>Yes</v>
          </cell>
          <cell r="BW79" t="str">
            <v>Netherlands</v>
          </cell>
          <cell r="BX79" t="str">
            <v>Office</v>
          </cell>
          <cell r="BY79">
            <v>97.5</v>
          </cell>
        </row>
        <row r="80">
          <cell r="A80">
            <v>588</v>
          </cell>
          <cell r="B80" t="str">
            <v>BOUWINVEST DUTCH INSTITUTIONAL RESIDENTIAL FUND NV</v>
          </cell>
          <cell r="C80" t="str">
            <v>BOUWINVEST REAL ESTATE INVESTMENT MANAGEMENT BV</v>
          </cell>
          <cell r="D80" t="str">
            <v>La Guardiaweg 4</v>
          </cell>
          <cell r="E80" t="str">
            <v>1043 DG</v>
          </cell>
          <cell r="F80" t="str">
            <v>Amsterdam</v>
          </cell>
          <cell r="G80" t="str">
            <v>Netherlands</v>
          </cell>
          <cell r="H80" t="str">
            <v>+31206771600</v>
          </cell>
          <cell r="I80" t="str">
            <v>+31206771700</v>
          </cell>
          <cell r="J80" t="str">
            <v>http://www.bouwinvest.nl</v>
          </cell>
          <cell r="K80" t="str">
            <v>Michiel de Bruine</v>
          </cell>
          <cell r="O80" t="str">
            <v>clientmanagement@bouwinvest.nl</v>
          </cell>
          <cell r="Q80" t="str">
            <v>Netherlands</v>
          </cell>
          <cell r="R80" t="str">
            <v>EUR</v>
          </cell>
          <cell r="S80" t="str">
            <v>IFRS</v>
          </cell>
          <cell r="T80" t="str">
            <v>Quarterly</v>
          </cell>
          <cell r="U80" t="str">
            <v>Quarterly</v>
          </cell>
          <cell r="V80" t="str">
            <v>RICS</v>
          </cell>
          <cell r="W80" t="str">
            <v>INREV NAV</v>
          </cell>
          <cell r="X80" t="str">
            <v>Deloitte</v>
          </cell>
          <cell r="Y80" t="str">
            <v>Real Estate Fund</v>
          </cell>
          <cell r="Z80" t="str">
            <v>Yes</v>
          </cell>
          <cell r="AA80" t="str">
            <v>Yes</v>
          </cell>
          <cell r="AB80">
            <v>4</v>
          </cell>
          <cell r="AC80" t="str">
            <v>Non-Listed Fund</v>
          </cell>
          <cell r="AD80" t="str">
            <v>Core</v>
          </cell>
          <cell r="AE80" t="str">
            <v>infinite</v>
          </cell>
          <cell r="AF80" t="str">
            <v>Closed end</v>
          </cell>
          <cell r="AG80">
            <v>5.5</v>
          </cell>
          <cell r="AH80">
            <v>7</v>
          </cell>
          <cell r="AI80" t="str">
            <v>Net</v>
          </cell>
          <cell r="AJ80" t="str">
            <v>Absolute return target.</v>
          </cell>
          <cell r="AL80">
            <v>0</v>
          </cell>
          <cell r="AM80" t="str">
            <v>≤ 40%</v>
          </cell>
          <cell r="AN80" t="str">
            <v>Institutional</v>
          </cell>
          <cell r="AO80" t="str">
            <v>&gt; 2</v>
          </cell>
          <cell r="AP80" t="str">
            <v>≥ 50%</v>
          </cell>
          <cell r="AQ80" t="str">
            <v>Europe</v>
          </cell>
          <cell r="AR80" t="str">
            <v>single country</v>
          </cell>
          <cell r="AT80" t="str">
            <v>Netherlands</v>
          </cell>
          <cell r="AU80" t="str">
            <v>single sector</v>
          </cell>
          <cell r="AV80" t="str">
            <v>Residential</v>
          </cell>
          <cell r="AY80">
            <v>2010</v>
          </cell>
          <cell r="BE80" t="str">
            <v>≥ 60%</v>
          </cell>
          <cell r="BF80" t="str">
            <v>≤ 15%</v>
          </cell>
          <cell r="BH80" t="str">
            <v>2020-12-31</v>
          </cell>
          <cell r="BI80">
            <v>7087309000</v>
          </cell>
          <cell r="BJ80">
            <v>7087309000</v>
          </cell>
          <cell r="BK80">
            <v>6937638000</v>
          </cell>
          <cell r="BL80">
            <v>6937638000</v>
          </cell>
          <cell r="BM80">
            <v>0</v>
          </cell>
          <cell r="BN80" t="str">
            <v>No</v>
          </cell>
          <cell r="BO80" t="str">
            <v>External</v>
          </cell>
          <cell r="BP80">
            <v>19</v>
          </cell>
          <cell r="BQ80">
            <v>268</v>
          </cell>
          <cell r="BR80">
            <v>4604339000</v>
          </cell>
          <cell r="BS80">
            <v>4604339000</v>
          </cell>
          <cell r="BT80">
            <v>4221339000</v>
          </cell>
          <cell r="BU80">
            <v>4221339000</v>
          </cell>
          <cell r="BV80" t="str">
            <v>Yes</v>
          </cell>
          <cell r="BW80" t="str">
            <v>Netherlands</v>
          </cell>
          <cell r="BX80" t="str">
            <v>Residential</v>
          </cell>
          <cell r="BY80">
            <v>96.4</v>
          </cell>
        </row>
        <row r="81">
          <cell r="A81">
            <v>589</v>
          </cell>
          <cell r="B81" t="str">
            <v>BOUWINVEST DUTCH INSTITUTIONAL RETAIL FUND NV</v>
          </cell>
          <cell r="C81" t="str">
            <v>BOUWINVEST REAL ESTATE INVESTMENT MANAGEMENT BV</v>
          </cell>
          <cell r="D81" t="str">
            <v>La Guardiaweg 4</v>
          </cell>
          <cell r="E81" t="str">
            <v>1043 DG</v>
          </cell>
          <cell r="F81" t="str">
            <v>Amsterdam</v>
          </cell>
          <cell r="G81" t="str">
            <v>Netherlands</v>
          </cell>
          <cell r="H81" t="str">
            <v>+31206771600</v>
          </cell>
          <cell r="I81" t="str">
            <v>+31206771700</v>
          </cell>
          <cell r="J81" t="str">
            <v>http://www.bouwinvest.nl</v>
          </cell>
          <cell r="K81" t="str">
            <v>Collin Boelhouwer</v>
          </cell>
          <cell r="O81" t="str">
            <v>clientmanagement@bouwinvest.nl</v>
          </cell>
          <cell r="Q81" t="str">
            <v>Netherlands</v>
          </cell>
          <cell r="R81" t="str">
            <v>EUR</v>
          </cell>
          <cell r="S81" t="str">
            <v>IFRS</v>
          </cell>
          <cell r="T81" t="str">
            <v>Quarterly</v>
          </cell>
          <cell r="U81" t="str">
            <v>Quarterly</v>
          </cell>
          <cell r="V81" t="str">
            <v>RICS</v>
          </cell>
          <cell r="W81" t="str">
            <v>INREV NAV</v>
          </cell>
          <cell r="X81" t="str">
            <v>Deloitte</v>
          </cell>
          <cell r="Y81" t="str">
            <v>Real Estate Fund</v>
          </cell>
          <cell r="Z81" t="str">
            <v>Yes</v>
          </cell>
          <cell r="AA81" t="str">
            <v>Yes</v>
          </cell>
          <cell r="AB81">
            <v>4</v>
          </cell>
          <cell r="AC81" t="str">
            <v>Non-Listed Fund</v>
          </cell>
          <cell r="AD81" t="str">
            <v>Core</v>
          </cell>
          <cell r="AE81" t="str">
            <v>infinite</v>
          </cell>
          <cell r="AF81" t="str">
            <v>Closed end</v>
          </cell>
          <cell r="AG81">
            <v>6</v>
          </cell>
          <cell r="AH81">
            <v>7.5</v>
          </cell>
          <cell r="AI81" t="str">
            <v>Net</v>
          </cell>
          <cell r="AJ81" t="str">
            <v>Absolute return target</v>
          </cell>
          <cell r="AL81">
            <v>0</v>
          </cell>
          <cell r="AM81" t="str">
            <v>≤ 40%</v>
          </cell>
          <cell r="AN81" t="str">
            <v>Institutional</v>
          </cell>
          <cell r="AO81" t="str">
            <v>&gt; 2</v>
          </cell>
          <cell r="AP81" t="str">
            <v>≥ 50%</v>
          </cell>
          <cell r="AQ81" t="str">
            <v>Europe</v>
          </cell>
          <cell r="AR81" t="str">
            <v>single country</v>
          </cell>
          <cell r="AT81" t="str">
            <v>Netherlands</v>
          </cell>
          <cell r="AU81" t="str">
            <v>single sector</v>
          </cell>
          <cell r="AV81" t="str">
            <v>Retail</v>
          </cell>
          <cell r="AY81">
            <v>2010</v>
          </cell>
          <cell r="BE81" t="str">
            <v>≥ 60%</v>
          </cell>
          <cell r="BF81" t="str">
            <v>≤ 15%</v>
          </cell>
          <cell r="BH81" t="str">
            <v>2020-12-31</v>
          </cell>
          <cell r="BI81">
            <v>967500000</v>
          </cell>
          <cell r="BJ81">
            <v>967500000</v>
          </cell>
          <cell r="BK81">
            <v>951025000</v>
          </cell>
          <cell r="BL81">
            <v>951025000</v>
          </cell>
          <cell r="BM81">
            <v>0</v>
          </cell>
          <cell r="BN81" t="str">
            <v>No</v>
          </cell>
          <cell r="BO81" t="str">
            <v>External</v>
          </cell>
          <cell r="BP81">
            <v>6</v>
          </cell>
          <cell r="BQ81">
            <v>59</v>
          </cell>
          <cell r="BR81">
            <v>984962000</v>
          </cell>
          <cell r="BS81">
            <v>984962000</v>
          </cell>
          <cell r="BT81">
            <v>894961000</v>
          </cell>
          <cell r="BU81">
            <v>894961000</v>
          </cell>
          <cell r="BV81" t="str">
            <v>Yes</v>
          </cell>
          <cell r="BW81" t="str">
            <v>Netherlands</v>
          </cell>
          <cell r="BX81" t="str">
            <v>Retail</v>
          </cell>
          <cell r="BY81">
            <v>98.9</v>
          </cell>
        </row>
        <row r="82">
          <cell r="A82">
            <v>76</v>
          </cell>
          <cell r="B82" t="str">
            <v>BPT HANSA LUX. SICAV-SIF</v>
          </cell>
          <cell r="C82" t="str">
            <v>NORTHERN HORIZON CAPITAL A/S</v>
          </cell>
          <cell r="D82" t="str">
            <v>Christian IX's gade 2, 2nd floor</v>
          </cell>
          <cell r="E82">
            <v>1111</v>
          </cell>
          <cell r="F82" t="str">
            <v>Copenhagen</v>
          </cell>
          <cell r="G82" t="str">
            <v>Denmark</v>
          </cell>
          <cell r="H82" t="str">
            <v>+45 33 69 07 33</v>
          </cell>
          <cell r="I82" t="str">
            <v>+45 33 69 07 35</v>
          </cell>
          <cell r="J82" t="str">
            <v>http://www.bptam.com</v>
          </cell>
          <cell r="K82" t="str">
            <v>Georg Haider</v>
          </cell>
          <cell r="L82" t="str">
            <v>georg.haider@nh-cap.com</v>
          </cell>
          <cell r="M82" t="str">
            <v>+49 30 20 21 59 886</v>
          </cell>
          <cell r="N82" t="str">
            <v>Georg Haider</v>
          </cell>
          <cell r="O82" t="str">
            <v>georg.haider@nh-cap.com</v>
          </cell>
          <cell r="P82" t="str">
            <v>+49 30 20 21 59 886</v>
          </cell>
          <cell r="Q82" t="str">
            <v>Luxembourg</v>
          </cell>
          <cell r="R82" t="str">
            <v>EUR</v>
          </cell>
          <cell r="S82" t="str">
            <v>IFRS</v>
          </cell>
          <cell r="T82" t="str">
            <v>Quarterly</v>
          </cell>
          <cell r="U82" t="str">
            <v>Annually</v>
          </cell>
          <cell r="V82" t="str">
            <v>RICS</v>
          </cell>
          <cell r="W82" t="str">
            <v>IFRS NAV</v>
          </cell>
          <cell r="X82" t="str">
            <v>Ernst &amp; Young</v>
          </cell>
          <cell r="Y82" t="str">
            <v>SICAV-SIF</v>
          </cell>
          <cell r="Z82" t="str">
            <v>Yes</v>
          </cell>
          <cell r="AA82" t="str">
            <v>Yes</v>
          </cell>
          <cell r="AB82">
            <v>5</v>
          </cell>
          <cell r="AC82" t="str">
            <v>Non-Listed Fund</v>
          </cell>
          <cell r="AD82" t="str">
            <v>Core</v>
          </cell>
          <cell r="AE82" t="str">
            <v>finite</v>
          </cell>
          <cell r="AF82" t="str">
            <v>Closed end</v>
          </cell>
          <cell r="AG82">
            <v>7</v>
          </cell>
          <cell r="AH82">
            <v>7</v>
          </cell>
          <cell r="AI82" t="str">
            <v>Net</v>
          </cell>
          <cell r="AJ82" t="str">
            <v>Absolut Return</v>
          </cell>
          <cell r="AK82">
            <v>5</v>
          </cell>
          <cell r="AL82">
            <v>70</v>
          </cell>
          <cell r="AM82" t="str">
            <v>&gt; 60%</v>
          </cell>
          <cell r="AN82" t="str">
            <v>Institutional</v>
          </cell>
          <cell r="AO82" t="str">
            <v>&gt; 2</v>
          </cell>
          <cell r="AP82" t="str">
            <v>≥ 50%</v>
          </cell>
          <cell r="AQ82" t="str">
            <v>Europe</v>
          </cell>
          <cell r="AR82" t="str">
            <v>single country</v>
          </cell>
          <cell r="AT82" t="str">
            <v>Germany</v>
          </cell>
          <cell r="AU82" t="str">
            <v>multi sector</v>
          </cell>
          <cell r="AW82">
            <v>300000000</v>
          </cell>
          <cell r="AX82">
            <v>1000000000</v>
          </cell>
          <cell r="AY82">
            <v>2007</v>
          </cell>
          <cell r="AZ82">
            <v>2022</v>
          </cell>
          <cell r="BA82" t="str">
            <v>Yes</v>
          </cell>
          <cell r="BB82" t="str">
            <v>No</v>
          </cell>
          <cell r="BH82" t="str">
            <v>2020-12-31</v>
          </cell>
          <cell r="BI82">
            <v>59028000</v>
          </cell>
          <cell r="BJ82">
            <v>59028000</v>
          </cell>
          <cell r="BK82">
            <v>32026000</v>
          </cell>
          <cell r="BL82">
            <v>32026000</v>
          </cell>
          <cell r="BM82">
            <v>36</v>
          </cell>
          <cell r="BN82" t="str">
            <v>No</v>
          </cell>
          <cell r="BO82" t="str">
            <v>External</v>
          </cell>
          <cell r="BP82">
            <v>15</v>
          </cell>
          <cell r="BQ82">
            <v>3</v>
          </cell>
          <cell r="BR82">
            <v>24300000</v>
          </cell>
          <cell r="BS82">
            <v>24300000</v>
          </cell>
          <cell r="BT82">
            <v>24300000</v>
          </cell>
          <cell r="BU82">
            <v>24300000</v>
          </cell>
          <cell r="BV82" t="str">
            <v>No</v>
          </cell>
          <cell r="BW82" t="str">
            <v>Germany</v>
          </cell>
          <cell r="BX82" t="str">
            <v>Office</v>
          </cell>
          <cell r="BY82">
            <v>92</v>
          </cell>
        </row>
        <row r="83">
          <cell r="A83">
            <v>17238</v>
          </cell>
          <cell r="B83" t="str">
            <v>BROCKTON CAPITAL FUND I</v>
          </cell>
          <cell r="C83" t="str">
            <v>BROCKTON CAPITAL LLP</v>
          </cell>
          <cell r="D83" t="str">
            <v xml:space="preserve">89 Wardour Street </v>
          </cell>
          <cell r="E83" t="str">
            <v>W1F 0UB</v>
          </cell>
          <cell r="F83" t="str">
            <v>London</v>
          </cell>
          <cell r="G83" t="str">
            <v>United Kingdom</v>
          </cell>
          <cell r="H83" t="str">
            <v>+44 (0) 207 220 2500</v>
          </cell>
          <cell r="I83">
            <v>442077343655</v>
          </cell>
          <cell r="J83" t="str">
            <v>http://www.brocktoncapital.com</v>
          </cell>
          <cell r="K83" t="str">
            <v>Jason Blank</v>
          </cell>
          <cell r="L83" t="str">
            <v>blank@brocktoncapital.com</v>
          </cell>
          <cell r="M83" t="str">
            <v>+44 (0) 207 220 2500</v>
          </cell>
          <cell r="N83" t="str">
            <v>Sara Roure</v>
          </cell>
          <cell r="O83" t="str">
            <v>roure@brocktoncapital.com</v>
          </cell>
          <cell r="P83" t="str">
            <v>+44 (0)207 220 2590</v>
          </cell>
          <cell r="Q83" t="str">
            <v>Guernsey</v>
          </cell>
          <cell r="R83" t="str">
            <v>GBP</v>
          </cell>
          <cell r="T83" t="str">
            <v>Quarterly</v>
          </cell>
          <cell r="U83" t="str">
            <v>Quarterly</v>
          </cell>
          <cell r="AC83" t="str">
            <v>Non-Listed Fund</v>
          </cell>
          <cell r="AD83" t="str">
            <v>Opportunity</v>
          </cell>
          <cell r="AE83" t="str">
            <v>finite</v>
          </cell>
          <cell r="AF83" t="str">
            <v>Closed end</v>
          </cell>
          <cell r="AG83">
            <v>18</v>
          </cell>
          <cell r="AH83">
            <v>20</v>
          </cell>
          <cell r="AI83" t="str">
            <v>Gross</v>
          </cell>
          <cell r="AN83" t="str">
            <v>Institutional</v>
          </cell>
          <cell r="AO83" t="str">
            <v>&gt; 2</v>
          </cell>
          <cell r="AP83" t="str">
            <v>≥ 50%</v>
          </cell>
          <cell r="AQ83" t="str">
            <v>Europe</v>
          </cell>
          <cell r="AR83" t="str">
            <v>single country</v>
          </cell>
          <cell r="AT83" t="str">
            <v>United Kingdom</v>
          </cell>
          <cell r="AU83" t="str">
            <v>multi sector</v>
          </cell>
          <cell r="AY83">
            <v>2006</v>
          </cell>
        </row>
        <row r="84">
          <cell r="A84">
            <v>19328</v>
          </cell>
          <cell r="B84" t="str">
            <v>BUDAPEST SHOPINVEST</v>
          </cell>
          <cell r="C84" t="str">
            <v>DWS GRUNDBESITZ GMBH</v>
          </cell>
          <cell r="D84" t="str">
            <v>Mainzer Landstr. 11-17</v>
          </cell>
          <cell r="E84" t="str">
            <v xml:space="preserve">60329 </v>
          </cell>
          <cell r="F84" t="str">
            <v>Frankfurt am Main</v>
          </cell>
          <cell r="G84" t="str">
            <v>Germany</v>
          </cell>
          <cell r="K84" t="str">
            <v>Thomas Köhler</v>
          </cell>
          <cell r="L84" t="str">
            <v>thomas-d.koehler@dws.com</v>
          </cell>
          <cell r="M84" t="str">
            <v>+49 (69) 910 - 14934</v>
          </cell>
          <cell r="Q84" t="str">
            <v>Germany</v>
          </cell>
          <cell r="R84" t="str">
            <v>EUR</v>
          </cell>
          <cell r="S84" t="str">
            <v>HGB</v>
          </cell>
          <cell r="T84" t="str">
            <v>Annually</v>
          </cell>
          <cell r="U84" t="str">
            <v>Annually</v>
          </cell>
          <cell r="V84" t="str">
            <v>ImmoWertV</v>
          </cell>
          <cell r="W84" t="str">
            <v>KAGB</v>
          </cell>
          <cell r="X84" t="str">
            <v>BDO</v>
          </cell>
          <cell r="Y84" t="str">
            <v>Publikumsfonds</v>
          </cell>
          <cell r="Z84" t="str">
            <v>No</v>
          </cell>
          <cell r="AC84" t="str">
            <v>Non-Listed Fund</v>
          </cell>
          <cell r="AD84" t="str">
            <v>Core</v>
          </cell>
          <cell r="AE84" t="str">
            <v>finite</v>
          </cell>
          <cell r="AF84" t="str">
            <v>Closed end</v>
          </cell>
          <cell r="AN84" t="str">
            <v>Retail</v>
          </cell>
          <cell r="AO84" t="str">
            <v>&gt; 2</v>
          </cell>
          <cell r="AP84" t="str">
            <v>&lt; 50%</v>
          </cell>
          <cell r="AQ84" t="str">
            <v>Europe</v>
          </cell>
          <cell r="AR84" t="str">
            <v>single country</v>
          </cell>
          <cell r="AT84" t="str">
            <v>Hungary</v>
          </cell>
          <cell r="AU84" t="str">
            <v>single sector</v>
          </cell>
          <cell r="AV84" t="str">
            <v>Retail</v>
          </cell>
          <cell r="AY84">
            <v>2002</v>
          </cell>
          <cell r="BH84" t="str">
            <v>2018-12-31</v>
          </cell>
          <cell r="BI84">
            <v>225000000</v>
          </cell>
          <cell r="BJ84">
            <v>225000000</v>
          </cell>
          <cell r="BK84">
            <v>41664000</v>
          </cell>
          <cell r="BL84">
            <v>41664000</v>
          </cell>
          <cell r="BM84">
            <v>15.99</v>
          </cell>
          <cell r="BN84" t="str">
            <v>Yes</v>
          </cell>
          <cell r="BO84" t="str">
            <v>External</v>
          </cell>
          <cell r="BP84">
            <v>0</v>
          </cell>
          <cell r="BQ84">
            <v>1</v>
          </cell>
          <cell r="BS84">
            <v>0</v>
          </cell>
          <cell r="BV84" t="str">
            <v>No</v>
          </cell>
          <cell r="BW84" t="str">
            <v>Hungary</v>
          </cell>
          <cell r="BX84" t="str">
            <v>Retail</v>
          </cell>
          <cell r="BY84">
            <v>100</v>
          </cell>
        </row>
        <row r="85">
          <cell r="A85">
            <v>627</v>
          </cell>
          <cell r="B85" t="str">
            <v>CAESAR FUND</v>
          </cell>
          <cell r="C85" t="str">
            <v>AXA REIM SGR S.P.A</v>
          </cell>
          <cell r="D85" t="str">
            <v>Corso di Porta Romana no. 68</v>
          </cell>
          <cell r="E85">
            <v>20146</v>
          </cell>
          <cell r="F85" t="str">
            <v>Milan</v>
          </cell>
          <cell r="G85" t="str">
            <v>Italy</v>
          </cell>
          <cell r="J85" t="str">
            <v>https://realassets.axa-im.com</v>
          </cell>
          <cell r="K85" t="str">
            <v>Lorenzo Scarfi</v>
          </cell>
          <cell r="L85" t="str">
            <v>lorenzo.scarfi@axa-im.com</v>
          </cell>
          <cell r="M85" t="str">
            <v>+390258442018</v>
          </cell>
          <cell r="N85" t="str">
            <v>Jamie-Lee Chambers</v>
          </cell>
          <cell r="O85" t="str">
            <v>jamie-lee.chambers@axa-im.com</v>
          </cell>
          <cell r="Q85" t="str">
            <v>Italy</v>
          </cell>
          <cell r="R85" t="str">
            <v>EUR</v>
          </cell>
          <cell r="S85" t="str">
            <v>Local GAAP</v>
          </cell>
          <cell r="T85" t="str">
            <v>Quarterly</v>
          </cell>
          <cell r="U85" t="str">
            <v>Twice per year</v>
          </cell>
          <cell r="V85" t="str">
            <v>Other - mark to market</v>
          </cell>
          <cell r="W85" t="str">
            <v>Bank of Italy Gaap - similar to IFRS</v>
          </cell>
          <cell r="X85" t="str">
            <v>Mazars</v>
          </cell>
          <cell r="Y85" t="str">
            <v>Real Estate Fund</v>
          </cell>
          <cell r="Z85" t="str">
            <v>No</v>
          </cell>
          <cell r="AB85">
            <v>0</v>
          </cell>
          <cell r="AC85" t="str">
            <v>Non-Listed Fund</v>
          </cell>
          <cell r="AD85" t="str">
            <v>Core</v>
          </cell>
          <cell r="AE85" t="str">
            <v>finite</v>
          </cell>
          <cell r="AF85" t="str">
            <v>Closed end</v>
          </cell>
          <cell r="AG85">
            <v>8</v>
          </cell>
          <cell r="AH85">
            <v>8</v>
          </cell>
          <cell r="AN85" t="str">
            <v>Institutional</v>
          </cell>
          <cell r="AO85" t="str">
            <v>&gt; 2</v>
          </cell>
          <cell r="AP85" t="str">
            <v>≥ 50%</v>
          </cell>
          <cell r="AQ85" t="str">
            <v>Europe</v>
          </cell>
          <cell r="AR85" t="str">
            <v>multi country</v>
          </cell>
          <cell r="AS85" t="str">
            <v>Europe</v>
          </cell>
          <cell r="AU85" t="str">
            <v>single sector</v>
          </cell>
          <cell r="AV85" t="str">
            <v>Office</v>
          </cell>
          <cell r="AW85">
            <v>200000000</v>
          </cell>
          <cell r="AY85">
            <v>2012</v>
          </cell>
          <cell r="AZ85">
            <v>2020</v>
          </cell>
          <cell r="BA85" t="str">
            <v>Yes</v>
          </cell>
          <cell r="BB85" t="str">
            <v>Yes</v>
          </cell>
          <cell r="BC85" t="str">
            <v>1+1+1 years</v>
          </cell>
          <cell r="BH85" t="str">
            <v>2020-12-31</v>
          </cell>
          <cell r="BI85">
            <v>14699714</v>
          </cell>
          <cell r="BJ85">
            <v>14699714</v>
          </cell>
          <cell r="BK85">
            <v>14699714</v>
          </cell>
          <cell r="BL85">
            <v>14699714</v>
          </cell>
          <cell r="BM85">
            <v>0</v>
          </cell>
          <cell r="BN85" t="str">
            <v>Yes</v>
          </cell>
          <cell r="BO85" t="str">
            <v>External</v>
          </cell>
          <cell r="BP85">
            <v>12</v>
          </cell>
          <cell r="BQ85">
            <v>0</v>
          </cell>
          <cell r="BR85">
            <v>209000000</v>
          </cell>
          <cell r="BS85">
            <v>209000000</v>
          </cell>
          <cell r="BT85">
            <v>209000000</v>
          </cell>
          <cell r="BU85">
            <v>209000000</v>
          </cell>
          <cell r="BV85" t="str">
            <v>No</v>
          </cell>
        </row>
        <row r="86">
          <cell r="A86">
            <v>81</v>
          </cell>
          <cell r="B86" t="str">
            <v>CAPITAL FRANCE HôTEL</v>
          </cell>
          <cell r="C86" t="str">
            <v>ALGONQUIN ASSET MANAGEMENT FRANCE</v>
          </cell>
          <cell r="D86" t="str">
            <v>60, rue Pierre Charron</v>
          </cell>
          <cell r="E86">
            <v>75008</v>
          </cell>
          <cell r="F86" t="str">
            <v>Paris</v>
          </cell>
          <cell r="G86" t="str">
            <v>France</v>
          </cell>
          <cell r="H86" t="str">
            <v>+33 (0) 1 80 27 18 30</v>
          </cell>
          <cell r="I86" t="str">
            <v>+33 (0) 1 80 27 18 34</v>
          </cell>
          <cell r="K86" t="str">
            <v>Frédéric de Brem</v>
          </cell>
          <cell r="L86" t="str">
            <v>fdebrem@algonquin-amf.com</v>
          </cell>
          <cell r="M86" t="str">
            <v>+33 (0) 1 80 27 18 30</v>
          </cell>
          <cell r="N86" t="str">
            <v>Frédéric de Brem</v>
          </cell>
          <cell r="O86" t="str">
            <v>fdebrem@algonquin-amf.com</v>
          </cell>
          <cell r="P86" t="str">
            <v>+33 (0) 1 80 27 18 30</v>
          </cell>
          <cell r="Q86" t="str">
            <v>France</v>
          </cell>
          <cell r="R86" t="str">
            <v>EUR</v>
          </cell>
          <cell r="S86" t="str">
            <v>Local GAAP</v>
          </cell>
          <cell r="T86" t="str">
            <v>Quarterly</v>
          </cell>
          <cell r="U86" t="str">
            <v>Annually</v>
          </cell>
          <cell r="X86" t="str">
            <v>Mazars &amp; Guerard</v>
          </cell>
          <cell r="Y86" t="str">
            <v>Limited Partnership</v>
          </cell>
          <cell r="Z86" t="str">
            <v>Yes</v>
          </cell>
          <cell r="AA86" t="str">
            <v>Yes</v>
          </cell>
          <cell r="AB86">
            <v>6</v>
          </cell>
          <cell r="AC86" t="str">
            <v>Non-Listed Fund</v>
          </cell>
          <cell r="AD86" t="str">
            <v>Core</v>
          </cell>
          <cell r="AE86" t="str">
            <v>finite</v>
          </cell>
          <cell r="AF86" t="str">
            <v>Closed end</v>
          </cell>
          <cell r="AG86">
            <v>7.5</v>
          </cell>
          <cell r="AH86">
            <v>10</v>
          </cell>
          <cell r="AI86" t="str">
            <v>Gross</v>
          </cell>
          <cell r="AJ86" t="str">
            <v>None</v>
          </cell>
          <cell r="AL86">
            <v>15</v>
          </cell>
          <cell r="AM86" t="str">
            <v>≤ 40%</v>
          </cell>
          <cell r="AN86" t="str">
            <v>Institutional</v>
          </cell>
          <cell r="AP86" t="str">
            <v>≥ 50%</v>
          </cell>
          <cell r="AQ86" t="str">
            <v>Europe</v>
          </cell>
          <cell r="AR86" t="str">
            <v>multi country</v>
          </cell>
          <cell r="AS86" t="str">
            <v>Europe</v>
          </cell>
          <cell r="AU86" t="str">
            <v>single sector</v>
          </cell>
          <cell r="AV86" t="str">
            <v>Hotel</v>
          </cell>
          <cell r="AW86">
            <v>1000000000</v>
          </cell>
          <cell r="AX86">
            <v>1000000000</v>
          </cell>
          <cell r="AY86">
            <v>2007</v>
          </cell>
          <cell r="AZ86">
            <v>2015</v>
          </cell>
          <cell r="BA86" t="str">
            <v>Yes</v>
          </cell>
          <cell r="BB86" t="str">
            <v>Yes</v>
          </cell>
          <cell r="BC86" t="str">
            <v>3 years</v>
          </cell>
          <cell r="BH86" t="str">
            <v>2009-06-30</v>
          </cell>
          <cell r="BI86">
            <v>300000000</v>
          </cell>
          <cell r="BJ86">
            <v>300000000</v>
          </cell>
          <cell r="BK86">
            <v>300000000</v>
          </cell>
          <cell r="BL86">
            <v>300000000</v>
          </cell>
          <cell r="BP86">
            <v>2</v>
          </cell>
          <cell r="BQ86">
            <v>12</v>
          </cell>
          <cell r="BR86">
            <v>300000000</v>
          </cell>
          <cell r="BS86">
            <v>300000000</v>
          </cell>
          <cell r="BU86">
            <v>0</v>
          </cell>
          <cell r="BV86" t="str">
            <v>Yes</v>
          </cell>
        </row>
        <row r="87">
          <cell r="A87">
            <v>17506</v>
          </cell>
          <cell r="B87" t="str">
            <v>CAPMAN NORDIC REAL ESTATE</v>
          </cell>
          <cell r="C87" t="str">
            <v>CAPMAN PLC</v>
          </cell>
          <cell r="D87" t="str">
            <v>Ludviginkatu 6, 4 fl.</v>
          </cell>
          <cell r="E87">
            <v>130</v>
          </cell>
          <cell r="F87" t="str">
            <v>Helsinki</v>
          </cell>
          <cell r="G87" t="str">
            <v>Finland</v>
          </cell>
          <cell r="H87" t="str">
            <v>+358 207 207 500</v>
          </cell>
          <cell r="J87" t="str">
            <v>http://www.capman.com/</v>
          </cell>
          <cell r="K87" t="str">
            <v>Mika Matikainen</v>
          </cell>
          <cell r="L87" t="str">
            <v>mika.matikainen@capman.com</v>
          </cell>
          <cell r="M87" t="str">
            <v>+358 40 5190707</v>
          </cell>
          <cell r="N87" t="str">
            <v>Nigel Pedroz</v>
          </cell>
          <cell r="O87" t="str">
            <v>nigel.pedroz@capman.com</v>
          </cell>
          <cell r="P87" t="str">
            <v>0203 640 8681</v>
          </cell>
          <cell r="Q87" t="str">
            <v>Luxembourg</v>
          </cell>
          <cell r="R87" t="str">
            <v>EUR</v>
          </cell>
          <cell r="S87" t="str">
            <v>IFRS</v>
          </cell>
          <cell r="T87" t="str">
            <v>Annually</v>
          </cell>
          <cell r="U87" t="str">
            <v>Annually</v>
          </cell>
          <cell r="V87" t="str">
            <v>RICS</v>
          </cell>
          <cell r="W87" t="str">
            <v>IFRS NAV</v>
          </cell>
          <cell r="X87" t="str">
            <v>EY</v>
          </cell>
          <cell r="Y87" t="str">
            <v>FCP</v>
          </cell>
          <cell r="Z87" t="str">
            <v>Yes</v>
          </cell>
          <cell r="AA87" t="str">
            <v>Yes</v>
          </cell>
          <cell r="AB87">
            <v>1</v>
          </cell>
          <cell r="AC87" t="str">
            <v>Non-Listed Fund</v>
          </cell>
          <cell r="AD87" t="str">
            <v>Value-added</v>
          </cell>
          <cell r="AE87" t="str">
            <v>finite</v>
          </cell>
          <cell r="AF87" t="str">
            <v>Closed end</v>
          </cell>
          <cell r="AG87">
            <v>16</v>
          </cell>
          <cell r="AH87">
            <v>18</v>
          </cell>
          <cell r="AI87" t="str">
            <v>Gross</v>
          </cell>
          <cell r="AJ87" t="str">
            <v>Absolute return</v>
          </cell>
          <cell r="AK87">
            <v>6</v>
          </cell>
          <cell r="AL87">
            <v>60</v>
          </cell>
          <cell r="AM87" t="str">
            <v>&gt; 40% - ≤ 60%</v>
          </cell>
          <cell r="AN87" t="str">
            <v>Institutional</v>
          </cell>
          <cell r="AO87" t="str">
            <v>&gt; 2</v>
          </cell>
          <cell r="AP87" t="str">
            <v>≥ 50%</v>
          </cell>
          <cell r="AQ87" t="str">
            <v>Europe</v>
          </cell>
          <cell r="AR87" t="str">
            <v>multi country</v>
          </cell>
          <cell r="AS87" t="str">
            <v>Nordic</v>
          </cell>
          <cell r="AU87" t="str">
            <v>multi sector</v>
          </cell>
          <cell r="AW87">
            <v>250000000</v>
          </cell>
          <cell r="AX87">
            <v>625000000</v>
          </cell>
          <cell r="AY87">
            <v>2014</v>
          </cell>
          <cell r="AZ87">
            <v>2022</v>
          </cell>
          <cell r="BA87" t="str">
            <v>No</v>
          </cell>
          <cell r="BB87" t="str">
            <v>No</v>
          </cell>
          <cell r="BD87" t="str">
            <v>No</v>
          </cell>
          <cell r="BE87" t="str">
            <v>&lt; 60%</v>
          </cell>
          <cell r="BF87" t="str">
            <v>≤ 15%</v>
          </cell>
          <cell r="BG87" t="str">
            <v>&gt; 5 - ≤ 25%</v>
          </cell>
          <cell r="BH87" t="str">
            <v>2020-12-31</v>
          </cell>
          <cell r="BI87">
            <v>414312714</v>
          </cell>
          <cell r="BJ87">
            <v>414312714</v>
          </cell>
          <cell r="BK87">
            <v>201787158</v>
          </cell>
          <cell r="BL87">
            <v>201787158</v>
          </cell>
          <cell r="BM87">
            <v>40</v>
          </cell>
          <cell r="BN87" t="str">
            <v>No</v>
          </cell>
          <cell r="BO87" t="str">
            <v>External</v>
          </cell>
          <cell r="BP87">
            <v>30</v>
          </cell>
          <cell r="BQ87">
            <v>9</v>
          </cell>
          <cell r="BR87">
            <v>273263158</v>
          </cell>
          <cell r="BS87">
            <v>273263158</v>
          </cell>
          <cell r="BT87">
            <v>275837431</v>
          </cell>
          <cell r="BU87">
            <v>275837431</v>
          </cell>
          <cell r="BV87" t="str">
            <v>No</v>
          </cell>
          <cell r="BW87" t="str">
            <v>Sweden</v>
          </cell>
          <cell r="BX87" t="str">
            <v>Retail</v>
          </cell>
          <cell r="BY87">
            <v>19.32</v>
          </cell>
          <cell r="BZ87" t="str">
            <v>Norway</v>
          </cell>
          <cell r="CA87" t="str">
            <v>Office</v>
          </cell>
          <cell r="CB87">
            <v>8.99</v>
          </cell>
          <cell r="CC87" t="str">
            <v>Finland</v>
          </cell>
          <cell r="CD87" t="str">
            <v>Office</v>
          </cell>
          <cell r="CE87">
            <v>0.33</v>
          </cell>
          <cell r="CF87" t="str">
            <v>Denmark</v>
          </cell>
          <cell r="CG87" t="str">
            <v>Retail</v>
          </cell>
          <cell r="CH87">
            <v>29.27</v>
          </cell>
          <cell r="CI87" t="str">
            <v>Denmark</v>
          </cell>
          <cell r="CJ87" t="str">
            <v>Residential</v>
          </cell>
          <cell r="CK87">
            <v>42.07</v>
          </cell>
        </row>
        <row r="88">
          <cell r="A88">
            <v>84</v>
          </cell>
          <cell r="B88" t="str">
            <v>CAPMAN RE II KY</v>
          </cell>
          <cell r="C88" t="str">
            <v>CAPMAN REAL ESTATE LIMITED</v>
          </cell>
          <cell r="D88" t="str">
            <v>Korkeavuorenkatu 32</v>
          </cell>
          <cell r="E88">
            <v>130</v>
          </cell>
          <cell r="F88" t="str">
            <v>Helsinki</v>
          </cell>
          <cell r="G88" t="str">
            <v>Finland</v>
          </cell>
          <cell r="H88" t="str">
            <v>+358 (0) 207 207 500</v>
          </cell>
          <cell r="I88" t="str">
            <v>+358 (0) 207 207 540</v>
          </cell>
          <cell r="J88" t="str">
            <v>http://www.capman.com</v>
          </cell>
          <cell r="K88" t="str">
            <v>Kalle Myllymäki</v>
          </cell>
          <cell r="L88" t="str">
            <v>kalle.myllymaki@capman.com</v>
          </cell>
          <cell r="M88" t="str">
            <v>+358 (0) 50 3566 940</v>
          </cell>
          <cell r="N88" t="str">
            <v>Mika Matikainen</v>
          </cell>
          <cell r="O88" t="str">
            <v>mika.matikainen@capman.com</v>
          </cell>
          <cell r="P88" t="str">
            <v>+358 (0) 207 207 540</v>
          </cell>
          <cell r="Q88" t="str">
            <v>Finland</v>
          </cell>
          <cell r="R88" t="str">
            <v>EUR</v>
          </cell>
          <cell r="S88" t="str">
            <v>Local GAAP</v>
          </cell>
          <cell r="T88" t="str">
            <v>Quarterly</v>
          </cell>
          <cell r="U88" t="str">
            <v>Twice per year</v>
          </cell>
          <cell r="W88" t="str">
            <v>INREV NAV</v>
          </cell>
          <cell r="X88" t="str">
            <v>Ernst &amp; Young</v>
          </cell>
          <cell r="Y88" t="str">
            <v>Limited Partnership</v>
          </cell>
          <cell r="Z88" t="str">
            <v>Yes</v>
          </cell>
          <cell r="AA88" t="str">
            <v>Yes</v>
          </cell>
          <cell r="AB88">
            <v>0</v>
          </cell>
          <cell r="AC88" t="str">
            <v>Non-Listed Fund</v>
          </cell>
          <cell r="AD88" t="str">
            <v>Opportunity</v>
          </cell>
          <cell r="AE88" t="str">
            <v>finite</v>
          </cell>
          <cell r="AF88" t="str">
            <v>Closed end</v>
          </cell>
          <cell r="AG88">
            <v>14</v>
          </cell>
          <cell r="AH88">
            <v>14</v>
          </cell>
          <cell r="AI88" t="str">
            <v>Net</v>
          </cell>
          <cell r="AL88">
            <v>75</v>
          </cell>
          <cell r="AM88" t="str">
            <v>&gt; 60%</v>
          </cell>
          <cell r="AN88" t="str">
            <v>Institutional</v>
          </cell>
          <cell r="AO88" t="str">
            <v>&gt; 2</v>
          </cell>
          <cell r="AP88" t="str">
            <v>≥ 50%</v>
          </cell>
          <cell r="AQ88" t="str">
            <v>Europe</v>
          </cell>
          <cell r="AR88" t="str">
            <v>single country</v>
          </cell>
          <cell r="AT88" t="str">
            <v>Finland</v>
          </cell>
          <cell r="AU88" t="str">
            <v>multi sector</v>
          </cell>
          <cell r="AW88">
            <v>150000000</v>
          </cell>
          <cell r="AX88">
            <v>600000000</v>
          </cell>
          <cell r="AY88">
            <v>2006</v>
          </cell>
          <cell r="AZ88">
            <v>2016</v>
          </cell>
          <cell r="BA88" t="str">
            <v>Yes</v>
          </cell>
          <cell r="BB88" t="str">
            <v>Yes</v>
          </cell>
          <cell r="BC88" t="str">
            <v>1+1+1 years</v>
          </cell>
          <cell r="BH88" t="str">
            <v>2020-12-31</v>
          </cell>
          <cell r="BI88">
            <v>41184923</v>
          </cell>
          <cell r="BJ88">
            <v>41184923</v>
          </cell>
          <cell r="BK88">
            <v>38875237.57</v>
          </cell>
          <cell r="BL88">
            <v>38875237.57</v>
          </cell>
          <cell r="BM88">
            <v>0</v>
          </cell>
          <cell r="BN88" t="str">
            <v>No</v>
          </cell>
          <cell r="BO88" t="str">
            <v>External</v>
          </cell>
          <cell r="BP88">
            <v>15</v>
          </cell>
          <cell r="BQ88">
            <v>3</v>
          </cell>
          <cell r="BR88">
            <v>150000000</v>
          </cell>
          <cell r="BS88">
            <v>150000000</v>
          </cell>
          <cell r="BT88">
            <v>150000000</v>
          </cell>
          <cell r="BU88">
            <v>150000000</v>
          </cell>
          <cell r="BV88" t="str">
            <v>No</v>
          </cell>
          <cell r="BW88" t="str">
            <v>Finland</v>
          </cell>
          <cell r="BX88" t="str">
            <v>Other</v>
          </cell>
          <cell r="BY88">
            <v>4.13</v>
          </cell>
          <cell r="BZ88" t="str">
            <v>Finland</v>
          </cell>
          <cell r="CA88" t="str">
            <v>Retail</v>
          </cell>
          <cell r="CB88">
            <v>82.43</v>
          </cell>
          <cell r="CC88" t="str">
            <v>Finland</v>
          </cell>
          <cell r="CD88" t="str">
            <v>Office</v>
          </cell>
          <cell r="CE88">
            <v>9.35</v>
          </cell>
        </row>
        <row r="89">
          <cell r="A89">
            <v>83</v>
          </cell>
          <cell r="B89" t="str">
            <v>CAPMAN REAL ESTATE I KY</v>
          </cell>
          <cell r="C89" t="str">
            <v>CAPMAN REAL ESTATE LIMITED</v>
          </cell>
          <cell r="D89" t="str">
            <v>Korkeavuorenkatu 32</v>
          </cell>
          <cell r="E89">
            <v>130</v>
          </cell>
          <cell r="F89" t="str">
            <v>Helsinki</v>
          </cell>
          <cell r="G89" t="str">
            <v>Finland</v>
          </cell>
          <cell r="H89" t="str">
            <v>+358 (0) 207 207 500</v>
          </cell>
          <cell r="I89" t="str">
            <v>+358 (0) 207 207 540</v>
          </cell>
          <cell r="J89" t="str">
            <v>http://www.capman.com</v>
          </cell>
          <cell r="K89" t="str">
            <v>Kalle Myllymäki</v>
          </cell>
          <cell r="L89" t="str">
            <v>kalle.myllymaki@capman.com</v>
          </cell>
          <cell r="M89" t="str">
            <v>+358 (0) 50 3566 940</v>
          </cell>
          <cell r="N89" t="str">
            <v>Mika Matikainen</v>
          </cell>
          <cell r="O89" t="str">
            <v>mika.matikainen@capman.com</v>
          </cell>
          <cell r="P89" t="str">
            <v>+358 (0) 207 207 540</v>
          </cell>
          <cell r="Q89" t="str">
            <v>Finland</v>
          </cell>
          <cell r="R89" t="str">
            <v>EUR</v>
          </cell>
          <cell r="S89" t="str">
            <v>Local GAAP</v>
          </cell>
          <cell r="T89" t="str">
            <v>Quarterly</v>
          </cell>
          <cell r="U89" t="str">
            <v>Twice per year</v>
          </cell>
          <cell r="W89" t="str">
            <v>INREV NAV</v>
          </cell>
          <cell r="X89" t="str">
            <v>Ernst &amp; Young</v>
          </cell>
          <cell r="Y89" t="str">
            <v>Limited Partnership</v>
          </cell>
          <cell r="Z89" t="str">
            <v>Yes</v>
          </cell>
          <cell r="AA89" t="str">
            <v>Yes</v>
          </cell>
          <cell r="AB89">
            <v>0</v>
          </cell>
          <cell r="AC89" t="str">
            <v>Non-Listed Fund</v>
          </cell>
          <cell r="AD89" t="str">
            <v>Value-added</v>
          </cell>
          <cell r="AE89" t="str">
            <v>finite</v>
          </cell>
          <cell r="AF89" t="str">
            <v>Closed end</v>
          </cell>
          <cell r="AG89">
            <v>10.5</v>
          </cell>
          <cell r="AH89">
            <v>11</v>
          </cell>
          <cell r="AI89" t="str">
            <v>Net</v>
          </cell>
          <cell r="AL89">
            <v>75</v>
          </cell>
          <cell r="AM89" t="str">
            <v>&gt; 60%</v>
          </cell>
          <cell r="AN89" t="str">
            <v>Institutional</v>
          </cell>
          <cell r="AO89" t="str">
            <v>&gt; 2</v>
          </cell>
          <cell r="AP89" t="str">
            <v>≥ 50%</v>
          </cell>
          <cell r="AQ89" t="str">
            <v>Europe</v>
          </cell>
          <cell r="AR89" t="str">
            <v>single country</v>
          </cell>
          <cell r="AT89" t="str">
            <v>Finland</v>
          </cell>
          <cell r="AU89" t="str">
            <v>multi sector</v>
          </cell>
          <cell r="AW89">
            <v>100000000</v>
          </cell>
          <cell r="AX89">
            <v>500000000</v>
          </cell>
          <cell r="AY89">
            <v>2005</v>
          </cell>
          <cell r="AZ89">
            <v>2015</v>
          </cell>
          <cell r="BA89" t="str">
            <v>Yes</v>
          </cell>
          <cell r="BB89" t="str">
            <v>Yes</v>
          </cell>
          <cell r="BC89" t="str">
            <v>1+1+1 years</v>
          </cell>
          <cell r="BH89" t="str">
            <v>2020-12-31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 t="str">
            <v>No</v>
          </cell>
          <cell r="BO89" t="str">
            <v>External</v>
          </cell>
          <cell r="BP89">
            <v>10</v>
          </cell>
          <cell r="BQ89">
            <v>0</v>
          </cell>
          <cell r="BR89">
            <v>100000000</v>
          </cell>
          <cell r="BS89">
            <v>100000000</v>
          </cell>
          <cell r="BT89">
            <v>100000000</v>
          </cell>
          <cell r="BU89">
            <v>100000000</v>
          </cell>
          <cell r="BV89" t="str">
            <v>No</v>
          </cell>
        </row>
        <row r="90">
          <cell r="A90">
            <v>580</v>
          </cell>
          <cell r="B90" t="str">
            <v>CARBON NEUTRAL REAL ESTATE</v>
          </cell>
          <cell r="C90" t="str">
            <v>THREADNEEDLE ASSET MANAGEMENT LTD</v>
          </cell>
          <cell r="D90" t="str">
            <v>Cannon Place, 78 Cannon Street</v>
          </cell>
          <cell r="E90" t="str">
            <v>EC4N 6AG</v>
          </cell>
          <cell r="F90" t="str">
            <v>London</v>
          </cell>
          <cell r="G90" t="str">
            <v>United Kingdom</v>
          </cell>
          <cell r="H90" t="str">
            <v>+442074645000</v>
          </cell>
          <cell r="I90" t="str">
            <v>+442074645050</v>
          </cell>
          <cell r="J90" t="str">
            <v>http://www.columbiathreadneedle.com</v>
          </cell>
          <cell r="K90" t="str">
            <v>Joseph Vullo</v>
          </cell>
          <cell r="N90" t="str">
            <v>James Allum</v>
          </cell>
          <cell r="O90" t="str">
            <v>James.Allum@threadneedle.com</v>
          </cell>
          <cell r="P90" t="str">
            <v>+442074645782</v>
          </cell>
          <cell r="Q90" t="str">
            <v>Jersey</v>
          </cell>
          <cell r="R90" t="str">
            <v>GBP</v>
          </cell>
          <cell r="S90" t="str">
            <v>Local GAAP</v>
          </cell>
          <cell r="T90" t="str">
            <v>Annually</v>
          </cell>
          <cell r="U90" t="str">
            <v>Monthly</v>
          </cell>
          <cell r="V90" t="str">
            <v>RICS</v>
          </cell>
          <cell r="W90" t="str">
            <v>UK GAAP</v>
          </cell>
          <cell r="X90" t="str">
            <v>Price Waterhouse Coopers</v>
          </cell>
          <cell r="Y90" t="str">
            <v>Unit trust</v>
          </cell>
          <cell r="Z90" t="str">
            <v>No</v>
          </cell>
          <cell r="AA90" t="str">
            <v>Yes</v>
          </cell>
          <cell r="AB90">
            <v>3</v>
          </cell>
          <cell r="AC90" t="str">
            <v>Non-Listed Fund</v>
          </cell>
          <cell r="AD90" t="str">
            <v>Value-added</v>
          </cell>
          <cell r="AE90" t="str">
            <v>infinite</v>
          </cell>
          <cell r="AF90" t="str">
            <v>Open end</v>
          </cell>
          <cell r="AG90">
            <v>15</v>
          </cell>
          <cell r="AH90">
            <v>15</v>
          </cell>
          <cell r="AI90" t="str">
            <v>Net</v>
          </cell>
          <cell r="AJ90" t="str">
            <v>MSCI Index Total Return for the Office Sector</v>
          </cell>
          <cell r="AL90">
            <v>0</v>
          </cell>
          <cell r="AM90" t="str">
            <v>≤ 40%</v>
          </cell>
          <cell r="AN90" t="str">
            <v>Institutional</v>
          </cell>
          <cell r="AO90" t="str">
            <v>&gt; 2</v>
          </cell>
          <cell r="AP90" t="str">
            <v>≥ 50%</v>
          </cell>
          <cell r="AQ90" t="str">
            <v>Europe</v>
          </cell>
          <cell r="AR90" t="str">
            <v>single country</v>
          </cell>
          <cell r="AT90" t="str">
            <v>United Kingdom</v>
          </cell>
          <cell r="AU90" t="str">
            <v>single sector</v>
          </cell>
          <cell r="AV90" t="str">
            <v>Office</v>
          </cell>
          <cell r="AW90">
            <v>300000000</v>
          </cell>
          <cell r="AX90">
            <v>300000000</v>
          </cell>
          <cell r="AY90">
            <v>2010</v>
          </cell>
          <cell r="BA90" t="str">
            <v>Yes</v>
          </cell>
          <cell r="BD90" t="str">
            <v>Yes</v>
          </cell>
          <cell r="BF90" t="str">
            <v>&gt; 15% - ≤ 40%</v>
          </cell>
          <cell r="BG90" t="str">
            <v>&gt; 25%</v>
          </cell>
          <cell r="BH90" t="str">
            <v>2020-12-31</v>
          </cell>
          <cell r="BI90">
            <v>195384100.81</v>
          </cell>
          <cell r="BJ90">
            <v>216006715.82788429</v>
          </cell>
          <cell r="BK90">
            <v>195384100.81</v>
          </cell>
          <cell r="BL90">
            <v>216006715.82788429</v>
          </cell>
          <cell r="BN90" t="str">
            <v>No</v>
          </cell>
          <cell r="BO90" t="str">
            <v>External</v>
          </cell>
          <cell r="BP90">
            <v>8</v>
          </cell>
          <cell r="BQ90">
            <v>6</v>
          </cell>
          <cell r="BS90">
            <v>0</v>
          </cell>
          <cell r="BW90" t="str">
            <v>United Kingdom</v>
          </cell>
          <cell r="BX90" t="str">
            <v>Office</v>
          </cell>
          <cell r="BY90">
            <v>100</v>
          </cell>
        </row>
        <row r="91">
          <cell r="A91">
            <v>85</v>
          </cell>
          <cell r="B91" t="str">
            <v>CARLYLE EUROPE REAL ESTATE PARTNERS</v>
          </cell>
          <cell r="C91" t="str">
            <v>CARLYLE INVESTMENT MANAGEMENT L.L.C</v>
          </cell>
          <cell r="D91" t="str">
            <v>30 Boulevard Royal</v>
          </cell>
          <cell r="E91" t="str">
            <v>L-2449</v>
          </cell>
          <cell r="F91" t="str">
            <v>Luxembourg</v>
          </cell>
          <cell r="G91" t="str">
            <v>Luxembourg</v>
          </cell>
          <cell r="H91" t="str">
            <v>+352 2686 21 99</v>
          </cell>
          <cell r="I91" t="str">
            <v>+352 2886 21 11</v>
          </cell>
          <cell r="J91" t="str">
            <v>http://www.thecarlylegroup.com</v>
          </cell>
          <cell r="K91" t="str">
            <v>Oussama Daher</v>
          </cell>
          <cell r="L91" t="str">
            <v>oussama.daher@carlyle.com</v>
          </cell>
          <cell r="M91" t="str">
            <v>+35226862302</v>
          </cell>
          <cell r="N91" t="str">
            <v>Sara Roure</v>
          </cell>
          <cell r="O91" t="str">
            <v>sara.roure@carlyle.com</v>
          </cell>
          <cell r="P91" t="str">
            <v>+44 (0) 20 7894 3418</v>
          </cell>
          <cell r="Q91" t="str">
            <v>United States of America</v>
          </cell>
          <cell r="R91" t="str">
            <v>EUR</v>
          </cell>
          <cell r="S91" t="str">
            <v>IFRS</v>
          </cell>
          <cell r="T91" t="str">
            <v>Quarterly</v>
          </cell>
          <cell r="U91" t="str">
            <v>Quarterly</v>
          </cell>
          <cell r="X91" t="str">
            <v>PriceWaterhouseCoopers</v>
          </cell>
          <cell r="Y91" t="str">
            <v>Limited Partnership</v>
          </cell>
          <cell r="AB91">
            <v>0</v>
          </cell>
          <cell r="AC91" t="str">
            <v>Non-Listed Fund</v>
          </cell>
          <cell r="AD91" t="str">
            <v>Opportunity</v>
          </cell>
          <cell r="AE91" t="str">
            <v>finite</v>
          </cell>
          <cell r="AF91" t="str">
            <v>Closed end</v>
          </cell>
          <cell r="AG91">
            <v>20</v>
          </cell>
          <cell r="AH91">
            <v>20</v>
          </cell>
          <cell r="AI91" t="str">
            <v>Net</v>
          </cell>
          <cell r="AJ91" t="str">
            <v>None</v>
          </cell>
          <cell r="AM91" t="str">
            <v>&gt; 60%</v>
          </cell>
          <cell r="AN91" t="str">
            <v>Institutional</v>
          </cell>
          <cell r="AQ91" t="str">
            <v>Europe</v>
          </cell>
          <cell r="AR91" t="str">
            <v>multi country</v>
          </cell>
          <cell r="AS91" t="str">
            <v>Europe</v>
          </cell>
          <cell r="AU91" t="str">
            <v>multi sector</v>
          </cell>
          <cell r="AX91">
            <v>2000000000</v>
          </cell>
          <cell r="AY91">
            <v>2002</v>
          </cell>
          <cell r="AZ91">
            <v>2010</v>
          </cell>
          <cell r="BA91" t="str">
            <v>Yes</v>
          </cell>
          <cell r="BB91" t="str">
            <v>Yes</v>
          </cell>
          <cell r="BC91" t="str">
            <v>5 years</v>
          </cell>
          <cell r="BH91" t="str">
            <v>2006-12-31</v>
          </cell>
          <cell r="BI91">
            <v>2000000000</v>
          </cell>
          <cell r="BJ91">
            <v>2000000000</v>
          </cell>
          <cell r="BK91">
            <v>637000000</v>
          </cell>
          <cell r="BL91">
            <v>637000000</v>
          </cell>
          <cell r="BM91">
            <v>74</v>
          </cell>
          <cell r="BP91">
            <v>15</v>
          </cell>
          <cell r="BR91">
            <v>430000000</v>
          </cell>
          <cell r="BS91">
            <v>430000000</v>
          </cell>
          <cell r="BU91">
            <v>0</v>
          </cell>
          <cell r="BV91" t="str">
            <v>No</v>
          </cell>
        </row>
        <row r="92">
          <cell r="A92">
            <v>86</v>
          </cell>
          <cell r="B92" t="str">
            <v>CARLYLE EUROPE REAL ESTATE PARTNERS II</v>
          </cell>
          <cell r="C92" t="str">
            <v>CARLYLE INVESTMENT MANAGEMENT L.L.C</v>
          </cell>
          <cell r="D92" t="str">
            <v>30 Boulevard Royal</v>
          </cell>
          <cell r="E92" t="str">
            <v>L-2449</v>
          </cell>
          <cell r="F92" t="str">
            <v>Luxembourg</v>
          </cell>
          <cell r="G92" t="str">
            <v>Luxembourg</v>
          </cell>
          <cell r="H92" t="str">
            <v>+352 2686 21 99</v>
          </cell>
          <cell r="I92" t="str">
            <v>+352 2886 21 11</v>
          </cell>
          <cell r="J92" t="str">
            <v>http://www.thecarlylegroup.com</v>
          </cell>
          <cell r="K92" t="str">
            <v>Oussama Daher</v>
          </cell>
          <cell r="L92" t="str">
            <v>oussama.daher@carlyle.com</v>
          </cell>
          <cell r="M92" t="str">
            <v>+35326862302</v>
          </cell>
          <cell r="N92" t="str">
            <v>Sara Roure</v>
          </cell>
          <cell r="O92" t="str">
            <v>sara.roure@carlyle.com</v>
          </cell>
          <cell r="P92" t="str">
            <v>+44 (0) 20 7894 3418</v>
          </cell>
          <cell r="Q92" t="str">
            <v>United States of America</v>
          </cell>
          <cell r="R92" t="str">
            <v>EUR</v>
          </cell>
          <cell r="T92" t="str">
            <v>Quarterly</v>
          </cell>
          <cell r="U92" t="str">
            <v>Quarterly</v>
          </cell>
          <cell r="X92" t="str">
            <v>PWC</v>
          </cell>
          <cell r="Y92" t="str">
            <v>Limited Partnership</v>
          </cell>
          <cell r="AB92">
            <v>0</v>
          </cell>
          <cell r="AC92" t="str">
            <v>Non-Listed Fund</v>
          </cell>
          <cell r="AD92" t="str">
            <v>Opportunity</v>
          </cell>
          <cell r="AE92" t="str">
            <v>finite</v>
          </cell>
          <cell r="AF92" t="str">
            <v>Closed end</v>
          </cell>
          <cell r="AG92">
            <v>20</v>
          </cell>
          <cell r="AH92">
            <v>20</v>
          </cell>
          <cell r="AM92" t="str">
            <v>&gt; 60%</v>
          </cell>
          <cell r="AN92" t="str">
            <v>Institutional</v>
          </cell>
          <cell r="AO92" t="str">
            <v>&gt; 2</v>
          </cell>
          <cell r="AP92" t="str">
            <v>≥ 50%</v>
          </cell>
          <cell r="AQ92" t="str">
            <v>Europe</v>
          </cell>
          <cell r="AR92" t="str">
            <v>multi country</v>
          </cell>
          <cell r="AS92" t="str">
            <v>Europe</v>
          </cell>
          <cell r="AU92" t="str">
            <v>multi sector</v>
          </cell>
          <cell r="AX92">
            <v>2000000000</v>
          </cell>
          <cell r="AY92">
            <v>2005</v>
          </cell>
          <cell r="BA92" t="str">
            <v>Yes</v>
          </cell>
          <cell r="BB92" t="str">
            <v>Yes</v>
          </cell>
          <cell r="BH92" t="str">
            <v>2006-12-31</v>
          </cell>
          <cell r="BI92">
            <v>1700000000</v>
          </cell>
          <cell r="BJ92">
            <v>1700000000</v>
          </cell>
          <cell r="BK92">
            <v>422000000</v>
          </cell>
          <cell r="BL92">
            <v>422000000</v>
          </cell>
          <cell r="BS92">
            <v>0</v>
          </cell>
          <cell r="BV92" t="str">
            <v>No</v>
          </cell>
        </row>
        <row r="93">
          <cell r="A93">
            <v>634</v>
          </cell>
          <cell r="B93" t="str">
            <v>CARLYLE EUROPE REAL ESTATE PARTNERS III</v>
          </cell>
          <cell r="C93" t="str">
            <v>CARLYLE INVESTMENT MANAGEMENT L.L.C.</v>
          </cell>
          <cell r="D93" t="str">
            <v>30 Boulevard Royal</v>
          </cell>
          <cell r="E93" t="str">
            <v>L-2449</v>
          </cell>
          <cell r="F93" t="str">
            <v>Luxembourg</v>
          </cell>
          <cell r="G93" t="str">
            <v>Luxembourg</v>
          </cell>
          <cell r="H93" t="str">
            <v>+352 2686 21 99</v>
          </cell>
          <cell r="I93" t="str">
            <v>+352 2686 21 10</v>
          </cell>
          <cell r="J93" t="str">
            <v>http://www.carlyle.com</v>
          </cell>
          <cell r="K93" t="str">
            <v>Sara Roure</v>
          </cell>
          <cell r="L93" t="str">
            <v>sara.roure@carlyle.com</v>
          </cell>
          <cell r="M93" t="str">
            <v>+44 (0) 20 7894 3418</v>
          </cell>
          <cell r="N93" t="str">
            <v>Oussama Daher</v>
          </cell>
          <cell r="O93" t="str">
            <v>oussama.daher@carlyle.com</v>
          </cell>
          <cell r="P93" t="str">
            <v>+352 2 686 2302</v>
          </cell>
          <cell r="Q93" t="str">
            <v>United States of America</v>
          </cell>
          <cell r="R93" t="str">
            <v>EUR</v>
          </cell>
          <cell r="T93" t="str">
            <v>Quarterly</v>
          </cell>
          <cell r="U93" t="str">
            <v>Quarterly</v>
          </cell>
          <cell r="X93" t="str">
            <v>PWC</v>
          </cell>
          <cell r="Y93" t="str">
            <v>Limited Partnership</v>
          </cell>
          <cell r="AB93">
            <v>0</v>
          </cell>
          <cell r="AC93" t="str">
            <v>Non-Listed Fund</v>
          </cell>
          <cell r="AD93" t="str">
            <v>Opportunity</v>
          </cell>
          <cell r="AE93" t="str">
            <v>finite</v>
          </cell>
          <cell r="AF93" t="str">
            <v>Closed end</v>
          </cell>
          <cell r="AG93">
            <v>20</v>
          </cell>
          <cell r="AH93">
            <v>20</v>
          </cell>
          <cell r="AJ93" t="str">
            <v>None</v>
          </cell>
          <cell r="AQ93" t="str">
            <v>Europe</v>
          </cell>
          <cell r="AR93" t="str">
            <v>multi country</v>
          </cell>
          <cell r="AS93" t="str">
            <v>Europe</v>
          </cell>
          <cell r="AU93" t="str">
            <v>multi sector</v>
          </cell>
          <cell r="BH93" t="str">
            <v>2011-12-31</v>
          </cell>
          <cell r="BJ93">
            <v>0</v>
          </cell>
          <cell r="BL93">
            <v>0</v>
          </cell>
          <cell r="BS93">
            <v>0</v>
          </cell>
        </row>
        <row r="94">
          <cell r="A94">
            <v>87</v>
          </cell>
          <cell r="B94" t="str">
            <v>CATALYST EUROPEAN PROPERTY FUND LP</v>
          </cell>
          <cell r="C94" t="str">
            <v>CATALYST CAPITAL LLP</v>
          </cell>
          <cell r="D94" t="str">
            <v>33 Cavendish Square</v>
          </cell>
          <cell r="E94" t="str">
            <v>W1G 0PW</v>
          </cell>
          <cell r="F94" t="str">
            <v>London</v>
          </cell>
          <cell r="G94" t="str">
            <v>United Kingdom</v>
          </cell>
          <cell r="H94" t="str">
            <v>+44 (0) 20 7290 5100</v>
          </cell>
          <cell r="I94" t="str">
            <v>+44 (0) 20 7290 5115</v>
          </cell>
          <cell r="J94" t="str">
            <v>http://www.catalystcapital.com</v>
          </cell>
          <cell r="K94" t="str">
            <v>Peter Kasch</v>
          </cell>
          <cell r="L94" t="str">
            <v>pkasch@catalystcapital.com</v>
          </cell>
          <cell r="M94" t="str">
            <v>+44 (0) 20 7290 5100</v>
          </cell>
          <cell r="N94" t="str">
            <v>Chris Christofi</v>
          </cell>
          <cell r="O94" t="str">
            <v>cchristofi@catalystcapital.com</v>
          </cell>
          <cell r="P94" t="str">
            <v>+44 (0) 20 7290 5100</v>
          </cell>
          <cell r="Q94" t="str">
            <v>United Kingdom</v>
          </cell>
          <cell r="R94" t="str">
            <v>EUR</v>
          </cell>
          <cell r="S94" t="str">
            <v>Local GAAP</v>
          </cell>
          <cell r="T94" t="str">
            <v>Quarterly</v>
          </cell>
          <cell r="U94" t="str">
            <v>Annually</v>
          </cell>
          <cell r="X94" t="str">
            <v>Ernst &amp; Young</v>
          </cell>
          <cell r="Y94" t="str">
            <v>Limited Partnership</v>
          </cell>
          <cell r="Z94" t="str">
            <v>Yes</v>
          </cell>
          <cell r="AA94" t="str">
            <v>No</v>
          </cell>
          <cell r="AB94">
            <v>0</v>
          </cell>
          <cell r="AC94" t="str">
            <v>Non-Listed Fund</v>
          </cell>
          <cell r="AD94" t="str">
            <v>Opportunity</v>
          </cell>
          <cell r="AE94" t="str">
            <v>finite</v>
          </cell>
          <cell r="AF94" t="str">
            <v>Closed end</v>
          </cell>
          <cell r="AG94">
            <v>14</v>
          </cell>
          <cell r="AH94">
            <v>25</v>
          </cell>
          <cell r="AI94" t="str">
            <v>Net</v>
          </cell>
          <cell r="AJ94" t="str">
            <v>None</v>
          </cell>
          <cell r="AK94">
            <v>5</v>
          </cell>
          <cell r="AL94">
            <v>70</v>
          </cell>
          <cell r="AM94" t="str">
            <v>&gt; 60%</v>
          </cell>
          <cell r="AN94" t="str">
            <v>Institutional</v>
          </cell>
          <cell r="AO94" t="str">
            <v>&gt; 2</v>
          </cell>
          <cell r="AP94" t="str">
            <v>≥ 50%</v>
          </cell>
          <cell r="AQ94" t="str">
            <v>Europe</v>
          </cell>
          <cell r="AR94" t="str">
            <v>multi country</v>
          </cell>
          <cell r="AS94" t="str">
            <v>Europe</v>
          </cell>
          <cell r="AU94" t="str">
            <v>multi sector</v>
          </cell>
          <cell r="AW94">
            <v>228000000</v>
          </cell>
          <cell r="AX94">
            <v>700000000</v>
          </cell>
          <cell r="AY94">
            <v>2007</v>
          </cell>
          <cell r="AZ94">
            <v>2015</v>
          </cell>
          <cell r="BA94" t="str">
            <v>Yes</v>
          </cell>
          <cell r="BB94" t="str">
            <v>Yes</v>
          </cell>
          <cell r="BC94" t="str">
            <v>1 year</v>
          </cell>
          <cell r="BD94" t="str">
            <v>No</v>
          </cell>
          <cell r="BE94" t="str">
            <v>&lt; 60%</v>
          </cell>
          <cell r="BF94" t="str">
            <v>≤ 15%</v>
          </cell>
          <cell r="BG94" t="str">
            <v>&gt; 5 - ≤ 25%</v>
          </cell>
          <cell r="BH94" t="str">
            <v>2013-06-30</v>
          </cell>
          <cell r="BI94">
            <v>544600000</v>
          </cell>
          <cell r="BJ94">
            <v>544600000</v>
          </cell>
          <cell r="BK94">
            <v>186459000</v>
          </cell>
          <cell r="BL94">
            <v>186459000</v>
          </cell>
          <cell r="BM94">
            <v>58</v>
          </cell>
          <cell r="BN94" t="str">
            <v>No</v>
          </cell>
          <cell r="BO94" t="str">
            <v>External</v>
          </cell>
          <cell r="BP94">
            <v>7</v>
          </cell>
          <cell r="BQ94">
            <v>37</v>
          </cell>
          <cell r="BR94">
            <v>228000000</v>
          </cell>
          <cell r="BS94">
            <v>228000000</v>
          </cell>
          <cell r="BT94">
            <v>211000000</v>
          </cell>
          <cell r="BU94">
            <v>211000000</v>
          </cell>
          <cell r="BV94" t="str">
            <v>No</v>
          </cell>
        </row>
        <row r="95">
          <cell r="A95">
            <v>18445</v>
          </cell>
          <cell r="B95" t="str">
            <v>CATELLA BAVARIA</v>
          </cell>
          <cell r="C95" t="str">
            <v>CATELLA REAL ESTATE AG</v>
          </cell>
          <cell r="D95" t="str">
            <v>Alter Hof 5</v>
          </cell>
          <cell r="E95">
            <v>80331</v>
          </cell>
          <cell r="F95" t="str">
            <v>Munich</v>
          </cell>
          <cell r="G95" t="str">
            <v>Germany</v>
          </cell>
          <cell r="N95" t="str">
            <v>Tobias Weber</v>
          </cell>
          <cell r="O95" t="str">
            <v>tobias.weber@catella-investment.com</v>
          </cell>
          <cell r="Q95" t="str">
            <v>Germany</v>
          </cell>
          <cell r="R95" t="str">
            <v>EUR</v>
          </cell>
          <cell r="S95" t="str">
            <v>Local GAAP</v>
          </cell>
          <cell r="T95" t="str">
            <v>Monthly</v>
          </cell>
          <cell r="U95" t="str">
            <v>Quarterly</v>
          </cell>
          <cell r="V95" t="str">
            <v>ImmoWertV</v>
          </cell>
          <cell r="W95" t="str">
            <v>BVI</v>
          </cell>
          <cell r="Y95" t="str">
            <v>Publikumsfonds</v>
          </cell>
          <cell r="Z95" t="str">
            <v>No</v>
          </cell>
          <cell r="AC95" t="str">
            <v>Non-Listed Fund</v>
          </cell>
          <cell r="AD95" t="str">
            <v>Core</v>
          </cell>
          <cell r="AE95" t="str">
            <v>infinite</v>
          </cell>
          <cell r="AF95" t="str">
            <v>Open end</v>
          </cell>
          <cell r="AM95" t="str">
            <v>≤ 40%</v>
          </cell>
          <cell r="AN95" t="str">
            <v>Institutional</v>
          </cell>
          <cell r="AO95" t="str">
            <v>&gt; 2</v>
          </cell>
          <cell r="AP95" t="str">
            <v>≥ 50%</v>
          </cell>
          <cell r="AQ95" t="str">
            <v>Europe</v>
          </cell>
          <cell r="AR95" t="str">
            <v>single country</v>
          </cell>
          <cell r="AT95" t="str">
            <v>Germany</v>
          </cell>
          <cell r="AU95" t="str">
            <v>multi sector</v>
          </cell>
          <cell r="AW95">
            <v>250</v>
          </cell>
          <cell r="AX95">
            <v>300</v>
          </cell>
          <cell r="AY95">
            <v>2016</v>
          </cell>
          <cell r="BD95" t="str">
            <v>No</v>
          </cell>
          <cell r="BE95" t="str">
            <v>&lt; 60%</v>
          </cell>
          <cell r="BF95" t="str">
            <v>≤ 15%</v>
          </cell>
          <cell r="BG95" t="str">
            <v>≤ 5%</v>
          </cell>
          <cell r="BH95" t="str">
            <v>2020-12-31</v>
          </cell>
          <cell r="BI95">
            <v>147085569.09999999</v>
          </cell>
          <cell r="BJ95">
            <v>147085569.09999999</v>
          </cell>
          <cell r="BK95">
            <v>112204408.3</v>
          </cell>
          <cell r="BL95">
            <v>112204408.3</v>
          </cell>
          <cell r="BM95">
            <v>28.2</v>
          </cell>
          <cell r="BN95" t="str">
            <v>No</v>
          </cell>
          <cell r="BO95" t="str">
            <v>Internal</v>
          </cell>
          <cell r="BP95">
            <v>20</v>
          </cell>
          <cell r="BQ95">
            <v>4</v>
          </cell>
          <cell r="BR95">
            <v>0</v>
          </cell>
          <cell r="BS95">
            <v>0</v>
          </cell>
          <cell r="BT95">
            <v>0</v>
          </cell>
          <cell r="BV95" t="str">
            <v>Yes</v>
          </cell>
          <cell r="BW95" t="str">
            <v>Germany</v>
          </cell>
          <cell r="BX95" t="str">
            <v>Retail</v>
          </cell>
          <cell r="BY95">
            <v>20</v>
          </cell>
          <cell r="BZ95" t="str">
            <v>Germany</v>
          </cell>
          <cell r="CA95" t="str">
            <v>Health Care</v>
          </cell>
          <cell r="CB95">
            <v>8</v>
          </cell>
          <cell r="CC95" t="str">
            <v>Germany</v>
          </cell>
          <cell r="CD95" t="str">
            <v>Other</v>
          </cell>
          <cell r="CE95">
            <v>4</v>
          </cell>
          <cell r="CF95" t="str">
            <v>Germany</v>
          </cell>
          <cell r="CG95" t="str">
            <v>Residential</v>
          </cell>
          <cell r="CH95">
            <v>1</v>
          </cell>
          <cell r="CI95" t="str">
            <v>Germany</v>
          </cell>
          <cell r="CJ95" t="str">
            <v>Hotel</v>
          </cell>
          <cell r="CK95">
            <v>13</v>
          </cell>
          <cell r="CL95" t="str">
            <v>Germany</v>
          </cell>
          <cell r="CM95" t="str">
            <v>Office</v>
          </cell>
          <cell r="CN95">
            <v>54</v>
          </cell>
        </row>
        <row r="96">
          <cell r="A96">
            <v>19148</v>
          </cell>
          <cell r="B96" t="str">
            <v>CATELLA DUTCH RESIDENTIAL II</v>
          </cell>
          <cell r="C96" t="str">
            <v>CATELLA REAL ESTATE AG</v>
          </cell>
          <cell r="D96" t="str">
            <v>Alter Hof 5</v>
          </cell>
          <cell r="E96">
            <v>80331</v>
          </cell>
          <cell r="F96" t="str">
            <v>Munich</v>
          </cell>
          <cell r="G96" t="str">
            <v>Germany</v>
          </cell>
          <cell r="K96" t="str">
            <v>Axel Bertram</v>
          </cell>
          <cell r="L96" t="str">
            <v>axel.bertram@catella-investment.com</v>
          </cell>
          <cell r="N96" t="str">
            <v>Nadine Kratzer</v>
          </cell>
          <cell r="O96" t="str">
            <v>nadine.kratzer@catella-investment.com</v>
          </cell>
          <cell r="Q96" t="str">
            <v>Germany</v>
          </cell>
          <cell r="R96" t="str">
            <v>EUR</v>
          </cell>
          <cell r="S96" t="str">
            <v>Local GAAP</v>
          </cell>
          <cell r="T96" t="str">
            <v>Monthly</v>
          </cell>
          <cell r="U96" t="str">
            <v>Annually</v>
          </cell>
          <cell r="V96" t="str">
            <v>ImmoWertV</v>
          </cell>
          <cell r="W96" t="str">
            <v>BVI</v>
          </cell>
          <cell r="Y96" t="str">
            <v>Spezialfonds</v>
          </cell>
          <cell r="Z96" t="str">
            <v>No</v>
          </cell>
          <cell r="AC96" t="str">
            <v>Non-Listed Fund</v>
          </cell>
          <cell r="AD96" t="str">
            <v>Core</v>
          </cell>
          <cell r="AE96" t="str">
            <v>finite</v>
          </cell>
          <cell r="AF96" t="str">
            <v>Open end</v>
          </cell>
          <cell r="AG96">
            <v>4.5</v>
          </cell>
          <cell r="AH96">
            <v>5.5</v>
          </cell>
          <cell r="AI96" t="str">
            <v>Net</v>
          </cell>
          <cell r="AK96">
            <v>3.75</v>
          </cell>
          <cell r="AL96">
            <v>45</v>
          </cell>
          <cell r="AM96" t="str">
            <v>&gt; 40% - ≤ 60%</v>
          </cell>
          <cell r="AN96" t="str">
            <v>Institutional</v>
          </cell>
          <cell r="AO96" t="str">
            <v>&gt; 2</v>
          </cell>
          <cell r="AP96" t="str">
            <v>≥ 50%</v>
          </cell>
          <cell r="AQ96" t="str">
            <v>Europe</v>
          </cell>
          <cell r="AR96" t="str">
            <v>single country</v>
          </cell>
          <cell r="AT96" t="str">
            <v>Netherlands</v>
          </cell>
          <cell r="AU96" t="str">
            <v>single sector</v>
          </cell>
          <cell r="AV96" t="str">
            <v>Residential</v>
          </cell>
          <cell r="AW96">
            <v>200000000</v>
          </cell>
          <cell r="AX96">
            <v>375000000</v>
          </cell>
          <cell r="AY96">
            <v>2018</v>
          </cell>
          <cell r="AZ96">
            <v>2028</v>
          </cell>
          <cell r="BB96" t="str">
            <v>No</v>
          </cell>
          <cell r="BD96" t="str">
            <v>No</v>
          </cell>
          <cell r="BE96" t="str">
            <v>≥ 60%</v>
          </cell>
          <cell r="BF96" t="str">
            <v>≤ 15%</v>
          </cell>
          <cell r="BG96" t="str">
            <v>≤ 5%</v>
          </cell>
          <cell r="BH96" t="str">
            <v>2020-12-31</v>
          </cell>
          <cell r="BI96">
            <v>193520334.72999999</v>
          </cell>
          <cell r="BJ96">
            <v>193520334.72999999</v>
          </cell>
          <cell r="BK96">
            <v>157388748.5</v>
          </cell>
          <cell r="BL96">
            <v>157388748.5</v>
          </cell>
          <cell r="BM96">
            <v>20.399999999999999</v>
          </cell>
          <cell r="BN96" t="str">
            <v>No</v>
          </cell>
          <cell r="BO96" t="str">
            <v>Internal</v>
          </cell>
          <cell r="BP96">
            <v>5</v>
          </cell>
          <cell r="BQ96">
            <v>9</v>
          </cell>
          <cell r="BR96">
            <v>0</v>
          </cell>
          <cell r="BS96">
            <v>0</v>
          </cell>
          <cell r="BT96">
            <v>0</v>
          </cell>
          <cell r="BV96" t="str">
            <v>No</v>
          </cell>
          <cell r="BW96" t="str">
            <v>Netherlands</v>
          </cell>
          <cell r="BX96" t="str">
            <v>Other</v>
          </cell>
          <cell r="BY96">
            <v>2</v>
          </cell>
          <cell r="BZ96" t="str">
            <v>Netherlands</v>
          </cell>
          <cell r="CA96" t="str">
            <v>Residential</v>
          </cell>
          <cell r="CB96">
            <v>85</v>
          </cell>
        </row>
        <row r="97">
          <cell r="A97">
            <v>18211</v>
          </cell>
          <cell r="B97" t="str">
            <v>CATELLA EUROPEAN RESIDENTIAL (CER)</v>
          </cell>
          <cell r="C97" t="str">
            <v>CATELLA REAL ESTATE AG</v>
          </cell>
          <cell r="D97" t="str">
            <v>Alter Hof 5</v>
          </cell>
          <cell r="E97">
            <v>80331</v>
          </cell>
          <cell r="F97" t="str">
            <v>München</v>
          </cell>
          <cell r="G97" t="str">
            <v>Germany</v>
          </cell>
          <cell r="N97" t="str">
            <v>Tina Starflinger</v>
          </cell>
          <cell r="O97" t="str">
            <v>tina.starflinger@catella.de</v>
          </cell>
          <cell r="Q97" t="str">
            <v>Germany</v>
          </cell>
          <cell r="R97" t="str">
            <v>EUR</v>
          </cell>
          <cell r="S97" t="str">
            <v>KARBV</v>
          </cell>
          <cell r="T97" t="str">
            <v>Quarterly</v>
          </cell>
          <cell r="U97" t="str">
            <v>Quarterly</v>
          </cell>
          <cell r="V97" t="str">
            <v>ImmoWertV</v>
          </cell>
          <cell r="W97" t="str">
            <v>BVI</v>
          </cell>
          <cell r="Y97" t="str">
            <v>Publikumsfonds</v>
          </cell>
          <cell r="Z97" t="str">
            <v>Yes</v>
          </cell>
          <cell r="AC97" t="str">
            <v>Non-Listed Fund</v>
          </cell>
          <cell r="AD97" t="str">
            <v>Core</v>
          </cell>
          <cell r="AE97" t="str">
            <v>infinite</v>
          </cell>
          <cell r="AF97" t="str">
            <v>Open end</v>
          </cell>
          <cell r="AG97">
            <v>5</v>
          </cell>
          <cell r="AH97">
            <v>6</v>
          </cell>
          <cell r="AK97">
            <v>4</v>
          </cell>
          <cell r="AM97" t="str">
            <v>≤ 40%</v>
          </cell>
          <cell r="AN97" t="str">
            <v>Institutional</v>
          </cell>
          <cell r="AO97" t="str">
            <v>&gt; 2</v>
          </cell>
          <cell r="AP97" t="str">
            <v>≥ 50%</v>
          </cell>
          <cell r="AQ97" t="str">
            <v>Europe</v>
          </cell>
          <cell r="AR97" t="str">
            <v>multi country</v>
          </cell>
          <cell r="AS97" t="str">
            <v>Europe</v>
          </cell>
          <cell r="AU97" t="str">
            <v>single sector</v>
          </cell>
          <cell r="AV97" t="str">
            <v>Residential</v>
          </cell>
          <cell r="AW97">
            <v>700000000</v>
          </cell>
          <cell r="AX97">
            <v>1000000000</v>
          </cell>
          <cell r="AY97">
            <v>2008</v>
          </cell>
          <cell r="BD97" t="str">
            <v>No</v>
          </cell>
          <cell r="BE97" t="str">
            <v>≥ 60%</v>
          </cell>
          <cell r="BF97" t="str">
            <v>≤ 15%</v>
          </cell>
          <cell r="BG97" t="str">
            <v>≤ 5%</v>
          </cell>
          <cell r="BH97" t="str">
            <v>2020-12-31</v>
          </cell>
          <cell r="BI97">
            <v>1558243416</v>
          </cell>
          <cell r="BJ97">
            <v>1558243416</v>
          </cell>
          <cell r="BK97">
            <v>1348574224</v>
          </cell>
          <cell r="BL97">
            <v>1348574224</v>
          </cell>
          <cell r="BM97">
            <v>25.5</v>
          </cell>
          <cell r="BN97" t="str">
            <v>Yes</v>
          </cell>
          <cell r="BO97" t="str">
            <v>Internal</v>
          </cell>
          <cell r="BP97">
            <v>85</v>
          </cell>
          <cell r="BQ97">
            <v>70</v>
          </cell>
          <cell r="BR97">
            <v>1004336954</v>
          </cell>
          <cell r="BS97">
            <v>1004336954</v>
          </cell>
          <cell r="BT97">
            <v>1004336954</v>
          </cell>
          <cell r="BU97">
            <v>1004336954</v>
          </cell>
          <cell r="BV97" t="str">
            <v>No</v>
          </cell>
          <cell r="BW97" t="str">
            <v>Germany</v>
          </cell>
          <cell r="BX97" t="str">
            <v>Residential</v>
          </cell>
          <cell r="BY97">
            <v>38.700000000000003</v>
          </cell>
          <cell r="BZ97" t="str">
            <v>Netherlands</v>
          </cell>
          <cell r="CA97" t="str">
            <v>Residential</v>
          </cell>
          <cell r="CB97">
            <v>24</v>
          </cell>
          <cell r="CC97" t="str">
            <v>Denmark</v>
          </cell>
          <cell r="CD97" t="str">
            <v>Residential</v>
          </cell>
          <cell r="CE97">
            <v>12.8</v>
          </cell>
          <cell r="CF97" t="str">
            <v>France</v>
          </cell>
          <cell r="CG97" t="str">
            <v>Residential</v>
          </cell>
          <cell r="CH97">
            <v>13.4</v>
          </cell>
          <cell r="CI97" t="str">
            <v>Poland</v>
          </cell>
          <cell r="CJ97" t="str">
            <v>Residential</v>
          </cell>
          <cell r="CK97">
            <v>2.9</v>
          </cell>
          <cell r="CL97" t="str">
            <v>Spain</v>
          </cell>
          <cell r="CM97" t="str">
            <v>Residential</v>
          </cell>
          <cell r="CN97">
            <v>7.1</v>
          </cell>
          <cell r="CO97" t="str">
            <v>Austria</v>
          </cell>
          <cell r="CP97" t="str">
            <v>Residential</v>
          </cell>
          <cell r="CQ97">
            <v>1.1000000000000001</v>
          </cell>
        </row>
        <row r="98">
          <cell r="A98">
            <v>18345</v>
          </cell>
          <cell r="B98" t="str">
            <v>CATELLA EUROPEAN STUDENT HOUSING FUND</v>
          </cell>
          <cell r="C98" t="str">
            <v>CATELLA REAL ESTATE AG</v>
          </cell>
          <cell r="D98" t="str">
            <v>Alter Hof 5 / 4. OG</v>
          </cell>
          <cell r="E98" t="str">
            <v xml:space="preserve">80331 </v>
          </cell>
          <cell r="F98" t="str">
            <v>München</v>
          </cell>
          <cell r="G98" t="str">
            <v>Germany</v>
          </cell>
          <cell r="I98" t="str">
            <v xml:space="preserve">+49 89 189 16 65 66 </v>
          </cell>
          <cell r="J98" t="str">
            <v>http://www.catella.com/Immobilienfonds</v>
          </cell>
          <cell r="K98" t="str">
            <v>Solvejg Rosenbaum</v>
          </cell>
          <cell r="L98" t="str">
            <v>solvejg.rosenbaum@catella-investment.com</v>
          </cell>
          <cell r="M98" t="str">
            <v>+49 (0)152 566 45 878</v>
          </cell>
          <cell r="Q98" t="str">
            <v>Germany</v>
          </cell>
          <cell r="R98" t="str">
            <v>EUR</v>
          </cell>
          <cell r="S98" t="str">
            <v>Local GAAP</v>
          </cell>
          <cell r="T98" t="str">
            <v>Monthly</v>
          </cell>
          <cell r="U98" t="str">
            <v>Annually</v>
          </cell>
          <cell r="V98" t="str">
            <v>ImmoWertV</v>
          </cell>
          <cell r="W98" t="str">
            <v>BVI</v>
          </cell>
          <cell r="X98" t="str">
            <v>PWC</v>
          </cell>
          <cell r="Y98" t="str">
            <v>Spezialfonds</v>
          </cell>
          <cell r="Z98" t="str">
            <v>No</v>
          </cell>
          <cell r="AA98" t="str">
            <v>Yes</v>
          </cell>
          <cell r="AC98" t="str">
            <v>Non-Listed Fund</v>
          </cell>
          <cell r="AD98" t="str">
            <v>Core</v>
          </cell>
          <cell r="AE98" t="str">
            <v>finite</v>
          </cell>
          <cell r="AF98" t="str">
            <v>Open end</v>
          </cell>
          <cell r="AM98" t="str">
            <v>≤ 40%</v>
          </cell>
          <cell r="AN98" t="str">
            <v>Institutional</v>
          </cell>
          <cell r="AO98" t="str">
            <v>&gt; 2</v>
          </cell>
          <cell r="AP98" t="str">
            <v>≥ 50%</v>
          </cell>
          <cell r="AQ98" t="str">
            <v>Europe</v>
          </cell>
          <cell r="AR98" t="str">
            <v>multi country</v>
          </cell>
          <cell r="AS98" t="str">
            <v>Western Europe</v>
          </cell>
          <cell r="AU98" t="str">
            <v>single sector</v>
          </cell>
          <cell r="AV98" t="str">
            <v>Student Housing</v>
          </cell>
          <cell r="AW98">
            <v>240000000</v>
          </cell>
          <cell r="AX98">
            <v>400000000</v>
          </cell>
          <cell r="AY98">
            <v>2013</v>
          </cell>
          <cell r="BB98" t="str">
            <v>No</v>
          </cell>
          <cell r="BE98" t="str">
            <v>≥ 60%</v>
          </cell>
          <cell r="BH98" t="str">
            <v>2020-12-31</v>
          </cell>
          <cell r="BI98">
            <v>433912418</v>
          </cell>
          <cell r="BJ98">
            <v>433912418</v>
          </cell>
          <cell r="BK98">
            <v>279677266</v>
          </cell>
          <cell r="BL98">
            <v>279677266</v>
          </cell>
          <cell r="BM98">
            <v>35.92</v>
          </cell>
          <cell r="BN98" t="str">
            <v>Yes</v>
          </cell>
          <cell r="BO98" t="str">
            <v>Internal</v>
          </cell>
          <cell r="BP98">
            <v>17</v>
          </cell>
          <cell r="BQ98">
            <v>17</v>
          </cell>
          <cell r="BR98">
            <v>239902970</v>
          </cell>
          <cell r="BS98">
            <v>239902970</v>
          </cell>
          <cell r="BT98">
            <v>239902970</v>
          </cell>
          <cell r="BU98">
            <v>239902970</v>
          </cell>
          <cell r="BV98" t="str">
            <v>No</v>
          </cell>
          <cell r="BW98" t="str">
            <v>Netherlands</v>
          </cell>
          <cell r="BX98" t="str">
            <v>Residential</v>
          </cell>
          <cell r="BY98">
            <v>35.1</v>
          </cell>
          <cell r="BZ98" t="str">
            <v>Spain</v>
          </cell>
          <cell r="CA98" t="str">
            <v>Residential</v>
          </cell>
          <cell r="CB98">
            <v>4</v>
          </cell>
          <cell r="CC98" t="str">
            <v>United Kingdom</v>
          </cell>
          <cell r="CD98" t="str">
            <v>Residential</v>
          </cell>
          <cell r="CE98">
            <v>16.2</v>
          </cell>
          <cell r="CF98" t="str">
            <v>France</v>
          </cell>
          <cell r="CG98" t="str">
            <v>Residential</v>
          </cell>
          <cell r="CH98">
            <v>7.4</v>
          </cell>
          <cell r="CI98" t="str">
            <v>Germany</v>
          </cell>
          <cell r="CJ98" t="str">
            <v>Residential</v>
          </cell>
          <cell r="CK98">
            <v>37.299999999999997</v>
          </cell>
        </row>
        <row r="99">
          <cell r="A99">
            <v>16076</v>
          </cell>
          <cell r="B99" t="str">
            <v>CATELLA MAX</v>
          </cell>
          <cell r="C99" t="str">
            <v>CATELLA REAL ESTATE AG</v>
          </cell>
          <cell r="D99" t="str">
            <v>Alter Hof 5</v>
          </cell>
          <cell r="E99">
            <v>80331</v>
          </cell>
          <cell r="F99" t="str">
            <v>Munich</v>
          </cell>
          <cell r="G99" t="str">
            <v>Germany</v>
          </cell>
          <cell r="H99" t="str">
            <v>+4989166511</v>
          </cell>
          <cell r="I99" t="str">
            <v>+4989166566</v>
          </cell>
          <cell r="J99" t="str">
            <v>https://catella-realestate.de</v>
          </cell>
          <cell r="K99" t="str">
            <v>Thomas Küebler</v>
          </cell>
          <cell r="L99" t="str">
            <v>thomas.kuebler@catella-investment.com</v>
          </cell>
          <cell r="M99" t="str">
            <v>+49 189 16 65 285</v>
          </cell>
          <cell r="N99" t="str">
            <v>Carolin von Miller</v>
          </cell>
          <cell r="O99" t="str">
            <v>carolin.miller@catella.de</v>
          </cell>
          <cell r="P99" t="str">
            <v>+49 89 189 16 65 37</v>
          </cell>
          <cell r="Q99" t="str">
            <v>Germany</v>
          </cell>
          <cell r="R99" t="str">
            <v>EUR</v>
          </cell>
          <cell r="T99" t="str">
            <v>Monthly</v>
          </cell>
          <cell r="U99" t="str">
            <v>Quarterly</v>
          </cell>
          <cell r="V99" t="str">
            <v>Other - mark to market</v>
          </cell>
          <cell r="W99" t="str">
            <v>BVI</v>
          </cell>
          <cell r="X99" t="str">
            <v>PWC</v>
          </cell>
          <cell r="Y99" t="str">
            <v>Spezialfonds</v>
          </cell>
          <cell r="Z99" t="str">
            <v>No</v>
          </cell>
          <cell r="AA99" t="str">
            <v>Yes</v>
          </cell>
          <cell r="AB99">
            <v>8</v>
          </cell>
          <cell r="AC99" t="str">
            <v>Non-Listed Fund</v>
          </cell>
          <cell r="AD99" t="str">
            <v>Core</v>
          </cell>
          <cell r="AE99" t="str">
            <v>infinite</v>
          </cell>
          <cell r="AF99" t="str">
            <v>Open end</v>
          </cell>
          <cell r="AK99">
            <v>4</v>
          </cell>
          <cell r="AL99">
            <v>30</v>
          </cell>
          <cell r="AN99" t="str">
            <v>Institutional and Retail</v>
          </cell>
          <cell r="AO99" t="str">
            <v>&gt; 2</v>
          </cell>
          <cell r="AP99" t="str">
            <v>≥ 50%</v>
          </cell>
          <cell r="AQ99" t="str">
            <v>Europe</v>
          </cell>
          <cell r="AR99" t="str">
            <v>single country</v>
          </cell>
          <cell r="AT99" t="str">
            <v>Germany</v>
          </cell>
          <cell r="AU99" t="str">
            <v>multi sector</v>
          </cell>
          <cell r="AW99">
            <v>180000000</v>
          </cell>
          <cell r="AX99">
            <v>250000000</v>
          </cell>
          <cell r="AY99">
            <v>2010</v>
          </cell>
          <cell r="BH99" t="str">
            <v>2020-12-31</v>
          </cell>
          <cell r="BI99">
            <v>477237863.38999999</v>
          </cell>
          <cell r="BJ99">
            <v>477237863.38999999</v>
          </cell>
          <cell r="BK99">
            <v>345323724.01999998</v>
          </cell>
          <cell r="BL99">
            <v>345323724.01999998</v>
          </cell>
          <cell r="BM99">
            <v>25.5</v>
          </cell>
          <cell r="BN99" t="str">
            <v>No</v>
          </cell>
          <cell r="BO99" t="str">
            <v>Internal</v>
          </cell>
          <cell r="BP99">
            <v>86</v>
          </cell>
          <cell r="BQ99">
            <v>14</v>
          </cell>
          <cell r="BR99">
            <v>0</v>
          </cell>
          <cell r="BS99">
            <v>0</v>
          </cell>
          <cell r="BT99">
            <v>0</v>
          </cell>
          <cell r="BV99" t="str">
            <v>No</v>
          </cell>
          <cell r="BW99" t="str">
            <v>Germany</v>
          </cell>
          <cell r="BX99" t="str">
            <v>Residential</v>
          </cell>
          <cell r="BY99">
            <v>40</v>
          </cell>
          <cell r="BZ99" t="str">
            <v>Germany</v>
          </cell>
          <cell r="CA99" t="str">
            <v>Student Housing</v>
          </cell>
          <cell r="CB99">
            <v>8</v>
          </cell>
          <cell r="CC99" t="str">
            <v>Germany</v>
          </cell>
          <cell r="CD99" t="str">
            <v>Retail</v>
          </cell>
          <cell r="CE99">
            <v>10</v>
          </cell>
          <cell r="CF99" t="str">
            <v>Germany</v>
          </cell>
          <cell r="CG99" t="str">
            <v>Office</v>
          </cell>
          <cell r="CH99">
            <v>35</v>
          </cell>
        </row>
        <row r="100">
          <cell r="A100">
            <v>18443</v>
          </cell>
          <cell r="B100" t="str">
            <v>CATELLA MODERNES WOHNEN</v>
          </cell>
          <cell r="C100" t="str">
            <v>CATELLA RESIDENTIAL INVESTMENT MANAGEMENT GMBH</v>
          </cell>
          <cell r="G100" t="str">
            <v>Germany</v>
          </cell>
          <cell r="N100" t="str">
            <v>Tobias Weber</v>
          </cell>
          <cell r="O100" t="str">
            <v>tobias.weber@catella-investment.com</v>
          </cell>
          <cell r="Q100" t="str">
            <v>Germany</v>
          </cell>
          <cell r="R100" t="str">
            <v>EUR</v>
          </cell>
          <cell r="S100" t="str">
            <v>Local GAAP</v>
          </cell>
          <cell r="T100" t="str">
            <v>Monthly</v>
          </cell>
          <cell r="U100" t="str">
            <v>Quarterly</v>
          </cell>
          <cell r="V100" t="str">
            <v>ImmoWertV</v>
          </cell>
          <cell r="W100" t="str">
            <v>BVI</v>
          </cell>
          <cell r="Y100" t="str">
            <v>Publikumsfonds</v>
          </cell>
          <cell r="Z100" t="str">
            <v>No</v>
          </cell>
          <cell r="AC100" t="str">
            <v>Non-Listed Fund</v>
          </cell>
          <cell r="AD100" t="str">
            <v>Core</v>
          </cell>
          <cell r="AE100" t="str">
            <v>infinite</v>
          </cell>
          <cell r="AF100" t="str">
            <v>Open end</v>
          </cell>
          <cell r="AG100">
            <v>3.5</v>
          </cell>
          <cell r="AH100">
            <v>4.5</v>
          </cell>
          <cell r="AI100" t="str">
            <v>Net</v>
          </cell>
          <cell r="AL100">
            <v>30</v>
          </cell>
          <cell r="AM100" t="str">
            <v>≤ 40%</v>
          </cell>
          <cell r="AN100" t="str">
            <v>Institutional</v>
          </cell>
          <cell r="AO100" t="str">
            <v>&gt; 2</v>
          </cell>
          <cell r="AP100" t="str">
            <v>≥ 50%</v>
          </cell>
          <cell r="AQ100" t="str">
            <v>Europe</v>
          </cell>
          <cell r="AR100" t="str">
            <v>multi country</v>
          </cell>
          <cell r="AS100" t="str">
            <v>Europe</v>
          </cell>
          <cell r="AU100" t="str">
            <v>single sector</v>
          </cell>
          <cell r="AV100" t="str">
            <v>Residential</v>
          </cell>
          <cell r="AW100">
            <v>300</v>
          </cell>
          <cell r="AX100">
            <v>400</v>
          </cell>
          <cell r="AY100">
            <v>2017</v>
          </cell>
          <cell r="BD100" t="str">
            <v>No</v>
          </cell>
          <cell r="BE100" t="str">
            <v>≥ 60%</v>
          </cell>
          <cell r="BF100" t="str">
            <v>≤ 15%</v>
          </cell>
          <cell r="BG100" t="str">
            <v>≤ 5%</v>
          </cell>
          <cell r="BH100" t="str">
            <v>2020-12-31</v>
          </cell>
          <cell r="BI100">
            <v>403986758.82999998</v>
          </cell>
          <cell r="BJ100">
            <v>403986758.82999998</v>
          </cell>
          <cell r="BK100">
            <v>350901911.70999998</v>
          </cell>
          <cell r="BL100">
            <v>350901911.70999998</v>
          </cell>
          <cell r="BM100">
            <v>17.399999999999999</v>
          </cell>
          <cell r="BN100" t="str">
            <v>No</v>
          </cell>
          <cell r="BO100" t="str">
            <v>Internal</v>
          </cell>
          <cell r="BP100">
            <v>29</v>
          </cell>
          <cell r="BQ100">
            <v>11</v>
          </cell>
          <cell r="BR100">
            <v>350154936</v>
          </cell>
          <cell r="BS100">
            <v>350154936</v>
          </cell>
          <cell r="BT100">
            <v>350154936</v>
          </cell>
          <cell r="BU100">
            <v>350154936</v>
          </cell>
          <cell r="BV100" t="str">
            <v>No</v>
          </cell>
          <cell r="BW100" t="str">
            <v>France</v>
          </cell>
          <cell r="BX100" t="str">
            <v>Residential</v>
          </cell>
          <cell r="BY100">
            <v>4.8</v>
          </cell>
          <cell r="BZ100" t="str">
            <v>Netherlands</v>
          </cell>
          <cell r="CA100" t="str">
            <v>Residential</v>
          </cell>
          <cell r="CB100">
            <v>23.9</v>
          </cell>
          <cell r="CC100" t="str">
            <v>Germany</v>
          </cell>
          <cell r="CD100" t="str">
            <v>Residential</v>
          </cell>
          <cell r="CE100">
            <v>71.3</v>
          </cell>
        </row>
        <row r="101">
          <cell r="A101">
            <v>18212</v>
          </cell>
          <cell r="B101" t="str">
            <v>CATELLA MULTITENANT STIFTUNGSFONDS (CMS)</v>
          </cell>
          <cell r="C101" t="str">
            <v>CATELLA REAL ESTATE AG</v>
          </cell>
          <cell r="D101" t="str">
            <v>Alter Hof 5</v>
          </cell>
          <cell r="E101">
            <v>80331</v>
          </cell>
          <cell r="F101" t="str">
            <v>München</v>
          </cell>
          <cell r="G101" t="str">
            <v>Germany</v>
          </cell>
          <cell r="K101" t="str">
            <v>Markus Mayer</v>
          </cell>
          <cell r="L101" t="str">
            <v>markus.mayer@catella.de</v>
          </cell>
          <cell r="N101" t="str">
            <v>Heiko Böhnke</v>
          </cell>
          <cell r="O101" t="str">
            <v>heiko.boehnke@catella.de</v>
          </cell>
          <cell r="Q101" t="str">
            <v>Germany</v>
          </cell>
          <cell r="R101" t="str">
            <v>EUR</v>
          </cell>
          <cell r="S101" t="str">
            <v>KARBV</v>
          </cell>
          <cell r="T101" t="str">
            <v>Monthly</v>
          </cell>
          <cell r="U101" t="str">
            <v>Annually</v>
          </cell>
          <cell r="V101" t="str">
            <v>ImmoWertV</v>
          </cell>
          <cell r="W101" t="str">
            <v>BVI</v>
          </cell>
          <cell r="Y101" t="str">
            <v>Spezialfonds</v>
          </cell>
          <cell r="Z101" t="str">
            <v>Yes</v>
          </cell>
          <cell r="AC101" t="str">
            <v>Non-Listed Fund</v>
          </cell>
          <cell r="AD101" t="str">
            <v>Core</v>
          </cell>
          <cell r="AE101" t="str">
            <v>infinite</v>
          </cell>
          <cell r="AF101" t="str">
            <v>Open end</v>
          </cell>
          <cell r="AG101">
            <v>5</v>
          </cell>
          <cell r="AH101">
            <v>6</v>
          </cell>
          <cell r="AK101">
            <v>4</v>
          </cell>
          <cell r="AL101">
            <v>50</v>
          </cell>
          <cell r="AN101" t="str">
            <v>Institutional</v>
          </cell>
          <cell r="AO101" t="str">
            <v>&gt; 2</v>
          </cell>
          <cell r="AP101" t="str">
            <v>≥ 50%</v>
          </cell>
          <cell r="AQ101" t="str">
            <v>Europe</v>
          </cell>
          <cell r="AR101" t="str">
            <v>single country</v>
          </cell>
          <cell r="AT101" t="str">
            <v>Germany</v>
          </cell>
          <cell r="AU101" t="str">
            <v>multi sector</v>
          </cell>
          <cell r="AY101">
            <v>2013</v>
          </cell>
          <cell r="BH101" t="str">
            <v>2020-12-31</v>
          </cell>
          <cell r="BI101">
            <v>107998761.22</v>
          </cell>
          <cell r="BJ101">
            <v>107998761.22</v>
          </cell>
          <cell r="BK101">
            <v>76363522.799999997</v>
          </cell>
          <cell r="BL101">
            <v>76363522.799999997</v>
          </cell>
          <cell r="BM101">
            <v>29.2</v>
          </cell>
          <cell r="BN101" t="str">
            <v>No</v>
          </cell>
          <cell r="BO101" t="str">
            <v>Internal</v>
          </cell>
          <cell r="BP101">
            <v>38</v>
          </cell>
          <cell r="BQ101">
            <v>6</v>
          </cell>
          <cell r="BR101">
            <v>0</v>
          </cell>
          <cell r="BS101">
            <v>0</v>
          </cell>
          <cell r="BT101">
            <v>0</v>
          </cell>
          <cell r="BV101" t="str">
            <v>No</v>
          </cell>
          <cell r="BW101" t="str">
            <v>Germany</v>
          </cell>
          <cell r="BX101" t="str">
            <v>Other</v>
          </cell>
          <cell r="BY101">
            <v>12</v>
          </cell>
          <cell r="BZ101" t="str">
            <v>Germany</v>
          </cell>
          <cell r="CA101" t="str">
            <v>Industrial / Logistics</v>
          </cell>
          <cell r="CB101">
            <v>9</v>
          </cell>
          <cell r="CC101" t="str">
            <v>Germany</v>
          </cell>
          <cell r="CD101" t="str">
            <v>Retail</v>
          </cell>
          <cell r="CE101">
            <v>21</v>
          </cell>
          <cell r="CF101" t="str">
            <v>Germany</v>
          </cell>
          <cell r="CG101" t="str">
            <v>Residential</v>
          </cell>
          <cell r="CH101">
            <v>11</v>
          </cell>
          <cell r="CI101" t="str">
            <v>Germany</v>
          </cell>
          <cell r="CJ101" t="str">
            <v>Office</v>
          </cell>
          <cell r="CK101">
            <v>40</v>
          </cell>
        </row>
        <row r="102">
          <cell r="A102">
            <v>18279</v>
          </cell>
          <cell r="B102" t="str">
            <v>CATELLA PARKEN EUROPA (CPE)</v>
          </cell>
          <cell r="C102" t="str">
            <v>CATELLA REAL ESTATE AG</v>
          </cell>
          <cell r="D102" t="str">
            <v>Alter Hof 5</v>
          </cell>
          <cell r="E102">
            <v>80331</v>
          </cell>
          <cell r="F102" t="str">
            <v>München</v>
          </cell>
          <cell r="G102" t="str">
            <v>Germany</v>
          </cell>
          <cell r="J102" t="str">
            <v>http://www.catella.com/de/Deutschland/Immobilienfonds/</v>
          </cell>
          <cell r="K102" t="str">
            <v>Axel Bertram</v>
          </cell>
          <cell r="L102" t="str">
            <v>axel.bertram@catella.de</v>
          </cell>
          <cell r="N102" t="str">
            <v>Heiko Böhnke</v>
          </cell>
          <cell r="O102" t="str">
            <v>heiko.boehnke@catella.de</v>
          </cell>
          <cell r="Q102" t="str">
            <v>Germany</v>
          </cell>
          <cell r="R102" t="str">
            <v>EUR</v>
          </cell>
          <cell r="S102" t="str">
            <v>KARBV</v>
          </cell>
          <cell r="T102" t="str">
            <v>Monthly</v>
          </cell>
          <cell r="U102" t="str">
            <v>Annually</v>
          </cell>
          <cell r="V102" t="str">
            <v>ImmoWertV</v>
          </cell>
          <cell r="W102" t="str">
            <v>BVI</v>
          </cell>
          <cell r="Y102" t="str">
            <v>Spezialfonds</v>
          </cell>
          <cell r="Z102" t="str">
            <v>No</v>
          </cell>
          <cell r="AC102" t="str">
            <v>Non-Listed Fund</v>
          </cell>
          <cell r="AD102" t="str">
            <v>Core</v>
          </cell>
          <cell r="AE102" t="str">
            <v>finite</v>
          </cell>
          <cell r="AF102" t="str">
            <v>Open end</v>
          </cell>
          <cell r="AG102">
            <v>5</v>
          </cell>
          <cell r="AH102">
            <v>6</v>
          </cell>
          <cell r="AI102" t="str">
            <v>Net</v>
          </cell>
          <cell r="AK102">
            <v>4</v>
          </cell>
          <cell r="AL102">
            <v>5</v>
          </cell>
          <cell r="AM102" t="str">
            <v>&gt; 40%</v>
          </cell>
          <cell r="AN102" t="str">
            <v>Institutional</v>
          </cell>
          <cell r="AO102" t="str">
            <v>&gt; 2</v>
          </cell>
          <cell r="AP102" t="str">
            <v>≥ 50%</v>
          </cell>
          <cell r="AQ102" t="str">
            <v>Europe</v>
          </cell>
          <cell r="AR102" t="str">
            <v>multi country</v>
          </cell>
          <cell r="AS102" t="str">
            <v>Europe</v>
          </cell>
          <cell r="AU102" t="str">
            <v>single sector</v>
          </cell>
          <cell r="AV102" t="str">
            <v>Parking</v>
          </cell>
          <cell r="AW102">
            <v>150</v>
          </cell>
          <cell r="AX102">
            <v>300</v>
          </cell>
          <cell r="AY102">
            <v>2016</v>
          </cell>
          <cell r="AZ102">
            <v>2027</v>
          </cell>
          <cell r="BE102" t="str">
            <v>≥ 60%</v>
          </cell>
          <cell r="BF102" t="str">
            <v>≤ 15%</v>
          </cell>
          <cell r="BG102" t="str">
            <v>≤ 5%</v>
          </cell>
          <cell r="BH102" t="str">
            <v>2020-12-31</v>
          </cell>
          <cell r="BI102">
            <v>133720122.23</v>
          </cell>
          <cell r="BJ102">
            <v>133720122.23</v>
          </cell>
          <cell r="BK102">
            <v>131749966.55</v>
          </cell>
          <cell r="BL102">
            <v>131749966.55</v>
          </cell>
          <cell r="BM102">
            <v>40.6</v>
          </cell>
          <cell r="BN102" t="str">
            <v>No</v>
          </cell>
          <cell r="BO102" t="str">
            <v>Internal</v>
          </cell>
          <cell r="BP102">
            <v>15</v>
          </cell>
          <cell r="BQ102">
            <v>9</v>
          </cell>
          <cell r="BR102">
            <v>0</v>
          </cell>
          <cell r="BS102">
            <v>0</v>
          </cell>
          <cell r="BT102">
            <v>0</v>
          </cell>
          <cell r="BV102" t="str">
            <v>No</v>
          </cell>
          <cell r="BW102" t="str">
            <v>Netherlands</v>
          </cell>
          <cell r="BX102" t="str">
            <v>Parking</v>
          </cell>
          <cell r="BY102">
            <v>30</v>
          </cell>
          <cell r="BZ102" t="str">
            <v>Germany</v>
          </cell>
          <cell r="CA102" t="str">
            <v>Parking</v>
          </cell>
          <cell r="CB102">
            <v>3</v>
          </cell>
          <cell r="CC102" t="str">
            <v>Ireland</v>
          </cell>
          <cell r="CD102" t="str">
            <v>Parking</v>
          </cell>
          <cell r="CE102">
            <v>30</v>
          </cell>
          <cell r="CF102" t="str">
            <v>Denmark</v>
          </cell>
          <cell r="CG102" t="str">
            <v>Parking</v>
          </cell>
          <cell r="CH102">
            <v>10</v>
          </cell>
          <cell r="CI102" t="str">
            <v>Italy</v>
          </cell>
          <cell r="CJ102" t="str">
            <v>Parking</v>
          </cell>
          <cell r="CK102">
            <v>12</v>
          </cell>
          <cell r="CL102" t="str">
            <v>United Kingdom</v>
          </cell>
          <cell r="CM102" t="str">
            <v>Parking</v>
          </cell>
          <cell r="CN102">
            <v>13</v>
          </cell>
        </row>
        <row r="103">
          <cell r="A103">
            <v>16075</v>
          </cell>
          <cell r="B103" t="str">
            <v>CATELLA SCANDIA CHANCES</v>
          </cell>
          <cell r="C103" t="str">
            <v>CATELLA REAL ESTATE AG</v>
          </cell>
          <cell r="D103" t="str">
            <v>Alter Hof 5</v>
          </cell>
          <cell r="E103">
            <v>80331</v>
          </cell>
          <cell r="F103" t="str">
            <v>Munich</v>
          </cell>
          <cell r="G103" t="str">
            <v>Germany</v>
          </cell>
          <cell r="H103" t="str">
            <v>+4989166511</v>
          </cell>
          <cell r="I103" t="str">
            <v>+4989166566</v>
          </cell>
          <cell r="J103" t="str">
            <v>http://catella-realestate.de</v>
          </cell>
          <cell r="K103" t="str">
            <v>Axel Bertram</v>
          </cell>
          <cell r="L103" t="str">
            <v>axel.bertram@catella.de</v>
          </cell>
          <cell r="M103" t="str">
            <v>+49 89 189 16 65 32</v>
          </cell>
          <cell r="N103" t="str">
            <v>Alexandra Boos</v>
          </cell>
          <cell r="O103" t="str">
            <v>alexandra.boos@catella.de</v>
          </cell>
          <cell r="P103" t="str">
            <v>+49 89 189 16 65 35</v>
          </cell>
          <cell r="Q103" t="str">
            <v>Germany</v>
          </cell>
          <cell r="R103" t="str">
            <v>EUR</v>
          </cell>
          <cell r="T103" t="str">
            <v>Monthly</v>
          </cell>
          <cell r="U103" t="str">
            <v>Annually</v>
          </cell>
          <cell r="V103" t="str">
            <v>Other - mark to market</v>
          </cell>
          <cell r="X103" t="str">
            <v>PWC</v>
          </cell>
          <cell r="Y103" t="str">
            <v>Spezialfonds</v>
          </cell>
          <cell r="Z103" t="str">
            <v>No</v>
          </cell>
          <cell r="AA103" t="str">
            <v>Yes</v>
          </cell>
          <cell r="AB103">
            <v>8</v>
          </cell>
          <cell r="AC103" t="str">
            <v>Non-Listed Fund</v>
          </cell>
          <cell r="AD103" t="str">
            <v>Core</v>
          </cell>
          <cell r="AE103" t="str">
            <v>finite</v>
          </cell>
          <cell r="AF103" t="str">
            <v>Open end</v>
          </cell>
          <cell r="AK103">
            <v>4</v>
          </cell>
          <cell r="AL103">
            <v>40</v>
          </cell>
          <cell r="AN103" t="str">
            <v>Institutional and Retail</v>
          </cell>
          <cell r="AO103" t="str">
            <v>&gt; 2</v>
          </cell>
          <cell r="AP103" t="str">
            <v>≥ 50%</v>
          </cell>
          <cell r="AQ103" t="str">
            <v>Europe</v>
          </cell>
          <cell r="AR103" t="str">
            <v>multi country</v>
          </cell>
          <cell r="AS103" t="str">
            <v>Nordic</v>
          </cell>
          <cell r="AU103" t="str">
            <v>multi sector</v>
          </cell>
          <cell r="AW103">
            <v>200000000</v>
          </cell>
          <cell r="AX103">
            <v>350000000</v>
          </cell>
          <cell r="AY103">
            <v>2011</v>
          </cell>
          <cell r="AZ103">
            <v>2021</v>
          </cell>
          <cell r="BA103" t="str">
            <v>Yes</v>
          </cell>
          <cell r="BB103" t="str">
            <v>Yes</v>
          </cell>
          <cell r="BC103">
            <v>9</v>
          </cell>
          <cell r="BH103" t="str">
            <v>2020-12-31</v>
          </cell>
          <cell r="BI103">
            <v>133537538</v>
          </cell>
          <cell r="BJ103">
            <v>133537538</v>
          </cell>
          <cell r="BK103">
            <v>130103028.3</v>
          </cell>
          <cell r="BL103">
            <v>130103028.3</v>
          </cell>
          <cell r="BM103">
            <v>36.1</v>
          </cell>
          <cell r="BN103" t="str">
            <v>No</v>
          </cell>
          <cell r="BO103" t="str">
            <v>Internal</v>
          </cell>
          <cell r="BP103">
            <v>8</v>
          </cell>
          <cell r="BQ103">
            <v>6</v>
          </cell>
          <cell r="BR103">
            <v>0</v>
          </cell>
          <cell r="BS103">
            <v>0</v>
          </cell>
          <cell r="BT103">
            <v>0</v>
          </cell>
          <cell r="BV103" t="str">
            <v>No</v>
          </cell>
          <cell r="BW103" t="str">
            <v>Finland</v>
          </cell>
          <cell r="BX103" t="str">
            <v>Industrial / Logistics</v>
          </cell>
          <cell r="BY103">
            <v>2</v>
          </cell>
          <cell r="BZ103" t="str">
            <v>Finland</v>
          </cell>
          <cell r="CA103" t="str">
            <v>Retail</v>
          </cell>
          <cell r="CB103">
            <v>2</v>
          </cell>
          <cell r="CC103" t="str">
            <v>Finland</v>
          </cell>
          <cell r="CD103" t="str">
            <v>Office</v>
          </cell>
          <cell r="CE103">
            <v>3</v>
          </cell>
          <cell r="CF103" t="str">
            <v>Finland</v>
          </cell>
          <cell r="CG103" t="str">
            <v>Other</v>
          </cell>
          <cell r="CH103">
            <v>1</v>
          </cell>
          <cell r="CI103" t="str">
            <v>Norway</v>
          </cell>
          <cell r="CJ103" t="str">
            <v>Industrial / Logistics</v>
          </cell>
          <cell r="CK103">
            <v>3</v>
          </cell>
          <cell r="CL103" t="str">
            <v>Norway</v>
          </cell>
          <cell r="CM103" t="str">
            <v>Retail</v>
          </cell>
          <cell r="CN103">
            <v>5</v>
          </cell>
          <cell r="CO103" t="str">
            <v>Norway</v>
          </cell>
          <cell r="CP103" t="str">
            <v>Office</v>
          </cell>
          <cell r="CQ103">
            <v>6</v>
          </cell>
          <cell r="CR103" t="str">
            <v>Norway</v>
          </cell>
          <cell r="CS103" t="str">
            <v>Other</v>
          </cell>
          <cell r="CT103">
            <v>2</v>
          </cell>
          <cell r="CU103" t="str">
            <v>Denmark</v>
          </cell>
          <cell r="CV103" t="str">
            <v>Industrial / Logistics</v>
          </cell>
          <cell r="CW103">
            <v>6</v>
          </cell>
          <cell r="CX103" t="str">
            <v>Denmark</v>
          </cell>
          <cell r="CY103" t="str">
            <v>Retail</v>
          </cell>
          <cell r="CZ103">
            <v>10</v>
          </cell>
          <cell r="DA103" t="str">
            <v>Denmark</v>
          </cell>
          <cell r="DB103" t="str">
            <v>Office</v>
          </cell>
          <cell r="DC103">
            <v>11</v>
          </cell>
          <cell r="DD103" t="str">
            <v>Denmark</v>
          </cell>
          <cell r="DE103" t="str">
            <v>Other</v>
          </cell>
          <cell r="DF103">
            <v>4</v>
          </cell>
          <cell r="DG103" t="str">
            <v>Sweden</v>
          </cell>
          <cell r="DH103" t="str">
            <v>Industrial / Logistics</v>
          </cell>
          <cell r="DI103">
            <v>8</v>
          </cell>
          <cell r="DJ103" t="str">
            <v>Sweden</v>
          </cell>
          <cell r="DK103" t="str">
            <v>Retail</v>
          </cell>
          <cell r="DL103">
            <v>13</v>
          </cell>
          <cell r="DM103" t="str">
            <v>Sweden</v>
          </cell>
          <cell r="DN103" t="str">
            <v>Office</v>
          </cell>
          <cell r="DO103">
            <v>16</v>
          </cell>
          <cell r="DP103" t="str">
            <v>Sweden</v>
          </cell>
          <cell r="DQ103" t="str">
            <v>Other</v>
          </cell>
          <cell r="DR103">
            <v>4</v>
          </cell>
        </row>
        <row r="104">
          <cell r="A104">
            <v>18194</v>
          </cell>
          <cell r="B104" t="str">
            <v>CATELLA WOHNEN EUROPA (CWE)</v>
          </cell>
          <cell r="C104" t="str">
            <v>CATELLA REAL ESTATE AG</v>
          </cell>
          <cell r="D104" t="str">
            <v>Alter Hof 5</v>
          </cell>
          <cell r="E104">
            <v>80331</v>
          </cell>
          <cell r="F104" t="str">
            <v xml:space="preserve">München </v>
          </cell>
          <cell r="G104" t="str">
            <v>Germany</v>
          </cell>
          <cell r="K104" t="str">
            <v>Viktoria Hoffmann</v>
          </cell>
          <cell r="L104" t="str">
            <v>viktoria.hoffmann@catella.de</v>
          </cell>
          <cell r="Q104" t="str">
            <v>Germany</v>
          </cell>
          <cell r="R104" t="str">
            <v>EUR</v>
          </cell>
          <cell r="S104" t="str">
            <v>Local GAAP</v>
          </cell>
          <cell r="T104" t="str">
            <v>Twice per year</v>
          </cell>
          <cell r="U104" t="str">
            <v>Quarterly</v>
          </cell>
          <cell r="V104" t="str">
            <v>ImmoWertV</v>
          </cell>
          <cell r="W104" t="str">
            <v>BVI</v>
          </cell>
          <cell r="Y104" t="str">
            <v>Publikumsfonds</v>
          </cell>
          <cell r="Z104" t="str">
            <v>Yes</v>
          </cell>
          <cell r="AC104" t="str">
            <v>Non-Listed Fund</v>
          </cell>
          <cell r="AD104" t="str">
            <v>Core</v>
          </cell>
          <cell r="AE104" t="str">
            <v>infinite</v>
          </cell>
          <cell r="AF104" t="str">
            <v>Open end</v>
          </cell>
          <cell r="AG104">
            <v>3</v>
          </cell>
          <cell r="AH104">
            <v>4</v>
          </cell>
          <cell r="AL104">
            <v>25</v>
          </cell>
          <cell r="AM104" t="str">
            <v>≤ 40%</v>
          </cell>
          <cell r="AN104" t="str">
            <v>Institutional and Retail</v>
          </cell>
          <cell r="AO104" t="str">
            <v>&gt; 2</v>
          </cell>
          <cell r="AP104" t="str">
            <v>&lt; 50%</v>
          </cell>
          <cell r="AQ104" t="str">
            <v>Europe</v>
          </cell>
          <cell r="AR104" t="str">
            <v>multi country</v>
          </cell>
          <cell r="AS104" t="str">
            <v>Europe</v>
          </cell>
          <cell r="AU104" t="str">
            <v>multi sector</v>
          </cell>
          <cell r="AX104">
            <v>1000</v>
          </cell>
          <cell r="AY104">
            <v>2016</v>
          </cell>
          <cell r="BD104" t="str">
            <v>No</v>
          </cell>
          <cell r="BE104" t="str">
            <v>≥ 60%</v>
          </cell>
          <cell r="BF104" t="str">
            <v>≤ 15%</v>
          </cell>
          <cell r="BG104" t="str">
            <v>≤ 5%</v>
          </cell>
          <cell r="BH104" t="str">
            <v>2020-12-31</v>
          </cell>
          <cell r="BI104">
            <v>1177419958</v>
          </cell>
          <cell r="BJ104">
            <v>1177419958</v>
          </cell>
          <cell r="BK104">
            <v>1039498413</v>
          </cell>
          <cell r="BL104">
            <v>1039498413</v>
          </cell>
          <cell r="BM104">
            <v>27.3</v>
          </cell>
          <cell r="BN104" t="str">
            <v>Yes</v>
          </cell>
          <cell r="BO104" t="str">
            <v>Internal</v>
          </cell>
          <cell r="BP104">
            <v>47</v>
          </cell>
          <cell r="BQ104">
            <v>50</v>
          </cell>
          <cell r="BR104">
            <v>1008015178</v>
          </cell>
          <cell r="BS104">
            <v>1008015178</v>
          </cell>
          <cell r="BT104">
            <v>1008015178</v>
          </cell>
          <cell r="BU104">
            <v>1008015178</v>
          </cell>
          <cell r="BV104" t="str">
            <v>Yes</v>
          </cell>
          <cell r="BW104" t="str">
            <v>Poland</v>
          </cell>
          <cell r="BX104" t="str">
            <v>Residential</v>
          </cell>
          <cell r="BY104">
            <v>3.2</v>
          </cell>
          <cell r="BZ104" t="str">
            <v>France</v>
          </cell>
          <cell r="CA104" t="str">
            <v>Residential</v>
          </cell>
          <cell r="CB104">
            <v>9.1999999999999993</v>
          </cell>
          <cell r="CC104" t="str">
            <v>Netherlands</v>
          </cell>
          <cell r="CD104" t="str">
            <v>Residential</v>
          </cell>
          <cell r="CE104">
            <v>9.4</v>
          </cell>
          <cell r="CF104" t="str">
            <v>Finland</v>
          </cell>
          <cell r="CG104" t="str">
            <v>Residential</v>
          </cell>
          <cell r="CH104">
            <v>10.3</v>
          </cell>
          <cell r="CI104" t="str">
            <v>Spain</v>
          </cell>
          <cell r="CJ104" t="str">
            <v>Residential</v>
          </cell>
          <cell r="CK104">
            <v>15.8</v>
          </cell>
          <cell r="CL104" t="str">
            <v>Denmark</v>
          </cell>
          <cell r="CM104" t="str">
            <v>Residential</v>
          </cell>
          <cell r="CN104">
            <v>19.899999999999999</v>
          </cell>
          <cell r="CO104" t="str">
            <v>Germany</v>
          </cell>
          <cell r="CP104" t="str">
            <v>Residential</v>
          </cell>
          <cell r="CQ104">
            <v>32.200000000000003</v>
          </cell>
        </row>
        <row r="105">
          <cell r="A105">
            <v>17511</v>
          </cell>
          <cell r="B105" t="str">
            <v>CBRE DUTCH OFFICE FUND FGR</v>
          </cell>
          <cell r="C105" t="str">
            <v>CBRE GLOBAL INVESTORS</v>
          </cell>
          <cell r="D105" t="str">
            <v>PO Box 75620</v>
          </cell>
          <cell r="E105" t="str">
            <v>1118 ZR</v>
          </cell>
          <cell r="F105" t="str">
            <v>Schiphol</v>
          </cell>
          <cell r="G105" t="str">
            <v>Netherlands</v>
          </cell>
          <cell r="H105" t="str">
            <v>+31202022271</v>
          </cell>
          <cell r="I105" t="str">
            <v>+31202022301</v>
          </cell>
          <cell r="J105" t="str">
            <v>http://www.cbreglobalinvestors.com</v>
          </cell>
          <cell r="K105" t="str">
            <v>Ronald van der Waals</v>
          </cell>
          <cell r="L105" t="str">
            <v>Investor.Services.EMEA@cbreglobalinvestors.com</v>
          </cell>
          <cell r="M105" t="str">
            <v>+31202022200</v>
          </cell>
          <cell r="N105" t="str">
            <v>Yme Bouma</v>
          </cell>
          <cell r="O105" t="str">
            <v>Investor.Services.EMEA@cbreglobalinvestors.com</v>
          </cell>
          <cell r="P105" t="str">
            <v>+31202022301</v>
          </cell>
          <cell r="Q105" t="str">
            <v>Netherlands</v>
          </cell>
          <cell r="R105" t="str">
            <v>EUR</v>
          </cell>
          <cell r="S105" t="str">
            <v>IFRS</v>
          </cell>
          <cell r="T105" t="str">
            <v>Quarterly</v>
          </cell>
          <cell r="U105" t="str">
            <v>Quarterly</v>
          </cell>
          <cell r="V105" t="str">
            <v>RICS</v>
          </cell>
          <cell r="W105" t="str">
            <v>INREV NAV</v>
          </cell>
          <cell r="X105" t="str">
            <v>Deloitte</v>
          </cell>
          <cell r="Y105" t="str">
            <v>FGR (Fund for joint account)</v>
          </cell>
          <cell r="Z105" t="str">
            <v>Yes</v>
          </cell>
          <cell r="AA105" t="str">
            <v>Yes</v>
          </cell>
          <cell r="AB105">
            <v>1</v>
          </cell>
          <cell r="AC105" t="str">
            <v>Non-Listed Fund</v>
          </cell>
          <cell r="AD105" t="str">
            <v>Core</v>
          </cell>
          <cell r="AE105" t="str">
            <v>infinite</v>
          </cell>
          <cell r="AF105" t="str">
            <v>Open end</v>
          </cell>
          <cell r="AG105">
            <v>6</v>
          </cell>
          <cell r="AH105">
            <v>8</v>
          </cell>
          <cell r="AI105" t="str">
            <v>Net</v>
          </cell>
          <cell r="AJ105" t="str">
            <v>ROZ/IPD Dutch Office Property Index (standing investments)</v>
          </cell>
          <cell r="AL105">
            <v>20</v>
          </cell>
          <cell r="AM105" t="str">
            <v>≤ 40%</v>
          </cell>
          <cell r="AN105" t="str">
            <v>Institutional</v>
          </cell>
          <cell r="AO105" t="str">
            <v>&gt; 2</v>
          </cell>
          <cell r="AP105" t="str">
            <v>≥ 50%</v>
          </cell>
          <cell r="AQ105" t="str">
            <v>Europe</v>
          </cell>
          <cell r="AR105" t="str">
            <v>single country</v>
          </cell>
          <cell r="AT105" t="str">
            <v>Netherlands</v>
          </cell>
          <cell r="AU105" t="str">
            <v>single sector</v>
          </cell>
          <cell r="AV105" t="str">
            <v>Office</v>
          </cell>
          <cell r="AY105">
            <v>2014</v>
          </cell>
          <cell r="BD105" t="str">
            <v>Yes</v>
          </cell>
          <cell r="BF105" t="str">
            <v>≤ 15%</v>
          </cell>
          <cell r="BH105" t="str">
            <v>2020-12-31</v>
          </cell>
          <cell r="BI105">
            <v>2697918323</v>
          </cell>
          <cell r="BJ105">
            <v>2697918323</v>
          </cell>
          <cell r="BK105">
            <v>1981629644</v>
          </cell>
          <cell r="BL105">
            <v>1981629644</v>
          </cell>
          <cell r="BM105">
            <v>14.7</v>
          </cell>
          <cell r="BN105" t="str">
            <v>No</v>
          </cell>
          <cell r="BO105" t="str">
            <v>External</v>
          </cell>
          <cell r="BP105">
            <v>21</v>
          </cell>
          <cell r="BQ105">
            <v>11</v>
          </cell>
          <cell r="BR105">
            <v>975048000</v>
          </cell>
          <cell r="BS105">
            <v>975048000</v>
          </cell>
          <cell r="BT105">
            <v>975048000</v>
          </cell>
          <cell r="BU105">
            <v>975048000</v>
          </cell>
          <cell r="BV105" t="str">
            <v>No</v>
          </cell>
          <cell r="BW105" t="str">
            <v>Netherlands</v>
          </cell>
          <cell r="BX105" t="str">
            <v>Office</v>
          </cell>
          <cell r="BY105">
            <v>100</v>
          </cell>
        </row>
        <row r="106">
          <cell r="A106">
            <v>18277</v>
          </cell>
          <cell r="B106" t="str">
            <v>CBRE DUTCH RESIDENTIAL FUND FGR</v>
          </cell>
          <cell r="C106" t="str">
            <v>CBRE GLOBAL INVESTORS</v>
          </cell>
          <cell r="D106" t="str">
            <v>PO Box 75620</v>
          </cell>
          <cell r="E106" t="str">
            <v>1118 ZR</v>
          </cell>
          <cell r="F106" t="str">
            <v>Schiphol</v>
          </cell>
          <cell r="G106" t="str">
            <v>Netherlands</v>
          </cell>
          <cell r="H106" t="str">
            <v>+31202022200</v>
          </cell>
          <cell r="I106" t="str">
            <v>+31202022301</v>
          </cell>
          <cell r="J106" t="str">
            <v>http://www.cbreglobalinvestors.com</v>
          </cell>
          <cell r="K106" t="str">
            <v>Paul Oremus</v>
          </cell>
          <cell r="L106" t="str">
            <v>Investor.Services.EMEA@cbreglobalinvestors.com</v>
          </cell>
          <cell r="M106" t="str">
            <v>+31202022200</v>
          </cell>
          <cell r="N106" t="str">
            <v>Yme Bouma</v>
          </cell>
          <cell r="O106" t="str">
            <v>Investor.Services.EMEA@cbre.com</v>
          </cell>
          <cell r="P106" t="str">
            <v>+31202022200</v>
          </cell>
          <cell r="Q106" t="str">
            <v>Netherlands</v>
          </cell>
          <cell r="R106" t="str">
            <v>EUR</v>
          </cell>
          <cell r="S106" t="str">
            <v>IFRS</v>
          </cell>
          <cell r="T106" t="str">
            <v>Quarterly</v>
          </cell>
          <cell r="U106" t="str">
            <v>Quarterly</v>
          </cell>
          <cell r="V106" t="str">
            <v>RICS</v>
          </cell>
          <cell r="W106" t="str">
            <v>Fund Valution Principles</v>
          </cell>
          <cell r="X106" t="str">
            <v>Deloitte</v>
          </cell>
          <cell r="Y106" t="str">
            <v>FGR</v>
          </cell>
          <cell r="Z106" t="str">
            <v>Yes</v>
          </cell>
          <cell r="AA106" t="str">
            <v>Yes</v>
          </cell>
          <cell r="AB106">
            <v>3</v>
          </cell>
          <cell r="AC106" t="str">
            <v>Non-Listed Fund</v>
          </cell>
          <cell r="AD106" t="str">
            <v>Core</v>
          </cell>
          <cell r="AE106" t="str">
            <v>infinite</v>
          </cell>
          <cell r="AF106" t="str">
            <v>Open end</v>
          </cell>
          <cell r="AG106">
            <v>6</v>
          </cell>
          <cell r="AH106">
            <v>8</v>
          </cell>
          <cell r="AI106" t="str">
            <v>Net</v>
          </cell>
          <cell r="AM106" t="str">
            <v>≤ 40%</v>
          </cell>
          <cell r="AN106" t="str">
            <v>Institutional</v>
          </cell>
          <cell r="AO106" t="str">
            <v>&gt; 2</v>
          </cell>
          <cell r="AP106" t="str">
            <v>≥ 50%</v>
          </cell>
          <cell r="AQ106" t="str">
            <v>Europe</v>
          </cell>
          <cell r="AR106" t="str">
            <v>single country</v>
          </cell>
          <cell r="AT106" t="str">
            <v>Netherlands</v>
          </cell>
          <cell r="AU106" t="str">
            <v>single sector</v>
          </cell>
          <cell r="AV106" t="str">
            <v>Residential</v>
          </cell>
          <cell r="AY106">
            <v>2017</v>
          </cell>
          <cell r="BD106" t="str">
            <v>Yes</v>
          </cell>
          <cell r="BH106" t="str">
            <v>2020-12-31</v>
          </cell>
          <cell r="BI106">
            <v>2588214000</v>
          </cell>
          <cell r="BJ106">
            <v>2588214000</v>
          </cell>
          <cell r="BK106">
            <v>2465784000</v>
          </cell>
          <cell r="BL106">
            <v>2465784000</v>
          </cell>
          <cell r="BM106">
            <v>0</v>
          </cell>
          <cell r="BN106" t="str">
            <v>No</v>
          </cell>
          <cell r="BO106" t="str">
            <v>External</v>
          </cell>
          <cell r="BP106">
            <v>46</v>
          </cell>
          <cell r="BQ106">
            <v>134</v>
          </cell>
          <cell r="BR106">
            <v>1965371000</v>
          </cell>
          <cell r="BS106">
            <v>1965371000</v>
          </cell>
          <cell r="BT106">
            <v>1813370761</v>
          </cell>
          <cell r="BU106">
            <v>1813370761</v>
          </cell>
          <cell r="BV106" t="str">
            <v>Yes</v>
          </cell>
          <cell r="BW106" t="str">
            <v>Netherlands</v>
          </cell>
          <cell r="BX106" t="str">
            <v>Residential</v>
          </cell>
          <cell r="BY106">
            <v>100</v>
          </cell>
        </row>
        <row r="107">
          <cell r="A107">
            <v>17956</v>
          </cell>
          <cell r="B107" t="str">
            <v>CBRE DUTCH RETAIL FUND FGR</v>
          </cell>
          <cell r="C107" t="str">
            <v>CBRE GLOBAL INVESTORS</v>
          </cell>
          <cell r="D107" t="str">
            <v>PO Box 75620</v>
          </cell>
          <cell r="E107" t="str">
            <v>1118 ZR</v>
          </cell>
          <cell r="F107" t="str">
            <v>Schiphol</v>
          </cell>
          <cell r="G107" t="str">
            <v>Netherlands</v>
          </cell>
          <cell r="H107" t="str">
            <v>+31202022271</v>
          </cell>
          <cell r="I107" t="str">
            <v>+31202022301</v>
          </cell>
          <cell r="J107" t="str">
            <v>http://www.cbreglobalinvestors.com</v>
          </cell>
          <cell r="K107" t="str">
            <v>Rik Eertink</v>
          </cell>
          <cell r="L107" t="str">
            <v>Investor.Services.EMEA@cbreglobalinvestors.com</v>
          </cell>
          <cell r="M107" t="str">
            <v>+31202022200</v>
          </cell>
          <cell r="N107" t="str">
            <v>Yme Bouma</v>
          </cell>
          <cell r="O107" t="str">
            <v>Investor.Services.EMEA@cbreglobalinvestors.com</v>
          </cell>
          <cell r="P107" t="str">
            <v>+31202022301</v>
          </cell>
          <cell r="Q107" t="str">
            <v>Netherlands</v>
          </cell>
          <cell r="R107" t="str">
            <v>EUR</v>
          </cell>
          <cell r="S107" t="str">
            <v>IFRS</v>
          </cell>
          <cell r="T107" t="str">
            <v>Quarterly</v>
          </cell>
          <cell r="U107" t="str">
            <v>Quarterly</v>
          </cell>
          <cell r="V107" t="str">
            <v>RICS</v>
          </cell>
          <cell r="W107" t="str">
            <v>INREV NAV</v>
          </cell>
          <cell r="X107" t="str">
            <v>Deloitte</v>
          </cell>
          <cell r="Y107" t="str">
            <v>FGR (Fund for joint account)</v>
          </cell>
          <cell r="Z107" t="str">
            <v>Yes</v>
          </cell>
          <cell r="AA107" t="str">
            <v>Yes</v>
          </cell>
          <cell r="AB107">
            <v>3</v>
          </cell>
          <cell r="AC107" t="str">
            <v>Non-Listed Fund</v>
          </cell>
          <cell r="AD107" t="str">
            <v>Core</v>
          </cell>
          <cell r="AE107" t="str">
            <v>infinite</v>
          </cell>
          <cell r="AF107" t="str">
            <v>Open end</v>
          </cell>
          <cell r="AG107">
            <v>6</v>
          </cell>
          <cell r="AH107">
            <v>8</v>
          </cell>
          <cell r="AI107" t="str">
            <v>Net</v>
          </cell>
          <cell r="AJ107" t="str">
            <v>ROZ/IPD Dutch Retail Property Index (standing investments)</v>
          </cell>
          <cell r="AL107">
            <v>20</v>
          </cell>
          <cell r="AM107" t="str">
            <v>≤ 40%</v>
          </cell>
          <cell r="AN107" t="str">
            <v>Institutional</v>
          </cell>
          <cell r="AO107" t="str">
            <v>&gt; 2</v>
          </cell>
          <cell r="AP107" t="str">
            <v>≥ 50%</v>
          </cell>
          <cell r="AQ107" t="str">
            <v>Europe</v>
          </cell>
          <cell r="AR107" t="str">
            <v>single country</v>
          </cell>
          <cell r="AT107" t="str">
            <v>Netherlands</v>
          </cell>
          <cell r="AU107" t="str">
            <v>single sector</v>
          </cell>
          <cell r="AV107" t="str">
            <v>Retail</v>
          </cell>
          <cell r="AY107">
            <v>2016</v>
          </cell>
          <cell r="BD107" t="str">
            <v>Yes</v>
          </cell>
          <cell r="BH107" t="str">
            <v>2020-12-31</v>
          </cell>
          <cell r="BI107">
            <v>1452679000</v>
          </cell>
          <cell r="BJ107">
            <v>1452679000</v>
          </cell>
          <cell r="BK107">
            <v>985088000</v>
          </cell>
          <cell r="BL107">
            <v>985088000</v>
          </cell>
          <cell r="BM107">
            <v>20.7</v>
          </cell>
          <cell r="BN107" t="str">
            <v>No</v>
          </cell>
          <cell r="BO107" t="str">
            <v>External</v>
          </cell>
          <cell r="BP107">
            <v>38</v>
          </cell>
          <cell r="BQ107">
            <v>54</v>
          </cell>
          <cell r="BR107">
            <v>1342437000</v>
          </cell>
          <cell r="BS107">
            <v>1342437000</v>
          </cell>
          <cell r="BT107">
            <v>1342437000</v>
          </cell>
          <cell r="BU107">
            <v>1342437000</v>
          </cell>
          <cell r="BV107" t="str">
            <v>No</v>
          </cell>
          <cell r="BW107" t="str">
            <v>Netherlands</v>
          </cell>
          <cell r="BX107" t="str">
            <v>Retail</v>
          </cell>
          <cell r="BY107">
            <v>84.6</v>
          </cell>
          <cell r="BZ107" t="str">
            <v>Netherlands</v>
          </cell>
          <cell r="CA107" t="str">
            <v>Office</v>
          </cell>
          <cell r="CB107">
            <v>0.4</v>
          </cell>
          <cell r="CC107" t="str">
            <v>Netherlands</v>
          </cell>
          <cell r="CD107" t="str">
            <v>Residential</v>
          </cell>
          <cell r="CE107">
            <v>1</v>
          </cell>
          <cell r="CF107" t="str">
            <v>Netherlands</v>
          </cell>
          <cell r="CG107" t="str">
            <v>Parking</v>
          </cell>
          <cell r="CH107">
            <v>9.5</v>
          </cell>
        </row>
        <row r="108">
          <cell r="A108">
            <v>18564</v>
          </cell>
          <cell r="B108" t="str">
            <v>CBRE EUROPE VALUE PARTNERS 2 SCSP SICAV-RAIF</v>
          </cell>
          <cell r="C108" t="str">
            <v>CBRE GLOBAL INVESTORS</v>
          </cell>
          <cell r="D108" t="str">
            <v>26-28 Rue Edward Steichen</v>
          </cell>
          <cell r="E108" t="str">
            <v>L-2540</v>
          </cell>
          <cell r="F108" t="str">
            <v>Luxembourg</v>
          </cell>
          <cell r="G108" t="str">
            <v>Luxembourg</v>
          </cell>
          <cell r="H108" t="str">
            <v>+35226386928</v>
          </cell>
          <cell r="I108" t="str">
            <v>+35226386944</v>
          </cell>
          <cell r="J108" t="str">
            <v>http://www.cbreglobalinvestors.com</v>
          </cell>
          <cell r="K108" t="str">
            <v>CBRE Global Investors Luxembourg AIFM S.á r.l</v>
          </cell>
          <cell r="L108" t="str">
            <v>EVP2luxembourg@cbreglobalinvestors.com</v>
          </cell>
          <cell r="M108" t="str">
            <v>+35226386928</v>
          </cell>
          <cell r="N108" t="str">
            <v>Yme Bouma</v>
          </cell>
          <cell r="O108" t="str">
            <v>Investor.Services.EMEA@cbre.com</v>
          </cell>
          <cell r="P108" t="str">
            <v>+31202022320</v>
          </cell>
          <cell r="Q108" t="str">
            <v>Luxembourg</v>
          </cell>
          <cell r="R108" t="str">
            <v>EUR</v>
          </cell>
          <cell r="S108" t="str">
            <v>INREV NAV Guidelines</v>
          </cell>
          <cell r="T108" t="str">
            <v>Quarterly</v>
          </cell>
          <cell r="U108" t="str">
            <v>Quarterly</v>
          </cell>
          <cell r="V108" t="str">
            <v>by revenues and DCF analysis</v>
          </cell>
          <cell r="W108" t="str">
            <v>INREV NAV</v>
          </cell>
          <cell r="X108" t="str">
            <v>Ernst &amp; Young</v>
          </cell>
          <cell r="Y108" t="str">
            <v>SICAV</v>
          </cell>
          <cell r="Z108" t="str">
            <v>Yes</v>
          </cell>
          <cell r="AA108" t="str">
            <v>No</v>
          </cell>
          <cell r="AC108" t="str">
            <v>Non-Listed Fund</v>
          </cell>
          <cell r="AD108" t="str">
            <v>Value-added</v>
          </cell>
          <cell r="AE108" t="str">
            <v>finite</v>
          </cell>
          <cell r="AF108" t="str">
            <v>Closed end</v>
          </cell>
          <cell r="AG108">
            <v>14</v>
          </cell>
          <cell r="AI108" t="str">
            <v>Net</v>
          </cell>
          <cell r="AM108" t="str">
            <v>&gt; 40% - ≤ 60%</v>
          </cell>
          <cell r="AN108" t="str">
            <v>Institutional</v>
          </cell>
          <cell r="AO108" t="str">
            <v>&gt; 2</v>
          </cell>
          <cell r="AP108" t="str">
            <v>≥ 50%</v>
          </cell>
          <cell r="AQ108" t="str">
            <v>Europe</v>
          </cell>
          <cell r="AR108" t="str">
            <v>multi country</v>
          </cell>
          <cell r="AS108" t="str">
            <v>Europe</v>
          </cell>
          <cell r="AU108" t="str">
            <v>multi sector</v>
          </cell>
          <cell r="AY108">
            <v>2017</v>
          </cell>
          <cell r="AZ108">
            <v>2027</v>
          </cell>
          <cell r="BA108" t="str">
            <v>No</v>
          </cell>
          <cell r="BD108" t="str">
            <v>Yes</v>
          </cell>
          <cell r="BH108" t="str">
            <v>2020-06-30</v>
          </cell>
          <cell r="BI108">
            <v>908732000</v>
          </cell>
          <cell r="BJ108">
            <v>908732000</v>
          </cell>
          <cell r="BK108">
            <v>408733000</v>
          </cell>
          <cell r="BL108">
            <v>408733000</v>
          </cell>
          <cell r="BM108">
            <v>30.7</v>
          </cell>
          <cell r="BN108" t="str">
            <v>No</v>
          </cell>
          <cell r="BO108" t="str">
            <v>External</v>
          </cell>
          <cell r="BP108">
            <v>12</v>
          </cell>
          <cell r="BQ108">
            <v>41</v>
          </cell>
          <cell r="BR108">
            <v>600898368</v>
          </cell>
          <cell r="BS108">
            <v>600898368</v>
          </cell>
          <cell r="BT108">
            <v>363977964</v>
          </cell>
          <cell r="BU108">
            <v>363977964</v>
          </cell>
          <cell r="BV108" t="str">
            <v>No</v>
          </cell>
          <cell r="BW108" t="str">
            <v>United Kingdom</v>
          </cell>
          <cell r="BX108" t="str">
            <v>Office</v>
          </cell>
          <cell r="BY108">
            <v>5</v>
          </cell>
          <cell r="BZ108" t="str">
            <v>Germany</v>
          </cell>
          <cell r="CA108" t="str">
            <v>Residential</v>
          </cell>
          <cell r="CB108">
            <v>7.4</v>
          </cell>
          <cell r="CC108" t="str">
            <v>France</v>
          </cell>
          <cell r="CD108" t="str">
            <v>Industrial / Logistics</v>
          </cell>
          <cell r="CE108">
            <v>1.4</v>
          </cell>
          <cell r="CF108" t="str">
            <v>Spain</v>
          </cell>
          <cell r="CG108" t="str">
            <v>Industrial / Logistics</v>
          </cell>
          <cell r="CH108">
            <v>39.1</v>
          </cell>
          <cell r="CI108" t="str">
            <v>Denmark</v>
          </cell>
          <cell r="CJ108" t="str">
            <v>Retail</v>
          </cell>
          <cell r="CK108">
            <v>4.5</v>
          </cell>
          <cell r="CL108" t="str">
            <v>Spain</v>
          </cell>
          <cell r="CM108" t="str">
            <v>Retail</v>
          </cell>
          <cell r="CN108">
            <v>6.3</v>
          </cell>
          <cell r="CO108" t="str">
            <v>Spain</v>
          </cell>
          <cell r="CP108" t="str">
            <v>Development Industrial/Logistcis</v>
          </cell>
          <cell r="CQ108">
            <v>22.1</v>
          </cell>
          <cell r="CR108" t="str">
            <v>France</v>
          </cell>
          <cell r="CS108" t="str">
            <v>Development Industrial/Logistcis</v>
          </cell>
          <cell r="CT108">
            <v>3.5</v>
          </cell>
          <cell r="CU108" t="str">
            <v>Sweden</v>
          </cell>
          <cell r="CV108" t="str">
            <v>Development Residential</v>
          </cell>
          <cell r="CW108">
            <v>1.4</v>
          </cell>
          <cell r="CX108" t="str">
            <v>Poland</v>
          </cell>
          <cell r="CY108" t="str">
            <v>Development Industrial/Logistcis</v>
          </cell>
          <cell r="CZ108">
            <v>1.6</v>
          </cell>
        </row>
        <row r="109">
          <cell r="A109">
            <v>19343</v>
          </cell>
          <cell r="B109" t="str">
            <v>CBRE EUROPEAN CO-INVESTMENT FUND BV</v>
          </cell>
          <cell r="C109" t="str">
            <v>CBRE GLOBAL INVESTORS</v>
          </cell>
          <cell r="D109" t="str">
            <v>Schiphol Boulevard 281</v>
          </cell>
          <cell r="E109" t="str">
            <v>1118 BH</v>
          </cell>
          <cell r="F109" t="str">
            <v>Schiphol</v>
          </cell>
          <cell r="G109" t="str">
            <v>Netherlands</v>
          </cell>
          <cell r="H109" t="str">
            <v>+31202022200</v>
          </cell>
          <cell r="I109" t="str">
            <v>+31202022301</v>
          </cell>
          <cell r="J109" t="str">
            <v>http://www.cbreglobalinvestors.com</v>
          </cell>
          <cell r="K109" t="str">
            <v>Christina Forrest</v>
          </cell>
          <cell r="L109" t="str">
            <v>ECF@CBREGlobalinvestors.com</v>
          </cell>
          <cell r="M109" t="str">
            <v>+442078099376</v>
          </cell>
          <cell r="N109" t="str">
            <v>Laura Forde</v>
          </cell>
          <cell r="O109" t="str">
            <v>ECF@CBREGlobalinvestors.com</v>
          </cell>
          <cell r="P109" t="str">
            <v>+447825203022</v>
          </cell>
          <cell r="Q109" t="str">
            <v>Netherlands</v>
          </cell>
          <cell r="R109" t="str">
            <v>EUR</v>
          </cell>
          <cell r="S109" t="str">
            <v>IFRS</v>
          </cell>
          <cell r="T109" t="str">
            <v>Quarterly</v>
          </cell>
          <cell r="U109" t="str">
            <v>Quarterly</v>
          </cell>
          <cell r="V109" t="str">
            <v>?</v>
          </cell>
          <cell r="X109" t="str">
            <v>Ernst &amp; Young</v>
          </cell>
          <cell r="Y109" t="str">
            <v>Dutch B.V.</v>
          </cell>
          <cell r="Z109" t="str">
            <v>No</v>
          </cell>
          <cell r="AA109" t="str">
            <v>No</v>
          </cell>
          <cell r="AC109" t="str">
            <v>Non-Listed Fund</v>
          </cell>
          <cell r="AD109" t="str">
            <v>Core</v>
          </cell>
          <cell r="AE109" t="str">
            <v>finite</v>
          </cell>
          <cell r="AF109" t="str">
            <v>Closed end</v>
          </cell>
          <cell r="AG109">
            <v>15</v>
          </cell>
          <cell r="AI109" t="str">
            <v>Net</v>
          </cell>
          <cell r="AJ109" t="str">
            <v>Net IRR</v>
          </cell>
          <cell r="AM109" t="str">
            <v>&gt; 60%</v>
          </cell>
          <cell r="AN109" t="str">
            <v>Institutional</v>
          </cell>
          <cell r="AO109" t="str">
            <v>&gt; 2</v>
          </cell>
          <cell r="AP109" t="str">
            <v>≥ 50%</v>
          </cell>
          <cell r="AQ109" t="str">
            <v>Europe</v>
          </cell>
          <cell r="AR109" t="str">
            <v>multi country</v>
          </cell>
          <cell r="AS109" t="str">
            <v>Europe</v>
          </cell>
          <cell r="AU109" t="str">
            <v>multi sector</v>
          </cell>
          <cell r="AW109">
            <v>373598000</v>
          </cell>
          <cell r="AY109">
            <v>2015</v>
          </cell>
          <cell r="AZ109">
            <v>2022</v>
          </cell>
          <cell r="BA109" t="str">
            <v>No</v>
          </cell>
          <cell r="BD109" t="str">
            <v>Yes</v>
          </cell>
          <cell r="BH109" t="str">
            <v>2020-06-30</v>
          </cell>
          <cell r="BI109">
            <v>206621671</v>
          </cell>
          <cell r="BJ109">
            <v>206621671</v>
          </cell>
          <cell r="BK109">
            <v>198913046</v>
          </cell>
          <cell r="BL109">
            <v>198913046</v>
          </cell>
          <cell r="BM109">
            <v>47</v>
          </cell>
          <cell r="BN109" t="str">
            <v>No</v>
          </cell>
          <cell r="BO109" t="str">
            <v>External</v>
          </cell>
          <cell r="BP109">
            <v>8</v>
          </cell>
          <cell r="BQ109">
            <v>41</v>
          </cell>
          <cell r="BR109">
            <v>315326676</v>
          </cell>
          <cell r="BS109">
            <v>315326676</v>
          </cell>
          <cell r="BT109">
            <v>288900000</v>
          </cell>
          <cell r="BU109">
            <v>288900000</v>
          </cell>
          <cell r="BV109" t="str">
            <v>No</v>
          </cell>
          <cell r="BW109" t="str">
            <v>Sweden</v>
          </cell>
          <cell r="BX109" t="str">
            <v>Retail</v>
          </cell>
          <cell r="BY109">
            <v>28.4</v>
          </cell>
          <cell r="BZ109" t="str">
            <v>Denmark</v>
          </cell>
          <cell r="CA109" t="str">
            <v>Retail</v>
          </cell>
          <cell r="CB109">
            <v>33.5</v>
          </cell>
          <cell r="CC109" t="str">
            <v>United Kingdom</v>
          </cell>
          <cell r="CD109" t="str">
            <v>Industrial / Logistics</v>
          </cell>
          <cell r="CE109">
            <v>38.1</v>
          </cell>
        </row>
        <row r="110">
          <cell r="A110">
            <v>278</v>
          </cell>
          <cell r="B110" t="str">
            <v xml:space="preserve">CBRE EUROPEAN INDUSTRIAL FUND </v>
          </cell>
          <cell r="C110" t="str">
            <v>CBRE GLOBAL INVESTORS</v>
          </cell>
          <cell r="D110" t="str">
            <v>PO Box 75620</v>
          </cell>
          <cell r="E110" t="str">
            <v>1118 ZR</v>
          </cell>
          <cell r="F110" t="str">
            <v>Schiphol</v>
          </cell>
          <cell r="G110" t="str">
            <v>Netherlands</v>
          </cell>
          <cell r="H110" t="str">
            <v>+31202022200</v>
          </cell>
          <cell r="I110" t="str">
            <v>+31202022301</v>
          </cell>
          <cell r="J110" t="str">
            <v>http://www.cbreglobalinvestors.com</v>
          </cell>
          <cell r="K110" t="str">
            <v>Laurie Lagarde</v>
          </cell>
          <cell r="L110" t="str">
            <v>Investor.Services.EMEA@cbreglobalinvestors.com</v>
          </cell>
          <cell r="M110" t="str">
            <v>+33673758660</v>
          </cell>
          <cell r="N110" t="str">
            <v>Yme Bouma</v>
          </cell>
          <cell r="O110" t="str">
            <v>Investor.Services.EMEA@cbreglobalinvestors.com</v>
          </cell>
          <cell r="P110" t="str">
            <v>+31202022301</v>
          </cell>
          <cell r="Q110" t="str">
            <v>Netherlands</v>
          </cell>
          <cell r="R110" t="str">
            <v>EUR</v>
          </cell>
          <cell r="S110" t="str">
            <v>IFRS</v>
          </cell>
          <cell r="T110" t="str">
            <v>Quarterly</v>
          </cell>
          <cell r="U110" t="str">
            <v>Annually</v>
          </cell>
          <cell r="V110" t="str">
            <v>RICS</v>
          </cell>
          <cell r="W110" t="str">
            <v>INREV NAV</v>
          </cell>
          <cell r="X110" t="str">
            <v>Ernst &amp; Young</v>
          </cell>
          <cell r="Y110" t="str">
            <v>Dutch FGR</v>
          </cell>
          <cell r="Z110" t="str">
            <v>Yes</v>
          </cell>
          <cell r="AB110">
            <v>0</v>
          </cell>
          <cell r="AC110" t="str">
            <v>Non-Listed Fund</v>
          </cell>
          <cell r="AD110" t="str">
            <v>Core</v>
          </cell>
          <cell r="AE110" t="str">
            <v>infinite</v>
          </cell>
          <cell r="AF110" t="str">
            <v>Open end</v>
          </cell>
          <cell r="AG110">
            <v>10</v>
          </cell>
          <cell r="AH110">
            <v>11</v>
          </cell>
          <cell r="AI110" t="str">
            <v>Net</v>
          </cell>
          <cell r="AJ110" t="str">
            <v>None</v>
          </cell>
          <cell r="AL110">
            <v>50</v>
          </cell>
          <cell r="AM110" t="str">
            <v>&gt; 40% - ≤ 60%</v>
          </cell>
          <cell r="AN110" t="str">
            <v>Institutional</v>
          </cell>
          <cell r="AO110" t="str">
            <v>&gt; 2</v>
          </cell>
          <cell r="AP110" t="str">
            <v>≥ 50%</v>
          </cell>
          <cell r="AQ110" t="str">
            <v>Europe</v>
          </cell>
          <cell r="AR110" t="str">
            <v>multi country</v>
          </cell>
          <cell r="AS110" t="str">
            <v>Europe</v>
          </cell>
          <cell r="AU110" t="str">
            <v>single sector</v>
          </cell>
          <cell r="AV110" t="str">
            <v>Industrial / Logistics</v>
          </cell>
          <cell r="AW110">
            <v>500000000</v>
          </cell>
          <cell r="AX110">
            <v>1000000000</v>
          </cell>
          <cell r="AY110">
            <v>2005</v>
          </cell>
          <cell r="BB110" t="str">
            <v>No</v>
          </cell>
          <cell r="BD110" t="str">
            <v>Yes</v>
          </cell>
          <cell r="BF110" t="str">
            <v>≤ 15%</v>
          </cell>
          <cell r="BG110" t="str">
            <v>≤ 5%</v>
          </cell>
          <cell r="BH110" t="str">
            <v>2020-12-31</v>
          </cell>
          <cell r="BI110">
            <v>1342846670</v>
          </cell>
          <cell r="BJ110">
            <v>1342846670</v>
          </cell>
          <cell r="BK110">
            <v>958408639</v>
          </cell>
          <cell r="BL110">
            <v>958408639</v>
          </cell>
          <cell r="BM110">
            <v>22.2</v>
          </cell>
          <cell r="BN110" t="str">
            <v>No</v>
          </cell>
          <cell r="BO110" t="str">
            <v>External</v>
          </cell>
          <cell r="BP110">
            <v>18</v>
          </cell>
          <cell r="BQ110">
            <v>46</v>
          </cell>
          <cell r="BR110">
            <v>850891000</v>
          </cell>
          <cell r="BS110">
            <v>850891000</v>
          </cell>
          <cell r="BT110">
            <v>750891000</v>
          </cell>
          <cell r="BU110">
            <v>750891000</v>
          </cell>
          <cell r="BV110" t="str">
            <v>No</v>
          </cell>
          <cell r="BW110" t="str">
            <v>France</v>
          </cell>
          <cell r="BX110" t="str">
            <v>Industrial / Logistics</v>
          </cell>
          <cell r="BY110">
            <v>29.05</v>
          </cell>
          <cell r="BZ110" t="str">
            <v>Germany</v>
          </cell>
          <cell r="CA110" t="str">
            <v>Industrial / Logistics</v>
          </cell>
          <cell r="CB110">
            <v>18.52</v>
          </cell>
          <cell r="CC110" t="str">
            <v>Spain</v>
          </cell>
          <cell r="CD110" t="str">
            <v>Industrial / Logistics</v>
          </cell>
          <cell r="CE110">
            <v>6.56</v>
          </cell>
          <cell r="CF110" t="str">
            <v>Portugal</v>
          </cell>
          <cell r="CG110" t="str">
            <v>Industrial / Logistics</v>
          </cell>
          <cell r="CH110">
            <v>5.03</v>
          </cell>
          <cell r="CI110" t="str">
            <v>Italy</v>
          </cell>
          <cell r="CJ110" t="str">
            <v>Industrial / Logistics</v>
          </cell>
          <cell r="CK110">
            <v>15.34</v>
          </cell>
          <cell r="CL110" t="str">
            <v>Netherlands</v>
          </cell>
          <cell r="CM110" t="str">
            <v>Industrial / Logistics</v>
          </cell>
          <cell r="CN110">
            <v>14.66</v>
          </cell>
          <cell r="CO110" t="str">
            <v>Belgium</v>
          </cell>
          <cell r="CP110" t="str">
            <v>Industrial / Logistics</v>
          </cell>
          <cell r="CQ110">
            <v>9.2799999999999994</v>
          </cell>
          <cell r="CR110" t="str">
            <v>Spain</v>
          </cell>
          <cell r="CS110" t="str">
            <v>Development Industrial/Logistcis</v>
          </cell>
          <cell r="CT110">
            <v>0.18</v>
          </cell>
          <cell r="CU110" t="str">
            <v>Netherlands</v>
          </cell>
          <cell r="CV110" t="str">
            <v>Development Industrial/Logistcis</v>
          </cell>
          <cell r="CW110">
            <v>1.38</v>
          </cell>
        </row>
        <row r="111">
          <cell r="A111">
            <v>553</v>
          </cell>
          <cell r="B111" t="str">
            <v>CBRE EUROPEAN SHOPPING CENTRE FUND</v>
          </cell>
          <cell r="C111" t="str">
            <v>CBRE GLOBAL INVESTORS</v>
          </cell>
          <cell r="D111" t="str">
            <v>PO Box 75620</v>
          </cell>
          <cell r="E111" t="str">
            <v>1118 ZR</v>
          </cell>
          <cell r="F111" t="str">
            <v>Schiphol</v>
          </cell>
          <cell r="G111" t="str">
            <v>Netherlands</v>
          </cell>
          <cell r="H111" t="str">
            <v>+31202022200</v>
          </cell>
          <cell r="I111" t="str">
            <v>+31202022301</v>
          </cell>
          <cell r="J111" t="str">
            <v>http://www.cbreglobalinvestors.com</v>
          </cell>
          <cell r="K111" t="str">
            <v>Rik Eertink</v>
          </cell>
          <cell r="L111" t="str">
            <v>Investor.Services.EMEA@cbreglobalinvestors.com</v>
          </cell>
          <cell r="M111" t="str">
            <v>+31202022255</v>
          </cell>
          <cell r="N111" t="str">
            <v>Yme Bouma</v>
          </cell>
          <cell r="O111" t="str">
            <v>Investor.Services.EMEA@cbreglobalinvestors.com</v>
          </cell>
          <cell r="P111" t="str">
            <v>+31202022301</v>
          </cell>
          <cell r="Q111" t="str">
            <v>Netherlands</v>
          </cell>
          <cell r="R111" t="str">
            <v>EUR</v>
          </cell>
          <cell r="S111" t="str">
            <v>IFRS</v>
          </cell>
          <cell r="T111" t="str">
            <v>Quarterly</v>
          </cell>
          <cell r="U111" t="str">
            <v>Quarterly</v>
          </cell>
          <cell r="V111" t="str">
            <v>RICS</v>
          </cell>
          <cell r="W111" t="str">
            <v>INREV NAV</v>
          </cell>
          <cell r="X111" t="str">
            <v>Ernst &amp; Young</v>
          </cell>
          <cell r="Y111" t="str">
            <v>CV</v>
          </cell>
          <cell r="Z111" t="str">
            <v>Yes</v>
          </cell>
          <cell r="AB111">
            <v>0</v>
          </cell>
          <cell r="AC111" t="str">
            <v>Non-Listed Fund</v>
          </cell>
          <cell r="AD111" t="str">
            <v>Core</v>
          </cell>
          <cell r="AE111" t="str">
            <v>finite</v>
          </cell>
          <cell r="AF111" t="str">
            <v>Closed end</v>
          </cell>
          <cell r="AG111">
            <v>11</v>
          </cell>
          <cell r="AH111">
            <v>13</v>
          </cell>
          <cell r="AI111" t="str">
            <v>Net</v>
          </cell>
          <cell r="AJ111" t="str">
            <v>Target IRR</v>
          </cell>
          <cell r="AL111">
            <v>30</v>
          </cell>
          <cell r="AM111" t="str">
            <v>&gt; 40% - ≤ 60%</v>
          </cell>
          <cell r="AN111" t="str">
            <v>Institutional</v>
          </cell>
          <cell r="AO111" t="str">
            <v>&gt; 2</v>
          </cell>
          <cell r="AP111" t="str">
            <v>≥ 50%</v>
          </cell>
          <cell r="AQ111" t="str">
            <v>Europe</v>
          </cell>
          <cell r="AR111" t="str">
            <v>multi country</v>
          </cell>
          <cell r="AS111" t="str">
            <v>Europe</v>
          </cell>
          <cell r="AU111" t="str">
            <v>single sector</v>
          </cell>
          <cell r="AV111" t="str">
            <v>Retail</v>
          </cell>
          <cell r="AW111">
            <v>750000000</v>
          </cell>
          <cell r="AX111">
            <v>1500000000</v>
          </cell>
          <cell r="AY111">
            <v>2010</v>
          </cell>
          <cell r="AZ111">
            <v>2017</v>
          </cell>
          <cell r="BA111" t="str">
            <v>Yes</v>
          </cell>
          <cell r="BB111" t="str">
            <v>Yes</v>
          </cell>
          <cell r="BC111" t="str">
            <v>3 years fixed</v>
          </cell>
          <cell r="BH111" t="str">
            <v>2020-12-31</v>
          </cell>
          <cell r="BI111">
            <v>133812502</v>
          </cell>
          <cell r="BJ111">
            <v>133812502</v>
          </cell>
          <cell r="BK111">
            <v>73350000</v>
          </cell>
          <cell r="BL111">
            <v>73350000</v>
          </cell>
          <cell r="BM111">
            <v>41.3</v>
          </cell>
          <cell r="BN111" t="str">
            <v>No</v>
          </cell>
          <cell r="BO111" t="str">
            <v>External</v>
          </cell>
          <cell r="BP111">
            <v>25</v>
          </cell>
          <cell r="BQ111">
            <v>2</v>
          </cell>
          <cell r="BR111">
            <v>304452000</v>
          </cell>
          <cell r="BS111">
            <v>304452000</v>
          </cell>
          <cell r="BT111">
            <v>304452000</v>
          </cell>
          <cell r="BU111">
            <v>304452000</v>
          </cell>
          <cell r="BV111" t="str">
            <v>No</v>
          </cell>
          <cell r="BW111" t="str">
            <v>Poland</v>
          </cell>
          <cell r="BX111" t="str">
            <v>Retail</v>
          </cell>
          <cell r="BY111">
            <v>56.8</v>
          </cell>
          <cell r="BZ111" t="str">
            <v>Germany</v>
          </cell>
          <cell r="CA111" t="str">
            <v>Retail</v>
          </cell>
          <cell r="CB111">
            <v>43.2</v>
          </cell>
        </row>
        <row r="112">
          <cell r="A112">
            <v>17690</v>
          </cell>
          <cell r="B112" t="str">
            <v>CBRE EUROPEAN SHOPPING CENTRE FUND II SCA SICAF-SIF</v>
          </cell>
          <cell r="C112" t="str">
            <v>CBRE GLOBAL INVESTORS</v>
          </cell>
          <cell r="D112" t="str">
            <v>26-28 Rue Edward Steichen</v>
          </cell>
          <cell r="E112" t="str">
            <v>L-2540</v>
          </cell>
          <cell r="F112" t="str">
            <v>Luxembourg</v>
          </cell>
          <cell r="G112" t="str">
            <v>Luxembourg</v>
          </cell>
          <cell r="H112" t="str">
            <v>+352267329</v>
          </cell>
          <cell r="I112" t="str">
            <v>+35226386944</v>
          </cell>
          <cell r="J112" t="str">
            <v>http://www.cbreglobalinvestors.com</v>
          </cell>
          <cell r="K112" t="str">
            <v>Rik Eertink</v>
          </cell>
          <cell r="L112" t="str">
            <v>Investor.Services.EMEA@cbreglobalinvestors.com</v>
          </cell>
          <cell r="M112" t="str">
            <v>+31202022255</v>
          </cell>
          <cell r="N112" t="str">
            <v>Yme Bouma</v>
          </cell>
          <cell r="O112" t="str">
            <v>Investor.Services.EMEA@cbreglobalinvestors.com</v>
          </cell>
          <cell r="P112" t="str">
            <v>+31202022328</v>
          </cell>
          <cell r="Q112" t="str">
            <v>Luxembourg</v>
          </cell>
          <cell r="R112" t="str">
            <v>EUR</v>
          </cell>
          <cell r="S112" t="str">
            <v>INREV</v>
          </cell>
          <cell r="T112" t="str">
            <v>Quarterly</v>
          </cell>
          <cell r="U112" t="str">
            <v>Quarterly</v>
          </cell>
          <cell r="V112" t="str">
            <v>RICS</v>
          </cell>
          <cell r="W112" t="str">
            <v>INREV NAV</v>
          </cell>
          <cell r="X112" t="str">
            <v>Ernst &amp; Young</v>
          </cell>
          <cell r="Y112" t="str">
            <v>SICAV</v>
          </cell>
          <cell r="Z112" t="str">
            <v>Yes</v>
          </cell>
          <cell r="AA112" t="str">
            <v>No</v>
          </cell>
          <cell r="AC112" t="str">
            <v>Non-Listed Fund</v>
          </cell>
          <cell r="AD112" t="str">
            <v>Core</v>
          </cell>
          <cell r="AE112" t="str">
            <v>finite</v>
          </cell>
          <cell r="AF112" t="str">
            <v>Closed end</v>
          </cell>
          <cell r="AG112">
            <v>11</v>
          </cell>
          <cell r="AH112">
            <v>13</v>
          </cell>
          <cell r="AI112" t="str">
            <v>Net</v>
          </cell>
          <cell r="AJ112" t="str">
            <v>Target IRR</v>
          </cell>
          <cell r="AM112" t="str">
            <v>&gt; 40% - ≤ 60%</v>
          </cell>
          <cell r="AN112" t="str">
            <v>Institutional</v>
          </cell>
          <cell r="AO112" t="str">
            <v>&gt; 2</v>
          </cell>
          <cell r="AP112" t="str">
            <v>≥ 50%</v>
          </cell>
          <cell r="AQ112" t="str">
            <v>Europe</v>
          </cell>
          <cell r="AR112" t="str">
            <v>multi country</v>
          </cell>
          <cell r="AS112" t="str">
            <v>Europe</v>
          </cell>
          <cell r="AU112" t="str">
            <v>single sector</v>
          </cell>
          <cell r="AV112" t="str">
            <v>Retail</v>
          </cell>
          <cell r="AW112">
            <v>500000000</v>
          </cell>
          <cell r="AX112">
            <v>1000000000</v>
          </cell>
          <cell r="AY112">
            <v>2015</v>
          </cell>
          <cell r="AZ112">
            <v>2024</v>
          </cell>
          <cell r="BA112" t="str">
            <v>No</v>
          </cell>
          <cell r="BB112" t="str">
            <v>No</v>
          </cell>
          <cell r="BD112" t="str">
            <v>Yes</v>
          </cell>
          <cell r="BH112" t="str">
            <v>2020-12-31</v>
          </cell>
          <cell r="BI112">
            <v>1074072000</v>
          </cell>
          <cell r="BJ112">
            <v>1074072000</v>
          </cell>
          <cell r="BK112">
            <v>453498403</v>
          </cell>
          <cell r="BL112">
            <v>453498403</v>
          </cell>
          <cell r="BM112">
            <v>52</v>
          </cell>
          <cell r="BN112" t="str">
            <v>No</v>
          </cell>
          <cell r="BO112" t="str">
            <v>External</v>
          </cell>
          <cell r="BP112">
            <v>23</v>
          </cell>
          <cell r="BQ112">
            <v>11</v>
          </cell>
          <cell r="BR112">
            <v>663161377</v>
          </cell>
          <cell r="BS112">
            <v>663161377</v>
          </cell>
          <cell r="BT112">
            <v>631096000</v>
          </cell>
          <cell r="BU112">
            <v>631096000</v>
          </cell>
          <cell r="BV112" t="str">
            <v>No</v>
          </cell>
          <cell r="BW112" t="str">
            <v>Italy</v>
          </cell>
          <cell r="BX112" t="str">
            <v>Retail</v>
          </cell>
          <cell r="BY112">
            <v>18.100000000000001</v>
          </cell>
          <cell r="BZ112" t="str">
            <v>Belgium</v>
          </cell>
          <cell r="CA112" t="str">
            <v>Retail</v>
          </cell>
          <cell r="CB112">
            <v>23.3</v>
          </cell>
          <cell r="CC112" t="str">
            <v>Finland</v>
          </cell>
          <cell r="CD112" t="str">
            <v>Retail</v>
          </cell>
          <cell r="CE112">
            <v>12.2</v>
          </cell>
          <cell r="CF112" t="str">
            <v>Germany</v>
          </cell>
          <cell r="CG112" t="str">
            <v>Retail</v>
          </cell>
          <cell r="CH112">
            <v>5</v>
          </cell>
          <cell r="CI112" t="str">
            <v>Spain</v>
          </cell>
          <cell r="CJ112" t="str">
            <v>Retail</v>
          </cell>
          <cell r="CK112">
            <v>4.0999999999999996</v>
          </cell>
          <cell r="CL112" t="str">
            <v>Poland</v>
          </cell>
          <cell r="CM112" t="str">
            <v>Retail</v>
          </cell>
          <cell r="CN112">
            <v>19.2</v>
          </cell>
          <cell r="CO112" t="str">
            <v>Sweden</v>
          </cell>
          <cell r="CP112" t="str">
            <v>Retail</v>
          </cell>
          <cell r="CQ112">
            <v>18.100000000000001</v>
          </cell>
        </row>
        <row r="113">
          <cell r="A113">
            <v>275</v>
          </cell>
          <cell r="B113" t="str">
            <v>CBRE LOGISTICS PROPERTY FUND EUROPE</v>
          </cell>
          <cell r="C113" t="str">
            <v>CBRE GLOBAL INVESTORS</v>
          </cell>
          <cell r="D113" t="str">
            <v>PO Box 75620</v>
          </cell>
          <cell r="E113" t="str">
            <v>1118 ZR</v>
          </cell>
          <cell r="F113" t="str">
            <v>Schiphol</v>
          </cell>
          <cell r="G113" t="str">
            <v>Netherlands</v>
          </cell>
          <cell r="H113" t="str">
            <v>+31202022200</v>
          </cell>
          <cell r="I113" t="str">
            <v>+31202022301</v>
          </cell>
          <cell r="J113" t="str">
            <v>http://www.cbreglobalinvestors.com</v>
          </cell>
          <cell r="K113" t="str">
            <v>Laurie Lagarde</v>
          </cell>
          <cell r="L113" t="str">
            <v>Investor.Services.EMEA@cbreglobalinvestors.com</v>
          </cell>
          <cell r="M113" t="str">
            <v>+33673758660</v>
          </cell>
          <cell r="N113" t="str">
            <v>Yme Bouma</v>
          </cell>
          <cell r="O113" t="str">
            <v>Investor.Services.EMEA@cbreglobalinvestors.com</v>
          </cell>
          <cell r="P113" t="str">
            <v>+31202022301</v>
          </cell>
          <cell r="Q113" t="str">
            <v>Netherlands</v>
          </cell>
          <cell r="R113" t="str">
            <v>EUR</v>
          </cell>
          <cell r="S113" t="str">
            <v>IFRS</v>
          </cell>
          <cell r="T113" t="str">
            <v>Quarterly</v>
          </cell>
          <cell r="U113" t="str">
            <v>Annually</v>
          </cell>
          <cell r="V113" t="str">
            <v>RICS</v>
          </cell>
          <cell r="W113" t="str">
            <v>INREV NAV</v>
          </cell>
          <cell r="X113" t="str">
            <v>Ernst &amp; Young</v>
          </cell>
          <cell r="Y113" t="str">
            <v>CV</v>
          </cell>
          <cell r="Z113" t="str">
            <v>Yes</v>
          </cell>
          <cell r="AA113" t="str">
            <v>Yes</v>
          </cell>
          <cell r="AB113">
            <v>0</v>
          </cell>
          <cell r="AC113" t="str">
            <v>Non-Listed Fund</v>
          </cell>
          <cell r="AD113" t="str">
            <v>Core</v>
          </cell>
          <cell r="AE113" t="str">
            <v>finite</v>
          </cell>
          <cell r="AF113" t="str">
            <v>Closed end</v>
          </cell>
          <cell r="AG113">
            <v>12</v>
          </cell>
          <cell r="AH113">
            <v>12</v>
          </cell>
          <cell r="AI113" t="str">
            <v>Net</v>
          </cell>
          <cell r="AJ113" t="str">
            <v>None</v>
          </cell>
          <cell r="AM113" t="str">
            <v>&gt; 40% - ≤ 60%</v>
          </cell>
          <cell r="AN113" t="str">
            <v>Institutional</v>
          </cell>
          <cell r="AO113" t="str">
            <v>&gt; 2</v>
          </cell>
          <cell r="AP113" t="str">
            <v>≥ 50%</v>
          </cell>
          <cell r="AQ113" t="str">
            <v>Europe</v>
          </cell>
          <cell r="AR113" t="str">
            <v>multi country</v>
          </cell>
          <cell r="AS113" t="str">
            <v>Europe</v>
          </cell>
          <cell r="AU113" t="str">
            <v>single sector</v>
          </cell>
          <cell r="AV113" t="str">
            <v>Industrial / Logistics</v>
          </cell>
          <cell r="AW113">
            <v>250000000</v>
          </cell>
          <cell r="AX113">
            <v>500000000</v>
          </cell>
          <cell r="AY113">
            <v>2002</v>
          </cell>
          <cell r="AZ113">
            <v>2012</v>
          </cell>
          <cell r="BA113" t="str">
            <v>Yes</v>
          </cell>
          <cell r="BB113" t="str">
            <v>Yes</v>
          </cell>
          <cell r="BC113" t="str">
            <v>2 years</v>
          </cell>
          <cell r="BH113" t="str">
            <v>2020-12-31</v>
          </cell>
          <cell r="BI113">
            <v>13277860</v>
          </cell>
          <cell r="BJ113">
            <v>13277860</v>
          </cell>
          <cell r="BK113">
            <v>11781889</v>
          </cell>
          <cell r="BL113">
            <v>11781889</v>
          </cell>
          <cell r="BM113">
            <v>0</v>
          </cell>
          <cell r="BN113" t="str">
            <v>No</v>
          </cell>
          <cell r="BO113" t="str">
            <v>External</v>
          </cell>
          <cell r="BP113">
            <v>20</v>
          </cell>
          <cell r="BQ113">
            <v>0</v>
          </cell>
          <cell r="BR113">
            <v>250000000</v>
          </cell>
          <cell r="BS113">
            <v>250000000</v>
          </cell>
          <cell r="BT113">
            <v>250000000</v>
          </cell>
          <cell r="BU113">
            <v>250000000</v>
          </cell>
          <cell r="BV113" t="str">
            <v>No</v>
          </cell>
        </row>
        <row r="114">
          <cell r="A114">
            <v>18600</v>
          </cell>
          <cell r="B114" t="str">
            <v>CBRE LOGISTICS VENTURE SCSP</v>
          </cell>
          <cell r="C114" t="str">
            <v>CBRE GLOBAL INVESTORS</v>
          </cell>
          <cell r="D114" t="str">
            <v>4, Rue du Fort Wallis</v>
          </cell>
          <cell r="E114" t="str">
            <v xml:space="preserve">L-2714 </v>
          </cell>
          <cell r="F114" t="str">
            <v>Luxembourg</v>
          </cell>
          <cell r="G114" t="str">
            <v>Luxembourg</v>
          </cell>
          <cell r="H114" t="str">
            <v>+352 26 38 69 28</v>
          </cell>
          <cell r="I114" t="str">
            <v>+352 26 38 69 44</v>
          </cell>
          <cell r="J114" t="str">
            <v>http://www.cbreglobalinvestors.com</v>
          </cell>
          <cell r="K114" t="str">
            <v>Pierre-David Baylac</v>
          </cell>
          <cell r="L114" t="str">
            <v>pierre.david.baylac@cbreglobalinvestors.com</v>
          </cell>
          <cell r="M114" t="str">
            <v>+33 1 7677 6749</v>
          </cell>
          <cell r="N114" t="str">
            <v>Yme Bouma</v>
          </cell>
          <cell r="O114" t="str">
            <v>Investor.Services.EMEA@cbre.com</v>
          </cell>
          <cell r="P114" t="str">
            <v>+31 20 202 2320</v>
          </cell>
          <cell r="Q114" t="str">
            <v>Luxembourg</v>
          </cell>
          <cell r="R114" t="str">
            <v>EUR</v>
          </cell>
          <cell r="S114" t="str">
            <v>INREV NAV Guidelines</v>
          </cell>
          <cell r="T114" t="str">
            <v>Quarterly</v>
          </cell>
          <cell r="U114" t="str">
            <v>Quarterly</v>
          </cell>
          <cell r="V114" t="str">
            <v>DCF analysis</v>
          </cell>
          <cell r="W114" t="str">
            <v>INREV NAV</v>
          </cell>
          <cell r="X114" t="str">
            <v>Ernst &amp; Young</v>
          </cell>
          <cell r="Y114" t="str">
            <v>SCSp</v>
          </cell>
          <cell r="Z114" t="str">
            <v>Yes</v>
          </cell>
          <cell r="AC114" t="str">
            <v>Non-Listed Fund</v>
          </cell>
          <cell r="AD114" t="str">
            <v>Core</v>
          </cell>
          <cell r="AE114" t="str">
            <v>infinite</v>
          </cell>
          <cell r="AF114" t="str">
            <v>Open end</v>
          </cell>
          <cell r="AG114">
            <v>8</v>
          </cell>
          <cell r="AH114">
            <v>10</v>
          </cell>
          <cell r="AI114" t="str">
            <v>Net</v>
          </cell>
          <cell r="AM114" t="str">
            <v>≤ 40%</v>
          </cell>
          <cell r="AN114" t="str">
            <v>Institutional</v>
          </cell>
          <cell r="AO114" t="str">
            <v>&gt; 2</v>
          </cell>
          <cell r="AP114" t="str">
            <v>≥ 50%</v>
          </cell>
          <cell r="AQ114" t="str">
            <v>Europe</v>
          </cell>
          <cell r="AR114" t="str">
            <v>multi country</v>
          </cell>
          <cell r="AS114" t="str">
            <v>Europe</v>
          </cell>
          <cell r="AU114" t="str">
            <v>single sector</v>
          </cell>
          <cell r="AV114" t="str">
            <v>Industrial / Logistics</v>
          </cell>
          <cell r="AY114">
            <v>2018</v>
          </cell>
          <cell r="BD114" t="str">
            <v>No</v>
          </cell>
          <cell r="BH114" t="str">
            <v>2020-12-31</v>
          </cell>
          <cell r="BI114">
            <v>641842477</v>
          </cell>
          <cell r="BJ114">
            <v>641842477</v>
          </cell>
          <cell r="BK114">
            <v>407779716</v>
          </cell>
          <cell r="BL114">
            <v>407779716</v>
          </cell>
          <cell r="BM114">
            <v>29.2</v>
          </cell>
          <cell r="BN114" t="str">
            <v>No</v>
          </cell>
          <cell r="BO114" t="str">
            <v>External</v>
          </cell>
          <cell r="BP114">
            <v>10</v>
          </cell>
          <cell r="BQ114">
            <v>9</v>
          </cell>
          <cell r="BR114">
            <v>436991633</v>
          </cell>
          <cell r="BS114">
            <v>436991633</v>
          </cell>
          <cell r="BT114">
            <v>337891632</v>
          </cell>
          <cell r="BU114">
            <v>337891632</v>
          </cell>
          <cell r="BV114" t="str">
            <v>No</v>
          </cell>
          <cell r="BW114" t="str">
            <v>Belgium</v>
          </cell>
          <cell r="BX114" t="str">
            <v>Industrial / Logistics</v>
          </cell>
          <cell r="BY114">
            <v>17.8</v>
          </cell>
          <cell r="BZ114" t="str">
            <v>Spain</v>
          </cell>
          <cell r="CA114" t="str">
            <v>Industrial / Logistics</v>
          </cell>
          <cell r="CB114">
            <v>4.2</v>
          </cell>
          <cell r="CC114" t="str">
            <v>Poland</v>
          </cell>
          <cell r="CD114" t="str">
            <v>Industrial / Logistics</v>
          </cell>
          <cell r="CE114">
            <v>5.2</v>
          </cell>
          <cell r="CF114" t="str">
            <v>Denmark</v>
          </cell>
          <cell r="CG114" t="str">
            <v>Industrial / Logistics</v>
          </cell>
          <cell r="CH114">
            <v>8.1</v>
          </cell>
          <cell r="CI114" t="str">
            <v>Italy</v>
          </cell>
          <cell r="CJ114" t="str">
            <v>Industrial / Logistics</v>
          </cell>
          <cell r="CK114">
            <v>12.9</v>
          </cell>
          <cell r="CL114" t="str">
            <v>Belgium</v>
          </cell>
          <cell r="CM114" t="str">
            <v>Development Industrial/Logistcis</v>
          </cell>
          <cell r="CN114">
            <v>3.7</v>
          </cell>
          <cell r="CO114" t="str">
            <v>France</v>
          </cell>
          <cell r="CP114" t="str">
            <v>Industrial / Logistics</v>
          </cell>
          <cell r="CQ114">
            <v>48.1</v>
          </cell>
        </row>
        <row r="115">
          <cell r="A115">
            <v>284</v>
          </cell>
          <cell r="B115" t="str">
            <v>CBRE NORDIC PROPERTY FUND</v>
          </cell>
          <cell r="C115" t="str">
            <v>CBRE GLOBAL INVESTORS</v>
          </cell>
          <cell r="D115" t="str">
            <v>PO Box 75620</v>
          </cell>
          <cell r="E115" t="str">
            <v>1118 ZR</v>
          </cell>
          <cell r="F115" t="str">
            <v>Schiphol</v>
          </cell>
          <cell r="G115" t="str">
            <v>Netherlands</v>
          </cell>
          <cell r="H115" t="str">
            <v>+31202022200</v>
          </cell>
          <cell r="I115" t="str">
            <v>+31202022301</v>
          </cell>
          <cell r="J115" t="str">
            <v>http://www.cbreglobalinvestors.com</v>
          </cell>
          <cell r="K115" t="str">
            <v>CBRE Global Investors</v>
          </cell>
          <cell r="L115" t="str">
            <v>Investor.Services.EMEA@cbreglobalinvestors.com</v>
          </cell>
          <cell r="M115" t="str">
            <v>+31202022271</v>
          </cell>
          <cell r="N115" t="str">
            <v>Yme Bouma</v>
          </cell>
          <cell r="O115" t="str">
            <v>Investor.Services.EMEA@cbreglobalinvestors.com</v>
          </cell>
          <cell r="P115" t="str">
            <v>+31202022301</v>
          </cell>
          <cell r="Q115" t="str">
            <v>Netherlands</v>
          </cell>
          <cell r="R115" t="str">
            <v>EUR</v>
          </cell>
          <cell r="S115" t="str">
            <v>IFRS</v>
          </cell>
          <cell r="T115" t="str">
            <v>Quarterly</v>
          </cell>
          <cell r="U115" t="str">
            <v>Annually</v>
          </cell>
          <cell r="V115" t="str">
            <v>RICS</v>
          </cell>
          <cell r="W115" t="str">
            <v>INREV NAV</v>
          </cell>
          <cell r="X115" t="str">
            <v>Ernst &amp; Young</v>
          </cell>
          <cell r="Y115" t="str">
            <v>Dutch FGR</v>
          </cell>
          <cell r="Z115" t="str">
            <v>Yes</v>
          </cell>
          <cell r="AA115" t="str">
            <v>Yes</v>
          </cell>
          <cell r="AB115">
            <v>0</v>
          </cell>
          <cell r="AC115" t="str">
            <v>Non-Listed Fund</v>
          </cell>
          <cell r="AD115" t="str">
            <v>Core</v>
          </cell>
          <cell r="AE115" t="str">
            <v>finite</v>
          </cell>
          <cell r="AF115" t="str">
            <v>Closed end</v>
          </cell>
          <cell r="AG115">
            <v>8</v>
          </cell>
          <cell r="AH115">
            <v>10</v>
          </cell>
          <cell r="AI115" t="str">
            <v>Net</v>
          </cell>
          <cell r="AJ115" t="str">
            <v>None</v>
          </cell>
          <cell r="AL115">
            <v>50</v>
          </cell>
          <cell r="AM115" t="str">
            <v>&gt; 60%</v>
          </cell>
          <cell r="AN115" t="str">
            <v>Institutional</v>
          </cell>
          <cell r="AO115" t="str">
            <v>&gt; 2</v>
          </cell>
          <cell r="AP115" t="str">
            <v>≥ 50%</v>
          </cell>
          <cell r="AQ115" t="str">
            <v>Europe</v>
          </cell>
          <cell r="AR115" t="str">
            <v>multi country</v>
          </cell>
          <cell r="AS115" t="str">
            <v>Europe</v>
          </cell>
          <cell r="AU115" t="str">
            <v>multi sector</v>
          </cell>
          <cell r="AW115">
            <v>1250000000</v>
          </cell>
          <cell r="AX115">
            <v>2500000000</v>
          </cell>
          <cell r="AY115">
            <v>2006</v>
          </cell>
          <cell r="AZ115">
            <v>2018</v>
          </cell>
          <cell r="BA115" t="str">
            <v>Yes</v>
          </cell>
          <cell r="BB115" t="str">
            <v>Yes</v>
          </cell>
          <cell r="BC115" t="str">
            <v>2 years fixed</v>
          </cell>
          <cell r="BD115" t="str">
            <v>Yes</v>
          </cell>
          <cell r="BH115" t="str">
            <v>2020-12-31</v>
          </cell>
          <cell r="BI115">
            <v>5134443</v>
          </cell>
          <cell r="BJ115">
            <v>5134443</v>
          </cell>
          <cell r="BK115">
            <v>4934896</v>
          </cell>
          <cell r="BL115">
            <v>4934896</v>
          </cell>
          <cell r="BM115">
            <v>0</v>
          </cell>
          <cell r="BN115" t="str">
            <v>No</v>
          </cell>
          <cell r="BO115" t="str">
            <v>External</v>
          </cell>
          <cell r="BP115">
            <v>29</v>
          </cell>
          <cell r="BQ115">
            <v>0</v>
          </cell>
          <cell r="BR115">
            <v>526398000</v>
          </cell>
          <cell r="BS115">
            <v>526398000</v>
          </cell>
          <cell r="BT115">
            <v>526398000</v>
          </cell>
          <cell r="BU115">
            <v>526398000</v>
          </cell>
          <cell r="BV115" t="str">
            <v>No</v>
          </cell>
        </row>
        <row r="116">
          <cell r="A116">
            <v>554</v>
          </cell>
          <cell r="B116" t="str">
            <v>CBRE PAN EUROPEAN CORE FUND</v>
          </cell>
          <cell r="C116" t="str">
            <v>CBRE GLOBAL INVESTORS</v>
          </cell>
          <cell r="D116" t="str">
            <v>26-28 Rue Edward Steichen</v>
          </cell>
          <cell r="E116" t="str">
            <v>L-2540</v>
          </cell>
          <cell r="F116" t="str">
            <v>Luxembourg</v>
          </cell>
          <cell r="G116" t="str">
            <v>Luxembourg</v>
          </cell>
          <cell r="H116" t="str">
            <v>+352267329</v>
          </cell>
          <cell r="I116" t="str">
            <v>+35226386944</v>
          </cell>
          <cell r="J116" t="str">
            <v>http://www.cbreglobalinvestors.com</v>
          </cell>
          <cell r="K116" t="str">
            <v>Richard Everett</v>
          </cell>
          <cell r="L116" t="str">
            <v>richard.everett@cbreglobalinvestors.com</v>
          </cell>
          <cell r="M116" t="str">
            <v>+442078099136</v>
          </cell>
          <cell r="N116" t="str">
            <v>Gemma Badger</v>
          </cell>
          <cell r="O116" t="str">
            <v>gemma.badger@cbreglobalinvestors.com</v>
          </cell>
          <cell r="P116" t="str">
            <v>+442078099000</v>
          </cell>
          <cell r="Q116" t="str">
            <v>Luxembourg</v>
          </cell>
          <cell r="R116" t="str">
            <v>EUR</v>
          </cell>
          <cell r="S116" t="str">
            <v>IFRS</v>
          </cell>
          <cell r="T116" t="str">
            <v>Quarterly</v>
          </cell>
          <cell r="U116" t="str">
            <v>Quarterly</v>
          </cell>
          <cell r="V116" t="str">
            <v>RICS</v>
          </cell>
          <cell r="W116" t="str">
            <v>INREV NAV</v>
          </cell>
          <cell r="X116" t="str">
            <v>Ernst &amp; Young</v>
          </cell>
          <cell r="Y116" t="str">
            <v>SICAV</v>
          </cell>
          <cell r="Z116" t="str">
            <v>Yes</v>
          </cell>
          <cell r="AA116" t="str">
            <v>Yes</v>
          </cell>
          <cell r="AB116">
            <v>10</v>
          </cell>
          <cell r="AC116" t="str">
            <v>Non-Listed Fund</v>
          </cell>
          <cell r="AD116" t="str">
            <v>Core</v>
          </cell>
          <cell r="AE116" t="str">
            <v>infinite</v>
          </cell>
          <cell r="AF116" t="str">
            <v>Open end</v>
          </cell>
          <cell r="AG116">
            <v>8</v>
          </cell>
          <cell r="AH116">
            <v>10</v>
          </cell>
          <cell r="AI116" t="str">
            <v>Net</v>
          </cell>
          <cell r="AJ116" t="str">
            <v>Absolute return</v>
          </cell>
          <cell r="AK116">
            <v>4.5</v>
          </cell>
          <cell r="AL116">
            <v>30</v>
          </cell>
          <cell r="AM116" t="str">
            <v>≤ 40%</v>
          </cell>
          <cell r="AN116" t="str">
            <v>Institutional</v>
          </cell>
          <cell r="AO116" t="str">
            <v>&gt; 2</v>
          </cell>
          <cell r="AP116" t="str">
            <v>≥ 50%</v>
          </cell>
          <cell r="AQ116" t="str">
            <v>Europe</v>
          </cell>
          <cell r="AR116" t="str">
            <v>multi country</v>
          </cell>
          <cell r="AS116" t="str">
            <v>Europe</v>
          </cell>
          <cell r="AU116" t="str">
            <v>multi sector</v>
          </cell>
          <cell r="AW116">
            <v>3000000000</v>
          </cell>
          <cell r="AX116">
            <v>3500000000</v>
          </cell>
          <cell r="AY116">
            <v>2010</v>
          </cell>
          <cell r="BA116" t="str">
            <v>No</v>
          </cell>
          <cell r="BB116" t="str">
            <v>No</v>
          </cell>
          <cell r="BD116" t="str">
            <v>No</v>
          </cell>
          <cell r="BH116" t="str">
            <v>2020-12-31</v>
          </cell>
          <cell r="BI116">
            <v>5328000000</v>
          </cell>
          <cell r="BJ116">
            <v>5328000000</v>
          </cell>
          <cell r="BK116">
            <v>4407000000</v>
          </cell>
          <cell r="BL116">
            <v>4407000000</v>
          </cell>
          <cell r="BM116">
            <v>15.8</v>
          </cell>
          <cell r="BN116" t="str">
            <v>No</v>
          </cell>
          <cell r="BO116" t="str">
            <v>External</v>
          </cell>
          <cell r="BP116">
            <v>131</v>
          </cell>
          <cell r="BQ116">
            <v>72</v>
          </cell>
          <cell r="BR116">
            <v>5099399856</v>
          </cell>
          <cell r="BS116">
            <v>5099399856</v>
          </cell>
          <cell r="BT116">
            <v>4076601856</v>
          </cell>
          <cell r="BU116">
            <v>4076601856</v>
          </cell>
          <cell r="BV116" t="str">
            <v>Yes</v>
          </cell>
          <cell r="BW116" t="str">
            <v>United Kingdom</v>
          </cell>
          <cell r="BX116" t="str">
            <v>Office</v>
          </cell>
          <cell r="BY116">
            <v>5</v>
          </cell>
          <cell r="BZ116" t="str">
            <v>United Kingdom</v>
          </cell>
          <cell r="CA116" t="str">
            <v>Retail</v>
          </cell>
          <cell r="CB116">
            <v>4.7</v>
          </cell>
          <cell r="CC116" t="str">
            <v>Sweden</v>
          </cell>
          <cell r="CD116" t="str">
            <v>Office</v>
          </cell>
          <cell r="CE116">
            <v>2.2999999999999998</v>
          </cell>
          <cell r="CF116" t="str">
            <v>Poland</v>
          </cell>
          <cell r="CG116" t="str">
            <v>Industrial / Logistics</v>
          </cell>
          <cell r="CH116">
            <v>6.9</v>
          </cell>
          <cell r="CI116" t="str">
            <v>Norway</v>
          </cell>
          <cell r="CJ116" t="str">
            <v>Hotel</v>
          </cell>
          <cell r="CK116">
            <v>2</v>
          </cell>
          <cell r="CL116" t="str">
            <v>Norway</v>
          </cell>
          <cell r="CM116" t="str">
            <v>Retail</v>
          </cell>
          <cell r="CN116">
            <v>0.5</v>
          </cell>
          <cell r="CO116" t="str">
            <v>Netherlands</v>
          </cell>
          <cell r="CP116" t="str">
            <v>Residential</v>
          </cell>
          <cell r="CQ116">
            <v>10.3</v>
          </cell>
          <cell r="CR116" t="str">
            <v>Netherlands</v>
          </cell>
          <cell r="CS116" t="str">
            <v>Industrial / Logistics</v>
          </cell>
          <cell r="CT116">
            <v>5.5</v>
          </cell>
          <cell r="CU116" t="str">
            <v>Netherlands</v>
          </cell>
          <cell r="CV116" t="str">
            <v>Office</v>
          </cell>
          <cell r="CW116">
            <v>1</v>
          </cell>
          <cell r="CX116" t="str">
            <v>Italy</v>
          </cell>
          <cell r="CY116" t="str">
            <v>Retail</v>
          </cell>
          <cell r="CZ116">
            <v>4.9000000000000004</v>
          </cell>
          <cell r="DA116" t="str">
            <v>Germany</v>
          </cell>
          <cell r="DB116" t="str">
            <v>Hotel</v>
          </cell>
          <cell r="DC116">
            <v>1.6</v>
          </cell>
          <cell r="DD116" t="str">
            <v>Germany</v>
          </cell>
          <cell r="DE116" t="str">
            <v>Industrial / Logistics</v>
          </cell>
          <cell r="DF116">
            <v>7.7</v>
          </cell>
          <cell r="DG116" t="str">
            <v>Germany</v>
          </cell>
          <cell r="DH116" t="str">
            <v>Office</v>
          </cell>
          <cell r="DI116">
            <v>6.5</v>
          </cell>
          <cell r="DJ116" t="str">
            <v>Germany</v>
          </cell>
          <cell r="DK116" t="str">
            <v>Retail</v>
          </cell>
          <cell r="DL116">
            <v>10.1</v>
          </cell>
          <cell r="DM116" t="str">
            <v>France</v>
          </cell>
          <cell r="DN116" t="str">
            <v>Industrial / Logistics</v>
          </cell>
          <cell r="DO116">
            <v>6.4</v>
          </cell>
          <cell r="DP116" t="str">
            <v>France</v>
          </cell>
          <cell r="DQ116" t="str">
            <v>Office</v>
          </cell>
          <cell r="DR116">
            <v>10.199999999999999</v>
          </cell>
          <cell r="DS116" t="str">
            <v>France</v>
          </cell>
          <cell r="DT116" t="str">
            <v>Retail</v>
          </cell>
          <cell r="DU116">
            <v>3.1</v>
          </cell>
          <cell r="DV116" t="str">
            <v>Czech Republic</v>
          </cell>
          <cell r="DW116" t="str">
            <v>Industrial / Logistics</v>
          </cell>
          <cell r="DX116">
            <v>3.7</v>
          </cell>
          <cell r="DY116" t="str">
            <v>Czech Republic</v>
          </cell>
          <cell r="DZ116" t="str">
            <v>Retail</v>
          </cell>
          <cell r="EA116">
            <v>1.2</v>
          </cell>
          <cell r="EB116" t="str">
            <v>Belgium</v>
          </cell>
          <cell r="EC116" t="str">
            <v>Industrial / Logistics</v>
          </cell>
          <cell r="ED116">
            <v>1.5</v>
          </cell>
        </row>
        <row r="117">
          <cell r="A117">
            <v>18563</v>
          </cell>
          <cell r="B117" t="str">
            <v>CBRE PAN-EUROPEAN LOGISTICS VENTURE</v>
          </cell>
          <cell r="C117" t="str">
            <v>CBRE GLOBAL INVESTORS</v>
          </cell>
          <cell r="D117" t="str">
            <v>26-28 Rue Edward Steichen</v>
          </cell>
          <cell r="E117" t="str">
            <v>L-2540</v>
          </cell>
          <cell r="F117" t="str">
            <v>Luxembourg</v>
          </cell>
          <cell r="G117" t="str">
            <v>Luxembourg</v>
          </cell>
          <cell r="H117" t="str">
            <v>+35226386928</v>
          </cell>
          <cell r="I117" t="str">
            <v>+35226386944</v>
          </cell>
          <cell r="J117" t="str">
            <v>http://www.cbreglobalinvestors.com</v>
          </cell>
          <cell r="K117" t="str">
            <v>Laurie Lagarde</v>
          </cell>
          <cell r="L117" t="str">
            <v>laurie.lagarde@cbreglobalinvestors.com</v>
          </cell>
          <cell r="M117" t="str">
            <v>+33673758660</v>
          </cell>
          <cell r="N117" t="str">
            <v>Yme Bouma</v>
          </cell>
          <cell r="O117" t="str">
            <v>Investor.Services.EMEA@cbre.com</v>
          </cell>
          <cell r="P117" t="str">
            <v>+31202022320</v>
          </cell>
          <cell r="Q117" t="str">
            <v>Luxembourg</v>
          </cell>
          <cell r="R117" t="str">
            <v>EUR</v>
          </cell>
          <cell r="S117" t="str">
            <v>INREV NAV Guidelines</v>
          </cell>
          <cell r="T117" t="str">
            <v>Quarterly</v>
          </cell>
          <cell r="U117" t="str">
            <v>Quarterly</v>
          </cell>
          <cell r="V117" t="str">
            <v>DCF analysis</v>
          </cell>
          <cell r="W117" t="str">
            <v>INREV NAV</v>
          </cell>
          <cell r="X117" t="str">
            <v>Ernst &amp; Young</v>
          </cell>
          <cell r="Y117" t="str">
            <v>Limited Partnership</v>
          </cell>
          <cell r="Z117" t="str">
            <v>Yes</v>
          </cell>
          <cell r="AA117" t="str">
            <v>No</v>
          </cell>
          <cell r="AC117" t="str">
            <v>Non-Listed Fund</v>
          </cell>
          <cell r="AD117" t="str">
            <v>Core</v>
          </cell>
          <cell r="AE117" t="str">
            <v>finite</v>
          </cell>
          <cell r="AF117" t="str">
            <v>Closed end</v>
          </cell>
          <cell r="AM117" t="str">
            <v>≤ 40%</v>
          </cell>
          <cell r="AN117" t="str">
            <v>Institutional</v>
          </cell>
          <cell r="AO117" t="str">
            <v>&gt; 2</v>
          </cell>
          <cell r="AP117" t="str">
            <v>≥ 50%</v>
          </cell>
          <cell r="AQ117" t="str">
            <v>Europe</v>
          </cell>
          <cell r="AR117" t="str">
            <v>multi country</v>
          </cell>
          <cell r="AS117" t="str">
            <v>Western Europe</v>
          </cell>
          <cell r="AU117" t="str">
            <v>single sector</v>
          </cell>
          <cell r="AV117" t="str">
            <v>Industrial / Logistics</v>
          </cell>
          <cell r="AY117">
            <v>2015</v>
          </cell>
          <cell r="AZ117">
            <v>2020</v>
          </cell>
          <cell r="BA117" t="str">
            <v>No</v>
          </cell>
          <cell r="BB117" t="str">
            <v>Yes</v>
          </cell>
          <cell r="BC117" t="str">
            <v>1+1+1 years</v>
          </cell>
          <cell r="BD117" t="str">
            <v>Yes</v>
          </cell>
          <cell r="BH117" t="str">
            <v>2020-12-31</v>
          </cell>
          <cell r="BI117">
            <v>2043576</v>
          </cell>
          <cell r="BJ117">
            <v>2043576</v>
          </cell>
          <cell r="BK117">
            <v>1701041</v>
          </cell>
          <cell r="BL117">
            <v>1701041</v>
          </cell>
          <cell r="BM117">
            <v>0</v>
          </cell>
          <cell r="BN117" t="str">
            <v>No</v>
          </cell>
          <cell r="BO117" t="str">
            <v>External</v>
          </cell>
          <cell r="BP117">
            <v>12</v>
          </cell>
          <cell r="BQ117">
            <v>0</v>
          </cell>
          <cell r="BR117">
            <v>237300001</v>
          </cell>
          <cell r="BS117">
            <v>237300001</v>
          </cell>
          <cell r="BT117">
            <v>237300001</v>
          </cell>
          <cell r="BU117">
            <v>237300001</v>
          </cell>
          <cell r="BV117" t="str">
            <v>No</v>
          </cell>
          <cell r="BW117" t="str">
            <v>Netherlands</v>
          </cell>
          <cell r="BX117" t="str">
            <v>Industrial / Logistics</v>
          </cell>
          <cell r="BY117">
            <v>0</v>
          </cell>
          <cell r="BZ117" t="str">
            <v>Spain</v>
          </cell>
          <cell r="CA117" t="str">
            <v>Industrial / Logistics</v>
          </cell>
          <cell r="CB117">
            <v>0</v>
          </cell>
          <cell r="CC117" t="str">
            <v>Germany</v>
          </cell>
          <cell r="CD117" t="str">
            <v>Industrial / Logistics</v>
          </cell>
          <cell r="CE117">
            <v>0</v>
          </cell>
        </row>
        <row r="118">
          <cell r="A118">
            <v>276</v>
          </cell>
          <cell r="B118" t="str">
            <v>CBRE PROPERTY FUND CENTRAL AND EASTERN EUROPE</v>
          </cell>
          <cell r="C118" t="str">
            <v>CBRE GLOBAL INVESTORS</v>
          </cell>
          <cell r="D118" t="str">
            <v>PO Box 75620</v>
          </cell>
          <cell r="E118" t="str">
            <v>1118 ZR</v>
          </cell>
          <cell r="F118" t="str">
            <v>Schiphol</v>
          </cell>
          <cell r="G118" t="str">
            <v>Netherlands</v>
          </cell>
          <cell r="H118" t="str">
            <v>+31 20 202 2271</v>
          </cell>
          <cell r="I118" t="str">
            <v>+31 20 202 2301</v>
          </cell>
          <cell r="J118" t="str">
            <v>http://www.cbreglobalinvestors.com</v>
          </cell>
          <cell r="K118" t="str">
            <v>Robert Snincak</v>
          </cell>
          <cell r="L118" t="str">
            <v>Investor.Services.EMEA@cbreglobalinvestors.com</v>
          </cell>
          <cell r="M118" t="str">
            <v>+420 296 502 100</v>
          </cell>
          <cell r="N118" t="str">
            <v>Yme Bouma</v>
          </cell>
          <cell r="O118" t="str">
            <v>Investor.Services.EMEA@cbreglobalinvestors.com</v>
          </cell>
          <cell r="P118" t="str">
            <v>+31 20 202 2301</v>
          </cell>
          <cell r="Q118" t="str">
            <v>Netherlands</v>
          </cell>
          <cell r="R118" t="str">
            <v>EUR</v>
          </cell>
          <cell r="S118" t="str">
            <v>IFRS</v>
          </cell>
          <cell r="T118" t="str">
            <v>Quarterly</v>
          </cell>
          <cell r="U118" t="str">
            <v>Annually</v>
          </cell>
          <cell r="V118" t="str">
            <v>RICS</v>
          </cell>
          <cell r="W118" t="str">
            <v>INREV NAV</v>
          </cell>
          <cell r="X118" t="str">
            <v>Ernst &amp; Young</v>
          </cell>
          <cell r="Y118" t="str">
            <v>Dutch FGR</v>
          </cell>
          <cell r="Z118" t="str">
            <v>Yes</v>
          </cell>
          <cell r="AB118">
            <v>0</v>
          </cell>
          <cell r="AC118" t="str">
            <v>Non-Listed Fund</v>
          </cell>
          <cell r="AD118" t="str">
            <v>Core</v>
          </cell>
          <cell r="AE118" t="str">
            <v>infinite</v>
          </cell>
          <cell r="AF118" t="str">
            <v>Open end</v>
          </cell>
          <cell r="AG118">
            <v>10</v>
          </cell>
          <cell r="AH118">
            <v>11</v>
          </cell>
          <cell r="AI118" t="str">
            <v>Net</v>
          </cell>
          <cell r="AJ118" t="str">
            <v>None</v>
          </cell>
          <cell r="AL118">
            <v>60</v>
          </cell>
          <cell r="AM118" t="str">
            <v>≤ 40%</v>
          </cell>
          <cell r="AN118" t="str">
            <v>Institutional</v>
          </cell>
          <cell r="AO118" t="str">
            <v>&gt; 2</v>
          </cell>
          <cell r="AP118" t="str">
            <v>≥ 50%</v>
          </cell>
          <cell r="AQ118" t="str">
            <v>Europe</v>
          </cell>
          <cell r="AR118" t="str">
            <v>multi country</v>
          </cell>
          <cell r="AS118" t="str">
            <v>Central and Eastern Europe(CEE)</v>
          </cell>
          <cell r="AU118" t="str">
            <v>multi sector</v>
          </cell>
          <cell r="AW118">
            <v>400000000</v>
          </cell>
          <cell r="AX118">
            <v>1000000000</v>
          </cell>
          <cell r="AY118">
            <v>2006</v>
          </cell>
          <cell r="BH118" t="str">
            <v>2020-12-31</v>
          </cell>
          <cell r="BI118">
            <v>163283155</v>
          </cell>
          <cell r="BJ118">
            <v>163283155</v>
          </cell>
          <cell r="BK118">
            <v>126943060</v>
          </cell>
          <cell r="BL118">
            <v>126943060</v>
          </cell>
          <cell r="BM118">
            <v>13.5</v>
          </cell>
          <cell r="BN118" t="str">
            <v>No</v>
          </cell>
          <cell r="BO118" t="str">
            <v>External</v>
          </cell>
          <cell r="BP118">
            <v>3</v>
          </cell>
          <cell r="BQ118">
            <v>2</v>
          </cell>
          <cell r="BR118">
            <v>123975000</v>
          </cell>
          <cell r="BS118">
            <v>123975000</v>
          </cell>
          <cell r="BT118">
            <v>123975000</v>
          </cell>
          <cell r="BU118">
            <v>123975000</v>
          </cell>
          <cell r="BV118" t="str">
            <v>No</v>
          </cell>
          <cell r="BW118" t="str">
            <v>Slovakia</v>
          </cell>
          <cell r="BX118" t="str">
            <v>Retail</v>
          </cell>
          <cell r="BY118">
            <v>87</v>
          </cell>
          <cell r="BZ118" t="str">
            <v>Hungary</v>
          </cell>
          <cell r="CA118" t="str">
            <v>Office</v>
          </cell>
          <cell r="CB118">
            <v>13</v>
          </cell>
        </row>
        <row r="119">
          <cell r="A119">
            <v>287</v>
          </cell>
          <cell r="B119" t="str">
            <v>CBRE RETAIL PROPERTY FUND IBERICA</v>
          </cell>
          <cell r="C119" t="str">
            <v>CBRE GLOBAL INVESTORS</v>
          </cell>
          <cell r="D119" t="str">
            <v>PO Box 75620</v>
          </cell>
          <cell r="E119" t="str">
            <v>1118 ZR</v>
          </cell>
          <cell r="F119" t="str">
            <v>Schiphol</v>
          </cell>
          <cell r="G119" t="str">
            <v>Netherlands</v>
          </cell>
          <cell r="H119" t="str">
            <v>+31202022200</v>
          </cell>
          <cell r="I119" t="str">
            <v>+31202022301</v>
          </cell>
          <cell r="J119" t="str">
            <v>http://www.cbreglobalinvestors.com</v>
          </cell>
          <cell r="K119" t="str">
            <v>Antonio Simonatelero</v>
          </cell>
          <cell r="L119" t="str">
            <v>Investor.Services.EMEA@cbreglobalinvestors.com</v>
          </cell>
          <cell r="M119" t="str">
            <v>+34915668065</v>
          </cell>
          <cell r="N119" t="str">
            <v>Yme Bouma</v>
          </cell>
          <cell r="O119" t="str">
            <v>Investor.Services.EMEA@cbreglobalinvestors.com</v>
          </cell>
          <cell r="P119" t="str">
            <v>+31202022320</v>
          </cell>
          <cell r="Q119" t="str">
            <v>Netherlands</v>
          </cell>
          <cell r="R119" t="str">
            <v>EUR</v>
          </cell>
          <cell r="S119" t="str">
            <v>IFRS</v>
          </cell>
          <cell r="T119" t="str">
            <v>Quarterly</v>
          </cell>
          <cell r="U119" t="str">
            <v>Annually</v>
          </cell>
          <cell r="V119" t="str">
            <v>RICS</v>
          </cell>
          <cell r="W119" t="str">
            <v>INREV NAV</v>
          </cell>
          <cell r="X119" t="str">
            <v>Ernst &amp; Young</v>
          </cell>
          <cell r="Y119" t="str">
            <v>FGR</v>
          </cell>
          <cell r="Z119" t="str">
            <v>Yes</v>
          </cell>
          <cell r="AA119" t="str">
            <v>Yes</v>
          </cell>
          <cell r="AB119">
            <v>3</v>
          </cell>
          <cell r="AC119" t="str">
            <v>Non-Listed Fund</v>
          </cell>
          <cell r="AD119" t="str">
            <v>Core</v>
          </cell>
          <cell r="AE119" t="str">
            <v>infinite</v>
          </cell>
          <cell r="AF119" t="str">
            <v>Open end</v>
          </cell>
          <cell r="AG119">
            <v>11</v>
          </cell>
          <cell r="AH119">
            <v>14</v>
          </cell>
          <cell r="AI119" t="str">
            <v>Net</v>
          </cell>
          <cell r="AJ119" t="str">
            <v>None</v>
          </cell>
          <cell r="AL119">
            <v>50</v>
          </cell>
          <cell r="AM119" t="str">
            <v>&gt; 40% - ≤ 60%</v>
          </cell>
          <cell r="AN119" t="str">
            <v>Institutional</v>
          </cell>
          <cell r="AO119" t="str">
            <v>&gt; 2</v>
          </cell>
          <cell r="AP119" t="str">
            <v>≥ 50%</v>
          </cell>
          <cell r="AQ119" t="str">
            <v>Europe</v>
          </cell>
          <cell r="AR119" t="str">
            <v>multi country</v>
          </cell>
          <cell r="AS119" t="str">
            <v>Southern Europe</v>
          </cell>
          <cell r="AU119" t="str">
            <v>single sector</v>
          </cell>
          <cell r="AV119" t="str">
            <v>Retail</v>
          </cell>
          <cell r="AW119">
            <v>500000000</v>
          </cell>
          <cell r="AX119">
            <v>1000000000</v>
          </cell>
          <cell r="AY119">
            <v>2000</v>
          </cell>
          <cell r="AZ119">
            <v>2019</v>
          </cell>
          <cell r="BA119" t="str">
            <v>Yes</v>
          </cell>
          <cell r="BB119" t="str">
            <v>Yes</v>
          </cell>
          <cell r="BC119" t="str">
            <v>2 years</v>
          </cell>
          <cell r="BD119" t="str">
            <v>Yes</v>
          </cell>
          <cell r="BH119" t="str">
            <v>2020-12-31</v>
          </cell>
          <cell r="BI119">
            <v>985154000</v>
          </cell>
          <cell r="BJ119">
            <v>985154000</v>
          </cell>
          <cell r="BK119">
            <v>521032000</v>
          </cell>
          <cell r="BL119">
            <v>521032000</v>
          </cell>
          <cell r="BM119">
            <v>33</v>
          </cell>
          <cell r="BN119" t="str">
            <v>No</v>
          </cell>
          <cell r="BO119" t="str">
            <v>External</v>
          </cell>
          <cell r="BP119">
            <v>4</v>
          </cell>
          <cell r="BQ119">
            <v>4</v>
          </cell>
          <cell r="BR119">
            <v>311114000</v>
          </cell>
          <cell r="BS119">
            <v>311114000</v>
          </cell>
          <cell r="BT119">
            <v>322674685</v>
          </cell>
          <cell r="BU119">
            <v>322674685</v>
          </cell>
          <cell r="BV119" t="str">
            <v>No</v>
          </cell>
          <cell r="BW119" t="str">
            <v>Portugal</v>
          </cell>
          <cell r="BX119" t="str">
            <v>Retail</v>
          </cell>
          <cell r="BY119">
            <v>85</v>
          </cell>
          <cell r="BZ119" t="str">
            <v>Spain</v>
          </cell>
          <cell r="CA119" t="str">
            <v>Retail</v>
          </cell>
          <cell r="CB119">
            <v>15</v>
          </cell>
        </row>
        <row r="120">
          <cell r="A120">
            <v>19344</v>
          </cell>
          <cell r="B120" t="str">
            <v>CBRE UK AFFORDABLE HOUSING FUND</v>
          </cell>
          <cell r="C120" t="str">
            <v>CBRE GLOBAL INVESTORS (UK FUNDS) LIMITED</v>
          </cell>
          <cell r="D120" t="str">
            <v>Third Floor, One New Change</v>
          </cell>
          <cell r="E120" t="str">
            <v>EC4M 9AF</v>
          </cell>
          <cell r="F120" t="str">
            <v>London</v>
          </cell>
          <cell r="G120" t="str">
            <v>United Kingdom</v>
          </cell>
          <cell r="H120" t="str">
            <v>+44(0)2078099000</v>
          </cell>
          <cell r="I120" t="str">
            <v>+44(0)2078099001</v>
          </cell>
          <cell r="K120" t="str">
            <v>Dhananjai Dhananjai</v>
          </cell>
          <cell r="L120" t="str">
            <v>dhananjai.d@cbreglobalinvestors.com</v>
          </cell>
          <cell r="M120" t="str">
            <v>+44(0)2078099035</v>
          </cell>
          <cell r="N120" t="str">
            <v>Helene Sterzl</v>
          </cell>
          <cell r="O120" t="str">
            <v>helene.sterzl@cbreglobalinvestors.com</v>
          </cell>
          <cell r="P120" t="str">
            <v>+44(0)2078099000</v>
          </cell>
          <cell r="Q120" t="str">
            <v>United Kingdom</v>
          </cell>
          <cell r="R120" t="str">
            <v>GBP</v>
          </cell>
          <cell r="S120" t="str">
            <v>Local GAAP</v>
          </cell>
          <cell r="T120" t="str">
            <v>Quarterly</v>
          </cell>
          <cell r="U120" t="str">
            <v>Monthly</v>
          </cell>
          <cell r="V120" t="str">
            <v>RICS</v>
          </cell>
          <cell r="W120" t="str">
            <v>Local GAAP</v>
          </cell>
          <cell r="X120" t="str">
            <v>Deloitte LLP</v>
          </cell>
          <cell r="Y120" t="str">
            <v>Real Estate Collective Investment</v>
          </cell>
          <cell r="Z120" t="str">
            <v>No</v>
          </cell>
          <cell r="AA120" t="str">
            <v>No</v>
          </cell>
          <cell r="AB120">
            <v>0</v>
          </cell>
          <cell r="AC120" t="str">
            <v>Non-Listed Fund</v>
          </cell>
          <cell r="AD120" t="str">
            <v>Core</v>
          </cell>
          <cell r="AE120" t="str">
            <v>infinite</v>
          </cell>
          <cell r="AF120" t="str">
            <v>Open end</v>
          </cell>
          <cell r="AH120">
            <v>6</v>
          </cell>
          <cell r="AK120">
            <v>4</v>
          </cell>
          <cell r="AM120" t="str">
            <v>≤ 40%</v>
          </cell>
          <cell r="AN120" t="str">
            <v>Institutional</v>
          </cell>
          <cell r="AO120" t="str">
            <v>&gt; 2</v>
          </cell>
          <cell r="AP120" t="str">
            <v>≥ 50%</v>
          </cell>
          <cell r="AQ120" t="str">
            <v>Europe</v>
          </cell>
          <cell r="AR120" t="str">
            <v>single country</v>
          </cell>
          <cell r="AT120" t="str">
            <v>United Kingdom</v>
          </cell>
          <cell r="AU120" t="str">
            <v>single sector</v>
          </cell>
          <cell r="AV120" t="str">
            <v>Development Residential</v>
          </cell>
          <cell r="AW120">
            <v>1000000000</v>
          </cell>
          <cell r="AX120">
            <v>1000000000</v>
          </cell>
          <cell r="AY120">
            <v>2018</v>
          </cell>
          <cell r="BD120" t="str">
            <v>No</v>
          </cell>
          <cell r="BF120" t="str">
            <v>≤ 15%</v>
          </cell>
          <cell r="BG120" t="str">
            <v>&gt; 5 - ≤ 25%</v>
          </cell>
          <cell r="BH120" t="str">
            <v>2020-12-31</v>
          </cell>
          <cell r="BI120">
            <v>81352712</v>
          </cell>
          <cell r="BJ120">
            <v>89939417.127395645</v>
          </cell>
          <cell r="BK120">
            <v>98502066</v>
          </cell>
          <cell r="BL120">
            <v>108898869.9219303</v>
          </cell>
          <cell r="BM120">
            <v>0</v>
          </cell>
          <cell r="BN120" t="str">
            <v>No</v>
          </cell>
          <cell r="BO120" t="str">
            <v>External</v>
          </cell>
          <cell r="BP120">
            <v>12</v>
          </cell>
          <cell r="BQ120">
            <v>12</v>
          </cell>
          <cell r="BR120">
            <v>244000000</v>
          </cell>
          <cell r="BS120">
            <v>267900902.1724</v>
          </cell>
          <cell r="BT120">
            <v>103700000</v>
          </cell>
          <cell r="BU120">
            <v>113857883.42327</v>
          </cell>
          <cell r="BV120" t="str">
            <v>Yes</v>
          </cell>
          <cell r="BW120" t="str">
            <v>United Kingdom</v>
          </cell>
          <cell r="BX120" t="str">
            <v>Residential</v>
          </cell>
          <cell r="BY120">
            <v>82.59</v>
          </cell>
        </row>
        <row r="121">
          <cell r="A121">
            <v>19147</v>
          </cell>
          <cell r="B121" t="str">
            <v>CBRE UK LONG INCOME FUND</v>
          </cell>
          <cell r="C121" t="str">
            <v>CBRE GLOBAL INVESTORS (UK FUNDS) LIMITED</v>
          </cell>
          <cell r="D121" t="str">
            <v>Third Floor, One New Change</v>
          </cell>
          <cell r="E121" t="str">
            <v>EC4M 9AF</v>
          </cell>
          <cell r="F121" t="str">
            <v>London</v>
          </cell>
          <cell r="G121" t="str">
            <v>United Kingdom</v>
          </cell>
          <cell r="H121">
            <v>2078099000</v>
          </cell>
          <cell r="I121">
            <v>2078099001</v>
          </cell>
          <cell r="K121" t="str">
            <v>CBRE Global Investors (UK) Limited</v>
          </cell>
          <cell r="L121" t="str">
            <v>cbreuklif@cbreglobalinvestors.com</v>
          </cell>
          <cell r="M121">
            <v>2078099035</v>
          </cell>
          <cell r="N121" t="str">
            <v>Andrew Davey</v>
          </cell>
          <cell r="O121" t="str">
            <v>cbreuklif@cbreglobalinvestors.com</v>
          </cell>
          <cell r="P121">
            <v>2078099035</v>
          </cell>
          <cell r="Q121" t="str">
            <v>United Kingdom</v>
          </cell>
          <cell r="R121" t="str">
            <v>GBP</v>
          </cell>
          <cell r="S121" t="str">
            <v>Local GAAP</v>
          </cell>
          <cell r="T121" t="str">
            <v>Quarterly</v>
          </cell>
          <cell r="U121" t="str">
            <v>Quarterly</v>
          </cell>
          <cell r="V121" t="str">
            <v>RICS</v>
          </cell>
          <cell r="W121" t="str">
            <v>IFRS NAV</v>
          </cell>
          <cell r="X121" t="str">
            <v>Ernst&amp; Young LLP</v>
          </cell>
          <cell r="Y121" t="str">
            <v>Real Estate Collective Investment</v>
          </cell>
          <cell r="Z121" t="str">
            <v>No</v>
          </cell>
          <cell r="AA121" t="str">
            <v>No</v>
          </cell>
          <cell r="AB121">
            <v>0</v>
          </cell>
          <cell r="AC121" t="str">
            <v>Non-Listed Fund</v>
          </cell>
          <cell r="AD121" t="str">
            <v>Core</v>
          </cell>
          <cell r="AE121" t="str">
            <v>finite</v>
          </cell>
          <cell r="AF121" t="str">
            <v>Open end</v>
          </cell>
          <cell r="AK121">
            <v>4</v>
          </cell>
          <cell r="AM121" t="str">
            <v>≤ 40%</v>
          </cell>
          <cell r="AN121" t="str">
            <v>Institutional</v>
          </cell>
          <cell r="AO121" t="str">
            <v>&gt; 2</v>
          </cell>
          <cell r="AP121" t="str">
            <v>≥ 50%</v>
          </cell>
          <cell r="AQ121" t="str">
            <v>Europe</v>
          </cell>
          <cell r="AR121" t="str">
            <v>single country</v>
          </cell>
          <cell r="AT121" t="str">
            <v>United Kingdom</v>
          </cell>
          <cell r="AU121" t="str">
            <v>multi sector</v>
          </cell>
          <cell r="AW121">
            <v>1500000000</v>
          </cell>
          <cell r="AX121">
            <v>1500000000</v>
          </cell>
          <cell r="AY121">
            <v>2018</v>
          </cell>
          <cell r="BA121" t="str">
            <v>No</v>
          </cell>
          <cell r="BD121" t="str">
            <v>No</v>
          </cell>
          <cell r="BF121" t="str">
            <v>≤ 15%</v>
          </cell>
          <cell r="BG121" t="str">
            <v>≤ 5%</v>
          </cell>
          <cell r="BH121" t="str">
            <v>2020-12-31</v>
          </cell>
          <cell r="BI121">
            <v>174736038</v>
          </cell>
          <cell r="BJ121">
            <v>193179268.67478561</v>
          </cell>
          <cell r="BK121">
            <v>186075755</v>
          </cell>
          <cell r="BL121">
            <v>205715882.54169169</v>
          </cell>
          <cell r="BM121">
            <v>0</v>
          </cell>
          <cell r="BN121" t="str">
            <v>No</v>
          </cell>
          <cell r="BO121" t="str">
            <v>External</v>
          </cell>
          <cell r="BP121">
            <v>6</v>
          </cell>
          <cell r="BQ121">
            <v>32</v>
          </cell>
          <cell r="BR121">
            <v>300000000</v>
          </cell>
          <cell r="BS121">
            <v>329386355.13</v>
          </cell>
          <cell r="BT121">
            <v>190506180</v>
          </cell>
          <cell r="BU121">
            <v>209167120.86646569</v>
          </cell>
          <cell r="BV121" t="str">
            <v>Yes</v>
          </cell>
          <cell r="BW121" t="str">
            <v>United Kingdom</v>
          </cell>
          <cell r="BX121" t="str">
            <v>Other</v>
          </cell>
          <cell r="BY121">
            <v>24</v>
          </cell>
          <cell r="BZ121" t="str">
            <v>United Kingdom</v>
          </cell>
          <cell r="CA121" t="str">
            <v>Industrial / Logistics</v>
          </cell>
          <cell r="CB121">
            <v>6</v>
          </cell>
          <cell r="CC121" t="str">
            <v>United Kingdom</v>
          </cell>
          <cell r="CD121" t="str">
            <v>Hotel</v>
          </cell>
          <cell r="CE121">
            <v>19</v>
          </cell>
          <cell r="CF121" t="str">
            <v>United Kingdom</v>
          </cell>
          <cell r="CG121" t="str">
            <v>Retail</v>
          </cell>
          <cell r="CH121">
            <v>50</v>
          </cell>
        </row>
        <row r="122">
          <cell r="A122">
            <v>274</v>
          </cell>
          <cell r="B122" t="str">
            <v>CBRE UK PROPERTY PAIF</v>
          </cell>
          <cell r="C122" t="str">
            <v>CBRE GLOBAL INVESTORS</v>
          </cell>
          <cell r="D122" t="str">
            <v>One New Change, 3rd Floor</v>
          </cell>
          <cell r="E122" t="str">
            <v>EC4M 9 AF</v>
          </cell>
          <cell r="F122" t="str">
            <v>London</v>
          </cell>
          <cell r="G122" t="str">
            <v>United Kingdom</v>
          </cell>
          <cell r="H122" t="str">
            <v>+44 (0) 20 78099000</v>
          </cell>
          <cell r="I122" t="str">
            <v>+44 (0) 20 78099035</v>
          </cell>
          <cell r="J122" t="str">
            <v>http://www.cbreglobalinvestors.com</v>
          </cell>
          <cell r="K122" t="str">
            <v>Hannah Marshall</v>
          </cell>
          <cell r="L122" t="str">
            <v>Hannah.Marshall@cbreglobalinvestors.com</v>
          </cell>
          <cell r="M122" t="str">
            <v>+44 (0) 20 78099338</v>
          </cell>
          <cell r="N122" t="str">
            <v xml:space="preserve">Investor Relations </v>
          </cell>
          <cell r="O122" t="str">
            <v>helene.sterzl@cbreglobalinvestors.com</v>
          </cell>
          <cell r="P122" t="str">
            <v>+44 (0) 20 78099096</v>
          </cell>
          <cell r="Q122" t="str">
            <v>United Kingdom</v>
          </cell>
          <cell r="R122" t="str">
            <v>GBP</v>
          </cell>
          <cell r="S122" t="str">
            <v>IFRS</v>
          </cell>
          <cell r="T122" t="str">
            <v>Annually</v>
          </cell>
          <cell r="U122" t="str">
            <v>Monthly</v>
          </cell>
          <cell r="V122" t="str">
            <v>RICS</v>
          </cell>
          <cell r="W122" t="str">
            <v>UK GAAP</v>
          </cell>
          <cell r="X122" t="str">
            <v>Ernst &amp; Young</v>
          </cell>
          <cell r="Y122" t="str">
            <v>Property Authorised Investment Fund</v>
          </cell>
          <cell r="Z122" t="str">
            <v>No</v>
          </cell>
          <cell r="AA122" t="str">
            <v>Yes</v>
          </cell>
          <cell r="AB122">
            <v>0</v>
          </cell>
          <cell r="AC122" t="str">
            <v>Non-Listed Fund</v>
          </cell>
          <cell r="AD122" t="str">
            <v>Core</v>
          </cell>
          <cell r="AE122" t="str">
            <v>finite</v>
          </cell>
          <cell r="AF122" t="str">
            <v>Open end</v>
          </cell>
          <cell r="AI122" t="str">
            <v>Gross</v>
          </cell>
          <cell r="AJ122" t="str">
            <v>IPD UK Pooled Property Fund Indices All Balanced Funds Index</v>
          </cell>
          <cell r="AK122">
            <v>5</v>
          </cell>
          <cell r="AN122" t="str">
            <v>Institutional</v>
          </cell>
          <cell r="AO122" t="str">
            <v>&gt; 2</v>
          </cell>
          <cell r="AP122" t="str">
            <v>≥ 50%</v>
          </cell>
          <cell r="AQ122" t="str">
            <v>Europe</v>
          </cell>
          <cell r="AR122" t="str">
            <v>single country</v>
          </cell>
          <cell r="AT122" t="str">
            <v>United Kingdom</v>
          </cell>
          <cell r="AU122" t="str">
            <v>multi sector</v>
          </cell>
          <cell r="AW122">
            <v>2000000000</v>
          </cell>
          <cell r="AX122">
            <v>2000000000</v>
          </cell>
          <cell r="AY122">
            <v>1997</v>
          </cell>
          <cell r="AZ122">
            <v>2025</v>
          </cell>
          <cell r="BA122" t="str">
            <v>Yes</v>
          </cell>
          <cell r="BB122" t="str">
            <v>No</v>
          </cell>
          <cell r="BH122" t="str">
            <v>2020-12-31</v>
          </cell>
          <cell r="BI122">
            <v>1323720000</v>
          </cell>
          <cell r="BJ122">
            <v>1463437448.0334001</v>
          </cell>
          <cell r="BK122">
            <v>1444502050</v>
          </cell>
          <cell r="BL122">
            <v>1596967934.1031449</v>
          </cell>
          <cell r="BM122">
            <v>0</v>
          </cell>
          <cell r="BN122" t="str">
            <v>No</v>
          </cell>
          <cell r="BO122" t="str">
            <v>External</v>
          </cell>
          <cell r="BP122">
            <v>46</v>
          </cell>
          <cell r="BQ122">
            <v>59</v>
          </cell>
          <cell r="BR122">
            <v>1444502050</v>
          </cell>
          <cell r="BS122">
            <v>1585997550.75771</v>
          </cell>
          <cell r="BT122">
            <v>1444502050</v>
          </cell>
          <cell r="BU122">
            <v>1585997550.75771</v>
          </cell>
          <cell r="BV122" t="str">
            <v>Yes</v>
          </cell>
          <cell r="BW122" t="str">
            <v>United Kingdom</v>
          </cell>
          <cell r="BX122" t="str">
            <v>Other</v>
          </cell>
          <cell r="BY122">
            <v>6.5</v>
          </cell>
          <cell r="BZ122" t="str">
            <v>United Kingdom</v>
          </cell>
          <cell r="CA122" t="str">
            <v>Industrial / Logistics</v>
          </cell>
          <cell r="CB122">
            <v>41.7</v>
          </cell>
          <cell r="CC122" t="str">
            <v>United Kingdom</v>
          </cell>
          <cell r="CD122" t="str">
            <v>Retail</v>
          </cell>
          <cell r="CE122">
            <v>25.3</v>
          </cell>
          <cell r="CF122" t="str">
            <v>United Kingdom</v>
          </cell>
          <cell r="CG122" t="str">
            <v>Office</v>
          </cell>
          <cell r="CH122">
            <v>17.5</v>
          </cell>
        </row>
        <row r="123">
          <cell r="A123">
            <v>18387</v>
          </cell>
          <cell r="B123" t="str">
            <v>CEFI WOHNEN</v>
          </cell>
          <cell r="C123" t="str">
            <v>PATRIZIA WOHNINVEST KVG MBH</v>
          </cell>
          <cell r="D123" t="str">
            <v>Fuggerstr. 26</v>
          </cell>
          <cell r="E123">
            <v>86150</v>
          </cell>
          <cell r="F123" t="str">
            <v>Augsburg</v>
          </cell>
          <cell r="G123" t="str">
            <v>Germany</v>
          </cell>
          <cell r="Q123" t="str">
            <v>Germany</v>
          </cell>
          <cell r="R123" t="str">
            <v>EUR</v>
          </cell>
          <cell r="T123" t="str">
            <v>Monthly</v>
          </cell>
          <cell r="U123" t="str">
            <v>Annually</v>
          </cell>
          <cell r="V123" t="str">
            <v>ImmoWertV</v>
          </cell>
          <cell r="W123" t="str">
            <v>KAGB</v>
          </cell>
          <cell r="Y123" t="str">
            <v>Spezialfonds</v>
          </cell>
          <cell r="Z123" t="str">
            <v>No</v>
          </cell>
          <cell r="AC123" t="str">
            <v>Non-Listed Fund</v>
          </cell>
          <cell r="AD123" t="str">
            <v>Core</v>
          </cell>
          <cell r="AE123" t="str">
            <v>infinite</v>
          </cell>
          <cell r="AF123" t="str">
            <v>Open end</v>
          </cell>
          <cell r="AN123" t="str">
            <v>Institutional</v>
          </cell>
          <cell r="AO123" t="str">
            <v>&gt; 2</v>
          </cell>
          <cell r="AP123" t="str">
            <v>≥ 50%</v>
          </cell>
          <cell r="AQ123" t="str">
            <v>Europe</v>
          </cell>
          <cell r="AR123" t="str">
            <v>multi country</v>
          </cell>
          <cell r="AS123" t="str">
            <v>Europe</v>
          </cell>
          <cell r="AU123" t="str">
            <v>single sector</v>
          </cell>
          <cell r="AV123" t="str">
            <v>Residential</v>
          </cell>
          <cell r="AY123">
            <v>2017</v>
          </cell>
          <cell r="BH123" t="str">
            <v>2020-12-31</v>
          </cell>
          <cell r="BI123">
            <v>174205569</v>
          </cell>
          <cell r="BJ123">
            <v>174205569</v>
          </cell>
          <cell r="BK123">
            <v>173419442</v>
          </cell>
          <cell r="BL123">
            <v>173419442</v>
          </cell>
          <cell r="BM123">
            <v>34.44</v>
          </cell>
          <cell r="BN123" t="str">
            <v>No</v>
          </cell>
          <cell r="BO123" t="str">
            <v>External</v>
          </cell>
          <cell r="BP123">
            <v>6</v>
          </cell>
          <cell r="BQ123">
            <v>5</v>
          </cell>
          <cell r="BR123">
            <v>150000000</v>
          </cell>
          <cell r="BS123">
            <v>150000000</v>
          </cell>
          <cell r="BT123">
            <v>162964460.56999999</v>
          </cell>
          <cell r="BU123">
            <v>162964460.56999999</v>
          </cell>
          <cell r="BV123" t="str">
            <v>No</v>
          </cell>
          <cell r="BW123" t="str">
            <v>Germany</v>
          </cell>
          <cell r="BX123" t="str">
            <v>Residential</v>
          </cell>
          <cell r="BY123">
            <v>21</v>
          </cell>
          <cell r="BZ123" t="str">
            <v>Denmark</v>
          </cell>
          <cell r="CA123" t="str">
            <v>Residential</v>
          </cell>
          <cell r="CB123">
            <v>60</v>
          </cell>
          <cell r="CC123" t="str">
            <v>Netherlands</v>
          </cell>
          <cell r="CD123" t="str">
            <v>Residential</v>
          </cell>
          <cell r="CE123">
            <v>19</v>
          </cell>
        </row>
        <row r="124">
          <cell r="A124">
            <v>232</v>
          </cell>
          <cell r="B124" t="str">
            <v>CENTRAL LONDON OFFICE FUND</v>
          </cell>
          <cell r="C124" t="str">
            <v>HENDERSON GLOBAL INVESTORS</v>
          </cell>
          <cell r="D124" t="str">
            <v>201 Bishopsgate</v>
          </cell>
          <cell r="E124" t="str">
            <v>EC2M 3AE</v>
          </cell>
          <cell r="F124" t="str">
            <v>London</v>
          </cell>
          <cell r="G124" t="str">
            <v>United Kingdom</v>
          </cell>
          <cell r="H124" t="str">
            <v>+44 (0) 20 7818 1818</v>
          </cell>
          <cell r="I124" t="str">
            <v>+44 (0) 20 7818 1819</v>
          </cell>
          <cell r="J124" t="str">
            <v>http://www.henderson.com/property</v>
          </cell>
          <cell r="K124" t="str">
            <v>Clive Castle</v>
          </cell>
          <cell r="L124" t="str">
            <v>clive.castle@henderson.com</v>
          </cell>
          <cell r="M124" t="str">
            <v>+44 (0) 20 7818 5603</v>
          </cell>
          <cell r="N124" t="str">
            <v>Wayne Saville</v>
          </cell>
          <cell r="O124" t="str">
            <v>wayne.saville@henderson.com</v>
          </cell>
          <cell r="P124" t="str">
            <v>+44 (0) 20 7818 1819</v>
          </cell>
          <cell r="Q124" t="str">
            <v>Jersey</v>
          </cell>
          <cell r="R124" t="str">
            <v>GBP</v>
          </cell>
          <cell r="S124" t="str">
            <v>Local GAAP</v>
          </cell>
          <cell r="T124" t="str">
            <v>Twice per year</v>
          </cell>
          <cell r="U124" t="str">
            <v>Monthly</v>
          </cell>
          <cell r="V124" t="str">
            <v>RICS</v>
          </cell>
          <cell r="W124" t="str">
            <v>UK GAAP</v>
          </cell>
          <cell r="X124" t="str">
            <v>KPMG</v>
          </cell>
          <cell r="Y124" t="str">
            <v>Property Unit Trust</v>
          </cell>
          <cell r="AA124" t="str">
            <v>Yes</v>
          </cell>
          <cell r="AB124">
            <v>3</v>
          </cell>
          <cell r="AC124" t="str">
            <v>Non-Listed Fund</v>
          </cell>
          <cell r="AD124" t="str">
            <v>Value-added</v>
          </cell>
          <cell r="AE124" t="str">
            <v>finite</v>
          </cell>
          <cell r="AF124" t="str">
            <v>Closed end</v>
          </cell>
          <cell r="AJ124" t="str">
            <v>Central London Office Component of the IPD UK Annual Universe</v>
          </cell>
          <cell r="AM124" t="str">
            <v>&gt; 40% - ≤ 60%</v>
          </cell>
          <cell r="AN124" t="str">
            <v>Institutional</v>
          </cell>
          <cell r="AO124" t="str">
            <v>&gt; 2</v>
          </cell>
          <cell r="AP124" t="str">
            <v>≥ 50%</v>
          </cell>
          <cell r="AQ124" t="str">
            <v>Europe</v>
          </cell>
          <cell r="AR124" t="str">
            <v>single country</v>
          </cell>
          <cell r="AT124" t="str">
            <v>United Kingdom</v>
          </cell>
          <cell r="AU124" t="str">
            <v>single sector</v>
          </cell>
          <cell r="AV124" t="str">
            <v>Office</v>
          </cell>
          <cell r="AY124">
            <v>2004</v>
          </cell>
          <cell r="AZ124">
            <v>2021</v>
          </cell>
          <cell r="BA124" t="str">
            <v>Yes</v>
          </cell>
          <cell r="BB124" t="str">
            <v>Yes</v>
          </cell>
          <cell r="BC124" t="str">
            <v>2 years</v>
          </cell>
          <cell r="BH124" t="str">
            <v>2020-12-31</v>
          </cell>
          <cell r="BI124">
            <v>318262206</v>
          </cell>
          <cell r="BJ124">
            <v>351854493.81600362</v>
          </cell>
          <cell r="BK124">
            <v>313140713</v>
          </cell>
          <cell r="BL124">
            <v>346192431.86480469</v>
          </cell>
          <cell r="BM124">
            <v>0</v>
          </cell>
          <cell r="BN124" t="str">
            <v>No</v>
          </cell>
          <cell r="BO124" t="str">
            <v>External</v>
          </cell>
          <cell r="BP124">
            <v>45</v>
          </cell>
          <cell r="BQ124">
            <v>7</v>
          </cell>
          <cell r="BR124">
            <v>0</v>
          </cell>
          <cell r="BS124">
            <v>0</v>
          </cell>
          <cell r="BT124">
            <v>0</v>
          </cell>
          <cell r="BV124" t="str">
            <v>Yes</v>
          </cell>
          <cell r="BW124" t="str">
            <v>United Kingdom</v>
          </cell>
          <cell r="BX124" t="str">
            <v>Office</v>
          </cell>
          <cell r="BY124">
            <v>68</v>
          </cell>
        </row>
        <row r="125">
          <cell r="A125">
            <v>95</v>
          </cell>
          <cell r="B125" t="str">
            <v>CHARTERHOUSE LONDON RESIDENTIAL PROPERTY FUND</v>
          </cell>
          <cell r="C125" t="str">
            <v>HSBC SPECIALIST INVESTMENTS LTD</v>
          </cell>
          <cell r="D125" t="str">
            <v>8 Canada Square, Level 21</v>
          </cell>
          <cell r="E125" t="str">
            <v>E14 5HQ</v>
          </cell>
          <cell r="F125" t="str">
            <v>London</v>
          </cell>
          <cell r="G125" t="str">
            <v>United Kingdom</v>
          </cell>
          <cell r="H125" t="str">
            <v>+44 (0) 20 7991 8888</v>
          </cell>
          <cell r="I125" t="str">
            <v>+44 (0) 20 7991 4308</v>
          </cell>
          <cell r="J125" t="str">
            <v>http://www.specialistinvestments.hsbc.com</v>
          </cell>
          <cell r="K125" t="str">
            <v>Sandra Lowe</v>
          </cell>
          <cell r="L125" t="str">
            <v>hsil.enquiries@hsbcib.com</v>
          </cell>
          <cell r="M125" t="str">
            <v>+44 (0) 20 7991 3798</v>
          </cell>
          <cell r="N125" t="str">
            <v>Andrew Moffat</v>
          </cell>
          <cell r="O125" t="str">
            <v>hsil.enquiries@hsbcib.com</v>
          </cell>
          <cell r="P125" t="str">
            <v>+44 (0) 20 7991 8888</v>
          </cell>
          <cell r="Q125" t="str">
            <v>United Kingdom</v>
          </cell>
          <cell r="R125" t="str">
            <v>GBP</v>
          </cell>
          <cell r="T125" t="str">
            <v>Quarterly</v>
          </cell>
          <cell r="U125" t="str">
            <v>Quarterly</v>
          </cell>
          <cell r="Y125" t="str">
            <v>Limited Partnership</v>
          </cell>
          <cell r="AB125">
            <v>0</v>
          </cell>
          <cell r="AC125" t="str">
            <v>Non-Listed Fund</v>
          </cell>
          <cell r="AD125" t="str">
            <v>Core</v>
          </cell>
          <cell r="AE125" t="str">
            <v>finite</v>
          </cell>
          <cell r="AF125" t="str">
            <v>Closed end</v>
          </cell>
          <cell r="AJ125" t="str">
            <v>Nationwide House Price Index, Halifax House Price</v>
          </cell>
          <cell r="AM125" t="str">
            <v>&gt; 40% - ≤ 60%</v>
          </cell>
          <cell r="AN125" t="str">
            <v>Institutional</v>
          </cell>
          <cell r="AP125" t="str">
            <v>≥ 50%</v>
          </cell>
          <cell r="AQ125" t="str">
            <v>Europe</v>
          </cell>
          <cell r="AR125" t="str">
            <v>single country</v>
          </cell>
          <cell r="AT125" t="str">
            <v>United Kingdom</v>
          </cell>
          <cell r="AU125" t="str">
            <v>single sector</v>
          </cell>
          <cell r="AV125" t="str">
            <v>Residential</v>
          </cell>
          <cell r="AY125">
            <v>1999</v>
          </cell>
          <cell r="AZ125">
            <v>2009</v>
          </cell>
          <cell r="BH125" t="str">
            <v>2008-06-30</v>
          </cell>
          <cell r="BI125">
            <v>202530000</v>
          </cell>
          <cell r="BJ125">
            <v>255997920</v>
          </cell>
          <cell r="BK125">
            <v>191840000</v>
          </cell>
          <cell r="BL125">
            <v>242485760</v>
          </cell>
          <cell r="BP125">
            <v>7</v>
          </cell>
          <cell r="BR125">
            <v>115890000</v>
          </cell>
          <cell r="BS125">
            <v>145986633</v>
          </cell>
          <cell r="BU125">
            <v>0</v>
          </cell>
          <cell r="BV125" t="str">
            <v>No</v>
          </cell>
        </row>
        <row r="126">
          <cell r="A126">
            <v>98</v>
          </cell>
          <cell r="B126" t="str">
            <v>CIT REAL ESTATE FUND LIMITED PARTNERSHIP</v>
          </cell>
          <cell r="C126" t="str">
            <v>CIT GROUP PLC</v>
          </cell>
          <cell r="D126" t="str">
            <v>One Marina Drive, Paradise Island</v>
          </cell>
          <cell r="E126" t="str">
            <v>PO Box SS-19140</v>
          </cell>
          <cell r="F126" t="str">
            <v>Nassau</v>
          </cell>
          <cell r="G126" t="str">
            <v>Bahamas</v>
          </cell>
          <cell r="H126" t="str">
            <v>+1 (1) 242 363 1501</v>
          </cell>
          <cell r="I126" t="str">
            <v>+1 (1) 242 363 1502</v>
          </cell>
          <cell r="J126" t="str">
            <v>http://www.cit.co.uk</v>
          </cell>
          <cell r="K126" t="str">
            <v>Craig Johnston</v>
          </cell>
          <cell r="L126" t="str">
            <v>cj@cit.co.uk</v>
          </cell>
          <cell r="M126" t="str">
            <v>+1 (1) 242 363 1501</v>
          </cell>
          <cell r="N126" t="str">
            <v>Craig Johnston</v>
          </cell>
          <cell r="O126" t="str">
            <v>cj@cit.co.uk</v>
          </cell>
          <cell r="P126" t="str">
            <v>+1 (1) 242 363 1501</v>
          </cell>
          <cell r="Q126" t="str">
            <v>United Kingdom</v>
          </cell>
          <cell r="R126" t="str">
            <v>GBP</v>
          </cell>
          <cell r="S126" t="str">
            <v>Local GAAP</v>
          </cell>
          <cell r="T126" t="str">
            <v>Quarterly</v>
          </cell>
          <cell r="U126" t="str">
            <v>Twice per year</v>
          </cell>
          <cell r="X126" t="str">
            <v>Deloitte &amp; Touche LLP</v>
          </cell>
          <cell r="Y126" t="str">
            <v>Limited Partnership</v>
          </cell>
          <cell r="Z126" t="str">
            <v>No</v>
          </cell>
          <cell r="AA126" t="str">
            <v>Yes</v>
          </cell>
          <cell r="AB126">
            <v>0</v>
          </cell>
          <cell r="AC126" t="str">
            <v>Non-Listed Fund</v>
          </cell>
          <cell r="AD126" t="str">
            <v>Value-added</v>
          </cell>
          <cell r="AE126" t="str">
            <v>finite</v>
          </cell>
          <cell r="AF126" t="str">
            <v>Closed end</v>
          </cell>
          <cell r="AG126">
            <v>18</v>
          </cell>
          <cell r="AH126">
            <v>18</v>
          </cell>
          <cell r="AI126" t="str">
            <v>Net</v>
          </cell>
          <cell r="AK126">
            <v>8</v>
          </cell>
          <cell r="AL126">
            <v>75</v>
          </cell>
          <cell r="AM126" t="str">
            <v>&gt; 60%</v>
          </cell>
          <cell r="AN126" t="str">
            <v>Institutional</v>
          </cell>
          <cell r="AP126" t="str">
            <v>≥ 50%</v>
          </cell>
          <cell r="AQ126" t="str">
            <v>Europe</v>
          </cell>
          <cell r="AR126" t="str">
            <v>single country</v>
          </cell>
          <cell r="AT126" t="str">
            <v>United Kingdom</v>
          </cell>
          <cell r="AU126" t="str">
            <v>multi sector</v>
          </cell>
          <cell r="AW126">
            <v>225030000</v>
          </cell>
          <cell r="AX126">
            <v>900130000</v>
          </cell>
          <cell r="AY126">
            <v>2005</v>
          </cell>
          <cell r="AZ126">
            <v>2013</v>
          </cell>
          <cell r="BA126" t="str">
            <v>Yes</v>
          </cell>
          <cell r="BB126" t="str">
            <v>Yes</v>
          </cell>
          <cell r="BC126" t="str">
            <v>23 years</v>
          </cell>
          <cell r="BH126" t="str">
            <v>2011-12-31</v>
          </cell>
          <cell r="BI126">
            <v>762000000</v>
          </cell>
          <cell r="BJ126">
            <v>909523200</v>
          </cell>
          <cell r="BK126">
            <v>165060000</v>
          </cell>
          <cell r="BL126">
            <v>197015616</v>
          </cell>
          <cell r="BP126">
            <v>16</v>
          </cell>
          <cell r="BQ126">
            <v>12</v>
          </cell>
          <cell r="BR126">
            <v>211500000</v>
          </cell>
          <cell r="BS126">
            <v>244324800</v>
          </cell>
          <cell r="BU126">
            <v>0</v>
          </cell>
          <cell r="BV126" t="str">
            <v>No</v>
          </cell>
        </row>
        <row r="127">
          <cell r="A127">
            <v>99</v>
          </cell>
          <cell r="B127" t="str">
            <v>CITY PARKING</v>
          </cell>
          <cell r="C127" t="str">
            <v>QUANTUM IMMOBILIEN KAPITALVERWALTUNGSGESELLSCHAFT MBH</v>
          </cell>
          <cell r="D127" t="str">
            <v>Dornbusch 4</v>
          </cell>
          <cell r="E127">
            <v>20095</v>
          </cell>
          <cell r="F127" t="str">
            <v>Hamburg</v>
          </cell>
          <cell r="G127" t="str">
            <v>Germany</v>
          </cell>
          <cell r="H127" t="str">
            <v>+49404143300</v>
          </cell>
          <cell r="I127" t="str">
            <v>+4940414330511</v>
          </cell>
          <cell r="J127" t="str">
            <v>http://www.quantum.ag</v>
          </cell>
          <cell r="N127" t="str">
            <v>Johanna Jachczik</v>
          </cell>
          <cell r="O127" t="str">
            <v>jj@quantum.ag</v>
          </cell>
          <cell r="P127" t="str">
            <v>+4940414330544</v>
          </cell>
          <cell r="Q127" t="str">
            <v>Germany</v>
          </cell>
          <cell r="R127" t="str">
            <v>EUR</v>
          </cell>
          <cell r="S127" t="str">
            <v>Local GAAP</v>
          </cell>
          <cell r="T127" t="str">
            <v>Monthly</v>
          </cell>
          <cell r="U127" t="str">
            <v>Annually</v>
          </cell>
          <cell r="W127" t="str">
            <v>INREV NAV</v>
          </cell>
          <cell r="X127" t="str">
            <v>KPMG</v>
          </cell>
          <cell r="Y127" t="str">
            <v>Spezialfonds</v>
          </cell>
          <cell r="Z127" t="str">
            <v>No</v>
          </cell>
          <cell r="AA127" t="str">
            <v>Yes</v>
          </cell>
          <cell r="AB127">
            <v>3</v>
          </cell>
          <cell r="AC127" t="str">
            <v>Non-Listed Fund</v>
          </cell>
          <cell r="AD127" t="str">
            <v>Core</v>
          </cell>
          <cell r="AE127" t="str">
            <v>infinite</v>
          </cell>
          <cell r="AF127" t="str">
            <v>Open end</v>
          </cell>
          <cell r="AG127">
            <v>10</v>
          </cell>
          <cell r="AH127">
            <v>10</v>
          </cell>
          <cell r="AI127" t="str">
            <v>Net</v>
          </cell>
          <cell r="AJ127" t="str">
            <v>None</v>
          </cell>
          <cell r="AK127">
            <v>6.5</v>
          </cell>
          <cell r="AL127">
            <v>50</v>
          </cell>
          <cell r="AM127" t="str">
            <v>&gt; 40% - ≤ 60%</v>
          </cell>
          <cell r="AN127" t="str">
            <v>Institutional</v>
          </cell>
          <cell r="AO127" t="str">
            <v>&gt; 2</v>
          </cell>
          <cell r="AP127" t="str">
            <v>≥ 50%</v>
          </cell>
          <cell r="AQ127" t="str">
            <v>Europe</v>
          </cell>
          <cell r="AR127" t="str">
            <v>single country</v>
          </cell>
          <cell r="AT127" t="str">
            <v>Germany</v>
          </cell>
          <cell r="AU127" t="str">
            <v>single sector</v>
          </cell>
          <cell r="AV127" t="str">
            <v>Parking</v>
          </cell>
          <cell r="AW127">
            <v>127000000</v>
          </cell>
          <cell r="AX127">
            <v>250000000</v>
          </cell>
          <cell r="AY127">
            <v>2008</v>
          </cell>
          <cell r="BA127" t="str">
            <v>No</v>
          </cell>
          <cell r="BB127" t="str">
            <v>No</v>
          </cell>
          <cell r="BH127" t="str">
            <v>2020-12-31</v>
          </cell>
          <cell r="BI127">
            <v>174520844</v>
          </cell>
          <cell r="BJ127">
            <v>174520844</v>
          </cell>
          <cell r="BK127">
            <v>113829712</v>
          </cell>
          <cell r="BL127">
            <v>113829712</v>
          </cell>
          <cell r="BM127">
            <v>39.299999999999997</v>
          </cell>
          <cell r="BN127" t="str">
            <v>No</v>
          </cell>
          <cell r="BO127" t="str">
            <v>External</v>
          </cell>
          <cell r="BP127">
            <v>8</v>
          </cell>
          <cell r="BQ127">
            <v>14</v>
          </cell>
          <cell r="BR127">
            <v>119273656</v>
          </cell>
          <cell r="BS127">
            <v>119273656</v>
          </cell>
          <cell r="BT127">
            <v>93822146</v>
          </cell>
          <cell r="BU127">
            <v>93822146</v>
          </cell>
          <cell r="BV127" t="str">
            <v>No</v>
          </cell>
          <cell r="BW127" t="str">
            <v>Germany</v>
          </cell>
          <cell r="BX127" t="str">
            <v>Parking</v>
          </cell>
          <cell r="BY127">
            <v>100</v>
          </cell>
        </row>
        <row r="128">
          <cell r="A128">
            <v>17493</v>
          </cell>
          <cell r="B128" t="str">
            <v>CLEARBELL PROPERTY PARTNERS II LP</v>
          </cell>
          <cell r="C128" t="str">
            <v>CLEARBELL CAPITAL</v>
          </cell>
          <cell r="D128" t="str">
            <v>2 Harewood Place</v>
          </cell>
          <cell r="E128" t="str">
            <v>W1S 1BX</v>
          </cell>
          <cell r="F128" t="str">
            <v>London</v>
          </cell>
          <cell r="G128" t="str">
            <v>United Kingdom</v>
          </cell>
          <cell r="H128">
            <v>2074947620</v>
          </cell>
          <cell r="J128" t="str">
            <v>http://www.clearbell.com</v>
          </cell>
          <cell r="K128" t="str">
            <v>Manish Chande</v>
          </cell>
          <cell r="M128">
            <v>2074947620</v>
          </cell>
          <cell r="N128" t="str">
            <v>Sian Morgan</v>
          </cell>
          <cell r="O128" t="str">
            <v>sian@clearbell.com</v>
          </cell>
          <cell r="P128">
            <v>2074947620</v>
          </cell>
          <cell r="Q128" t="str">
            <v>United Kingdom</v>
          </cell>
          <cell r="R128" t="str">
            <v>GBP</v>
          </cell>
          <cell r="S128" t="str">
            <v>Local GAAP</v>
          </cell>
          <cell r="T128" t="str">
            <v>Quarterly</v>
          </cell>
          <cell r="U128" t="str">
            <v>Annually</v>
          </cell>
          <cell r="V128" t="str">
            <v>RICS</v>
          </cell>
          <cell r="W128" t="str">
            <v>Uk gaap</v>
          </cell>
          <cell r="X128" t="str">
            <v>Deloitte</v>
          </cell>
          <cell r="Y128" t="str">
            <v>Limited Partnership</v>
          </cell>
          <cell r="Z128" t="str">
            <v>No</v>
          </cell>
          <cell r="AA128" t="str">
            <v>No</v>
          </cell>
          <cell r="AB128">
            <v>0</v>
          </cell>
          <cell r="AC128" t="str">
            <v>Non-Listed Fund</v>
          </cell>
          <cell r="AD128" t="str">
            <v>Opportunity</v>
          </cell>
          <cell r="AE128" t="str">
            <v>finite</v>
          </cell>
          <cell r="AF128" t="str">
            <v>Closed end</v>
          </cell>
          <cell r="AG128">
            <v>18</v>
          </cell>
          <cell r="AH128">
            <v>20</v>
          </cell>
          <cell r="AI128" t="str">
            <v>Gross</v>
          </cell>
          <cell r="AJ128" t="str">
            <v>None</v>
          </cell>
          <cell r="AK128">
            <v>0</v>
          </cell>
          <cell r="AL128">
            <v>40</v>
          </cell>
          <cell r="AM128" t="str">
            <v>&gt; 60%</v>
          </cell>
          <cell r="AN128" t="str">
            <v>Institutional</v>
          </cell>
          <cell r="AO128" t="str">
            <v>&gt; 2</v>
          </cell>
          <cell r="AP128" t="str">
            <v>≥ 50%</v>
          </cell>
          <cell r="AQ128" t="str">
            <v>Europe</v>
          </cell>
          <cell r="AR128" t="str">
            <v>single country</v>
          </cell>
          <cell r="AT128" t="str">
            <v>United Kingdom</v>
          </cell>
          <cell r="AU128" t="str">
            <v>multi sector</v>
          </cell>
          <cell r="AW128">
            <v>400000000</v>
          </cell>
          <cell r="AX128">
            <v>1000000000</v>
          </cell>
          <cell r="AY128">
            <v>2013</v>
          </cell>
          <cell r="AZ128">
            <v>2022</v>
          </cell>
          <cell r="BA128" t="str">
            <v>Yes</v>
          </cell>
          <cell r="BB128" t="str">
            <v>Yes</v>
          </cell>
          <cell r="BC128" t="str">
            <v>1+1 years</v>
          </cell>
          <cell r="BD128" t="str">
            <v>No</v>
          </cell>
          <cell r="BF128" t="str">
            <v>&gt; 15% - ≤ 40%</v>
          </cell>
          <cell r="BG128" t="str">
            <v>&gt; 5 - ≤ 25%</v>
          </cell>
          <cell r="BH128" t="str">
            <v>2020-09-30</v>
          </cell>
          <cell r="BI128">
            <v>158729000</v>
          </cell>
          <cell r="BJ128">
            <v>174374518.40592951</v>
          </cell>
          <cell r="BK128">
            <v>158528000</v>
          </cell>
          <cell r="BL128">
            <v>174153706.341344</v>
          </cell>
          <cell r="BM128">
            <v>0</v>
          </cell>
          <cell r="BN128" t="str">
            <v>Yes</v>
          </cell>
          <cell r="BO128" t="str">
            <v>External</v>
          </cell>
          <cell r="BP128">
            <v>49</v>
          </cell>
          <cell r="BQ128">
            <v>60</v>
          </cell>
          <cell r="BR128">
            <v>400000000</v>
          </cell>
          <cell r="BS128">
            <v>439164143.24000001</v>
          </cell>
          <cell r="BT128">
            <v>355675000</v>
          </cell>
          <cell r="BU128">
            <v>390499266.61721748</v>
          </cell>
          <cell r="BV128" t="str">
            <v>No</v>
          </cell>
          <cell r="BW128" t="str">
            <v>United Kingdom</v>
          </cell>
          <cell r="BX128" t="str">
            <v>Residential</v>
          </cell>
          <cell r="BY128">
            <v>4</v>
          </cell>
          <cell r="BZ128" t="str">
            <v>United Kingdom</v>
          </cell>
          <cell r="CA128" t="str">
            <v>Hotel</v>
          </cell>
          <cell r="CB128">
            <v>6</v>
          </cell>
          <cell r="CC128" t="str">
            <v>United Kingdom</v>
          </cell>
          <cell r="CD128" t="str">
            <v>Leisure</v>
          </cell>
          <cell r="CE128">
            <v>10</v>
          </cell>
          <cell r="CF128" t="str">
            <v>United Kingdom</v>
          </cell>
          <cell r="CG128" t="str">
            <v>Retail</v>
          </cell>
          <cell r="CH128">
            <v>11</v>
          </cell>
          <cell r="CI128" t="str">
            <v>United Kingdom</v>
          </cell>
          <cell r="CJ128" t="str">
            <v>Industrial / Logistics</v>
          </cell>
          <cell r="CK128">
            <v>30</v>
          </cell>
          <cell r="CL128" t="str">
            <v>United Kingdom</v>
          </cell>
          <cell r="CM128" t="str">
            <v>Office</v>
          </cell>
          <cell r="CN128">
            <v>39</v>
          </cell>
        </row>
        <row r="129">
          <cell r="A129">
            <v>18407</v>
          </cell>
          <cell r="B129" t="str">
            <v>CLEARBELL PROPERTY PARTNERS III LP</v>
          </cell>
          <cell r="C129" t="str">
            <v>CLEARBELL FUND MANAGEMENT LIMITED</v>
          </cell>
          <cell r="D129" t="str">
            <v>2 Harewood Place</v>
          </cell>
          <cell r="E129" t="str">
            <v>W1S 1BX</v>
          </cell>
          <cell r="F129" t="str">
            <v>London</v>
          </cell>
          <cell r="G129" t="str">
            <v>United Kingdom</v>
          </cell>
          <cell r="H129" t="str">
            <v>0207 494 7620</v>
          </cell>
          <cell r="J129" t="str">
            <v>http://www.clearbell.com</v>
          </cell>
          <cell r="K129" t="str">
            <v>Manish Chande</v>
          </cell>
          <cell r="M129">
            <v>2074947620</v>
          </cell>
          <cell r="N129" t="str">
            <v>Sian Morgan</v>
          </cell>
          <cell r="O129" t="str">
            <v>sian@clearbell.com</v>
          </cell>
          <cell r="P129">
            <v>2074947620</v>
          </cell>
          <cell r="Q129" t="str">
            <v>United Kingdom</v>
          </cell>
          <cell r="R129" t="str">
            <v>GBP</v>
          </cell>
          <cell r="S129" t="str">
            <v>Local GAAP</v>
          </cell>
          <cell r="T129" t="str">
            <v>Quarterly</v>
          </cell>
          <cell r="U129" t="str">
            <v>Annually</v>
          </cell>
          <cell r="V129" t="str">
            <v>RICS</v>
          </cell>
          <cell r="W129" t="str">
            <v>UK GAAP</v>
          </cell>
          <cell r="X129" t="str">
            <v>Deloitte</v>
          </cell>
          <cell r="Y129" t="str">
            <v>Limited Partnership</v>
          </cell>
          <cell r="Z129" t="str">
            <v>No</v>
          </cell>
          <cell r="AA129" t="str">
            <v>No</v>
          </cell>
          <cell r="AB129">
            <v>0</v>
          </cell>
          <cell r="AC129" t="str">
            <v>Non-Listed Fund</v>
          </cell>
          <cell r="AD129" t="str">
            <v>Opportunity</v>
          </cell>
          <cell r="AE129" t="str">
            <v>finite</v>
          </cell>
          <cell r="AF129" t="str">
            <v>Closed end</v>
          </cell>
          <cell r="AG129">
            <v>12</v>
          </cell>
          <cell r="AH129">
            <v>15</v>
          </cell>
          <cell r="AI129" t="str">
            <v>Net</v>
          </cell>
          <cell r="AJ129" t="str">
            <v>None</v>
          </cell>
          <cell r="AL129">
            <v>55</v>
          </cell>
          <cell r="AM129" t="str">
            <v>&gt; 40% - ≤ 60%</v>
          </cell>
          <cell r="AN129" t="str">
            <v>Institutional</v>
          </cell>
          <cell r="AO129" t="str">
            <v>&gt; 2</v>
          </cell>
          <cell r="AP129" t="str">
            <v>≥ 50%</v>
          </cell>
          <cell r="AQ129" t="str">
            <v>Europe</v>
          </cell>
          <cell r="AR129" t="str">
            <v>single country</v>
          </cell>
          <cell r="AT129" t="str">
            <v>United Kingdom</v>
          </cell>
          <cell r="AU129" t="str">
            <v>multi sector</v>
          </cell>
          <cell r="AW129">
            <v>400000000</v>
          </cell>
          <cell r="AX129">
            <v>1000000000</v>
          </cell>
          <cell r="AY129">
            <v>2017</v>
          </cell>
          <cell r="AZ129">
            <v>2025</v>
          </cell>
          <cell r="BA129" t="str">
            <v>Yes</v>
          </cell>
          <cell r="BB129" t="str">
            <v>Yes</v>
          </cell>
          <cell r="BC129" t="str">
            <v>1+1 years</v>
          </cell>
          <cell r="BD129" t="str">
            <v>No</v>
          </cell>
          <cell r="BF129" t="str">
            <v>≤ 15%</v>
          </cell>
          <cell r="BG129" t="str">
            <v>≤ 5%</v>
          </cell>
          <cell r="BH129" t="str">
            <v>2019-06-30</v>
          </cell>
          <cell r="BI129">
            <v>158162000</v>
          </cell>
          <cell r="BJ129">
            <v>176762743.5025554</v>
          </cell>
          <cell r="BK129">
            <v>114440000</v>
          </cell>
          <cell r="BL129">
            <v>127898789.63614801</v>
          </cell>
          <cell r="BM129">
            <v>27</v>
          </cell>
          <cell r="BN129" t="str">
            <v>No</v>
          </cell>
          <cell r="BO129" t="str">
            <v>Internal</v>
          </cell>
          <cell r="BP129">
            <v>18</v>
          </cell>
          <cell r="BQ129">
            <v>30</v>
          </cell>
          <cell r="BR129">
            <v>309275000</v>
          </cell>
          <cell r="BS129">
            <v>359603914.99098498</v>
          </cell>
          <cell r="BT129">
            <v>108246250</v>
          </cell>
          <cell r="BU129">
            <v>125861370.24684469</v>
          </cell>
          <cell r="BV129" t="str">
            <v>No</v>
          </cell>
          <cell r="BW129" t="str">
            <v>United Kingdom</v>
          </cell>
          <cell r="BX129" t="str">
            <v>Retail</v>
          </cell>
          <cell r="BY129">
            <v>10</v>
          </cell>
          <cell r="BZ129" t="str">
            <v>United Kingdom</v>
          </cell>
          <cell r="CA129" t="str">
            <v>Hotel</v>
          </cell>
          <cell r="CB129">
            <v>19</v>
          </cell>
          <cell r="CC129" t="str">
            <v>United Kingdom</v>
          </cell>
          <cell r="CD129" t="str">
            <v>Office</v>
          </cell>
          <cell r="CE129">
            <v>25</v>
          </cell>
          <cell r="CF129" t="str">
            <v>United Kingdom</v>
          </cell>
          <cell r="CG129" t="str">
            <v>Industrial / Logistics</v>
          </cell>
          <cell r="CH129">
            <v>46</v>
          </cell>
        </row>
        <row r="130">
          <cell r="A130">
            <v>19640</v>
          </cell>
          <cell r="B130" t="str">
            <v>CLEARBELL UK STRATEGIC TRUST</v>
          </cell>
          <cell r="C130" t="str">
            <v>CLEARBELL MANAGEMENT LIMITED</v>
          </cell>
          <cell r="D130" t="str">
            <v>2 Harewood Place</v>
          </cell>
          <cell r="E130" t="str">
            <v>W1S 1BX</v>
          </cell>
          <cell r="F130" t="str">
            <v>London</v>
          </cell>
          <cell r="G130" t="str">
            <v>United Kingdom</v>
          </cell>
          <cell r="H130" t="str">
            <v>+442074947600</v>
          </cell>
          <cell r="J130" t="str">
            <v>www.clearbell.com</v>
          </cell>
          <cell r="K130" t="str">
            <v>Adris Hussain</v>
          </cell>
          <cell r="L130" t="str">
            <v>adris@clearbell.com</v>
          </cell>
          <cell r="M130" t="str">
            <v>+442074947620</v>
          </cell>
          <cell r="N130" t="str">
            <v>Sophie Ahad</v>
          </cell>
          <cell r="O130" t="str">
            <v>Sophie@clearbell.com</v>
          </cell>
          <cell r="P130" t="str">
            <v>+442074947600</v>
          </cell>
          <cell r="Q130" t="str">
            <v>United Kingdom</v>
          </cell>
          <cell r="R130" t="str">
            <v>GBP</v>
          </cell>
          <cell r="S130" t="str">
            <v>Local GAAP</v>
          </cell>
          <cell r="T130" t="str">
            <v>Quarterly</v>
          </cell>
          <cell r="U130" t="str">
            <v>Quarterly</v>
          </cell>
          <cell r="V130" t="str">
            <v>RICS</v>
          </cell>
          <cell r="W130" t="str">
            <v>INREV NAV</v>
          </cell>
          <cell r="X130" t="str">
            <v>Deloitte LLP</v>
          </cell>
          <cell r="Y130" t="str">
            <v>Unit trust</v>
          </cell>
          <cell r="Z130" t="str">
            <v>Yes</v>
          </cell>
          <cell r="AA130" t="str">
            <v>Yes</v>
          </cell>
          <cell r="AB130">
            <v>1</v>
          </cell>
          <cell r="AC130" t="str">
            <v>Non-Listed Fund</v>
          </cell>
          <cell r="AD130" t="str">
            <v>Opportunity</v>
          </cell>
          <cell r="AE130" t="str">
            <v>finite</v>
          </cell>
          <cell r="AF130" t="str">
            <v>Closed end</v>
          </cell>
          <cell r="AG130">
            <v>10</v>
          </cell>
          <cell r="AH130">
            <v>12</v>
          </cell>
          <cell r="AI130" t="str">
            <v>Net</v>
          </cell>
          <cell r="AM130" t="str">
            <v>≤ 40%</v>
          </cell>
          <cell r="AN130" t="str">
            <v>Institutional</v>
          </cell>
          <cell r="AO130" t="str">
            <v>&gt; 2</v>
          </cell>
          <cell r="AP130" t="str">
            <v>≥ 50%</v>
          </cell>
          <cell r="AQ130" t="str">
            <v>Europe</v>
          </cell>
          <cell r="AR130" t="str">
            <v>single country</v>
          </cell>
          <cell r="AT130" t="str">
            <v>United Kingdom</v>
          </cell>
          <cell r="AU130" t="str">
            <v>multi sector</v>
          </cell>
          <cell r="AY130">
            <v>2020</v>
          </cell>
          <cell r="BA130" t="str">
            <v>Yes</v>
          </cell>
          <cell r="BB130" t="str">
            <v>Yes</v>
          </cell>
          <cell r="BC130" t="str">
            <v>1+1 years</v>
          </cell>
        </row>
        <row r="131">
          <cell r="A131">
            <v>19311</v>
          </cell>
          <cell r="B131" t="str">
            <v>COIMA CORE FUND VII</v>
          </cell>
          <cell r="C131" t="str">
            <v>COIMA SGR</v>
          </cell>
          <cell r="D131" t="str">
            <v>Piazza Gae Aulenti, 12</v>
          </cell>
          <cell r="E131">
            <v>10154</v>
          </cell>
          <cell r="F131" t="str">
            <v>Milano</v>
          </cell>
          <cell r="G131" t="str">
            <v>Italy</v>
          </cell>
          <cell r="Q131" t="str">
            <v>Italy</v>
          </cell>
          <cell r="R131" t="str">
            <v>EUR</v>
          </cell>
          <cell r="T131" t="str">
            <v>Twice per year</v>
          </cell>
          <cell r="U131" t="str">
            <v>Twice per year</v>
          </cell>
          <cell r="V131" t="str">
            <v>NAV</v>
          </cell>
          <cell r="W131" t="str">
            <v>ITA GAAP</v>
          </cell>
          <cell r="Y131" t="str">
            <v>Real Estate Fund</v>
          </cell>
          <cell r="Z131" t="str">
            <v>No</v>
          </cell>
          <cell r="AC131" t="str">
            <v>Non-Listed Fund</v>
          </cell>
          <cell r="AD131" t="str">
            <v>Value-added</v>
          </cell>
          <cell r="AE131" t="str">
            <v>finite</v>
          </cell>
          <cell r="AF131" t="str">
            <v>Closed end</v>
          </cell>
          <cell r="AG131">
            <v>10</v>
          </cell>
          <cell r="AI131" t="str">
            <v>Net</v>
          </cell>
          <cell r="AM131" t="str">
            <v>&gt; 60%</v>
          </cell>
          <cell r="AN131" t="str">
            <v>Institutional</v>
          </cell>
          <cell r="AO131" t="str">
            <v>≤ 2</v>
          </cell>
          <cell r="AP131" t="str">
            <v>≥ 50%</v>
          </cell>
          <cell r="AQ131" t="str">
            <v>Europe</v>
          </cell>
          <cell r="AR131" t="str">
            <v>single country</v>
          </cell>
          <cell r="AT131" t="str">
            <v>Italy</v>
          </cell>
          <cell r="AU131" t="str">
            <v>single sector</v>
          </cell>
          <cell r="AV131" t="str">
            <v>Office</v>
          </cell>
          <cell r="AY131">
            <v>2019</v>
          </cell>
          <cell r="AZ131">
            <v>2025</v>
          </cell>
          <cell r="BA131" t="str">
            <v>No</v>
          </cell>
          <cell r="BD131" t="str">
            <v>No</v>
          </cell>
          <cell r="BE131" t="str">
            <v>≥ 60%</v>
          </cell>
          <cell r="BF131" t="str">
            <v>≤ 15%</v>
          </cell>
          <cell r="BG131" t="str">
            <v>&gt; 5 - ≤ 25%</v>
          </cell>
          <cell r="BH131" t="str">
            <v>2020-12-31</v>
          </cell>
          <cell r="BI131">
            <v>134353453.33000001</v>
          </cell>
          <cell r="BJ131">
            <v>134353453.33000001</v>
          </cell>
          <cell r="BK131">
            <v>44043014.520000003</v>
          </cell>
          <cell r="BL131">
            <v>44043014.520000003</v>
          </cell>
          <cell r="BM131">
            <v>62.9</v>
          </cell>
          <cell r="BN131" t="str">
            <v>Yes</v>
          </cell>
          <cell r="BO131" t="str">
            <v>External</v>
          </cell>
          <cell r="BP131">
            <v>1</v>
          </cell>
          <cell r="BQ131">
            <v>7</v>
          </cell>
          <cell r="BR131">
            <v>52000000</v>
          </cell>
          <cell r="BS131">
            <v>52000000</v>
          </cell>
          <cell r="BT131">
            <v>51000000</v>
          </cell>
          <cell r="BU131">
            <v>51000000</v>
          </cell>
          <cell r="BV131" t="str">
            <v>No</v>
          </cell>
          <cell r="BW131" t="str">
            <v>Italy</v>
          </cell>
          <cell r="BX131" t="str">
            <v>Office</v>
          </cell>
          <cell r="BY131">
            <v>95.6</v>
          </cell>
        </row>
        <row r="132">
          <cell r="A132">
            <v>17853</v>
          </cell>
          <cell r="B132" t="str">
            <v>COIMA LOGISTICS I</v>
          </cell>
          <cell r="C132" t="str">
            <v>COIMA SGR</v>
          </cell>
          <cell r="D132" t="str">
            <v>Via della Moscova, 18</v>
          </cell>
          <cell r="E132">
            <v>20121</v>
          </cell>
          <cell r="F132" t="str">
            <v>Milan</v>
          </cell>
          <cell r="G132" t="str">
            <v>Italy</v>
          </cell>
          <cell r="H132" t="str">
            <v>+39 0265506601</v>
          </cell>
          <cell r="J132" t="str">
            <v>http://www.coimasgr.com</v>
          </cell>
          <cell r="K132" t="str">
            <v>Teresa Montanarin</v>
          </cell>
          <cell r="L132" t="str">
            <v>teresa.montanarini@coimasgr.com</v>
          </cell>
          <cell r="M132" t="str">
            <v>+39 0265506601</v>
          </cell>
          <cell r="N132" t="str">
            <v>Kelly Russell</v>
          </cell>
          <cell r="O132" t="str">
            <v>kelly.russell@coimasgr.com</v>
          </cell>
          <cell r="P132" t="str">
            <v>+39 0265506601</v>
          </cell>
          <cell r="Q132" t="str">
            <v>Italy</v>
          </cell>
          <cell r="R132" t="str">
            <v>EUR</v>
          </cell>
          <cell r="S132" t="str">
            <v>Local GAAP</v>
          </cell>
          <cell r="T132" t="str">
            <v>Twice per year</v>
          </cell>
          <cell r="U132" t="str">
            <v>Twice per year</v>
          </cell>
          <cell r="V132" t="str">
            <v>NAV</v>
          </cell>
          <cell r="X132" t="str">
            <v>Ernst&amp;Young</v>
          </cell>
          <cell r="Y132" t="str">
            <v>Real Estate Fund</v>
          </cell>
          <cell r="Z132" t="str">
            <v>No</v>
          </cell>
          <cell r="AA132" t="str">
            <v>Yes</v>
          </cell>
          <cell r="AB132">
            <v>2</v>
          </cell>
          <cell r="AC132" t="str">
            <v>Non-Listed Fund</v>
          </cell>
          <cell r="AD132" t="str">
            <v>Core</v>
          </cell>
          <cell r="AE132" t="str">
            <v>finite</v>
          </cell>
          <cell r="AF132" t="str">
            <v>Closed end</v>
          </cell>
          <cell r="AG132">
            <v>6</v>
          </cell>
          <cell r="AH132">
            <v>6</v>
          </cell>
          <cell r="AL132">
            <v>50</v>
          </cell>
          <cell r="AM132" t="str">
            <v>&gt; 60%</v>
          </cell>
          <cell r="AN132" t="str">
            <v>Institutional</v>
          </cell>
          <cell r="AO132" t="str">
            <v>&gt; 2</v>
          </cell>
          <cell r="AP132" t="str">
            <v>≥ 50%</v>
          </cell>
          <cell r="AQ132" t="str">
            <v>Europe</v>
          </cell>
          <cell r="AR132" t="str">
            <v>single country</v>
          </cell>
          <cell r="AT132" t="str">
            <v>Italy</v>
          </cell>
          <cell r="AU132" t="str">
            <v>single sector</v>
          </cell>
          <cell r="AV132" t="str">
            <v>Industrial / Logistics</v>
          </cell>
          <cell r="AW132">
            <v>40000000</v>
          </cell>
          <cell r="AX132">
            <v>80000000</v>
          </cell>
          <cell r="AY132">
            <v>2013</v>
          </cell>
          <cell r="AZ132">
            <v>2028</v>
          </cell>
          <cell r="BA132" t="str">
            <v>Yes</v>
          </cell>
          <cell r="BB132" t="str">
            <v>Yes</v>
          </cell>
          <cell r="BC132" t="str">
            <v>3 years fixed</v>
          </cell>
          <cell r="BD132" t="str">
            <v>No</v>
          </cell>
          <cell r="BH132" t="str">
            <v>2020-06-30</v>
          </cell>
          <cell r="BI132">
            <v>95874495</v>
          </cell>
          <cell r="BJ132">
            <v>95874495</v>
          </cell>
          <cell r="BK132">
            <v>55284778</v>
          </cell>
          <cell r="BL132">
            <v>55284778</v>
          </cell>
          <cell r="BM132">
            <v>47</v>
          </cell>
          <cell r="BN132" t="str">
            <v>No</v>
          </cell>
          <cell r="BO132" t="str">
            <v>Internal</v>
          </cell>
          <cell r="BP132">
            <v>3</v>
          </cell>
          <cell r="BQ132">
            <v>2</v>
          </cell>
          <cell r="BR132">
            <v>41000000</v>
          </cell>
          <cell r="BS132">
            <v>41000000</v>
          </cell>
          <cell r="BT132">
            <v>41000000</v>
          </cell>
          <cell r="BU132">
            <v>41000000</v>
          </cell>
          <cell r="BW132" t="str">
            <v>Italy</v>
          </cell>
          <cell r="BX132" t="str">
            <v>Industrial / Logistics</v>
          </cell>
          <cell r="BY132">
            <v>100</v>
          </cell>
        </row>
        <row r="133">
          <cell r="A133">
            <v>17854</v>
          </cell>
          <cell r="B133" t="str">
            <v>COIMA OPPORTUNITY FUND I</v>
          </cell>
          <cell r="C133" t="str">
            <v>COIMA SGR</v>
          </cell>
          <cell r="D133" t="str">
            <v>Piazza Gae Aulenti 12</v>
          </cell>
          <cell r="E133">
            <v>20154</v>
          </cell>
          <cell r="F133" t="str">
            <v>Milan</v>
          </cell>
          <cell r="G133" t="str">
            <v>Italy</v>
          </cell>
          <cell r="H133" t="str">
            <v>+390265506601</v>
          </cell>
          <cell r="J133" t="str">
            <v>http://www.coimasgr.com</v>
          </cell>
          <cell r="K133" t="str">
            <v>Francesco Veronesi</v>
          </cell>
          <cell r="L133" t="str">
            <v>francesco.veronesi@coimasgr.com</v>
          </cell>
          <cell r="M133" t="str">
            <v>+390265506601</v>
          </cell>
          <cell r="N133" t="str">
            <v>Kelly Russell</v>
          </cell>
          <cell r="O133" t="str">
            <v>kelly.russell@coimasgr.com</v>
          </cell>
          <cell r="P133" t="str">
            <v>+390265506601</v>
          </cell>
          <cell r="Q133" t="str">
            <v>Italy</v>
          </cell>
          <cell r="R133" t="str">
            <v>EUR</v>
          </cell>
          <cell r="S133" t="str">
            <v>Local GAAP</v>
          </cell>
          <cell r="T133" t="str">
            <v>Twice per year</v>
          </cell>
          <cell r="U133" t="str">
            <v>Twice per year</v>
          </cell>
          <cell r="V133" t="str">
            <v>NAV</v>
          </cell>
          <cell r="W133" t="str">
            <v>ITA GAAP</v>
          </cell>
          <cell r="X133" t="str">
            <v>Ernst&amp;Young</v>
          </cell>
          <cell r="Y133" t="str">
            <v>Real Estate Fund</v>
          </cell>
          <cell r="Z133" t="str">
            <v>No</v>
          </cell>
          <cell r="AA133" t="str">
            <v>Yes</v>
          </cell>
          <cell r="AB133">
            <v>2</v>
          </cell>
          <cell r="AC133" t="str">
            <v>Non-Listed Fund</v>
          </cell>
          <cell r="AD133" t="str">
            <v>Value-added</v>
          </cell>
          <cell r="AE133" t="str">
            <v>finite</v>
          </cell>
          <cell r="AF133" t="str">
            <v>Closed end</v>
          </cell>
          <cell r="AG133">
            <v>8</v>
          </cell>
          <cell r="AH133">
            <v>10</v>
          </cell>
          <cell r="AI133" t="str">
            <v>Gross</v>
          </cell>
          <cell r="AM133" t="str">
            <v>&gt; 60%</v>
          </cell>
          <cell r="AN133" t="str">
            <v>Institutional</v>
          </cell>
          <cell r="AO133" t="str">
            <v>&gt; 2</v>
          </cell>
          <cell r="AP133" t="str">
            <v>≥ 50%</v>
          </cell>
          <cell r="AQ133" t="str">
            <v>Europe</v>
          </cell>
          <cell r="AR133" t="str">
            <v>multi country</v>
          </cell>
          <cell r="AS133" t="str">
            <v>Europe</v>
          </cell>
          <cell r="AU133" t="str">
            <v>multi sector</v>
          </cell>
          <cell r="AW133">
            <v>70000000</v>
          </cell>
          <cell r="AX133">
            <v>200000000</v>
          </cell>
          <cell r="AY133">
            <v>2011</v>
          </cell>
          <cell r="AZ133">
            <v>2019</v>
          </cell>
          <cell r="BA133" t="str">
            <v>Yes</v>
          </cell>
          <cell r="BB133" t="str">
            <v>Yes</v>
          </cell>
          <cell r="BC133" t="str">
            <v>2 years fixed</v>
          </cell>
          <cell r="BD133" t="str">
            <v>No</v>
          </cell>
          <cell r="BE133" t="str">
            <v>&lt; 60%</v>
          </cell>
          <cell r="BF133" t="str">
            <v>≤ 15%</v>
          </cell>
          <cell r="BG133" t="str">
            <v>≤ 5%</v>
          </cell>
          <cell r="BH133" t="str">
            <v>2020-12-31</v>
          </cell>
          <cell r="BJ133">
            <v>0</v>
          </cell>
          <cell r="BL133">
            <v>0</v>
          </cell>
          <cell r="BS133">
            <v>0</v>
          </cell>
          <cell r="BW133" t="str">
            <v>Italy</v>
          </cell>
          <cell r="BX133" t="str">
            <v>Office</v>
          </cell>
          <cell r="BY133">
            <v>98</v>
          </cell>
        </row>
        <row r="134">
          <cell r="A134">
            <v>32</v>
          </cell>
          <cell r="B134" t="str">
            <v>COMMERCIAL REAL ESTATE DENMARK P/S</v>
          </cell>
          <cell r="C134" t="str">
            <v>FOKUS ASSET MANAGEMENT A/S</v>
          </cell>
          <cell r="D134" t="str">
            <v>Bomhusvej 13, 1. th</v>
          </cell>
          <cell r="E134">
            <v>2100</v>
          </cell>
          <cell r="F134" t="str">
            <v>København Ø</v>
          </cell>
          <cell r="G134" t="str">
            <v>Denmark</v>
          </cell>
          <cell r="H134" t="str">
            <v>+4575100075</v>
          </cell>
          <cell r="J134" t="str">
            <v>http://www.fokusasset.dk</v>
          </cell>
          <cell r="K134" t="str">
            <v>Mads Larsen</v>
          </cell>
          <cell r="L134" t="str">
            <v>mads.larsen@fokusasset.dk</v>
          </cell>
          <cell r="M134" t="str">
            <v>+4523844020</v>
          </cell>
          <cell r="N134" t="str">
            <v>Tonny Nielsen</v>
          </cell>
          <cell r="O134" t="str">
            <v>tonny.nielsen@fokusasset.dk</v>
          </cell>
          <cell r="P134" t="str">
            <v>+4521430996</v>
          </cell>
          <cell r="Q134" t="str">
            <v>Denmark</v>
          </cell>
          <cell r="R134" t="str">
            <v>DKK</v>
          </cell>
          <cell r="S134" t="str">
            <v>Local GAAP</v>
          </cell>
          <cell r="T134" t="str">
            <v>Quarterly</v>
          </cell>
          <cell r="U134" t="str">
            <v>Twice per year</v>
          </cell>
          <cell r="V134" t="str">
            <v>RICS</v>
          </cell>
          <cell r="W134" t="str">
            <v>INREV NAV</v>
          </cell>
          <cell r="X134" t="str">
            <v>Deloitte</v>
          </cell>
          <cell r="Y134" t="str">
            <v>Limited Partnership</v>
          </cell>
          <cell r="Z134" t="str">
            <v>Yes</v>
          </cell>
          <cell r="AA134" t="str">
            <v>Yes</v>
          </cell>
          <cell r="AB134">
            <v>5</v>
          </cell>
          <cell r="AC134" t="str">
            <v>Non-Listed Fund</v>
          </cell>
          <cell r="AD134" t="str">
            <v>Core</v>
          </cell>
          <cell r="AE134" t="str">
            <v>infinite</v>
          </cell>
          <cell r="AF134" t="str">
            <v>Open end</v>
          </cell>
          <cell r="AG134">
            <v>10</v>
          </cell>
          <cell r="AH134">
            <v>10</v>
          </cell>
          <cell r="AI134" t="str">
            <v>Net</v>
          </cell>
          <cell r="AK134">
            <v>4</v>
          </cell>
          <cell r="AL134">
            <v>60</v>
          </cell>
          <cell r="AM134" t="str">
            <v>&gt; 40% - ≤ 60%</v>
          </cell>
          <cell r="AN134" t="str">
            <v>Institutional</v>
          </cell>
          <cell r="AO134" t="str">
            <v>&gt; 2</v>
          </cell>
          <cell r="AP134" t="str">
            <v>≥ 50%</v>
          </cell>
          <cell r="AQ134" t="str">
            <v>Europe</v>
          </cell>
          <cell r="AR134" t="str">
            <v>single country</v>
          </cell>
          <cell r="AT134" t="str">
            <v>Denmark</v>
          </cell>
          <cell r="AU134" t="str">
            <v>single sector</v>
          </cell>
          <cell r="AV134" t="str">
            <v>Office</v>
          </cell>
          <cell r="AW134">
            <v>3500000000</v>
          </cell>
          <cell r="AX134">
            <v>10000000000</v>
          </cell>
          <cell r="AY134">
            <v>2004</v>
          </cell>
          <cell r="BA134" t="str">
            <v>Yes</v>
          </cell>
          <cell r="BB134" t="str">
            <v>No</v>
          </cell>
          <cell r="BD134" t="str">
            <v>Yes</v>
          </cell>
          <cell r="BE134" t="str">
            <v>≥ 60%</v>
          </cell>
          <cell r="BF134" t="str">
            <v>≤ 15%</v>
          </cell>
          <cell r="BG134" t="str">
            <v>&gt; 5 - ≤ 25%</v>
          </cell>
          <cell r="BH134" t="str">
            <v>2020-12-31</v>
          </cell>
          <cell r="BI134">
            <v>7658806000</v>
          </cell>
          <cell r="BJ134">
            <v>1029526111.569159</v>
          </cell>
          <cell r="BK134">
            <v>3632512000</v>
          </cell>
          <cell r="BL134">
            <v>488296211.52282882</v>
          </cell>
          <cell r="BM134">
            <v>68.5</v>
          </cell>
          <cell r="BN134" t="str">
            <v>Yes</v>
          </cell>
          <cell r="BO134" t="str">
            <v>External</v>
          </cell>
          <cell r="BP134">
            <v>33</v>
          </cell>
          <cell r="BQ134">
            <v>38</v>
          </cell>
          <cell r="BR134">
            <v>0</v>
          </cell>
          <cell r="BS134">
            <v>0</v>
          </cell>
          <cell r="BT134">
            <v>1963500000</v>
          </cell>
          <cell r="BV134" t="str">
            <v>No</v>
          </cell>
          <cell r="BW134" t="str">
            <v>Denmark</v>
          </cell>
          <cell r="BX134" t="str">
            <v>Industrial / Logistics</v>
          </cell>
          <cell r="BY134">
            <v>11.9</v>
          </cell>
          <cell r="BZ134" t="str">
            <v>Denmark</v>
          </cell>
          <cell r="CA134" t="str">
            <v>Retail</v>
          </cell>
          <cell r="CB134">
            <v>4.7</v>
          </cell>
          <cell r="CC134" t="str">
            <v>Denmark</v>
          </cell>
          <cell r="CD134" t="str">
            <v>Office</v>
          </cell>
          <cell r="CE134">
            <v>83.4</v>
          </cell>
        </row>
        <row r="135">
          <cell r="A135">
            <v>19294</v>
          </cell>
          <cell r="B135" t="str">
            <v>COMMERZ REAL INSTITUTIONAL EUROPEAN HOTEL FUND</v>
          </cell>
          <cell r="C135" t="str">
            <v>COMMERZ REAL FUND MANAGEMENT</v>
          </cell>
          <cell r="D135" t="str">
            <v>25, Rue Edward Steichen</v>
          </cell>
          <cell r="E135" t="str">
            <v>L-2540</v>
          </cell>
          <cell r="F135" t="str">
            <v>Luxembourg</v>
          </cell>
          <cell r="G135" t="str">
            <v>Luxembourg</v>
          </cell>
          <cell r="H135" t="str">
            <v>+352 4779 112502</v>
          </cell>
          <cell r="J135" t="str">
            <v>http://www.commerzreal.com</v>
          </cell>
          <cell r="K135" t="str">
            <v>Josef Afrem-Barsom</v>
          </cell>
          <cell r="L135" t="str">
            <v>Josef.Afrem-Barsom@Commerzreal.com</v>
          </cell>
          <cell r="M135" t="str">
            <v>+49 211 77082539</v>
          </cell>
          <cell r="N135" t="str">
            <v>Arnd Ludwig</v>
          </cell>
          <cell r="O135" t="str">
            <v>Arnd.Ludwig@Commerzreal.com</v>
          </cell>
          <cell r="P135" t="str">
            <v>+352 4779 113169</v>
          </cell>
          <cell r="Q135" t="str">
            <v>Luxembourg</v>
          </cell>
          <cell r="R135" t="str">
            <v>EUR</v>
          </cell>
          <cell r="S135" t="str">
            <v>IFRS</v>
          </cell>
          <cell r="T135" t="str">
            <v>Annually</v>
          </cell>
          <cell r="U135" t="str">
            <v>Annually</v>
          </cell>
          <cell r="V135" t="str">
            <v>RICS</v>
          </cell>
          <cell r="W135" t="str">
            <v>IFRS NAV</v>
          </cell>
          <cell r="X135" t="str">
            <v>KPMG Luxembourg</v>
          </cell>
          <cell r="Y135" t="str">
            <v>SCA</v>
          </cell>
          <cell r="Z135" t="str">
            <v>No</v>
          </cell>
          <cell r="AA135" t="str">
            <v>No</v>
          </cell>
          <cell r="AC135" t="str">
            <v>Non-Listed Fund</v>
          </cell>
          <cell r="AD135" t="str">
            <v>Core</v>
          </cell>
          <cell r="AE135" t="str">
            <v>infinite</v>
          </cell>
          <cell r="AF135" t="str">
            <v>Open end</v>
          </cell>
          <cell r="AG135">
            <v>5.5</v>
          </cell>
          <cell r="AH135">
            <v>6</v>
          </cell>
          <cell r="AI135" t="str">
            <v>Net</v>
          </cell>
          <cell r="AK135">
            <v>5</v>
          </cell>
          <cell r="AL135">
            <v>60</v>
          </cell>
          <cell r="AM135" t="str">
            <v>&gt; 40% - ≤ 60%</v>
          </cell>
          <cell r="AN135" t="str">
            <v>Institutional</v>
          </cell>
          <cell r="AO135" t="str">
            <v>&gt; 2</v>
          </cell>
          <cell r="AP135" t="str">
            <v>≥ 50%</v>
          </cell>
          <cell r="AQ135" t="str">
            <v>Europe</v>
          </cell>
          <cell r="AR135" t="str">
            <v>multi country</v>
          </cell>
          <cell r="AS135" t="str">
            <v>Europe</v>
          </cell>
          <cell r="AU135" t="str">
            <v>single sector</v>
          </cell>
          <cell r="AV135" t="str">
            <v>Hotel</v>
          </cell>
          <cell r="AW135">
            <v>100000000</v>
          </cell>
          <cell r="AX135">
            <v>250000000</v>
          </cell>
          <cell r="AY135">
            <v>2019</v>
          </cell>
          <cell r="BD135" t="str">
            <v>No</v>
          </cell>
          <cell r="BF135" t="str">
            <v>≤ 15%</v>
          </cell>
          <cell r="BH135" t="str">
            <v>2020-09-30</v>
          </cell>
          <cell r="BI135">
            <v>19205919.620000001</v>
          </cell>
          <cell r="BJ135">
            <v>19205919.620000001</v>
          </cell>
          <cell r="BK135">
            <v>12582838.640000001</v>
          </cell>
          <cell r="BL135">
            <v>12582838.640000001</v>
          </cell>
          <cell r="BM135">
            <v>39</v>
          </cell>
          <cell r="BN135" t="str">
            <v>No</v>
          </cell>
          <cell r="BO135" t="str">
            <v>Internal</v>
          </cell>
          <cell r="BP135">
            <v>2</v>
          </cell>
          <cell r="BQ135">
            <v>1</v>
          </cell>
          <cell r="BR135">
            <v>63030000</v>
          </cell>
          <cell r="BS135">
            <v>63030000</v>
          </cell>
          <cell r="BT135">
            <v>13630000</v>
          </cell>
          <cell r="BU135">
            <v>13630000</v>
          </cell>
          <cell r="BV135" t="str">
            <v>Yes</v>
          </cell>
          <cell r="BW135" t="str">
            <v>Spain</v>
          </cell>
          <cell r="BX135" t="str">
            <v>Development Hotel</v>
          </cell>
          <cell r="BY135">
            <v>96</v>
          </cell>
        </row>
        <row r="136">
          <cell r="A136">
            <v>18310</v>
          </cell>
          <cell r="B136" t="str">
            <v>COMMERZ REAL INSTITUTIONAL HOTEL FUND</v>
          </cell>
          <cell r="C136" t="str">
            <v>COMMERZ REAL KAPITALVERWALTUNGSGESELLSCHAFT MBH</v>
          </cell>
          <cell r="D136" t="str">
            <v>Mercedesstr. 6</v>
          </cell>
          <cell r="E136">
            <v>40470</v>
          </cell>
          <cell r="F136" t="str">
            <v>Düsseldorf</v>
          </cell>
          <cell r="G136" t="str">
            <v>Germany</v>
          </cell>
          <cell r="H136" t="str">
            <v>+4921177080</v>
          </cell>
          <cell r="J136" t="str">
            <v>http://www.commerzreal.com</v>
          </cell>
          <cell r="K136" t="str">
            <v>Stefan Mattiske</v>
          </cell>
          <cell r="L136" t="str">
            <v>stefan.mattiske@commerzreal.com</v>
          </cell>
          <cell r="M136" t="str">
            <v>+4921177082407</v>
          </cell>
          <cell r="N136" t="str">
            <v>Heiko Szczodrowski</v>
          </cell>
          <cell r="O136" t="str">
            <v>heiko.szczodrowski@commerzreal.com</v>
          </cell>
          <cell r="P136" t="str">
            <v>+4921177082665</v>
          </cell>
          <cell r="Q136" t="str">
            <v>Germany</v>
          </cell>
          <cell r="R136" t="str">
            <v>EUR</v>
          </cell>
          <cell r="S136" t="str">
            <v>Local GAAP</v>
          </cell>
          <cell r="T136" t="str">
            <v>Annually</v>
          </cell>
          <cell r="U136" t="str">
            <v>Annually</v>
          </cell>
          <cell r="V136" t="str">
            <v>ImmoWertV</v>
          </cell>
          <cell r="W136" t="str">
            <v>Local GAAP</v>
          </cell>
          <cell r="Y136" t="str">
            <v>Spezialfonds</v>
          </cell>
          <cell r="Z136" t="str">
            <v>No</v>
          </cell>
          <cell r="AA136" t="str">
            <v>No</v>
          </cell>
          <cell r="AC136" t="str">
            <v>Non-Listed Fund</v>
          </cell>
          <cell r="AD136" t="str">
            <v>Core</v>
          </cell>
          <cell r="AE136" t="str">
            <v>infinite</v>
          </cell>
          <cell r="AF136" t="str">
            <v>Open end</v>
          </cell>
          <cell r="AG136">
            <v>4.5</v>
          </cell>
          <cell r="AH136">
            <v>6</v>
          </cell>
          <cell r="AK136">
            <v>4</v>
          </cell>
          <cell r="AL136">
            <v>50</v>
          </cell>
          <cell r="AM136" t="str">
            <v>&gt; 40% - ≤ 60%</v>
          </cell>
          <cell r="AN136" t="str">
            <v>Institutional</v>
          </cell>
          <cell r="AO136" t="str">
            <v>&gt; 2</v>
          </cell>
          <cell r="AP136" t="str">
            <v>≥ 50%</v>
          </cell>
          <cell r="AQ136" t="str">
            <v>Global</v>
          </cell>
          <cell r="AR136" t="str">
            <v>multi country</v>
          </cell>
          <cell r="AU136" t="str">
            <v>single sector</v>
          </cell>
          <cell r="AV136" t="str">
            <v>Hotel</v>
          </cell>
          <cell r="AW136">
            <v>1000000000</v>
          </cell>
          <cell r="AX136">
            <v>2000000000</v>
          </cell>
          <cell r="AY136">
            <v>2018</v>
          </cell>
          <cell r="BB136" t="str">
            <v>No</v>
          </cell>
          <cell r="BD136" t="str">
            <v>No</v>
          </cell>
          <cell r="BE136" t="str">
            <v>≥ 60%</v>
          </cell>
          <cell r="BF136" t="str">
            <v>≤ 15%</v>
          </cell>
          <cell r="BH136" t="str">
            <v>2020-12-31</v>
          </cell>
          <cell r="BI136">
            <v>152249457</v>
          </cell>
          <cell r="BJ136">
            <v>152249457</v>
          </cell>
          <cell r="BK136">
            <v>85671181.480000004</v>
          </cell>
          <cell r="BL136">
            <v>85671181.480000004</v>
          </cell>
          <cell r="BM136">
            <v>41.5</v>
          </cell>
          <cell r="BN136" t="str">
            <v>Yes</v>
          </cell>
          <cell r="BO136" t="str">
            <v>External</v>
          </cell>
          <cell r="BP136">
            <v>17</v>
          </cell>
          <cell r="BQ136">
            <v>4</v>
          </cell>
          <cell r="BS136">
            <v>0</v>
          </cell>
          <cell r="BV136" t="str">
            <v>Yes</v>
          </cell>
          <cell r="BW136" t="str">
            <v>Portugal</v>
          </cell>
          <cell r="BX136" t="str">
            <v>Hotel</v>
          </cell>
          <cell r="BY136">
            <v>20</v>
          </cell>
          <cell r="BZ136" t="str">
            <v>Germany</v>
          </cell>
          <cell r="CA136" t="str">
            <v>Hotel</v>
          </cell>
          <cell r="CB136">
            <v>65</v>
          </cell>
          <cell r="CC136" t="str">
            <v>Australia</v>
          </cell>
          <cell r="CD136" t="str">
            <v>Hotel</v>
          </cell>
          <cell r="CE136">
            <v>15</v>
          </cell>
        </row>
        <row r="137">
          <cell r="A137">
            <v>19293</v>
          </cell>
          <cell r="B137" t="str">
            <v>COMMERZ REAL INSTITUTIONAL SMART LIVING EUROPE FUND</v>
          </cell>
          <cell r="C137" t="str">
            <v>COMMERZ REAL KAPITALVERWALTUNGSGESELLSCHAFT</v>
          </cell>
          <cell r="D137" t="str">
            <v>Mercedesstr. 6</v>
          </cell>
          <cell r="E137">
            <v>40470</v>
          </cell>
          <cell r="F137" t="str">
            <v>Düsseldorf</v>
          </cell>
          <cell r="G137" t="str">
            <v>Germany</v>
          </cell>
          <cell r="H137" t="str">
            <v>+49 211 7708 0</v>
          </cell>
          <cell r="J137" t="str">
            <v>http://www.commerzreal.com</v>
          </cell>
          <cell r="K137" t="str">
            <v>Ulrike Kühner-Leipholz</v>
          </cell>
          <cell r="L137" t="str">
            <v>ulrike.kuehner-leipholz@commerzreal.com</v>
          </cell>
          <cell r="M137" t="str">
            <v>+49 211 7708 2254</v>
          </cell>
          <cell r="N137" t="str">
            <v>Heiko Szczodrowski</v>
          </cell>
          <cell r="O137" t="str">
            <v>heiko.szczodrowski@commerzreal.com</v>
          </cell>
          <cell r="P137" t="str">
            <v>+49 211 7708 2665</v>
          </cell>
          <cell r="Q137" t="str">
            <v>Germany</v>
          </cell>
          <cell r="R137" t="str">
            <v>EUR</v>
          </cell>
          <cell r="S137" t="str">
            <v>Local GAAP</v>
          </cell>
          <cell r="T137" t="str">
            <v>Annually</v>
          </cell>
          <cell r="U137" t="str">
            <v>Annually</v>
          </cell>
          <cell r="V137" t="str">
            <v>ImmoWertV</v>
          </cell>
          <cell r="W137" t="str">
            <v>Local GAAP</v>
          </cell>
          <cell r="X137" t="str">
            <v>CACEIS Bank S. A. Germany Branch</v>
          </cell>
          <cell r="Y137" t="str">
            <v>Spezialfonds</v>
          </cell>
          <cell r="Z137" t="str">
            <v>No</v>
          </cell>
          <cell r="AA137" t="str">
            <v>No</v>
          </cell>
          <cell r="AC137" t="str">
            <v>Non-Listed Fund</v>
          </cell>
          <cell r="AD137" t="str">
            <v>Core</v>
          </cell>
          <cell r="AE137" t="str">
            <v>infinite</v>
          </cell>
          <cell r="AF137" t="str">
            <v>Open end</v>
          </cell>
          <cell r="AG137">
            <v>4.5</v>
          </cell>
          <cell r="AH137">
            <v>5</v>
          </cell>
          <cell r="AK137">
            <v>4.5</v>
          </cell>
          <cell r="AM137" t="str">
            <v>&gt; 40% - ≤ 60%</v>
          </cell>
          <cell r="AN137" t="str">
            <v>Institutional</v>
          </cell>
          <cell r="AO137" t="str">
            <v>&gt; 2</v>
          </cell>
          <cell r="AP137" t="str">
            <v>≥ 50%</v>
          </cell>
          <cell r="AQ137" t="str">
            <v>Europe</v>
          </cell>
          <cell r="AR137" t="str">
            <v>multi country</v>
          </cell>
          <cell r="AS137" t="str">
            <v>Europe</v>
          </cell>
          <cell r="AU137" t="str">
            <v>single sector</v>
          </cell>
          <cell r="AV137" t="str">
            <v>Student Housing</v>
          </cell>
          <cell r="AW137">
            <v>250000000</v>
          </cell>
          <cell r="AX137">
            <v>500000000</v>
          </cell>
          <cell r="AY137">
            <v>2019</v>
          </cell>
          <cell r="BD137" t="str">
            <v>No</v>
          </cell>
          <cell r="BE137" t="str">
            <v>≥ 60%</v>
          </cell>
          <cell r="BF137" t="str">
            <v>≤ 15%</v>
          </cell>
          <cell r="BH137" t="str">
            <v>2020-12-31</v>
          </cell>
          <cell r="BI137">
            <v>38669748.270000003</v>
          </cell>
          <cell r="BJ137">
            <v>38669748.270000003</v>
          </cell>
          <cell r="BK137">
            <v>38669748.270000003</v>
          </cell>
          <cell r="BL137">
            <v>38669748.270000003</v>
          </cell>
          <cell r="BM137">
            <v>0</v>
          </cell>
          <cell r="BN137" t="str">
            <v>No</v>
          </cell>
          <cell r="BO137" t="str">
            <v>Internal</v>
          </cell>
          <cell r="BP137">
            <v>12</v>
          </cell>
          <cell r="BQ137">
            <v>1</v>
          </cell>
          <cell r="BS137">
            <v>0</v>
          </cell>
          <cell r="BV137" t="str">
            <v>Yes</v>
          </cell>
          <cell r="BW137" t="str">
            <v>Germany</v>
          </cell>
          <cell r="BX137" t="str">
            <v>Development Student Housing</v>
          </cell>
          <cell r="BY137">
            <v>73</v>
          </cell>
        </row>
        <row r="138">
          <cell r="A138">
            <v>18309</v>
          </cell>
          <cell r="B138" t="str">
            <v>COMMERZ REAL INSTITUTIONAL SMART LIVING FUND</v>
          </cell>
          <cell r="C138" t="str">
            <v>COMMERZ REAL KAPITALVERWALTUNGSGESELLSCHAFT MBH</v>
          </cell>
          <cell r="D138" t="str">
            <v>Mercedesstr. 6</v>
          </cell>
          <cell r="E138">
            <v>40470</v>
          </cell>
          <cell r="F138" t="str">
            <v>Düsseldorf</v>
          </cell>
          <cell r="G138" t="str">
            <v>Germany</v>
          </cell>
          <cell r="H138" t="str">
            <v>+49 211 7708 0</v>
          </cell>
          <cell r="J138" t="str">
            <v>http://www.commerzreal.com</v>
          </cell>
          <cell r="K138" t="str">
            <v>Stephanie Hanfland</v>
          </cell>
          <cell r="L138" t="str">
            <v>stephanie.hanfland@commerzreal.com</v>
          </cell>
          <cell r="M138" t="str">
            <v>+49 211 7708 2367</v>
          </cell>
          <cell r="N138" t="str">
            <v>Heiko Szczodrowski</v>
          </cell>
          <cell r="O138" t="str">
            <v>heiko.szczodrowski@commerzreal.com</v>
          </cell>
          <cell r="P138" t="str">
            <v>+49 211 7708 2665</v>
          </cell>
          <cell r="Q138" t="str">
            <v>Germany</v>
          </cell>
          <cell r="R138" t="str">
            <v>EUR</v>
          </cell>
          <cell r="S138" t="str">
            <v>Local GAAP</v>
          </cell>
          <cell r="T138" t="str">
            <v>Annually</v>
          </cell>
          <cell r="U138" t="str">
            <v>Annually</v>
          </cell>
          <cell r="V138" t="str">
            <v>ImmoWertV</v>
          </cell>
          <cell r="W138" t="str">
            <v>Local GAAP</v>
          </cell>
          <cell r="X138" t="str">
            <v>CACEIS Bank S. A. Germany Branch</v>
          </cell>
          <cell r="Y138" t="str">
            <v>Spezialfonds</v>
          </cell>
          <cell r="Z138" t="str">
            <v>No</v>
          </cell>
          <cell r="AA138" t="str">
            <v>No</v>
          </cell>
          <cell r="AC138" t="str">
            <v>Non-Listed Fund</v>
          </cell>
          <cell r="AD138" t="str">
            <v>Core</v>
          </cell>
          <cell r="AE138" t="str">
            <v>infinite</v>
          </cell>
          <cell r="AF138" t="str">
            <v>Open end</v>
          </cell>
          <cell r="AG138">
            <v>4</v>
          </cell>
          <cell r="AH138">
            <v>5</v>
          </cell>
          <cell r="AK138">
            <v>4</v>
          </cell>
          <cell r="AL138">
            <v>40</v>
          </cell>
          <cell r="AM138" t="str">
            <v>&gt; 40% - ≤ 60%</v>
          </cell>
          <cell r="AN138" t="str">
            <v>Institutional</v>
          </cell>
          <cell r="AO138" t="str">
            <v>&gt; 2</v>
          </cell>
          <cell r="AP138" t="str">
            <v>≥ 50%</v>
          </cell>
          <cell r="AQ138" t="str">
            <v>Europe</v>
          </cell>
          <cell r="AR138" t="str">
            <v>single country</v>
          </cell>
          <cell r="AT138" t="str">
            <v>Germany</v>
          </cell>
          <cell r="AU138" t="str">
            <v>single sector</v>
          </cell>
          <cell r="AV138" t="str">
            <v>Student Housing</v>
          </cell>
          <cell r="AW138">
            <v>180000000</v>
          </cell>
          <cell r="AX138">
            <v>300000000</v>
          </cell>
          <cell r="AY138">
            <v>2017</v>
          </cell>
          <cell r="BB138" t="str">
            <v>No</v>
          </cell>
          <cell r="BD138" t="str">
            <v>No</v>
          </cell>
          <cell r="BE138" t="str">
            <v>≥ 60%</v>
          </cell>
          <cell r="BF138" t="str">
            <v>≤ 15%</v>
          </cell>
          <cell r="BH138" t="str">
            <v>2019-06-30</v>
          </cell>
          <cell r="BI138">
            <v>72692348.269999996</v>
          </cell>
          <cell r="BJ138">
            <v>72692348.269999996</v>
          </cell>
          <cell r="BK138">
            <v>54342248.270000003</v>
          </cell>
          <cell r="BL138">
            <v>54342248.270000003</v>
          </cell>
          <cell r="BM138">
            <v>25.25</v>
          </cell>
          <cell r="BN138" t="str">
            <v>No</v>
          </cell>
          <cell r="BO138" t="str">
            <v>Internal</v>
          </cell>
          <cell r="BP138">
            <v>18</v>
          </cell>
          <cell r="BQ138">
            <v>6</v>
          </cell>
          <cell r="BS138">
            <v>0</v>
          </cell>
          <cell r="BV138" t="str">
            <v>Yes</v>
          </cell>
          <cell r="BW138" t="str">
            <v>Germany</v>
          </cell>
          <cell r="BX138" t="str">
            <v>Student Housing</v>
          </cell>
          <cell r="BY138">
            <v>92</v>
          </cell>
          <cell r="BZ138" t="str">
            <v>Germany</v>
          </cell>
          <cell r="CA138" t="str">
            <v>Development Student Housing</v>
          </cell>
          <cell r="CB138">
            <v>3</v>
          </cell>
        </row>
        <row r="139">
          <cell r="A139">
            <v>104</v>
          </cell>
          <cell r="B139" t="str">
            <v>COMUNE DI MILANO I</v>
          </cell>
          <cell r="C139" t="str">
            <v>BNP PARIBAS REAL ESTATE INVESTMENT MANAGEMENT ITALY SGR</v>
          </cell>
          <cell r="D139" t="str">
            <v>Piazza Lina Bo Bardi, 3</v>
          </cell>
          <cell r="E139">
            <v>20124</v>
          </cell>
          <cell r="F139" t="str">
            <v>Milan</v>
          </cell>
          <cell r="G139" t="str">
            <v>Italy</v>
          </cell>
          <cell r="J139" t="str">
            <v>http://www.reim.bnpparibas.it</v>
          </cell>
          <cell r="Q139" t="str">
            <v>Italy</v>
          </cell>
          <cell r="R139" t="str">
            <v>EUR</v>
          </cell>
          <cell r="S139" t="str">
            <v>Local GAAP</v>
          </cell>
          <cell r="T139" t="str">
            <v>Twice per year</v>
          </cell>
          <cell r="U139" t="str">
            <v>Twice per year</v>
          </cell>
          <cell r="V139" t="str">
            <v>RICS</v>
          </cell>
          <cell r="X139" t="str">
            <v>Mazars S.p.A.</v>
          </cell>
          <cell r="Y139" t="str">
            <v>Real Estate Fund</v>
          </cell>
          <cell r="Z139" t="str">
            <v>No</v>
          </cell>
          <cell r="AC139" t="str">
            <v>Non-Listed Fund</v>
          </cell>
          <cell r="AD139" t="str">
            <v>Value-added</v>
          </cell>
          <cell r="AE139" t="str">
            <v>finite</v>
          </cell>
          <cell r="AF139" t="str">
            <v>Closed end</v>
          </cell>
          <cell r="AG139">
            <v>12</v>
          </cell>
          <cell r="AH139">
            <v>12</v>
          </cell>
          <cell r="AI139" t="str">
            <v>Gross</v>
          </cell>
          <cell r="AJ139" t="str">
            <v>None</v>
          </cell>
          <cell r="AN139" t="str">
            <v>Institutional</v>
          </cell>
          <cell r="AO139" t="str">
            <v>&gt; 2</v>
          </cell>
          <cell r="AP139" t="str">
            <v>≥ 50%</v>
          </cell>
          <cell r="AQ139" t="str">
            <v>Europe</v>
          </cell>
          <cell r="AR139" t="str">
            <v>single country</v>
          </cell>
          <cell r="AT139" t="str">
            <v>Italy</v>
          </cell>
          <cell r="AU139" t="str">
            <v>multi sector</v>
          </cell>
          <cell r="AY139">
            <v>2008</v>
          </cell>
          <cell r="AZ139">
            <v>2013</v>
          </cell>
          <cell r="BA139" t="str">
            <v>Yes</v>
          </cell>
          <cell r="BB139" t="str">
            <v>Yes</v>
          </cell>
          <cell r="BC139" t="str">
            <v>6 years</v>
          </cell>
          <cell r="BH139" t="str">
            <v>2018-12-31</v>
          </cell>
          <cell r="BI139">
            <v>90530472</v>
          </cell>
          <cell r="BJ139">
            <v>90530472</v>
          </cell>
          <cell r="BK139">
            <v>65414710</v>
          </cell>
          <cell r="BL139">
            <v>65414710</v>
          </cell>
          <cell r="BM139">
            <v>26</v>
          </cell>
          <cell r="BN139" t="str">
            <v>No</v>
          </cell>
          <cell r="BO139" t="str">
            <v>External</v>
          </cell>
          <cell r="BP139">
            <v>1</v>
          </cell>
          <cell r="BQ139">
            <v>39</v>
          </cell>
          <cell r="BR139">
            <v>102000100</v>
          </cell>
          <cell r="BS139">
            <v>102000100</v>
          </cell>
          <cell r="BT139">
            <v>102000100</v>
          </cell>
          <cell r="BU139">
            <v>102000100</v>
          </cell>
          <cell r="BV139" t="str">
            <v>No</v>
          </cell>
          <cell r="BW139" t="str">
            <v>Italy</v>
          </cell>
          <cell r="BX139" t="str">
            <v>Other</v>
          </cell>
          <cell r="BY139">
            <v>6</v>
          </cell>
          <cell r="BZ139" t="str">
            <v>Italy</v>
          </cell>
          <cell r="CA139" t="str">
            <v>Parking</v>
          </cell>
          <cell r="CB139">
            <v>23</v>
          </cell>
          <cell r="CC139" t="str">
            <v>Italy</v>
          </cell>
          <cell r="CD139" t="str">
            <v>Office</v>
          </cell>
          <cell r="CE139">
            <v>1</v>
          </cell>
          <cell r="CF139" t="str">
            <v>Italy</v>
          </cell>
          <cell r="CG139" t="str">
            <v>Retail</v>
          </cell>
          <cell r="CH139">
            <v>3</v>
          </cell>
          <cell r="CI139" t="str">
            <v>Italy</v>
          </cell>
          <cell r="CJ139" t="str">
            <v>Residential</v>
          </cell>
          <cell r="CK139">
            <v>61</v>
          </cell>
        </row>
        <row r="140">
          <cell r="A140">
            <v>19342</v>
          </cell>
          <cell r="B140" t="str">
            <v>CONREN LAND BüRO- UND GESCHäFTSHäUSER D</v>
          </cell>
          <cell r="G140" t="str">
            <v>Germany</v>
          </cell>
          <cell r="N140" t="str">
            <v>Laura Meindl</v>
          </cell>
          <cell r="O140" t="str">
            <v>laura.meindl@conrenland.com</v>
          </cell>
          <cell r="P140" t="str">
            <v>+49 (0)696976643017</v>
          </cell>
          <cell r="Q140" t="str">
            <v>Germany</v>
          </cell>
          <cell r="R140" t="str">
            <v>EUR</v>
          </cell>
          <cell r="T140" t="str">
            <v>Quarterly</v>
          </cell>
          <cell r="U140" t="str">
            <v>Quarterly</v>
          </cell>
          <cell r="V140" t="str">
            <v>RICS</v>
          </cell>
          <cell r="Y140" t="str">
            <v>Spezialfonds</v>
          </cell>
          <cell r="AC140" t="str">
            <v>Non-Listed Fund</v>
          </cell>
          <cell r="AD140" t="str">
            <v>Core</v>
          </cell>
          <cell r="AE140" t="str">
            <v>finite</v>
          </cell>
          <cell r="AF140" t="str">
            <v>Open end</v>
          </cell>
          <cell r="AN140" t="str">
            <v>Institutional</v>
          </cell>
          <cell r="AO140" t="str">
            <v>&gt; 2</v>
          </cell>
          <cell r="AP140" t="str">
            <v>≥ 50%</v>
          </cell>
          <cell r="AQ140" t="str">
            <v>Europe</v>
          </cell>
          <cell r="AR140" t="str">
            <v>single country</v>
          </cell>
          <cell r="AT140" t="str">
            <v>Germany</v>
          </cell>
          <cell r="AU140" t="str">
            <v>single sector</v>
          </cell>
          <cell r="AV140" t="str">
            <v>Office</v>
          </cell>
          <cell r="AY140">
            <v>2018</v>
          </cell>
          <cell r="BH140" t="str">
            <v>2020-12-31</v>
          </cell>
          <cell r="BI140">
            <v>265249713</v>
          </cell>
          <cell r="BJ140">
            <v>265249713</v>
          </cell>
          <cell r="BK140">
            <v>154012845</v>
          </cell>
          <cell r="BL140">
            <v>154012845</v>
          </cell>
          <cell r="BM140">
            <v>39.89</v>
          </cell>
          <cell r="BN140" t="str">
            <v>Yes</v>
          </cell>
          <cell r="BO140" t="str">
            <v>External</v>
          </cell>
          <cell r="BP140">
            <v>16</v>
          </cell>
          <cell r="BQ140">
            <v>5</v>
          </cell>
          <cell r="BR140">
            <v>190500000</v>
          </cell>
          <cell r="BS140">
            <v>190500000</v>
          </cell>
          <cell r="BT140">
            <v>140597477.75999999</v>
          </cell>
          <cell r="BU140">
            <v>140597477.75999999</v>
          </cell>
          <cell r="BV140" t="str">
            <v>Yes</v>
          </cell>
          <cell r="BW140" t="str">
            <v>Germany</v>
          </cell>
          <cell r="BX140" t="str">
            <v>Office</v>
          </cell>
          <cell r="BY140">
            <v>100</v>
          </cell>
        </row>
        <row r="141">
          <cell r="A141">
            <v>105</v>
          </cell>
          <cell r="B141" t="str">
            <v>CONTINENTAL RETAIL FUND</v>
          </cell>
          <cell r="C141" t="str">
            <v>IMORENDIMENTO SGFII, SA</v>
          </cell>
          <cell r="D141" t="str">
            <v>Praça Bom Sucesso 127, Esc 210</v>
          </cell>
          <cell r="E141" t="str">
            <v>4050 146</v>
          </cell>
          <cell r="F141" t="str">
            <v>Porto</v>
          </cell>
          <cell r="G141" t="str">
            <v>Portugal</v>
          </cell>
          <cell r="H141" t="str">
            <v>+351 22 607 5660</v>
          </cell>
          <cell r="I141" t="str">
            <v>+351 22 607 5661</v>
          </cell>
          <cell r="J141" t="str">
            <v>http://www.imorendimento.com</v>
          </cell>
          <cell r="N141" t="str">
            <v>Armando Lacerda Queiroz</v>
          </cell>
          <cell r="O141" t="str">
            <v>lqueiroz@imorendimento.pt</v>
          </cell>
          <cell r="P141" t="str">
            <v>+351 22 607 5660</v>
          </cell>
          <cell r="Q141" t="str">
            <v>Portugal</v>
          </cell>
          <cell r="R141" t="str">
            <v>EUR</v>
          </cell>
          <cell r="T141" t="str">
            <v>Annually</v>
          </cell>
          <cell r="U141" t="str">
            <v>Annually</v>
          </cell>
          <cell r="X141" t="str">
            <v>KPMG</v>
          </cell>
          <cell r="Y141" t="str">
            <v>Real Estate Fund</v>
          </cell>
          <cell r="Z141" t="str">
            <v>No</v>
          </cell>
          <cell r="AB141">
            <v>0</v>
          </cell>
          <cell r="AC141" t="str">
            <v>Non-Listed Fund</v>
          </cell>
          <cell r="AD141" t="str">
            <v>Value-added</v>
          </cell>
          <cell r="AE141" t="str">
            <v>finite</v>
          </cell>
          <cell r="AF141" t="str">
            <v>Closed end</v>
          </cell>
          <cell r="AG141">
            <v>0</v>
          </cell>
          <cell r="AH141">
            <v>12</v>
          </cell>
          <cell r="AI141" t="str">
            <v>Net</v>
          </cell>
          <cell r="AJ141" t="str">
            <v>IPD</v>
          </cell>
          <cell r="AM141" t="str">
            <v>&gt; 60%</v>
          </cell>
          <cell r="AN141" t="str">
            <v>Institutional</v>
          </cell>
          <cell r="AQ141" t="str">
            <v>Europe</v>
          </cell>
          <cell r="AR141" t="str">
            <v>single country</v>
          </cell>
          <cell r="AT141" t="str">
            <v>Portugal</v>
          </cell>
          <cell r="AU141" t="str">
            <v>single sector</v>
          </cell>
          <cell r="AV141" t="str">
            <v>Retail</v>
          </cell>
          <cell r="AY141">
            <v>2004</v>
          </cell>
          <cell r="AZ141">
            <v>2014</v>
          </cell>
          <cell r="BA141" t="str">
            <v>Yes</v>
          </cell>
          <cell r="BB141" t="str">
            <v>No</v>
          </cell>
          <cell r="BC141" t="str">
            <v>5 years</v>
          </cell>
          <cell r="BH141" t="str">
            <v>2010-12-31</v>
          </cell>
          <cell r="BJ141">
            <v>0</v>
          </cell>
          <cell r="BK141">
            <v>40000000</v>
          </cell>
          <cell r="BL141">
            <v>40000000</v>
          </cell>
          <cell r="BP141">
            <v>1</v>
          </cell>
          <cell r="BQ141">
            <v>1</v>
          </cell>
          <cell r="BS141">
            <v>0</v>
          </cell>
          <cell r="BV141" t="str">
            <v>No</v>
          </cell>
        </row>
        <row r="142">
          <cell r="A142">
            <v>110</v>
          </cell>
          <cell r="B142" t="str">
            <v>CORDEA SAVILLS UK PROPERTY VENTURES NO. 1</v>
          </cell>
          <cell r="C142" t="str">
            <v>SAVILLS INVESTMENT MANAGEMENT (UK) LIMITED</v>
          </cell>
          <cell r="D142" t="str">
            <v>33 Margaret Street, London</v>
          </cell>
          <cell r="E142" t="str">
            <v>W1G 0JD</v>
          </cell>
          <cell r="F142" t="str">
            <v>London</v>
          </cell>
          <cell r="G142" t="str">
            <v>United Kingdom</v>
          </cell>
          <cell r="H142" t="str">
            <v>+44 (0) 20 7877 4770</v>
          </cell>
          <cell r="I142" t="str">
            <v>+44 (0) 20 7877 4777</v>
          </cell>
          <cell r="J142" t="str">
            <v>http://www.savillsim.com</v>
          </cell>
          <cell r="K142" t="str">
            <v>Richard Lake</v>
          </cell>
          <cell r="L142" t="str">
            <v>richard.lake@savillsim.com</v>
          </cell>
          <cell r="M142" t="str">
            <v>+44 (0)20 7409 9932</v>
          </cell>
          <cell r="N142" t="str">
            <v>Liberty Greenish</v>
          </cell>
          <cell r="O142" t="str">
            <v>liberty.greenish@savillsim.com</v>
          </cell>
          <cell r="P142" t="str">
            <v>+44 (0) 20 7409 9987</v>
          </cell>
          <cell r="Q142" t="str">
            <v>United Kingdom</v>
          </cell>
          <cell r="R142" t="str">
            <v>GBP</v>
          </cell>
          <cell r="S142" t="str">
            <v>Local GAAP</v>
          </cell>
          <cell r="T142" t="str">
            <v>Quarterly</v>
          </cell>
          <cell r="U142" t="str">
            <v>Quarterly</v>
          </cell>
          <cell r="W142" t="str">
            <v>INREV NAV</v>
          </cell>
          <cell r="X142" t="str">
            <v>KPMG</v>
          </cell>
          <cell r="Y142" t="str">
            <v>Limited Partnership</v>
          </cell>
          <cell r="Z142" t="str">
            <v>Yes</v>
          </cell>
          <cell r="AA142" t="str">
            <v>No</v>
          </cell>
          <cell r="AB142">
            <v>0</v>
          </cell>
          <cell r="AC142" t="str">
            <v>Non-Listed Fund</v>
          </cell>
          <cell r="AD142" t="str">
            <v>Opportunity</v>
          </cell>
          <cell r="AE142" t="str">
            <v>finite</v>
          </cell>
          <cell r="AF142" t="str">
            <v>Closed end</v>
          </cell>
          <cell r="AG142">
            <v>20</v>
          </cell>
          <cell r="AH142">
            <v>20</v>
          </cell>
          <cell r="AI142" t="str">
            <v>Net</v>
          </cell>
          <cell r="AJ142" t="str">
            <v>20%</v>
          </cell>
          <cell r="AL142">
            <v>25</v>
          </cell>
          <cell r="AM142" t="str">
            <v>&gt; 60%</v>
          </cell>
          <cell r="AN142" t="str">
            <v>Institutional and Retail</v>
          </cell>
          <cell r="AO142" t="str">
            <v>&gt; 2</v>
          </cell>
          <cell r="AP142" t="str">
            <v>≥ 50%</v>
          </cell>
          <cell r="AQ142" t="str">
            <v>Europe</v>
          </cell>
          <cell r="AR142" t="str">
            <v>single country</v>
          </cell>
          <cell r="AT142" t="str">
            <v>United Kingdom</v>
          </cell>
          <cell r="AU142" t="str">
            <v>single sector</v>
          </cell>
          <cell r="AV142" t="str">
            <v>Other</v>
          </cell>
          <cell r="AY142">
            <v>2008</v>
          </cell>
          <cell r="AZ142">
            <v>2014</v>
          </cell>
          <cell r="BA142" t="str">
            <v>Yes</v>
          </cell>
          <cell r="BB142" t="str">
            <v>Yes</v>
          </cell>
          <cell r="BC142" t="str">
            <v>2 years</v>
          </cell>
          <cell r="BH142" t="str">
            <v>2019-06-30</v>
          </cell>
          <cell r="BI142">
            <v>12538854</v>
          </cell>
          <cell r="BJ142">
            <v>14013493.97085261</v>
          </cell>
          <cell r="BK142">
            <v>12521954</v>
          </cell>
          <cell r="BL142">
            <v>13994606.435507881</v>
          </cell>
          <cell r="BM142">
            <v>0</v>
          </cell>
          <cell r="BN142" t="str">
            <v>No</v>
          </cell>
          <cell r="BO142" t="str">
            <v>External</v>
          </cell>
          <cell r="BP142">
            <v>6</v>
          </cell>
          <cell r="BQ142">
            <v>9</v>
          </cell>
          <cell r="BR142">
            <v>66241720</v>
          </cell>
          <cell r="BS142">
            <v>77021362.372440815</v>
          </cell>
          <cell r="BT142">
            <v>50919214</v>
          </cell>
          <cell r="BU142">
            <v>59205395.530397788</v>
          </cell>
          <cell r="BV142" t="str">
            <v>No</v>
          </cell>
          <cell r="BW142" t="str">
            <v>United Kingdom</v>
          </cell>
          <cell r="BX142" t="str">
            <v>Development Mixed</v>
          </cell>
          <cell r="BY142">
            <v>100</v>
          </cell>
        </row>
        <row r="143">
          <cell r="A143">
            <v>542</v>
          </cell>
          <cell r="B143" t="str">
            <v>CORNERSTONE GERMAN RETAIL FUND</v>
          </cell>
          <cell r="C143" t="str">
            <v>CORNERSTONE REAL ESTATE ADVISERS</v>
          </cell>
          <cell r="D143" t="str">
            <v>30 Old Burlington Street</v>
          </cell>
          <cell r="E143" t="str">
            <v>W1S 3AR</v>
          </cell>
          <cell r="F143" t="str">
            <v>London</v>
          </cell>
          <cell r="G143" t="str">
            <v>United Kingdom</v>
          </cell>
          <cell r="H143" t="str">
            <v>+44 (0)20 7297 0900</v>
          </cell>
          <cell r="I143" t="str">
            <v>+44 (0)20 7297 0999</v>
          </cell>
          <cell r="J143" t="str">
            <v>http://www.cornerstoneadvisers.com</v>
          </cell>
          <cell r="K143" t="str">
            <v>Peter de Haas</v>
          </cell>
          <cell r="L143" t="str">
            <v>PdeHaas@cornerstoneadvisers-eu.com</v>
          </cell>
          <cell r="M143" t="str">
            <v>+31 10 405 60 31</v>
          </cell>
          <cell r="N143" t="str">
            <v>Peter de Haas</v>
          </cell>
          <cell r="O143" t="str">
            <v>PdeHaas@cornerstoneadvisers-eu.com</v>
          </cell>
          <cell r="P143" t="str">
            <v>+44 (0)20 7297 0999</v>
          </cell>
          <cell r="Q143" t="str">
            <v>Netherlands</v>
          </cell>
          <cell r="R143" t="str">
            <v>EUR</v>
          </cell>
          <cell r="S143" t="str">
            <v>IFRS</v>
          </cell>
          <cell r="T143" t="str">
            <v>Quarterly</v>
          </cell>
          <cell r="U143" t="str">
            <v>Quarterly</v>
          </cell>
          <cell r="V143" t="str">
            <v>RICS</v>
          </cell>
          <cell r="W143" t="str">
            <v>INREV NAV</v>
          </cell>
          <cell r="X143" t="str">
            <v>Deloitte</v>
          </cell>
          <cell r="Y143" t="str">
            <v>CV</v>
          </cell>
          <cell r="Z143" t="str">
            <v>Yes</v>
          </cell>
          <cell r="AB143">
            <v>0</v>
          </cell>
          <cell r="AC143" t="str">
            <v>Non-Listed Fund</v>
          </cell>
          <cell r="AD143" t="str">
            <v>Value-added</v>
          </cell>
          <cell r="AE143" t="str">
            <v>finite</v>
          </cell>
          <cell r="AF143" t="str">
            <v>Closed end</v>
          </cell>
          <cell r="AG143">
            <v>16</v>
          </cell>
          <cell r="AH143">
            <v>16</v>
          </cell>
          <cell r="AI143" t="str">
            <v>Net</v>
          </cell>
          <cell r="AJ143" t="str">
            <v>IPD</v>
          </cell>
          <cell r="AK143">
            <v>6</v>
          </cell>
          <cell r="AL143">
            <v>75</v>
          </cell>
          <cell r="AM143" t="str">
            <v>&gt; 60%</v>
          </cell>
          <cell r="AN143" t="str">
            <v>Institutional</v>
          </cell>
          <cell r="AO143" t="str">
            <v>&gt; 2</v>
          </cell>
          <cell r="AP143" t="str">
            <v>≥ 50%</v>
          </cell>
          <cell r="AQ143" t="str">
            <v>Europe</v>
          </cell>
          <cell r="AR143" t="str">
            <v>single country</v>
          </cell>
          <cell r="AT143" t="str">
            <v>Germany</v>
          </cell>
          <cell r="AU143" t="str">
            <v>single sector</v>
          </cell>
          <cell r="AV143" t="str">
            <v>Retail</v>
          </cell>
          <cell r="AW143">
            <v>48500000</v>
          </cell>
          <cell r="AX143">
            <v>120000000</v>
          </cell>
          <cell r="AY143">
            <v>2008</v>
          </cell>
          <cell r="AZ143">
            <v>2015</v>
          </cell>
          <cell r="BA143" t="str">
            <v>Yes</v>
          </cell>
          <cell r="BB143" t="str">
            <v>Yes</v>
          </cell>
          <cell r="BC143" t="str">
            <v>3 years</v>
          </cell>
          <cell r="BH143" t="str">
            <v>2019-03-31</v>
          </cell>
          <cell r="BI143">
            <v>28568358</v>
          </cell>
          <cell r="BJ143">
            <v>28568358</v>
          </cell>
          <cell r="BK143">
            <v>21189992</v>
          </cell>
          <cell r="BL143">
            <v>21189992</v>
          </cell>
          <cell r="BM143">
            <v>17.5</v>
          </cell>
          <cell r="BN143" t="str">
            <v>No</v>
          </cell>
          <cell r="BO143" t="str">
            <v>External</v>
          </cell>
          <cell r="BP143">
            <v>0</v>
          </cell>
          <cell r="BQ143">
            <v>2</v>
          </cell>
          <cell r="BR143">
            <v>48493123</v>
          </cell>
          <cell r="BS143">
            <v>48493123</v>
          </cell>
          <cell r="BT143">
            <v>48493123</v>
          </cell>
          <cell r="BU143">
            <v>48493123</v>
          </cell>
          <cell r="BV143" t="str">
            <v>No</v>
          </cell>
          <cell r="BW143" t="str">
            <v>Germany</v>
          </cell>
          <cell r="BX143" t="str">
            <v>Retail</v>
          </cell>
          <cell r="BY143">
            <v>82.5</v>
          </cell>
        </row>
        <row r="144">
          <cell r="A144">
            <v>16080</v>
          </cell>
          <cell r="B144" t="str">
            <v>CREDIT MUTUEL PIERRE 1</v>
          </cell>
          <cell r="C144" t="str">
            <v>LA FRANCAISE REM</v>
          </cell>
          <cell r="D144" t="str">
            <v>128, boulevard Raspail</v>
          </cell>
          <cell r="E144">
            <v>75006</v>
          </cell>
          <cell r="F144" t="str">
            <v>Paris</v>
          </cell>
          <cell r="G144" t="str">
            <v>France</v>
          </cell>
          <cell r="H144" t="str">
            <v>+33144561000</v>
          </cell>
          <cell r="I144" t="str">
            <v>+33144561138</v>
          </cell>
          <cell r="J144" t="str">
            <v>https://lafrancaise-am.com</v>
          </cell>
          <cell r="K144" t="str">
            <v>Penin</v>
          </cell>
          <cell r="L144" t="str">
            <v>mopenin@lafrancaise-am.com</v>
          </cell>
          <cell r="N144" t="str">
            <v>SCPI</v>
          </cell>
          <cell r="P144" t="str">
            <v>+33153624060</v>
          </cell>
          <cell r="Q144" t="str">
            <v>France</v>
          </cell>
          <cell r="R144" t="str">
            <v>EUR</v>
          </cell>
          <cell r="S144" t="str">
            <v>IFRS</v>
          </cell>
          <cell r="T144" t="str">
            <v>Quarterly</v>
          </cell>
          <cell r="U144" t="str">
            <v>Annually</v>
          </cell>
          <cell r="V144" t="str">
            <v>Other - mark to market</v>
          </cell>
          <cell r="X144" t="str">
            <v>Deloitte</v>
          </cell>
          <cell r="Y144" t="str">
            <v>SCPI</v>
          </cell>
          <cell r="Z144" t="str">
            <v>No</v>
          </cell>
          <cell r="AA144" t="str">
            <v>Yes</v>
          </cell>
          <cell r="AC144" t="str">
            <v>Non-Listed Fund</v>
          </cell>
          <cell r="AD144" t="str">
            <v>Core</v>
          </cell>
          <cell r="AE144" t="str">
            <v>infinite</v>
          </cell>
          <cell r="AF144" t="str">
            <v>Open end</v>
          </cell>
          <cell r="AK144">
            <v>5</v>
          </cell>
          <cell r="AL144">
            <v>0</v>
          </cell>
          <cell r="AM144" t="str">
            <v>≤ 40%</v>
          </cell>
          <cell r="AN144" t="str">
            <v>Institutional and Retail</v>
          </cell>
          <cell r="AO144" t="str">
            <v>&gt; 2</v>
          </cell>
          <cell r="AP144" t="str">
            <v>&lt; 50%</v>
          </cell>
          <cell r="AQ144" t="str">
            <v>Europe</v>
          </cell>
          <cell r="AR144" t="str">
            <v>single country</v>
          </cell>
          <cell r="AT144" t="str">
            <v>France</v>
          </cell>
          <cell r="AU144" t="str">
            <v>multi sector</v>
          </cell>
          <cell r="AY144">
            <v>1973</v>
          </cell>
          <cell r="BH144" t="str">
            <v>2015-03-31</v>
          </cell>
          <cell r="BI144">
            <v>834671569</v>
          </cell>
          <cell r="BJ144">
            <v>834671569</v>
          </cell>
          <cell r="BK144">
            <v>818222369</v>
          </cell>
          <cell r="BL144">
            <v>818222369</v>
          </cell>
          <cell r="BM144">
            <v>2.0099999999999998</v>
          </cell>
          <cell r="BN144" t="str">
            <v>No</v>
          </cell>
          <cell r="BO144" t="str">
            <v>Internal</v>
          </cell>
          <cell r="BP144">
            <v>205</v>
          </cell>
          <cell r="BQ144">
            <v>174</v>
          </cell>
          <cell r="BS144">
            <v>0</v>
          </cell>
          <cell r="BW144" t="str">
            <v>France</v>
          </cell>
          <cell r="BX144" t="str">
            <v>Office</v>
          </cell>
          <cell r="BY144">
            <v>87.11</v>
          </cell>
          <cell r="BZ144" t="str">
            <v>France</v>
          </cell>
          <cell r="CA144" t="str">
            <v>Retail</v>
          </cell>
          <cell r="CB144">
            <v>10.220000000000001</v>
          </cell>
          <cell r="CC144" t="str">
            <v>France</v>
          </cell>
          <cell r="CD144" t="str">
            <v>Industrial / Logistics</v>
          </cell>
          <cell r="CE144">
            <v>1.49</v>
          </cell>
          <cell r="CF144" t="str">
            <v>France</v>
          </cell>
          <cell r="CG144" t="str">
            <v>Industrial / Logistics</v>
          </cell>
          <cell r="CH144">
            <v>1.18</v>
          </cell>
        </row>
        <row r="145">
          <cell r="A145">
            <v>111</v>
          </cell>
          <cell r="B145" t="str">
            <v>CREDIT SUISSE 1A IMMO PK</v>
          </cell>
          <cell r="C145" t="str">
            <v>CREDIT SUISSE ASSET MANAGEMENT (SWITZERLAND)</v>
          </cell>
          <cell r="D145" t="str">
            <v>AIIA 275</v>
          </cell>
          <cell r="E145">
            <v>8070</v>
          </cell>
          <cell r="F145" t="str">
            <v>Zurich</v>
          </cell>
          <cell r="G145" t="str">
            <v>Switzerland</v>
          </cell>
          <cell r="H145" t="str">
            <v>+41 (0) 44 332 58 08</v>
          </cell>
          <cell r="I145" t="str">
            <v>+41 (0) 44 337 20 82</v>
          </cell>
          <cell r="J145" t="str">
            <v>http://www.credit-suisse.com/ch/realestate</v>
          </cell>
          <cell r="K145" t="str">
            <v>Thomas Vonaesch</v>
          </cell>
          <cell r="L145" t="str">
            <v>thomas.vonaesch@credit-suisse.com</v>
          </cell>
          <cell r="M145" t="str">
            <v>+41 (0) 44 332 58 08</v>
          </cell>
          <cell r="N145" t="str">
            <v>Ulrich Braun</v>
          </cell>
          <cell r="O145" t="str">
            <v>ulrich.braun@credit-suisse.com</v>
          </cell>
          <cell r="P145" t="str">
            <v>+41 (0) 44 337 20 82</v>
          </cell>
          <cell r="Q145" t="str">
            <v>Switzerland</v>
          </cell>
          <cell r="R145" t="str">
            <v>CHF</v>
          </cell>
          <cell r="T145" t="str">
            <v>Twice per year</v>
          </cell>
          <cell r="U145" t="str">
            <v>Annually</v>
          </cell>
          <cell r="X145" t="str">
            <v>KPMG</v>
          </cell>
          <cell r="Y145" t="str">
            <v>Semi-Open Real Estate Fund (Swiss real estate fund)</v>
          </cell>
          <cell r="Z145" t="str">
            <v>No</v>
          </cell>
          <cell r="AA145" t="str">
            <v>No</v>
          </cell>
          <cell r="AB145">
            <v>0</v>
          </cell>
          <cell r="AC145" t="str">
            <v>Non-Listed Fund</v>
          </cell>
          <cell r="AD145" t="str">
            <v>Core</v>
          </cell>
          <cell r="AE145" t="str">
            <v>infinite</v>
          </cell>
          <cell r="AF145" t="str">
            <v>Closed end</v>
          </cell>
          <cell r="AG145">
            <v>5</v>
          </cell>
          <cell r="AH145">
            <v>6</v>
          </cell>
          <cell r="AJ145" t="str">
            <v>SWX Immofonds Index</v>
          </cell>
          <cell r="AK145">
            <v>4</v>
          </cell>
          <cell r="AL145">
            <v>20</v>
          </cell>
          <cell r="AM145" t="str">
            <v>≤ 40%</v>
          </cell>
          <cell r="AN145" t="str">
            <v>Institutional</v>
          </cell>
          <cell r="AO145" t="str">
            <v>&gt; 2</v>
          </cell>
          <cell r="AP145" t="str">
            <v>≥ 50%</v>
          </cell>
          <cell r="AQ145" t="str">
            <v>Europe</v>
          </cell>
          <cell r="AR145" t="str">
            <v>single country</v>
          </cell>
          <cell r="AT145" t="str">
            <v>Switzerland</v>
          </cell>
          <cell r="AU145" t="str">
            <v>multi sector</v>
          </cell>
          <cell r="AW145">
            <v>4000000000</v>
          </cell>
          <cell r="AX145">
            <v>5000000000</v>
          </cell>
          <cell r="AY145">
            <v>1999</v>
          </cell>
          <cell r="BE145" t="str">
            <v>≥ 60%</v>
          </cell>
          <cell r="BF145" t="str">
            <v>≤ 15%</v>
          </cell>
          <cell r="BG145" t="str">
            <v>≤ 5%</v>
          </cell>
          <cell r="BH145" t="str">
            <v>2020-12-31</v>
          </cell>
          <cell r="BI145">
            <v>4565543847</v>
          </cell>
          <cell r="BJ145">
            <v>4210085018.777277</v>
          </cell>
          <cell r="BK145">
            <v>3475323126</v>
          </cell>
          <cell r="BL145">
            <v>3204745440.7424102</v>
          </cell>
          <cell r="BM145">
            <v>17.2</v>
          </cell>
          <cell r="BN145" t="str">
            <v>No</v>
          </cell>
          <cell r="BO145" t="str">
            <v>Internal</v>
          </cell>
          <cell r="BP145">
            <v>363</v>
          </cell>
          <cell r="BQ145">
            <v>116</v>
          </cell>
          <cell r="BR145">
            <v>3475323126</v>
          </cell>
          <cell r="BS145">
            <v>3218255167.5472069</v>
          </cell>
          <cell r="BT145">
            <v>3475323126</v>
          </cell>
          <cell r="BU145">
            <v>3218255167.5472069</v>
          </cell>
          <cell r="BV145" t="str">
            <v>No</v>
          </cell>
          <cell r="BW145" t="str">
            <v>Switzerland</v>
          </cell>
          <cell r="BX145" t="str">
            <v>Mixed</v>
          </cell>
          <cell r="BY145">
            <v>100</v>
          </cell>
        </row>
        <row r="146">
          <cell r="A146">
            <v>17494</v>
          </cell>
          <cell r="B146" t="str">
            <v>CREDIT SUISSE ANLAGESTIFTUNG REAL ESTATE GERMANY</v>
          </cell>
          <cell r="C146" t="str">
            <v>CREDIT SUISSE AG</v>
          </cell>
          <cell r="D146" t="str">
            <v>SDRP 2</v>
          </cell>
          <cell r="E146">
            <v>8070</v>
          </cell>
          <cell r="F146" t="str">
            <v>Zurich</v>
          </cell>
          <cell r="G146" t="str">
            <v>Switzerland</v>
          </cell>
          <cell r="H146" t="str">
            <v>+41443325808</v>
          </cell>
          <cell r="I146" t="str">
            <v>+41443372082</v>
          </cell>
          <cell r="J146" t="str">
            <v>http://www.credit-suisse.com</v>
          </cell>
          <cell r="K146" t="str">
            <v>Francisca Fariña Fischer</v>
          </cell>
          <cell r="L146" t="str">
            <v>francisca.farinafischer@credit-suisse.com</v>
          </cell>
          <cell r="M146" t="str">
            <v>+41 44 333 97 94</v>
          </cell>
          <cell r="N146" t="str">
            <v>Ulrich Braun</v>
          </cell>
          <cell r="O146" t="str">
            <v>ulrich.braun@credit-suisse.com</v>
          </cell>
          <cell r="P146" t="str">
            <v>+41443325808</v>
          </cell>
          <cell r="Q146" t="str">
            <v>Switzerland</v>
          </cell>
          <cell r="R146" t="str">
            <v>EUR</v>
          </cell>
          <cell r="S146" t="str">
            <v>IFRS</v>
          </cell>
          <cell r="T146" t="str">
            <v>Twice per year</v>
          </cell>
          <cell r="U146" t="str">
            <v>Twice per year</v>
          </cell>
          <cell r="V146" t="str">
            <v>Other - mark to market</v>
          </cell>
          <cell r="W146" t="str">
            <v>OAK NAV</v>
          </cell>
          <cell r="X146" t="str">
            <v>KPMG AG</v>
          </cell>
          <cell r="Y146" t="str">
            <v>Anlagestiftung</v>
          </cell>
          <cell r="Z146" t="str">
            <v>No</v>
          </cell>
          <cell r="AA146" t="str">
            <v>No</v>
          </cell>
          <cell r="AC146" t="str">
            <v>Non-Listed Fund</v>
          </cell>
          <cell r="AD146" t="str">
            <v>Core</v>
          </cell>
          <cell r="AE146" t="str">
            <v>infinite</v>
          </cell>
          <cell r="AF146" t="str">
            <v>Open end</v>
          </cell>
          <cell r="AG146">
            <v>5</v>
          </cell>
          <cell r="AH146">
            <v>6</v>
          </cell>
          <cell r="AI146" t="str">
            <v>Gross</v>
          </cell>
          <cell r="AJ146" t="str">
            <v>KGAST Immo-Index</v>
          </cell>
          <cell r="AK146">
            <v>0</v>
          </cell>
          <cell r="AL146">
            <v>20</v>
          </cell>
          <cell r="AM146" t="str">
            <v>≤ 40%</v>
          </cell>
          <cell r="AN146" t="str">
            <v>Institutional</v>
          </cell>
          <cell r="AO146" t="str">
            <v>&gt; 2</v>
          </cell>
          <cell r="AP146" t="str">
            <v>≥ 50%</v>
          </cell>
          <cell r="AQ146" t="str">
            <v>Europe</v>
          </cell>
          <cell r="AR146" t="str">
            <v>single country</v>
          </cell>
          <cell r="AT146" t="str">
            <v>Germany</v>
          </cell>
          <cell r="AU146" t="str">
            <v>multi sector</v>
          </cell>
          <cell r="AW146">
            <v>1000</v>
          </cell>
          <cell r="AX146">
            <v>1200</v>
          </cell>
          <cell r="AY146">
            <v>2014</v>
          </cell>
          <cell r="BD146" t="str">
            <v>No</v>
          </cell>
          <cell r="BE146" t="str">
            <v>≥ 60%</v>
          </cell>
          <cell r="BF146" t="str">
            <v>≤ 15%</v>
          </cell>
          <cell r="BG146" t="str">
            <v>≤ 5%</v>
          </cell>
          <cell r="BH146" t="str">
            <v>2020-09-30</v>
          </cell>
          <cell r="BI146">
            <v>778177597</v>
          </cell>
          <cell r="BJ146">
            <v>778177597</v>
          </cell>
          <cell r="BK146">
            <v>609896000</v>
          </cell>
          <cell r="BL146">
            <v>609896000</v>
          </cell>
          <cell r="BM146">
            <v>20.6</v>
          </cell>
          <cell r="BN146" t="str">
            <v>Yes</v>
          </cell>
          <cell r="BO146" t="str">
            <v>External</v>
          </cell>
          <cell r="BP146">
            <v>37</v>
          </cell>
          <cell r="BQ146">
            <v>21</v>
          </cell>
          <cell r="BR146">
            <v>609896000</v>
          </cell>
          <cell r="BS146">
            <v>609896000</v>
          </cell>
          <cell r="BT146">
            <v>609896000</v>
          </cell>
          <cell r="BU146">
            <v>609896000</v>
          </cell>
          <cell r="BV146" t="str">
            <v>Yes</v>
          </cell>
          <cell r="BW146" t="str">
            <v>Germany</v>
          </cell>
          <cell r="BX146" t="str">
            <v>Office</v>
          </cell>
          <cell r="BY146">
            <v>100</v>
          </cell>
        </row>
        <row r="147">
          <cell r="A147">
            <v>112</v>
          </cell>
          <cell r="B147" t="str">
            <v>CREDIT SUISSE ANLAGESTIFTUNG REAL ESTATE SWITZERLAND</v>
          </cell>
          <cell r="C147" t="str">
            <v>CREDIT SUISSE ASSET MANAGEMENT (SWITZERLAND)</v>
          </cell>
          <cell r="D147" t="str">
            <v>AIIA 275</v>
          </cell>
          <cell r="E147">
            <v>8070</v>
          </cell>
          <cell r="F147" t="str">
            <v>Zurich</v>
          </cell>
          <cell r="G147" t="str">
            <v>Switzerland</v>
          </cell>
          <cell r="H147" t="str">
            <v>+41 44 332 58 08</v>
          </cell>
          <cell r="I147" t="str">
            <v>+41 44 337 20 82</v>
          </cell>
          <cell r="J147" t="str">
            <v>http://www.credit-suisse.com/ch/realestate</v>
          </cell>
          <cell r="K147" t="str">
            <v>Andreas Roth</v>
          </cell>
          <cell r="L147" t="str">
            <v>andreas.roth@credit-suisse.com</v>
          </cell>
          <cell r="M147" t="str">
            <v>+41 (0) 44 332 58 08</v>
          </cell>
          <cell r="N147" t="str">
            <v>Ulrich Braun</v>
          </cell>
          <cell r="O147" t="str">
            <v>ulrich.braun@credit-suisse.com</v>
          </cell>
          <cell r="P147" t="str">
            <v>+41 44 337 20 82</v>
          </cell>
          <cell r="Q147" t="str">
            <v>Switzerland</v>
          </cell>
          <cell r="R147" t="str">
            <v>CHF</v>
          </cell>
          <cell r="T147" t="str">
            <v>Annually</v>
          </cell>
          <cell r="U147" t="str">
            <v>Annually</v>
          </cell>
          <cell r="X147" t="str">
            <v>KPMG</v>
          </cell>
          <cell r="Y147" t="str">
            <v>Anlagestiftung</v>
          </cell>
          <cell r="Z147" t="str">
            <v>No</v>
          </cell>
          <cell r="AA147" t="str">
            <v>Yes</v>
          </cell>
          <cell r="AB147">
            <v>9</v>
          </cell>
          <cell r="AC147" t="str">
            <v>Non-Listed Fund</v>
          </cell>
          <cell r="AD147" t="str">
            <v>Core</v>
          </cell>
          <cell r="AE147" t="str">
            <v>infinite</v>
          </cell>
          <cell r="AF147" t="str">
            <v>Open end</v>
          </cell>
          <cell r="AG147">
            <v>5</v>
          </cell>
          <cell r="AH147">
            <v>6</v>
          </cell>
          <cell r="AI147" t="str">
            <v>Gross</v>
          </cell>
          <cell r="AJ147" t="str">
            <v>KGAST Immo Index Schweiz</v>
          </cell>
          <cell r="AL147">
            <v>20</v>
          </cell>
          <cell r="AM147" t="str">
            <v>≤ 40%</v>
          </cell>
          <cell r="AN147" t="str">
            <v>Institutional</v>
          </cell>
          <cell r="AO147" t="str">
            <v>&gt; 2</v>
          </cell>
          <cell r="AP147" t="str">
            <v>≥ 50%</v>
          </cell>
          <cell r="AQ147" t="str">
            <v>Europe</v>
          </cell>
          <cell r="AR147" t="str">
            <v>single country</v>
          </cell>
          <cell r="AT147" t="str">
            <v>Switzerland</v>
          </cell>
          <cell r="AU147" t="str">
            <v>multi sector</v>
          </cell>
          <cell r="AW147">
            <v>4000000000</v>
          </cell>
          <cell r="AX147">
            <v>5000000000</v>
          </cell>
          <cell r="AY147">
            <v>2002</v>
          </cell>
          <cell r="BH147" t="str">
            <v>2020-12-31</v>
          </cell>
          <cell r="BI147">
            <v>7993010794</v>
          </cell>
          <cell r="BJ147">
            <v>7370700211.5107422</v>
          </cell>
          <cell r="BK147">
            <v>5970688919</v>
          </cell>
          <cell r="BL147">
            <v>5505829932.2169218</v>
          </cell>
          <cell r="BM147">
            <v>23.7</v>
          </cell>
          <cell r="BN147" t="str">
            <v>No</v>
          </cell>
          <cell r="BO147" t="str">
            <v>Internal</v>
          </cell>
          <cell r="BP147">
            <v>715</v>
          </cell>
          <cell r="BQ147">
            <v>256</v>
          </cell>
          <cell r="BR147">
            <v>5970688919</v>
          </cell>
          <cell r="BS147">
            <v>5529039968.5812111</v>
          </cell>
          <cell r="BT147">
            <v>5970688919</v>
          </cell>
          <cell r="BU147">
            <v>5529039968.5812111</v>
          </cell>
          <cell r="BV147" t="str">
            <v>No</v>
          </cell>
          <cell r="BW147" t="str">
            <v>Switzerland</v>
          </cell>
          <cell r="BX147" t="str">
            <v>Mixed</v>
          </cell>
          <cell r="BY147">
            <v>100</v>
          </cell>
        </row>
        <row r="148">
          <cell r="A148">
            <v>576</v>
          </cell>
          <cell r="B148" t="str">
            <v>CREDIT SUISSE ANLAGESTIFTUNG REAL ESTATE SWITZERLAND COMMERCIAL</v>
          </cell>
          <cell r="C148" t="str">
            <v>CREDIT SUISSE</v>
          </cell>
          <cell r="D148" t="str">
            <v>AIIA 275</v>
          </cell>
          <cell r="E148">
            <v>8070</v>
          </cell>
          <cell r="F148" t="str">
            <v>Zurich</v>
          </cell>
          <cell r="G148" t="str">
            <v>Switzerland</v>
          </cell>
          <cell r="H148" t="str">
            <v>+41 (0) 44 332 58 08</v>
          </cell>
          <cell r="I148" t="str">
            <v>+41 (0) 44 337 20 82</v>
          </cell>
          <cell r="J148" t="str">
            <v>http://www.credit-suisse.com/ch/realestate</v>
          </cell>
          <cell r="K148" t="str">
            <v>Stefan Bangerter</v>
          </cell>
          <cell r="L148" t="str">
            <v>stefan.bangerter@credit-suisse.com</v>
          </cell>
          <cell r="M148" t="str">
            <v>+41 (0)44 333 41 72</v>
          </cell>
          <cell r="N148" t="str">
            <v>Ulrich Braun</v>
          </cell>
          <cell r="O148" t="str">
            <v>ulrich.braun@credit-suisse.com</v>
          </cell>
          <cell r="P148" t="str">
            <v>+41 (0) 44 337 20 82</v>
          </cell>
          <cell r="Q148" t="str">
            <v>Switzerland</v>
          </cell>
          <cell r="R148" t="str">
            <v>CHF</v>
          </cell>
          <cell r="T148" t="str">
            <v>Annually</v>
          </cell>
          <cell r="U148" t="str">
            <v>Annually</v>
          </cell>
          <cell r="X148" t="str">
            <v>KPMG</v>
          </cell>
          <cell r="Y148" t="str">
            <v>Anlagestiftung</v>
          </cell>
          <cell r="Z148" t="str">
            <v>No</v>
          </cell>
          <cell r="AA148" t="str">
            <v>Yes</v>
          </cell>
          <cell r="AB148">
            <v>9</v>
          </cell>
          <cell r="AC148" t="str">
            <v>Non-Listed Fund</v>
          </cell>
          <cell r="AD148" t="str">
            <v>Core</v>
          </cell>
          <cell r="AE148" t="str">
            <v>infinite</v>
          </cell>
          <cell r="AF148" t="str">
            <v>Open end</v>
          </cell>
          <cell r="AG148">
            <v>4</v>
          </cell>
          <cell r="AH148">
            <v>5</v>
          </cell>
          <cell r="AI148" t="str">
            <v>Gross</v>
          </cell>
          <cell r="AJ148" t="str">
            <v>KGAST Immo-Index</v>
          </cell>
          <cell r="AL148">
            <v>25</v>
          </cell>
          <cell r="AM148" t="str">
            <v>≤ 40%</v>
          </cell>
          <cell r="AN148" t="str">
            <v>Institutional</v>
          </cell>
          <cell r="AO148" t="str">
            <v>&gt; 2</v>
          </cell>
          <cell r="AP148" t="str">
            <v>≥ 50%</v>
          </cell>
          <cell r="AQ148" t="str">
            <v>Europe</v>
          </cell>
          <cell r="AR148" t="str">
            <v>single country</v>
          </cell>
          <cell r="AT148" t="str">
            <v>Switzerland</v>
          </cell>
          <cell r="AU148" t="str">
            <v>multi sector</v>
          </cell>
          <cell r="AW148">
            <v>1000000000</v>
          </cell>
          <cell r="AX148">
            <v>1250000000</v>
          </cell>
          <cell r="AY148">
            <v>2010</v>
          </cell>
          <cell r="BH148" t="str">
            <v>2020-12-31</v>
          </cell>
          <cell r="BI148">
            <v>1791219483</v>
          </cell>
          <cell r="BJ148">
            <v>1651760789.829138</v>
          </cell>
          <cell r="BK148">
            <v>1293604647</v>
          </cell>
          <cell r="BL148">
            <v>1192888673.7412529</v>
          </cell>
          <cell r="BM148">
            <v>22.4</v>
          </cell>
          <cell r="BN148" t="str">
            <v>No</v>
          </cell>
          <cell r="BO148" t="str">
            <v>Internal</v>
          </cell>
          <cell r="BP148">
            <v>540</v>
          </cell>
          <cell r="BQ148">
            <v>25</v>
          </cell>
          <cell r="BR148">
            <v>1293604647</v>
          </cell>
          <cell r="BS148">
            <v>1197917341.505594</v>
          </cell>
          <cell r="BT148">
            <v>1293604647</v>
          </cell>
          <cell r="BU148">
            <v>1197917341.505594</v>
          </cell>
          <cell r="BV148" t="str">
            <v>No</v>
          </cell>
          <cell r="BW148" t="str">
            <v>Switzerland</v>
          </cell>
          <cell r="BX148" t="str">
            <v>Office</v>
          </cell>
          <cell r="BY148">
            <v>100</v>
          </cell>
        </row>
        <row r="149">
          <cell r="A149">
            <v>113</v>
          </cell>
          <cell r="B149" t="str">
            <v>CREDIT SUISSE ANLAGESTIFTUNG REAL ESTATE SWITZERLAND RESIDENTIAL</v>
          </cell>
          <cell r="C149" t="str">
            <v>CREDIT SUISSE ASSET MANAGEMENT (SWITZERLAND)</v>
          </cell>
          <cell r="D149" t="str">
            <v>AIIA 275</v>
          </cell>
          <cell r="E149">
            <v>8070</v>
          </cell>
          <cell r="F149" t="str">
            <v>Zurich</v>
          </cell>
          <cell r="G149" t="str">
            <v>Switzerland</v>
          </cell>
          <cell r="H149" t="str">
            <v>+41 (0) 44 332 58 08</v>
          </cell>
          <cell r="I149" t="str">
            <v>+41 (0) 44 337 20 82</v>
          </cell>
          <cell r="J149" t="str">
            <v>http://www.credit-suisse.com/ch/realestate</v>
          </cell>
          <cell r="K149" t="str">
            <v>Andreas Roth</v>
          </cell>
          <cell r="L149" t="str">
            <v>andreas.roth@credit-suisse.com</v>
          </cell>
          <cell r="M149" t="str">
            <v>+41 (0) 44 332 58 08</v>
          </cell>
          <cell r="N149" t="str">
            <v>Ulrich Braun</v>
          </cell>
          <cell r="O149" t="str">
            <v>ulrich.braun@credit-suisse.com</v>
          </cell>
          <cell r="P149" t="str">
            <v>+41 (0) 44 337 20 82</v>
          </cell>
          <cell r="Q149" t="str">
            <v>Switzerland</v>
          </cell>
          <cell r="R149" t="str">
            <v>CHF</v>
          </cell>
          <cell r="T149" t="str">
            <v>Annually</v>
          </cell>
          <cell r="U149" t="str">
            <v>Annually</v>
          </cell>
          <cell r="X149" t="str">
            <v>KPMG</v>
          </cell>
          <cell r="Y149" t="str">
            <v>Anlagestiftung</v>
          </cell>
          <cell r="Z149" t="str">
            <v>No</v>
          </cell>
          <cell r="AA149" t="str">
            <v>Yes</v>
          </cell>
          <cell r="AB149">
            <v>9</v>
          </cell>
          <cell r="AC149" t="str">
            <v>Non-Listed Fund</v>
          </cell>
          <cell r="AD149" t="str">
            <v>Core</v>
          </cell>
          <cell r="AE149" t="str">
            <v>infinite</v>
          </cell>
          <cell r="AF149" t="str">
            <v>Open end</v>
          </cell>
          <cell r="AG149">
            <v>5</v>
          </cell>
          <cell r="AH149">
            <v>6</v>
          </cell>
          <cell r="AI149" t="str">
            <v>Gross</v>
          </cell>
          <cell r="AJ149" t="str">
            <v>KGAST Immo Index Schweiz</v>
          </cell>
          <cell r="AL149">
            <v>25</v>
          </cell>
          <cell r="AM149" t="str">
            <v>≤ 40%</v>
          </cell>
          <cell r="AN149" t="str">
            <v>Institutional</v>
          </cell>
          <cell r="AO149" t="str">
            <v>&gt; 2</v>
          </cell>
          <cell r="AP149" t="str">
            <v>≥ 50%</v>
          </cell>
          <cell r="AQ149" t="str">
            <v>Europe</v>
          </cell>
          <cell r="AR149" t="str">
            <v>single country</v>
          </cell>
          <cell r="AT149" t="str">
            <v>Switzerland</v>
          </cell>
          <cell r="AU149" t="str">
            <v>single sector</v>
          </cell>
          <cell r="AV149" t="str">
            <v>Residential</v>
          </cell>
          <cell r="AW149">
            <v>750000000</v>
          </cell>
          <cell r="AX149">
            <v>1000000000</v>
          </cell>
          <cell r="AY149">
            <v>2006</v>
          </cell>
          <cell r="BH149" t="str">
            <v>2020-12-31</v>
          </cell>
          <cell r="BI149">
            <v>1088367647</v>
          </cell>
          <cell r="BJ149">
            <v>1003630778.525425</v>
          </cell>
          <cell r="BK149">
            <v>896442689</v>
          </cell>
          <cell r="BL149">
            <v>826648491.75225055</v>
          </cell>
          <cell r="BM149">
            <v>19.100000000000001</v>
          </cell>
          <cell r="BN149" t="str">
            <v>No</v>
          </cell>
          <cell r="BO149" t="str">
            <v>Internal</v>
          </cell>
          <cell r="BP149">
            <v>270</v>
          </cell>
          <cell r="BQ149">
            <v>110</v>
          </cell>
          <cell r="BR149">
            <v>896442689</v>
          </cell>
          <cell r="BS149">
            <v>830133260.04154813</v>
          </cell>
          <cell r="BT149">
            <v>896442689</v>
          </cell>
          <cell r="BU149">
            <v>830133260.04154813</v>
          </cell>
          <cell r="BV149" t="str">
            <v>No</v>
          </cell>
          <cell r="BW149" t="str">
            <v>Switzerland</v>
          </cell>
          <cell r="BX149" t="str">
            <v>Residential</v>
          </cell>
          <cell r="BY149">
            <v>100</v>
          </cell>
        </row>
        <row r="150">
          <cell r="A150">
            <v>114</v>
          </cell>
          <cell r="B150" t="str">
            <v>CREDIT SUISSE REAL ESTATE FUND INTERNATIONAL</v>
          </cell>
          <cell r="C150" t="str">
            <v>CREDIT SUISSE ASSET MANAGEMENT (SWITZERLAND)</v>
          </cell>
          <cell r="D150" t="str">
            <v>AIIA 275</v>
          </cell>
          <cell r="E150">
            <v>8070</v>
          </cell>
          <cell r="F150" t="str">
            <v>Zurich</v>
          </cell>
          <cell r="G150" t="str">
            <v>Switzerland</v>
          </cell>
          <cell r="H150" t="str">
            <v>+41 (0) 44 332 58 08</v>
          </cell>
          <cell r="I150" t="str">
            <v>+41 (0) 44 337 20 82</v>
          </cell>
          <cell r="J150" t="str">
            <v>http://www.credit-suisse.com/ch/realestate</v>
          </cell>
          <cell r="K150" t="str">
            <v>Rainer Scherwey</v>
          </cell>
          <cell r="L150" t="str">
            <v>rainer.scherwey@credit-suisse.com</v>
          </cell>
          <cell r="M150" t="str">
            <v>+41 (0) 44 334 62 06</v>
          </cell>
          <cell r="N150" t="str">
            <v>Ulrich Braun</v>
          </cell>
          <cell r="O150" t="str">
            <v>ulrich.braun@credit-suisse.com</v>
          </cell>
          <cell r="P150" t="str">
            <v>+41 (0) 44 337 20 82</v>
          </cell>
          <cell r="Q150" t="str">
            <v>Switzerland</v>
          </cell>
          <cell r="R150" t="str">
            <v>CHF</v>
          </cell>
          <cell r="T150" t="str">
            <v>Twice per year</v>
          </cell>
          <cell r="U150" t="str">
            <v>Twice per year</v>
          </cell>
          <cell r="X150" t="str">
            <v>KPMG</v>
          </cell>
          <cell r="Y150" t="str">
            <v>Semi-Open Real Estate Fund (Swiss real estate fund)</v>
          </cell>
          <cell r="Z150" t="str">
            <v>No</v>
          </cell>
          <cell r="AA150" t="str">
            <v>No</v>
          </cell>
          <cell r="AB150">
            <v>0</v>
          </cell>
          <cell r="AC150" t="str">
            <v>Non-Listed Fund</v>
          </cell>
          <cell r="AD150" t="str">
            <v>Core</v>
          </cell>
          <cell r="AE150" t="str">
            <v>infinite</v>
          </cell>
          <cell r="AF150" t="str">
            <v>Open end</v>
          </cell>
          <cell r="AG150">
            <v>5</v>
          </cell>
          <cell r="AH150">
            <v>6</v>
          </cell>
          <cell r="AI150" t="str">
            <v>Gross</v>
          </cell>
          <cell r="AJ150" t="str">
            <v>SXI Real Estate Funds</v>
          </cell>
          <cell r="AK150">
            <v>4</v>
          </cell>
          <cell r="AL150">
            <v>25</v>
          </cell>
          <cell r="AM150" t="str">
            <v>&gt; 40% - ≤ 60%</v>
          </cell>
          <cell r="AN150" t="str">
            <v>Institutional</v>
          </cell>
          <cell r="AO150" t="str">
            <v>&gt; 2</v>
          </cell>
          <cell r="AP150" t="str">
            <v>≥ 50%</v>
          </cell>
          <cell r="AQ150" t="str">
            <v>Global</v>
          </cell>
          <cell r="AR150" t="str">
            <v>multi country</v>
          </cell>
          <cell r="AU150" t="str">
            <v>multi sector</v>
          </cell>
          <cell r="AW150">
            <v>3000000000</v>
          </cell>
          <cell r="AX150">
            <v>4000000000</v>
          </cell>
          <cell r="AY150">
            <v>2005</v>
          </cell>
          <cell r="BH150" t="str">
            <v>2020-12-31</v>
          </cell>
          <cell r="BI150">
            <v>4432379000</v>
          </cell>
          <cell r="BJ150">
            <v>4087287966.2966919</v>
          </cell>
          <cell r="BK150">
            <v>3324534824</v>
          </cell>
          <cell r="BL150">
            <v>3065697039.8220668</v>
          </cell>
          <cell r="BM150">
            <v>17.7</v>
          </cell>
          <cell r="BN150" t="str">
            <v>No</v>
          </cell>
          <cell r="BO150" t="str">
            <v>Internal</v>
          </cell>
          <cell r="BP150">
            <v>320</v>
          </cell>
          <cell r="BQ150">
            <v>41</v>
          </cell>
          <cell r="BR150">
            <v>3324534824</v>
          </cell>
          <cell r="BS150">
            <v>3078620602.7820859</v>
          </cell>
          <cell r="BT150">
            <v>3324534824</v>
          </cell>
          <cell r="BU150">
            <v>3078620602.7820859</v>
          </cell>
          <cell r="BV150" t="str">
            <v>No</v>
          </cell>
          <cell r="BW150" t="str">
            <v>Chile</v>
          </cell>
          <cell r="BX150" t="str">
            <v>Office</v>
          </cell>
          <cell r="BY150">
            <v>1</v>
          </cell>
          <cell r="BZ150" t="str">
            <v>South Korea</v>
          </cell>
          <cell r="CA150" t="str">
            <v>Industrial / Logistics</v>
          </cell>
          <cell r="CB150">
            <v>3</v>
          </cell>
          <cell r="CC150" t="str">
            <v>Ireland</v>
          </cell>
          <cell r="CD150" t="str">
            <v>Office</v>
          </cell>
          <cell r="CE150">
            <v>3</v>
          </cell>
          <cell r="CF150" t="str">
            <v>Netherlands</v>
          </cell>
          <cell r="CG150" t="str">
            <v>Office</v>
          </cell>
          <cell r="CH150">
            <v>4</v>
          </cell>
          <cell r="CI150" t="str">
            <v>New Zealand</v>
          </cell>
          <cell r="CJ150" t="str">
            <v>Office</v>
          </cell>
          <cell r="CK150">
            <v>4</v>
          </cell>
          <cell r="CL150" t="str">
            <v>Australia</v>
          </cell>
          <cell r="CM150" t="str">
            <v>Office</v>
          </cell>
          <cell r="CN150">
            <v>8</v>
          </cell>
          <cell r="CO150" t="str">
            <v>Poland</v>
          </cell>
          <cell r="CP150" t="str">
            <v>Office</v>
          </cell>
          <cell r="CQ150">
            <v>9</v>
          </cell>
          <cell r="CR150" t="str">
            <v>Japan</v>
          </cell>
          <cell r="CS150" t="str">
            <v>Mixed</v>
          </cell>
          <cell r="CT150">
            <v>9</v>
          </cell>
          <cell r="CU150" t="str">
            <v>Germany</v>
          </cell>
          <cell r="CV150" t="str">
            <v>Mixed</v>
          </cell>
          <cell r="CW150">
            <v>11</v>
          </cell>
          <cell r="CX150" t="str">
            <v>United Kingdom</v>
          </cell>
          <cell r="CY150" t="str">
            <v>Office</v>
          </cell>
          <cell r="CZ150">
            <v>12</v>
          </cell>
          <cell r="DA150" t="str">
            <v>Canada</v>
          </cell>
          <cell r="DB150" t="str">
            <v>Mixed</v>
          </cell>
          <cell r="DC150">
            <v>12</v>
          </cell>
          <cell r="DD150" t="str">
            <v>United States of America</v>
          </cell>
          <cell r="DE150" t="str">
            <v>Office</v>
          </cell>
          <cell r="DF150">
            <v>24</v>
          </cell>
        </row>
        <row r="151">
          <cell r="A151">
            <v>19332</v>
          </cell>
          <cell r="B151" t="str">
            <v>DB GEMAN RESIDENTIAL SA</v>
          </cell>
          <cell r="C151" t="str">
            <v>DWS GRUNDBESITZ GMBH</v>
          </cell>
          <cell r="D151" t="str">
            <v>Mainzer Landstr. 11-17</v>
          </cell>
          <cell r="E151" t="str">
            <v xml:space="preserve">60329 </v>
          </cell>
          <cell r="F151" t="str">
            <v>Frankfurt am Main</v>
          </cell>
          <cell r="G151" t="str">
            <v>Germany</v>
          </cell>
          <cell r="K151" t="str">
            <v>Burkhard Meldt</v>
          </cell>
          <cell r="L151" t="str">
            <v>burkhard.meldt@dws.com</v>
          </cell>
          <cell r="M151" t="str">
            <v>+49 (69) 910 - 14940</v>
          </cell>
          <cell r="Q151" t="str">
            <v>Luxembourg</v>
          </cell>
          <cell r="R151" t="str">
            <v>EUR</v>
          </cell>
          <cell r="S151" t="str">
            <v>Lux GAAP</v>
          </cell>
          <cell r="T151" t="str">
            <v>Annually</v>
          </cell>
          <cell r="U151" t="str">
            <v>Annually</v>
          </cell>
          <cell r="V151" t="str">
            <v>ImmoWertV</v>
          </cell>
          <cell r="W151" t="str">
            <v>KAGB</v>
          </cell>
          <cell r="X151" t="str">
            <v>KPMG</v>
          </cell>
          <cell r="Y151" t="str">
            <v>Publikumsfonds</v>
          </cell>
          <cell r="Z151" t="str">
            <v>No</v>
          </cell>
          <cell r="AC151" t="str">
            <v>Non-Listed Fund</v>
          </cell>
          <cell r="AD151" t="str">
            <v>Core</v>
          </cell>
          <cell r="AE151" t="str">
            <v>finite</v>
          </cell>
          <cell r="AF151" t="str">
            <v>Closed end</v>
          </cell>
          <cell r="AN151" t="str">
            <v>Institutional and Retail</v>
          </cell>
          <cell r="AO151" t="str">
            <v>&gt; 2</v>
          </cell>
          <cell r="AP151" t="str">
            <v>&lt; 50%</v>
          </cell>
          <cell r="AQ151" t="str">
            <v>Europe</v>
          </cell>
          <cell r="AR151" t="str">
            <v>single country</v>
          </cell>
          <cell r="AT151" t="str">
            <v>Germany</v>
          </cell>
          <cell r="AU151" t="str">
            <v>single sector</v>
          </cell>
          <cell r="AV151" t="str">
            <v>Residential</v>
          </cell>
          <cell r="AY151">
            <v>2013</v>
          </cell>
          <cell r="BH151" t="str">
            <v>2018-12-31</v>
          </cell>
          <cell r="BI151">
            <v>85020000</v>
          </cell>
          <cell r="BJ151">
            <v>85020000</v>
          </cell>
          <cell r="BK151">
            <v>56792250</v>
          </cell>
          <cell r="BL151">
            <v>56792250</v>
          </cell>
          <cell r="BM151">
            <v>37.409999999999997</v>
          </cell>
          <cell r="BN151" t="str">
            <v>Yes</v>
          </cell>
          <cell r="BO151" t="str">
            <v>External</v>
          </cell>
          <cell r="BP151">
            <v>0</v>
          </cell>
          <cell r="BQ151">
            <v>26</v>
          </cell>
          <cell r="BS151">
            <v>0</v>
          </cell>
          <cell r="BV151" t="str">
            <v>No</v>
          </cell>
          <cell r="BW151" t="str">
            <v>Germany</v>
          </cell>
          <cell r="BX151" t="str">
            <v>Residential</v>
          </cell>
          <cell r="BY151">
            <v>100</v>
          </cell>
        </row>
        <row r="152">
          <cell r="A152">
            <v>19303</v>
          </cell>
          <cell r="B152" t="str">
            <v>DB IMMOBILIENFONDS 1 WIELAND KG</v>
          </cell>
          <cell r="C152" t="str">
            <v>DWS GRUNDBESITZ GMBH</v>
          </cell>
          <cell r="D152" t="str">
            <v>Mainzer Landstraße 11-17</v>
          </cell>
          <cell r="E152">
            <v>60329</v>
          </cell>
          <cell r="F152" t="str">
            <v xml:space="preserve">Frankfurt am Main				</v>
          </cell>
          <cell r="G152" t="str">
            <v>Germany</v>
          </cell>
          <cell r="K152" t="str">
            <v>Toralf Steinhaus</v>
          </cell>
          <cell r="L152" t="str">
            <v>toralf.steinhaus@dws.com</v>
          </cell>
          <cell r="M152" t="str">
            <v>+49 (69) 910 - 14939</v>
          </cell>
          <cell r="Q152" t="str">
            <v>Germany</v>
          </cell>
          <cell r="R152" t="str">
            <v>EUR</v>
          </cell>
          <cell r="S152" t="str">
            <v>HGB</v>
          </cell>
          <cell r="T152" t="str">
            <v>Annually</v>
          </cell>
          <cell r="U152" t="str">
            <v>Annually</v>
          </cell>
          <cell r="V152" t="str">
            <v>ImmoWertV</v>
          </cell>
          <cell r="W152" t="str">
            <v>KAGB</v>
          </cell>
          <cell r="X152" t="str">
            <v xml:space="preserve">KPMG AG Wirtschaftsprüfungsgesellschaft			</v>
          </cell>
          <cell r="Y152" t="str">
            <v>Publikumsfonds</v>
          </cell>
          <cell r="Z152" t="str">
            <v>No</v>
          </cell>
          <cell r="AC152" t="str">
            <v>Non-Listed Fund</v>
          </cell>
          <cell r="AD152" t="str">
            <v>Core</v>
          </cell>
          <cell r="AE152" t="str">
            <v>finite</v>
          </cell>
          <cell r="AF152" t="str">
            <v>Closed end</v>
          </cell>
          <cell r="AK152">
            <v>7.5</v>
          </cell>
          <cell r="AN152" t="str">
            <v>Retail</v>
          </cell>
          <cell r="AO152" t="str">
            <v>&gt; 2</v>
          </cell>
          <cell r="AP152" t="str">
            <v>&lt; 50%</v>
          </cell>
          <cell r="AQ152" t="str">
            <v>Europe</v>
          </cell>
          <cell r="AR152" t="str">
            <v>single country</v>
          </cell>
          <cell r="AT152" t="str">
            <v>Germany</v>
          </cell>
          <cell r="AU152" t="str">
            <v>single sector</v>
          </cell>
          <cell r="AV152" t="str">
            <v>Office</v>
          </cell>
          <cell r="AY152">
            <v>1992</v>
          </cell>
          <cell r="AZ152">
            <v>2024</v>
          </cell>
          <cell r="BD152" t="str">
            <v>No</v>
          </cell>
          <cell r="BH152" t="str">
            <v>2018-12-31</v>
          </cell>
          <cell r="BI152">
            <v>137280000</v>
          </cell>
          <cell r="BJ152">
            <v>137280000</v>
          </cell>
          <cell r="BK152">
            <v>52500000</v>
          </cell>
          <cell r="BL152">
            <v>52500000</v>
          </cell>
          <cell r="BM152">
            <v>13.31</v>
          </cell>
          <cell r="BN152" t="str">
            <v>No</v>
          </cell>
          <cell r="BO152" t="str">
            <v>External</v>
          </cell>
          <cell r="BS152">
            <v>0</v>
          </cell>
          <cell r="BV152" t="str">
            <v>No</v>
          </cell>
        </row>
        <row r="153">
          <cell r="A153">
            <v>19319</v>
          </cell>
          <cell r="B153" t="str">
            <v>DB IMMOBILIENFONDS 11 SPREESCHLANGE WIELAND KG</v>
          </cell>
          <cell r="C153" t="str">
            <v>DWS GRUNDBESITZ GMBH</v>
          </cell>
          <cell r="D153" t="str">
            <v>Mainzer Landstr. 11-17</v>
          </cell>
          <cell r="E153" t="str">
            <v xml:space="preserve">60329 </v>
          </cell>
          <cell r="F153" t="str">
            <v>Frankfurt am Main</v>
          </cell>
          <cell r="G153" t="str">
            <v>Germany</v>
          </cell>
          <cell r="K153" t="str">
            <v>Juliane Germann</v>
          </cell>
          <cell r="L153" t="str">
            <v>juliane.germann@dws.com</v>
          </cell>
          <cell r="M153" t="str">
            <v>+49 (69) 910 - 14962</v>
          </cell>
          <cell r="Q153" t="str">
            <v>Germany</v>
          </cell>
          <cell r="R153" t="str">
            <v>EUR</v>
          </cell>
          <cell r="S153" t="str">
            <v>HGB</v>
          </cell>
          <cell r="T153" t="str">
            <v>Annually</v>
          </cell>
          <cell r="U153" t="str">
            <v>Annually</v>
          </cell>
          <cell r="V153" t="str">
            <v>ImmoWertV</v>
          </cell>
          <cell r="W153" t="str">
            <v>KAGB</v>
          </cell>
          <cell r="X153" t="str">
            <v>BDO</v>
          </cell>
          <cell r="Y153" t="str">
            <v>Publikumsfonds</v>
          </cell>
          <cell r="Z153" t="str">
            <v>No</v>
          </cell>
          <cell r="AC153" t="str">
            <v>Non-Listed Fund</v>
          </cell>
          <cell r="AD153" t="str">
            <v>Core</v>
          </cell>
          <cell r="AE153" t="str">
            <v>finite</v>
          </cell>
          <cell r="AF153" t="str">
            <v>Closed end</v>
          </cell>
          <cell r="AN153" t="str">
            <v>Retail</v>
          </cell>
          <cell r="AO153" t="str">
            <v>&gt; 2</v>
          </cell>
          <cell r="AP153" t="str">
            <v>&lt; 50%</v>
          </cell>
          <cell r="AQ153" t="str">
            <v>Europe</v>
          </cell>
          <cell r="AR153" t="str">
            <v>single country</v>
          </cell>
          <cell r="AT153" t="str">
            <v>Germany</v>
          </cell>
          <cell r="AU153" t="str">
            <v>single sector</v>
          </cell>
          <cell r="AV153" t="str">
            <v>Residential</v>
          </cell>
          <cell r="AY153">
            <v>1998</v>
          </cell>
          <cell r="AZ153">
            <v>2028</v>
          </cell>
          <cell r="BH153" t="str">
            <v>2018-12-31</v>
          </cell>
          <cell r="BI153">
            <v>111270000</v>
          </cell>
          <cell r="BJ153">
            <v>111270000</v>
          </cell>
          <cell r="BK153">
            <v>68109080</v>
          </cell>
          <cell r="BL153">
            <v>68109080</v>
          </cell>
          <cell r="BM153">
            <v>41.11</v>
          </cell>
          <cell r="BN153" t="str">
            <v>Yes</v>
          </cell>
          <cell r="BO153" t="str">
            <v>External</v>
          </cell>
          <cell r="BP153">
            <v>0</v>
          </cell>
          <cell r="BQ153">
            <v>610</v>
          </cell>
          <cell r="BS153">
            <v>0</v>
          </cell>
          <cell r="BV153" t="str">
            <v>No</v>
          </cell>
          <cell r="BW153" t="str">
            <v>Germany</v>
          </cell>
          <cell r="BX153" t="str">
            <v>Residential</v>
          </cell>
          <cell r="BY153">
            <v>100</v>
          </cell>
        </row>
        <row r="154">
          <cell r="A154">
            <v>19320</v>
          </cell>
          <cell r="B154" t="str">
            <v>DB IMMOBILIENFONDS 12 MAIN-TAUNUS ZENTRUM KG</v>
          </cell>
          <cell r="C154" t="str">
            <v>DWS GRUNDBESITZ GMBH</v>
          </cell>
          <cell r="D154" t="str">
            <v>Mainzer Landstr. 11-17</v>
          </cell>
          <cell r="E154" t="str">
            <v xml:space="preserve">60329 </v>
          </cell>
          <cell r="F154" t="str">
            <v>Frankfurt am Main</v>
          </cell>
          <cell r="G154" t="str">
            <v>Germany</v>
          </cell>
          <cell r="K154" t="str">
            <v>Juliane Germann</v>
          </cell>
          <cell r="L154" t="str">
            <v>juliane.germann@dws.com</v>
          </cell>
          <cell r="M154" t="str">
            <v>+49 (69) 910 - 14962</v>
          </cell>
          <cell r="Q154" t="str">
            <v>Germany</v>
          </cell>
          <cell r="R154" t="str">
            <v>EUR</v>
          </cell>
          <cell r="S154" t="str">
            <v>HGB</v>
          </cell>
          <cell r="T154" t="str">
            <v>Annually</v>
          </cell>
          <cell r="U154" t="str">
            <v>Annually</v>
          </cell>
          <cell r="V154" t="str">
            <v>ImmoWertV</v>
          </cell>
          <cell r="W154" t="str">
            <v>KAGB</v>
          </cell>
          <cell r="X154" t="str">
            <v>KPMG</v>
          </cell>
          <cell r="Y154" t="str">
            <v>Publikumsfonds</v>
          </cell>
          <cell r="Z154" t="str">
            <v>No</v>
          </cell>
          <cell r="AC154" t="str">
            <v>Non-Listed Fund</v>
          </cell>
          <cell r="AD154" t="str">
            <v>Core</v>
          </cell>
          <cell r="AE154" t="str">
            <v>finite</v>
          </cell>
          <cell r="AF154" t="str">
            <v>Closed end</v>
          </cell>
          <cell r="AN154" t="str">
            <v>Retail</v>
          </cell>
          <cell r="AO154" t="str">
            <v>&gt; 2</v>
          </cell>
          <cell r="AP154" t="str">
            <v>&lt; 50%</v>
          </cell>
          <cell r="AQ154" t="str">
            <v>Europe</v>
          </cell>
          <cell r="AR154" t="str">
            <v>single country</v>
          </cell>
          <cell r="AT154" t="str">
            <v>Germany</v>
          </cell>
          <cell r="AU154" t="str">
            <v>single sector</v>
          </cell>
          <cell r="AV154" t="str">
            <v>Retail</v>
          </cell>
          <cell r="AY154">
            <v>1999</v>
          </cell>
          <cell r="BH154" t="str">
            <v>2018-12-31</v>
          </cell>
          <cell r="BI154">
            <v>671700000</v>
          </cell>
          <cell r="BJ154">
            <v>671700000</v>
          </cell>
          <cell r="BK154">
            <v>212498000</v>
          </cell>
          <cell r="BL154">
            <v>212498000</v>
          </cell>
          <cell r="BM154">
            <v>14.88</v>
          </cell>
          <cell r="BN154" t="str">
            <v>Yes</v>
          </cell>
          <cell r="BO154" t="str">
            <v>External</v>
          </cell>
          <cell r="BP154">
            <v>0</v>
          </cell>
          <cell r="BQ154">
            <v>1</v>
          </cell>
          <cell r="BS154">
            <v>0</v>
          </cell>
          <cell r="BV154" t="str">
            <v>No</v>
          </cell>
          <cell r="BW154" t="str">
            <v>Germany</v>
          </cell>
          <cell r="BX154" t="str">
            <v>Retail</v>
          </cell>
          <cell r="BY154">
            <v>100</v>
          </cell>
        </row>
        <row r="155">
          <cell r="A155">
            <v>19327</v>
          </cell>
          <cell r="B155" t="str">
            <v>DB IMMOBILIENFONDS 13 CALIFORNIA</v>
          </cell>
          <cell r="C155" t="str">
            <v>DWS GRUNDBESITZ GMBH</v>
          </cell>
          <cell r="D155" t="str">
            <v>Mainzer Landstr. 11-17</v>
          </cell>
          <cell r="E155" t="str">
            <v xml:space="preserve">60329 </v>
          </cell>
          <cell r="F155" t="str">
            <v>Frankfurt am Main</v>
          </cell>
          <cell r="G155" t="str">
            <v>Germany</v>
          </cell>
          <cell r="K155" t="str">
            <v>Herbert Knötgen</v>
          </cell>
          <cell r="L155" t="str">
            <v>herbert.knoetgen@dws.com</v>
          </cell>
          <cell r="M155" t="str">
            <v>+49 (69) 910 - 14935</v>
          </cell>
          <cell r="Q155" t="str">
            <v>United States of America</v>
          </cell>
          <cell r="R155" t="str">
            <v>USD</v>
          </cell>
          <cell r="S155" t="str">
            <v>US GAAP</v>
          </cell>
          <cell r="T155" t="str">
            <v>Annually</v>
          </cell>
          <cell r="U155" t="str">
            <v>Annually</v>
          </cell>
          <cell r="V155" t="str">
            <v>ImmoWertV</v>
          </cell>
          <cell r="W155" t="str">
            <v>KAGB</v>
          </cell>
          <cell r="X155" t="str">
            <v>Immowitz</v>
          </cell>
          <cell r="Y155" t="str">
            <v>Publikumsfonds</v>
          </cell>
          <cell r="Z155" t="str">
            <v>No</v>
          </cell>
          <cell r="AC155" t="str">
            <v>Non-Listed Fund</v>
          </cell>
          <cell r="AD155" t="str">
            <v>Core</v>
          </cell>
          <cell r="AE155" t="str">
            <v>finite</v>
          </cell>
          <cell r="AF155" t="str">
            <v>Closed end</v>
          </cell>
          <cell r="AN155" t="str">
            <v>Retail</v>
          </cell>
          <cell r="AO155" t="str">
            <v>&gt; 2</v>
          </cell>
          <cell r="AP155" t="str">
            <v>&lt; 50%</v>
          </cell>
          <cell r="AQ155" t="str">
            <v>North America</v>
          </cell>
          <cell r="AR155" t="str">
            <v>single country</v>
          </cell>
          <cell r="AT155" t="str">
            <v>United States of America</v>
          </cell>
          <cell r="AU155" t="str">
            <v>single sector</v>
          </cell>
          <cell r="AV155" t="str">
            <v>Retail</v>
          </cell>
          <cell r="AY155">
            <v>1999</v>
          </cell>
        </row>
        <row r="156">
          <cell r="A156">
            <v>19321</v>
          </cell>
          <cell r="B156" t="str">
            <v>DB IMMOBILIENFONDS 17 CITY GALERIE AUGSBURG</v>
          </cell>
          <cell r="C156" t="str">
            <v>DWS GRUNDBESITZ GMBH</v>
          </cell>
          <cell r="D156" t="str">
            <v>Mainzer Landstr. 11-17</v>
          </cell>
          <cell r="E156" t="str">
            <v xml:space="preserve">60329 </v>
          </cell>
          <cell r="F156" t="str">
            <v>Frankfurt am Main</v>
          </cell>
          <cell r="G156" t="str">
            <v>Germany</v>
          </cell>
          <cell r="K156" t="str">
            <v>Thomas Köhler</v>
          </cell>
          <cell r="L156" t="str">
            <v>thomas-d.koehler@dws.com</v>
          </cell>
          <cell r="M156" t="str">
            <v>+49 (69) 910 - 14934</v>
          </cell>
          <cell r="Q156" t="str">
            <v>Germany</v>
          </cell>
          <cell r="R156" t="str">
            <v>EUR</v>
          </cell>
          <cell r="S156" t="str">
            <v>HGB</v>
          </cell>
          <cell r="T156" t="str">
            <v>Annually</v>
          </cell>
          <cell r="U156" t="str">
            <v>Annually</v>
          </cell>
          <cell r="V156" t="str">
            <v>ImmoWertV</v>
          </cell>
          <cell r="W156" t="str">
            <v>KAGB</v>
          </cell>
          <cell r="X156" t="str">
            <v>BDO</v>
          </cell>
          <cell r="Y156" t="str">
            <v>Publikumsfonds</v>
          </cell>
          <cell r="Z156" t="str">
            <v>No</v>
          </cell>
          <cell r="AC156" t="str">
            <v>Non-Listed Fund</v>
          </cell>
          <cell r="AD156" t="str">
            <v>Core</v>
          </cell>
          <cell r="AE156" t="str">
            <v>finite</v>
          </cell>
          <cell r="AF156" t="str">
            <v>Closed end</v>
          </cell>
          <cell r="AN156" t="str">
            <v>Retail</v>
          </cell>
          <cell r="AO156" t="str">
            <v>&gt; 2</v>
          </cell>
          <cell r="AP156" t="str">
            <v>&lt; 50%</v>
          </cell>
          <cell r="AQ156" t="str">
            <v>Europe</v>
          </cell>
          <cell r="AR156" t="str">
            <v>single country</v>
          </cell>
          <cell r="AT156" t="str">
            <v>Germany</v>
          </cell>
          <cell r="AU156" t="str">
            <v>single sector</v>
          </cell>
          <cell r="AV156" t="str">
            <v>Retail</v>
          </cell>
          <cell r="AY156">
            <v>2000</v>
          </cell>
          <cell r="BH156" t="str">
            <v>2018-12-31</v>
          </cell>
          <cell r="BI156">
            <v>250000000</v>
          </cell>
          <cell r="BJ156">
            <v>250000000</v>
          </cell>
          <cell r="BK156">
            <v>154800000</v>
          </cell>
          <cell r="BL156">
            <v>154800000</v>
          </cell>
          <cell r="BM156">
            <v>39.06</v>
          </cell>
          <cell r="BN156" t="str">
            <v>Yes</v>
          </cell>
          <cell r="BO156" t="str">
            <v>External</v>
          </cell>
          <cell r="BP156">
            <v>0</v>
          </cell>
          <cell r="BQ156">
            <v>1</v>
          </cell>
          <cell r="BS156">
            <v>0</v>
          </cell>
          <cell r="BV156" t="str">
            <v>No</v>
          </cell>
          <cell r="BW156" t="str">
            <v>Germany</v>
          </cell>
          <cell r="BX156" t="str">
            <v>Retail</v>
          </cell>
          <cell r="BY156">
            <v>100</v>
          </cell>
        </row>
        <row r="157">
          <cell r="A157">
            <v>19315</v>
          </cell>
          <cell r="B157" t="str">
            <v>DB IMMOBILIENFONDS 5 WIELAND KG</v>
          </cell>
          <cell r="C157" t="str">
            <v>DWS GRUNDBESITZ GMBH</v>
          </cell>
          <cell r="D157" t="str">
            <v>Mainzer Landstr. 11-17</v>
          </cell>
          <cell r="E157" t="str">
            <v xml:space="preserve">60329 </v>
          </cell>
          <cell r="F157" t="str">
            <v>Frankfurt am Main</v>
          </cell>
          <cell r="G157" t="str">
            <v>Germany</v>
          </cell>
          <cell r="K157" t="str">
            <v>Herbert Knötgen</v>
          </cell>
          <cell r="L157" t="str">
            <v>herbert.knoetgen@dws.com</v>
          </cell>
          <cell r="M157" t="str">
            <v>+49 (69) 910 - 14935</v>
          </cell>
          <cell r="Q157" t="str">
            <v>Germany</v>
          </cell>
          <cell r="R157" t="str">
            <v>EUR</v>
          </cell>
          <cell r="S157" t="str">
            <v>HGB</v>
          </cell>
          <cell r="T157" t="str">
            <v>Annually</v>
          </cell>
          <cell r="U157" t="str">
            <v>Annually</v>
          </cell>
          <cell r="V157" t="str">
            <v>ImmoWertV</v>
          </cell>
          <cell r="W157" t="str">
            <v>KAGB</v>
          </cell>
          <cell r="X157" t="str">
            <v>KPMG</v>
          </cell>
          <cell r="Y157" t="str">
            <v>Publikumsfonds</v>
          </cell>
          <cell r="Z157" t="str">
            <v>No</v>
          </cell>
          <cell r="AC157" t="str">
            <v>Non-Listed Fund</v>
          </cell>
          <cell r="AD157" t="str">
            <v>Core</v>
          </cell>
          <cell r="AE157" t="str">
            <v>finite</v>
          </cell>
          <cell r="AF157" t="str">
            <v>Closed end</v>
          </cell>
          <cell r="AN157" t="str">
            <v>Retail</v>
          </cell>
          <cell r="AO157" t="str">
            <v>&gt; 2</v>
          </cell>
          <cell r="AP157" t="str">
            <v>&lt; 50%</v>
          </cell>
          <cell r="AQ157" t="str">
            <v>Europe</v>
          </cell>
          <cell r="AR157" t="str">
            <v>single country</v>
          </cell>
          <cell r="AT157" t="str">
            <v>Germany</v>
          </cell>
          <cell r="AU157" t="str">
            <v>single sector</v>
          </cell>
          <cell r="AV157" t="str">
            <v>Mixed</v>
          </cell>
          <cell r="AY157">
            <v>1995</v>
          </cell>
          <cell r="AZ157">
            <v>2022</v>
          </cell>
          <cell r="BH157" t="str">
            <v>2018-12-31</v>
          </cell>
          <cell r="BI157">
            <v>22134112</v>
          </cell>
          <cell r="BJ157">
            <v>22134112</v>
          </cell>
          <cell r="BK157">
            <v>7300000</v>
          </cell>
          <cell r="BL157">
            <v>7300000</v>
          </cell>
          <cell r="BM157">
            <v>41.6</v>
          </cell>
          <cell r="BN157" t="str">
            <v>Yes</v>
          </cell>
          <cell r="BO157" t="str">
            <v>External</v>
          </cell>
          <cell r="BP157">
            <v>0</v>
          </cell>
          <cell r="BQ157">
            <v>1</v>
          </cell>
          <cell r="BS157">
            <v>0</v>
          </cell>
          <cell r="BV157" t="str">
            <v>No</v>
          </cell>
          <cell r="BW157" t="str">
            <v>Germany</v>
          </cell>
          <cell r="BX157" t="str">
            <v>Office</v>
          </cell>
          <cell r="BY157">
            <v>100</v>
          </cell>
        </row>
        <row r="158">
          <cell r="A158">
            <v>19316</v>
          </cell>
          <cell r="B158" t="str">
            <v>DB IMMOBILIENFONDS 7</v>
          </cell>
          <cell r="C158" t="str">
            <v>DWS GRUNDBESITZ GMBH</v>
          </cell>
          <cell r="D158" t="str">
            <v>Mainzer Landstr. 11-17</v>
          </cell>
          <cell r="E158" t="str">
            <v xml:space="preserve">60329 </v>
          </cell>
          <cell r="F158" t="str">
            <v>Frankfurt am Main</v>
          </cell>
          <cell r="G158" t="str">
            <v>Germany</v>
          </cell>
          <cell r="K158" t="str">
            <v>Herbert Knötgen</v>
          </cell>
          <cell r="L158" t="str">
            <v>herbert.knoetgen@dws.com</v>
          </cell>
          <cell r="M158" t="str">
            <v>+49 (69) 910 - 14935</v>
          </cell>
          <cell r="Q158" t="str">
            <v>Germany</v>
          </cell>
          <cell r="R158" t="str">
            <v>EUR</v>
          </cell>
          <cell r="S158" t="str">
            <v>HGB</v>
          </cell>
          <cell r="T158" t="str">
            <v>Annually</v>
          </cell>
          <cell r="U158" t="str">
            <v>Annually</v>
          </cell>
          <cell r="V158" t="str">
            <v>ImmoWertV</v>
          </cell>
          <cell r="W158" t="str">
            <v>KAGB</v>
          </cell>
          <cell r="X158" t="str">
            <v>BDO</v>
          </cell>
          <cell r="Y158" t="str">
            <v>Publikumsfonds</v>
          </cell>
          <cell r="Z158" t="str">
            <v>No</v>
          </cell>
          <cell r="AC158" t="str">
            <v>Non-Listed Fund</v>
          </cell>
          <cell r="AD158" t="str">
            <v>Core</v>
          </cell>
          <cell r="AE158" t="str">
            <v>finite</v>
          </cell>
          <cell r="AF158" t="str">
            <v>Closed end</v>
          </cell>
          <cell r="AN158" t="str">
            <v>Retail</v>
          </cell>
          <cell r="AO158" t="str">
            <v>&gt; 2</v>
          </cell>
          <cell r="AP158" t="str">
            <v>&lt; 50%</v>
          </cell>
          <cell r="AQ158" t="str">
            <v>Europe</v>
          </cell>
          <cell r="AR158" t="str">
            <v>single country</v>
          </cell>
          <cell r="AT158" t="str">
            <v>Germany</v>
          </cell>
          <cell r="AU158" t="str">
            <v>single sector</v>
          </cell>
          <cell r="AV158" t="str">
            <v>Retail</v>
          </cell>
          <cell r="AY158">
            <v>1997</v>
          </cell>
          <cell r="BH158" t="str">
            <v>2018-12-31</v>
          </cell>
          <cell r="BI158">
            <v>155916000</v>
          </cell>
          <cell r="BJ158">
            <v>155916000</v>
          </cell>
          <cell r="BK158">
            <v>110227000</v>
          </cell>
          <cell r="BL158">
            <v>110227000</v>
          </cell>
          <cell r="BM158">
            <v>34.659999999999997</v>
          </cell>
          <cell r="BN158" t="str">
            <v>Yes</v>
          </cell>
          <cell r="BO158" t="str">
            <v>External</v>
          </cell>
          <cell r="BP158">
            <v>0</v>
          </cell>
          <cell r="BQ158">
            <v>1</v>
          </cell>
          <cell r="BS158">
            <v>0</v>
          </cell>
          <cell r="BV158" t="str">
            <v>No</v>
          </cell>
          <cell r="BW158" t="str">
            <v>Germany</v>
          </cell>
          <cell r="BX158" t="str">
            <v>Retail</v>
          </cell>
          <cell r="BY158">
            <v>100</v>
          </cell>
        </row>
        <row r="159">
          <cell r="A159">
            <v>17529</v>
          </cell>
          <cell r="B159" t="str">
            <v>DEFO-IMMOBILIENFONDS 1</v>
          </cell>
          <cell r="C159" t="str">
            <v>UNION INVESTMENT INSTITUTIONAL PROPERTY GMBH</v>
          </cell>
          <cell r="D159" t="str">
            <v>Valentinskamp 70</v>
          </cell>
          <cell r="E159">
            <v>20355</v>
          </cell>
          <cell r="F159" t="str">
            <v>Hamburg</v>
          </cell>
          <cell r="G159" t="str">
            <v>Germany</v>
          </cell>
          <cell r="H159" t="str">
            <v>+4940349190</v>
          </cell>
          <cell r="I159" t="str">
            <v>+494034919190</v>
          </cell>
          <cell r="J159" t="str">
            <v>http://institutional.union-investment.de/startseite-institutionelle-kunden/asset-klassen/immobilien.html</v>
          </cell>
          <cell r="K159" t="str">
            <v>Wolfgang Kessler</v>
          </cell>
          <cell r="L159" t="str">
            <v>wolfgang.kessler@union-investment.de</v>
          </cell>
          <cell r="M159" t="str">
            <v>+4940349194730</v>
          </cell>
          <cell r="N159" t="str">
            <v>Jörn Stobbe</v>
          </cell>
          <cell r="O159" t="str">
            <v>Joern.Stobbe@union-investment.de</v>
          </cell>
          <cell r="P159" t="str">
            <v>+4940349194455</v>
          </cell>
          <cell r="Q159" t="str">
            <v>Germany</v>
          </cell>
          <cell r="R159" t="str">
            <v>EUR</v>
          </cell>
          <cell r="S159" t="str">
            <v>German Trade Law/ Investement Law</v>
          </cell>
          <cell r="T159" t="str">
            <v>Quarterly</v>
          </cell>
          <cell r="U159" t="str">
            <v>Annually</v>
          </cell>
          <cell r="V159" t="str">
            <v>ImmoWertV</v>
          </cell>
          <cell r="W159" t="str">
            <v>InvRBV - German Investment Law {no INREV-based calculation method}</v>
          </cell>
          <cell r="X159" t="str">
            <v>KPMG</v>
          </cell>
          <cell r="Y159" t="str">
            <v>Spezialfonds</v>
          </cell>
          <cell r="Z159" t="str">
            <v>No</v>
          </cell>
          <cell r="AA159" t="str">
            <v>No</v>
          </cell>
          <cell r="AC159" t="str">
            <v>Non-Listed Fund</v>
          </cell>
          <cell r="AD159" t="str">
            <v>Core</v>
          </cell>
          <cell r="AE159" t="str">
            <v>infinite</v>
          </cell>
          <cell r="AF159" t="str">
            <v>Open end</v>
          </cell>
          <cell r="AG159">
            <v>4</v>
          </cell>
          <cell r="AH159">
            <v>4</v>
          </cell>
          <cell r="AK159">
            <v>3</v>
          </cell>
          <cell r="AL159">
            <v>25</v>
          </cell>
          <cell r="AM159" t="str">
            <v>≤ 40%</v>
          </cell>
          <cell r="AN159" t="str">
            <v>Institutional</v>
          </cell>
          <cell r="AO159" t="str">
            <v>&gt; 2</v>
          </cell>
          <cell r="AP159" t="str">
            <v>≥ 50%</v>
          </cell>
          <cell r="AQ159" t="str">
            <v>Europe</v>
          </cell>
          <cell r="AR159" t="str">
            <v>multi country</v>
          </cell>
          <cell r="AS159" t="str">
            <v>Europe</v>
          </cell>
          <cell r="AU159" t="str">
            <v>multi sector</v>
          </cell>
          <cell r="AW159">
            <v>860000000</v>
          </cell>
          <cell r="AX159">
            <v>1100000000</v>
          </cell>
          <cell r="AY159">
            <v>1977</v>
          </cell>
          <cell r="BF159" t="str">
            <v>≤ 15%</v>
          </cell>
          <cell r="BG159" t="str">
            <v>≤ 5%</v>
          </cell>
          <cell r="BH159" t="str">
            <v>2020-12-31</v>
          </cell>
          <cell r="BI159">
            <v>737135734.29999995</v>
          </cell>
          <cell r="BJ159">
            <v>737135734.29999995</v>
          </cell>
          <cell r="BK159">
            <v>486226830.60000002</v>
          </cell>
          <cell r="BL159">
            <v>486226830.60000002</v>
          </cell>
          <cell r="BM159">
            <v>33</v>
          </cell>
          <cell r="BN159" t="str">
            <v>Yes</v>
          </cell>
          <cell r="BO159" t="str">
            <v>External</v>
          </cell>
          <cell r="BP159">
            <v>9</v>
          </cell>
          <cell r="BQ159">
            <v>18</v>
          </cell>
          <cell r="BR159">
            <v>0</v>
          </cell>
          <cell r="BS159">
            <v>0</v>
          </cell>
          <cell r="BT159">
            <v>0</v>
          </cell>
          <cell r="BV159" t="str">
            <v>No</v>
          </cell>
          <cell r="BW159" t="str">
            <v>Italy</v>
          </cell>
          <cell r="BX159" t="str">
            <v>Industrial / Logistics</v>
          </cell>
          <cell r="BY159">
            <v>3.3</v>
          </cell>
          <cell r="BZ159" t="str">
            <v>United Kingdom</v>
          </cell>
          <cell r="CA159" t="str">
            <v>Residential</v>
          </cell>
          <cell r="CB159">
            <v>3.9</v>
          </cell>
          <cell r="CC159" t="str">
            <v>Italy</v>
          </cell>
          <cell r="CD159" t="str">
            <v>Office</v>
          </cell>
          <cell r="CE159">
            <v>4.8</v>
          </cell>
          <cell r="CF159" t="str">
            <v>Poland</v>
          </cell>
          <cell r="CG159" t="str">
            <v>Hotel</v>
          </cell>
          <cell r="CH159">
            <v>36.299999999999997</v>
          </cell>
          <cell r="CI159" t="str">
            <v>Austria</v>
          </cell>
          <cell r="CJ159" t="str">
            <v>Hotel</v>
          </cell>
          <cell r="CK159">
            <v>7.6</v>
          </cell>
          <cell r="CL159" t="str">
            <v>Norway</v>
          </cell>
          <cell r="CM159" t="str">
            <v>Other</v>
          </cell>
          <cell r="CN159">
            <v>5</v>
          </cell>
          <cell r="CO159" t="str">
            <v>Poland</v>
          </cell>
          <cell r="CP159" t="str">
            <v>Retail</v>
          </cell>
          <cell r="CQ159">
            <v>6.8</v>
          </cell>
          <cell r="CR159" t="str">
            <v>Poland</v>
          </cell>
          <cell r="CS159" t="str">
            <v>Industrial / Logistics</v>
          </cell>
          <cell r="CT159">
            <v>5.9</v>
          </cell>
          <cell r="CU159" t="str">
            <v>Germany</v>
          </cell>
          <cell r="CV159" t="str">
            <v>Office</v>
          </cell>
          <cell r="CW159">
            <v>26.4</v>
          </cell>
        </row>
        <row r="160">
          <cell r="A160">
            <v>18635</v>
          </cell>
          <cell r="B160" t="str">
            <v>DEKA-IMMOBILIEN FOKUS LOGISTIK TSCHECHIEN</v>
          </cell>
          <cell r="G160" t="str">
            <v>Germany</v>
          </cell>
          <cell r="Q160" t="str">
            <v>Germany</v>
          </cell>
          <cell r="R160" t="str">
            <v>EUR</v>
          </cell>
          <cell r="T160" t="str">
            <v>Annually</v>
          </cell>
          <cell r="U160" t="str">
            <v>Quarterly</v>
          </cell>
          <cell r="Y160" t="str">
            <v>Spezialfonds</v>
          </cell>
          <cell r="AC160" t="str">
            <v>Non-Listed Fund</v>
          </cell>
          <cell r="AD160" t="str">
            <v>Core</v>
          </cell>
          <cell r="AE160" t="str">
            <v>infinite</v>
          </cell>
          <cell r="AF160" t="str">
            <v>Open end</v>
          </cell>
          <cell r="AN160" t="str">
            <v>Institutional</v>
          </cell>
          <cell r="AO160" t="str">
            <v>&gt; 2</v>
          </cell>
          <cell r="AP160" t="str">
            <v>≥ 50%</v>
          </cell>
          <cell r="AQ160" t="str">
            <v>Europe</v>
          </cell>
          <cell r="AR160" t="str">
            <v>single country</v>
          </cell>
          <cell r="AT160" t="str">
            <v>Czech Republic</v>
          </cell>
          <cell r="AU160" t="str">
            <v>single sector</v>
          </cell>
          <cell r="AV160" t="str">
            <v>Industrial / Logistics</v>
          </cell>
          <cell r="AY160">
            <v>2018</v>
          </cell>
          <cell r="BH160" t="str">
            <v>2020-12-31</v>
          </cell>
          <cell r="BI160">
            <v>134495833</v>
          </cell>
          <cell r="BJ160">
            <v>134495833</v>
          </cell>
          <cell r="BK160">
            <v>122116265</v>
          </cell>
          <cell r="BL160">
            <v>122116265</v>
          </cell>
          <cell r="BM160">
            <v>43.1</v>
          </cell>
          <cell r="BN160" t="str">
            <v>No</v>
          </cell>
          <cell r="BO160" t="str">
            <v>External</v>
          </cell>
          <cell r="BP160">
            <v>19</v>
          </cell>
          <cell r="BQ160">
            <v>5</v>
          </cell>
          <cell r="BR160">
            <v>120000000</v>
          </cell>
          <cell r="BS160">
            <v>120000000</v>
          </cell>
          <cell r="BT160">
            <v>120000000</v>
          </cell>
          <cell r="BU160">
            <v>120000000</v>
          </cell>
          <cell r="BV160" t="str">
            <v>No</v>
          </cell>
          <cell r="BW160" t="str">
            <v>Czech Republic</v>
          </cell>
          <cell r="BX160" t="str">
            <v>Industrial / Logistics</v>
          </cell>
          <cell r="BY160">
            <v>100</v>
          </cell>
        </row>
        <row r="161">
          <cell r="A161">
            <v>18634</v>
          </cell>
          <cell r="B161" t="str">
            <v>DEKA-IMMOBILIEN FOKUS PRAG</v>
          </cell>
          <cell r="G161" t="str">
            <v>Germany</v>
          </cell>
          <cell r="Q161" t="str">
            <v>Germany</v>
          </cell>
          <cell r="R161" t="str">
            <v>EUR</v>
          </cell>
          <cell r="T161" t="str">
            <v>Annually</v>
          </cell>
          <cell r="U161" t="str">
            <v>Quarterly</v>
          </cell>
          <cell r="Y161" t="str">
            <v>Spezialfonds</v>
          </cell>
          <cell r="AC161" t="str">
            <v>Non-Listed Fund</v>
          </cell>
          <cell r="AD161" t="str">
            <v>Core</v>
          </cell>
          <cell r="AE161" t="str">
            <v>infinite</v>
          </cell>
          <cell r="AF161" t="str">
            <v>Open end</v>
          </cell>
          <cell r="AN161" t="str">
            <v>Institutional</v>
          </cell>
          <cell r="AO161" t="str">
            <v>&gt; 2</v>
          </cell>
          <cell r="AP161" t="str">
            <v>≥ 50%</v>
          </cell>
          <cell r="AQ161" t="str">
            <v>Europe</v>
          </cell>
          <cell r="AR161" t="str">
            <v>single country</v>
          </cell>
          <cell r="AT161" t="str">
            <v>Czech Republic</v>
          </cell>
          <cell r="AU161" t="str">
            <v>single sector</v>
          </cell>
          <cell r="AV161" t="str">
            <v>Office</v>
          </cell>
          <cell r="AY161">
            <v>2016</v>
          </cell>
          <cell r="BH161" t="str">
            <v>2020-12-31</v>
          </cell>
          <cell r="BI161">
            <v>231101578</v>
          </cell>
          <cell r="BJ161">
            <v>231101578</v>
          </cell>
          <cell r="BK161">
            <v>207443209</v>
          </cell>
          <cell r="BL161">
            <v>207443209</v>
          </cell>
          <cell r="BM161">
            <v>44.5</v>
          </cell>
          <cell r="BN161" t="str">
            <v>No</v>
          </cell>
          <cell r="BO161" t="str">
            <v>External</v>
          </cell>
          <cell r="BP161">
            <v>34</v>
          </cell>
          <cell r="BQ161">
            <v>9</v>
          </cell>
          <cell r="BR161">
            <v>195000000</v>
          </cell>
          <cell r="BS161">
            <v>195000000</v>
          </cell>
          <cell r="BT161">
            <v>195000000</v>
          </cell>
          <cell r="BU161">
            <v>195000000</v>
          </cell>
          <cell r="BV161" t="str">
            <v>No</v>
          </cell>
          <cell r="BW161" t="str">
            <v>Czech Republic</v>
          </cell>
          <cell r="BX161" t="str">
            <v>Office</v>
          </cell>
          <cell r="BY161">
            <v>100</v>
          </cell>
        </row>
        <row r="162">
          <cell r="A162">
            <v>19589</v>
          </cell>
          <cell r="B162" t="str">
            <v>DEKA-IMMOBILIENMETROPOLEN</v>
          </cell>
          <cell r="C162" t="str">
            <v>DEKA IMMOBILIEN INVESTMENT GMBH</v>
          </cell>
          <cell r="D162" t="str">
            <v>Taunusanlage 1</v>
          </cell>
          <cell r="E162">
            <v>60329</v>
          </cell>
          <cell r="F162" t="str">
            <v>Frankfurt am Main</v>
          </cell>
          <cell r="G162" t="str">
            <v>Germany</v>
          </cell>
          <cell r="Q162" t="str">
            <v>Germany</v>
          </cell>
          <cell r="R162" t="str">
            <v>EUR</v>
          </cell>
          <cell r="T162" t="str">
            <v>Quarterly</v>
          </cell>
          <cell r="U162" t="str">
            <v>Quarterly</v>
          </cell>
          <cell r="Y162" t="str">
            <v>Publikumsfonds</v>
          </cell>
          <cell r="Z162" t="str">
            <v>No</v>
          </cell>
          <cell r="AB162">
            <v>0</v>
          </cell>
          <cell r="AC162" t="str">
            <v>Non-Listed Fund</v>
          </cell>
          <cell r="AD162" t="str">
            <v>Core</v>
          </cell>
          <cell r="AE162" t="str">
            <v>infinite</v>
          </cell>
          <cell r="AF162" t="str">
            <v>Open end</v>
          </cell>
          <cell r="AN162" t="str">
            <v>Retail</v>
          </cell>
          <cell r="AO162" t="str">
            <v>&gt; 2</v>
          </cell>
          <cell r="AP162" t="str">
            <v>&lt; 50%</v>
          </cell>
          <cell r="AQ162" t="str">
            <v>Global</v>
          </cell>
          <cell r="AR162" t="str">
            <v>multi country</v>
          </cell>
          <cell r="AU162" t="str">
            <v>multi sector</v>
          </cell>
          <cell r="AY162">
            <v>2019</v>
          </cell>
          <cell r="BH162" t="str">
            <v>2020-12-31</v>
          </cell>
          <cell r="BI162">
            <v>593917687</v>
          </cell>
          <cell r="BJ162">
            <v>593917687</v>
          </cell>
          <cell r="BK162">
            <v>525546776</v>
          </cell>
          <cell r="BL162">
            <v>525546776</v>
          </cell>
          <cell r="BM162">
            <v>17.600000000000001</v>
          </cell>
          <cell r="BN162" t="str">
            <v>No</v>
          </cell>
          <cell r="BO162" t="str">
            <v>External</v>
          </cell>
          <cell r="BP162">
            <v>0</v>
          </cell>
          <cell r="BQ162">
            <v>4</v>
          </cell>
          <cell r="BR162">
            <v>0</v>
          </cell>
          <cell r="BS162">
            <v>0</v>
          </cell>
          <cell r="BT162">
            <v>0</v>
          </cell>
          <cell r="BV162" t="str">
            <v>No</v>
          </cell>
          <cell r="BW162" t="str">
            <v>France</v>
          </cell>
          <cell r="BX162" t="str">
            <v>Office</v>
          </cell>
          <cell r="BY162">
            <v>21.9</v>
          </cell>
          <cell r="BZ162" t="str">
            <v>Germany</v>
          </cell>
          <cell r="CA162" t="str">
            <v>Office</v>
          </cell>
          <cell r="CB162">
            <v>16.399999999999999</v>
          </cell>
          <cell r="CC162" t="str">
            <v>Ireland</v>
          </cell>
          <cell r="CD162" t="str">
            <v>Office</v>
          </cell>
          <cell r="CE162">
            <v>42.5</v>
          </cell>
          <cell r="CF162" t="str">
            <v>United Kingdom</v>
          </cell>
          <cell r="CG162" t="str">
            <v>Office</v>
          </cell>
          <cell r="CH162">
            <v>19.2</v>
          </cell>
        </row>
        <row r="163">
          <cell r="A163">
            <v>126</v>
          </cell>
          <cell r="B163" t="str">
            <v>DEKA-S-PROPERTYFUND NO. 1</v>
          </cell>
          <cell r="C163" t="str">
            <v>DEKA IMMOBILIEN INVESTMENT</v>
          </cell>
          <cell r="D163" t="str">
            <v>Taunusanlage 1</v>
          </cell>
          <cell r="E163">
            <v>60329</v>
          </cell>
          <cell r="F163" t="str">
            <v>Frankfurt am Main</v>
          </cell>
          <cell r="G163" t="str">
            <v>Germany</v>
          </cell>
          <cell r="H163" t="str">
            <v>+49 (0) 69 7147 0</v>
          </cell>
          <cell r="I163" t="str">
            <v>+49 (0) 69 7147 43849</v>
          </cell>
          <cell r="J163" t="str">
            <v>http://www.deka-immobilien.de</v>
          </cell>
          <cell r="K163" t="str">
            <v>Andreas Nagel</v>
          </cell>
          <cell r="L163" t="str">
            <v>andreas.nagel@deka.de</v>
          </cell>
          <cell r="M163" t="str">
            <v>+49 (0) 69 7147 3217</v>
          </cell>
          <cell r="N163" t="str">
            <v>Michaela Graefe</v>
          </cell>
          <cell r="O163" t="str">
            <v>andreas.nagel@deka.de</v>
          </cell>
          <cell r="P163" t="str">
            <v>+49 (0) 69 7147 3217</v>
          </cell>
          <cell r="Q163" t="str">
            <v>Germany</v>
          </cell>
          <cell r="R163" t="str">
            <v>EUR</v>
          </cell>
          <cell r="S163" t="str">
            <v>IFRS</v>
          </cell>
          <cell r="T163" t="str">
            <v>Annually</v>
          </cell>
          <cell r="U163" t="str">
            <v>Annually</v>
          </cell>
          <cell r="V163" t="str">
            <v>ImmoWertV</v>
          </cell>
          <cell r="Y163" t="str">
            <v>Spezialfonds</v>
          </cell>
          <cell r="Z163" t="str">
            <v>No</v>
          </cell>
          <cell r="AA163" t="str">
            <v>Yes</v>
          </cell>
          <cell r="AB163">
            <v>5</v>
          </cell>
          <cell r="AC163" t="str">
            <v>Non-Listed Fund</v>
          </cell>
          <cell r="AD163" t="str">
            <v>Value-added</v>
          </cell>
          <cell r="AE163" t="str">
            <v>finite</v>
          </cell>
          <cell r="AF163" t="str">
            <v>Closed end</v>
          </cell>
          <cell r="AG163">
            <v>10</v>
          </cell>
          <cell r="AH163">
            <v>10</v>
          </cell>
          <cell r="AJ163" t="str">
            <v>None</v>
          </cell>
          <cell r="AK163">
            <v>6</v>
          </cell>
          <cell r="AL163">
            <v>67</v>
          </cell>
          <cell r="AM163" t="str">
            <v>&gt; 60%</v>
          </cell>
          <cell r="AN163" t="str">
            <v>Institutional</v>
          </cell>
          <cell r="AO163" t="str">
            <v>&gt; 2</v>
          </cell>
          <cell r="AP163" t="str">
            <v>≥ 50%</v>
          </cell>
          <cell r="AQ163" t="str">
            <v>Europe</v>
          </cell>
          <cell r="AR163" t="str">
            <v>multi country</v>
          </cell>
          <cell r="AS163" t="str">
            <v>Europe</v>
          </cell>
          <cell r="AU163" t="str">
            <v>multi sector</v>
          </cell>
          <cell r="AW163">
            <v>275000000</v>
          </cell>
          <cell r="AX163">
            <v>750000000</v>
          </cell>
          <cell r="AY163">
            <v>2003</v>
          </cell>
          <cell r="AZ163">
            <v>2017</v>
          </cell>
          <cell r="BA163" t="str">
            <v>Yes</v>
          </cell>
          <cell r="BB163" t="str">
            <v>Yes</v>
          </cell>
          <cell r="BC163" t="str">
            <v>2 years</v>
          </cell>
          <cell r="BH163" t="str">
            <v>2020-06-30</v>
          </cell>
          <cell r="BI163">
            <v>38329000</v>
          </cell>
          <cell r="BJ163">
            <v>38329000</v>
          </cell>
          <cell r="BK163">
            <v>38871000</v>
          </cell>
          <cell r="BL163">
            <v>38871000</v>
          </cell>
          <cell r="BM163">
            <v>0</v>
          </cell>
          <cell r="BN163" t="str">
            <v>No</v>
          </cell>
          <cell r="BO163" t="str">
            <v>External</v>
          </cell>
          <cell r="BP163">
            <v>9</v>
          </cell>
          <cell r="BQ163">
            <v>2</v>
          </cell>
          <cell r="BR163">
            <v>220000000</v>
          </cell>
          <cell r="BS163">
            <v>220000000</v>
          </cell>
          <cell r="BT163">
            <v>60000000</v>
          </cell>
          <cell r="BU163">
            <v>60000000</v>
          </cell>
          <cell r="BV163" t="str">
            <v>No</v>
          </cell>
          <cell r="BW163" t="str">
            <v>Poland</v>
          </cell>
          <cell r="BX163" t="str">
            <v>Office</v>
          </cell>
          <cell r="BY163">
            <v>47.6</v>
          </cell>
          <cell r="BZ163" t="str">
            <v>Portugal</v>
          </cell>
          <cell r="CA163" t="str">
            <v>Retail</v>
          </cell>
          <cell r="CB163">
            <v>52.4</v>
          </cell>
        </row>
        <row r="164">
          <cell r="A164">
            <v>127</v>
          </cell>
          <cell r="B164" t="str">
            <v>DEKA-S-PROPERTYFUND NO. 2</v>
          </cell>
          <cell r="C164" t="str">
            <v>DEKA IMMOBILIEN INVESTMENT</v>
          </cell>
          <cell r="D164" t="str">
            <v>Taunusanlage 1</v>
          </cell>
          <cell r="E164">
            <v>60329</v>
          </cell>
          <cell r="F164" t="str">
            <v>Frankfurt am Main</v>
          </cell>
          <cell r="G164" t="str">
            <v>Germany</v>
          </cell>
          <cell r="H164" t="str">
            <v>+49 (0) 69 7147 0</v>
          </cell>
          <cell r="I164" t="str">
            <v>+49 (0) 69 7147 43849</v>
          </cell>
          <cell r="J164" t="str">
            <v>http://www.deka-immobilien.de</v>
          </cell>
          <cell r="K164" t="str">
            <v>Bernd Hartmann</v>
          </cell>
          <cell r="L164" t="str">
            <v>bernd.hartmann@deka.de</v>
          </cell>
          <cell r="M164" t="str">
            <v>+49 (0) 69 7147 5437</v>
          </cell>
          <cell r="N164" t="str">
            <v>Michaela Graefe</v>
          </cell>
          <cell r="O164" t="str">
            <v>michaela.graefe@deka.de</v>
          </cell>
          <cell r="P164" t="str">
            <v>+49 (0) 69 7147 3504</v>
          </cell>
          <cell r="Q164" t="str">
            <v>Germany</v>
          </cell>
          <cell r="R164" t="str">
            <v>EUR</v>
          </cell>
          <cell r="S164" t="str">
            <v>Local GAAP</v>
          </cell>
          <cell r="T164" t="str">
            <v>Twice per year</v>
          </cell>
          <cell r="U164" t="str">
            <v>Annually</v>
          </cell>
          <cell r="V164" t="str">
            <v>ImmoWertV</v>
          </cell>
          <cell r="X164" t="str">
            <v>HSA Horwath</v>
          </cell>
          <cell r="Y164" t="str">
            <v>Spezialfonds</v>
          </cell>
          <cell r="Z164" t="str">
            <v>No</v>
          </cell>
          <cell r="AA164" t="str">
            <v>Yes</v>
          </cell>
          <cell r="AB164">
            <v>5</v>
          </cell>
          <cell r="AC164" t="str">
            <v>Non-Listed Fund</v>
          </cell>
          <cell r="AD164" t="str">
            <v>Value-added</v>
          </cell>
          <cell r="AE164" t="str">
            <v>finite</v>
          </cell>
          <cell r="AF164" t="str">
            <v>Closed end</v>
          </cell>
          <cell r="AG164">
            <v>10</v>
          </cell>
          <cell r="AH164">
            <v>10</v>
          </cell>
          <cell r="AJ164" t="str">
            <v>none</v>
          </cell>
          <cell r="AK164">
            <v>6</v>
          </cell>
          <cell r="AL164">
            <v>67</v>
          </cell>
          <cell r="AM164" t="str">
            <v>&gt; 60%</v>
          </cell>
          <cell r="AN164" t="str">
            <v>Institutional</v>
          </cell>
          <cell r="AO164" t="str">
            <v>&gt; 2</v>
          </cell>
          <cell r="AP164" t="str">
            <v>≥ 50%</v>
          </cell>
          <cell r="AQ164" t="str">
            <v>Europe</v>
          </cell>
          <cell r="AR164" t="str">
            <v>multi country</v>
          </cell>
          <cell r="AS164" t="str">
            <v>Europe</v>
          </cell>
          <cell r="AU164" t="str">
            <v>multi sector</v>
          </cell>
          <cell r="AW164">
            <v>220000000</v>
          </cell>
          <cell r="AX164">
            <v>660000000</v>
          </cell>
          <cell r="AY164">
            <v>2007</v>
          </cell>
          <cell r="AZ164">
            <v>2015</v>
          </cell>
          <cell r="BA164" t="str">
            <v>Yes</v>
          </cell>
          <cell r="BB164" t="str">
            <v>Yes</v>
          </cell>
          <cell r="BC164" t="str">
            <v>2 years</v>
          </cell>
          <cell r="BH164" t="str">
            <v>2020-06-30</v>
          </cell>
          <cell r="BI164">
            <v>39969000</v>
          </cell>
          <cell r="BJ164">
            <v>39969000</v>
          </cell>
          <cell r="BK164">
            <v>41648000</v>
          </cell>
          <cell r="BL164">
            <v>41648000</v>
          </cell>
          <cell r="BM164">
            <v>0</v>
          </cell>
          <cell r="BN164" t="str">
            <v>No</v>
          </cell>
          <cell r="BO164" t="str">
            <v>External</v>
          </cell>
          <cell r="BP164">
            <v>14</v>
          </cell>
          <cell r="BQ164">
            <v>2</v>
          </cell>
          <cell r="BR164">
            <v>209000000</v>
          </cell>
          <cell r="BS164">
            <v>209000000</v>
          </cell>
          <cell r="BT164">
            <v>50050000</v>
          </cell>
          <cell r="BU164">
            <v>50050000</v>
          </cell>
          <cell r="BV164" t="str">
            <v>No</v>
          </cell>
          <cell r="BW164" t="str">
            <v>Poland</v>
          </cell>
          <cell r="BX164" t="str">
            <v>Office</v>
          </cell>
          <cell r="BY164">
            <v>100</v>
          </cell>
        </row>
        <row r="165">
          <cell r="A165">
            <v>19577</v>
          </cell>
          <cell r="B165" t="str">
            <v>DEUTSCHLAND SELEKTIV IMMOBILIEN INVEST II</v>
          </cell>
          <cell r="C165" t="str">
            <v>WARBURG-HIH INVEST REAL ESTATE GMBH</v>
          </cell>
          <cell r="D165" t="str">
            <v>Gertrudenstraße 9</v>
          </cell>
          <cell r="E165">
            <v>20095</v>
          </cell>
          <cell r="F165" t="str">
            <v>Hamburg</v>
          </cell>
          <cell r="G165" t="str">
            <v>Germany</v>
          </cell>
          <cell r="H165" t="str">
            <v>+494032823617</v>
          </cell>
          <cell r="Q165" t="str">
            <v>Germany</v>
          </cell>
          <cell r="R165" t="str">
            <v>EUR</v>
          </cell>
          <cell r="S165" t="str">
            <v>German Capital Investment Law</v>
          </cell>
          <cell r="T165" t="str">
            <v>Quarterly</v>
          </cell>
          <cell r="U165" t="str">
            <v>Annually</v>
          </cell>
          <cell r="V165" t="str">
            <v>ImmoWertV</v>
          </cell>
          <cell r="W165" t="str">
            <v>BVI-Method</v>
          </cell>
          <cell r="Y165" t="str">
            <v>Spezialfonds</v>
          </cell>
          <cell r="Z165" t="str">
            <v>No</v>
          </cell>
          <cell r="AB165">
            <v>0</v>
          </cell>
          <cell r="AC165" t="str">
            <v>Non-Listed Fund</v>
          </cell>
          <cell r="AD165" t="str">
            <v>Core</v>
          </cell>
          <cell r="AE165" t="str">
            <v>infinite</v>
          </cell>
          <cell r="AF165" t="str">
            <v>Open end</v>
          </cell>
          <cell r="AM165" t="str">
            <v>&gt; 40% - ≤ 60%</v>
          </cell>
          <cell r="AN165" t="str">
            <v>Institutional</v>
          </cell>
          <cell r="AO165" t="str">
            <v>&gt; 2</v>
          </cell>
          <cell r="AP165" t="str">
            <v>≥ 50%</v>
          </cell>
          <cell r="AQ165" t="str">
            <v>Europe</v>
          </cell>
          <cell r="AR165" t="str">
            <v>single country</v>
          </cell>
          <cell r="AT165" t="str">
            <v>Germany</v>
          </cell>
          <cell r="AU165" t="str">
            <v>multi sector</v>
          </cell>
          <cell r="AY165">
            <v>2020</v>
          </cell>
          <cell r="BH165" t="str">
            <v>2020-12-31</v>
          </cell>
          <cell r="BI165">
            <v>26894537.850000001</v>
          </cell>
          <cell r="BJ165">
            <v>26894537.850000001</v>
          </cell>
          <cell r="BK165">
            <v>15244505.84</v>
          </cell>
          <cell r="BL165">
            <v>15244505.84</v>
          </cell>
          <cell r="BM165">
            <v>45.38</v>
          </cell>
          <cell r="BN165" t="str">
            <v>No</v>
          </cell>
          <cell r="BO165" t="str">
            <v>External</v>
          </cell>
          <cell r="BP165">
            <v>4</v>
          </cell>
          <cell r="BQ165">
            <v>1</v>
          </cell>
          <cell r="BR165">
            <v>43001000</v>
          </cell>
          <cell r="BS165">
            <v>43001000</v>
          </cell>
          <cell r="BT165">
            <v>15001000</v>
          </cell>
          <cell r="BU165">
            <v>15001000</v>
          </cell>
          <cell r="BV165" t="str">
            <v>No</v>
          </cell>
          <cell r="BW165" t="str">
            <v>Germany</v>
          </cell>
          <cell r="BX165" t="str">
            <v>Retail</v>
          </cell>
          <cell r="BY165">
            <v>29.27</v>
          </cell>
          <cell r="BZ165" t="str">
            <v>Germany</v>
          </cell>
          <cell r="CA165" t="str">
            <v>Parking</v>
          </cell>
          <cell r="CB165">
            <v>3.03</v>
          </cell>
          <cell r="CC165" t="str">
            <v>Germany</v>
          </cell>
          <cell r="CD165" t="str">
            <v>Office</v>
          </cell>
          <cell r="CE165">
            <v>61.43</v>
          </cell>
          <cell r="CF165" t="str">
            <v>Germany</v>
          </cell>
          <cell r="CG165" t="str">
            <v>Other</v>
          </cell>
          <cell r="CH165">
            <v>6.27</v>
          </cell>
        </row>
        <row r="166">
          <cell r="A166">
            <v>17531</v>
          </cell>
          <cell r="B166" t="str">
            <v>DIFA-FONDS NR. 3</v>
          </cell>
          <cell r="C166" t="str">
            <v>UNION INVESTMENT REAL ESTATE GMBH</v>
          </cell>
          <cell r="D166" t="str">
            <v>Valentinskamp 70</v>
          </cell>
          <cell r="E166">
            <v>20355</v>
          </cell>
          <cell r="F166" t="str">
            <v>Hamburg</v>
          </cell>
          <cell r="G166" t="str">
            <v>Germany</v>
          </cell>
          <cell r="H166" t="str">
            <v>+4940349190</v>
          </cell>
          <cell r="I166" t="str">
            <v>+494034919190</v>
          </cell>
          <cell r="J166" t="str">
            <v>http://institutional.union-investment.de/startseite-institutionelle-kunden/asset-klassen/immobilien.html</v>
          </cell>
          <cell r="K166" t="str">
            <v>Carsten Thiel</v>
          </cell>
          <cell r="L166" t="str">
            <v>carsten.thiel@union-investment.de</v>
          </cell>
          <cell r="M166" t="str">
            <v>+4940349194341</v>
          </cell>
          <cell r="N166" t="str">
            <v>Jörn Stobbe</v>
          </cell>
          <cell r="O166" t="str">
            <v>Joern.Stobbe@union-investment.de</v>
          </cell>
          <cell r="P166" t="str">
            <v>+4940349194455</v>
          </cell>
          <cell r="Q166" t="str">
            <v>Germany</v>
          </cell>
          <cell r="R166" t="str">
            <v>EUR</v>
          </cell>
          <cell r="S166" t="str">
            <v>German Trade Law / Investment Law</v>
          </cell>
          <cell r="T166" t="str">
            <v>Quarterly</v>
          </cell>
          <cell r="U166" t="str">
            <v>Quarterly</v>
          </cell>
          <cell r="V166" t="str">
            <v>ImmoWertV</v>
          </cell>
          <cell r="W166" t="str">
            <v>InvRBV - German Investment Law {no INREV-based calculation method}</v>
          </cell>
          <cell r="X166" t="str">
            <v>KPMG</v>
          </cell>
          <cell r="Y166" t="str">
            <v>Spezialfonds</v>
          </cell>
          <cell r="Z166" t="str">
            <v>No</v>
          </cell>
          <cell r="AA166" t="str">
            <v>No</v>
          </cell>
          <cell r="AC166" t="str">
            <v>Non-Listed Fund</v>
          </cell>
          <cell r="AD166" t="str">
            <v>Core</v>
          </cell>
          <cell r="AE166" t="str">
            <v>infinite</v>
          </cell>
          <cell r="AF166" t="str">
            <v>Open end</v>
          </cell>
          <cell r="AG166">
            <v>3</v>
          </cell>
          <cell r="AH166">
            <v>4</v>
          </cell>
          <cell r="AM166" t="str">
            <v>≤ 40%</v>
          </cell>
          <cell r="AN166" t="str">
            <v>Institutional</v>
          </cell>
          <cell r="AO166" t="str">
            <v>&gt; 2</v>
          </cell>
          <cell r="AP166" t="str">
            <v>≥ 50%</v>
          </cell>
          <cell r="AQ166" t="str">
            <v>Europe</v>
          </cell>
          <cell r="AR166" t="str">
            <v>multi country</v>
          </cell>
          <cell r="AS166" t="str">
            <v>Europe</v>
          </cell>
          <cell r="AU166" t="str">
            <v>multi sector</v>
          </cell>
          <cell r="AW166">
            <v>300000000</v>
          </cell>
          <cell r="AX166">
            <v>300000000</v>
          </cell>
          <cell r="AY166">
            <v>1989</v>
          </cell>
          <cell r="BD166" t="str">
            <v>No</v>
          </cell>
          <cell r="BE166" t="str">
            <v>≥ 60%</v>
          </cell>
          <cell r="BF166" t="str">
            <v>≤ 15%</v>
          </cell>
          <cell r="BG166" t="str">
            <v>≤ 5%</v>
          </cell>
          <cell r="BH166" t="str">
            <v>2020-12-31</v>
          </cell>
          <cell r="BI166">
            <v>346748331.5</v>
          </cell>
          <cell r="BJ166">
            <v>346748331.5</v>
          </cell>
          <cell r="BK166">
            <v>298528254.30000001</v>
          </cell>
          <cell r="BL166">
            <v>298528254.30000001</v>
          </cell>
          <cell r="BM166">
            <v>12.8</v>
          </cell>
          <cell r="BN166" t="str">
            <v>Yes</v>
          </cell>
          <cell r="BO166" t="str">
            <v>External</v>
          </cell>
          <cell r="BP166">
            <v>8</v>
          </cell>
          <cell r="BQ166">
            <v>18</v>
          </cell>
          <cell r="BR166">
            <v>0</v>
          </cell>
          <cell r="BS166">
            <v>0</v>
          </cell>
          <cell r="BT166">
            <v>0</v>
          </cell>
          <cell r="BV166" t="str">
            <v>No</v>
          </cell>
          <cell r="BW166" t="str">
            <v>Ireland</v>
          </cell>
          <cell r="BX166" t="str">
            <v>Office</v>
          </cell>
          <cell r="BY166">
            <v>6.7</v>
          </cell>
          <cell r="BZ166" t="str">
            <v>Germany</v>
          </cell>
          <cell r="CA166" t="str">
            <v>Retail</v>
          </cell>
          <cell r="CB166">
            <v>6.4</v>
          </cell>
          <cell r="CC166" t="str">
            <v>Germany</v>
          </cell>
          <cell r="CD166" t="str">
            <v>Office</v>
          </cell>
          <cell r="CE166">
            <v>51.5</v>
          </cell>
          <cell r="CF166" t="str">
            <v>Germany</v>
          </cell>
          <cell r="CG166" t="str">
            <v>Hotel</v>
          </cell>
          <cell r="CH166">
            <v>22.9</v>
          </cell>
          <cell r="CI166" t="str">
            <v>Poland</v>
          </cell>
          <cell r="CJ166" t="str">
            <v>Retail</v>
          </cell>
          <cell r="CK166">
            <v>7.5</v>
          </cell>
          <cell r="CL166" t="str">
            <v>Finland</v>
          </cell>
          <cell r="CM166" t="str">
            <v>Office</v>
          </cell>
          <cell r="CN166">
            <v>5</v>
          </cell>
        </row>
        <row r="167">
          <cell r="A167">
            <v>17499</v>
          </cell>
          <cell r="B167" t="str">
            <v>DNB SCANDINAVIAN PROPERTY FUND</v>
          </cell>
          <cell r="C167" t="str">
            <v xml:space="preserve">DNB REAL ESTATE INVESTMENT MANAGEMENT </v>
          </cell>
          <cell r="D167" t="str">
            <v>Solheimsgaten 7b</v>
          </cell>
          <cell r="E167">
            <v>5058</v>
          </cell>
          <cell r="F167" t="str">
            <v>Bergen</v>
          </cell>
          <cell r="G167" t="str">
            <v>Norway</v>
          </cell>
          <cell r="H167" t="str">
            <v>+4781544100</v>
          </cell>
          <cell r="J167" t="str">
            <v>https://dnb.no</v>
          </cell>
          <cell r="K167" t="str">
            <v>Terje Ulriksen</v>
          </cell>
          <cell r="L167" t="str">
            <v>terje.ulriksen@dnb.no</v>
          </cell>
          <cell r="M167" t="str">
            <v>+4790883188</v>
          </cell>
          <cell r="N167" t="str">
            <v>Stein Berge Monsen</v>
          </cell>
          <cell r="O167" t="str">
            <v>stein.monsen@dnb.no</v>
          </cell>
          <cell r="P167" t="str">
            <v>+4790556483</v>
          </cell>
          <cell r="Q167" t="str">
            <v>Norway</v>
          </cell>
          <cell r="R167" t="str">
            <v>NOK</v>
          </cell>
          <cell r="S167" t="str">
            <v>Local GAAP</v>
          </cell>
          <cell r="T167" t="str">
            <v>Quarterly</v>
          </cell>
          <cell r="U167" t="str">
            <v>Quarterly</v>
          </cell>
          <cell r="V167" t="str">
            <v>Other - mark to market</v>
          </cell>
          <cell r="W167" t="str">
            <v>NAV based on real property values and all other assets and liabilities</v>
          </cell>
          <cell r="X167" t="str">
            <v>EY</v>
          </cell>
          <cell r="Y167" t="str">
            <v>Real Estate Fund</v>
          </cell>
          <cell r="Z167" t="str">
            <v>No</v>
          </cell>
          <cell r="AC167" t="str">
            <v>Non-Listed Fund</v>
          </cell>
          <cell r="AD167" t="str">
            <v>Core</v>
          </cell>
          <cell r="AE167" t="str">
            <v>infinite</v>
          </cell>
          <cell r="AF167" t="str">
            <v>Open end</v>
          </cell>
          <cell r="AG167">
            <v>7</v>
          </cell>
          <cell r="AH167">
            <v>9</v>
          </cell>
          <cell r="AI167" t="str">
            <v>Gross</v>
          </cell>
          <cell r="AJ167" t="str">
            <v>IPD Index</v>
          </cell>
          <cell r="AK167">
            <v>5</v>
          </cell>
          <cell r="AL167">
            <v>0</v>
          </cell>
          <cell r="AM167" t="str">
            <v>≤ 40%</v>
          </cell>
          <cell r="AN167" t="str">
            <v>Institutional</v>
          </cell>
          <cell r="AO167" t="str">
            <v>&gt; 2</v>
          </cell>
          <cell r="AP167" t="str">
            <v>≥ 50%</v>
          </cell>
          <cell r="AQ167" t="str">
            <v>Europe</v>
          </cell>
          <cell r="AR167" t="str">
            <v>multi country</v>
          </cell>
          <cell r="AS167" t="str">
            <v>Nordic</v>
          </cell>
          <cell r="AU167" t="str">
            <v>multi sector</v>
          </cell>
          <cell r="AW167">
            <v>12500000000</v>
          </cell>
          <cell r="AX167">
            <v>12500000000</v>
          </cell>
          <cell r="AY167">
            <v>2007</v>
          </cell>
          <cell r="BD167" t="str">
            <v>No</v>
          </cell>
          <cell r="BE167" t="str">
            <v>≥ 60%</v>
          </cell>
          <cell r="BF167" t="str">
            <v>≤ 15%</v>
          </cell>
          <cell r="BG167" t="str">
            <v>≤ 5%</v>
          </cell>
          <cell r="BH167" t="str">
            <v>2020-12-31</v>
          </cell>
          <cell r="BI167">
            <v>10634003768</v>
          </cell>
          <cell r="BJ167">
            <v>1010914480.641409</v>
          </cell>
          <cell r="BK167">
            <v>10634003768</v>
          </cell>
          <cell r="BL167">
            <v>1010914480.641409</v>
          </cell>
          <cell r="BM167">
            <v>0</v>
          </cell>
          <cell r="BN167" t="str">
            <v>No</v>
          </cell>
          <cell r="BO167" t="str">
            <v>External</v>
          </cell>
          <cell r="BP167">
            <v>56</v>
          </cell>
          <cell r="BQ167">
            <v>14</v>
          </cell>
          <cell r="BR167">
            <v>8941328819</v>
          </cell>
          <cell r="BS167">
            <v>811025346.93992651</v>
          </cell>
          <cell r="BT167">
            <v>8941328819</v>
          </cell>
          <cell r="BU167">
            <v>811025346.93992651</v>
          </cell>
          <cell r="BV167" t="str">
            <v>No</v>
          </cell>
          <cell r="BW167" t="str">
            <v>Norway</v>
          </cell>
          <cell r="BX167" t="str">
            <v>Development</v>
          </cell>
          <cell r="BY167">
            <v>3</v>
          </cell>
          <cell r="BZ167" t="str">
            <v>Norway</v>
          </cell>
          <cell r="CA167" t="str">
            <v>Hotel</v>
          </cell>
          <cell r="CB167">
            <v>8</v>
          </cell>
          <cell r="CC167" t="str">
            <v>Sweden</v>
          </cell>
          <cell r="CD167" t="str">
            <v>Retail</v>
          </cell>
          <cell r="CE167">
            <v>1</v>
          </cell>
          <cell r="CF167" t="str">
            <v>Norway</v>
          </cell>
          <cell r="CG167" t="str">
            <v>Retail</v>
          </cell>
          <cell r="CH167">
            <v>17</v>
          </cell>
          <cell r="CI167" t="str">
            <v>Sweden</v>
          </cell>
          <cell r="CJ167" t="str">
            <v>Office</v>
          </cell>
          <cell r="CK167">
            <v>6</v>
          </cell>
          <cell r="CL167" t="str">
            <v>Norway</v>
          </cell>
          <cell r="CM167" t="str">
            <v>Office</v>
          </cell>
          <cell r="CN167">
            <v>62</v>
          </cell>
        </row>
        <row r="168">
          <cell r="A168">
            <v>17503</v>
          </cell>
          <cell r="B168" t="str">
            <v>DOMUS-DEUTSCHLAND-FONDS</v>
          </cell>
          <cell r="C168" t="str">
            <v>DEKA IMMOBILIEN INVESTMENT GMBH</v>
          </cell>
          <cell r="D168" t="str">
            <v>Taunusanlage 1</v>
          </cell>
          <cell r="E168">
            <v>60329</v>
          </cell>
          <cell r="F168" t="str">
            <v>Frankfurt am Main</v>
          </cell>
          <cell r="G168" t="str">
            <v>Germany</v>
          </cell>
          <cell r="J168" t="str">
            <v>http://www.deka-immobilien.de/</v>
          </cell>
          <cell r="K168" t="str">
            <v>Andreas Barak</v>
          </cell>
          <cell r="L168" t="str">
            <v>andreas.barak@deka.de</v>
          </cell>
          <cell r="M168" t="str">
            <v>+496971477743</v>
          </cell>
          <cell r="N168" t="str">
            <v>Michaela Graefe</v>
          </cell>
          <cell r="O168" t="str">
            <v>michaela.graefe@deka.de</v>
          </cell>
          <cell r="P168" t="str">
            <v>+496971473504</v>
          </cell>
          <cell r="Q168" t="str">
            <v>Germany</v>
          </cell>
          <cell r="R168" t="str">
            <v>EUR</v>
          </cell>
          <cell r="S168" t="str">
            <v>German HGB</v>
          </cell>
          <cell r="T168" t="str">
            <v>Annually</v>
          </cell>
          <cell r="U168" t="str">
            <v>Annually</v>
          </cell>
          <cell r="X168" t="str">
            <v>KPMG</v>
          </cell>
          <cell r="Y168" t="str">
            <v>Spezialfonds</v>
          </cell>
          <cell r="Z168" t="str">
            <v>No</v>
          </cell>
          <cell r="AA168" t="str">
            <v>Yes</v>
          </cell>
          <cell r="AB168">
            <v>10</v>
          </cell>
          <cell r="AC168" t="str">
            <v>Non-Listed Fund</v>
          </cell>
          <cell r="AD168" t="str">
            <v>Core</v>
          </cell>
          <cell r="AE168" t="str">
            <v>infinite</v>
          </cell>
          <cell r="AF168" t="str">
            <v>Open end</v>
          </cell>
          <cell r="AK168">
            <v>4.5</v>
          </cell>
          <cell r="AM168" t="str">
            <v>&gt; 40% - ≤ 60%</v>
          </cell>
          <cell r="AN168" t="str">
            <v>Institutional</v>
          </cell>
          <cell r="AO168" t="str">
            <v>&gt; 2</v>
          </cell>
          <cell r="AP168" t="str">
            <v>≥ 50%</v>
          </cell>
          <cell r="AQ168" t="str">
            <v>Europe</v>
          </cell>
          <cell r="AR168" t="str">
            <v>single country</v>
          </cell>
          <cell r="AT168" t="str">
            <v>Germany</v>
          </cell>
          <cell r="AU168" t="str">
            <v>multi sector</v>
          </cell>
          <cell r="AW168">
            <v>470500000</v>
          </cell>
          <cell r="AX168">
            <v>980000000</v>
          </cell>
          <cell r="AY168">
            <v>2013</v>
          </cell>
          <cell r="BH168" t="str">
            <v>2020-12-31</v>
          </cell>
          <cell r="BI168">
            <v>835448688</v>
          </cell>
          <cell r="BJ168">
            <v>835448688</v>
          </cell>
          <cell r="BK168">
            <v>508243524</v>
          </cell>
          <cell r="BL168">
            <v>508243524</v>
          </cell>
          <cell r="BM168">
            <v>38.9</v>
          </cell>
          <cell r="BN168" t="str">
            <v>No</v>
          </cell>
          <cell r="BO168" t="str">
            <v>External</v>
          </cell>
          <cell r="BP168">
            <v>33</v>
          </cell>
          <cell r="BQ168">
            <v>18</v>
          </cell>
          <cell r="BR168">
            <v>470500000</v>
          </cell>
          <cell r="BS168">
            <v>470500000</v>
          </cell>
          <cell r="BT168">
            <v>470499103</v>
          </cell>
          <cell r="BU168">
            <v>470499103</v>
          </cell>
          <cell r="BV168" t="str">
            <v>No</v>
          </cell>
          <cell r="BW168" t="str">
            <v>Germany</v>
          </cell>
          <cell r="BX168" t="str">
            <v>Industrial / Logistics</v>
          </cell>
          <cell r="BY168">
            <v>7.4</v>
          </cell>
          <cell r="BZ168" t="str">
            <v>Germany</v>
          </cell>
          <cell r="CA168" t="str">
            <v>Hotel</v>
          </cell>
          <cell r="CB168">
            <v>10.5</v>
          </cell>
          <cell r="CC168" t="str">
            <v>Germany</v>
          </cell>
          <cell r="CD168" t="str">
            <v>Retail</v>
          </cell>
          <cell r="CE168">
            <v>20.7</v>
          </cell>
          <cell r="CF168" t="str">
            <v>Germany</v>
          </cell>
          <cell r="CG168" t="str">
            <v>Mixed</v>
          </cell>
          <cell r="CH168">
            <v>7.3</v>
          </cell>
          <cell r="CI168" t="str">
            <v>Germany</v>
          </cell>
          <cell r="CJ168" t="str">
            <v>Office</v>
          </cell>
          <cell r="CK168">
            <v>54.1</v>
          </cell>
        </row>
        <row r="169">
          <cell r="A169">
            <v>18632</v>
          </cell>
          <cell r="B169" t="str">
            <v>DOMUS-DEUTSCHLAND-FONDS NR.2</v>
          </cell>
          <cell r="G169" t="str">
            <v>Germany</v>
          </cell>
          <cell r="Q169" t="str">
            <v>Germany</v>
          </cell>
          <cell r="R169" t="str">
            <v>EUR</v>
          </cell>
          <cell r="T169" t="str">
            <v>Annually</v>
          </cell>
          <cell r="U169" t="str">
            <v>Quarterly</v>
          </cell>
          <cell r="Y169" t="str">
            <v>Spezialfonds</v>
          </cell>
          <cell r="AC169" t="str">
            <v>Non-Listed Fund</v>
          </cell>
          <cell r="AD169" t="str">
            <v>Core</v>
          </cell>
          <cell r="AE169" t="str">
            <v>infinite</v>
          </cell>
          <cell r="AF169" t="str">
            <v>Open end</v>
          </cell>
          <cell r="AN169" t="str">
            <v>Institutional</v>
          </cell>
          <cell r="AO169" t="str">
            <v>&gt; 2</v>
          </cell>
          <cell r="AP169" t="str">
            <v>≥ 50%</v>
          </cell>
          <cell r="AQ169" t="str">
            <v>Europe</v>
          </cell>
          <cell r="AR169" t="str">
            <v>single country</v>
          </cell>
          <cell r="AT169" t="str">
            <v>Germany</v>
          </cell>
          <cell r="AU169" t="str">
            <v>multi sector</v>
          </cell>
          <cell r="AY169">
            <v>2018</v>
          </cell>
          <cell r="BH169" t="str">
            <v>2020-12-31</v>
          </cell>
          <cell r="BI169">
            <v>552579881</v>
          </cell>
          <cell r="BJ169">
            <v>552579881</v>
          </cell>
          <cell r="BK169">
            <v>329114540</v>
          </cell>
          <cell r="BL169">
            <v>329114540</v>
          </cell>
          <cell r="BM169">
            <v>48.2</v>
          </cell>
          <cell r="BN169" t="str">
            <v>No</v>
          </cell>
          <cell r="BO169" t="str">
            <v>External</v>
          </cell>
          <cell r="BP169">
            <v>51</v>
          </cell>
          <cell r="BQ169">
            <v>12</v>
          </cell>
          <cell r="BR169">
            <v>467000000</v>
          </cell>
          <cell r="BS169">
            <v>467000000</v>
          </cell>
          <cell r="BT169">
            <v>326664555</v>
          </cell>
          <cell r="BU169">
            <v>326664555</v>
          </cell>
          <cell r="BV169" t="str">
            <v>No</v>
          </cell>
          <cell r="BW169" t="str">
            <v>Germany</v>
          </cell>
          <cell r="BX169" t="str">
            <v>Office</v>
          </cell>
          <cell r="BY169">
            <v>69.2</v>
          </cell>
          <cell r="BZ169" t="str">
            <v>Germany</v>
          </cell>
          <cell r="CA169" t="str">
            <v>Mixed</v>
          </cell>
          <cell r="CB169">
            <v>6.5</v>
          </cell>
          <cell r="CC169" t="str">
            <v>Germany</v>
          </cell>
          <cell r="CD169" t="str">
            <v>Retail</v>
          </cell>
          <cell r="CE169">
            <v>15.9</v>
          </cell>
          <cell r="CF169" t="str">
            <v>Germany</v>
          </cell>
          <cell r="CG169" t="str">
            <v>Hotel</v>
          </cell>
          <cell r="CH169">
            <v>6.1</v>
          </cell>
          <cell r="CI169" t="str">
            <v>Germany</v>
          </cell>
          <cell r="CJ169" t="str">
            <v>Industrial / Logistics</v>
          </cell>
          <cell r="CK169">
            <v>2.2999999999999998</v>
          </cell>
        </row>
        <row r="170">
          <cell r="A170">
            <v>18633</v>
          </cell>
          <cell r="B170" t="str">
            <v>DOMUS-EINZELHANDEL-DEUTSCHLAND</v>
          </cell>
          <cell r="G170" t="str">
            <v>Germany</v>
          </cell>
          <cell r="Q170" t="str">
            <v>Germany</v>
          </cell>
          <cell r="R170" t="str">
            <v>EUR</v>
          </cell>
          <cell r="T170" t="str">
            <v>Annually</v>
          </cell>
          <cell r="U170" t="str">
            <v>Quarterly</v>
          </cell>
          <cell r="Y170" t="str">
            <v>Spezialfonds</v>
          </cell>
          <cell r="AC170" t="str">
            <v>Non-Listed Fund</v>
          </cell>
          <cell r="AD170" t="str">
            <v>Core</v>
          </cell>
          <cell r="AE170" t="str">
            <v>infinite</v>
          </cell>
          <cell r="AF170" t="str">
            <v>Open end</v>
          </cell>
          <cell r="AN170" t="str">
            <v>Institutional</v>
          </cell>
          <cell r="AO170" t="str">
            <v>&gt; 2</v>
          </cell>
          <cell r="AP170" t="str">
            <v>≥ 50%</v>
          </cell>
          <cell r="AQ170" t="str">
            <v>Europe</v>
          </cell>
          <cell r="AR170" t="str">
            <v>single country</v>
          </cell>
          <cell r="AT170" t="str">
            <v>Germany</v>
          </cell>
          <cell r="AU170" t="str">
            <v>single sector</v>
          </cell>
          <cell r="AV170" t="str">
            <v>Retail</v>
          </cell>
          <cell r="AY170">
            <v>2015</v>
          </cell>
          <cell r="BH170" t="str">
            <v>2020-12-31</v>
          </cell>
          <cell r="BI170">
            <v>684334060</v>
          </cell>
          <cell r="BJ170">
            <v>684334060</v>
          </cell>
          <cell r="BK170">
            <v>386745409</v>
          </cell>
          <cell r="BL170">
            <v>386745409</v>
          </cell>
          <cell r="BM170">
            <v>47.2</v>
          </cell>
          <cell r="BN170" t="str">
            <v>No</v>
          </cell>
          <cell r="BO170" t="str">
            <v>External</v>
          </cell>
          <cell r="BP170">
            <v>30</v>
          </cell>
          <cell r="BQ170">
            <v>58</v>
          </cell>
          <cell r="BR170">
            <v>399000000</v>
          </cell>
          <cell r="BS170">
            <v>399000000</v>
          </cell>
          <cell r="BT170">
            <v>398999838</v>
          </cell>
          <cell r="BU170">
            <v>398999838</v>
          </cell>
          <cell r="BV170" t="str">
            <v>No</v>
          </cell>
          <cell r="BW170" t="str">
            <v>Germany</v>
          </cell>
          <cell r="BX170" t="str">
            <v>Mixed</v>
          </cell>
          <cell r="BY170">
            <v>6.1</v>
          </cell>
          <cell r="BZ170" t="str">
            <v>Germany</v>
          </cell>
          <cell r="CA170" t="str">
            <v>Retail</v>
          </cell>
          <cell r="CB170">
            <v>93.9</v>
          </cell>
        </row>
        <row r="171">
          <cell r="A171">
            <v>19326</v>
          </cell>
          <cell r="B171" t="str">
            <v>DWS ACCESS DEUTSCHE BANK TüRME</v>
          </cell>
          <cell r="C171" t="str">
            <v>DWS GRUNDBESITZ GMBH</v>
          </cell>
          <cell r="D171" t="str">
            <v>Mainzer Landstr. 11-17</v>
          </cell>
          <cell r="E171" t="str">
            <v xml:space="preserve">60329 </v>
          </cell>
          <cell r="F171" t="str">
            <v>Frankfurt am Main</v>
          </cell>
          <cell r="G171" t="str">
            <v>Germany</v>
          </cell>
          <cell r="K171" t="str">
            <v>Thomas Köhler</v>
          </cell>
          <cell r="L171" t="str">
            <v>thomas-d.koehler@dws.com</v>
          </cell>
          <cell r="M171" t="str">
            <v>+49 (69) 910 - 14934</v>
          </cell>
          <cell r="Q171" t="str">
            <v>Germany</v>
          </cell>
          <cell r="R171" t="str">
            <v>EUR</v>
          </cell>
          <cell r="S171" t="str">
            <v>HGB</v>
          </cell>
          <cell r="T171" t="str">
            <v>Annually</v>
          </cell>
          <cell r="U171" t="str">
            <v>Annually</v>
          </cell>
          <cell r="V171" t="str">
            <v>ImmoWertV</v>
          </cell>
          <cell r="W171" t="str">
            <v>KAGB</v>
          </cell>
          <cell r="X171" t="str">
            <v>KPMG</v>
          </cell>
          <cell r="Y171" t="str">
            <v>Publikumsfonds</v>
          </cell>
          <cell r="Z171" t="str">
            <v>No</v>
          </cell>
          <cell r="AC171" t="str">
            <v>Non-Listed Fund</v>
          </cell>
          <cell r="AD171" t="str">
            <v>Core</v>
          </cell>
          <cell r="AE171" t="str">
            <v>finite</v>
          </cell>
          <cell r="AF171" t="str">
            <v>Closed end</v>
          </cell>
          <cell r="AN171" t="str">
            <v>Retail</v>
          </cell>
          <cell r="AO171" t="str">
            <v>&gt; 2</v>
          </cell>
          <cell r="AP171" t="str">
            <v>&lt; 50%</v>
          </cell>
          <cell r="AQ171" t="str">
            <v>Europe</v>
          </cell>
          <cell r="AR171" t="str">
            <v>single country</v>
          </cell>
          <cell r="AT171" t="str">
            <v>Germany</v>
          </cell>
          <cell r="AU171" t="str">
            <v>single sector</v>
          </cell>
          <cell r="AV171" t="str">
            <v>Office</v>
          </cell>
          <cell r="AY171">
            <v>2011</v>
          </cell>
          <cell r="BH171" t="str">
            <v>2018-12-31</v>
          </cell>
          <cell r="BI171">
            <v>678800000</v>
          </cell>
          <cell r="BJ171">
            <v>678800000</v>
          </cell>
          <cell r="BK171">
            <v>397460000</v>
          </cell>
          <cell r="BL171">
            <v>397460000</v>
          </cell>
          <cell r="BM171">
            <v>45.01</v>
          </cell>
          <cell r="BN171" t="str">
            <v>Yes</v>
          </cell>
          <cell r="BO171" t="str">
            <v>External</v>
          </cell>
          <cell r="BS171">
            <v>0</v>
          </cell>
          <cell r="BV171" t="str">
            <v>No</v>
          </cell>
          <cell r="BW171" t="str">
            <v>Germany</v>
          </cell>
          <cell r="BX171" t="str">
            <v>Office</v>
          </cell>
          <cell r="BY171">
            <v>100</v>
          </cell>
        </row>
        <row r="172">
          <cell r="A172">
            <v>19330</v>
          </cell>
          <cell r="B172" t="str">
            <v>DWS ACCESS MARMARAPARK</v>
          </cell>
          <cell r="C172" t="str">
            <v>DWS GRUNDBESITZ GMBH</v>
          </cell>
          <cell r="D172" t="str">
            <v>Mainzer Landstr. 11-17</v>
          </cell>
          <cell r="E172" t="str">
            <v xml:space="preserve">60329 </v>
          </cell>
          <cell r="F172" t="str">
            <v>Frankfurt am Main</v>
          </cell>
          <cell r="G172" t="str">
            <v>Germany</v>
          </cell>
          <cell r="K172" t="str">
            <v>Herbert Knötgen</v>
          </cell>
          <cell r="L172" t="str">
            <v>herbert.knoetgen@dws.com</v>
          </cell>
          <cell r="M172" t="str">
            <v>+49 (69) 910 - 14935</v>
          </cell>
          <cell r="Q172" t="str">
            <v>Luxembourg</v>
          </cell>
          <cell r="R172" t="str">
            <v>EUR</v>
          </cell>
          <cell r="S172" t="str">
            <v>Lux GAAP</v>
          </cell>
          <cell r="T172" t="str">
            <v>Annually</v>
          </cell>
          <cell r="U172" t="str">
            <v>Annually</v>
          </cell>
          <cell r="V172" t="str">
            <v>ImmoWertV</v>
          </cell>
          <cell r="W172" t="str">
            <v>KAGB</v>
          </cell>
          <cell r="X172" t="str">
            <v>PWC</v>
          </cell>
          <cell r="Y172" t="str">
            <v>Publikumsfonds</v>
          </cell>
          <cell r="Z172" t="str">
            <v>No</v>
          </cell>
          <cell r="AC172" t="str">
            <v>Non-Listed Fund</v>
          </cell>
          <cell r="AD172" t="str">
            <v>Core</v>
          </cell>
          <cell r="AE172" t="str">
            <v>finite</v>
          </cell>
          <cell r="AF172" t="str">
            <v>Closed end</v>
          </cell>
          <cell r="AN172" t="str">
            <v>Retail</v>
          </cell>
          <cell r="AO172" t="str">
            <v>&gt; 2</v>
          </cell>
          <cell r="AP172" t="str">
            <v>&lt; 50%</v>
          </cell>
          <cell r="AQ172" t="str">
            <v>Europe</v>
          </cell>
          <cell r="AR172" t="str">
            <v>single country</v>
          </cell>
          <cell r="AT172" t="str">
            <v>Turkey</v>
          </cell>
          <cell r="AU172" t="str">
            <v>single sector</v>
          </cell>
          <cell r="AV172" t="str">
            <v>Retail</v>
          </cell>
          <cell r="AY172">
            <v>2011</v>
          </cell>
          <cell r="BH172" t="str">
            <v>2018-12-31</v>
          </cell>
          <cell r="BI172">
            <v>236200000</v>
          </cell>
          <cell r="BJ172">
            <v>236200000</v>
          </cell>
          <cell r="BK172">
            <v>91520000</v>
          </cell>
          <cell r="BL172">
            <v>91520000</v>
          </cell>
          <cell r="BM172">
            <v>30.54</v>
          </cell>
          <cell r="BN172" t="str">
            <v>Yes</v>
          </cell>
          <cell r="BO172" t="str">
            <v>External</v>
          </cell>
          <cell r="BS172">
            <v>0</v>
          </cell>
          <cell r="BV172" t="str">
            <v>No</v>
          </cell>
          <cell r="BW172" t="str">
            <v>Turkey</v>
          </cell>
          <cell r="BX172" t="str">
            <v>Retail</v>
          </cell>
          <cell r="BY172">
            <v>100</v>
          </cell>
        </row>
        <row r="173">
          <cell r="A173">
            <v>19331</v>
          </cell>
          <cell r="B173" t="str">
            <v>DWS ACCESS WASSERKRAFT BETA</v>
          </cell>
          <cell r="C173" t="str">
            <v>DWS GRUNDBESITZ GMBH</v>
          </cell>
          <cell r="D173" t="str">
            <v>Mainzer Landstr. 11-17</v>
          </cell>
          <cell r="E173" t="str">
            <v xml:space="preserve">60329 </v>
          </cell>
          <cell r="F173" t="str">
            <v>Frankfurt am Main</v>
          </cell>
          <cell r="G173" t="str">
            <v>Germany</v>
          </cell>
          <cell r="K173" t="str">
            <v>Clemens Grünewald</v>
          </cell>
          <cell r="L173" t="str">
            <v>clemens.gruenewald@dws.com</v>
          </cell>
          <cell r="M173" t="str">
            <v>+49 (69) 910 - 14947</v>
          </cell>
          <cell r="Q173" t="str">
            <v>Germany</v>
          </cell>
          <cell r="R173" t="str">
            <v>EUR</v>
          </cell>
          <cell r="S173" t="str">
            <v>HGB</v>
          </cell>
          <cell r="T173" t="str">
            <v>Annually</v>
          </cell>
          <cell r="U173" t="str">
            <v>Annually</v>
          </cell>
          <cell r="V173" t="str">
            <v>DCF</v>
          </cell>
          <cell r="W173" t="str">
            <v>DCF</v>
          </cell>
          <cell r="X173" t="str">
            <v>KPMG</v>
          </cell>
          <cell r="Y173" t="str">
            <v>Publikumsfonds</v>
          </cell>
          <cell r="Z173" t="str">
            <v>No</v>
          </cell>
          <cell r="AC173" t="str">
            <v>Non-Listed Fund</v>
          </cell>
          <cell r="AD173" t="str">
            <v>Core</v>
          </cell>
          <cell r="AE173" t="str">
            <v>finite</v>
          </cell>
          <cell r="AF173" t="str">
            <v>Closed end</v>
          </cell>
          <cell r="AN173" t="str">
            <v>Institutional and Retail</v>
          </cell>
          <cell r="AO173" t="str">
            <v>&gt; 2</v>
          </cell>
          <cell r="AP173" t="str">
            <v>≥ 50%</v>
          </cell>
          <cell r="AQ173" t="str">
            <v>Europe</v>
          </cell>
          <cell r="AR173" t="str">
            <v>multi country</v>
          </cell>
          <cell r="AS173" t="str">
            <v>Europe</v>
          </cell>
          <cell r="AU173" t="str">
            <v>single sector</v>
          </cell>
          <cell r="AV173" t="str">
            <v>Other</v>
          </cell>
          <cell r="AY173">
            <v>2011</v>
          </cell>
        </row>
        <row r="174">
          <cell r="A174">
            <v>19323</v>
          </cell>
          <cell r="B174" t="str">
            <v>DWS ACCESS WOHNEN</v>
          </cell>
          <cell r="C174" t="str">
            <v>DWS GRUNDBESITZ GMBH</v>
          </cell>
          <cell r="D174" t="str">
            <v>Mainzer Landstr. 11-17</v>
          </cell>
          <cell r="E174" t="str">
            <v xml:space="preserve">60329 </v>
          </cell>
          <cell r="F174" t="str">
            <v>Frankfurt am Main</v>
          </cell>
          <cell r="G174" t="str">
            <v>Germany</v>
          </cell>
          <cell r="K174" t="str">
            <v>Toralf Steinhaus</v>
          </cell>
          <cell r="L174" t="str">
            <v>toralf.steinhaus@dws.com</v>
          </cell>
          <cell r="M174" t="str">
            <v>+49 (69) 910 - 14939</v>
          </cell>
          <cell r="Q174" t="str">
            <v>Germany</v>
          </cell>
          <cell r="R174" t="str">
            <v>EUR</v>
          </cell>
          <cell r="S174" t="str">
            <v>HGB</v>
          </cell>
          <cell r="T174" t="str">
            <v>Annually</v>
          </cell>
          <cell r="U174" t="str">
            <v>Annually</v>
          </cell>
          <cell r="V174" t="str">
            <v>ImmoWertV</v>
          </cell>
          <cell r="W174" t="str">
            <v>KAGB</v>
          </cell>
          <cell r="X174" t="str">
            <v>EY</v>
          </cell>
          <cell r="Y174" t="str">
            <v>Publikumsfonds</v>
          </cell>
          <cell r="Z174" t="str">
            <v>No</v>
          </cell>
          <cell r="AC174" t="str">
            <v>Non-Listed Fund</v>
          </cell>
          <cell r="AD174" t="str">
            <v>Core</v>
          </cell>
          <cell r="AE174" t="str">
            <v>finite</v>
          </cell>
          <cell r="AF174" t="str">
            <v>Closed end</v>
          </cell>
          <cell r="AN174" t="str">
            <v>Retail</v>
          </cell>
          <cell r="AO174" t="str">
            <v>&gt; 2</v>
          </cell>
          <cell r="AP174" t="str">
            <v>&lt; 50%</v>
          </cell>
          <cell r="AQ174" t="str">
            <v>Europe</v>
          </cell>
          <cell r="AR174" t="str">
            <v>single country</v>
          </cell>
          <cell r="AT174" t="str">
            <v>Germany</v>
          </cell>
          <cell r="AU174" t="str">
            <v>single sector</v>
          </cell>
          <cell r="AV174" t="str">
            <v>Residential</v>
          </cell>
          <cell r="AY174">
            <v>2009</v>
          </cell>
          <cell r="BH174" t="str">
            <v>2018-12-31</v>
          </cell>
          <cell r="BI174">
            <v>97775000</v>
          </cell>
          <cell r="BJ174">
            <v>97775000</v>
          </cell>
          <cell r="BK174">
            <v>65281885</v>
          </cell>
          <cell r="BL174">
            <v>65281885</v>
          </cell>
          <cell r="BM174">
            <v>36.04</v>
          </cell>
          <cell r="BN174" t="str">
            <v>Yes</v>
          </cell>
          <cell r="BO174" t="str">
            <v>External</v>
          </cell>
          <cell r="BP174">
            <v>0</v>
          </cell>
          <cell r="BQ174">
            <v>35</v>
          </cell>
          <cell r="BS174">
            <v>0</v>
          </cell>
          <cell r="BV174" t="str">
            <v>No</v>
          </cell>
          <cell r="BW174" t="str">
            <v>Germany</v>
          </cell>
          <cell r="BX174" t="str">
            <v>Residential</v>
          </cell>
          <cell r="BY174">
            <v>100</v>
          </cell>
        </row>
        <row r="175">
          <cell r="A175">
            <v>19324</v>
          </cell>
          <cell r="B175" t="str">
            <v>DWS ACCESS WOHNEN 2</v>
          </cell>
          <cell r="C175" t="str">
            <v>DWS GRUNDBESITZ GMBH</v>
          </cell>
          <cell r="D175" t="str">
            <v>Mainzer Landstr. 11-17</v>
          </cell>
          <cell r="E175" t="str">
            <v xml:space="preserve">60329 </v>
          </cell>
          <cell r="F175" t="str">
            <v>Frankfurt am Main</v>
          </cell>
          <cell r="G175" t="str">
            <v>Germany</v>
          </cell>
          <cell r="K175" t="str">
            <v>Toralf Steinhaus</v>
          </cell>
          <cell r="L175" t="str">
            <v>toralf.steinhaus@dws.com</v>
          </cell>
          <cell r="M175" t="str">
            <v>+49 (69) 910 - 14939</v>
          </cell>
          <cell r="Q175" t="str">
            <v>Germany</v>
          </cell>
          <cell r="R175" t="str">
            <v>EUR</v>
          </cell>
          <cell r="S175" t="str">
            <v>HGB</v>
          </cell>
          <cell r="T175" t="str">
            <v>Annually</v>
          </cell>
          <cell r="U175" t="str">
            <v>Annually</v>
          </cell>
          <cell r="V175" t="str">
            <v>ImmoWertV</v>
          </cell>
          <cell r="W175" t="str">
            <v>KAGB</v>
          </cell>
          <cell r="X175" t="str">
            <v>EY</v>
          </cell>
          <cell r="Y175" t="str">
            <v>Publikumsfonds</v>
          </cell>
          <cell r="Z175" t="str">
            <v>No</v>
          </cell>
          <cell r="AC175" t="str">
            <v>Non-Listed Fund</v>
          </cell>
          <cell r="AD175" t="str">
            <v>Core</v>
          </cell>
          <cell r="AE175" t="str">
            <v>finite</v>
          </cell>
          <cell r="AF175" t="str">
            <v>Closed end</v>
          </cell>
          <cell r="AN175" t="str">
            <v>Retail</v>
          </cell>
          <cell r="AO175" t="str">
            <v>&gt; 2</v>
          </cell>
          <cell r="AP175" t="str">
            <v>&lt; 50%</v>
          </cell>
          <cell r="AQ175" t="str">
            <v>Europe</v>
          </cell>
          <cell r="AR175" t="str">
            <v>single country</v>
          </cell>
          <cell r="AT175" t="str">
            <v>Germany</v>
          </cell>
          <cell r="AU175" t="str">
            <v>single sector</v>
          </cell>
          <cell r="AV175" t="str">
            <v>Residential</v>
          </cell>
          <cell r="AY175">
            <v>2010</v>
          </cell>
          <cell r="BH175" t="str">
            <v>2018-12-31</v>
          </cell>
          <cell r="BI175">
            <v>162969000</v>
          </cell>
          <cell r="BJ175">
            <v>162969000</v>
          </cell>
          <cell r="BK175">
            <v>113159765</v>
          </cell>
          <cell r="BL175">
            <v>113159765</v>
          </cell>
          <cell r="BM175">
            <v>38.770000000000003</v>
          </cell>
          <cell r="BN175" t="str">
            <v>Yes</v>
          </cell>
          <cell r="BO175" t="str">
            <v>External</v>
          </cell>
          <cell r="BS175">
            <v>0</v>
          </cell>
          <cell r="BV175" t="str">
            <v>No</v>
          </cell>
          <cell r="BW175" t="str">
            <v>Germany</v>
          </cell>
          <cell r="BX175" t="str">
            <v>Residential</v>
          </cell>
          <cell r="BY175">
            <v>100</v>
          </cell>
        </row>
        <row r="176">
          <cell r="A176">
            <v>19325</v>
          </cell>
          <cell r="B176" t="str">
            <v>DWS ACCESS WOHNEN 3</v>
          </cell>
          <cell r="C176" t="str">
            <v>DWS GRUNDBESITZ GMBH</v>
          </cell>
          <cell r="D176" t="str">
            <v>Mainzer Landstr. 11-17</v>
          </cell>
          <cell r="E176" t="str">
            <v xml:space="preserve">60329 </v>
          </cell>
          <cell r="F176" t="str">
            <v>Frankfurt am Main</v>
          </cell>
          <cell r="G176" t="str">
            <v>Germany</v>
          </cell>
          <cell r="K176" t="str">
            <v>Toralf Steinhaus</v>
          </cell>
          <cell r="L176" t="str">
            <v>toralf.steinhaus@dws.com</v>
          </cell>
          <cell r="M176" t="str">
            <v>+49 (69) 910 - 14939</v>
          </cell>
          <cell r="Q176" t="str">
            <v>Germany</v>
          </cell>
          <cell r="R176" t="str">
            <v>EUR</v>
          </cell>
          <cell r="S176" t="str">
            <v>HGB</v>
          </cell>
          <cell r="T176" t="str">
            <v>Annually</v>
          </cell>
          <cell r="U176" t="str">
            <v>Annually</v>
          </cell>
          <cell r="V176" t="str">
            <v>ImmoWertV</v>
          </cell>
          <cell r="W176" t="str">
            <v>KAGB</v>
          </cell>
          <cell r="X176" t="str">
            <v>EY</v>
          </cell>
          <cell r="Y176" t="str">
            <v>Publikumsfonds</v>
          </cell>
          <cell r="Z176" t="str">
            <v>No</v>
          </cell>
          <cell r="AC176" t="str">
            <v>Non-Listed Fund</v>
          </cell>
          <cell r="AD176" t="str">
            <v>Core</v>
          </cell>
          <cell r="AE176" t="str">
            <v>finite</v>
          </cell>
          <cell r="AF176" t="str">
            <v>Closed end</v>
          </cell>
          <cell r="AN176" t="str">
            <v>Retail</v>
          </cell>
          <cell r="AO176" t="str">
            <v>&gt; 2</v>
          </cell>
          <cell r="AP176" t="str">
            <v>&lt; 50%</v>
          </cell>
          <cell r="AQ176" t="str">
            <v>Europe</v>
          </cell>
          <cell r="AR176" t="str">
            <v>single country</v>
          </cell>
          <cell r="AT176" t="str">
            <v>Germany</v>
          </cell>
          <cell r="AU176" t="str">
            <v>single sector</v>
          </cell>
          <cell r="AV176" t="str">
            <v>Residential</v>
          </cell>
          <cell r="AY176">
            <v>2012</v>
          </cell>
          <cell r="BH176" t="str">
            <v>2018-12-31</v>
          </cell>
          <cell r="BI176">
            <v>75525000</v>
          </cell>
          <cell r="BJ176">
            <v>75525000</v>
          </cell>
          <cell r="BK176">
            <v>63676165</v>
          </cell>
          <cell r="BL176">
            <v>63676165</v>
          </cell>
          <cell r="BM176">
            <v>43.59</v>
          </cell>
          <cell r="BN176" t="str">
            <v>Yes</v>
          </cell>
          <cell r="BO176" t="str">
            <v>External</v>
          </cell>
          <cell r="BP176">
            <v>0</v>
          </cell>
          <cell r="BQ176">
            <v>38</v>
          </cell>
          <cell r="BS176">
            <v>0</v>
          </cell>
          <cell r="BV176" t="str">
            <v>No</v>
          </cell>
          <cell r="BW176" t="str">
            <v>Germany</v>
          </cell>
          <cell r="BX176" t="str">
            <v>Residential</v>
          </cell>
          <cell r="BY176">
            <v>100</v>
          </cell>
        </row>
        <row r="177">
          <cell r="A177">
            <v>19333</v>
          </cell>
          <cell r="B177" t="str">
            <v>DWS ACCESS WOHNEN INSTITUTIONAL NOTES</v>
          </cell>
          <cell r="C177" t="str">
            <v>DWS GRUNDBESITZ GMBH</v>
          </cell>
          <cell r="D177" t="str">
            <v>Mainzer Landstr. 11-17</v>
          </cell>
          <cell r="E177" t="str">
            <v xml:space="preserve">60329 </v>
          </cell>
          <cell r="F177" t="str">
            <v>Frankfurt am Main</v>
          </cell>
          <cell r="G177" t="str">
            <v>Germany</v>
          </cell>
          <cell r="K177" t="str">
            <v>Burkhard Meldt</v>
          </cell>
          <cell r="L177" t="str">
            <v>burkhard.meldt@dws.com</v>
          </cell>
          <cell r="M177" t="str">
            <v>+49 (69) 910 - 14940</v>
          </cell>
          <cell r="Q177" t="str">
            <v>Luxembourg</v>
          </cell>
          <cell r="R177" t="str">
            <v>EUR</v>
          </cell>
          <cell r="S177" t="str">
            <v>IFRS</v>
          </cell>
          <cell r="T177" t="str">
            <v>Annually</v>
          </cell>
          <cell r="U177" t="str">
            <v>Annually</v>
          </cell>
          <cell r="V177" t="str">
            <v>ImmoWertV</v>
          </cell>
          <cell r="W177" t="str">
            <v>KAGB</v>
          </cell>
          <cell r="X177" t="str">
            <v>EY</v>
          </cell>
          <cell r="Y177" t="str">
            <v>Publikumsfonds</v>
          </cell>
          <cell r="Z177" t="str">
            <v>No</v>
          </cell>
          <cell r="AC177" t="str">
            <v>Non-Listed Fund</v>
          </cell>
          <cell r="AD177" t="str">
            <v>Core</v>
          </cell>
          <cell r="AE177" t="str">
            <v>finite</v>
          </cell>
          <cell r="AF177" t="str">
            <v>Closed end</v>
          </cell>
          <cell r="AN177" t="str">
            <v>Institutional and Retail</v>
          </cell>
          <cell r="AO177" t="str">
            <v>&gt; 2</v>
          </cell>
          <cell r="AP177" t="str">
            <v>&lt; 50%</v>
          </cell>
          <cell r="AQ177" t="str">
            <v>Europe</v>
          </cell>
          <cell r="AR177" t="str">
            <v>single country</v>
          </cell>
          <cell r="AT177" t="str">
            <v>Germany</v>
          </cell>
          <cell r="AU177" t="str">
            <v>single sector</v>
          </cell>
          <cell r="AV177" t="str">
            <v>Residential</v>
          </cell>
          <cell r="AY177">
            <v>2012</v>
          </cell>
          <cell r="BH177" t="str">
            <v>2018-12-31</v>
          </cell>
          <cell r="BI177">
            <v>29160000</v>
          </cell>
          <cell r="BJ177">
            <v>29160000</v>
          </cell>
          <cell r="BK177">
            <v>19504800</v>
          </cell>
          <cell r="BL177">
            <v>19504800</v>
          </cell>
          <cell r="BM177">
            <v>47.96</v>
          </cell>
          <cell r="BN177" t="str">
            <v>Yes</v>
          </cell>
          <cell r="BO177" t="str">
            <v>External</v>
          </cell>
          <cell r="BP177">
            <v>10</v>
          </cell>
          <cell r="BQ177">
            <v>22</v>
          </cell>
          <cell r="BS177">
            <v>0</v>
          </cell>
          <cell r="BV177" t="str">
            <v>No</v>
          </cell>
          <cell r="BW177" t="str">
            <v>Germany</v>
          </cell>
          <cell r="BX177" t="str">
            <v>Residential</v>
          </cell>
          <cell r="BY177">
            <v>100</v>
          </cell>
        </row>
        <row r="178">
          <cell r="A178">
            <v>45</v>
          </cell>
          <cell r="B178" t="str">
            <v>EAST CAPITAL BALTIC PROPERTY FUND AB</v>
          </cell>
          <cell r="C178" t="str">
            <v>EAST CAPITAL REAL ESTATE AS</v>
          </cell>
          <cell r="D178" t="str">
            <v>Tartu mnt. 2</v>
          </cell>
          <cell r="E178" t="str">
            <v>EE-10145</v>
          </cell>
          <cell r="F178" t="str">
            <v>Tallin</v>
          </cell>
          <cell r="G178" t="str">
            <v>Estonia</v>
          </cell>
          <cell r="H178" t="str">
            <v>+3726406650</v>
          </cell>
          <cell r="I178" t="str">
            <v>+3726144540</v>
          </cell>
          <cell r="J178" t="str">
            <v>http://www.eastcapital.com</v>
          </cell>
          <cell r="K178" t="str">
            <v>Madis Raidma</v>
          </cell>
          <cell r="L178" t="str">
            <v>madis.raidman@eastcapital.com</v>
          </cell>
          <cell r="M178" t="str">
            <v>+3726406655</v>
          </cell>
          <cell r="N178" t="str">
            <v>Torbjörn Odenhagen</v>
          </cell>
          <cell r="O178" t="str">
            <v>torbjorn.odenhagen@eastcapital.com</v>
          </cell>
          <cell r="P178" t="str">
            <v>+46 (0) 8 505 885 16</v>
          </cell>
          <cell r="Q178" t="str">
            <v>Sweden</v>
          </cell>
          <cell r="R178" t="str">
            <v>EUR</v>
          </cell>
          <cell r="S178" t="str">
            <v>IFRS</v>
          </cell>
          <cell r="T178" t="str">
            <v>Annually</v>
          </cell>
          <cell r="U178" t="str">
            <v>Annually</v>
          </cell>
          <cell r="V178" t="str">
            <v>RICS</v>
          </cell>
          <cell r="X178" t="str">
            <v>KPMG</v>
          </cell>
          <cell r="Y178" t="str">
            <v>Limited Liability Company</v>
          </cell>
          <cell r="Z178" t="str">
            <v>No</v>
          </cell>
          <cell r="AA178" t="str">
            <v>No</v>
          </cell>
          <cell r="AB178">
            <v>0</v>
          </cell>
          <cell r="AC178" t="str">
            <v>Non-Listed Fund</v>
          </cell>
          <cell r="AD178" t="str">
            <v>Value-added</v>
          </cell>
          <cell r="AE178" t="str">
            <v>finite</v>
          </cell>
          <cell r="AF178" t="str">
            <v>Closed end</v>
          </cell>
          <cell r="AG178">
            <v>15</v>
          </cell>
          <cell r="AH178">
            <v>15</v>
          </cell>
          <cell r="AJ178" t="str">
            <v>None</v>
          </cell>
          <cell r="AK178">
            <v>5</v>
          </cell>
          <cell r="AL178">
            <v>65</v>
          </cell>
          <cell r="AM178" t="str">
            <v>&gt; 60%</v>
          </cell>
          <cell r="AN178" t="str">
            <v>Institutional and Retail</v>
          </cell>
          <cell r="AO178" t="str">
            <v>&gt; 2</v>
          </cell>
          <cell r="AP178" t="str">
            <v>≥ 50%</v>
          </cell>
          <cell r="AQ178" t="str">
            <v>Europe</v>
          </cell>
          <cell r="AR178" t="str">
            <v>multi country</v>
          </cell>
          <cell r="AS178" t="str">
            <v>Central and Eastern Europe(CEE)</v>
          </cell>
          <cell r="AU178" t="str">
            <v>multi sector</v>
          </cell>
          <cell r="AW178">
            <v>55100000</v>
          </cell>
          <cell r="AX178">
            <v>150000000</v>
          </cell>
          <cell r="AY178">
            <v>2005</v>
          </cell>
          <cell r="AZ178">
            <v>2014</v>
          </cell>
          <cell r="BA178" t="str">
            <v>Yes</v>
          </cell>
          <cell r="BB178" t="str">
            <v>Yes</v>
          </cell>
          <cell r="BC178" t="str">
            <v>1+1 years</v>
          </cell>
          <cell r="BH178" t="str">
            <v>2012-03-31</v>
          </cell>
          <cell r="BI178">
            <v>121600000</v>
          </cell>
          <cell r="BJ178">
            <v>121600000</v>
          </cell>
          <cell r="BK178">
            <v>35200000</v>
          </cell>
          <cell r="BL178">
            <v>35200000</v>
          </cell>
          <cell r="BM178">
            <v>81.400000000000006</v>
          </cell>
          <cell r="BN178" t="str">
            <v>No</v>
          </cell>
          <cell r="BO178" t="str">
            <v>External</v>
          </cell>
          <cell r="BP178">
            <v>5</v>
          </cell>
          <cell r="BQ178">
            <v>16</v>
          </cell>
          <cell r="BR178">
            <v>55100000</v>
          </cell>
          <cell r="BS178">
            <v>55100000</v>
          </cell>
          <cell r="BT178">
            <v>55100000</v>
          </cell>
          <cell r="BU178">
            <v>55100000</v>
          </cell>
          <cell r="BW178" t="str">
            <v>Estonia</v>
          </cell>
          <cell r="BX178" t="str">
            <v>Office</v>
          </cell>
          <cell r="BY178">
            <v>17.8</v>
          </cell>
          <cell r="BZ178" t="str">
            <v>Estonia</v>
          </cell>
          <cell r="CA178" t="str">
            <v>Retail</v>
          </cell>
          <cell r="CB178">
            <v>34.700000000000003</v>
          </cell>
          <cell r="CC178" t="str">
            <v>Estonia</v>
          </cell>
          <cell r="CD178" t="str">
            <v>Industrial / Logistics</v>
          </cell>
          <cell r="CE178">
            <v>14.8</v>
          </cell>
          <cell r="CF178" t="str">
            <v>Latvia</v>
          </cell>
          <cell r="CG178" t="str">
            <v>Office</v>
          </cell>
          <cell r="CH178">
            <v>11.2</v>
          </cell>
          <cell r="CI178" t="str">
            <v>Latvia</v>
          </cell>
          <cell r="CJ178" t="str">
            <v>Retail</v>
          </cell>
          <cell r="CK178">
            <v>1.3</v>
          </cell>
          <cell r="CL178" t="str">
            <v>Latvia</v>
          </cell>
          <cell r="CM178" t="str">
            <v>Industrial / Logistics</v>
          </cell>
          <cell r="CN178">
            <v>0.3</v>
          </cell>
          <cell r="CO178" t="str">
            <v>Lithuania</v>
          </cell>
          <cell r="CP178" t="str">
            <v>Office</v>
          </cell>
          <cell r="CQ178">
            <v>7.4</v>
          </cell>
          <cell r="CR178" t="str">
            <v>Lithuania</v>
          </cell>
          <cell r="CS178" t="str">
            <v>Retail</v>
          </cell>
          <cell r="CT178">
            <v>4.8</v>
          </cell>
          <cell r="CU178" t="str">
            <v>Lithuania</v>
          </cell>
          <cell r="CV178" t="str">
            <v>Industrial / Logistics</v>
          </cell>
          <cell r="CW178">
            <v>0.2</v>
          </cell>
        </row>
        <row r="179">
          <cell r="A179">
            <v>630</v>
          </cell>
          <cell r="B179" t="str">
            <v>EAST CAPITAL BALTIC PROPERTY FUND II AB</v>
          </cell>
          <cell r="C179" t="str">
            <v>EAST CAPITAL PRIVATE EQUITY AS</v>
          </cell>
          <cell r="D179" t="str">
            <v>Tartu mnt. 2</v>
          </cell>
          <cell r="E179" t="str">
            <v>EE-10145</v>
          </cell>
          <cell r="F179" t="str">
            <v>Tallin</v>
          </cell>
          <cell r="G179" t="str">
            <v>Estonia</v>
          </cell>
          <cell r="H179" t="str">
            <v>+372 640 6650</v>
          </cell>
          <cell r="I179" t="str">
            <v>+372 614 4540</v>
          </cell>
          <cell r="J179" t="str">
            <v>http://www.eastcapital.com</v>
          </cell>
          <cell r="K179" t="str">
            <v>Tornbjorn Odenhagen</v>
          </cell>
          <cell r="L179" t="str">
            <v>tornbjorn.odenhagen@eastcapital.com</v>
          </cell>
          <cell r="M179" t="str">
            <v>+46 8 505 88 516</v>
          </cell>
          <cell r="N179" t="str">
            <v>Madis Raidma</v>
          </cell>
          <cell r="O179" t="str">
            <v>madis.raidma@eastcapital.com</v>
          </cell>
          <cell r="P179" t="str">
            <v>+372 640 6655</v>
          </cell>
          <cell r="Q179" t="str">
            <v>Luxembourg</v>
          </cell>
          <cell r="R179" t="str">
            <v>EUR</v>
          </cell>
          <cell r="S179" t="str">
            <v>IFRS</v>
          </cell>
          <cell r="T179" t="str">
            <v>Annually</v>
          </cell>
          <cell r="U179" t="str">
            <v>Annually</v>
          </cell>
          <cell r="V179" t="str">
            <v>RICS</v>
          </cell>
          <cell r="X179" t="str">
            <v>KPMG</v>
          </cell>
          <cell r="Y179" t="str">
            <v>SICAV-SIF SCA</v>
          </cell>
          <cell r="Z179" t="str">
            <v>No</v>
          </cell>
          <cell r="AA179" t="str">
            <v>No</v>
          </cell>
          <cell r="AB179">
            <v>0</v>
          </cell>
          <cell r="AC179" t="str">
            <v>Non-Listed Fund</v>
          </cell>
          <cell r="AD179" t="str">
            <v>Value-added</v>
          </cell>
          <cell r="AE179" t="str">
            <v>finite</v>
          </cell>
          <cell r="AF179" t="str">
            <v>Closed end</v>
          </cell>
          <cell r="AG179">
            <v>15</v>
          </cell>
          <cell r="AH179">
            <v>15</v>
          </cell>
          <cell r="AJ179" t="str">
            <v>None</v>
          </cell>
          <cell r="AK179">
            <v>5</v>
          </cell>
          <cell r="AL179">
            <v>65</v>
          </cell>
          <cell r="AN179" t="str">
            <v>Institutional and Retail</v>
          </cell>
          <cell r="AO179" t="str">
            <v>&gt; 2</v>
          </cell>
          <cell r="AP179" t="str">
            <v>≥ 50%</v>
          </cell>
          <cell r="AQ179" t="str">
            <v>Europe</v>
          </cell>
          <cell r="AR179" t="str">
            <v>multi country</v>
          </cell>
          <cell r="AS179" t="str">
            <v>Central and Eastern Europe(CEE)</v>
          </cell>
          <cell r="AU179" t="str">
            <v>multi sector</v>
          </cell>
          <cell r="AW179">
            <v>50000000</v>
          </cell>
          <cell r="AX179">
            <v>150000000</v>
          </cell>
          <cell r="AY179">
            <v>2011</v>
          </cell>
          <cell r="AZ179">
            <v>2019</v>
          </cell>
          <cell r="BA179" t="str">
            <v>Yes</v>
          </cell>
          <cell r="BB179" t="str">
            <v>Yes</v>
          </cell>
          <cell r="BC179" t="str">
            <v>1 year</v>
          </cell>
          <cell r="BH179" t="str">
            <v>2012-12-31</v>
          </cell>
          <cell r="BJ179">
            <v>0</v>
          </cell>
          <cell r="BL179">
            <v>0</v>
          </cell>
          <cell r="BS179">
            <v>0</v>
          </cell>
          <cell r="BV179" t="str">
            <v>Yes</v>
          </cell>
        </row>
        <row r="180">
          <cell r="A180">
            <v>17476</v>
          </cell>
          <cell r="B180" t="str">
            <v>ECE EUROPEAN PRIME SHOPPING CENTRE II A SCSP SIF</v>
          </cell>
          <cell r="C180" t="str">
            <v>ECE REAL ESTATE PARTNERS S.à R.L.</v>
          </cell>
          <cell r="D180" t="str">
            <v>17, rue Edmond Reuter</v>
          </cell>
          <cell r="E180">
            <v>5326</v>
          </cell>
          <cell r="F180" t="str">
            <v>Contern</v>
          </cell>
          <cell r="G180" t="str">
            <v>Luxembourg</v>
          </cell>
          <cell r="H180" t="str">
            <v>+352 26785929 20</v>
          </cell>
          <cell r="N180" t="str">
            <v>José María Ortiz</v>
          </cell>
          <cell r="O180" t="str">
            <v>JoseMaria.Ortiz@ece.com</v>
          </cell>
          <cell r="P180" t="str">
            <v>+352 26785929 20</v>
          </cell>
          <cell r="Q180" t="str">
            <v>Luxembourg</v>
          </cell>
          <cell r="R180" t="str">
            <v>EUR</v>
          </cell>
          <cell r="S180" t="str">
            <v>IFRS</v>
          </cell>
          <cell r="T180" t="str">
            <v>Quarterly</v>
          </cell>
          <cell r="U180" t="str">
            <v>Twice per year</v>
          </cell>
          <cell r="V180" t="str">
            <v>Other - mark to market</v>
          </cell>
          <cell r="W180" t="str">
            <v>INREV NAV</v>
          </cell>
          <cell r="X180" t="str">
            <v>Ernst and Young</v>
          </cell>
          <cell r="Y180" t="str">
            <v>Spezialfonds</v>
          </cell>
          <cell r="Z180" t="str">
            <v>Yes</v>
          </cell>
          <cell r="AA180" t="str">
            <v>Yes</v>
          </cell>
          <cell r="AB180">
            <v>3</v>
          </cell>
          <cell r="AC180" t="str">
            <v>Non-Listed Fund</v>
          </cell>
          <cell r="AD180" t="str">
            <v>Value-added</v>
          </cell>
          <cell r="AE180" t="str">
            <v>finite</v>
          </cell>
          <cell r="AF180" t="str">
            <v>Closed end</v>
          </cell>
          <cell r="AG180">
            <v>12</v>
          </cell>
          <cell r="AH180">
            <v>14</v>
          </cell>
          <cell r="AI180" t="str">
            <v>Gross</v>
          </cell>
          <cell r="AK180">
            <v>5</v>
          </cell>
          <cell r="AL180">
            <v>50</v>
          </cell>
          <cell r="AM180" t="str">
            <v>&gt; 40% - ≤ 60%</v>
          </cell>
          <cell r="AN180" t="str">
            <v>Institutional</v>
          </cell>
          <cell r="AO180" t="str">
            <v>&gt; 2</v>
          </cell>
          <cell r="AP180" t="str">
            <v>≥ 50%</v>
          </cell>
          <cell r="AQ180" t="str">
            <v>Europe</v>
          </cell>
          <cell r="AR180" t="str">
            <v>multi country</v>
          </cell>
          <cell r="AS180" t="str">
            <v>Europe</v>
          </cell>
          <cell r="AU180" t="str">
            <v>single sector</v>
          </cell>
          <cell r="AV180" t="str">
            <v>Retail</v>
          </cell>
          <cell r="AW180">
            <v>528700000</v>
          </cell>
          <cell r="AY180">
            <v>2014</v>
          </cell>
          <cell r="AZ180">
            <v>2024</v>
          </cell>
          <cell r="BA180" t="str">
            <v>Yes</v>
          </cell>
          <cell r="BB180" t="str">
            <v>Yes</v>
          </cell>
          <cell r="BC180" t="str">
            <v>1+1+1 years</v>
          </cell>
          <cell r="BD180" t="str">
            <v>No</v>
          </cell>
          <cell r="BE180" t="str">
            <v>≥ 60%</v>
          </cell>
          <cell r="BF180" t="str">
            <v>≤ 15%</v>
          </cell>
          <cell r="BG180" t="str">
            <v>≤ 5%</v>
          </cell>
          <cell r="BH180" t="str">
            <v>2020-09-30</v>
          </cell>
          <cell r="BI180">
            <v>201391257</v>
          </cell>
          <cell r="BJ180">
            <v>201391257</v>
          </cell>
          <cell r="BK180">
            <v>189551144</v>
          </cell>
          <cell r="BL180">
            <v>189551144</v>
          </cell>
          <cell r="BM180">
            <v>58.77</v>
          </cell>
          <cell r="BN180" t="str">
            <v>No</v>
          </cell>
          <cell r="BO180" t="str">
            <v>Internal</v>
          </cell>
          <cell r="BP180">
            <v>5</v>
          </cell>
          <cell r="BQ180">
            <v>11</v>
          </cell>
          <cell r="BR180">
            <v>217500000</v>
          </cell>
          <cell r="BS180">
            <v>217500000</v>
          </cell>
          <cell r="BT180">
            <v>186387454</v>
          </cell>
          <cell r="BU180">
            <v>186387454</v>
          </cell>
          <cell r="BV180" t="str">
            <v>No</v>
          </cell>
          <cell r="BW180" t="str">
            <v>Hungary</v>
          </cell>
          <cell r="BX180" t="str">
            <v>Retail</v>
          </cell>
          <cell r="BY180">
            <v>7</v>
          </cell>
          <cell r="BZ180" t="str">
            <v>Italy</v>
          </cell>
          <cell r="CA180" t="str">
            <v>Retail</v>
          </cell>
          <cell r="CB180">
            <v>16</v>
          </cell>
          <cell r="CC180" t="str">
            <v>Spain</v>
          </cell>
          <cell r="CD180" t="str">
            <v>Retail</v>
          </cell>
          <cell r="CE180">
            <v>17</v>
          </cell>
          <cell r="CF180" t="str">
            <v>Poland</v>
          </cell>
          <cell r="CG180" t="str">
            <v>Retail</v>
          </cell>
          <cell r="CH180">
            <v>25</v>
          </cell>
          <cell r="CI180" t="str">
            <v>Germany</v>
          </cell>
          <cell r="CJ180" t="str">
            <v>Retail</v>
          </cell>
          <cell r="CK180">
            <v>35</v>
          </cell>
        </row>
        <row r="181">
          <cell r="A181">
            <v>17477</v>
          </cell>
          <cell r="B181" t="str">
            <v>ECE EUROPEAN PRIME SHOPPING CENTRE II B, SCSP</v>
          </cell>
          <cell r="C181" t="str">
            <v>ECE REAL ESTATE PARTNERS S.à R.L.</v>
          </cell>
          <cell r="D181" t="str">
            <v>17, rue Edmond Reuter</v>
          </cell>
          <cell r="E181">
            <v>5326</v>
          </cell>
          <cell r="F181" t="str">
            <v>Contern</v>
          </cell>
          <cell r="G181" t="str">
            <v>Luxembourg</v>
          </cell>
          <cell r="H181" t="str">
            <v>+352 26785929 20</v>
          </cell>
          <cell r="N181" t="str">
            <v>José María Ortiz</v>
          </cell>
          <cell r="O181" t="str">
            <v>josemaria.ortiz@ece.com</v>
          </cell>
          <cell r="P181" t="str">
            <v>+352 26785929 20</v>
          </cell>
          <cell r="Q181" t="str">
            <v>Luxembourg</v>
          </cell>
          <cell r="R181" t="str">
            <v>EUR</v>
          </cell>
          <cell r="S181" t="str">
            <v>IFRS</v>
          </cell>
          <cell r="T181" t="str">
            <v>Quarterly</v>
          </cell>
          <cell r="U181" t="str">
            <v>Twice per year</v>
          </cell>
          <cell r="V181" t="str">
            <v>Other - mark to market</v>
          </cell>
          <cell r="W181" t="str">
            <v>INREV NAV</v>
          </cell>
          <cell r="X181" t="str">
            <v>Ernst and Young</v>
          </cell>
          <cell r="Y181" t="str">
            <v>SCSp</v>
          </cell>
          <cell r="Z181" t="str">
            <v>Yes</v>
          </cell>
          <cell r="AA181" t="str">
            <v>Yes</v>
          </cell>
          <cell r="AB181">
            <v>3</v>
          </cell>
          <cell r="AC181" t="str">
            <v>Non-Listed Fund</v>
          </cell>
          <cell r="AD181" t="str">
            <v>Value-added</v>
          </cell>
          <cell r="AE181" t="str">
            <v>finite</v>
          </cell>
          <cell r="AF181" t="str">
            <v>Closed end</v>
          </cell>
          <cell r="AG181">
            <v>12</v>
          </cell>
          <cell r="AH181">
            <v>14</v>
          </cell>
          <cell r="AI181" t="str">
            <v>Gross</v>
          </cell>
          <cell r="AK181">
            <v>5</v>
          </cell>
          <cell r="AL181">
            <v>50</v>
          </cell>
          <cell r="AM181" t="str">
            <v>&gt; 40% - ≤ 60%</v>
          </cell>
          <cell r="AN181" t="str">
            <v>Institutional</v>
          </cell>
          <cell r="AO181" t="str">
            <v>&gt; 2</v>
          </cell>
          <cell r="AP181" t="str">
            <v>≥ 50%</v>
          </cell>
          <cell r="AQ181" t="str">
            <v>Europe</v>
          </cell>
          <cell r="AR181" t="str">
            <v>multi country</v>
          </cell>
          <cell r="AS181" t="str">
            <v>Europe</v>
          </cell>
          <cell r="AU181" t="str">
            <v>single sector</v>
          </cell>
          <cell r="AV181" t="str">
            <v>Retail</v>
          </cell>
          <cell r="AW181">
            <v>528700000</v>
          </cell>
          <cell r="AY181">
            <v>2014</v>
          </cell>
          <cell r="AZ181">
            <v>2024</v>
          </cell>
          <cell r="BA181" t="str">
            <v>Yes</v>
          </cell>
          <cell r="BB181" t="str">
            <v>Yes</v>
          </cell>
          <cell r="BC181" t="str">
            <v>1+1+1 years</v>
          </cell>
          <cell r="BD181" t="str">
            <v>No</v>
          </cell>
          <cell r="BE181" t="str">
            <v>≥ 60%</v>
          </cell>
          <cell r="BF181" t="str">
            <v>≤ 15%</v>
          </cell>
          <cell r="BG181" t="str">
            <v>≤ 5%</v>
          </cell>
          <cell r="BH181" t="str">
            <v>2020-09-30</v>
          </cell>
          <cell r="BI181">
            <v>203756491</v>
          </cell>
          <cell r="BJ181">
            <v>203756491</v>
          </cell>
          <cell r="BK181">
            <v>191814286</v>
          </cell>
          <cell r="BL181">
            <v>191814286</v>
          </cell>
          <cell r="BM181">
            <v>58.77</v>
          </cell>
          <cell r="BN181" t="str">
            <v>No</v>
          </cell>
          <cell r="BO181" t="str">
            <v>Internal</v>
          </cell>
          <cell r="BP181">
            <v>4</v>
          </cell>
          <cell r="BQ181">
            <v>11</v>
          </cell>
          <cell r="BR181">
            <v>220000000</v>
          </cell>
          <cell r="BS181">
            <v>220000000</v>
          </cell>
          <cell r="BT181">
            <v>188529838</v>
          </cell>
          <cell r="BU181">
            <v>188529838</v>
          </cell>
          <cell r="BV181" t="str">
            <v>No</v>
          </cell>
          <cell r="BW181" t="str">
            <v>Spain</v>
          </cell>
          <cell r="BX181" t="str">
            <v>Retail</v>
          </cell>
          <cell r="BY181">
            <v>17</v>
          </cell>
          <cell r="BZ181" t="str">
            <v>Hungary</v>
          </cell>
          <cell r="CA181" t="str">
            <v>Retail</v>
          </cell>
          <cell r="CB181">
            <v>7</v>
          </cell>
          <cell r="CC181" t="str">
            <v>Poland</v>
          </cell>
          <cell r="CD181" t="str">
            <v>Retail</v>
          </cell>
          <cell r="CE181">
            <v>25</v>
          </cell>
          <cell r="CF181" t="str">
            <v>Italy</v>
          </cell>
          <cell r="CG181" t="str">
            <v>Retail</v>
          </cell>
          <cell r="CH181">
            <v>16</v>
          </cell>
          <cell r="CI181" t="str">
            <v>Germany</v>
          </cell>
          <cell r="CJ181" t="str">
            <v>Retail</v>
          </cell>
          <cell r="CK181">
            <v>35</v>
          </cell>
        </row>
        <row r="182">
          <cell r="A182">
            <v>17479</v>
          </cell>
          <cell r="B182" t="str">
            <v>ECE EUROPEAN PRIME SHOPPING CENTRE II C SCSP SIF</v>
          </cell>
          <cell r="C182" t="str">
            <v>ECE REAL ESTATE PARTNERS S.à R.L.</v>
          </cell>
          <cell r="D182" t="str">
            <v>17, rue Edmond Reuter</v>
          </cell>
          <cell r="E182">
            <v>5326</v>
          </cell>
          <cell r="F182" t="str">
            <v>Contern</v>
          </cell>
          <cell r="G182" t="str">
            <v>Luxembourg</v>
          </cell>
          <cell r="H182" t="str">
            <v>+352 26785929 20</v>
          </cell>
          <cell r="N182" t="str">
            <v>José María Ortiz</v>
          </cell>
          <cell r="O182" t="str">
            <v>josemaria.ortiz@ece.com</v>
          </cell>
          <cell r="P182" t="str">
            <v>+352 26785929 20</v>
          </cell>
          <cell r="Q182" t="str">
            <v>Luxembourg</v>
          </cell>
          <cell r="R182" t="str">
            <v>EUR</v>
          </cell>
          <cell r="S182" t="str">
            <v>IFRS</v>
          </cell>
          <cell r="T182" t="str">
            <v>Quarterly</v>
          </cell>
          <cell r="U182" t="str">
            <v>Twice per year</v>
          </cell>
          <cell r="V182" t="str">
            <v>Other - mark to market</v>
          </cell>
          <cell r="W182" t="str">
            <v>INREV NAV</v>
          </cell>
          <cell r="X182" t="str">
            <v>Ernst and Young</v>
          </cell>
          <cell r="Y182" t="str">
            <v>Spezialfonds</v>
          </cell>
          <cell r="Z182" t="str">
            <v>Yes</v>
          </cell>
          <cell r="AA182" t="str">
            <v>Yes</v>
          </cell>
          <cell r="AB182">
            <v>3</v>
          </cell>
          <cell r="AC182" t="str">
            <v>Non-Listed Fund</v>
          </cell>
          <cell r="AD182" t="str">
            <v>Value-added</v>
          </cell>
          <cell r="AE182" t="str">
            <v>finite</v>
          </cell>
          <cell r="AF182" t="str">
            <v>Closed end</v>
          </cell>
          <cell r="AG182">
            <v>12</v>
          </cell>
          <cell r="AH182">
            <v>14</v>
          </cell>
          <cell r="AI182" t="str">
            <v>Gross</v>
          </cell>
          <cell r="AK182">
            <v>5</v>
          </cell>
          <cell r="AL182">
            <v>50</v>
          </cell>
          <cell r="AM182" t="str">
            <v>&gt; 40% - ≤ 60%</v>
          </cell>
          <cell r="AN182" t="str">
            <v>Institutional</v>
          </cell>
          <cell r="AO182" t="str">
            <v>&gt; 2</v>
          </cell>
          <cell r="AP182" t="str">
            <v>≥ 50%</v>
          </cell>
          <cell r="AQ182" t="str">
            <v>Europe</v>
          </cell>
          <cell r="AR182" t="str">
            <v>multi country</v>
          </cell>
          <cell r="AS182" t="str">
            <v>Europe</v>
          </cell>
          <cell r="AU182" t="str">
            <v>single sector</v>
          </cell>
          <cell r="AV182" t="str">
            <v>Retail</v>
          </cell>
          <cell r="AW182">
            <v>528700000</v>
          </cell>
          <cell r="AY182">
            <v>2014</v>
          </cell>
          <cell r="AZ182">
            <v>2024</v>
          </cell>
          <cell r="BA182" t="str">
            <v>Yes</v>
          </cell>
          <cell r="BB182" t="str">
            <v>Yes</v>
          </cell>
          <cell r="BD182" t="str">
            <v>No</v>
          </cell>
          <cell r="BE182" t="str">
            <v>≥ 60%</v>
          </cell>
          <cell r="BF182" t="str">
            <v>≤ 15%</v>
          </cell>
          <cell r="BG182" t="str">
            <v>≤ 5%</v>
          </cell>
          <cell r="BH182" t="str">
            <v>2020-09-30</v>
          </cell>
          <cell r="BI182">
            <v>382507229</v>
          </cell>
          <cell r="BJ182">
            <v>382507229</v>
          </cell>
          <cell r="BK182">
            <v>361010998</v>
          </cell>
          <cell r="BL182">
            <v>361010998</v>
          </cell>
          <cell r="BM182">
            <v>58.77</v>
          </cell>
          <cell r="BN182" t="str">
            <v>No</v>
          </cell>
          <cell r="BO182" t="str">
            <v>Internal</v>
          </cell>
          <cell r="BP182">
            <v>6</v>
          </cell>
          <cell r="BQ182">
            <v>11</v>
          </cell>
          <cell r="BR182">
            <v>412500000</v>
          </cell>
          <cell r="BS182">
            <v>412500000</v>
          </cell>
          <cell r="BT182">
            <v>353473404</v>
          </cell>
          <cell r="BU182">
            <v>353473404</v>
          </cell>
          <cell r="BV182" t="str">
            <v>No</v>
          </cell>
          <cell r="BW182" t="str">
            <v>Spain</v>
          </cell>
          <cell r="BX182" t="str">
            <v>Retail</v>
          </cell>
          <cell r="BY182">
            <v>17</v>
          </cell>
          <cell r="BZ182" t="str">
            <v>Hungary</v>
          </cell>
          <cell r="CA182" t="str">
            <v>Retail</v>
          </cell>
          <cell r="CB182">
            <v>6</v>
          </cell>
          <cell r="CC182" t="str">
            <v>Poland</v>
          </cell>
          <cell r="CD182" t="str">
            <v>Retail</v>
          </cell>
          <cell r="CE182">
            <v>26</v>
          </cell>
          <cell r="CF182" t="str">
            <v>Italy</v>
          </cell>
          <cell r="CG182" t="str">
            <v>Retail</v>
          </cell>
          <cell r="CH182">
            <v>16</v>
          </cell>
          <cell r="CI182" t="str">
            <v>Germany</v>
          </cell>
          <cell r="CJ182" t="str">
            <v>Retail</v>
          </cell>
          <cell r="CK182">
            <v>35</v>
          </cell>
        </row>
        <row r="183">
          <cell r="A183">
            <v>16082</v>
          </cell>
          <cell r="B183" t="str">
            <v>ECE EUROPEAN PRIME SHOPPING CENTRE SCS SICAF SIF A</v>
          </cell>
          <cell r="C183" t="str">
            <v>ECE EUROPEAN PRIME SHOPPING CENTER GP FUND A  S.à R.L.</v>
          </cell>
          <cell r="D183" t="str">
            <v>17, rue Edmond Reuter</v>
          </cell>
          <cell r="E183" t="str">
            <v xml:space="preserve">L5326				</v>
          </cell>
          <cell r="F183" t="str">
            <v xml:space="preserve">Contern						</v>
          </cell>
          <cell r="G183" t="str">
            <v>Luxembourg</v>
          </cell>
          <cell r="H183" t="str">
            <v xml:space="preserve">26785929				</v>
          </cell>
          <cell r="I183">
            <v>26785979</v>
          </cell>
          <cell r="J183" t="str">
            <v>https://ece.com</v>
          </cell>
          <cell r="K183" t="str">
            <v>José María Ortiz</v>
          </cell>
          <cell r="L183" t="str">
            <v>josemaria.ortiz@ece.com</v>
          </cell>
          <cell r="M183">
            <v>2678592920</v>
          </cell>
          <cell r="N183" t="str">
            <v xml:space="preserve">José María Ortiz								</v>
          </cell>
          <cell r="O183" t="str">
            <v>josemaria.ortiz@ece.com</v>
          </cell>
          <cell r="P183">
            <v>2678592920</v>
          </cell>
          <cell r="Q183" t="str">
            <v>Luxembourg</v>
          </cell>
          <cell r="R183" t="str">
            <v>EUR</v>
          </cell>
          <cell r="S183" t="str">
            <v>IFRS</v>
          </cell>
          <cell r="T183" t="str">
            <v>Quarterly</v>
          </cell>
          <cell r="U183" t="str">
            <v>Twice per year</v>
          </cell>
          <cell r="V183" t="str">
            <v>RICS</v>
          </cell>
          <cell r="W183" t="str">
            <v>INREV NAV</v>
          </cell>
          <cell r="X183" t="str">
            <v>Ernst &amp; Young</v>
          </cell>
          <cell r="Y183" t="str">
            <v>SCS</v>
          </cell>
          <cell r="Z183" t="str">
            <v>Yes</v>
          </cell>
          <cell r="AA183" t="str">
            <v>Yes</v>
          </cell>
          <cell r="AB183">
            <v>6</v>
          </cell>
          <cell r="AC183" t="str">
            <v>Non-Listed Fund</v>
          </cell>
          <cell r="AD183" t="str">
            <v>Value-added</v>
          </cell>
          <cell r="AE183" t="str">
            <v>finite</v>
          </cell>
          <cell r="AF183" t="str">
            <v>Closed end</v>
          </cell>
          <cell r="AG183">
            <v>10</v>
          </cell>
          <cell r="AH183">
            <v>12</v>
          </cell>
          <cell r="AI183" t="str">
            <v>Net</v>
          </cell>
          <cell r="AK183">
            <v>5</v>
          </cell>
          <cell r="AL183">
            <v>50</v>
          </cell>
          <cell r="AM183" t="str">
            <v>&gt; 40% - ≤ 60%</v>
          </cell>
          <cell r="AN183" t="str">
            <v>Institutional</v>
          </cell>
          <cell r="AO183" t="str">
            <v>&gt; 2</v>
          </cell>
          <cell r="AP183" t="str">
            <v>≥ 50%</v>
          </cell>
          <cell r="AQ183" t="str">
            <v>Europe</v>
          </cell>
          <cell r="AR183" t="str">
            <v>multi country</v>
          </cell>
          <cell r="AS183" t="str">
            <v>Europe</v>
          </cell>
          <cell r="AU183" t="str">
            <v>single sector</v>
          </cell>
          <cell r="AV183" t="str">
            <v>Retail</v>
          </cell>
          <cell r="AW183">
            <v>250000000</v>
          </cell>
          <cell r="AX183">
            <v>500000000</v>
          </cell>
          <cell r="AY183">
            <v>2011</v>
          </cell>
          <cell r="AZ183">
            <v>2020</v>
          </cell>
          <cell r="BA183" t="str">
            <v>Yes</v>
          </cell>
          <cell r="BB183" t="str">
            <v>Yes</v>
          </cell>
          <cell r="BC183" t="str">
            <v>1+1+1 years</v>
          </cell>
          <cell r="BD183" t="str">
            <v>No</v>
          </cell>
          <cell r="BE183" t="str">
            <v>&lt; 60%</v>
          </cell>
          <cell r="BF183" t="str">
            <v>&gt; 40%</v>
          </cell>
          <cell r="BG183" t="str">
            <v>&gt; 5 - ≤ 25%</v>
          </cell>
          <cell r="BH183" t="str">
            <v>2020-09-30</v>
          </cell>
          <cell r="BI183">
            <v>46368465</v>
          </cell>
          <cell r="BJ183">
            <v>46368465</v>
          </cell>
          <cell r="BK183">
            <v>32976136</v>
          </cell>
          <cell r="BL183">
            <v>32976136</v>
          </cell>
          <cell r="BM183">
            <v>63</v>
          </cell>
          <cell r="BN183" t="str">
            <v>No</v>
          </cell>
          <cell r="BO183" t="str">
            <v>External</v>
          </cell>
          <cell r="BP183">
            <v>4</v>
          </cell>
          <cell r="BQ183">
            <v>2</v>
          </cell>
          <cell r="BR183">
            <v>300000000</v>
          </cell>
          <cell r="BS183">
            <v>300000000</v>
          </cell>
          <cell r="BT183">
            <v>300000000</v>
          </cell>
          <cell r="BU183">
            <v>300000000</v>
          </cell>
          <cell r="BV183" t="str">
            <v>No</v>
          </cell>
          <cell r="BW183" t="str">
            <v>Poland</v>
          </cell>
          <cell r="BX183" t="str">
            <v>Retail</v>
          </cell>
          <cell r="BY183">
            <v>39</v>
          </cell>
          <cell r="BZ183" t="str">
            <v>Austria</v>
          </cell>
          <cell r="CA183" t="str">
            <v>Retail</v>
          </cell>
          <cell r="CB183">
            <v>61</v>
          </cell>
        </row>
        <row r="184">
          <cell r="A184">
            <v>16680</v>
          </cell>
          <cell r="B184" t="str">
            <v>ECE EUROPEAN PRIME SHOPPING CENTRE SCS SICAF SIF B</v>
          </cell>
          <cell r="C184" t="str">
            <v>ECE EUROPEAN PRIME SHOPPING CENTER GP FUND B  S.à R.L.</v>
          </cell>
          <cell r="D184" t="str">
            <v>17, rue Edmond Reuter</v>
          </cell>
          <cell r="E184" t="str">
            <v>L5326</v>
          </cell>
          <cell r="F184" t="str">
            <v xml:space="preserve">Contern	</v>
          </cell>
          <cell r="G184" t="str">
            <v>Luxembourg</v>
          </cell>
          <cell r="H184" t="str">
            <v xml:space="preserve">26785929	</v>
          </cell>
          <cell r="I184">
            <v>26785979</v>
          </cell>
          <cell r="J184" t="str">
            <v>https://ece.com</v>
          </cell>
          <cell r="K184" t="str">
            <v>José María Ortiz</v>
          </cell>
          <cell r="L184" t="str">
            <v>josemaria.ortiz@ece.com</v>
          </cell>
          <cell r="M184">
            <v>2678592920</v>
          </cell>
          <cell r="N184" t="str">
            <v xml:space="preserve">José María Ortiz						</v>
          </cell>
          <cell r="O184" t="str">
            <v>josemaria.ortiz@ece.com</v>
          </cell>
          <cell r="P184">
            <v>2678592920</v>
          </cell>
          <cell r="Q184" t="str">
            <v>Luxembourg</v>
          </cell>
          <cell r="R184" t="str">
            <v>EUR</v>
          </cell>
          <cell r="S184" t="str">
            <v>IFRS</v>
          </cell>
          <cell r="T184" t="str">
            <v>Quarterly</v>
          </cell>
          <cell r="U184" t="str">
            <v>Twice per year</v>
          </cell>
          <cell r="V184" t="str">
            <v>RICS</v>
          </cell>
          <cell r="W184" t="str">
            <v>INREV NAV</v>
          </cell>
          <cell r="X184" t="str">
            <v>Ernst&amp;Young</v>
          </cell>
          <cell r="Y184" t="str">
            <v>SCS</v>
          </cell>
          <cell r="Z184" t="str">
            <v>Yes</v>
          </cell>
          <cell r="AA184" t="str">
            <v>Yes</v>
          </cell>
          <cell r="AB184">
            <v>6</v>
          </cell>
          <cell r="AC184" t="str">
            <v>Non-Listed Fund</v>
          </cell>
          <cell r="AD184" t="str">
            <v>Value-added</v>
          </cell>
          <cell r="AE184" t="str">
            <v>finite</v>
          </cell>
          <cell r="AF184" t="str">
            <v>Closed end</v>
          </cell>
          <cell r="AG184">
            <v>10</v>
          </cell>
          <cell r="AH184">
            <v>12</v>
          </cell>
          <cell r="AI184" t="str">
            <v>Net</v>
          </cell>
          <cell r="AK184">
            <v>5</v>
          </cell>
          <cell r="AL184">
            <v>50</v>
          </cell>
          <cell r="AN184" t="str">
            <v>Institutional</v>
          </cell>
          <cell r="AO184" t="str">
            <v>&gt; 2</v>
          </cell>
          <cell r="AP184" t="str">
            <v>≥ 50%</v>
          </cell>
          <cell r="AQ184" t="str">
            <v>Europe</v>
          </cell>
          <cell r="AR184" t="str">
            <v>multi country</v>
          </cell>
          <cell r="AS184" t="str">
            <v>Europe</v>
          </cell>
          <cell r="AU184" t="str">
            <v>single sector</v>
          </cell>
          <cell r="AV184" t="str">
            <v>Retail</v>
          </cell>
          <cell r="AW184">
            <v>250000000</v>
          </cell>
          <cell r="AX184">
            <v>500000000</v>
          </cell>
          <cell r="AY184">
            <v>2011</v>
          </cell>
          <cell r="AZ184">
            <v>2020</v>
          </cell>
          <cell r="BA184" t="str">
            <v>Yes</v>
          </cell>
          <cell r="BB184" t="str">
            <v>Yes</v>
          </cell>
          <cell r="BC184" t="str">
            <v>1+1+1 years</v>
          </cell>
          <cell r="BD184" t="str">
            <v>No</v>
          </cell>
          <cell r="BE184" t="str">
            <v>≥ 60%</v>
          </cell>
          <cell r="BF184" t="str">
            <v>&gt; 40%</v>
          </cell>
          <cell r="BG184" t="str">
            <v>&gt; 5 - ≤ 25%</v>
          </cell>
          <cell r="BH184" t="str">
            <v>2020-09-30</v>
          </cell>
          <cell r="BI184">
            <v>42312678</v>
          </cell>
          <cell r="BJ184">
            <v>42312678</v>
          </cell>
          <cell r="BK184">
            <v>30425147</v>
          </cell>
          <cell r="BL184">
            <v>30425147</v>
          </cell>
          <cell r="BM184">
            <v>63</v>
          </cell>
          <cell r="BN184" t="str">
            <v>No</v>
          </cell>
          <cell r="BO184" t="str">
            <v>External</v>
          </cell>
          <cell r="BP184">
            <v>14</v>
          </cell>
          <cell r="BQ184">
            <v>2</v>
          </cell>
          <cell r="BR184">
            <v>275500000</v>
          </cell>
          <cell r="BS184">
            <v>275500000</v>
          </cell>
          <cell r="BT184">
            <v>275500000</v>
          </cell>
          <cell r="BU184">
            <v>275500000</v>
          </cell>
          <cell r="BV184" t="str">
            <v>No</v>
          </cell>
          <cell r="BW184" t="str">
            <v>Poland</v>
          </cell>
          <cell r="BX184" t="str">
            <v>Other</v>
          </cell>
          <cell r="BY184">
            <v>39</v>
          </cell>
          <cell r="BZ184" t="str">
            <v>Austria</v>
          </cell>
          <cell r="CA184" t="str">
            <v>Other</v>
          </cell>
          <cell r="CB184">
            <v>61</v>
          </cell>
        </row>
        <row r="185">
          <cell r="A185">
            <v>16681</v>
          </cell>
          <cell r="B185" t="str">
            <v>ECE EUROPEAN PRIME SHOPPING CENTRE SCS SICAF SIF C</v>
          </cell>
          <cell r="C185" t="str">
            <v>ECE EUROPEAN PRIME SHOPPING CENTER GP FUND C  S.à R.L.</v>
          </cell>
          <cell r="D185" t="str">
            <v>17, rue Edmond Reuter</v>
          </cell>
          <cell r="E185" t="str">
            <v>L5326</v>
          </cell>
          <cell r="F185" t="str">
            <v xml:space="preserve">Contern	</v>
          </cell>
          <cell r="G185" t="str">
            <v>Luxembourg</v>
          </cell>
          <cell r="H185" t="str">
            <v xml:space="preserve">26785929	</v>
          </cell>
          <cell r="I185">
            <v>26785979</v>
          </cell>
          <cell r="J185" t="str">
            <v>https://ece.com</v>
          </cell>
          <cell r="K185" t="str">
            <v>José María Ortiz</v>
          </cell>
          <cell r="L185" t="str">
            <v>josemaria.ortiz@ece.com</v>
          </cell>
          <cell r="M185">
            <v>2678592920</v>
          </cell>
          <cell r="N185" t="str">
            <v xml:space="preserve">José María Ortiz	</v>
          </cell>
          <cell r="O185" t="str">
            <v>josemaria.ortiz@ece.com</v>
          </cell>
          <cell r="P185">
            <v>2678592920</v>
          </cell>
          <cell r="Q185" t="str">
            <v>Luxembourg</v>
          </cell>
          <cell r="R185" t="str">
            <v>EUR</v>
          </cell>
          <cell r="S185" t="str">
            <v>IFRS</v>
          </cell>
          <cell r="T185" t="str">
            <v>Quarterly</v>
          </cell>
          <cell r="U185" t="str">
            <v>Twice per year</v>
          </cell>
          <cell r="V185" t="str">
            <v>RICS</v>
          </cell>
          <cell r="W185" t="str">
            <v>INREV NAV</v>
          </cell>
          <cell r="X185" t="str">
            <v>Ernst &amp; Young</v>
          </cell>
          <cell r="Y185" t="str">
            <v>SCS</v>
          </cell>
          <cell r="Z185" t="str">
            <v>Yes</v>
          </cell>
          <cell r="AA185" t="str">
            <v>Yes</v>
          </cell>
          <cell r="AB185">
            <v>6</v>
          </cell>
          <cell r="AC185" t="str">
            <v>Non-Listed Fund</v>
          </cell>
          <cell r="AD185" t="str">
            <v>Value-added</v>
          </cell>
          <cell r="AE185" t="str">
            <v>finite</v>
          </cell>
          <cell r="AF185" t="str">
            <v>Closed end</v>
          </cell>
          <cell r="AG185">
            <v>10</v>
          </cell>
          <cell r="AH185">
            <v>12</v>
          </cell>
          <cell r="AI185" t="str">
            <v>Net</v>
          </cell>
          <cell r="AK185">
            <v>5</v>
          </cell>
          <cell r="AL185">
            <v>50</v>
          </cell>
          <cell r="AM185" t="str">
            <v>&gt; 40% - ≤ 60%</v>
          </cell>
          <cell r="AN185" t="str">
            <v>Institutional</v>
          </cell>
          <cell r="AO185" t="str">
            <v>&gt; 2</v>
          </cell>
          <cell r="AP185" t="str">
            <v>≥ 50%</v>
          </cell>
          <cell r="AQ185" t="str">
            <v>Europe</v>
          </cell>
          <cell r="AR185" t="str">
            <v>multi country</v>
          </cell>
          <cell r="AS185" t="str">
            <v>Europe</v>
          </cell>
          <cell r="AU185" t="str">
            <v>single sector</v>
          </cell>
          <cell r="AV185" t="str">
            <v>Retail</v>
          </cell>
          <cell r="AW185">
            <v>250000000</v>
          </cell>
          <cell r="AX185">
            <v>500000000</v>
          </cell>
          <cell r="AY185">
            <v>2011</v>
          </cell>
          <cell r="AZ185">
            <v>2020</v>
          </cell>
          <cell r="BA185" t="str">
            <v>Yes</v>
          </cell>
          <cell r="BB185" t="str">
            <v>Yes</v>
          </cell>
          <cell r="BC185" t="str">
            <v>1+1+1 years</v>
          </cell>
          <cell r="BD185" t="str">
            <v>No</v>
          </cell>
          <cell r="BE185" t="str">
            <v>&lt; 60%</v>
          </cell>
          <cell r="BF185" t="str">
            <v>&gt; 40%</v>
          </cell>
          <cell r="BG185" t="str">
            <v>&gt; 5 - ≤ 25%</v>
          </cell>
          <cell r="BH185" t="str">
            <v>2020-09-30</v>
          </cell>
          <cell r="BI185">
            <v>29734217</v>
          </cell>
          <cell r="BJ185">
            <v>29734217</v>
          </cell>
          <cell r="BK185">
            <v>21059780</v>
          </cell>
          <cell r="BL185">
            <v>21059780</v>
          </cell>
          <cell r="BM185">
            <v>63</v>
          </cell>
          <cell r="BN185" t="str">
            <v>No</v>
          </cell>
          <cell r="BO185" t="str">
            <v>Internal</v>
          </cell>
          <cell r="BP185">
            <v>4</v>
          </cell>
          <cell r="BQ185">
            <v>2</v>
          </cell>
          <cell r="BR185">
            <v>200000000</v>
          </cell>
          <cell r="BS185">
            <v>200000000</v>
          </cell>
          <cell r="BT185">
            <v>200000000</v>
          </cell>
          <cell r="BU185">
            <v>200000000</v>
          </cell>
          <cell r="BV185" t="str">
            <v>No</v>
          </cell>
          <cell r="BW185" t="str">
            <v>Poland</v>
          </cell>
          <cell r="BX185" t="str">
            <v>Retail</v>
          </cell>
          <cell r="BY185">
            <v>39</v>
          </cell>
          <cell r="BZ185" t="str">
            <v>Austria</v>
          </cell>
          <cell r="CA185" t="str">
            <v>Retail</v>
          </cell>
          <cell r="CB185">
            <v>61</v>
          </cell>
        </row>
        <row r="186">
          <cell r="A186">
            <v>19659</v>
          </cell>
          <cell r="B186" t="str">
            <v>ECE PREFERRED EQUITY FUND SCSP</v>
          </cell>
          <cell r="C186" t="str">
            <v>ECE REAL ESTATE PARTNERS S.à R.L.</v>
          </cell>
          <cell r="D186" t="str">
            <v>19, rue Edmond Reuter</v>
          </cell>
          <cell r="E186">
            <v>5326</v>
          </cell>
          <cell r="F186" t="str">
            <v>Contern</v>
          </cell>
          <cell r="G186" t="str">
            <v>Luxembourg</v>
          </cell>
          <cell r="J186" t="str">
            <v>https://www.ecerep.com/</v>
          </cell>
          <cell r="K186" t="str">
            <v>José María Ortiz</v>
          </cell>
          <cell r="L186" t="str">
            <v>JoseMaria.Ortiz@ece.com</v>
          </cell>
          <cell r="Q186" t="str">
            <v>Luxembourg</v>
          </cell>
          <cell r="R186" t="str">
            <v>EUR</v>
          </cell>
          <cell r="S186" t="str">
            <v>Local GAAP</v>
          </cell>
          <cell r="T186" t="str">
            <v>Quarterly</v>
          </cell>
          <cell r="U186" t="str">
            <v>Quarterly</v>
          </cell>
          <cell r="V186" t="str">
            <v>RICS</v>
          </cell>
          <cell r="W186" t="str">
            <v>INREV NAV</v>
          </cell>
          <cell r="X186" t="str">
            <v>BDO</v>
          </cell>
          <cell r="Y186" t="str">
            <v>Investment Fund</v>
          </cell>
          <cell r="Z186" t="str">
            <v>Yes</v>
          </cell>
          <cell r="AB186">
            <v>0</v>
          </cell>
          <cell r="AC186" t="str">
            <v>Non-Listed Fund</v>
          </cell>
          <cell r="AD186" t="str">
            <v>Value-added</v>
          </cell>
          <cell r="AE186" t="str">
            <v>finite</v>
          </cell>
          <cell r="AF186" t="str">
            <v>Closed end</v>
          </cell>
          <cell r="AM186" t="str">
            <v>&gt; 40% - ≤ 60%</v>
          </cell>
          <cell r="AN186" t="str">
            <v>Institutional</v>
          </cell>
          <cell r="AO186" t="str">
            <v>&gt; 2</v>
          </cell>
          <cell r="AP186" t="str">
            <v>≥ 50%</v>
          </cell>
          <cell r="AQ186" t="str">
            <v>Europe</v>
          </cell>
          <cell r="AR186" t="str">
            <v>single country</v>
          </cell>
          <cell r="AT186" t="str">
            <v>Germany</v>
          </cell>
          <cell r="AU186" t="str">
            <v>single sector</v>
          </cell>
          <cell r="AV186" t="str">
            <v>Retail</v>
          </cell>
          <cell r="AY186">
            <v>2020</v>
          </cell>
          <cell r="AZ186">
            <v>2031</v>
          </cell>
          <cell r="BA186" t="str">
            <v>Yes</v>
          </cell>
          <cell r="BB186" t="str">
            <v>Yes</v>
          </cell>
          <cell r="BC186" t="str">
            <v>1+1+1 years</v>
          </cell>
          <cell r="BD186" t="str">
            <v>No</v>
          </cell>
          <cell r="BE186" t="str">
            <v>&lt; 60%</v>
          </cell>
          <cell r="BF186" t="str">
            <v>≤ 15%</v>
          </cell>
          <cell r="BG186" t="str">
            <v>≤ 5%</v>
          </cell>
          <cell r="BH186" t="str">
            <v>2020-09-30</v>
          </cell>
          <cell r="BI186">
            <v>503861172</v>
          </cell>
          <cell r="BJ186">
            <v>503861172</v>
          </cell>
          <cell r="BK186">
            <v>113883107</v>
          </cell>
          <cell r="BL186">
            <v>113883107</v>
          </cell>
          <cell r="BM186">
            <v>48.8</v>
          </cell>
          <cell r="BN186" t="str">
            <v>Yes</v>
          </cell>
          <cell r="BO186" t="str">
            <v>External</v>
          </cell>
          <cell r="BP186">
            <v>15</v>
          </cell>
          <cell r="BQ186">
            <v>3</v>
          </cell>
          <cell r="BR186">
            <v>113600000</v>
          </cell>
          <cell r="BS186">
            <v>113600000</v>
          </cell>
          <cell r="BT186">
            <v>113600000</v>
          </cell>
          <cell r="BU186">
            <v>113600000</v>
          </cell>
          <cell r="BV186" t="str">
            <v>Yes</v>
          </cell>
          <cell r="BW186" t="str">
            <v>Germany</v>
          </cell>
          <cell r="BX186" t="str">
            <v>Retail</v>
          </cell>
          <cell r="BY186">
            <v>100</v>
          </cell>
        </row>
        <row r="187">
          <cell r="A187">
            <v>19313</v>
          </cell>
          <cell r="B187" t="str">
            <v>EINKAUFSCENTER IMMOBILIENFONDS</v>
          </cell>
          <cell r="C187" t="str">
            <v>DWS GRUNDBESITZ GMBH</v>
          </cell>
          <cell r="D187" t="str">
            <v>Mainzer Landstr. 11-17</v>
          </cell>
          <cell r="E187" t="str">
            <v xml:space="preserve">60329 </v>
          </cell>
          <cell r="F187" t="str">
            <v>Frankfurt am Main</v>
          </cell>
          <cell r="G187" t="str">
            <v>Germany</v>
          </cell>
          <cell r="K187" t="str">
            <v>Juliane Germann</v>
          </cell>
          <cell r="L187" t="str">
            <v>juliane.germann@dws.com</v>
          </cell>
          <cell r="M187" t="str">
            <v>+49 (69) 910 - 14962</v>
          </cell>
          <cell r="Q187" t="str">
            <v>Germany</v>
          </cell>
          <cell r="R187" t="str">
            <v>EUR</v>
          </cell>
          <cell r="S187" t="str">
            <v>HGB</v>
          </cell>
          <cell r="T187" t="str">
            <v>Annually</v>
          </cell>
          <cell r="U187" t="str">
            <v>Annually</v>
          </cell>
          <cell r="V187" t="str">
            <v>ImmoWertV</v>
          </cell>
          <cell r="W187" t="str">
            <v>KAGB</v>
          </cell>
          <cell r="X187" t="str">
            <v>BDO</v>
          </cell>
          <cell r="Y187" t="str">
            <v>Publikumsfonds</v>
          </cell>
          <cell r="Z187" t="str">
            <v>No</v>
          </cell>
          <cell r="AC187" t="str">
            <v>Non-Listed Fund</v>
          </cell>
          <cell r="AD187" t="str">
            <v>Core</v>
          </cell>
          <cell r="AE187" t="str">
            <v>finite</v>
          </cell>
          <cell r="AF187" t="str">
            <v>Closed end</v>
          </cell>
          <cell r="AK187">
            <v>60</v>
          </cell>
          <cell r="AN187" t="str">
            <v>Retail</v>
          </cell>
          <cell r="AO187" t="str">
            <v>&gt; 2</v>
          </cell>
          <cell r="AP187" t="str">
            <v>&lt; 50%</v>
          </cell>
          <cell r="AQ187" t="str">
            <v>Europe</v>
          </cell>
          <cell r="AR187" t="str">
            <v>single country</v>
          </cell>
          <cell r="AT187" t="str">
            <v>Germany</v>
          </cell>
          <cell r="AU187" t="str">
            <v>single sector</v>
          </cell>
          <cell r="AV187" t="str">
            <v>Retail</v>
          </cell>
          <cell r="AY187">
            <v>1975</v>
          </cell>
          <cell r="BH187" t="str">
            <v>2018-12-31</v>
          </cell>
          <cell r="BI187">
            <v>814380000</v>
          </cell>
          <cell r="BJ187">
            <v>814380000</v>
          </cell>
          <cell r="BK187">
            <v>519225810</v>
          </cell>
          <cell r="BL187">
            <v>519225810</v>
          </cell>
          <cell r="BM187">
            <v>27.68</v>
          </cell>
          <cell r="BN187" t="str">
            <v>Yes</v>
          </cell>
          <cell r="BO187" t="str">
            <v>External</v>
          </cell>
          <cell r="BP187">
            <v>0</v>
          </cell>
          <cell r="BQ187">
            <v>17</v>
          </cell>
          <cell r="BS187">
            <v>0</v>
          </cell>
          <cell r="BV187" t="str">
            <v>No</v>
          </cell>
          <cell r="BW187" t="str">
            <v>Germany</v>
          </cell>
          <cell r="BX187" t="str">
            <v>Mixed</v>
          </cell>
          <cell r="BY187">
            <v>100</v>
          </cell>
        </row>
        <row r="188">
          <cell r="A188">
            <v>137</v>
          </cell>
          <cell r="B188" t="str">
            <v>ENCORE+</v>
          </cell>
          <cell r="C188" t="str">
            <v>LASALLE INVESTMENT MANAGEMENT</v>
          </cell>
          <cell r="D188" t="str">
            <v>112 Avenue Kléber, Cedex 16</v>
          </cell>
          <cell r="E188" t="str">
            <v xml:space="preserve">75784 </v>
          </cell>
          <cell r="F188" t="str">
            <v>Paris</v>
          </cell>
          <cell r="G188" t="str">
            <v>France</v>
          </cell>
          <cell r="H188" t="str">
            <v>+33156434646</v>
          </cell>
          <cell r="I188" t="str">
            <v>+33156434640</v>
          </cell>
          <cell r="J188" t="str">
            <v>http://www.lasalle.com</v>
          </cell>
          <cell r="K188" t="str">
            <v>David Ironside</v>
          </cell>
          <cell r="L188" t="str">
            <v>david.ironside@lasalle.com</v>
          </cell>
          <cell r="M188" t="str">
            <v>+498921111330</v>
          </cell>
          <cell r="N188" t="str">
            <v>Matthew Harris</v>
          </cell>
          <cell r="O188" t="str">
            <v>matthew.harris@lasalle.com</v>
          </cell>
          <cell r="P188" t="str">
            <v>+33156434674</v>
          </cell>
          <cell r="Q188" t="str">
            <v>Luxembourg</v>
          </cell>
          <cell r="R188" t="str">
            <v>EUR</v>
          </cell>
          <cell r="S188" t="str">
            <v>Local GAAP</v>
          </cell>
          <cell r="T188" t="str">
            <v>Quarterly</v>
          </cell>
          <cell r="U188" t="str">
            <v>Monthly</v>
          </cell>
          <cell r="V188" t="str">
            <v>RICS</v>
          </cell>
          <cell r="W188" t="str">
            <v>INREV NAV</v>
          </cell>
          <cell r="X188" t="str">
            <v>PwC</v>
          </cell>
          <cell r="Y188" t="str">
            <v>FCP</v>
          </cell>
          <cell r="Z188" t="str">
            <v>Yes</v>
          </cell>
          <cell r="AA188" t="str">
            <v>No</v>
          </cell>
          <cell r="AB188">
            <v>0</v>
          </cell>
          <cell r="AC188" t="str">
            <v>Non-Listed Fund</v>
          </cell>
          <cell r="AD188" t="str">
            <v>Core</v>
          </cell>
          <cell r="AE188" t="str">
            <v>infinite</v>
          </cell>
          <cell r="AF188" t="str">
            <v>Open end</v>
          </cell>
          <cell r="AG188">
            <v>6.5</v>
          </cell>
          <cell r="AH188">
            <v>8.5</v>
          </cell>
          <cell r="AI188" t="str">
            <v>Net</v>
          </cell>
          <cell r="AJ188" t="str">
            <v>Absolute return</v>
          </cell>
          <cell r="AK188">
            <v>5</v>
          </cell>
          <cell r="AL188">
            <v>30</v>
          </cell>
          <cell r="AM188" t="str">
            <v>&gt; 40% - ≤ 60%</v>
          </cell>
          <cell r="AN188" t="str">
            <v>Institutional</v>
          </cell>
          <cell r="AO188" t="str">
            <v>&gt; 2</v>
          </cell>
          <cell r="AP188" t="str">
            <v>≥ 50%</v>
          </cell>
          <cell r="AQ188" t="str">
            <v>Europe</v>
          </cell>
          <cell r="AR188" t="str">
            <v>multi country</v>
          </cell>
          <cell r="AS188" t="str">
            <v>Europe</v>
          </cell>
          <cell r="AU188" t="str">
            <v>multi sector</v>
          </cell>
          <cell r="AX188">
            <v>5000000000</v>
          </cell>
          <cell r="AY188">
            <v>2006</v>
          </cell>
          <cell r="BD188" t="str">
            <v>No</v>
          </cell>
          <cell r="BG188" t="str">
            <v>≤ 5%</v>
          </cell>
          <cell r="BH188" t="str">
            <v>2020-12-31</v>
          </cell>
          <cell r="BI188">
            <v>3272313385</v>
          </cell>
          <cell r="BJ188">
            <v>3272313385</v>
          </cell>
          <cell r="BK188">
            <v>2433349001</v>
          </cell>
          <cell r="BL188">
            <v>2433349001</v>
          </cell>
          <cell r="BM188">
            <v>21.3</v>
          </cell>
          <cell r="BN188" t="str">
            <v>No</v>
          </cell>
          <cell r="BO188" t="str">
            <v>External</v>
          </cell>
          <cell r="BP188">
            <v>82</v>
          </cell>
          <cell r="BQ188">
            <v>39</v>
          </cell>
          <cell r="BR188">
            <v>2893159205</v>
          </cell>
          <cell r="BS188">
            <v>2893159205</v>
          </cell>
          <cell r="BT188">
            <v>2473006369</v>
          </cell>
          <cell r="BU188">
            <v>2473006369</v>
          </cell>
          <cell r="BV188" t="str">
            <v>Yes</v>
          </cell>
          <cell r="BW188" t="str">
            <v>Sweden</v>
          </cell>
          <cell r="BX188" t="str">
            <v>Retail</v>
          </cell>
          <cell r="BY188">
            <v>1.4</v>
          </cell>
          <cell r="BZ188" t="str">
            <v>Czech Republic</v>
          </cell>
          <cell r="CA188" t="str">
            <v>Office</v>
          </cell>
          <cell r="CB188">
            <v>2.9</v>
          </cell>
          <cell r="CC188" t="str">
            <v>Luxembourg</v>
          </cell>
          <cell r="CD188" t="str">
            <v>Office</v>
          </cell>
          <cell r="CE188">
            <v>4.2</v>
          </cell>
          <cell r="CF188" t="str">
            <v>Poland</v>
          </cell>
          <cell r="CG188" t="str">
            <v>Industrial / Logistics</v>
          </cell>
          <cell r="CH188">
            <v>1.8</v>
          </cell>
          <cell r="CI188" t="str">
            <v>Poland</v>
          </cell>
          <cell r="CJ188" t="str">
            <v>Office</v>
          </cell>
          <cell r="CK188">
            <v>2.2000000000000002</v>
          </cell>
          <cell r="CL188" t="str">
            <v>Poland</v>
          </cell>
          <cell r="CM188" t="str">
            <v>Retail</v>
          </cell>
          <cell r="CN188">
            <v>0.8</v>
          </cell>
          <cell r="CO188" t="str">
            <v>Netherlands</v>
          </cell>
          <cell r="CP188" t="str">
            <v>Industrial / Logistics</v>
          </cell>
          <cell r="CQ188">
            <v>5</v>
          </cell>
          <cell r="CR188" t="str">
            <v>Netherlands</v>
          </cell>
          <cell r="CS188" t="str">
            <v>Office</v>
          </cell>
          <cell r="CT188">
            <v>6.5</v>
          </cell>
          <cell r="CU188" t="str">
            <v>Spain</v>
          </cell>
          <cell r="CV188" t="str">
            <v>Industrial / Logistics</v>
          </cell>
          <cell r="CW188">
            <v>2.8</v>
          </cell>
          <cell r="CX188" t="str">
            <v>Spain</v>
          </cell>
          <cell r="CY188" t="str">
            <v>Retail</v>
          </cell>
          <cell r="CZ188">
            <v>3.7</v>
          </cell>
          <cell r="DA188" t="str">
            <v>Germany</v>
          </cell>
          <cell r="DB188" t="str">
            <v>Hotel</v>
          </cell>
          <cell r="DC188">
            <v>1.3</v>
          </cell>
          <cell r="DD188" t="str">
            <v>Germany</v>
          </cell>
          <cell r="DE188" t="str">
            <v>Industrial / Logistics</v>
          </cell>
          <cell r="DF188">
            <v>2.4</v>
          </cell>
          <cell r="DG188" t="str">
            <v>Germany</v>
          </cell>
          <cell r="DH188" t="str">
            <v>Retail</v>
          </cell>
          <cell r="DI188">
            <v>5</v>
          </cell>
          <cell r="DJ188" t="str">
            <v>Germany</v>
          </cell>
          <cell r="DK188" t="str">
            <v>Office</v>
          </cell>
          <cell r="DL188">
            <v>16.2</v>
          </cell>
          <cell r="DM188" t="str">
            <v>France</v>
          </cell>
          <cell r="DN188" t="str">
            <v>Industrial / Logistics</v>
          </cell>
          <cell r="DO188">
            <v>5.0999999999999996</v>
          </cell>
          <cell r="DP188" t="str">
            <v>France</v>
          </cell>
          <cell r="DQ188" t="str">
            <v>Retail</v>
          </cell>
          <cell r="DR188">
            <v>3.2</v>
          </cell>
          <cell r="DS188" t="str">
            <v>France</v>
          </cell>
          <cell r="DT188" t="str">
            <v>Office</v>
          </cell>
          <cell r="DU188">
            <v>23.6</v>
          </cell>
          <cell r="DV188" t="str">
            <v>Germany</v>
          </cell>
          <cell r="DW188" t="str">
            <v>Residential</v>
          </cell>
          <cell r="DX188">
            <v>2.2999999999999998</v>
          </cell>
        </row>
        <row r="189">
          <cell r="A189">
            <v>16079</v>
          </cell>
          <cell r="B189" t="str">
            <v>EPARGNE FONCIERE</v>
          </cell>
          <cell r="C189" t="str">
            <v>LA FRANCAISE REM</v>
          </cell>
          <cell r="D189" t="str">
            <v>128 Boulevard Raspail</v>
          </cell>
          <cell r="E189">
            <v>75006</v>
          </cell>
          <cell r="F189" t="str">
            <v>Paris</v>
          </cell>
          <cell r="G189" t="str">
            <v>France</v>
          </cell>
          <cell r="H189" t="str">
            <v>+33144561000</v>
          </cell>
          <cell r="I189" t="str">
            <v>+33144561138</v>
          </cell>
          <cell r="J189" t="str">
            <v>https://la-francaise.com</v>
          </cell>
          <cell r="K189" t="str">
            <v>Penin</v>
          </cell>
          <cell r="L189" t="str">
            <v>mopenin@lafrancaise-am.com</v>
          </cell>
          <cell r="M189" t="str">
            <v>+33144564202</v>
          </cell>
          <cell r="N189" t="str">
            <v>SCPI</v>
          </cell>
          <cell r="P189" t="str">
            <v>+33153624060</v>
          </cell>
          <cell r="Q189" t="str">
            <v>France</v>
          </cell>
          <cell r="R189" t="str">
            <v>EUR</v>
          </cell>
          <cell r="S189" t="str">
            <v>IFRS</v>
          </cell>
          <cell r="T189" t="str">
            <v>Quarterly</v>
          </cell>
          <cell r="U189" t="str">
            <v>Annually</v>
          </cell>
          <cell r="V189" t="str">
            <v>Other - mark to market</v>
          </cell>
          <cell r="X189" t="str">
            <v>Deloitte</v>
          </cell>
          <cell r="Y189" t="str">
            <v>SCPI</v>
          </cell>
          <cell r="Z189" t="str">
            <v>No</v>
          </cell>
          <cell r="AA189" t="str">
            <v>Yes</v>
          </cell>
          <cell r="AC189" t="str">
            <v>Non-Listed Fund</v>
          </cell>
          <cell r="AD189" t="str">
            <v>Core</v>
          </cell>
          <cell r="AE189" t="str">
            <v>infinite</v>
          </cell>
          <cell r="AF189" t="str">
            <v>Open end</v>
          </cell>
          <cell r="AK189">
            <v>5.3</v>
          </cell>
          <cell r="AL189">
            <v>0</v>
          </cell>
          <cell r="AM189" t="str">
            <v>≤ 40%</v>
          </cell>
          <cell r="AN189" t="str">
            <v>Institutional and Retail</v>
          </cell>
          <cell r="AO189" t="str">
            <v>&gt; 2</v>
          </cell>
          <cell r="AP189" t="str">
            <v>&lt; 50%</v>
          </cell>
          <cell r="AQ189" t="str">
            <v>Europe</v>
          </cell>
          <cell r="AR189" t="str">
            <v>single country</v>
          </cell>
          <cell r="AT189" t="str">
            <v>France</v>
          </cell>
          <cell r="AU189" t="str">
            <v>multi sector</v>
          </cell>
          <cell r="AY189">
            <v>1968</v>
          </cell>
          <cell r="BH189" t="str">
            <v>2018-12-31</v>
          </cell>
          <cell r="BI189">
            <v>2481033698</v>
          </cell>
          <cell r="BJ189">
            <v>2481033698</v>
          </cell>
          <cell r="BK189">
            <v>2162831681</v>
          </cell>
          <cell r="BL189">
            <v>2162831681</v>
          </cell>
          <cell r="BQ189">
            <v>236</v>
          </cell>
          <cell r="BS189">
            <v>0</v>
          </cell>
          <cell r="BW189" t="str">
            <v>France</v>
          </cell>
          <cell r="BX189" t="str">
            <v>Office</v>
          </cell>
          <cell r="BY189">
            <v>68.37</v>
          </cell>
          <cell r="BZ189" t="str">
            <v>Germany</v>
          </cell>
          <cell r="CA189" t="str">
            <v>Office</v>
          </cell>
          <cell r="CB189">
            <v>6.63</v>
          </cell>
          <cell r="CC189" t="str">
            <v>Ireland</v>
          </cell>
          <cell r="CD189" t="str">
            <v>Office</v>
          </cell>
          <cell r="CE189">
            <v>1.03</v>
          </cell>
          <cell r="CF189" t="str">
            <v>Netherlands</v>
          </cell>
          <cell r="CG189" t="str">
            <v>Office</v>
          </cell>
          <cell r="CH189">
            <v>0.74</v>
          </cell>
          <cell r="CI189" t="str">
            <v>France</v>
          </cell>
          <cell r="CJ189" t="str">
            <v>Retail</v>
          </cell>
          <cell r="CK189">
            <v>19.489999999999998</v>
          </cell>
          <cell r="CL189" t="str">
            <v>France</v>
          </cell>
          <cell r="CM189" t="str">
            <v>Other</v>
          </cell>
          <cell r="CN189">
            <v>3.62</v>
          </cell>
          <cell r="CO189" t="str">
            <v>France</v>
          </cell>
          <cell r="CP189" t="str">
            <v>Industrial / Logistics</v>
          </cell>
          <cell r="CQ189">
            <v>0.12</v>
          </cell>
        </row>
        <row r="190">
          <cell r="A190">
            <v>544</v>
          </cell>
          <cell r="B190" t="str">
            <v>ERACLE</v>
          </cell>
          <cell r="C190" t="str">
            <v>GENERALI IMMOBILIARE ITALIA SGR</v>
          </cell>
          <cell r="D190" t="str">
            <v>Via Meravigli 2</v>
          </cell>
          <cell r="E190">
            <v>20123</v>
          </cell>
          <cell r="F190" t="str">
            <v>Milan</v>
          </cell>
          <cell r="G190" t="str">
            <v>Italy</v>
          </cell>
          <cell r="H190" t="str">
            <v>+39 02 72504 212</v>
          </cell>
          <cell r="I190" t="str">
            <v>+39 02 801433</v>
          </cell>
          <cell r="K190" t="str">
            <v>Cipriano Zibetti</v>
          </cell>
          <cell r="L190" t="str">
            <v>cipriano.zibetti@gii.generali.com</v>
          </cell>
          <cell r="M190" t="str">
            <v>+39 02 72504 212</v>
          </cell>
          <cell r="N190" t="str">
            <v>Cipriano Zibetti</v>
          </cell>
          <cell r="O190" t="str">
            <v>cipriano.zibetti@gii.generali.com</v>
          </cell>
          <cell r="P190" t="str">
            <v>+39 02 801 433</v>
          </cell>
          <cell r="Q190" t="str">
            <v>Italy</v>
          </cell>
          <cell r="R190" t="str">
            <v>EUR</v>
          </cell>
          <cell r="S190" t="str">
            <v>Local GAAP</v>
          </cell>
          <cell r="T190" t="str">
            <v>Twice per year</v>
          </cell>
          <cell r="U190" t="str">
            <v>Twice per year</v>
          </cell>
          <cell r="V190" t="str">
            <v>RICS</v>
          </cell>
          <cell r="X190" t="str">
            <v xml:space="preserve">Reconta Ernst&amp;Young </v>
          </cell>
          <cell r="Y190" t="str">
            <v>Closed Ended Fund</v>
          </cell>
          <cell r="Z190" t="str">
            <v>No</v>
          </cell>
          <cell r="AA190" t="str">
            <v>Yes</v>
          </cell>
          <cell r="AB190">
            <v>1</v>
          </cell>
          <cell r="AC190" t="str">
            <v>Non-Listed Fund</v>
          </cell>
          <cell r="AD190" t="str">
            <v>Core</v>
          </cell>
          <cell r="AE190" t="str">
            <v>finite</v>
          </cell>
          <cell r="AF190" t="str">
            <v>Closed end</v>
          </cell>
          <cell r="AL190">
            <v>58</v>
          </cell>
          <cell r="AM190" t="str">
            <v>&gt; 40% - ≤ 60%</v>
          </cell>
          <cell r="AN190" t="str">
            <v>Institutional</v>
          </cell>
          <cell r="AO190" t="str">
            <v>&gt; 2</v>
          </cell>
          <cell r="AP190" t="str">
            <v>≥ 50%</v>
          </cell>
          <cell r="AQ190" t="str">
            <v>Europe</v>
          </cell>
          <cell r="AR190" t="str">
            <v>single country</v>
          </cell>
          <cell r="AT190" t="str">
            <v>Italy</v>
          </cell>
          <cell r="AU190" t="str">
            <v>single sector</v>
          </cell>
          <cell r="AV190" t="str">
            <v>Other</v>
          </cell>
          <cell r="AW190">
            <v>337000000</v>
          </cell>
          <cell r="AX190">
            <v>798000000</v>
          </cell>
          <cell r="AY190">
            <v>2008</v>
          </cell>
          <cell r="AZ190">
            <v>2033</v>
          </cell>
          <cell r="BA190" t="str">
            <v>Yes</v>
          </cell>
          <cell r="BB190" t="str">
            <v>Yes</v>
          </cell>
          <cell r="BC190" t="str">
            <v>3 years</v>
          </cell>
          <cell r="BH190" t="str">
            <v>2018-12-31</v>
          </cell>
          <cell r="BI190">
            <v>788475145</v>
          </cell>
          <cell r="BJ190">
            <v>788475145</v>
          </cell>
          <cell r="BK190">
            <v>385635618</v>
          </cell>
          <cell r="BL190">
            <v>385635618</v>
          </cell>
          <cell r="BM190">
            <v>51.1</v>
          </cell>
          <cell r="BS190">
            <v>0</v>
          </cell>
          <cell r="BW190" t="str">
            <v>Italy</v>
          </cell>
          <cell r="BX190" t="str">
            <v>Other</v>
          </cell>
          <cell r="BY190">
            <v>100</v>
          </cell>
        </row>
        <row r="191">
          <cell r="A191">
            <v>146</v>
          </cell>
          <cell r="B191" t="str">
            <v>ERGO TRUST LOGISTIKFONDS NR 1</v>
          </cell>
          <cell r="C191" t="str">
            <v>UBS REAL ESTATE GMBH</v>
          </cell>
          <cell r="D191" t="str">
            <v>Theatinerstraße 16</v>
          </cell>
          <cell r="E191" t="str">
            <v>D-80333</v>
          </cell>
          <cell r="F191" t="str">
            <v>Munich</v>
          </cell>
          <cell r="G191" t="str">
            <v>Germany</v>
          </cell>
          <cell r="H191" t="str">
            <v>+49 (0) 89 206 095 0</v>
          </cell>
          <cell r="I191" t="str">
            <v>+49 (0) 89 206 095 200</v>
          </cell>
          <cell r="J191" t="str">
            <v>http://www.ubs.com</v>
          </cell>
          <cell r="K191" t="str">
            <v>Andreas Langer</v>
          </cell>
          <cell r="L191" t="str">
            <v>andreas.langer@ubs.com</v>
          </cell>
          <cell r="M191" t="str">
            <v>+49 (0) 89 206 095 111</v>
          </cell>
          <cell r="N191" t="str">
            <v>Andreas Langer</v>
          </cell>
          <cell r="O191" t="str">
            <v>andreas.langer@ubs.com</v>
          </cell>
          <cell r="P191" t="str">
            <v>+49 (0) 89 206 095 111</v>
          </cell>
          <cell r="Q191" t="str">
            <v>Germany</v>
          </cell>
          <cell r="R191" t="str">
            <v>EUR</v>
          </cell>
          <cell r="T191" t="str">
            <v>Monthly</v>
          </cell>
          <cell r="U191" t="str">
            <v>Annually</v>
          </cell>
          <cell r="W191" t="str">
            <v>KAGB</v>
          </cell>
          <cell r="X191" t="str">
            <v>Ernst &amp; Young GmbH</v>
          </cell>
          <cell r="Y191" t="str">
            <v>Spezialfonds</v>
          </cell>
          <cell r="Z191" t="str">
            <v>No</v>
          </cell>
          <cell r="AA191" t="str">
            <v>Yes</v>
          </cell>
          <cell r="AB191">
            <v>4</v>
          </cell>
          <cell r="AC191" t="str">
            <v>Non-Listed Fund</v>
          </cell>
          <cell r="AD191" t="str">
            <v>Core</v>
          </cell>
          <cell r="AE191" t="str">
            <v>infinite</v>
          </cell>
          <cell r="AF191" t="str">
            <v>Open end</v>
          </cell>
          <cell r="AG191">
            <v>7</v>
          </cell>
          <cell r="AH191">
            <v>7</v>
          </cell>
          <cell r="AI191" t="str">
            <v>Net</v>
          </cell>
          <cell r="AJ191" t="str">
            <v>IPD SFIX</v>
          </cell>
          <cell r="AK191">
            <v>7</v>
          </cell>
          <cell r="AL191">
            <v>49</v>
          </cell>
          <cell r="AM191" t="str">
            <v>&gt; 40%</v>
          </cell>
          <cell r="AN191" t="str">
            <v>Institutional</v>
          </cell>
          <cell r="AO191" t="str">
            <v>&gt; 2</v>
          </cell>
          <cell r="AP191" t="str">
            <v>≥ 50%</v>
          </cell>
          <cell r="AQ191" t="str">
            <v>Europe</v>
          </cell>
          <cell r="AR191" t="str">
            <v>multi country</v>
          </cell>
          <cell r="AS191" t="str">
            <v>Europe</v>
          </cell>
          <cell r="AU191" t="str">
            <v>single sector</v>
          </cell>
          <cell r="AV191" t="str">
            <v>Industrial / Logistics</v>
          </cell>
          <cell r="AW191">
            <v>150000000</v>
          </cell>
          <cell r="AX191">
            <v>300000000</v>
          </cell>
          <cell r="AY191">
            <v>2004</v>
          </cell>
          <cell r="BH191" t="str">
            <v>2020-12-31</v>
          </cell>
          <cell r="BI191">
            <v>229637691</v>
          </cell>
          <cell r="BJ191">
            <v>229637691</v>
          </cell>
          <cell r="BK191">
            <v>155921439</v>
          </cell>
          <cell r="BL191">
            <v>155921439</v>
          </cell>
          <cell r="BM191">
            <v>35.4</v>
          </cell>
          <cell r="BN191" t="str">
            <v>No</v>
          </cell>
          <cell r="BO191" t="str">
            <v>External</v>
          </cell>
          <cell r="BP191">
            <v>0</v>
          </cell>
          <cell r="BQ191">
            <v>11</v>
          </cell>
          <cell r="BR191">
            <v>0</v>
          </cell>
          <cell r="BS191">
            <v>0</v>
          </cell>
          <cell r="BT191">
            <v>0</v>
          </cell>
          <cell r="BV191" t="str">
            <v>No</v>
          </cell>
          <cell r="BW191" t="str">
            <v>Germany</v>
          </cell>
          <cell r="BX191" t="str">
            <v>Industrial / Logistics</v>
          </cell>
          <cell r="BY191">
            <v>100</v>
          </cell>
        </row>
        <row r="192">
          <cell r="A192">
            <v>149</v>
          </cell>
          <cell r="B192" t="str">
            <v>EURO CORE III</v>
          </cell>
          <cell r="C192" t="str">
            <v>DWS ALTERNATIVES GMBH</v>
          </cell>
          <cell r="D192" t="str">
            <v>Mainzer Landstraße 11-17</v>
          </cell>
          <cell r="E192">
            <v>60329</v>
          </cell>
          <cell r="F192" t="str">
            <v>Frankfurt am Main</v>
          </cell>
          <cell r="G192" t="str">
            <v>Germany</v>
          </cell>
          <cell r="H192" t="str">
            <v>+496991016661</v>
          </cell>
          <cell r="I192" t="str">
            <v>+496991016909</v>
          </cell>
          <cell r="J192" t="str">
            <v>https://www.dws.de/</v>
          </cell>
          <cell r="K192" t="str">
            <v>Carl-Eugen Bitzer</v>
          </cell>
          <cell r="L192" t="str">
            <v>carl-eugen.bitzer@dws.com</v>
          </cell>
          <cell r="M192" t="str">
            <v>+496991016878</v>
          </cell>
          <cell r="N192" t="str">
            <v>Dr. Ulrich von Creytz</v>
          </cell>
          <cell r="O192" t="str">
            <v>ulrich-von.creytz@dws.com</v>
          </cell>
          <cell r="P192" t="str">
            <v>+496991016429</v>
          </cell>
          <cell r="Q192" t="str">
            <v>Germany</v>
          </cell>
          <cell r="R192" t="str">
            <v>EUR</v>
          </cell>
          <cell r="S192" t="str">
            <v>HGB</v>
          </cell>
          <cell r="T192" t="str">
            <v>Quarterly</v>
          </cell>
          <cell r="U192" t="str">
            <v>Annually</v>
          </cell>
          <cell r="V192" t="str">
            <v>ImmoWertV</v>
          </cell>
          <cell r="W192" t="str">
            <v>KAGB</v>
          </cell>
          <cell r="X192" t="str">
            <v>KPMG</v>
          </cell>
          <cell r="Y192" t="str">
            <v>Spezialfonds</v>
          </cell>
          <cell r="Z192" t="str">
            <v>No</v>
          </cell>
          <cell r="AA192" t="str">
            <v>Yes</v>
          </cell>
          <cell r="AB192">
            <v>0</v>
          </cell>
          <cell r="AC192" t="str">
            <v>Non-Listed Fund</v>
          </cell>
          <cell r="AD192" t="str">
            <v>Core</v>
          </cell>
          <cell r="AE192" t="str">
            <v>infinite</v>
          </cell>
          <cell r="AF192" t="str">
            <v>Open end</v>
          </cell>
          <cell r="AG192">
            <v>5</v>
          </cell>
          <cell r="AH192">
            <v>6</v>
          </cell>
          <cell r="AI192" t="str">
            <v>Net</v>
          </cell>
          <cell r="AJ192" t="str">
            <v>IRR</v>
          </cell>
          <cell r="AK192">
            <v>4.5</v>
          </cell>
          <cell r="AL192">
            <v>45</v>
          </cell>
          <cell r="AM192" t="str">
            <v>&gt; 40% - ≤ 60%</v>
          </cell>
          <cell r="AN192" t="str">
            <v>Institutional</v>
          </cell>
          <cell r="AO192" t="str">
            <v>&gt; 2</v>
          </cell>
          <cell r="AP192" t="str">
            <v>≥ 50%</v>
          </cell>
          <cell r="AQ192" t="str">
            <v>Europe</v>
          </cell>
          <cell r="AR192" t="str">
            <v>multi country</v>
          </cell>
          <cell r="AS192" t="str">
            <v>Europe</v>
          </cell>
          <cell r="AU192" t="str">
            <v>multi sector</v>
          </cell>
          <cell r="AW192">
            <v>465000000</v>
          </cell>
          <cell r="AX192">
            <v>850000000</v>
          </cell>
          <cell r="AY192">
            <v>2004</v>
          </cell>
          <cell r="BA192" t="str">
            <v>No</v>
          </cell>
          <cell r="BD192" t="str">
            <v>No</v>
          </cell>
          <cell r="BE192" t="str">
            <v>≥ 60%</v>
          </cell>
          <cell r="BG192" t="str">
            <v>≤ 5%</v>
          </cell>
          <cell r="BH192" t="str">
            <v>2020-12-31</v>
          </cell>
          <cell r="BI192">
            <v>865388647.46000004</v>
          </cell>
          <cell r="BJ192">
            <v>865388647.46000004</v>
          </cell>
          <cell r="BK192">
            <v>504737308.29000002</v>
          </cell>
          <cell r="BL192">
            <v>504737308.29000002</v>
          </cell>
          <cell r="BM192">
            <v>41.68</v>
          </cell>
          <cell r="BN192" t="str">
            <v>No</v>
          </cell>
          <cell r="BO192" t="str">
            <v>External</v>
          </cell>
          <cell r="BP192">
            <v>21</v>
          </cell>
          <cell r="BQ192">
            <v>31</v>
          </cell>
          <cell r="BR192">
            <v>521744484.58999997</v>
          </cell>
          <cell r="BS192">
            <v>521744484.58999997</v>
          </cell>
          <cell r="BT192">
            <v>521743883.25999999</v>
          </cell>
          <cell r="BU192">
            <v>521743883.25999999</v>
          </cell>
          <cell r="BV192" t="str">
            <v>Yes</v>
          </cell>
          <cell r="BW192" t="str">
            <v>United Kingdom</v>
          </cell>
          <cell r="BX192" t="str">
            <v>Residential</v>
          </cell>
          <cell r="BY192">
            <v>7.94</v>
          </cell>
          <cell r="BZ192" t="str">
            <v>France</v>
          </cell>
          <cell r="CA192" t="str">
            <v>Office</v>
          </cell>
          <cell r="CB192">
            <v>4.6399999999999997</v>
          </cell>
          <cell r="CC192" t="str">
            <v>Italy</v>
          </cell>
          <cell r="CD192" t="str">
            <v>Industrial / Logistics</v>
          </cell>
          <cell r="CE192">
            <v>10.98</v>
          </cell>
          <cell r="CF192" t="str">
            <v>United Kingdom</v>
          </cell>
          <cell r="CG192" t="str">
            <v>Mixed</v>
          </cell>
          <cell r="CH192">
            <v>1.73</v>
          </cell>
          <cell r="CI192" t="str">
            <v>United Kingdom</v>
          </cell>
          <cell r="CJ192" t="str">
            <v>Retail</v>
          </cell>
          <cell r="CK192">
            <v>6.56</v>
          </cell>
          <cell r="CL192" t="str">
            <v>United Kingdom</v>
          </cell>
          <cell r="CM192" t="str">
            <v>Office</v>
          </cell>
          <cell r="CN192">
            <v>10.31</v>
          </cell>
          <cell r="CO192" t="str">
            <v>Poland</v>
          </cell>
          <cell r="CP192" t="str">
            <v>Industrial / Logistics</v>
          </cell>
          <cell r="CQ192">
            <v>7.07</v>
          </cell>
          <cell r="CR192" t="str">
            <v>Poland</v>
          </cell>
          <cell r="CS192" t="str">
            <v>Retail</v>
          </cell>
          <cell r="CT192">
            <v>3.6</v>
          </cell>
          <cell r="CU192" t="str">
            <v>Poland</v>
          </cell>
          <cell r="CV192" t="str">
            <v>Office</v>
          </cell>
          <cell r="CW192">
            <v>5.12</v>
          </cell>
          <cell r="CX192" t="str">
            <v>Macedonia</v>
          </cell>
          <cell r="CY192" t="str">
            <v>Hotel</v>
          </cell>
          <cell r="CZ192">
            <v>17.05</v>
          </cell>
          <cell r="DA192" t="str">
            <v>Germany</v>
          </cell>
          <cell r="DB192" t="str">
            <v>Retail</v>
          </cell>
          <cell r="DC192">
            <v>4.49</v>
          </cell>
          <cell r="DD192" t="str">
            <v>Germany</v>
          </cell>
          <cell r="DE192" t="str">
            <v>Office</v>
          </cell>
          <cell r="DF192">
            <v>6.38</v>
          </cell>
          <cell r="DG192" t="str">
            <v>Belgium</v>
          </cell>
          <cell r="DH192" t="str">
            <v>Office</v>
          </cell>
          <cell r="DI192">
            <v>7.64</v>
          </cell>
          <cell r="DJ192" t="str">
            <v>Germany</v>
          </cell>
          <cell r="DK192" t="str">
            <v>Residential</v>
          </cell>
          <cell r="DL192">
            <v>2.9</v>
          </cell>
          <cell r="DM192" t="str">
            <v>Sweden</v>
          </cell>
          <cell r="DN192" t="str">
            <v>Industrial / Logistics</v>
          </cell>
          <cell r="DO192">
            <v>3.59</v>
          </cell>
        </row>
        <row r="193">
          <cell r="A193">
            <v>518</v>
          </cell>
          <cell r="B193" t="str">
            <v>EURO CORE RECOVERY FUND</v>
          </cell>
          <cell r="C193" t="str">
            <v>DWS ALTERNATIVES GMBH</v>
          </cell>
          <cell r="D193" t="str">
            <v>Mainzer Landstraße 11-17</v>
          </cell>
          <cell r="E193">
            <v>60329</v>
          </cell>
          <cell r="F193" t="str">
            <v>Frankfurt</v>
          </cell>
          <cell r="G193" t="str">
            <v>Germany</v>
          </cell>
          <cell r="H193" t="str">
            <v>+496991016661</v>
          </cell>
          <cell r="I193" t="str">
            <v>+496991016909</v>
          </cell>
          <cell r="J193" t="str">
            <v>https://www.dws.de/</v>
          </cell>
          <cell r="K193" t="str">
            <v>Carl-Eugen Bitzer</v>
          </cell>
          <cell r="L193" t="str">
            <v>carl-eugen.bitzer@dws.com</v>
          </cell>
          <cell r="M193" t="str">
            <v>+496991016878</v>
          </cell>
          <cell r="N193" t="str">
            <v>Dr. Ulrich von Creytz</v>
          </cell>
          <cell r="O193" t="str">
            <v>ulrich-von.creytz@dws.com</v>
          </cell>
          <cell r="P193" t="str">
            <v>+496991016429</v>
          </cell>
          <cell r="Q193" t="str">
            <v>Germany</v>
          </cell>
          <cell r="R193" t="str">
            <v>EUR</v>
          </cell>
          <cell r="S193" t="str">
            <v>HGB</v>
          </cell>
          <cell r="T193" t="str">
            <v>Quarterly</v>
          </cell>
          <cell r="U193" t="str">
            <v>Annually</v>
          </cell>
          <cell r="V193" t="str">
            <v>ImmoWertV</v>
          </cell>
          <cell r="W193" t="str">
            <v>KAGB</v>
          </cell>
          <cell r="X193" t="str">
            <v>KPMG</v>
          </cell>
          <cell r="Y193" t="str">
            <v>Spezialfonds</v>
          </cell>
          <cell r="Z193" t="str">
            <v>No</v>
          </cell>
          <cell r="AA193" t="str">
            <v>No</v>
          </cell>
          <cell r="AB193">
            <v>0</v>
          </cell>
          <cell r="AC193" t="str">
            <v>Non-Listed Fund</v>
          </cell>
          <cell r="AD193" t="str">
            <v>Core</v>
          </cell>
          <cell r="AE193" t="str">
            <v>finite</v>
          </cell>
          <cell r="AF193" t="str">
            <v>Closed end</v>
          </cell>
          <cell r="AG193">
            <v>6</v>
          </cell>
          <cell r="AH193">
            <v>8</v>
          </cell>
          <cell r="AI193" t="str">
            <v>Net</v>
          </cell>
          <cell r="AJ193" t="str">
            <v>IRR</v>
          </cell>
          <cell r="AK193">
            <v>5.5</v>
          </cell>
          <cell r="AL193">
            <v>40</v>
          </cell>
          <cell r="AM193" t="str">
            <v>&gt; 40% - ≤ 60%</v>
          </cell>
          <cell r="AN193" t="str">
            <v>Institutional</v>
          </cell>
          <cell r="AO193" t="str">
            <v>&gt; 2</v>
          </cell>
          <cell r="AP193" t="str">
            <v>≥ 50%</v>
          </cell>
          <cell r="AQ193" t="str">
            <v>Europe</v>
          </cell>
          <cell r="AR193" t="str">
            <v>multi country</v>
          </cell>
          <cell r="AS193" t="str">
            <v>Europe</v>
          </cell>
          <cell r="AU193" t="str">
            <v>multi sector</v>
          </cell>
          <cell r="AW193">
            <v>500000000</v>
          </cell>
          <cell r="AX193">
            <v>900000000</v>
          </cell>
          <cell r="AY193">
            <v>2010</v>
          </cell>
          <cell r="AZ193">
            <v>2021</v>
          </cell>
          <cell r="BD193" t="str">
            <v>No</v>
          </cell>
          <cell r="BH193" t="str">
            <v>2020-12-31</v>
          </cell>
          <cell r="BI193">
            <v>45775643.009999998</v>
          </cell>
          <cell r="BJ193">
            <v>45775643.009999998</v>
          </cell>
          <cell r="BK193">
            <v>25761859.300000001</v>
          </cell>
          <cell r="BL193">
            <v>25761859.300000001</v>
          </cell>
          <cell r="BM193">
            <v>43.72</v>
          </cell>
          <cell r="BN193" t="str">
            <v>No</v>
          </cell>
          <cell r="BO193" t="str">
            <v>External</v>
          </cell>
          <cell r="BP193">
            <v>17</v>
          </cell>
          <cell r="BQ193">
            <v>2</v>
          </cell>
          <cell r="BR193">
            <v>325000000</v>
          </cell>
          <cell r="BS193">
            <v>325000000</v>
          </cell>
          <cell r="BT193">
            <v>231398616.12</v>
          </cell>
          <cell r="BU193">
            <v>231398616.12</v>
          </cell>
          <cell r="BV193" t="str">
            <v>No</v>
          </cell>
          <cell r="BW193" t="str">
            <v>Germany</v>
          </cell>
          <cell r="BX193" t="str">
            <v>Industrial / Logistics</v>
          </cell>
          <cell r="BY193">
            <v>66.7</v>
          </cell>
          <cell r="BZ193" t="str">
            <v>United Kingdom</v>
          </cell>
          <cell r="CA193" t="str">
            <v>Retail</v>
          </cell>
          <cell r="CB193">
            <v>33.299999999999997</v>
          </cell>
        </row>
        <row r="194">
          <cell r="A194">
            <v>152</v>
          </cell>
          <cell r="B194" t="str">
            <v>EURO PROPERTY 1</v>
          </cell>
          <cell r="C194" t="str">
            <v>PRINCIPAL REAL ESTATE SPEZIALFONDSGESELLSCHAFT MBH</v>
          </cell>
          <cell r="D194" t="str">
            <v>Taunusanlage 16</v>
          </cell>
          <cell r="E194">
            <v>60325</v>
          </cell>
          <cell r="F194" t="str">
            <v>Frankfurt am Main</v>
          </cell>
          <cell r="G194" t="str">
            <v>Germany</v>
          </cell>
          <cell r="H194" t="str">
            <v>+49 (0) 69 50 50 66 90</v>
          </cell>
          <cell r="I194" t="str">
            <v>+49 (0) 69 50 50 66 929</v>
          </cell>
          <cell r="J194" t="str">
            <v>http://www.principalreeurope.com</v>
          </cell>
          <cell r="K194" t="str">
            <v>Yvonne Drexler</v>
          </cell>
          <cell r="L194" t="str">
            <v>Drexler.Yvonne@PrincipalREEurope.com</v>
          </cell>
          <cell r="M194" t="str">
            <v>+49 (0) 69 50 50 66 956</v>
          </cell>
          <cell r="N194" t="str">
            <v>Frank Richter</v>
          </cell>
          <cell r="O194" t="str">
            <v>Richter.Frank@principal.com</v>
          </cell>
          <cell r="P194" t="str">
            <v>+49 (0) 69 50 50 66 90</v>
          </cell>
          <cell r="Q194" t="str">
            <v>Germany</v>
          </cell>
          <cell r="R194" t="str">
            <v>EUR</v>
          </cell>
          <cell r="T194" t="str">
            <v>Annually</v>
          </cell>
          <cell r="U194" t="str">
            <v>Annually</v>
          </cell>
          <cell r="W194" t="str">
            <v>German investment tax law</v>
          </cell>
          <cell r="X194" t="str">
            <v>EY</v>
          </cell>
          <cell r="Y194" t="str">
            <v>Spezialfonds</v>
          </cell>
          <cell r="Z194" t="str">
            <v>No</v>
          </cell>
          <cell r="AA194" t="str">
            <v>Yes</v>
          </cell>
          <cell r="AC194" t="str">
            <v>Non-Listed Fund</v>
          </cell>
          <cell r="AD194" t="str">
            <v>Core</v>
          </cell>
          <cell r="AE194" t="str">
            <v>infinite</v>
          </cell>
          <cell r="AF194" t="str">
            <v>Open end</v>
          </cell>
          <cell r="AG194">
            <v>6</v>
          </cell>
          <cell r="AH194">
            <v>6</v>
          </cell>
          <cell r="AI194" t="str">
            <v>Net</v>
          </cell>
          <cell r="AK194">
            <v>4</v>
          </cell>
          <cell r="AM194" t="str">
            <v>&gt; 40% - ≤ 60%</v>
          </cell>
          <cell r="AN194" t="str">
            <v>Institutional</v>
          </cell>
          <cell r="AO194" t="str">
            <v>&gt; 2</v>
          </cell>
          <cell r="AP194" t="str">
            <v>≥ 50%</v>
          </cell>
          <cell r="AQ194" t="str">
            <v>Europe</v>
          </cell>
          <cell r="AR194" t="str">
            <v>multi country</v>
          </cell>
          <cell r="AS194" t="str">
            <v>Europe</v>
          </cell>
          <cell r="AU194" t="str">
            <v>multi sector</v>
          </cell>
          <cell r="AY194">
            <v>2004</v>
          </cell>
          <cell r="BH194" t="str">
            <v>2020-12-31</v>
          </cell>
          <cell r="BI194">
            <v>91884830</v>
          </cell>
          <cell r="BJ194">
            <v>91884830</v>
          </cell>
          <cell r="BK194">
            <v>56884830</v>
          </cell>
          <cell r="BL194">
            <v>56884830</v>
          </cell>
          <cell r="BM194">
            <v>38.090000000000003</v>
          </cell>
          <cell r="BN194" t="str">
            <v>No</v>
          </cell>
          <cell r="BO194" t="str">
            <v>Internal</v>
          </cell>
          <cell r="BP194">
            <v>6</v>
          </cell>
          <cell r="BQ194">
            <v>4</v>
          </cell>
          <cell r="BR194">
            <v>119846023.47</v>
          </cell>
          <cell r="BS194">
            <v>119846023.47</v>
          </cell>
          <cell r="BT194">
            <v>119846023.47</v>
          </cell>
          <cell r="BU194">
            <v>119846023.47</v>
          </cell>
          <cell r="BV194" t="str">
            <v>Yes</v>
          </cell>
          <cell r="BW194" t="str">
            <v>Portugal</v>
          </cell>
          <cell r="BX194" t="str">
            <v>Retail</v>
          </cell>
          <cell r="BY194">
            <v>6</v>
          </cell>
          <cell r="BZ194" t="str">
            <v>Germany</v>
          </cell>
          <cell r="CA194" t="str">
            <v>Office</v>
          </cell>
          <cell r="CB194">
            <v>66.099999999999994</v>
          </cell>
          <cell r="CC194" t="str">
            <v>Spain</v>
          </cell>
          <cell r="CD194" t="str">
            <v>Retail</v>
          </cell>
          <cell r="CE194">
            <v>27.9</v>
          </cell>
        </row>
        <row r="195">
          <cell r="A195">
            <v>153</v>
          </cell>
          <cell r="B195" t="str">
            <v>EUROFFICE FUND</v>
          </cell>
          <cell r="C195" t="str">
            <v>AEW CILOGER</v>
          </cell>
          <cell r="D195" t="str">
            <v>22 rue du Docteur Lancereaux</v>
          </cell>
          <cell r="E195">
            <v>75008</v>
          </cell>
          <cell r="F195" t="str">
            <v>Paris</v>
          </cell>
          <cell r="G195" t="str">
            <v>France</v>
          </cell>
          <cell r="H195" t="str">
            <v>+33 (0) 1 78 40 93 53</v>
          </cell>
          <cell r="J195" t="str">
            <v>http://www.aeweurope.com</v>
          </cell>
          <cell r="K195" t="str">
            <v>Stéphane SEBBAN</v>
          </cell>
          <cell r="L195" t="str">
            <v>stephane.sebban@eu.aew.com</v>
          </cell>
          <cell r="M195" t="str">
            <v>+33 (0) 1 78 40 93 53</v>
          </cell>
          <cell r="N195" t="str">
            <v>Stéphane SEBBAN</v>
          </cell>
          <cell r="O195" t="str">
            <v>stephane.sebban@eu.aew.com</v>
          </cell>
          <cell r="P195" t="str">
            <v>+33 (0) 1 78 40 93 53</v>
          </cell>
          <cell r="Q195" t="str">
            <v>France</v>
          </cell>
          <cell r="R195" t="str">
            <v>EUR</v>
          </cell>
          <cell r="S195" t="str">
            <v>IFRS</v>
          </cell>
          <cell r="T195" t="str">
            <v>Quarterly</v>
          </cell>
          <cell r="U195" t="str">
            <v>Annually</v>
          </cell>
          <cell r="V195" t="str">
            <v>RICS</v>
          </cell>
          <cell r="W195" t="str">
            <v>INREV NAV</v>
          </cell>
          <cell r="X195" t="str">
            <v>KPMG</v>
          </cell>
          <cell r="Y195" t="str">
            <v>SAS</v>
          </cell>
          <cell r="Z195" t="str">
            <v>No</v>
          </cell>
          <cell r="AB195">
            <v>0</v>
          </cell>
          <cell r="AC195" t="str">
            <v>Non-Listed Fund</v>
          </cell>
          <cell r="AD195" t="str">
            <v>Core</v>
          </cell>
          <cell r="AE195" t="str">
            <v>finite</v>
          </cell>
          <cell r="AF195" t="str">
            <v>Closed end</v>
          </cell>
          <cell r="AG195">
            <v>8</v>
          </cell>
          <cell r="AH195">
            <v>9</v>
          </cell>
          <cell r="AI195" t="str">
            <v>Net</v>
          </cell>
          <cell r="AK195">
            <v>5</v>
          </cell>
          <cell r="AL195">
            <v>60</v>
          </cell>
          <cell r="AM195" t="str">
            <v>&gt; 40% - ≤ 60%</v>
          </cell>
          <cell r="AN195" t="str">
            <v>Institutional</v>
          </cell>
          <cell r="AO195" t="str">
            <v>&gt; 2</v>
          </cell>
          <cell r="AP195" t="str">
            <v>≥ 50%</v>
          </cell>
          <cell r="AQ195" t="str">
            <v>Europe</v>
          </cell>
          <cell r="AR195" t="str">
            <v>multi country</v>
          </cell>
          <cell r="AS195" t="str">
            <v>Europe</v>
          </cell>
          <cell r="AU195" t="str">
            <v>single sector</v>
          </cell>
          <cell r="AV195" t="str">
            <v>Office</v>
          </cell>
          <cell r="AW195">
            <v>350000000</v>
          </cell>
          <cell r="AX195">
            <v>875000000</v>
          </cell>
          <cell r="AY195">
            <v>2006</v>
          </cell>
          <cell r="AZ195">
            <v>2014</v>
          </cell>
          <cell r="BA195" t="str">
            <v>Yes</v>
          </cell>
          <cell r="BB195" t="str">
            <v>Yes</v>
          </cell>
          <cell r="BC195" t="str">
            <v>2 years</v>
          </cell>
          <cell r="BH195" t="str">
            <v>2020-12-31</v>
          </cell>
          <cell r="BI195">
            <v>5507292</v>
          </cell>
          <cell r="BJ195">
            <v>5507292</v>
          </cell>
          <cell r="BK195">
            <v>5492103</v>
          </cell>
          <cell r="BL195">
            <v>5492103</v>
          </cell>
          <cell r="BM195">
            <v>0</v>
          </cell>
          <cell r="BN195" t="str">
            <v>Yes</v>
          </cell>
          <cell r="BO195" t="str">
            <v>External</v>
          </cell>
          <cell r="BP195">
            <v>17</v>
          </cell>
          <cell r="BQ195">
            <v>0</v>
          </cell>
          <cell r="BR195">
            <v>350000000</v>
          </cell>
          <cell r="BS195">
            <v>350000000</v>
          </cell>
          <cell r="BT195">
            <v>339043202</v>
          </cell>
          <cell r="BU195">
            <v>339043202</v>
          </cell>
          <cell r="BV195" t="str">
            <v>No</v>
          </cell>
        </row>
        <row r="196">
          <cell r="A196">
            <v>19565</v>
          </cell>
          <cell r="B196" t="str">
            <v>EUROPA DIVERSIFIED INCOME FUND</v>
          </cell>
          <cell r="C196" t="str">
            <v>EUROPA CAPITAL</v>
          </cell>
          <cell r="D196" t="str">
            <v>15 Sloane Square, Chelsea</v>
          </cell>
          <cell r="E196" t="str">
            <v>SW1W 8ER</v>
          </cell>
          <cell r="F196" t="str">
            <v>London</v>
          </cell>
          <cell r="G196" t="str">
            <v>United Kingdom</v>
          </cell>
          <cell r="H196" t="str">
            <v>+442078816800</v>
          </cell>
          <cell r="I196" t="str">
            <v>+442078816800</v>
          </cell>
          <cell r="J196" t="str">
            <v>https://www.europacapital.com/</v>
          </cell>
          <cell r="K196" t="str">
            <v>Andy Watson</v>
          </cell>
          <cell r="L196" t="str">
            <v>awatson@europacapital.com</v>
          </cell>
          <cell r="M196" t="str">
            <v>+442078816800</v>
          </cell>
          <cell r="N196" t="str">
            <v>Ian Currie</v>
          </cell>
          <cell r="O196" t="str">
            <v>icurrie@europacapital.com</v>
          </cell>
          <cell r="P196" t="str">
            <v>+442078816800</v>
          </cell>
          <cell r="Q196" t="str">
            <v>Luxembourg</v>
          </cell>
          <cell r="R196" t="str">
            <v>EUR</v>
          </cell>
          <cell r="S196" t="str">
            <v>Local GAAP</v>
          </cell>
          <cell r="T196" t="str">
            <v>Quarterly</v>
          </cell>
          <cell r="U196" t="str">
            <v>Quarterly</v>
          </cell>
          <cell r="V196" t="str">
            <v>RICS</v>
          </cell>
          <cell r="W196" t="str">
            <v>INREV NAV</v>
          </cell>
          <cell r="X196" t="str">
            <v>EY</v>
          </cell>
          <cell r="Y196" t="str">
            <v>Limited Partnership</v>
          </cell>
          <cell r="Z196" t="str">
            <v>Yes</v>
          </cell>
          <cell r="AA196" t="str">
            <v>Yes</v>
          </cell>
          <cell r="AB196">
            <v>0</v>
          </cell>
          <cell r="AC196" t="str">
            <v>Non-Listed Fund</v>
          </cell>
          <cell r="AD196" t="str">
            <v>Core</v>
          </cell>
          <cell r="AE196" t="str">
            <v>infinite</v>
          </cell>
          <cell r="AF196" t="str">
            <v>Open end</v>
          </cell>
          <cell r="AG196">
            <v>5.5</v>
          </cell>
          <cell r="AH196">
            <v>6</v>
          </cell>
          <cell r="AI196" t="str">
            <v>Net</v>
          </cell>
          <cell r="AJ196" t="str">
            <v>4% Net Distribution Yield - the Fund will also aim to outperform MSCI PEPFI Index as a secondary target</v>
          </cell>
          <cell r="AK196">
            <v>4</v>
          </cell>
          <cell r="AM196" t="str">
            <v>≤ 40%</v>
          </cell>
          <cell r="AN196" t="str">
            <v>Institutional</v>
          </cell>
          <cell r="AO196" t="str">
            <v>&gt; 2</v>
          </cell>
          <cell r="AP196" t="str">
            <v>≥ 50%</v>
          </cell>
          <cell r="AQ196" t="str">
            <v>Europe</v>
          </cell>
          <cell r="AR196" t="str">
            <v>multi country</v>
          </cell>
          <cell r="AS196" t="str">
            <v>Europe</v>
          </cell>
          <cell r="AU196" t="str">
            <v>multi sector</v>
          </cell>
          <cell r="AX196">
            <v>2000</v>
          </cell>
          <cell r="AY196">
            <v>2020</v>
          </cell>
          <cell r="BD196" t="str">
            <v>No</v>
          </cell>
          <cell r="BE196" t="str">
            <v>≥ 60%</v>
          </cell>
          <cell r="BF196" t="str">
            <v>≤ 15%</v>
          </cell>
          <cell r="BH196" t="str">
            <v>2020-03-31</v>
          </cell>
          <cell r="BJ196">
            <v>0</v>
          </cell>
          <cell r="BL196">
            <v>0</v>
          </cell>
          <cell r="BS196">
            <v>0</v>
          </cell>
        </row>
        <row r="197">
          <cell r="A197">
            <v>155</v>
          </cell>
          <cell r="B197" t="str">
            <v>EUROPA FUND II</v>
          </cell>
          <cell r="C197" t="str">
            <v>EUROPA CAPITAL PARTNERS LTD</v>
          </cell>
          <cell r="D197" t="str">
            <v>15 Sloane Square</v>
          </cell>
          <cell r="E197" t="str">
            <v>SW1W 8ER</v>
          </cell>
          <cell r="F197" t="str">
            <v>London</v>
          </cell>
          <cell r="G197" t="str">
            <v>United Kingdom</v>
          </cell>
          <cell r="H197" t="str">
            <v>+442078816800</v>
          </cell>
          <cell r="J197" t="str">
            <v>http://www.europacapital.com</v>
          </cell>
          <cell r="M197" t="str">
            <v>+442078816883</v>
          </cell>
          <cell r="N197" t="str">
            <v>Wendy Phillips</v>
          </cell>
          <cell r="O197" t="str">
            <v>wphillips@europacapital.com</v>
          </cell>
          <cell r="P197" t="str">
            <v>+442078816800</v>
          </cell>
          <cell r="Q197" t="str">
            <v>United Kingdom</v>
          </cell>
          <cell r="R197" t="str">
            <v>EUR</v>
          </cell>
          <cell r="T197" t="str">
            <v>Quarterly</v>
          </cell>
          <cell r="U197" t="str">
            <v>Quarterly</v>
          </cell>
          <cell r="X197" t="str">
            <v>Deloitte &amp; Touche</v>
          </cell>
          <cell r="Y197" t="str">
            <v>Limited Partnership</v>
          </cell>
          <cell r="AB197">
            <v>0</v>
          </cell>
          <cell r="AC197" t="str">
            <v>Non-Listed Fund</v>
          </cell>
          <cell r="AD197" t="str">
            <v>Value-added</v>
          </cell>
          <cell r="AE197" t="str">
            <v>finite</v>
          </cell>
          <cell r="AF197" t="str">
            <v>Closed end</v>
          </cell>
          <cell r="AG197">
            <v>20</v>
          </cell>
          <cell r="AH197">
            <v>20</v>
          </cell>
          <cell r="AM197" t="str">
            <v>&gt; 60%</v>
          </cell>
          <cell r="AN197" t="str">
            <v>Institutional</v>
          </cell>
          <cell r="AQ197" t="str">
            <v>Europe</v>
          </cell>
          <cell r="AR197" t="str">
            <v>multi country</v>
          </cell>
          <cell r="AS197" t="str">
            <v>Europe</v>
          </cell>
          <cell r="AU197" t="str">
            <v>multi sector</v>
          </cell>
          <cell r="AW197">
            <v>450000000</v>
          </cell>
          <cell r="AY197">
            <v>2004</v>
          </cell>
          <cell r="AZ197">
            <v>2012</v>
          </cell>
          <cell r="BH197" t="str">
            <v>2015-03-31</v>
          </cell>
          <cell r="BJ197">
            <v>0</v>
          </cell>
          <cell r="BL197">
            <v>0</v>
          </cell>
          <cell r="BR197">
            <v>450000000</v>
          </cell>
          <cell r="BS197">
            <v>450000000</v>
          </cell>
          <cell r="BU197">
            <v>0</v>
          </cell>
        </row>
        <row r="198">
          <cell r="A198">
            <v>547</v>
          </cell>
          <cell r="B198" t="str">
            <v>EUROPA FUND III</v>
          </cell>
          <cell r="C198" t="str">
            <v>EUROPA CAPITAL LLP</v>
          </cell>
          <cell r="D198" t="str">
            <v xml:space="preserve">15 Sloane Square </v>
          </cell>
          <cell r="E198" t="str">
            <v>SW1W 8ER</v>
          </cell>
          <cell r="F198" t="str">
            <v>LONDON</v>
          </cell>
          <cell r="G198" t="str">
            <v>United Kingdom</v>
          </cell>
          <cell r="H198" t="str">
            <v>+442078816800</v>
          </cell>
          <cell r="J198" t="str">
            <v>https://www.europacapital.com/</v>
          </cell>
          <cell r="K198" t="str">
            <v>Europa Capital LLP</v>
          </cell>
          <cell r="N198" t="str">
            <v>Wendy Phillips</v>
          </cell>
          <cell r="O198" t="str">
            <v>wPhillips@EuropaCapital.com</v>
          </cell>
          <cell r="P198" t="str">
            <v>+442078816800</v>
          </cell>
          <cell r="Q198" t="str">
            <v>United Kingdom</v>
          </cell>
          <cell r="R198" t="str">
            <v>EUR</v>
          </cell>
          <cell r="S198" t="str">
            <v>Local GAAP</v>
          </cell>
          <cell r="T198" t="str">
            <v>Quarterly</v>
          </cell>
          <cell r="U198" t="str">
            <v>Quarterly</v>
          </cell>
          <cell r="V198" t="str">
            <v>RICS</v>
          </cell>
          <cell r="W198" t="str">
            <v>INREV NAV</v>
          </cell>
          <cell r="Y198" t="str">
            <v>Limited Partnership</v>
          </cell>
          <cell r="Z198" t="str">
            <v>No</v>
          </cell>
          <cell r="AB198">
            <v>0</v>
          </cell>
          <cell r="AC198" t="str">
            <v>Non-Listed Fund</v>
          </cell>
          <cell r="AD198" t="str">
            <v>Value-added</v>
          </cell>
          <cell r="AE198" t="str">
            <v>finite</v>
          </cell>
          <cell r="AF198" t="str">
            <v>Closed end</v>
          </cell>
          <cell r="AN198" t="str">
            <v>Institutional</v>
          </cell>
          <cell r="AO198" t="str">
            <v>&gt; 2</v>
          </cell>
          <cell r="AP198" t="str">
            <v>≥ 50%</v>
          </cell>
          <cell r="AQ198" t="str">
            <v>Europe</v>
          </cell>
          <cell r="AR198" t="str">
            <v>multi country</v>
          </cell>
          <cell r="AS198" t="str">
            <v>Europe</v>
          </cell>
          <cell r="AU198" t="str">
            <v>multi sector</v>
          </cell>
          <cell r="AY198">
            <v>2008</v>
          </cell>
          <cell r="BH198" t="str">
            <v>2020-12-31</v>
          </cell>
          <cell r="BI198">
            <v>44218996</v>
          </cell>
          <cell r="BJ198">
            <v>44218996</v>
          </cell>
          <cell r="BK198">
            <v>44183021</v>
          </cell>
          <cell r="BL198">
            <v>44183021</v>
          </cell>
          <cell r="BM198">
            <v>0</v>
          </cell>
          <cell r="BN198" t="str">
            <v>Yes</v>
          </cell>
          <cell r="BO198" t="str">
            <v>External</v>
          </cell>
          <cell r="BP198">
            <v>73</v>
          </cell>
          <cell r="BQ198">
            <v>1</v>
          </cell>
          <cell r="BR198">
            <v>7306347005</v>
          </cell>
          <cell r="BS198">
            <v>7306347005</v>
          </cell>
          <cell r="BT198">
            <v>695448943</v>
          </cell>
          <cell r="BU198">
            <v>695448943</v>
          </cell>
          <cell r="BV198" t="str">
            <v>No</v>
          </cell>
          <cell r="BW198" t="str">
            <v>United Kingdom</v>
          </cell>
          <cell r="BX198" t="str">
            <v>Residential</v>
          </cell>
          <cell r="BY198">
            <v>97.1</v>
          </cell>
        </row>
        <row r="199">
          <cell r="A199">
            <v>17512</v>
          </cell>
          <cell r="B199" t="str">
            <v>EUROPA FUND IV</v>
          </cell>
          <cell r="C199" t="str">
            <v>EUROPA CAPITAL LLP</v>
          </cell>
          <cell r="D199" t="str">
            <v>15 Sloane Square</v>
          </cell>
          <cell r="E199" t="str">
            <v>SW1W 8ER</v>
          </cell>
          <cell r="F199" t="str">
            <v>London</v>
          </cell>
          <cell r="G199" t="str">
            <v>United Kingdom</v>
          </cell>
          <cell r="H199" t="str">
            <v>+442078816800</v>
          </cell>
          <cell r="J199" t="str">
            <v>https://www.europacapital.com/</v>
          </cell>
          <cell r="N199" t="str">
            <v>Wendy Phillips</v>
          </cell>
          <cell r="O199" t="str">
            <v>wPhillips@EuropaCapital.com</v>
          </cell>
          <cell r="P199" t="str">
            <v>+442078816800</v>
          </cell>
          <cell r="Q199" t="str">
            <v>United Kingdom</v>
          </cell>
          <cell r="R199" t="str">
            <v>EUR</v>
          </cell>
          <cell r="S199" t="str">
            <v>Local GAAP</v>
          </cell>
          <cell r="T199" t="str">
            <v>Quarterly</v>
          </cell>
          <cell r="U199" t="str">
            <v>Annually</v>
          </cell>
          <cell r="V199" t="str">
            <v>RICS</v>
          </cell>
          <cell r="W199" t="str">
            <v>INREV NAV</v>
          </cell>
          <cell r="X199" t="str">
            <v>Deloitte</v>
          </cell>
          <cell r="Y199" t="str">
            <v>Limited Partnership</v>
          </cell>
          <cell r="Z199" t="str">
            <v>No</v>
          </cell>
          <cell r="AA199" t="str">
            <v>Yes</v>
          </cell>
          <cell r="AC199" t="str">
            <v>Non-Listed Fund</v>
          </cell>
          <cell r="AD199" t="str">
            <v>Value-added</v>
          </cell>
          <cell r="AE199" t="str">
            <v>finite</v>
          </cell>
          <cell r="AF199" t="str">
            <v>Closed end</v>
          </cell>
          <cell r="AN199" t="str">
            <v>Institutional</v>
          </cell>
          <cell r="AO199" t="str">
            <v>&gt; 2</v>
          </cell>
          <cell r="AP199" t="str">
            <v>≥ 50%</v>
          </cell>
          <cell r="AQ199" t="str">
            <v>Europe</v>
          </cell>
          <cell r="AR199" t="str">
            <v>multi country</v>
          </cell>
          <cell r="AS199" t="str">
            <v>Europe</v>
          </cell>
          <cell r="AU199" t="str">
            <v>multi sector</v>
          </cell>
          <cell r="AY199">
            <v>2012</v>
          </cell>
          <cell r="BH199" t="str">
            <v>2019-09-30</v>
          </cell>
          <cell r="BI199">
            <v>298337228</v>
          </cell>
          <cell r="BJ199">
            <v>298337228</v>
          </cell>
          <cell r="BK199">
            <v>285342932</v>
          </cell>
          <cell r="BL199">
            <v>285342932</v>
          </cell>
          <cell r="BM199">
            <v>4.2</v>
          </cell>
          <cell r="BQ199">
            <v>9</v>
          </cell>
          <cell r="BS199">
            <v>0</v>
          </cell>
          <cell r="BW199" t="str">
            <v>Spain</v>
          </cell>
          <cell r="BX199" t="str">
            <v>Residential</v>
          </cell>
          <cell r="BY199">
            <v>12.5</v>
          </cell>
          <cell r="BZ199" t="str">
            <v>United Kingdom</v>
          </cell>
          <cell r="CA199" t="str">
            <v>Residential</v>
          </cell>
          <cell r="CB199">
            <v>28.4</v>
          </cell>
          <cell r="CC199" t="str">
            <v>United Kingdom</v>
          </cell>
          <cell r="CD199" t="str">
            <v>Office</v>
          </cell>
          <cell r="CE199">
            <v>17.2</v>
          </cell>
          <cell r="CF199" t="str">
            <v>United Kingdom</v>
          </cell>
          <cell r="CG199" t="str">
            <v>Industrial / Logistics</v>
          </cell>
          <cell r="CH199">
            <v>0.9</v>
          </cell>
          <cell r="CI199" t="str">
            <v>Italy</v>
          </cell>
          <cell r="CJ199" t="str">
            <v>Retail</v>
          </cell>
          <cell r="CK199">
            <v>8.5</v>
          </cell>
          <cell r="CL199" t="str">
            <v>United Kingdom</v>
          </cell>
          <cell r="CM199" t="str">
            <v>Retail</v>
          </cell>
          <cell r="CN199">
            <v>32.5</v>
          </cell>
        </row>
        <row r="200">
          <cell r="A200">
            <v>18093</v>
          </cell>
          <cell r="B200" t="str">
            <v>EUROPA FUND V</v>
          </cell>
          <cell r="C200" t="str">
            <v>EUROPA CAPITAL LLP</v>
          </cell>
          <cell r="D200" t="str">
            <v>15 Sloane Square</v>
          </cell>
          <cell r="E200" t="str">
            <v>SW1W 8ER</v>
          </cell>
          <cell r="F200" t="str">
            <v>London</v>
          </cell>
          <cell r="G200" t="str">
            <v>United Kingdom</v>
          </cell>
          <cell r="H200" t="str">
            <v>+442078816800</v>
          </cell>
          <cell r="I200" t="str">
            <v>+442078810501</v>
          </cell>
          <cell r="J200" t="str">
            <v>http://www.europacapital.com</v>
          </cell>
          <cell r="N200" t="str">
            <v>Wendy Phillips</v>
          </cell>
          <cell r="O200" t="str">
            <v>wPhillips@EuropaCapital.com</v>
          </cell>
          <cell r="P200" t="str">
            <v>+442078816800</v>
          </cell>
          <cell r="Q200" t="str">
            <v>United Kingdom</v>
          </cell>
          <cell r="R200" t="str">
            <v>EUR</v>
          </cell>
          <cell r="S200" t="str">
            <v>Local GAAP</v>
          </cell>
          <cell r="T200" t="str">
            <v>Quarterly</v>
          </cell>
          <cell r="U200" t="str">
            <v>Annually</v>
          </cell>
          <cell r="V200" t="str">
            <v>RICS</v>
          </cell>
          <cell r="W200" t="str">
            <v>INREV NAV</v>
          </cell>
          <cell r="X200" t="str">
            <v>Deloitte LLP</v>
          </cell>
          <cell r="Y200" t="str">
            <v>Limited Partnership</v>
          </cell>
          <cell r="Z200" t="str">
            <v>No</v>
          </cell>
          <cell r="AA200" t="str">
            <v>Yes</v>
          </cell>
          <cell r="AC200" t="str">
            <v>Non-Listed Fund</v>
          </cell>
          <cell r="AD200" t="str">
            <v>Value-added</v>
          </cell>
          <cell r="AE200" t="str">
            <v>finite</v>
          </cell>
          <cell r="AF200" t="str">
            <v>Closed end</v>
          </cell>
          <cell r="AG200">
            <v>15</v>
          </cell>
          <cell r="AH200">
            <v>15</v>
          </cell>
          <cell r="AI200" t="str">
            <v>Net</v>
          </cell>
          <cell r="AN200" t="str">
            <v>Institutional</v>
          </cell>
          <cell r="AO200" t="str">
            <v>&gt; 2</v>
          </cell>
          <cell r="AP200" t="str">
            <v>≥ 50%</v>
          </cell>
          <cell r="AQ200" t="str">
            <v>Europe</v>
          </cell>
          <cell r="AR200" t="str">
            <v>multi country</v>
          </cell>
          <cell r="AS200" t="str">
            <v>Europe</v>
          </cell>
          <cell r="AU200" t="str">
            <v>multi sector</v>
          </cell>
          <cell r="AY200">
            <v>2016</v>
          </cell>
          <cell r="BH200" t="str">
            <v>2020-12-31</v>
          </cell>
          <cell r="BI200">
            <v>528089635.50999999</v>
          </cell>
          <cell r="BJ200">
            <v>528089635.50999999</v>
          </cell>
          <cell r="BK200">
            <v>492218765.50999999</v>
          </cell>
          <cell r="BL200">
            <v>492218765.50999999</v>
          </cell>
          <cell r="BM200">
            <v>6.57</v>
          </cell>
          <cell r="BN200" t="str">
            <v>Yes</v>
          </cell>
          <cell r="BO200" t="str">
            <v>External</v>
          </cell>
          <cell r="BP200">
            <v>20</v>
          </cell>
          <cell r="BQ200">
            <v>14</v>
          </cell>
          <cell r="BR200">
            <v>680971875</v>
          </cell>
          <cell r="BS200">
            <v>680971875</v>
          </cell>
          <cell r="BT200">
            <v>653401927</v>
          </cell>
          <cell r="BU200">
            <v>653401927</v>
          </cell>
          <cell r="BV200" t="str">
            <v>No</v>
          </cell>
          <cell r="BW200" t="str">
            <v>Sweden</v>
          </cell>
          <cell r="BX200" t="str">
            <v>Office</v>
          </cell>
          <cell r="BY200">
            <v>6.37</v>
          </cell>
          <cell r="BZ200" t="str">
            <v>Netherlands</v>
          </cell>
          <cell r="CA200" t="str">
            <v>Industrial / Logistics</v>
          </cell>
          <cell r="CB200">
            <v>9.7799999999999994</v>
          </cell>
          <cell r="CC200" t="str">
            <v>Ireland</v>
          </cell>
          <cell r="CD200" t="str">
            <v>Retail</v>
          </cell>
          <cell r="CE200">
            <v>8.39</v>
          </cell>
          <cell r="CF200" t="str">
            <v>Ireland</v>
          </cell>
          <cell r="CG200" t="str">
            <v>Office</v>
          </cell>
          <cell r="CH200">
            <v>8.02</v>
          </cell>
          <cell r="CI200" t="str">
            <v>France</v>
          </cell>
          <cell r="CJ200" t="str">
            <v>Office</v>
          </cell>
          <cell r="CK200">
            <v>0.01</v>
          </cell>
          <cell r="CL200" t="str">
            <v>Spain</v>
          </cell>
          <cell r="CM200" t="str">
            <v>Residential</v>
          </cell>
          <cell r="CN200">
            <v>5.0199999999999996</v>
          </cell>
          <cell r="CO200" t="str">
            <v>Spain</v>
          </cell>
          <cell r="CP200" t="str">
            <v>Retail</v>
          </cell>
          <cell r="CQ200">
            <v>4.84</v>
          </cell>
          <cell r="CR200" t="str">
            <v>Austria</v>
          </cell>
          <cell r="CS200" t="str">
            <v>Industrial / Logistics</v>
          </cell>
          <cell r="CT200">
            <v>1.1599999999999999</v>
          </cell>
          <cell r="CU200" t="str">
            <v>Germany</v>
          </cell>
          <cell r="CV200" t="str">
            <v>Office</v>
          </cell>
          <cell r="CW200">
            <v>8.0500000000000007</v>
          </cell>
          <cell r="CX200" t="str">
            <v>Germany</v>
          </cell>
          <cell r="CY200" t="str">
            <v>Industrial / Logistics</v>
          </cell>
          <cell r="CZ200">
            <v>5.69</v>
          </cell>
          <cell r="DA200" t="str">
            <v>Denmark</v>
          </cell>
          <cell r="DB200" t="str">
            <v>Residential</v>
          </cell>
          <cell r="DC200">
            <v>0.42</v>
          </cell>
          <cell r="DD200" t="str">
            <v>United Kingdom</v>
          </cell>
          <cell r="DE200" t="str">
            <v>Residential</v>
          </cell>
          <cell r="DF200">
            <v>18.86</v>
          </cell>
          <cell r="DG200" t="str">
            <v>United Kingdom</v>
          </cell>
          <cell r="DH200" t="str">
            <v>Retail</v>
          </cell>
          <cell r="DI200">
            <v>9.7899999999999991</v>
          </cell>
          <cell r="DJ200" t="str">
            <v>United Kingdom</v>
          </cell>
          <cell r="DK200" t="str">
            <v>Office</v>
          </cell>
          <cell r="DL200">
            <v>8.82</v>
          </cell>
        </row>
        <row r="201">
          <cell r="A201">
            <v>19571</v>
          </cell>
          <cell r="B201" t="str">
            <v>EUROPA FUND VI</v>
          </cell>
          <cell r="C201" t="str">
            <v>EUROPA CAPITAL</v>
          </cell>
          <cell r="D201" t="str">
            <v>15 Sloane Square</v>
          </cell>
          <cell r="E201" t="str">
            <v>SW1W 8ER</v>
          </cell>
          <cell r="F201" t="str">
            <v>London</v>
          </cell>
          <cell r="G201" t="str">
            <v>United Kingdom</v>
          </cell>
          <cell r="H201" t="str">
            <v>+442078816800</v>
          </cell>
          <cell r="I201" t="str">
            <v>+442078810501</v>
          </cell>
          <cell r="J201" t="str">
            <v>https://www.europacapital.com</v>
          </cell>
          <cell r="N201" t="str">
            <v>Ian Currie</v>
          </cell>
          <cell r="O201" t="str">
            <v>icurrie@europacapital.com</v>
          </cell>
          <cell r="P201" t="str">
            <v>+442078816800</v>
          </cell>
          <cell r="Q201" t="str">
            <v>Luxembourg</v>
          </cell>
          <cell r="R201" t="str">
            <v>EUR</v>
          </cell>
          <cell r="S201" t="str">
            <v>Local GAAP</v>
          </cell>
          <cell r="T201" t="str">
            <v>Quarterly</v>
          </cell>
          <cell r="U201" t="str">
            <v>Annually</v>
          </cell>
          <cell r="V201" t="str">
            <v>RICS</v>
          </cell>
          <cell r="W201" t="str">
            <v>INREV NAV</v>
          </cell>
          <cell r="X201" t="str">
            <v>Deloitte</v>
          </cell>
          <cell r="Y201" t="str">
            <v>Real Estate Fund</v>
          </cell>
          <cell r="Z201" t="str">
            <v>No</v>
          </cell>
          <cell r="AA201" t="str">
            <v>Yes</v>
          </cell>
          <cell r="AB201">
            <v>0</v>
          </cell>
          <cell r="AC201" t="str">
            <v>Non-Listed Fund</v>
          </cell>
          <cell r="AD201" t="str">
            <v>Value-added</v>
          </cell>
          <cell r="AE201" t="str">
            <v>finite</v>
          </cell>
          <cell r="AF201" t="str">
            <v>Closed end</v>
          </cell>
          <cell r="AG201">
            <v>12</v>
          </cell>
          <cell r="AH201">
            <v>14</v>
          </cell>
          <cell r="AI201" t="str">
            <v>Net</v>
          </cell>
          <cell r="AN201" t="str">
            <v>Institutional</v>
          </cell>
          <cell r="AO201" t="str">
            <v>&gt; 2</v>
          </cell>
          <cell r="AP201" t="str">
            <v>≥ 50%</v>
          </cell>
          <cell r="AQ201" t="str">
            <v>Europe</v>
          </cell>
          <cell r="AR201" t="str">
            <v>multi country</v>
          </cell>
          <cell r="AS201" t="str">
            <v>Europe</v>
          </cell>
          <cell r="AU201" t="str">
            <v>multi sector</v>
          </cell>
          <cell r="AY201">
            <v>2019</v>
          </cell>
        </row>
        <row r="202">
          <cell r="A202">
            <v>17171</v>
          </cell>
          <cell r="B202" t="str">
            <v>EUROPA III FONDS</v>
          </cell>
          <cell r="C202" t="str">
            <v>BNP PARIBAS REIM GERMANY</v>
          </cell>
          <cell r="D202" t="str">
            <v>Lilli-Palmer-Straße 2</v>
          </cell>
          <cell r="E202">
            <v>80636</v>
          </cell>
          <cell r="F202" t="str">
            <v>Muenchen</v>
          </cell>
          <cell r="G202" t="str">
            <v>Germany</v>
          </cell>
          <cell r="H202" t="str">
            <v>+4989121730</v>
          </cell>
          <cell r="I202" t="str">
            <v>+498912173119</v>
          </cell>
          <cell r="J202" t="str">
            <v>http://www.reim.bnpparibas.de</v>
          </cell>
          <cell r="N202" t="str">
            <v>Katrin Kollmer</v>
          </cell>
          <cell r="O202" t="str">
            <v>Katrin.Kollmer@bnpparibas.com</v>
          </cell>
          <cell r="P202" t="str">
            <v>+498912173324</v>
          </cell>
          <cell r="Q202" t="str">
            <v>Germany</v>
          </cell>
          <cell r="R202" t="str">
            <v>EUR</v>
          </cell>
          <cell r="S202" t="str">
            <v>Local GAAP</v>
          </cell>
          <cell r="T202" t="str">
            <v>Monthly</v>
          </cell>
          <cell r="U202" t="str">
            <v>Annually</v>
          </cell>
          <cell r="W202" t="str">
            <v>INREV NAV</v>
          </cell>
          <cell r="X202" t="str">
            <v>Deloitte</v>
          </cell>
          <cell r="Y202" t="str">
            <v>Spezialfonds</v>
          </cell>
          <cell r="Z202" t="str">
            <v>Yes</v>
          </cell>
          <cell r="AA202" t="str">
            <v>Yes</v>
          </cell>
          <cell r="AC202" t="str">
            <v>Non-Listed Fund</v>
          </cell>
          <cell r="AD202" t="str">
            <v>Core</v>
          </cell>
          <cell r="AE202" t="str">
            <v>infinite</v>
          </cell>
          <cell r="AF202" t="str">
            <v>Open end</v>
          </cell>
          <cell r="AN202" t="str">
            <v>Institutional</v>
          </cell>
          <cell r="AO202" t="str">
            <v>≤ 2</v>
          </cell>
          <cell r="AP202" t="str">
            <v>≥ 50%</v>
          </cell>
          <cell r="AQ202" t="str">
            <v>Europe</v>
          </cell>
          <cell r="AR202" t="str">
            <v>multi country</v>
          </cell>
          <cell r="AS202" t="str">
            <v>Western Europe</v>
          </cell>
          <cell r="AU202" t="str">
            <v>multi sector</v>
          </cell>
          <cell r="AY202">
            <v>2010</v>
          </cell>
          <cell r="BB202" t="str">
            <v>No</v>
          </cell>
          <cell r="BD202" t="str">
            <v>Yes</v>
          </cell>
          <cell r="BH202" t="str">
            <v>2020-12-31</v>
          </cell>
          <cell r="BI202">
            <v>364355416.42000002</v>
          </cell>
          <cell r="BJ202">
            <v>364355416.42000002</v>
          </cell>
          <cell r="BK202">
            <v>256612914.30000001</v>
          </cell>
          <cell r="BL202">
            <v>256612914.30000001</v>
          </cell>
          <cell r="BM202">
            <v>24.89</v>
          </cell>
          <cell r="BN202" t="str">
            <v>No</v>
          </cell>
          <cell r="BO202" t="str">
            <v>External</v>
          </cell>
          <cell r="BP202">
            <v>1</v>
          </cell>
          <cell r="BQ202">
            <v>8</v>
          </cell>
          <cell r="BR202">
            <v>160299562.65000001</v>
          </cell>
          <cell r="BS202">
            <v>160299562.65000001</v>
          </cell>
          <cell r="BT202">
            <v>160299562.65000001</v>
          </cell>
          <cell r="BU202">
            <v>160299562.65000001</v>
          </cell>
          <cell r="BV202" t="str">
            <v>No</v>
          </cell>
          <cell r="BW202" t="str">
            <v>France</v>
          </cell>
          <cell r="BX202" t="str">
            <v>Office</v>
          </cell>
          <cell r="BY202">
            <v>12.81</v>
          </cell>
          <cell r="BZ202" t="str">
            <v>Belgium</v>
          </cell>
          <cell r="CA202" t="str">
            <v>Office</v>
          </cell>
          <cell r="CB202">
            <v>7.49</v>
          </cell>
          <cell r="CC202" t="str">
            <v>Germany</v>
          </cell>
          <cell r="CD202" t="str">
            <v>Hotel</v>
          </cell>
          <cell r="CE202">
            <v>17.8</v>
          </cell>
          <cell r="CF202" t="str">
            <v>Germany</v>
          </cell>
          <cell r="CG202" t="str">
            <v>Office</v>
          </cell>
          <cell r="CH202">
            <v>56.12</v>
          </cell>
        </row>
        <row r="203">
          <cell r="A203">
            <v>18558</v>
          </cell>
          <cell r="B203" t="str">
            <v>EUROPE CITY RETAIL FUND</v>
          </cell>
          <cell r="C203" t="str">
            <v>INSTITUTIONAL INVESTMENT PARTNERS (2IP)</v>
          </cell>
          <cell r="D203" t="str">
            <v xml:space="preserve">Hamburger Allee 45 </v>
          </cell>
          <cell r="E203" t="str">
            <v>D-60486</v>
          </cell>
          <cell r="F203" t="str">
            <v>Frankfurt</v>
          </cell>
          <cell r="G203" t="str">
            <v>Germany</v>
          </cell>
          <cell r="J203" t="str">
            <v>http://aew.com</v>
          </cell>
          <cell r="K203" t="str">
            <v>Christina Ofschonka</v>
          </cell>
          <cell r="L203" t="str">
            <v>christina.ofschonka@eu.aew.com</v>
          </cell>
          <cell r="N203" t="str">
            <v>Alex Griffiths</v>
          </cell>
          <cell r="O203" t="str">
            <v>alex.griffiths@eu.aew.com</v>
          </cell>
          <cell r="P203">
            <v>2070164840</v>
          </cell>
          <cell r="Q203" t="str">
            <v>Germany</v>
          </cell>
          <cell r="R203" t="str">
            <v>EUR</v>
          </cell>
          <cell r="S203" t="str">
            <v>Local GAAP</v>
          </cell>
          <cell r="T203" t="str">
            <v>Quarterly</v>
          </cell>
          <cell r="U203" t="str">
            <v>Annually</v>
          </cell>
          <cell r="V203" t="str">
            <v>ImmoWertV</v>
          </cell>
          <cell r="W203" t="str">
            <v>IFRS NAV</v>
          </cell>
          <cell r="X203" t="str">
            <v>PriceWaterhouseCooper</v>
          </cell>
          <cell r="Y203" t="str">
            <v>Spezialfonds</v>
          </cell>
          <cell r="Z203" t="str">
            <v>No</v>
          </cell>
          <cell r="AA203" t="str">
            <v>Yes</v>
          </cell>
          <cell r="AC203" t="str">
            <v>Non-Listed Fund</v>
          </cell>
          <cell r="AD203" t="str">
            <v>Core</v>
          </cell>
          <cell r="AE203" t="str">
            <v>infinite</v>
          </cell>
          <cell r="AF203" t="str">
            <v>Open end</v>
          </cell>
          <cell r="AG203">
            <v>5.5</v>
          </cell>
          <cell r="AH203">
            <v>6.5</v>
          </cell>
          <cell r="AI203" t="str">
            <v>Net</v>
          </cell>
          <cell r="AK203">
            <v>4.5</v>
          </cell>
          <cell r="AL203">
            <v>50</v>
          </cell>
          <cell r="AM203" t="str">
            <v>&gt; 40% - ≤ 60%</v>
          </cell>
          <cell r="AN203" t="str">
            <v>Institutional</v>
          </cell>
          <cell r="AO203" t="str">
            <v>&gt; 2</v>
          </cell>
          <cell r="AP203" t="str">
            <v>≥ 50%</v>
          </cell>
          <cell r="AQ203" t="str">
            <v>Europe</v>
          </cell>
          <cell r="AR203" t="str">
            <v>multi country</v>
          </cell>
          <cell r="AS203" t="str">
            <v>Europe</v>
          </cell>
          <cell r="AU203" t="str">
            <v>single sector</v>
          </cell>
          <cell r="AV203" t="str">
            <v>Retail</v>
          </cell>
          <cell r="AW203">
            <v>800000000</v>
          </cell>
          <cell r="AY203">
            <v>2015</v>
          </cell>
          <cell r="BA203" t="str">
            <v>Yes</v>
          </cell>
          <cell r="BD203" t="str">
            <v>No</v>
          </cell>
          <cell r="BE203" t="str">
            <v>≥ 60%</v>
          </cell>
          <cell r="BG203" t="str">
            <v>&gt; 5 - ≤ 25%</v>
          </cell>
        </row>
        <row r="204">
          <cell r="A204">
            <v>18227</v>
          </cell>
          <cell r="B204" t="str">
            <v>EUROPE II SICAV-SIF</v>
          </cell>
          <cell r="C204" t="str">
            <v>DWS INVESTMENT S.A.</v>
          </cell>
          <cell r="D204" t="str">
            <v>2-4 rue Eugene Ruppert</v>
          </cell>
          <cell r="E204" t="str">
            <v>L-2453</v>
          </cell>
          <cell r="F204" t="str">
            <v>Luxembourg</v>
          </cell>
          <cell r="G204" t="str">
            <v>Luxembourg</v>
          </cell>
          <cell r="H204" t="str">
            <v>+352 24 524 1</v>
          </cell>
          <cell r="I204" t="str">
            <v>+352 24 52 4204</v>
          </cell>
          <cell r="K204" t="str">
            <v>Nicoletta De Bona Bottegal</v>
          </cell>
          <cell r="L204" t="str">
            <v>nicoletta.de-bona-bottegal@dws.com</v>
          </cell>
          <cell r="M204" t="str">
            <v>+44 (0) 207 547 0110</v>
          </cell>
          <cell r="N204" t="str">
            <v>BNYM - Transfer Agency</v>
          </cell>
          <cell r="O204" t="str">
            <v>luxmb_domiciliary@bnymellon.com</v>
          </cell>
          <cell r="P204" t="str">
            <v>+352 24 52 5316</v>
          </cell>
          <cell r="Q204" t="str">
            <v>Luxembourg</v>
          </cell>
          <cell r="R204" t="str">
            <v>EUR</v>
          </cell>
          <cell r="S204" t="str">
            <v>IFRS</v>
          </cell>
          <cell r="T204" t="str">
            <v>Quarterly</v>
          </cell>
          <cell r="U204" t="str">
            <v>Quarterly</v>
          </cell>
          <cell r="V204" t="str">
            <v>RICS</v>
          </cell>
          <cell r="W204" t="str">
            <v>INREV NAV</v>
          </cell>
          <cell r="X204" t="str">
            <v>PricewaterhouseCoopers Société Cooperative</v>
          </cell>
          <cell r="Y204" t="str">
            <v>SICAV</v>
          </cell>
          <cell r="Z204" t="str">
            <v>Yes</v>
          </cell>
          <cell r="AA204" t="str">
            <v>Yes</v>
          </cell>
          <cell r="AB204">
            <v>3</v>
          </cell>
          <cell r="AC204" t="str">
            <v>Non-Listed Fund</v>
          </cell>
          <cell r="AD204" t="str">
            <v>Core</v>
          </cell>
          <cell r="AE204" t="str">
            <v>infinite</v>
          </cell>
          <cell r="AF204" t="str">
            <v>Open end</v>
          </cell>
          <cell r="AG204">
            <v>4</v>
          </cell>
          <cell r="AH204">
            <v>5</v>
          </cell>
          <cell r="AI204" t="str">
            <v>Net</v>
          </cell>
          <cell r="AJ204" t="str">
            <v>N/A</v>
          </cell>
          <cell r="AK204">
            <v>0</v>
          </cell>
          <cell r="AL204">
            <v>0</v>
          </cell>
          <cell r="AM204" t="str">
            <v>≤ 40%</v>
          </cell>
          <cell r="AN204" t="str">
            <v>Institutional</v>
          </cell>
          <cell r="AO204" t="str">
            <v>&gt; 2</v>
          </cell>
          <cell r="AP204" t="str">
            <v>≥ 50%</v>
          </cell>
          <cell r="AQ204" t="str">
            <v>Europe</v>
          </cell>
          <cell r="AR204" t="str">
            <v>multi country</v>
          </cell>
          <cell r="AS204" t="str">
            <v>Europe</v>
          </cell>
          <cell r="AU204" t="str">
            <v>multi sector</v>
          </cell>
          <cell r="AW204">
            <v>1000000000</v>
          </cell>
          <cell r="AX204">
            <v>1400000000</v>
          </cell>
          <cell r="AY204">
            <v>2017</v>
          </cell>
          <cell r="BD204" t="str">
            <v>No</v>
          </cell>
          <cell r="BF204" t="str">
            <v>≤ 15%</v>
          </cell>
          <cell r="BG204" t="str">
            <v>&gt; 5 - ≤ 25%</v>
          </cell>
          <cell r="BH204" t="str">
            <v>2020-12-31</v>
          </cell>
          <cell r="BI204">
            <v>1120134405.76</v>
          </cell>
          <cell r="BJ204">
            <v>1120134405.76</v>
          </cell>
          <cell r="BK204">
            <v>627077434.23000002</v>
          </cell>
          <cell r="BL204">
            <v>627077434.23000002</v>
          </cell>
          <cell r="BM204">
            <v>25.95</v>
          </cell>
          <cell r="BN204" t="str">
            <v>No</v>
          </cell>
          <cell r="BO204" t="str">
            <v>External</v>
          </cell>
          <cell r="BP204">
            <v>25</v>
          </cell>
          <cell r="BQ204">
            <v>26</v>
          </cell>
          <cell r="BR204">
            <v>673260000</v>
          </cell>
          <cell r="BS204">
            <v>673260000</v>
          </cell>
          <cell r="BT204">
            <v>564708232</v>
          </cell>
          <cell r="BU204">
            <v>564708232</v>
          </cell>
          <cell r="BV204" t="str">
            <v>Yes</v>
          </cell>
          <cell r="BW204" t="str">
            <v>Sweden</v>
          </cell>
          <cell r="BX204" t="str">
            <v>Development Industrial/Logistcis</v>
          </cell>
          <cell r="BY204">
            <v>5</v>
          </cell>
          <cell r="BZ204" t="str">
            <v>France</v>
          </cell>
          <cell r="CA204" t="str">
            <v>Development Office</v>
          </cell>
          <cell r="CB204">
            <v>5</v>
          </cell>
          <cell r="CC204" t="str">
            <v>France</v>
          </cell>
          <cell r="CD204" t="str">
            <v>Industrial / Logistics</v>
          </cell>
          <cell r="CE204">
            <v>10</v>
          </cell>
          <cell r="CF204" t="str">
            <v>Italy</v>
          </cell>
          <cell r="CG204" t="str">
            <v>Hotel</v>
          </cell>
          <cell r="CH204">
            <v>6</v>
          </cell>
          <cell r="CI204" t="str">
            <v>United Kingdom</v>
          </cell>
          <cell r="CJ204" t="str">
            <v>Office</v>
          </cell>
          <cell r="CK204">
            <v>26</v>
          </cell>
          <cell r="CL204" t="str">
            <v>Ireland</v>
          </cell>
          <cell r="CM204" t="str">
            <v>Retail</v>
          </cell>
          <cell r="CN204">
            <v>3</v>
          </cell>
          <cell r="CO204" t="str">
            <v>Netherlands</v>
          </cell>
          <cell r="CP204" t="str">
            <v>Residential</v>
          </cell>
          <cell r="CQ204">
            <v>29</v>
          </cell>
          <cell r="CR204" t="str">
            <v>Ireland</v>
          </cell>
          <cell r="CS204" t="str">
            <v>Residential</v>
          </cell>
          <cell r="CT204">
            <v>14</v>
          </cell>
        </row>
        <row r="205">
          <cell r="A205">
            <v>18421</v>
          </cell>
          <cell r="B205" t="str">
            <v>EUROPE VALUE PARTNERS</v>
          </cell>
          <cell r="C205" t="str">
            <v>AEW</v>
          </cell>
          <cell r="D205" t="str">
            <v>33 Jermyn Street</v>
          </cell>
          <cell r="E205" t="str">
            <v>SW1Y 6DN</v>
          </cell>
          <cell r="F205" t="str">
            <v>London</v>
          </cell>
          <cell r="G205" t="str">
            <v>United Kingdom</v>
          </cell>
          <cell r="H205" t="str">
            <v>+44 20 70 16 48 00</v>
          </cell>
          <cell r="J205" t="str">
            <v>http://www.aew.com/</v>
          </cell>
          <cell r="K205" t="str">
            <v>Russell Jewell</v>
          </cell>
          <cell r="L205" t="str">
            <v>russell.jewell@eu.aew.com</v>
          </cell>
          <cell r="M205" t="str">
            <v>+44 20 70 16 48 67</v>
          </cell>
          <cell r="N205" t="str">
            <v>Laura Banks</v>
          </cell>
          <cell r="O205" t="str">
            <v>laura.banks@eu.aew.com</v>
          </cell>
          <cell r="P205" t="str">
            <v>+44 20 70 16 48 56</v>
          </cell>
          <cell r="Q205" t="str">
            <v>United Kingdom</v>
          </cell>
          <cell r="R205" t="str">
            <v>EUR</v>
          </cell>
          <cell r="S205" t="str">
            <v>IFRS</v>
          </cell>
          <cell r="T205" t="str">
            <v>Quarterly</v>
          </cell>
          <cell r="V205" t="str">
            <v>RICS</v>
          </cell>
          <cell r="W205" t="str">
            <v>IFRS NAV</v>
          </cell>
          <cell r="Y205" t="str">
            <v>Limited Partnership</v>
          </cell>
          <cell r="Z205" t="str">
            <v>No</v>
          </cell>
          <cell r="AA205" t="str">
            <v>Yes</v>
          </cell>
          <cell r="AC205" t="str">
            <v>Non-Listed Fund</v>
          </cell>
          <cell r="AD205" t="str">
            <v>Value-added</v>
          </cell>
          <cell r="AE205" t="str">
            <v>finite</v>
          </cell>
          <cell r="AF205" t="str">
            <v>Closed end</v>
          </cell>
          <cell r="AG205">
            <v>12</v>
          </cell>
          <cell r="AH205">
            <v>14</v>
          </cell>
          <cell r="AI205" t="str">
            <v>Net</v>
          </cell>
          <cell r="AL205">
            <v>60</v>
          </cell>
          <cell r="AM205" t="str">
            <v>&gt; 40% - ≤ 60%</v>
          </cell>
          <cell r="AN205" t="str">
            <v>Institutional</v>
          </cell>
          <cell r="AO205" t="str">
            <v>&gt; 2</v>
          </cell>
          <cell r="AP205" t="str">
            <v>≥ 50%</v>
          </cell>
          <cell r="AQ205" t="str">
            <v>Europe</v>
          </cell>
          <cell r="AR205" t="str">
            <v>multi country</v>
          </cell>
          <cell r="AS205" t="str">
            <v>Western Europe</v>
          </cell>
          <cell r="AU205" t="str">
            <v>multi sector</v>
          </cell>
          <cell r="AW205">
            <v>500</v>
          </cell>
          <cell r="AX205">
            <v>1200</v>
          </cell>
          <cell r="AY205">
            <v>2017</v>
          </cell>
          <cell r="AZ205">
            <v>2024</v>
          </cell>
          <cell r="BA205" t="str">
            <v>Yes</v>
          </cell>
          <cell r="BB205" t="str">
            <v>Yes</v>
          </cell>
          <cell r="BC205" t="str">
            <v>1+1 years</v>
          </cell>
          <cell r="BD205" t="str">
            <v>No</v>
          </cell>
          <cell r="BG205" t="str">
            <v>&gt; 5 - ≤ 25%</v>
          </cell>
          <cell r="BH205" t="str">
            <v>2020-12-31</v>
          </cell>
          <cell r="BI205">
            <v>83055000</v>
          </cell>
          <cell r="BJ205">
            <v>83055000</v>
          </cell>
          <cell r="BK205">
            <v>33611000</v>
          </cell>
          <cell r="BL205">
            <v>33611000</v>
          </cell>
          <cell r="BM205">
            <v>49.13</v>
          </cell>
          <cell r="BN205" t="str">
            <v>No</v>
          </cell>
          <cell r="BO205" t="str">
            <v>External</v>
          </cell>
          <cell r="BP205">
            <v>6</v>
          </cell>
          <cell r="BQ205">
            <v>4</v>
          </cell>
          <cell r="BR205">
            <v>77333333</v>
          </cell>
          <cell r="BS205">
            <v>77333333</v>
          </cell>
          <cell r="BT205">
            <v>63500000</v>
          </cell>
          <cell r="BU205">
            <v>63500000</v>
          </cell>
          <cell r="BV205" t="str">
            <v>No</v>
          </cell>
          <cell r="BW205" t="str">
            <v>France</v>
          </cell>
          <cell r="BX205" t="str">
            <v>Office</v>
          </cell>
          <cell r="BY205">
            <v>24.91</v>
          </cell>
          <cell r="BZ205" t="str">
            <v>Germany</v>
          </cell>
          <cell r="CA205" t="str">
            <v>Industrial / Logistics</v>
          </cell>
          <cell r="CB205">
            <v>24.61</v>
          </cell>
          <cell r="CC205" t="str">
            <v>United Kingdom</v>
          </cell>
          <cell r="CD205" t="str">
            <v>Retail</v>
          </cell>
          <cell r="CE205">
            <v>12.11</v>
          </cell>
          <cell r="CF205" t="str">
            <v>Spain</v>
          </cell>
          <cell r="CG205" t="str">
            <v>Leisure</v>
          </cell>
          <cell r="CH205">
            <v>24.52</v>
          </cell>
        </row>
        <row r="206">
          <cell r="A206">
            <v>157</v>
          </cell>
          <cell r="B206" t="str">
            <v>EUROPEAN ADDED VALUE FUND LP (EAVF)</v>
          </cell>
          <cell r="C206" t="str">
            <v>AXA REAL ESTATE INVESTMENT MANAGERS (UK) LTD</v>
          </cell>
          <cell r="D206" t="str">
            <v>155 Bishopgate</v>
          </cell>
          <cell r="E206" t="str">
            <v>EC2M 3XJ </v>
          </cell>
          <cell r="F206" t="str">
            <v>London</v>
          </cell>
          <cell r="G206" t="str">
            <v>United Kingdom</v>
          </cell>
          <cell r="H206" t="str">
            <v>+44 (0) 20 7374 4100</v>
          </cell>
          <cell r="J206" t="str">
            <v>http://www.axa-realestate.com</v>
          </cell>
          <cell r="K206" t="str">
            <v>David Wingrove</v>
          </cell>
          <cell r="L206" t="str">
            <v>david.wingrove@axa-im.com</v>
          </cell>
          <cell r="M206" t="str">
            <v>+44 (0) 20 7003 2888</v>
          </cell>
          <cell r="N206" t="str">
            <v>Jamie-Lee Chambers</v>
          </cell>
          <cell r="O206" t="str">
            <v>jamie-lee.chambers@axa-im.com</v>
          </cell>
          <cell r="Q206" t="str">
            <v>United Kingdom</v>
          </cell>
          <cell r="R206" t="str">
            <v>EUR</v>
          </cell>
          <cell r="S206" t="str">
            <v>IFRS</v>
          </cell>
          <cell r="T206" t="str">
            <v>Quarterly</v>
          </cell>
          <cell r="U206" t="str">
            <v>Quarterly</v>
          </cell>
          <cell r="V206" t="str">
            <v>RICS</v>
          </cell>
          <cell r="W206" t="str">
            <v>INREV NAV</v>
          </cell>
          <cell r="X206" t="str">
            <v>PriceWaterhouseCoopers</v>
          </cell>
          <cell r="Y206" t="str">
            <v>Limited Partnership</v>
          </cell>
          <cell r="Z206" t="str">
            <v>No</v>
          </cell>
          <cell r="AA206" t="str">
            <v>Yes</v>
          </cell>
          <cell r="AB206">
            <v>2</v>
          </cell>
          <cell r="AC206" t="str">
            <v>Non-Listed Fund</v>
          </cell>
          <cell r="AD206" t="str">
            <v>Value-added</v>
          </cell>
          <cell r="AE206" t="str">
            <v>finite</v>
          </cell>
          <cell r="AF206" t="str">
            <v>Closed end</v>
          </cell>
          <cell r="AG206">
            <v>12</v>
          </cell>
          <cell r="AH206">
            <v>12</v>
          </cell>
          <cell r="AI206" t="str">
            <v>Net</v>
          </cell>
          <cell r="AJ206" t="str">
            <v>None</v>
          </cell>
          <cell r="AK206">
            <v>6</v>
          </cell>
          <cell r="AL206">
            <v>60</v>
          </cell>
          <cell r="AM206" t="str">
            <v>&gt; 40% - ≤ 60%</v>
          </cell>
          <cell r="AN206" t="str">
            <v>Institutional and Retail</v>
          </cell>
          <cell r="AO206" t="str">
            <v>&gt; 2</v>
          </cell>
          <cell r="AP206" t="str">
            <v>≥ 50%</v>
          </cell>
          <cell r="AQ206" t="str">
            <v>Europe</v>
          </cell>
          <cell r="AR206" t="str">
            <v>multi country</v>
          </cell>
          <cell r="AS206" t="str">
            <v>Europe</v>
          </cell>
          <cell r="AU206" t="str">
            <v>multi sector</v>
          </cell>
          <cell r="AW206">
            <v>422000000</v>
          </cell>
          <cell r="AX206">
            <v>1055000000</v>
          </cell>
          <cell r="AY206">
            <v>2006</v>
          </cell>
          <cell r="AZ206">
            <v>2013</v>
          </cell>
          <cell r="BA206" t="str">
            <v>Yes</v>
          </cell>
          <cell r="BB206" t="str">
            <v>Yes</v>
          </cell>
          <cell r="BC206" t="str">
            <v>1+1 years</v>
          </cell>
          <cell r="BH206" t="str">
            <v>2016-12-31</v>
          </cell>
          <cell r="BI206">
            <v>32376782</v>
          </cell>
          <cell r="BJ206">
            <v>32376782</v>
          </cell>
          <cell r="BK206">
            <v>23842118</v>
          </cell>
          <cell r="BL206">
            <v>23842118</v>
          </cell>
          <cell r="BM206">
            <v>0</v>
          </cell>
          <cell r="BN206" t="str">
            <v>No</v>
          </cell>
          <cell r="BO206" t="str">
            <v>External</v>
          </cell>
          <cell r="BP206">
            <v>15</v>
          </cell>
          <cell r="BQ206">
            <v>3</v>
          </cell>
          <cell r="BR206">
            <v>363945303</v>
          </cell>
          <cell r="BS206">
            <v>363945303</v>
          </cell>
          <cell r="BT206">
            <v>272281185</v>
          </cell>
          <cell r="BU206">
            <v>272281185</v>
          </cell>
          <cell r="BV206" t="str">
            <v>No</v>
          </cell>
          <cell r="BW206" t="str">
            <v>Denmark</v>
          </cell>
          <cell r="BX206" t="str">
            <v>Retail</v>
          </cell>
          <cell r="BY206">
            <v>1</v>
          </cell>
          <cell r="BZ206" t="str">
            <v>France</v>
          </cell>
          <cell r="CA206" t="str">
            <v>Industrial / Logistics</v>
          </cell>
          <cell r="CB206">
            <v>78.45</v>
          </cell>
          <cell r="CC206" t="str">
            <v>Germany</v>
          </cell>
          <cell r="CD206" t="str">
            <v>Retail</v>
          </cell>
          <cell r="CE206">
            <v>20.55</v>
          </cell>
          <cell r="CF206" t="str">
            <v>Italy</v>
          </cell>
          <cell r="CG206" t="str">
            <v>Industrial / Logistics</v>
          </cell>
          <cell r="CH206">
            <v>0</v>
          </cell>
        </row>
        <row r="207">
          <cell r="A207">
            <v>18099</v>
          </cell>
          <cell r="B207" t="str">
            <v>EUROPEAN CITIES FUND</v>
          </cell>
          <cell r="C207" t="str">
            <v>NUVEEN REAL ESTATE</v>
          </cell>
          <cell r="D207" t="str">
            <v>201 Bishopsgate</v>
          </cell>
          <cell r="E207" t="str">
            <v>EC2M 3BN</v>
          </cell>
          <cell r="F207" t="str">
            <v>London</v>
          </cell>
          <cell r="G207" t="str">
            <v>United Kingdom</v>
          </cell>
          <cell r="J207" t="str">
            <v>http://threalestate.com/our-products/pooled-funds/european-cities-fund</v>
          </cell>
          <cell r="K207" t="str">
            <v>Andrew Rich</v>
          </cell>
          <cell r="L207" t="str">
            <v>Andrew.Rich@nuveenglobal.com</v>
          </cell>
          <cell r="N207" t="str">
            <v>Gabi Stein</v>
          </cell>
          <cell r="O207" t="str">
            <v>Gabi.Stein@nuveenglobal.com</v>
          </cell>
          <cell r="P207" t="str">
            <v>+442037278382</v>
          </cell>
          <cell r="Q207" t="str">
            <v>Luxembourg</v>
          </cell>
          <cell r="R207" t="str">
            <v>EUR</v>
          </cell>
          <cell r="S207" t="str">
            <v>IFRS</v>
          </cell>
          <cell r="T207" t="str">
            <v>Quarterly</v>
          </cell>
          <cell r="U207" t="str">
            <v>Quarterly</v>
          </cell>
          <cell r="V207" t="str">
            <v>RICS</v>
          </cell>
          <cell r="W207" t="str">
            <v>INREV NAV</v>
          </cell>
          <cell r="X207" t="str">
            <v>PwC</v>
          </cell>
          <cell r="Y207" t="str">
            <v>Limited Partnership</v>
          </cell>
          <cell r="Z207" t="str">
            <v>Yes</v>
          </cell>
          <cell r="AA207" t="str">
            <v>Yes</v>
          </cell>
          <cell r="AC207" t="str">
            <v>Non-Listed Fund</v>
          </cell>
          <cell r="AD207" t="str">
            <v>Core</v>
          </cell>
          <cell r="AE207" t="str">
            <v>infinite</v>
          </cell>
          <cell r="AF207" t="str">
            <v>Open end</v>
          </cell>
          <cell r="AI207" t="str">
            <v>Net</v>
          </cell>
          <cell r="AK207">
            <v>4</v>
          </cell>
          <cell r="AL207">
            <v>30</v>
          </cell>
          <cell r="AM207" t="str">
            <v>≤ 40%</v>
          </cell>
          <cell r="AN207" t="str">
            <v>Institutional</v>
          </cell>
          <cell r="AO207" t="str">
            <v>&gt; 2</v>
          </cell>
          <cell r="AP207" t="str">
            <v>≥ 50%</v>
          </cell>
          <cell r="AQ207" t="str">
            <v>Europe</v>
          </cell>
          <cell r="AR207" t="str">
            <v>multi country</v>
          </cell>
          <cell r="AS207" t="str">
            <v>Europe</v>
          </cell>
          <cell r="AU207" t="str">
            <v>multi sector</v>
          </cell>
          <cell r="AX207">
            <v>5000000000</v>
          </cell>
          <cell r="AY207">
            <v>2016</v>
          </cell>
          <cell r="BD207" t="str">
            <v>No</v>
          </cell>
          <cell r="BE207" t="str">
            <v>≥ 60%</v>
          </cell>
          <cell r="BF207" t="str">
            <v>≤ 15%</v>
          </cell>
          <cell r="BG207" t="str">
            <v>&gt; 5 - ≤ 25%</v>
          </cell>
          <cell r="BH207" t="str">
            <v>2020-12-31</v>
          </cell>
          <cell r="BI207">
            <v>1857910023</v>
          </cell>
          <cell r="BJ207">
            <v>1857910023</v>
          </cell>
          <cell r="BK207">
            <v>1216633930</v>
          </cell>
          <cell r="BL207">
            <v>1216633930</v>
          </cell>
          <cell r="BM207">
            <v>34.5</v>
          </cell>
          <cell r="BN207" t="str">
            <v>No</v>
          </cell>
          <cell r="BO207" t="str">
            <v>External</v>
          </cell>
          <cell r="BP207">
            <v>22</v>
          </cell>
          <cell r="BQ207">
            <v>13</v>
          </cell>
          <cell r="BR207">
            <v>1274500000</v>
          </cell>
          <cell r="BS207">
            <v>1274500000</v>
          </cell>
          <cell r="BT207">
            <v>1224500000</v>
          </cell>
          <cell r="BU207">
            <v>1224500000</v>
          </cell>
          <cell r="BV207" t="str">
            <v>Yes</v>
          </cell>
          <cell r="BW207" t="str">
            <v>France</v>
          </cell>
          <cell r="BX207" t="str">
            <v>Retail</v>
          </cell>
          <cell r="BY207">
            <v>4</v>
          </cell>
          <cell r="BZ207" t="str">
            <v>Netherlands</v>
          </cell>
          <cell r="CA207" t="str">
            <v>Industrial / Logistics</v>
          </cell>
          <cell r="CB207">
            <v>12</v>
          </cell>
          <cell r="CC207" t="str">
            <v>Netherlands</v>
          </cell>
          <cell r="CD207" t="str">
            <v>Office</v>
          </cell>
          <cell r="CE207">
            <v>7</v>
          </cell>
          <cell r="CF207" t="str">
            <v>United Kingdom</v>
          </cell>
          <cell r="CG207" t="str">
            <v>Office</v>
          </cell>
          <cell r="CH207">
            <v>17</v>
          </cell>
          <cell r="CI207" t="str">
            <v>Finland</v>
          </cell>
          <cell r="CJ207" t="str">
            <v>Retail</v>
          </cell>
          <cell r="CK207">
            <v>13</v>
          </cell>
          <cell r="CL207" t="str">
            <v>United Kingdom</v>
          </cell>
          <cell r="CM207" t="str">
            <v>Mixed</v>
          </cell>
          <cell r="CN207">
            <v>4</v>
          </cell>
          <cell r="CO207" t="str">
            <v>Italy</v>
          </cell>
          <cell r="CP207" t="str">
            <v>Office</v>
          </cell>
          <cell r="CQ207">
            <v>6</v>
          </cell>
          <cell r="CR207" t="str">
            <v>Italy</v>
          </cell>
          <cell r="CS207" t="str">
            <v>Retail</v>
          </cell>
          <cell r="CT207">
            <v>6</v>
          </cell>
          <cell r="CU207" t="str">
            <v>Spain</v>
          </cell>
          <cell r="CV207" t="str">
            <v>Retail</v>
          </cell>
          <cell r="CW207">
            <v>12</v>
          </cell>
          <cell r="CX207" t="str">
            <v>Germany</v>
          </cell>
          <cell r="CY207" t="str">
            <v>Office</v>
          </cell>
          <cell r="CZ207">
            <v>12</v>
          </cell>
          <cell r="DA207" t="str">
            <v>Austria</v>
          </cell>
          <cell r="DB207" t="str">
            <v>Industrial / Logistics</v>
          </cell>
          <cell r="DC207">
            <v>3</v>
          </cell>
        </row>
        <row r="208">
          <cell r="A208">
            <v>19359</v>
          </cell>
          <cell r="B208" t="str">
            <v>EUROPEAN CORE DIVERSIFIED PROPERTY FUND</v>
          </cell>
          <cell r="C208" t="str">
            <v>PGIM REAL ESTATE LUXEMBOURG S.A.</v>
          </cell>
          <cell r="D208" t="str">
            <v>2, Boulevard de la Foire</v>
          </cell>
          <cell r="E208">
            <v>1528</v>
          </cell>
          <cell r="F208" t="str">
            <v>Luxembourg</v>
          </cell>
          <cell r="G208" t="str">
            <v>Luxembourg</v>
          </cell>
          <cell r="H208" t="str">
            <v>+35227623410</v>
          </cell>
          <cell r="K208" t="str">
            <v>Dr. Thomas Kallenbrunnen</v>
          </cell>
          <cell r="L208" t="str">
            <v>thomas.kallenbrunnen@pgim.com</v>
          </cell>
          <cell r="M208" t="str">
            <v>+4969244341630</v>
          </cell>
          <cell r="N208" t="str">
            <v>Faris Mansour</v>
          </cell>
          <cell r="O208" t="str">
            <v>faris.mansour@pgim.com</v>
          </cell>
          <cell r="P208" t="str">
            <v>+442077662434</v>
          </cell>
          <cell r="Q208" t="str">
            <v>Luxembourg</v>
          </cell>
          <cell r="R208" t="str">
            <v>EUR</v>
          </cell>
          <cell r="S208" t="str">
            <v>IFRS</v>
          </cell>
          <cell r="T208" t="str">
            <v>Quarterly</v>
          </cell>
          <cell r="U208" t="str">
            <v>Quarterly</v>
          </cell>
          <cell r="V208" t="str">
            <v>Fair-Value</v>
          </cell>
          <cell r="W208" t="str">
            <v>INREV NAV</v>
          </cell>
          <cell r="X208" t="str">
            <v>PWC</v>
          </cell>
          <cell r="Y208" t="str">
            <v>SCSp</v>
          </cell>
          <cell r="Z208" t="str">
            <v>Yes</v>
          </cell>
          <cell r="AC208" t="str">
            <v>Non-Listed Fund</v>
          </cell>
          <cell r="AD208" t="str">
            <v>Core</v>
          </cell>
          <cell r="AE208" t="str">
            <v>infinite</v>
          </cell>
          <cell r="AF208" t="str">
            <v>Open end</v>
          </cell>
          <cell r="AG208">
            <v>5</v>
          </cell>
          <cell r="AH208">
            <v>8</v>
          </cell>
          <cell r="AI208" t="str">
            <v>Net</v>
          </cell>
          <cell r="AJ208" t="str">
            <v>INREV ODCE</v>
          </cell>
          <cell r="AK208">
            <v>50</v>
          </cell>
          <cell r="AL208">
            <v>30</v>
          </cell>
          <cell r="AM208" t="str">
            <v>≤ 40%</v>
          </cell>
          <cell r="AN208" t="str">
            <v>Institutional</v>
          </cell>
          <cell r="AO208" t="str">
            <v>&gt; 2</v>
          </cell>
          <cell r="AP208" t="str">
            <v>≥ 50%</v>
          </cell>
          <cell r="AQ208" t="str">
            <v>Europe</v>
          </cell>
          <cell r="AR208" t="str">
            <v>multi country</v>
          </cell>
          <cell r="AS208" t="str">
            <v>Europe</v>
          </cell>
          <cell r="AU208" t="str">
            <v>multi sector</v>
          </cell>
          <cell r="AY208">
            <v>2019</v>
          </cell>
          <cell r="BE208" t="str">
            <v>≥ 60%</v>
          </cell>
          <cell r="BF208" t="str">
            <v>≤ 15%</v>
          </cell>
          <cell r="BG208" t="str">
            <v>≤ 5%</v>
          </cell>
          <cell r="BH208" t="str">
            <v>2020-12-31</v>
          </cell>
          <cell r="BI208">
            <v>982673305.69000006</v>
          </cell>
          <cell r="BJ208">
            <v>982673305.69000006</v>
          </cell>
          <cell r="BK208">
            <v>742928262.29999995</v>
          </cell>
          <cell r="BL208">
            <v>742928262.29999995</v>
          </cell>
          <cell r="BM208">
            <v>17.5</v>
          </cell>
          <cell r="BN208" t="str">
            <v>No</v>
          </cell>
          <cell r="BO208" t="str">
            <v>External</v>
          </cell>
          <cell r="BP208">
            <v>16</v>
          </cell>
          <cell r="BQ208">
            <v>15</v>
          </cell>
          <cell r="BR208">
            <v>799500000</v>
          </cell>
          <cell r="BS208">
            <v>799500000</v>
          </cell>
          <cell r="BT208">
            <v>702012799</v>
          </cell>
          <cell r="BU208">
            <v>702012799</v>
          </cell>
          <cell r="BV208" t="str">
            <v>Yes</v>
          </cell>
          <cell r="BW208" t="str">
            <v>Italy</v>
          </cell>
          <cell r="BX208" t="str">
            <v>Industrial / Logistics</v>
          </cell>
          <cell r="BY208">
            <v>2.2000000000000002</v>
          </cell>
          <cell r="BZ208" t="str">
            <v>Netherlands</v>
          </cell>
          <cell r="CA208" t="str">
            <v>Industrial / Logistics</v>
          </cell>
          <cell r="CB208">
            <v>3.7</v>
          </cell>
          <cell r="CC208" t="str">
            <v>United Kingdom</v>
          </cell>
          <cell r="CD208" t="str">
            <v>Residential</v>
          </cell>
          <cell r="CE208">
            <v>4.0999999999999996</v>
          </cell>
          <cell r="CF208" t="str">
            <v>France</v>
          </cell>
          <cell r="CG208" t="str">
            <v>Retail</v>
          </cell>
          <cell r="CH208">
            <v>6.8</v>
          </cell>
          <cell r="CI208" t="str">
            <v>France</v>
          </cell>
          <cell r="CJ208" t="str">
            <v>Industrial / Logistics</v>
          </cell>
          <cell r="CK208">
            <v>13.5</v>
          </cell>
          <cell r="CL208" t="str">
            <v>France</v>
          </cell>
          <cell r="CM208" t="str">
            <v>Office</v>
          </cell>
          <cell r="CN208">
            <v>9.9</v>
          </cell>
          <cell r="CO208" t="str">
            <v>Germany</v>
          </cell>
          <cell r="CP208" t="str">
            <v>Industrial / Logistics</v>
          </cell>
          <cell r="CQ208">
            <v>25.7</v>
          </cell>
          <cell r="CR208" t="str">
            <v>Germany</v>
          </cell>
          <cell r="CS208" t="str">
            <v>Residential</v>
          </cell>
          <cell r="CT208">
            <v>7.8</v>
          </cell>
          <cell r="CU208" t="str">
            <v>Germany</v>
          </cell>
          <cell r="CV208" t="str">
            <v>Office</v>
          </cell>
          <cell r="CW208">
            <v>26.3</v>
          </cell>
        </row>
        <row r="209">
          <cell r="A209">
            <v>159</v>
          </cell>
          <cell r="B209" t="str">
            <v>EUROPEAN LOGISTICS INCOME VENTURE</v>
          </cell>
          <cell r="C209" t="str">
            <v>AXA REAL ESTATE INVESTMENT MANAGERS (FRANCE)</v>
          </cell>
          <cell r="D209" t="str">
            <v>La Defense 4, Esplanade du General de Gaulle 100</v>
          </cell>
          <cell r="E209">
            <v>92932</v>
          </cell>
          <cell r="F209" t="str">
            <v>Paris</v>
          </cell>
          <cell r="G209" t="str">
            <v>France</v>
          </cell>
          <cell r="H209" t="str">
            <v>+33 1 44 45 95 00 </v>
          </cell>
          <cell r="J209" t="str">
            <v>http://www.axa-realestate.com</v>
          </cell>
          <cell r="K209" t="str">
            <v>Denis Morel</v>
          </cell>
          <cell r="L209" t="str">
            <v>Denis.Morel@axa-im.com</v>
          </cell>
          <cell r="M209" t="str">
            <v>+33 (0) 1 44 45 96 63</v>
          </cell>
          <cell r="N209" t="str">
            <v>Jamie-Lee Chambers</v>
          </cell>
          <cell r="O209" t="str">
            <v>jamie-lee.chambers@axa-im.com</v>
          </cell>
          <cell r="Q209" t="str">
            <v>Luxembourg</v>
          </cell>
          <cell r="R209" t="str">
            <v>EUR</v>
          </cell>
          <cell r="S209" t="str">
            <v>IFRS</v>
          </cell>
          <cell r="T209" t="str">
            <v>Quarterly</v>
          </cell>
          <cell r="U209" t="str">
            <v>Annually</v>
          </cell>
          <cell r="V209" t="str">
            <v>RICS</v>
          </cell>
          <cell r="W209" t="str">
            <v>INREV NAV</v>
          </cell>
          <cell r="X209" t="str">
            <v>Mazars</v>
          </cell>
          <cell r="Y209" t="str">
            <v>SCA</v>
          </cell>
          <cell r="Z209" t="str">
            <v>Yes</v>
          </cell>
          <cell r="AB209">
            <v>0</v>
          </cell>
          <cell r="AC209" t="str">
            <v>Non-Listed Fund</v>
          </cell>
          <cell r="AD209" t="str">
            <v>Value-added</v>
          </cell>
          <cell r="AE209" t="str">
            <v>finite</v>
          </cell>
          <cell r="AF209" t="str">
            <v>Closed end</v>
          </cell>
          <cell r="AG209">
            <v>12</v>
          </cell>
          <cell r="AH209">
            <v>12</v>
          </cell>
          <cell r="AI209" t="str">
            <v>Net</v>
          </cell>
          <cell r="AJ209" t="str">
            <v>None</v>
          </cell>
          <cell r="AL209">
            <v>70</v>
          </cell>
          <cell r="AM209" t="str">
            <v>&gt; 60%</v>
          </cell>
          <cell r="AN209" t="str">
            <v>Institutional</v>
          </cell>
          <cell r="AO209" t="str">
            <v>&gt; 2</v>
          </cell>
          <cell r="AP209" t="str">
            <v>≥ 50%</v>
          </cell>
          <cell r="AQ209" t="str">
            <v>Europe</v>
          </cell>
          <cell r="AR209" t="str">
            <v>multi country</v>
          </cell>
          <cell r="AS209" t="str">
            <v>Europe</v>
          </cell>
          <cell r="AU209" t="str">
            <v>single sector</v>
          </cell>
          <cell r="AV209" t="str">
            <v>Industrial / Logistics</v>
          </cell>
          <cell r="AW209">
            <v>300000000</v>
          </cell>
          <cell r="AX209">
            <v>1000000000</v>
          </cell>
          <cell r="AY209">
            <v>2004</v>
          </cell>
          <cell r="AZ209">
            <v>2015</v>
          </cell>
          <cell r="BA209" t="str">
            <v>Yes</v>
          </cell>
          <cell r="BB209" t="str">
            <v>Yes</v>
          </cell>
          <cell r="BC209" t="str">
            <v>1+1 years</v>
          </cell>
          <cell r="BH209" t="str">
            <v>2017-12-31</v>
          </cell>
          <cell r="BI209">
            <v>0</v>
          </cell>
          <cell r="BJ209">
            <v>0</v>
          </cell>
          <cell r="BK209">
            <v>5731884</v>
          </cell>
          <cell r="BL209">
            <v>5731884</v>
          </cell>
          <cell r="BM209">
            <v>0</v>
          </cell>
          <cell r="BP209">
            <v>9</v>
          </cell>
          <cell r="BQ209">
            <v>0</v>
          </cell>
          <cell r="BR209">
            <v>154600000</v>
          </cell>
          <cell r="BS209">
            <v>154600000</v>
          </cell>
          <cell r="BT209">
            <v>154600000</v>
          </cell>
          <cell r="BU209">
            <v>154600000</v>
          </cell>
          <cell r="BV209" t="str">
            <v>No</v>
          </cell>
        </row>
        <row r="210">
          <cell r="A210">
            <v>160</v>
          </cell>
          <cell r="B210" t="str">
            <v>EUROPEAN OFFICE INCOME VENTURE FUND</v>
          </cell>
          <cell r="C210" t="str">
            <v>AXA REAL ESTATE INVESTMENT MANAGERS (FRANCE)</v>
          </cell>
          <cell r="D210" t="str">
            <v>La Defense 4, Esplanade du General de Gaulle 100</v>
          </cell>
          <cell r="E210">
            <v>92932</v>
          </cell>
          <cell r="F210" t="str">
            <v>Paris</v>
          </cell>
          <cell r="G210" t="str">
            <v>France</v>
          </cell>
          <cell r="H210" t="str">
            <v>+33 1 44 45 95 00 </v>
          </cell>
          <cell r="J210" t="str">
            <v>http://www.axa-realestate.com</v>
          </cell>
          <cell r="K210" t="str">
            <v>David Wingrove</v>
          </cell>
          <cell r="L210" t="str">
            <v>david.wingrove@axa-im.com</v>
          </cell>
          <cell r="M210" t="str">
            <v>+44 (0) 207 003 2888</v>
          </cell>
          <cell r="N210" t="str">
            <v>Jamie-Lee Chambers</v>
          </cell>
          <cell r="O210" t="str">
            <v>jamie-lee.chambers@axa-im.com</v>
          </cell>
          <cell r="Q210" t="str">
            <v>Luxembourg</v>
          </cell>
          <cell r="R210" t="str">
            <v>EUR</v>
          </cell>
          <cell r="S210" t="str">
            <v>IFRS</v>
          </cell>
          <cell r="T210" t="str">
            <v>Quarterly</v>
          </cell>
          <cell r="U210" t="str">
            <v>Quarterly</v>
          </cell>
          <cell r="V210" t="str">
            <v>RICS</v>
          </cell>
          <cell r="W210" t="str">
            <v>INREV NAV</v>
          </cell>
          <cell r="X210" t="str">
            <v>Ernst &amp; Young</v>
          </cell>
          <cell r="Y210" t="str">
            <v>SCA</v>
          </cell>
          <cell r="Z210" t="str">
            <v>Yes</v>
          </cell>
          <cell r="AA210" t="str">
            <v>No</v>
          </cell>
          <cell r="AB210">
            <v>0</v>
          </cell>
          <cell r="AC210" t="str">
            <v>Non-Listed Fund</v>
          </cell>
          <cell r="AD210" t="str">
            <v>Value-added</v>
          </cell>
          <cell r="AE210" t="str">
            <v>finite</v>
          </cell>
          <cell r="AF210" t="str">
            <v>Closed end</v>
          </cell>
          <cell r="AG210">
            <v>12</v>
          </cell>
          <cell r="AH210">
            <v>12</v>
          </cell>
          <cell r="AI210" t="str">
            <v>Net</v>
          </cell>
          <cell r="AJ210" t="str">
            <v>None</v>
          </cell>
          <cell r="AK210">
            <v>6</v>
          </cell>
          <cell r="AL210">
            <v>60</v>
          </cell>
          <cell r="AM210" t="str">
            <v>&gt; 40% - ≤ 60%</v>
          </cell>
          <cell r="AN210" t="str">
            <v>Institutional</v>
          </cell>
          <cell r="AO210" t="str">
            <v>&gt; 2</v>
          </cell>
          <cell r="AP210" t="str">
            <v>≥ 50%</v>
          </cell>
          <cell r="AQ210" t="str">
            <v>Europe</v>
          </cell>
          <cell r="AR210" t="str">
            <v>multi country</v>
          </cell>
          <cell r="AS210" t="str">
            <v>Europe</v>
          </cell>
          <cell r="AU210" t="str">
            <v>single sector</v>
          </cell>
          <cell r="AV210" t="str">
            <v>Office</v>
          </cell>
          <cell r="AW210">
            <v>195000000</v>
          </cell>
          <cell r="AX210">
            <v>498000000</v>
          </cell>
          <cell r="AY210">
            <v>2003</v>
          </cell>
          <cell r="AZ210">
            <v>2013</v>
          </cell>
          <cell r="BA210" t="str">
            <v>Yes</v>
          </cell>
          <cell r="BB210" t="str">
            <v>Yes</v>
          </cell>
          <cell r="BC210" t="str">
            <v>1+1 years</v>
          </cell>
          <cell r="BH210" t="str">
            <v>2016-12-31</v>
          </cell>
          <cell r="BI210">
            <v>0</v>
          </cell>
          <cell r="BJ210">
            <v>0</v>
          </cell>
          <cell r="BK210">
            <v>1241718</v>
          </cell>
          <cell r="BL210">
            <v>1241718</v>
          </cell>
          <cell r="BM210">
            <v>0</v>
          </cell>
          <cell r="BN210" t="str">
            <v>No</v>
          </cell>
          <cell r="BO210" t="str">
            <v>External</v>
          </cell>
          <cell r="BP210">
            <v>14</v>
          </cell>
          <cell r="BQ210">
            <v>0</v>
          </cell>
          <cell r="BR210">
            <v>195200000</v>
          </cell>
          <cell r="BS210">
            <v>195200000</v>
          </cell>
          <cell r="BT210">
            <v>195200000</v>
          </cell>
          <cell r="BU210">
            <v>195200000</v>
          </cell>
          <cell r="BV210" t="str">
            <v>No</v>
          </cell>
        </row>
        <row r="211">
          <cell r="A211">
            <v>17471</v>
          </cell>
          <cell r="B211" t="str">
            <v>EUROPEAN OUTLET MALL FUND</v>
          </cell>
          <cell r="C211" t="str">
            <v>HENDERSON GLOBAL INVESTORS</v>
          </cell>
          <cell r="D211" t="str">
            <v>201 Bishopsgate</v>
          </cell>
          <cell r="E211" t="str">
            <v>EC2M 3AE</v>
          </cell>
          <cell r="F211" t="str">
            <v>London</v>
          </cell>
          <cell r="G211" t="str">
            <v>United Kingdom</v>
          </cell>
          <cell r="H211" t="str">
            <v>+44 (0) 20 7818 1818</v>
          </cell>
          <cell r="I211" t="str">
            <v>+44 (0) 20 7818 1819</v>
          </cell>
          <cell r="J211" t="str">
            <v>http://www.henderson.com/property</v>
          </cell>
          <cell r="K211" t="str">
            <v>Andrew Rich</v>
          </cell>
          <cell r="L211" t="str">
            <v>andrew.rich@henderson.com</v>
          </cell>
          <cell r="M211" t="str">
            <v>+44 (0) 20 7818 5638</v>
          </cell>
          <cell r="N211" t="str">
            <v>Wayne Saville</v>
          </cell>
          <cell r="O211" t="str">
            <v>wayne.saville@henderson.com</v>
          </cell>
          <cell r="P211" t="str">
            <v>+44 (0) 20 7818 1819</v>
          </cell>
          <cell r="Q211" t="str">
            <v>Luxembourg</v>
          </cell>
          <cell r="R211" t="str">
            <v>EUR</v>
          </cell>
          <cell r="S211" t="str">
            <v>Local GAAP</v>
          </cell>
          <cell r="T211" t="str">
            <v>Quarterly</v>
          </cell>
          <cell r="U211" t="str">
            <v>Quarterly</v>
          </cell>
          <cell r="V211" t="str">
            <v>RICS</v>
          </cell>
          <cell r="W211" t="str">
            <v>IFRS NAV</v>
          </cell>
          <cell r="X211" t="str">
            <v>EY</v>
          </cell>
          <cell r="Y211" t="str">
            <v>FCP</v>
          </cell>
          <cell r="Z211" t="str">
            <v>Yes</v>
          </cell>
          <cell r="AB211">
            <v>2</v>
          </cell>
          <cell r="AC211" t="str">
            <v>Non-Listed Fund</v>
          </cell>
          <cell r="AD211" t="str">
            <v>Value-added</v>
          </cell>
          <cell r="AE211" t="str">
            <v>finite</v>
          </cell>
          <cell r="AF211" t="str">
            <v>Closed end</v>
          </cell>
          <cell r="AG211">
            <v>13</v>
          </cell>
          <cell r="AH211">
            <v>13</v>
          </cell>
          <cell r="AJ211" t="str">
            <v>None</v>
          </cell>
          <cell r="AK211">
            <v>7</v>
          </cell>
          <cell r="AL211">
            <v>50</v>
          </cell>
          <cell r="AM211" t="str">
            <v>&gt; 40% - ≤ 60%</v>
          </cell>
          <cell r="AN211" t="str">
            <v>Institutional</v>
          </cell>
          <cell r="AO211" t="str">
            <v>&gt; 2</v>
          </cell>
          <cell r="AP211" t="str">
            <v>≥ 50%</v>
          </cell>
          <cell r="AQ211" t="str">
            <v>Europe</v>
          </cell>
          <cell r="AR211" t="str">
            <v>multi country</v>
          </cell>
          <cell r="AS211" t="str">
            <v>Europe</v>
          </cell>
          <cell r="AU211" t="str">
            <v>single sector</v>
          </cell>
          <cell r="AV211" t="str">
            <v>Retail</v>
          </cell>
          <cell r="AX211">
            <v>1500000000</v>
          </cell>
          <cell r="AY211">
            <v>2014</v>
          </cell>
          <cell r="BA211" t="str">
            <v>Yes</v>
          </cell>
          <cell r="BB211" t="str">
            <v>Yes</v>
          </cell>
          <cell r="BC211" t="str">
            <v>2 years</v>
          </cell>
          <cell r="BH211" t="str">
            <v>2020-12-31</v>
          </cell>
          <cell r="BI211">
            <v>2934478000</v>
          </cell>
          <cell r="BJ211">
            <v>2934478000</v>
          </cell>
          <cell r="BK211">
            <v>1877474000</v>
          </cell>
          <cell r="BL211">
            <v>1877474000</v>
          </cell>
          <cell r="BM211">
            <v>23</v>
          </cell>
          <cell r="BN211" t="str">
            <v>No</v>
          </cell>
          <cell r="BO211" t="str">
            <v>External</v>
          </cell>
          <cell r="BP211">
            <v>0</v>
          </cell>
          <cell r="BQ211">
            <v>9</v>
          </cell>
          <cell r="BR211">
            <v>0</v>
          </cell>
          <cell r="BS211">
            <v>0</v>
          </cell>
          <cell r="BT211">
            <v>0</v>
          </cell>
          <cell r="BV211" t="str">
            <v>No</v>
          </cell>
          <cell r="BW211" t="str">
            <v>Germany</v>
          </cell>
          <cell r="BX211" t="str">
            <v>Retail</v>
          </cell>
          <cell r="BY211">
            <v>11</v>
          </cell>
          <cell r="BZ211" t="str">
            <v>Belgium</v>
          </cell>
          <cell r="CA211" t="str">
            <v>Retail</v>
          </cell>
          <cell r="CB211">
            <v>1</v>
          </cell>
          <cell r="CC211" t="str">
            <v>United Kingdom</v>
          </cell>
          <cell r="CD211" t="str">
            <v>Retail</v>
          </cell>
          <cell r="CE211">
            <v>13</v>
          </cell>
          <cell r="CF211" t="str">
            <v>Italy</v>
          </cell>
          <cell r="CG211" t="str">
            <v>Retail</v>
          </cell>
          <cell r="CH211">
            <v>36</v>
          </cell>
          <cell r="CI211" t="str">
            <v>Austria</v>
          </cell>
          <cell r="CJ211" t="str">
            <v>Retail</v>
          </cell>
          <cell r="CK211">
            <v>15</v>
          </cell>
          <cell r="CL211" t="str">
            <v>Netherlands</v>
          </cell>
          <cell r="CM211" t="str">
            <v>Retail</v>
          </cell>
          <cell r="CN211">
            <v>20</v>
          </cell>
        </row>
        <row r="212">
          <cell r="A212">
            <v>162</v>
          </cell>
          <cell r="B212" t="str">
            <v>EUROPEAN PROPERTY GROWTH FUND</v>
          </cell>
          <cell r="C212" t="str">
            <v>ABERDEEN STANDARD INVESTMENTS</v>
          </cell>
          <cell r="D212" t="str">
            <v>1 George Street</v>
          </cell>
          <cell r="E212" t="str">
            <v>EH2 2LL</v>
          </cell>
          <cell r="F212" t="str">
            <v>Edinburgh</v>
          </cell>
          <cell r="G212" t="str">
            <v>United Kingdom</v>
          </cell>
          <cell r="H212" t="str">
            <v>+441312252345</v>
          </cell>
          <cell r="I212" t="str">
            <v>+441312452547</v>
          </cell>
          <cell r="J212" t="str">
            <v>http://www.aberdeenstandard.com</v>
          </cell>
          <cell r="K212" t="str">
            <v>Veronica Gallo-Alvarez</v>
          </cell>
          <cell r="L212" t="str">
            <v>veronica.gallo-alvarez@aberdeenstandard.com</v>
          </cell>
          <cell r="M212" t="str">
            <v>+33158051935</v>
          </cell>
          <cell r="N212" t="str">
            <v>John Danes</v>
          </cell>
          <cell r="O212" t="str">
            <v>john.danes@aberdeenstandard.com</v>
          </cell>
          <cell r="P212" t="str">
            <v>+442074636740</v>
          </cell>
          <cell r="Q212" t="str">
            <v>United Kingdom</v>
          </cell>
          <cell r="R212" t="str">
            <v>EUR</v>
          </cell>
          <cell r="S212" t="str">
            <v>Local GAAP</v>
          </cell>
          <cell r="T212" t="str">
            <v>Quarterly</v>
          </cell>
          <cell r="U212" t="str">
            <v>Quarterly</v>
          </cell>
          <cell r="V212" t="str">
            <v>RICS</v>
          </cell>
          <cell r="W212" t="str">
            <v>INREV NAV</v>
          </cell>
          <cell r="X212" t="str">
            <v>PriceWaterhouseCoopers</v>
          </cell>
          <cell r="Y212" t="str">
            <v>Limited Partnership</v>
          </cell>
          <cell r="Z212" t="str">
            <v>Yes</v>
          </cell>
          <cell r="AA212" t="str">
            <v>No</v>
          </cell>
          <cell r="AB212">
            <v>0</v>
          </cell>
          <cell r="AC212" t="str">
            <v>Non-Listed Fund</v>
          </cell>
          <cell r="AD212" t="str">
            <v>Core</v>
          </cell>
          <cell r="AE212" t="str">
            <v>infinite</v>
          </cell>
          <cell r="AF212" t="str">
            <v>Open end</v>
          </cell>
          <cell r="AG212">
            <v>8</v>
          </cell>
          <cell r="AH212">
            <v>10</v>
          </cell>
          <cell r="AI212" t="str">
            <v>Net</v>
          </cell>
          <cell r="AJ212" t="str">
            <v>None</v>
          </cell>
          <cell r="AL212">
            <v>50</v>
          </cell>
          <cell r="AM212" t="str">
            <v>&gt; 40% - ≤ 60%</v>
          </cell>
          <cell r="AN212" t="str">
            <v>Institutional</v>
          </cell>
          <cell r="AO212" t="str">
            <v>&gt; 2</v>
          </cell>
          <cell r="AP212" t="str">
            <v>≥ 50%</v>
          </cell>
          <cell r="AQ212" t="str">
            <v>Europe</v>
          </cell>
          <cell r="AR212" t="str">
            <v>multi country</v>
          </cell>
          <cell r="AS212" t="str">
            <v>Europe</v>
          </cell>
          <cell r="AU212" t="str">
            <v>multi sector</v>
          </cell>
          <cell r="AY212">
            <v>2001</v>
          </cell>
          <cell r="BH212" t="str">
            <v>2020-12-31</v>
          </cell>
          <cell r="BI212">
            <v>889465029.20000005</v>
          </cell>
          <cell r="BJ212">
            <v>889465029.20000005</v>
          </cell>
          <cell r="BK212">
            <v>687924163.29999995</v>
          </cell>
          <cell r="BL212">
            <v>687924163.29999995</v>
          </cell>
          <cell r="BM212">
            <v>23.9</v>
          </cell>
          <cell r="BN212" t="str">
            <v>Yes</v>
          </cell>
          <cell r="BO212" t="str">
            <v>Internal</v>
          </cell>
          <cell r="BP212">
            <v>36</v>
          </cell>
          <cell r="BQ212">
            <v>18</v>
          </cell>
          <cell r="BR212">
            <v>668900000</v>
          </cell>
          <cell r="BS212">
            <v>668900000</v>
          </cell>
          <cell r="BT212">
            <v>668900000</v>
          </cell>
          <cell r="BU212">
            <v>668900000</v>
          </cell>
          <cell r="BV212" t="str">
            <v>Yes</v>
          </cell>
          <cell r="BW212" t="str">
            <v>Poland</v>
          </cell>
          <cell r="BX212" t="str">
            <v>Retail</v>
          </cell>
          <cell r="BY212">
            <v>1.9</v>
          </cell>
          <cell r="BZ212" t="str">
            <v>Poland</v>
          </cell>
          <cell r="CA212" t="str">
            <v>Industrial / Logistics</v>
          </cell>
          <cell r="CB212">
            <v>3.4</v>
          </cell>
          <cell r="CC212" t="str">
            <v>France</v>
          </cell>
          <cell r="CD212" t="str">
            <v>Industrial / Logistics</v>
          </cell>
          <cell r="CE212">
            <v>4.0999999999999996</v>
          </cell>
          <cell r="CF212" t="str">
            <v>Spain</v>
          </cell>
          <cell r="CG212" t="str">
            <v>Other</v>
          </cell>
          <cell r="CH212">
            <v>4.9000000000000004</v>
          </cell>
          <cell r="CI212" t="str">
            <v>Denmark</v>
          </cell>
          <cell r="CJ212" t="str">
            <v>Retail</v>
          </cell>
          <cell r="CK212">
            <v>4.9000000000000004</v>
          </cell>
          <cell r="CL212" t="str">
            <v>Belgium</v>
          </cell>
          <cell r="CM212" t="str">
            <v>Office</v>
          </cell>
          <cell r="CN212">
            <v>5</v>
          </cell>
          <cell r="CO212" t="str">
            <v>Germany</v>
          </cell>
          <cell r="CP212" t="str">
            <v>Office</v>
          </cell>
          <cell r="CQ212">
            <v>9.1999999999999993</v>
          </cell>
          <cell r="CR212" t="str">
            <v>Netherlands</v>
          </cell>
          <cell r="CS212" t="str">
            <v>Office</v>
          </cell>
          <cell r="CT212">
            <v>9.3000000000000007</v>
          </cell>
          <cell r="CU212" t="str">
            <v>Germany</v>
          </cell>
          <cell r="CV212" t="str">
            <v>Industrial / Logistics</v>
          </cell>
          <cell r="CW212">
            <v>10</v>
          </cell>
          <cell r="CX212" t="str">
            <v>Netherlands</v>
          </cell>
          <cell r="CY212" t="str">
            <v>Industrial / Logistics</v>
          </cell>
          <cell r="CZ212">
            <v>21.2</v>
          </cell>
          <cell r="DA212" t="str">
            <v>France</v>
          </cell>
          <cell r="DB212" t="str">
            <v>Office</v>
          </cell>
          <cell r="DC212">
            <v>26.1</v>
          </cell>
        </row>
        <row r="213">
          <cell r="A213">
            <v>17169</v>
          </cell>
          <cell r="B213" t="str">
            <v>EUROPEAN PROPERTY SICAV-FIS</v>
          </cell>
          <cell r="C213" t="str">
            <v>BNP PARIBAS REIM GERMANY</v>
          </cell>
          <cell r="D213" t="str">
            <v>Lilli-Palmer-Straße 2</v>
          </cell>
          <cell r="E213">
            <v>80636</v>
          </cell>
          <cell r="F213" t="str">
            <v>Muenchen</v>
          </cell>
          <cell r="G213" t="str">
            <v>Germany</v>
          </cell>
          <cell r="H213" t="str">
            <v>+49 89 12 173-0</v>
          </cell>
          <cell r="I213" t="str">
            <v>+49 89 12 173-119</v>
          </cell>
          <cell r="J213" t="str">
            <v>http://www.reim.bnpparibas.de</v>
          </cell>
          <cell r="K213" t="str">
            <v>Georg Gmeineder</v>
          </cell>
          <cell r="L213" t="str">
            <v>georg.gmeineder@bnpparibas.com</v>
          </cell>
          <cell r="M213" t="str">
            <v>+49 89 12 173-107</v>
          </cell>
          <cell r="N213" t="str">
            <v>Bianca Kraus</v>
          </cell>
          <cell r="O213" t="str">
            <v>bianca.kraus@bnpparibas.com</v>
          </cell>
          <cell r="P213" t="str">
            <v>+49 89 12 173-318</v>
          </cell>
          <cell r="Q213" t="str">
            <v>Luxembourg</v>
          </cell>
          <cell r="R213" t="str">
            <v>EUR</v>
          </cell>
          <cell r="S213" t="str">
            <v>IFRS</v>
          </cell>
          <cell r="T213" t="str">
            <v>Quarterly</v>
          </cell>
          <cell r="U213" t="str">
            <v>Annually</v>
          </cell>
          <cell r="V213" t="str">
            <v>Other - mark to market</v>
          </cell>
          <cell r="W213" t="str">
            <v>IFRS NAV</v>
          </cell>
          <cell r="X213" t="str">
            <v>Deloitte</v>
          </cell>
          <cell r="Y213" t="str">
            <v>SICAV</v>
          </cell>
          <cell r="Z213" t="str">
            <v>Yes</v>
          </cell>
          <cell r="AA213" t="str">
            <v>Yes</v>
          </cell>
          <cell r="AC213" t="str">
            <v>Non-Listed Fund</v>
          </cell>
          <cell r="AD213" t="str">
            <v>Core</v>
          </cell>
          <cell r="AE213" t="str">
            <v>infinite</v>
          </cell>
          <cell r="AF213" t="str">
            <v>Open end</v>
          </cell>
          <cell r="AG213">
            <v>7.6</v>
          </cell>
          <cell r="AH213">
            <v>7.6</v>
          </cell>
          <cell r="AI213" t="str">
            <v>Net</v>
          </cell>
          <cell r="AK213">
            <v>5.5</v>
          </cell>
          <cell r="AL213">
            <v>60</v>
          </cell>
          <cell r="AM213" t="str">
            <v>&gt; 40% - ≤ 60%</v>
          </cell>
          <cell r="AN213" t="str">
            <v>Institutional</v>
          </cell>
          <cell r="AO213" t="str">
            <v>&gt; 2</v>
          </cell>
          <cell r="AP213" t="str">
            <v>≥ 50%</v>
          </cell>
          <cell r="AQ213" t="str">
            <v>Europe</v>
          </cell>
          <cell r="AR213" t="str">
            <v>multi country</v>
          </cell>
          <cell r="AS213" t="str">
            <v>Western Europe</v>
          </cell>
          <cell r="AU213" t="str">
            <v>multi sector</v>
          </cell>
          <cell r="AW213">
            <v>500000000</v>
          </cell>
          <cell r="AX213">
            <v>1000000000</v>
          </cell>
          <cell r="AY213">
            <v>2008</v>
          </cell>
          <cell r="BB213" t="str">
            <v>Yes</v>
          </cell>
          <cell r="BC213" t="str">
            <v>1+1 years</v>
          </cell>
          <cell r="BD213" t="str">
            <v>Yes</v>
          </cell>
          <cell r="BE213" t="str">
            <v>≥ 60%</v>
          </cell>
          <cell r="BF213" t="str">
            <v>≤ 15%</v>
          </cell>
          <cell r="BG213" t="str">
            <v>≤ 5%</v>
          </cell>
          <cell r="BH213" t="str">
            <v>2019-06-30</v>
          </cell>
          <cell r="BI213">
            <v>856069835</v>
          </cell>
          <cell r="BJ213">
            <v>856069835</v>
          </cell>
          <cell r="BK213">
            <v>537165273</v>
          </cell>
          <cell r="BL213">
            <v>537165273</v>
          </cell>
          <cell r="BM213">
            <v>40.200000000000003</v>
          </cell>
          <cell r="BO213" t="str">
            <v>External</v>
          </cell>
          <cell r="BP213">
            <v>4</v>
          </cell>
          <cell r="BQ213">
            <v>15</v>
          </cell>
          <cell r="BS213">
            <v>0</v>
          </cell>
        </row>
        <row r="214">
          <cell r="A214">
            <v>17778</v>
          </cell>
          <cell r="B214" t="str">
            <v>EUROPEAN REAL ESTATE FUND</v>
          </cell>
          <cell r="C214" t="str">
            <v>DWS ALTERNATIVES GMBH</v>
          </cell>
          <cell r="D214" t="str">
            <v xml:space="preserve">Mainzer Landstraße 11-17				</v>
          </cell>
          <cell r="E214" t="str">
            <v xml:space="preserve">60329			</v>
          </cell>
          <cell r="F214" t="str">
            <v xml:space="preserve">Frankfurt am Main				</v>
          </cell>
          <cell r="G214" t="str">
            <v>Germany</v>
          </cell>
          <cell r="H214" t="str">
            <v>+496991016661</v>
          </cell>
          <cell r="I214" t="str">
            <v>+496991016909</v>
          </cell>
          <cell r="J214" t="str">
            <v>https://www.dws.de/</v>
          </cell>
          <cell r="K214" t="str">
            <v xml:space="preserve">Carl-Eugen Bitzer			</v>
          </cell>
          <cell r="L214" t="str">
            <v>carl-eugen.bitzer@dws.com</v>
          </cell>
          <cell r="M214" t="str">
            <v>+496991016878</v>
          </cell>
          <cell r="N214" t="str">
            <v>Dr. Ulrich von Creytz</v>
          </cell>
          <cell r="O214" t="str">
            <v>ulrich-von.creytz@dws.com</v>
          </cell>
          <cell r="P214" t="str">
            <v>+496991016429</v>
          </cell>
          <cell r="Q214" t="str">
            <v>Germany</v>
          </cell>
          <cell r="R214" t="str">
            <v>EUR</v>
          </cell>
          <cell r="S214" t="str">
            <v>HGB</v>
          </cell>
          <cell r="T214" t="str">
            <v>Quarterly</v>
          </cell>
          <cell r="U214" t="str">
            <v>Annually</v>
          </cell>
          <cell r="V214" t="str">
            <v>ImmoWertV</v>
          </cell>
          <cell r="W214" t="str">
            <v>KAGB</v>
          </cell>
          <cell r="X214" t="str">
            <v xml:space="preserve">KPMG AG Wirtschaftsprüfungsgesellschaft			</v>
          </cell>
          <cell r="Y214" t="str">
            <v>Spezialfonds</v>
          </cell>
          <cell r="Z214" t="str">
            <v>No</v>
          </cell>
          <cell r="AA214" t="str">
            <v>Yes</v>
          </cell>
          <cell r="AB214">
            <v>11</v>
          </cell>
          <cell r="AC214" t="str">
            <v>Non-Listed Fund</v>
          </cell>
          <cell r="AD214" t="str">
            <v>Core</v>
          </cell>
          <cell r="AE214" t="str">
            <v>infinite</v>
          </cell>
          <cell r="AF214" t="str">
            <v>Open end</v>
          </cell>
          <cell r="AG214">
            <v>6</v>
          </cell>
          <cell r="AH214">
            <v>6</v>
          </cell>
          <cell r="AI214" t="str">
            <v>Net</v>
          </cell>
          <cell r="AJ214" t="str">
            <v>SFIX</v>
          </cell>
          <cell r="AK214">
            <v>4</v>
          </cell>
          <cell r="AL214">
            <v>50</v>
          </cell>
          <cell r="AM214" t="str">
            <v>&gt; 40% - ≤ 60%</v>
          </cell>
          <cell r="AN214" t="str">
            <v>Institutional</v>
          </cell>
          <cell r="AO214" t="str">
            <v>&gt; 2</v>
          </cell>
          <cell r="AP214" t="str">
            <v>≥ 50%</v>
          </cell>
          <cell r="AQ214" t="str">
            <v>Europe</v>
          </cell>
          <cell r="AR214" t="str">
            <v>single country</v>
          </cell>
          <cell r="AT214" t="str">
            <v>Germany</v>
          </cell>
          <cell r="AU214" t="str">
            <v>multi sector</v>
          </cell>
          <cell r="AY214">
            <v>2013</v>
          </cell>
          <cell r="BD214" t="str">
            <v>No</v>
          </cell>
          <cell r="BE214" t="str">
            <v>≥ 60%</v>
          </cell>
          <cell r="BH214" t="str">
            <v>2020-12-31</v>
          </cell>
          <cell r="BI214">
            <v>271593479.22000003</v>
          </cell>
          <cell r="BJ214">
            <v>271593479.22000003</v>
          </cell>
          <cell r="BK214">
            <v>144864839.28999999</v>
          </cell>
          <cell r="BL214">
            <v>144864839.28999999</v>
          </cell>
          <cell r="BM214">
            <v>46.66</v>
          </cell>
          <cell r="BN214" t="str">
            <v>Yes</v>
          </cell>
          <cell r="BO214" t="str">
            <v>External</v>
          </cell>
          <cell r="BP214">
            <v>12</v>
          </cell>
          <cell r="BQ214">
            <v>5</v>
          </cell>
          <cell r="BR214">
            <v>129108000</v>
          </cell>
          <cell r="BS214">
            <v>129108000</v>
          </cell>
          <cell r="BT214">
            <v>129104572</v>
          </cell>
          <cell r="BU214">
            <v>129104572</v>
          </cell>
          <cell r="BV214" t="str">
            <v>No</v>
          </cell>
          <cell r="BW214" t="str">
            <v>Germany</v>
          </cell>
          <cell r="BX214" t="str">
            <v>Mixed</v>
          </cell>
          <cell r="BY214">
            <v>2.4500000000000002</v>
          </cell>
          <cell r="BZ214" t="str">
            <v>Germany</v>
          </cell>
          <cell r="CA214" t="str">
            <v>Parking</v>
          </cell>
          <cell r="CB214">
            <v>6.91</v>
          </cell>
          <cell r="CC214" t="str">
            <v>Germany</v>
          </cell>
          <cell r="CD214" t="str">
            <v>Retail</v>
          </cell>
          <cell r="CE214">
            <v>47.33</v>
          </cell>
          <cell r="CF214" t="str">
            <v>Germany</v>
          </cell>
          <cell r="CG214" t="str">
            <v>Hotel</v>
          </cell>
          <cell r="CH214">
            <v>12.82</v>
          </cell>
          <cell r="CI214" t="str">
            <v>Germany</v>
          </cell>
          <cell r="CJ214" t="str">
            <v>Office</v>
          </cell>
          <cell r="CK214">
            <v>30.49</v>
          </cell>
        </row>
        <row r="215">
          <cell r="A215">
            <v>17779</v>
          </cell>
          <cell r="B215" t="str">
            <v>EUROPEAN RESIDENTIAL FUND</v>
          </cell>
          <cell r="C215" t="str">
            <v>DWS ALTERNATIVES GMBH</v>
          </cell>
          <cell r="D215" t="str">
            <v>Mainzer Landstraße 11-17</v>
          </cell>
          <cell r="E215">
            <v>60329</v>
          </cell>
          <cell r="F215" t="str">
            <v xml:space="preserve">Frankfurt am Main				</v>
          </cell>
          <cell r="G215" t="str">
            <v>Germany</v>
          </cell>
          <cell r="H215" t="str">
            <v>+496991016661</v>
          </cell>
          <cell r="I215" t="str">
            <v>+496991016909</v>
          </cell>
          <cell r="J215" t="str">
            <v>https://www.dws.de/</v>
          </cell>
          <cell r="K215" t="str">
            <v xml:space="preserve">Markus Wickenträger				</v>
          </cell>
          <cell r="L215" t="str">
            <v>markus.wickentraeger@dws.com</v>
          </cell>
          <cell r="M215" t="str">
            <v>+496991016457</v>
          </cell>
          <cell r="N215" t="str">
            <v xml:space="preserve">Dr. Ulrich von Creytz				</v>
          </cell>
          <cell r="O215" t="str">
            <v>ulrich-von.creytz@dws.com</v>
          </cell>
          <cell r="P215" t="str">
            <v>+496991016429</v>
          </cell>
          <cell r="Q215" t="str">
            <v>Germany</v>
          </cell>
          <cell r="R215" t="str">
            <v>EUR</v>
          </cell>
          <cell r="S215" t="str">
            <v>HGB</v>
          </cell>
          <cell r="T215" t="str">
            <v>Quarterly</v>
          </cell>
          <cell r="U215" t="str">
            <v>Annually</v>
          </cell>
          <cell r="V215" t="str">
            <v>ImmoWertV</v>
          </cell>
          <cell r="W215" t="str">
            <v>KAGB</v>
          </cell>
          <cell r="X215" t="str">
            <v xml:space="preserve">KPMG AG Wirtschaftsprüfungsgesellschaft			</v>
          </cell>
          <cell r="Y215" t="str">
            <v>Spezialfonds</v>
          </cell>
          <cell r="Z215" t="str">
            <v>No</v>
          </cell>
          <cell r="AA215" t="str">
            <v>Yes</v>
          </cell>
          <cell r="AB215">
            <v>4</v>
          </cell>
          <cell r="AC215" t="str">
            <v>Non-Listed Fund</v>
          </cell>
          <cell r="AD215" t="str">
            <v>Core</v>
          </cell>
          <cell r="AE215" t="str">
            <v>infinite</v>
          </cell>
          <cell r="AF215" t="str">
            <v>Open end</v>
          </cell>
          <cell r="AG215">
            <v>5</v>
          </cell>
          <cell r="AH215">
            <v>6</v>
          </cell>
          <cell r="AI215" t="str">
            <v>Net</v>
          </cell>
          <cell r="AJ215" t="str">
            <v>SFIX</v>
          </cell>
          <cell r="AK215">
            <v>6</v>
          </cell>
          <cell r="AL215">
            <v>50</v>
          </cell>
          <cell r="AM215" t="str">
            <v>&gt; 40% - ≤ 60%</v>
          </cell>
          <cell r="AN215" t="str">
            <v>Institutional</v>
          </cell>
          <cell r="AO215" t="str">
            <v>&gt; 2</v>
          </cell>
          <cell r="AP215" t="str">
            <v>≥ 50%</v>
          </cell>
          <cell r="AQ215" t="str">
            <v>Europe</v>
          </cell>
          <cell r="AR215" t="str">
            <v>multi country</v>
          </cell>
          <cell r="AS215" t="str">
            <v>Western Europe</v>
          </cell>
          <cell r="AU215" t="str">
            <v>single sector</v>
          </cell>
          <cell r="AV215" t="str">
            <v>Residential</v>
          </cell>
          <cell r="AW215">
            <v>219500000</v>
          </cell>
          <cell r="AY215">
            <v>2014</v>
          </cell>
          <cell r="BD215" t="str">
            <v>No</v>
          </cell>
          <cell r="BE215" t="str">
            <v>≥ 60%</v>
          </cell>
          <cell r="BH215" t="str">
            <v>2020-12-31</v>
          </cell>
          <cell r="BI215">
            <v>425253790.19999999</v>
          </cell>
          <cell r="BJ215">
            <v>425253790.19999999</v>
          </cell>
          <cell r="BK215">
            <v>266020454.66</v>
          </cell>
          <cell r="BL215">
            <v>266020454.66</v>
          </cell>
          <cell r="BM215">
            <v>37.44</v>
          </cell>
          <cell r="BN215" t="str">
            <v>No</v>
          </cell>
          <cell r="BO215" t="str">
            <v>External</v>
          </cell>
          <cell r="BP215">
            <v>6</v>
          </cell>
          <cell r="BQ215">
            <v>181</v>
          </cell>
          <cell r="BR215">
            <v>219500000</v>
          </cell>
          <cell r="BS215">
            <v>219500000</v>
          </cell>
          <cell r="BT215">
            <v>219331000</v>
          </cell>
          <cell r="BU215">
            <v>219331000</v>
          </cell>
          <cell r="BV215" t="str">
            <v>No</v>
          </cell>
          <cell r="BW215" t="str">
            <v>Germany</v>
          </cell>
          <cell r="BX215" t="str">
            <v>Residential</v>
          </cell>
          <cell r="BY215">
            <v>81.55</v>
          </cell>
          <cell r="BZ215" t="str">
            <v>Netherlands</v>
          </cell>
          <cell r="CA215" t="str">
            <v>Residential</v>
          </cell>
          <cell r="CB215">
            <v>18.45</v>
          </cell>
        </row>
        <row r="216">
          <cell r="A216">
            <v>19361</v>
          </cell>
          <cell r="B216" t="str">
            <v>EUROPEAN THEMATIC INCOME &amp; GROWTH</v>
          </cell>
          <cell r="C216" t="str">
            <v>SWISS LIFE FUND MANAGEMENT (LUX) S.A.</v>
          </cell>
          <cell r="D216" t="str">
            <v>4a, rue Albert Borschette</v>
          </cell>
          <cell r="E216">
            <v>1246</v>
          </cell>
          <cell r="F216" t="str">
            <v>Luxembourg</v>
          </cell>
          <cell r="G216" t="str">
            <v>Luxembourg</v>
          </cell>
          <cell r="H216" t="str">
            <v>+352 267585500</v>
          </cell>
          <cell r="J216" t="str">
            <v>https://www.swisslife-am.com</v>
          </cell>
          <cell r="K216" t="str">
            <v>Maureen Mahr von Staszewski</v>
          </cell>
          <cell r="L216" t="str">
            <v>Maureen.MahrvonStaszewski@swisslife-am.com</v>
          </cell>
          <cell r="M216" t="str">
            <v>+44 2072916693</v>
          </cell>
          <cell r="N216" t="str">
            <v>Matt Dimond</v>
          </cell>
          <cell r="O216" t="str">
            <v>mdimond@mayfaircapital.co.uk</v>
          </cell>
          <cell r="P216" t="str">
            <v>+44 2072916693</v>
          </cell>
          <cell r="Q216" t="str">
            <v>Luxembourg</v>
          </cell>
          <cell r="R216" t="str">
            <v>EUR</v>
          </cell>
          <cell r="S216" t="str">
            <v>Local GAAP</v>
          </cell>
          <cell r="T216" t="str">
            <v>Quarterly</v>
          </cell>
          <cell r="U216" t="str">
            <v>Twice per year</v>
          </cell>
          <cell r="V216" t="str">
            <v>RICS</v>
          </cell>
          <cell r="X216" t="str">
            <v>Deloitte Audit S.à r.l.</v>
          </cell>
          <cell r="Y216" t="str">
            <v>SCA</v>
          </cell>
          <cell r="Z216" t="str">
            <v>No</v>
          </cell>
          <cell r="AA216" t="str">
            <v>No</v>
          </cell>
          <cell r="AC216" t="str">
            <v>Non-Listed Fund</v>
          </cell>
          <cell r="AD216" t="str">
            <v>Core</v>
          </cell>
          <cell r="AE216" t="str">
            <v>infinite</v>
          </cell>
          <cell r="AF216" t="str">
            <v>Open end</v>
          </cell>
          <cell r="AG216">
            <v>7</v>
          </cell>
          <cell r="AH216">
            <v>8</v>
          </cell>
          <cell r="AK216">
            <v>4</v>
          </cell>
          <cell r="AL216">
            <v>40</v>
          </cell>
          <cell r="AM216" t="str">
            <v>&gt; 40% - ≤ 60%</v>
          </cell>
          <cell r="AN216" t="str">
            <v>Institutional</v>
          </cell>
          <cell r="AO216" t="str">
            <v>&gt; 2</v>
          </cell>
          <cell r="AP216" t="str">
            <v>≥ 50%</v>
          </cell>
          <cell r="AQ216" t="str">
            <v>Europe</v>
          </cell>
          <cell r="AR216" t="str">
            <v>multi country</v>
          </cell>
          <cell r="AS216" t="str">
            <v>Europe</v>
          </cell>
          <cell r="AU216" t="str">
            <v>multi sector</v>
          </cell>
          <cell r="AW216">
            <v>600000000</v>
          </cell>
          <cell r="AX216">
            <v>1000000000</v>
          </cell>
          <cell r="AY216">
            <v>2019</v>
          </cell>
        </row>
        <row r="217">
          <cell r="A217">
            <v>18579</v>
          </cell>
          <cell r="B217" t="str">
            <v>EUROPEAN VALUE PARTNERS I (EVP I)</v>
          </cell>
          <cell r="C217" t="str">
            <v>PGIM REAL ESTATE LUXEMBOURG S.A.</v>
          </cell>
          <cell r="D217" t="str">
            <v>2, boulevard de la Foire</v>
          </cell>
          <cell r="E217" t="str">
            <v>L-1528</v>
          </cell>
          <cell r="F217" t="str">
            <v>Luxembourg</v>
          </cell>
          <cell r="G217" t="str">
            <v>Luxembourg</v>
          </cell>
          <cell r="H217" t="str">
            <v>+35227623410</v>
          </cell>
          <cell r="I217" t="str">
            <v>+35227623419</v>
          </cell>
          <cell r="J217" t="str">
            <v>http://www.pgimrealestate.com</v>
          </cell>
          <cell r="K217" t="str">
            <v>Maike Bebiolka</v>
          </cell>
          <cell r="L217" t="str">
            <v>maike.babiolka@pgim.com</v>
          </cell>
          <cell r="M217" t="str">
            <v>+4969244341</v>
          </cell>
          <cell r="N217" t="str">
            <v>Killian Currey-Lewis</v>
          </cell>
          <cell r="O217" t="str">
            <v>killian.curreylewis@pgim.com</v>
          </cell>
          <cell r="P217" t="str">
            <v>+442077662425</v>
          </cell>
          <cell r="Q217" t="str">
            <v>Luxembourg</v>
          </cell>
          <cell r="R217" t="str">
            <v>EUR</v>
          </cell>
          <cell r="S217" t="str">
            <v>IFRS</v>
          </cell>
          <cell r="T217" t="str">
            <v>Quarterly</v>
          </cell>
          <cell r="U217" t="str">
            <v>Annually</v>
          </cell>
          <cell r="V217" t="str">
            <v>Other - mark to market</v>
          </cell>
          <cell r="W217" t="str">
            <v>IFRS NAV</v>
          </cell>
          <cell r="X217" t="str">
            <v>PWC</v>
          </cell>
          <cell r="Y217" t="str">
            <v>Real Estate Fund</v>
          </cell>
          <cell r="Z217" t="str">
            <v>No</v>
          </cell>
          <cell r="AA217" t="str">
            <v>No</v>
          </cell>
          <cell r="AC217" t="str">
            <v>Non-Listed Fund</v>
          </cell>
          <cell r="AD217" t="str">
            <v>Value-added</v>
          </cell>
          <cell r="AE217" t="str">
            <v>finite</v>
          </cell>
          <cell r="AF217" t="str">
            <v>Closed end</v>
          </cell>
          <cell r="AG217">
            <v>12</v>
          </cell>
          <cell r="AH217">
            <v>12</v>
          </cell>
          <cell r="AI217" t="str">
            <v>Net</v>
          </cell>
          <cell r="AL217">
            <v>60</v>
          </cell>
          <cell r="AN217" t="str">
            <v>Institutional</v>
          </cell>
          <cell r="AO217" t="str">
            <v>&gt; 2</v>
          </cell>
          <cell r="AP217" t="str">
            <v>≥ 50%</v>
          </cell>
          <cell r="AQ217" t="str">
            <v>Europe</v>
          </cell>
          <cell r="AR217" t="str">
            <v>multi country</v>
          </cell>
          <cell r="AS217" t="str">
            <v>Europe</v>
          </cell>
          <cell r="AU217" t="str">
            <v>multi sector</v>
          </cell>
          <cell r="AY217">
            <v>2015</v>
          </cell>
          <cell r="AZ217">
            <v>2022</v>
          </cell>
          <cell r="BA217" t="str">
            <v>Yes</v>
          </cell>
          <cell r="BB217" t="str">
            <v>Yes</v>
          </cell>
          <cell r="BC217" t="str">
            <v>2 years fixed</v>
          </cell>
          <cell r="BD217" t="str">
            <v>No</v>
          </cell>
          <cell r="BG217" t="str">
            <v>&gt; 5 - ≤ 25%</v>
          </cell>
          <cell r="BH217" t="str">
            <v>2020-06-30</v>
          </cell>
          <cell r="BI217">
            <v>1253524000</v>
          </cell>
          <cell r="BJ217">
            <v>1253524000</v>
          </cell>
          <cell r="BK217">
            <v>402991153</v>
          </cell>
          <cell r="BL217">
            <v>402991153</v>
          </cell>
          <cell r="BM217">
            <v>47</v>
          </cell>
          <cell r="BN217" t="str">
            <v>No</v>
          </cell>
          <cell r="BO217" t="str">
            <v>External</v>
          </cell>
          <cell r="BP217">
            <v>21</v>
          </cell>
          <cell r="BQ217">
            <v>10</v>
          </cell>
          <cell r="BR217">
            <v>457307436</v>
          </cell>
          <cell r="BS217">
            <v>457307436</v>
          </cell>
          <cell r="BT217">
            <v>382100000</v>
          </cell>
          <cell r="BU217">
            <v>382100000</v>
          </cell>
          <cell r="BV217" t="str">
            <v>No</v>
          </cell>
          <cell r="BW217" t="str">
            <v>Italy</v>
          </cell>
          <cell r="BX217" t="str">
            <v>Retail</v>
          </cell>
          <cell r="BY217">
            <v>1.536</v>
          </cell>
          <cell r="BZ217" t="str">
            <v>France</v>
          </cell>
          <cell r="CA217" t="str">
            <v>Office</v>
          </cell>
          <cell r="CB217">
            <v>47.73</v>
          </cell>
          <cell r="CC217" t="str">
            <v>Germany</v>
          </cell>
          <cell r="CD217" t="str">
            <v>Office</v>
          </cell>
          <cell r="CE217">
            <v>26.593</v>
          </cell>
          <cell r="CF217" t="str">
            <v>Germany</v>
          </cell>
          <cell r="CG217" t="str">
            <v>Residential</v>
          </cell>
          <cell r="CH217">
            <v>6.5190000000000001</v>
          </cell>
          <cell r="CI217" t="str">
            <v>Germany</v>
          </cell>
          <cell r="CJ217" t="str">
            <v>Retail</v>
          </cell>
          <cell r="CK217">
            <v>5.9960000000000004</v>
          </cell>
          <cell r="CL217" t="str">
            <v>Germany</v>
          </cell>
          <cell r="CM217" t="str">
            <v>Hotel</v>
          </cell>
          <cell r="CN217">
            <v>4.1970000000000001</v>
          </cell>
          <cell r="CO217" t="str">
            <v>Germany</v>
          </cell>
          <cell r="CP217" t="str">
            <v>Industrial / Logistics</v>
          </cell>
          <cell r="CQ217">
            <v>2.4220000000000002</v>
          </cell>
        </row>
        <row r="218">
          <cell r="A218">
            <v>18565</v>
          </cell>
          <cell r="B218" t="str">
            <v>EUROZONE LOGISTICS FUND</v>
          </cell>
          <cell r="C218" t="str">
            <v>BNP PARIBAS REIM</v>
          </cell>
          <cell r="D218" t="str">
            <v>167 quai de Stalingrad</v>
          </cell>
          <cell r="E218">
            <v>92867</v>
          </cell>
          <cell r="F218" t="str">
            <v>Issy les Moulineaux</v>
          </cell>
          <cell r="G218" t="str">
            <v>France</v>
          </cell>
          <cell r="K218" t="str">
            <v>Lucas Despretz</v>
          </cell>
          <cell r="L218" t="str">
            <v>lucas.despretz@bnpparibas.com</v>
          </cell>
          <cell r="M218">
            <v>155652159</v>
          </cell>
          <cell r="N218" t="str">
            <v>Henri Romnicianu</v>
          </cell>
          <cell r="O218" t="str">
            <v>henri.romnicianu@bnpparibas.com</v>
          </cell>
          <cell r="P218">
            <v>155652401</v>
          </cell>
          <cell r="Q218" t="str">
            <v>Luxembourg</v>
          </cell>
          <cell r="R218" t="str">
            <v>EUR</v>
          </cell>
          <cell r="S218" t="str">
            <v>IFRS</v>
          </cell>
          <cell r="T218" t="str">
            <v>Quarterly</v>
          </cell>
          <cell r="U218" t="str">
            <v>Quarterly</v>
          </cell>
          <cell r="V218" t="str">
            <v>RICS</v>
          </cell>
          <cell r="W218" t="str">
            <v>INREV NAV</v>
          </cell>
          <cell r="X218" t="str">
            <v>PWC</v>
          </cell>
          <cell r="Y218" t="str">
            <v>SICAV</v>
          </cell>
          <cell r="Z218" t="str">
            <v>Yes</v>
          </cell>
          <cell r="AA218" t="str">
            <v>Yes</v>
          </cell>
          <cell r="AB218">
            <v>3</v>
          </cell>
          <cell r="AC218" t="str">
            <v>Non-Listed Fund</v>
          </cell>
          <cell r="AD218" t="str">
            <v>Core</v>
          </cell>
          <cell r="AE218" t="str">
            <v>finite</v>
          </cell>
          <cell r="AF218" t="str">
            <v>Closed end</v>
          </cell>
          <cell r="AG218">
            <v>6.5</v>
          </cell>
          <cell r="AH218">
            <v>6.5</v>
          </cell>
          <cell r="AI218" t="str">
            <v>Net</v>
          </cell>
          <cell r="AJ218" t="str">
            <v>IPD / MSCI</v>
          </cell>
          <cell r="AK218">
            <v>6</v>
          </cell>
          <cell r="AL218">
            <v>40</v>
          </cell>
          <cell r="AM218" t="str">
            <v>≤ 40%</v>
          </cell>
          <cell r="AN218" t="str">
            <v>Institutional</v>
          </cell>
          <cell r="AO218" t="str">
            <v>&gt; 2</v>
          </cell>
          <cell r="AP218" t="str">
            <v>≥ 50%</v>
          </cell>
          <cell r="AQ218" t="str">
            <v>Europe</v>
          </cell>
          <cell r="AR218" t="str">
            <v>multi country</v>
          </cell>
          <cell r="AS218" t="str">
            <v>Western Europe</v>
          </cell>
          <cell r="AU218" t="str">
            <v>single sector</v>
          </cell>
          <cell r="AV218" t="str">
            <v>Industrial / Logistics</v>
          </cell>
          <cell r="AW218">
            <v>180000000</v>
          </cell>
          <cell r="AX218">
            <v>300000000</v>
          </cell>
          <cell r="AY218">
            <v>2017</v>
          </cell>
          <cell r="AZ218">
            <v>2027</v>
          </cell>
          <cell r="BA218" t="str">
            <v>Yes</v>
          </cell>
          <cell r="BB218" t="str">
            <v>Yes</v>
          </cell>
          <cell r="BC218" t="str">
            <v>1+1+1 years</v>
          </cell>
          <cell r="BD218" t="str">
            <v>No</v>
          </cell>
          <cell r="BE218" t="str">
            <v>≥ 60%</v>
          </cell>
          <cell r="BF218" t="str">
            <v>≤ 15%</v>
          </cell>
          <cell r="BG218" t="str">
            <v>≤ 5%</v>
          </cell>
          <cell r="BH218" t="str">
            <v>2020-09-30</v>
          </cell>
          <cell r="BI218">
            <v>305747099</v>
          </cell>
          <cell r="BJ218">
            <v>305747099</v>
          </cell>
          <cell r="BK218">
            <v>194638395</v>
          </cell>
          <cell r="BL218">
            <v>194638395</v>
          </cell>
          <cell r="BM218">
            <v>34.1</v>
          </cell>
          <cell r="BN218" t="str">
            <v>No</v>
          </cell>
          <cell r="BO218" t="str">
            <v>External</v>
          </cell>
          <cell r="BP218">
            <v>23</v>
          </cell>
          <cell r="BQ218">
            <v>9</v>
          </cell>
          <cell r="BR218">
            <v>300000000</v>
          </cell>
          <cell r="BS218">
            <v>300000000</v>
          </cell>
          <cell r="BT218">
            <v>189890000</v>
          </cell>
          <cell r="BU218">
            <v>189890000</v>
          </cell>
          <cell r="BV218" t="str">
            <v>No</v>
          </cell>
        </row>
        <row r="219">
          <cell r="A219">
            <v>171</v>
          </cell>
          <cell r="B219" t="str">
            <v>EXILION REAL ESTATE 1 KY</v>
          </cell>
          <cell r="C219" t="str">
            <v>EXILION CAPITAL OY</v>
          </cell>
          <cell r="D219" t="str">
            <v>Mannerheimintie 20 B</v>
          </cell>
          <cell r="E219">
            <v>100</v>
          </cell>
          <cell r="F219" t="str">
            <v>Helsinki</v>
          </cell>
          <cell r="G219" t="str">
            <v>Finland</v>
          </cell>
          <cell r="H219" t="str">
            <v>+358 (0) 5 0570 0796</v>
          </cell>
          <cell r="J219" t="str">
            <v>http://www.exilion.fi</v>
          </cell>
          <cell r="K219" t="str">
            <v>Ari Talja</v>
          </cell>
          <cell r="L219" t="str">
            <v>ari.talja@exilion.fi</v>
          </cell>
          <cell r="M219" t="str">
            <v>+358 (0) 5 0570 0796</v>
          </cell>
          <cell r="N219" t="str">
            <v>Ari Talja</v>
          </cell>
          <cell r="O219" t="str">
            <v>ari.talja@exilion.fi</v>
          </cell>
          <cell r="P219" t="str">
            <v>+358 (0) 505700796</v>
          </cell>
          <cell r="Q219" t="str">
            <v>Finland</v>
          </cell>
          <cell r="R219" t="str">
            <v>EUR</v>
          </cell>
          <cell r="S219" t="str">
            <v>Local GAAP</v>
          </cell>
          <cell r="T219" t="str">
            <v>Quarterly</v>
          </cell>
          <cell r="U219" t="str">
            <v>Twice per year</v>
          </cell>
          <cell r="V219" t="str">
            <v>Other - mark to market</v>
          </cell>
          <cell r="X219" t="str">
            <v>PriceWaterhouseCoopers</v>
          </cell>
          <cell r="Y219" t="str">
            <v>Ky</v>
          </cell>
          <cell r="Z219" t="str">
            <v>No</v>
          </cell>
          <cell r="AA219" t="str">
            <v>No</v>
          </cell>
          <cell r="AB219">
            <v>0</v>
          </cell>
          <cell r="AC219" t="str">
            <v>Non-Listed Fund</v>
          </cell>
          <cell r="AD219" t="str">
            <v>Core</v>
          </cell>
          <cell r="AE219" t="str">
            <v>finite</v>
          </cell>
          <cell r="AF219" t="str">
            <v>Open end</v>
          </cell>
          <cell r="AG219">
            <v>7</v>
          </cell>
          <cell r="AH219">
            <v>7</v>
          </cell>
          <cell r="AI219" t="str">
            <v>Net</v>
          </cell>
          <cell r="AK219">
            <v>0</v>
          </cell>
          <cell r="AL219">
            <v>50</v>
          </cell>
          <cell r="AM219" t="str">
            <v>&gt; 60%</v>
          </cell>
          <cell r="AN219" t="str">
            <v>Institutional</v>
          </cell>
          <cell r="AO219" t="str">
            <v>&gt; 2</v>
          </cell>
          <cell r="AP219" t="str">
            <v>≥ 50%</v>
          </cell>
          <cell r="AQ219" t="str">
            <v>Europe</v>
          </cell>
          <cell r="AR219" t="str">
            <v>single country</v>
          </cell>
          <cell r="AT219" t="str">
            <v>Finland</v>
          </cell>
          <cell r="AU219" t="str">
            <v>multi sector</v>
          </cell>
          <cell r="AW219">
            <v>200000000</v>
          </cell>
          <cell r="AX219">
            <v>400000000</v>
          </cell>
          <cell r="AY219">
            <v>2007</v>
          </cell>
          <cell r="AZ219">
            <v>2022</v>
          </cell>
          <cell r="BA219" t="str">
            <v>Yes</v>
          </cell>
          <cell r="BB219" t="str">
            <v>Yes</v>
          </cell>
          <cell r="BC219" t="str">
            <v>2 years fixed</v>
          </cell>
          <cell r="BD219" t="str">
            <v>Yes</v>
          </cell>
          <cell r="BH219" t="str">
            <v>2020-12-31</v>
          </cell>
          <cell r="BI219">
            <v>266946128</v>
          </cell>
          <cell r="BJ219">
            <v>266946128</v>
          </cell>
          <cell r="BK219">
            <v>161971478</v>
          </cell>
          <cell r="BL219">
            <v>161971478</v>
          </cell>
          <cell r="BM219">
            <v>39.32</v>
          </cell>
          <cell r="BN219" t="str">
            <v>No</v>
          </cell>
          <cell r="BO219" t="str">
            <v>External</v>
          </cell>
          <cell r="BP219">
            <v>1</v>
          </cell>
          <cell r="BQ219">
            <v>3</v>
          </cell>
          <cell r="BR219">
            <v>218000000</v>
          </cell>
          <cell r="BS219">
            <v>218000000</v>
          </cell>
          <cell r="BT219">
            <v>218000000</v>
          </cell>
          <cell r="BU219">
            <v>218000000</v>
          </cell>
          <cell r="BV219" t="str">
            <v>No</v>
          </cell>
          <cell r="BW219" t="str">
            <v>Finland</v>
          </cell>
          <cell r="BX219" t="str">
            <v>Office</v>
          </cell>
          <cell r="BY219">
            <v>61</v>
          </cell>
          <cell r="BZ219" t="str">
            <v>Finland</v>
          </cell>
          <cell r="CA219" t="str">
            <v>Hotel</v>
          </cell>
          <cell r="CB219">
            <v>38</v>
          </cell>
        </row>
        <row r="220">
          <cell r="A220">
            <v>239</v>
          </cell>
          <cell r="B220" t="str">
            <v>FEDERATED HERMES PROPERTY UNIT TRUST</v>
          </cell>
          <cell r="C220" t="str">
            <v>HERMES REAL ESTATE INVESTMENT MANAGEMENT LTD</v>
          </cell>
          <cell r="D220" t="str">
            <v>150 Cheapside</v>
          </cell>
          <cell r="E220" t="str">
            <v>EC2V 6ET</v>
          </cell>
          <cell r="F220" t="str">
            <v>London</v>
          </cell>
          <cell r="G220" t="str">
            <v>United Kingdom</v>
          </cell>
          <cell r="H220" t="str">
            <v>+442077020888</v>
          </cell>
          <cell r="I220" t="str">
            <v>+442077029453</v>
          </cell>
          <cell r="J220" t="str">
            <v>http://www.hermes-investment.com</v>
          </cell>
          <cell r="K220" t="str">
            <v>Dermot Kiernan</v>
          </cell>
          <cell r="L220" t="str">
            <v>dermot.kiernan@hermes-investment.com</v>
          </cell>
          <cell r="M220" t="str">
            <v>+442076802809</v>
          </cell>
          <cell r="N220" t="str">
            <v>Douglas Anderson</v>
          </cell>
          <cell r="O220" t="str">
            <v>Douglas.Anderson@hermes-investment.com</v>
          </cell>
          <cell r="P220" t="str">
            <v>+442077026127</v>
          </cell>
          <cell r="Q220" t="str">
            <v>United Kingdom</v>
          </cell>
          <cell r="R220" t="str">
            <v>GBP</v>
          </cell>
          <cell r="S220" t="str">
            <v>Local GAAP</v>
          </cell>
          <cell r="T220" t="str">
            <v>Twice per year</v>
          </cell>
          <cell r="U220" t="str">
            <v>Monthly</v>
          </cell>
          <cell r="V220" t="str">
            <v>RICS</v>
          </cell>
          <cell r="W220" t="str">
            <v>INREV NAV</v>
          </cell>
          <cell r="X220" t="str">
            <v>PriceWaterhouseCoopers</v>
          </cell>
          <cell r="Y220" t="str">
            <v>Unit trust</v>
          </cell>
          <cell r="Z220" t="str">
            <v>No</v>
          </cell>
          <cell r="AA220" t="str">
            <v>Yes</v>
          </cell>
          <cell r="AB220">
            <v>5</v>
          </cell>
          <cell r="AC220" t="str">
            <v>Non-Listed Fund</v>
          </cell>
          <cell r="AD220" t="str">
            <v>Core</v>
          </cell>
          <cell r="AE220" t="str">
            <v>infinite</v>
          </cell>
          <cell r="AF220" t="str">
            <v>Open end</v>
          </cell>
          <cell r="AI220" t="str">
            <v>Net</v>
          </cell>
          <cell r="AJ220" t="str">
            <v>AREF/IPD Other Balanced Property Fund Index</v>
          </cell>
          <cell r="AL220">
            <v>10</v>
          </cell>
          <cell r="AM220" t="str">
            <v>≤ 40%</v>
          </cell>
          <cell r="AN220" t="str">
            <v>Institutional</v>
          </cell>
          <cell r="AO220" t="str">
            <v>&gt; 2</v>
          </cell>
          <cell r="AP220" t="str">
            <v>≥ 50%</v>
          </cell>
          <cell r="AQ220" t="str">
            <v>Europe</v>
          </cell>
          <cell r="AR220" t="str">
            <v>single country</v>
          </cell>
          <cell r="AT220" t="str">
            <v>United Kingdom</v>
          </cell>
          <cell r="AU220" t="str">
            <v>multi sector</v>
          </cell>
          <cell r="AY220">
            <v>1967</v>
          </cell>
          <cell r="BB220" t="str">
            <v>No</v>
          </cell>
          <cell r="BD220" t="str">
            <v>No</v>
          </cell>
          <cell r="BH220" t="str">
            <v>2020-12-31</v>
          </cell>
          <cell r="BI220">
            <v>1415355323</v>
          </cell>
          <cell r="BJ220">
            <v>1564744796.4460831</v>
          </cell>
          <cell r="BK220">
            <v>1367355323</v>
          </cell>
          <cell r="BL220">
            <v>1511678439.8860829</v>
          </cell>
          <cell r="BM220">
            <v>3.4</v>
          </cell>
          <cell r="BN220" t="str">
            <v>No</v>
          </cell>
          <cell r="BO220" t="str">
            <v>External</v>
          </cell>
          <cell r="BP220">
            <v>104</v>
          </cell>
          <cell r="BQ220">
            <v>73</v>
          </cell>
          <cell r="BS220">
            <v>0</v>
          </cell>
          <cell r="BV220" t="str">
            <v>No</v>
          </cell>
          <cell r="BW220" t="str">
            <v>United Kingdom</v>
          </cell>
          <cell r="BX220" t="str">
            <v>Other</v>
          </cell>
          <cell r="BY220">
            <v>10.78</v>
          </cell>
          <cell r="BZ220" t="str">
            <v>United Kingdom</v>
          </cell>
          <cell r="CA220" t="str">
            <v>Industrial / Logistics</v>
          </cell>
          <cell r="CB220">
            <v>29.1</v>
          </cell>
          <cell r="CC220" t="str">
            <v>United Kingdom</v>
          </cell>
          <cell r="CD220" t="str">
            <v>Retail</v>
          </cell>
          <cell r="CE220">
            <v>19.8</v>
          </cell>
          <cell r="CF220" t="str">
            <v>United Kingdom</v>
          </cell>
          <cell r="CG220" t="str">
            <v>Office</v>
          </cell>
          <cell r="CH220">
            <v>28.7</v>
          </cell>
        </row>
        <row r="221">
          <cell r="A221">
            <v>173</v>
          </cell>
          <cell r="B221" t="str">
            <v>FIDELITY EUROZONE REAL ESTATE FUND</v>
          </cell>
          <cell r="C221" t="str">
            <v>FIL INVESTMENT MANAGEMENT (LUXEMBOURG) S.A.</v>
          </cell>
          <cell r="D221" t="str">
            <v>c/o 4 Cannon Street</v>
          </cell>
          <cell r="E221" t="str">
            <v>EC4M 5AB</v>
          </cell>
          <cell r="F221" t="str">
            <v>London</v>
          </cell>
          <cell r="G221" t="str">
            <v>United Kingdom</v>
          </cell>
          <cell r="H221" t="str">
            <v>+442079614844</v>
          </cell>
          <cell r="I221" t="str">
            <v>+442075097501</v>
          </cell>
          <cell r="J221" t="str">
            <v>http://www.fidelityinstitutional.com</v>
          </cell>
          <cell r="K221" t="str">
            <v>Keith Sutton</v>
          </cell>
          <cell r="L221" t="str">
            <v>keith.sutton@fil.com</v>
          </cell>
          <cell r="N221" t="str">
            <v>Adrian Benedict</v>
          </cell>
          <cell r="O221" t="str">
            <v>adrian.benedict@fil.com</v>
          </cell>
          <cell r="P221" t="str">
            <v>+442079614536</v>
          </cell>
          <cell r="Q221" t="str">
            <v>Luxembourg</v>
          </cell>
          <cell r="R221" t="str">
            <v>EUR</v>
          </cell>
          <cell r="S221" t="str">
            <v>IFRS</v>
          </cell>
          <cell r="T221" t="str">
            <v>Quarterly</v>
          </cell>
          <cell r="U221" t="str">
            <v>Monthly</v>
          </cell>
          <cell r="V221" t="str">
            <v>RICS</v>
          </cell>
          <cell r="X221" t="str">
            <v>Deloitte</v>
          </cell>
          <cell r="Y221" t="str">
            <v>SICAV</v>
          </cell>
          <cell r="Z221" t="str">
            <v>No</v>
          </cell>
          <cell r="AA221" t="str">
            <v>Yes</v>
          </cell>
          <cell r="AB221">
            <v>3</v>
          </cell>
          <cell r="AC221" t="str">
            <v>Non-Listed Fund</v>
          </cell>
          <cell r="AD221" t="str">
            <v>Core</v>
          </cell>
          <cell r="AE221" t="str">
            <v>infinite</v>
          </cell>
          <cell r="AF221" t="str">
            <v>Open end</v>
          </cell>
          <cell r="AG221">
            <v>7</v>
          </cell>
          <cell r="AH221">
            <v>9</v>
          </cell>
          <cell r="AI221" t="str">
            <v>Net</v>
          </cell>
          <cell r="AK221">
            <v>4.5</v>
          </cell>
          <cell r="AL221">
            <v>30</v>
          </cell>
          <cell r="AM221" t="str">
            <v>&gt; 40% - ≤ 60%</v>
          </cell>
          <cell r="AN221" t="str">
            <v>Institutional</v>
          </cell>
          <cell r="AO221" t="str">
            <v>&gt; 2</v>
          </cell>
          <cell r="AP221" t="str">
            <v>≥ 50%</v>
          </cell>
          <cell r="AQ221" t="str">
            <v>Europe</v>
          </cell>
          <cell r="AR221" t="str">
            <v>multi country</v>
          </cell>
          <cell r="AS221" t="str">
            <v>Europe</v>
          </cell>
          <cell r="AU221" t="str">
            <v>multi sector</v>
          </cell>
          <cell r="AW221">
            <v>1000000</v>
          </cell>
          <cell r="AX221">
            <v>1500000</v>
          </cell>
          <cell r="AY221">
            <v>2011</v>
          </cell>
          <cell r="BA221" t="str">
            <v>No</v>
          </cell>
          <cell r="BB221" t="str">
            <v>No</v>
          </cell>
          <cell r="BH221" t="str">
            <v>2020-12-31</v>
          </cell>
          <cell r="BI221">
            <v>1091951432</v>
          </cell>
          <cell r="BJ221">
            <v>1091951432</v>
          </cell>
          <cell r="BK221">
            <v>893506359</v>
          </cell>
          <cell r="BL221">
            <v>893506359</v>
          </cell>
          <cell r="BM221">
            <v>14.6</v>
          </cell>
          <cell r="BN221" t="str">
            <v>No</v>
          </cell>
          <cell r="BO221" t="str">
            <v>External</v>
          </cell>
          <cell r="BP221">
            <v>59</v>
          </cell>
          <cell r="BQ221">
            <v>29</v>
          </cell>
          <cell r="BR221">
            <v>179735774</v>
          </cell>
          <cell r="BS221">
            <v>179735774</v>
          </cell>
          <cell r="BT221">
            <v>731858357</v>
          </cell>
          <cell r="BU221">
            <v>731858357</v>
          </cell>
          <cell r="BV221" t="str">
            <v>Yes</v>
          </cell>
          <cell r="BW221" t="str">
            <v>Belgium</v>
          </cell>
          <cell r="BX221" t="str">
            <v>Retail</v>
          </cell>
          <cell r="BY221">
            <v>2.2000000000000002</v>
          </cell>
          <cell r="BZ221" t="str">
            <v>Luxembourg</v>
          </cell>
          <cell r="CA221" t="str">
            <v>Office</v>
          </cell>
          <cell r="CB221">
            <v>22</v>
          </cell>
          <cell r="CC221" t="str">
            <v>Netherlands</v>
          </cell>
          <cell r="CD221" t="str">
            <v>Other</v>
          </cell>
          <cell r="CE221">
            <v>5.2</v>
          </cell>
          <cell r="CF221" t="str">
            <v>Netherlands</v>
          </cell>
          <cell r="CG221" t="str">
            <v>Industrial / Logistics</v>
          </cell>
          <cell r="CH221">
            <v>1.9</v>
          </cell>
          <cell r="CI221" t="str">
            <v>Netherlands</v>
          </cell>
          <cell r="CJ221" t="str">
            <v>Retail</v>
          </cell>
          <cell r="CK221">
            <v>1.2</v>
          </cell>
          <cell r="CL221" t="str">
            <v>Netherlands</v>
          </cell>
          <cell r="CM221" t="str">
            <v>Office</v>
          </cell>
          <cell r="CN221">
            <v>2.9</v>
          </cell>
          <cell r="CO221" t="str">
            <v>France</v>
          </cell>
          <cell r="CP221" t="str">
            <v>Retail</v>
          </cell>
          <cell r="CQ221">
            <v>3.7</v>
          </cell>
          <cell r="CR221" t="str">
            <v>France</v>
          </cell>
          <cell r="CS221" t="str">
            <v>Office</v>
          </cell>
          <cell r="CT221">
            <v>12.1</v>
          </cell>
          <cell r="CU221" t="str">
            <v>France</v>
          </cell>
          <cell r="CV221" t="str">
            <v>Industrial / Logistics</v>
          </cell>
          <cell r="CW221">
            <v>6.3</v>
          </cell>
          <cell r="CX221" t="str">
            <v>Germany</v>
          </cell>
          <cell r="CY221" t="str">
            <v>Retail</v>
          </cell>
          <cell r="CZ221">
            <v>5.3</v>
          </cell>
          <cell r="DA221" t="str">
            <v>Germany</v>
          </cell>
          <cell r="DB221" t="str">
            <v>Industrial / Logistics</v>
          </cell>
          <cell r="DC221">
            <v>19.3</v>
          </cell>
          <cell r="DD221" t="str">
            <v>Germany</v>
          </cell>
          <cell r="DE221" t="str">
            <v>Office</v>
          </cell>
          <cell r="DF221">
            <v>11</v>
          </cell>
        </row>
        <row r="222">
          <cell r="A222">
            <v>570</v>
          </cell>
          <cell r="B222" t="str">
            <v>FIDELITY UK REAL ESTATE FUND</v>
          </cell>
          <cell r="C222" t="str">
            <v>FIL INVESTMENT MANAGEMENT (LUXEMBOURG) S.A.</v>
          </cell>
          <cell r="D222" t="str">
            <v>c/o 4 Cannon Street</v>
          </cell>
          <cell r="E222" t="str">
            <v>EC4M 5AB</v>
          </cell>
          <cell r="F222" t="str">
            <v>London</v>
          </cell>
          <cell r="G222" t="str">
            <v>United Kingdom</v>
          </cell>
          <cell r="H222">
            <v>2079614844</v>
          </cell>
          <cell r="J222" t="str">
            <v>http://www.fidelityinstitutional.com</v>
          </cell>
          <cell r="K222" t="str">
            <v>Alison Puhar</v>
          </cell>
          <cell r="L222" t="str">
            <v>alison.puhar@fil.com</v>
          </cell>
          <cell r="N222" t="str">
            <v>Adrian Benedict</v>
          </cell>
          <cell r="O222" t="str">
            <v>adrian.benedict@fil.com</v>
          </cell>
          <cell r="P222" t="str">
            <v>+442079614536</v>
          </cell>
          <cell r="Q222" t="str">
            <v>Luxembourg</v>
          </cell>
          <cell r="R222" t="str">
            <v>GBP</v>
          </cell>
          <cell r="S222" t="str">
            <v>IFRS</v>
          </cell>
          <cell r="T222" t="str">
            <v>Monthly</v>
          </cell>
          <cell r="U222" t="str">
            <v>Monthly</v>
          </cell>
          <cell r="V222" t="str">
            <v>RICS</v>
          </cell>
          <cell r="W222" t="str">
            <v>IFRS NAV</v>
          </cell>
          <cell r="X222" t="str">
            <v>PricewaterhouseCoopers</v>
          </cell>
          <cell r="Y222" t="str">
            <v>SICAV</v>
          </cell>
          <cell r="Z222" t="str">
            <v>No</v>
          </cell>
          <cell r="AA222" t="str">
            <v>Yes</v>
          </cell>
          <cell r="AB222">
            <v>2</v>
          </cell>
          <cell r="AC222" t="str">
            <v>Non-Listed Fund</v>
          </cell>
          <cell r="AD222" t="str">
            <v>Core</v>
          </cell>
          <cell r="AE222" t="str">
            <v>infinite</v>
          </cell>
          <cell r="AF222" t="str">
            <v>Open end</v>
          </cell>
          <cell r="AG222">
            <v>7</v>
          </cell>
          <cell r="AH222">
            <v>9</v>
          </cell>
          <cell r="AI222" t="str">
            <v>Net</v>
          </cell>
          <cell r="AJ222" t="str">
            <v>IPD UK All Balanced Property Funds</v>
          </cell>
          <cell r="AK222">
            <v>5</v>
          </cell>
          <cell r="AL222">
            <v>20</v>
          </cell>
          <cell r="AM222" t="str">
            <v>&gt; 40% - ≤ 60%</v>
          </cell>
          <cell r="AN222" t="str">
            <v>Institutional</v>
          </cell>
          <cell r="AO222" t="str">
            <v>&gt; 2</v>
          </cell>
          <cell r="AP222" t="str">
            <v>≥ 50%</v>
          </cell>
          <cell r="AQ222" t="str">
            <v>Europe</v>
          </cell>
          <cell r="AR222" t="str">
            <v>single country</v>
          </cell>
          <cell r="AT222" t="str">
            <v>United Kingdom</v>
          </cell>
          <cell r="AU222" t="str">
            <v>multi sector</v>
          </cell>
          <cell r="AW222">
            <v>1250000000</v>
          </cell>
          <cell r="AX222">
            <v>1500000000</v>
          </cell>
          <cell r="AY222">
            <v>2008</v>
          </cell>
          <cell r="BA222" t="str">
            <v>No</v>
          </cell>
          <cell r="BB222" t="str">
            <v>No</v>
          </cell>
          <cell r="BH222" t="str">
            <v>2020-12-31</v>
          </cell>
          <cell r="BI222">
            <v>560269126</v>
          </cell>
          <cell r="BJ222">
            <v>619405025.20574093</v>
          </cell>
          <cell r="BK222">
            <v>549739204</v>
          </cell>
          <cell r="BL222">
            <v>607763679.46822035</v>
          </cell>
          <cell r="BM222">
            <v>0</v>
          </cell>
          <cell r="BN222" t="str">
            <v>No</v>
          </cell>
          <cell r="BO222" t="str">
            <v>External</v>
          </cell>
          <cell r="BP222">
            <v>25</v>
          </cell>
          <cell r="BQ222">
            <v>41</v>
          </cell>
          <cell r="BR222">
            <v>593019273</v>
          </cell>
          <cell r="BS222">
            <v>651108189.51770806</v>
          </cell>
          <cell r="BT222">
            <v>593019273</v>
          </cell>
          <cell r="BU222">
            <v>651108189.51770806</v>
          </cell>
          <cell r="BV222" t="str">
            <v>Yes</v>
          </cell>
          <cell r="BW222" t="str">
            <v>United Kingdom</v>
          </cell>
          <cell r="BX222" t="str">
            <v>Office</v>
          </cell>
          <cell r="BY222">
            <v>43</v>
          </cell>
          <cell r="BZ222" t="str">
            <v>United Kingdom</v>
          </cell>
          <cell r="CA222" t="str">
            <v>Industrial / Logistics</v>
          </cell>
          <cell r="CB222">
            <v>34.9</v>
          </cell>
          <cell r="CC222" t="str">
            <v>United Kingdom</v>
          </cell>
          <cell r="CD222" t="str">
            <v>Retail</v>
          </cell>
          <cell r="CE222">
            <v>11</v>
          </cell>
        </row>
        <row r="223">
          <cell r="A223">
            <v>174</v>
          </cell>
          <cell r="B223" t="str">
            <v>FIPRS - FONDO IMMOBILIARE PUBBLICO REGIONE SICILIANA</v>
          </cell>
          <cell r="C223" t="str">
            <v>PRELIOS SGR S.P.A.</v>
          </cell>
          <cell r="D223" t="str">
            <v>Via Valtellina 15/17</v>
          </cell>
          <cell r="E223">
            <v>20159</v>
          </cell>
          <cell r="F223" t="str">
            <v>Milan</v>
          </cell>
          <cell r="G223" t="str">
            <v>Italy</v>
          </cell>
          <cell r="H223" t="str">
            <v>+390262811</v>
          </cell>
          <cell r="I223" t="str">
            <v>+3902662816061</v>
          </cell>
          <cell r="J223" t="str">
            <v>http://www.preliossgr.com</v>
          </cell>
          <cell r="K223" t="str">
            <v>Carlo Campioni</v>
          </cell>
          <cell r="L223" t="str">
            <v>carlo.campioni@preliossgr.com</v>
          </cell>
          <cell r="M223" t="str">
            <v>+390651318487</v>
          </cell>
          <cell r="P223" t="str">
            <v>+3902662816061</v>
          </cell>
          <cell r="Q223" t="str">
            <v>Italy</v>
          </cell>
          <cell r="R223" t="str">
            <v>EUR</v>
          </cell>
          <cell r="S223" t="str">
            <v>Local GAAP</v>
          </cell>
          <cell r="T223" t="str">
            <v>Quarterly</v>
          </cell>
          <cell r="U223" t="str">
            <v>Quarterly</v>
          </cell>
          <cell r="W223" t="str">
            <v>Banca d’Italia Rules</v>
          </cell>
          <cell r="X223" t="str">
            <v>EY</v>
          </cell>
          <cell r="Y223" t="str">
            <v>Real Estate Fund</v>
          </cell>
          <cell r="Z223" t="str">
            <v>Yes</v>
          </cell>
          <cell r="AB223">
            <v>0</v>
          </cell>
          <cell r="AC223" t="str">
            <v>Non-Listed Fund</v>
          </cell>
          <cell r="AD223" t="str">
            <v>Core</v>
          </cell>
          <cell r="AE223" t="str">
            <v>finite</v>
          </cell>
          <cell r="AF223" t="str">
            <v>Closed end</v>
          </cell>
          <cell r="AG223">
            <v>11</v>
          </cell>
          <cell r="AH223">
            <v>11</v>
          </cell>
          <cell r="AI223" t="str">
            <v>Net</v>
          </cell>
          <cell r="AL223">
            <v>50</v>
          </cell>
          <cell r="AM223" t="str">
            <v>&gt; 40% - ≤ 60%</v>
          </cell>
          <cell r="AN223" t="str">
            <v>Institutional</v>
          </cell>
          <cell r="AO223" t="str">
            <v>&gt; 2</v>
          </cell>
          <cell r="AP223" t="str">
            <v>≥ 50%</v>
          </cell>
          <cell r="AQ223" t="str">
            <v>Europe</v>
          </cell>
          <cell r="AR223" t="str">
            <v>single country</v>
          </cell>
          <cell r="AT223" t="str">
            <v>Italy</v>
          </cell>
          <cell r="AU223" t="str">
            <v>multi sector</v>
          </cell>
          <cell r="AW223">
            <v>105000000</v>
          </cell>
          <cell r="AX223">
            <v>310000000</v>
          </cell>
          <cell r="AY223">
            <v>2007</v>
          </cell>
          <cell r="AZ223">
            <v>2022</v>
          </cell>
          <cell r="BH223" t="str">
            <v>2020-06-30</v>
          </cell>
          <cell r="BI223">
            <v>200863510</v>
          </cell>
          <cell r="BJ223">
            <v>200863510</v>
          </cell>
          <cell r="BK223">
            <v>155676577</v>
          </cell>
          <cell r="BL223">
            <v>155676577</v>
          </cell>
          <cell r="BM223">
            <v>21.8</v>
          </cell>
          <cell r="BN223" t="str">
            <v>Yes</v>
          </cell>
          <cell r="BO223" t="str">
            <v>External</v>
          </cell>
          <cell r="BP223">
            <v>3</v>
          </cell>
          <cell r="BQ223">
            <v>30</v>
          </cell>
          <cell r="BR223">
            <v>100685936</v>
          </cell>
          <cell r="BS223">
            <v>100685936</v>
          </cell>
          <cell r="BT223">
            <v>100685936</v>
          </cell>
          <cell r="BU223">
            <v>100685936</v>
          </cell>
          <cell r="BW223" t="str">
            <v>Italy</v>
          </cell>
          <cell r="BX223" t="str">
            <v>Office</v>
          </cell>
          <cell r="BY223">
            <v>94.03</v>
          </cell>
        </row>
        <row r="224">
          <cell r="A224">
            <v>19635</v>
          </cell>
          <cell r="B224" t="str">
            <v>FIS - FONDO INNOVAZIONE SALUTE</v>
          </cell>
          <cell r="C224" t="str">
            <v>SAVILLS INVESTMENT MANAGEMENT SGR SPA</v>
          </cell>
          <cell r="D224" t="str">
            <v>Via San Paolo 7</v>
          </cell>
          <cell r="E224">
            <v>20121</v>
          </cell>
          <cell r="F224" t="str">
            <v>Milan</v>
          </cell>
          <cell r="G224" t="str">
            <v>Italy</v>
          </cell>
          <cell r="Q224" t="str">
            <v>Italy</v>
          </cell>
          <cell r="R224" t="str">
            <v>EUR</v>
          </cell>
          <cell r="S224" t="str">
            <v>Local GAAP</v>
          </cell>
          <cell r="T224" t="str">
            <v>Quarterly</v>
          </cell>
          <cell r="U224" t="str">
            <v>Twice per year</v>
          </cell>
          <cell r="V224" t="str">
            <v>Other - mark to market</v>
          </cell>
          <cell r="W224" t="str">
            <v>Local GAAP</v>
          </cell>
          <cell r="Y224" t="str">
            <v>Real Estate Fund</v>
          </cell>
          <cell r="Z224" t="str">
            <v>No</v>
          </cell>
          <cell r="AB224">
            <v>0</v>
          </cell>
          <cell r="AC224" t="str">
            <v>Non-Listed Fund</v>
          </cell>
          <cell r="AD224" t="str">
            <v>Core</v>
          </cell>
          <cell r="AE224" t="str">
            <v>finite</v>
          </cell>
          <cell r="AF224" t="str">
            <v>Closed end</v>
          </cell>
          <cell r="AG224">
            <v>7.5</v>
          </cell>
          <cell r="AH224">
            <v>8.5</v>
          </cell>
          <cell r="AI224" t="str">
            <v>Gross</v>
          </cell>
          <cell r="AM224" t="str">
            <v>&gt; 40% - ≤ 60%</v>
          </cell>
          <cell r="AN224" t="str">
            <v>Institutional</v>
          </cell>
          <cell r="AO224" t="str">
            <v>&gt; 2</v>
          </cell>
          <cell r="AP224" t="str">
            <v>≥ 50%</v>
          </cell>
          <cell r="AQ224" t="str">
            <v>Europe</v>
          </cell>
          <cell r="AR224" t="str">
            <v>single country</v>
          </cell>
          <cell r="AT224" t="str">
            <v>Italy</v>
          </cell>
          <cell r="AU224" t="str">
            <v>single sector</v>
          </cell>
          <cell r="AV224" t="str">
            <v>Health Care</v>
          </cell>
          <cell r="AY224">
            <v>2018</v>
          </cell>
          <cell r="AZ224">
            <v>2033</v>
          </cell>
          <cell r="BA224" t="str">
            <v>No</v>
          </cell>
          <cell r="BD224" t="str">
            <v>No</v>
          </cell>
        </row>
        <row r="225">
          <cell r="A225">
            <v>17536</v>
          </cell>
          <cell r="B225" t="str">
            <v>FLAVIA</v>
          </cell>
          <cell r="C225" t="str">
            <v>BNP PARIBAS REIM ITALY</v>
          </cell>
          <cell r="D225" t="str">
            <v>Piazza Lina Bo Bardi, 3</v>
          </cell>
          <cell r="E225">
            <v>20124</v>
          </cell>
          <cell r="F225" t="str">
            <v>Milan</v>
          </cell>
          <cell r="G225" t="str">
            <v>Italy</v>
          </cell>
          <cell r="H225" t="str">
            <v>+39025833141</v>
          </cell>
          <cell r="J225" t="str">
            <v>http://www.reim.bnpparibas.it</v>
          </cell>
          <cell r="K225" t="str">
            <v>Luca Panizzi</v>
          </cell>
          <cell r="L225" t="str">
            <v>luca.panizzi@bnpparibas.com</v>
          </cell>
          <cell r="M225" t="str">
            <v>+39025833141</v>
          </cell>
          <cell r="N225" t="str">
            <v>Simone Roberti</v>
          </cell>
          <cell r="O225" t="str">
            <v>simone.roberti@bnpparibas.com</v>
          </cell>
          <cell r="Q225" t="str">
            <v>Italy</v>
          </cell>
          <cell r="R225" t="str">
            <v>EUR</v>
          </cell>
          <cell r="S225" t="str">
            <v>Local GAAP</v>
          </cell>
          <cell r="T225" t="str">
            <v>Twice per year</v>
          </cell>
          <cell r="U225" t="str">
            <v>Twice per year</v>
          </cell>
          <cell r="V225" t="str">
            <v>Other - mark to market</v>
          </cell>
          <cell r="W225" t="str">
            <v>INREV NAV</v>
          </cell>
          <cell r="Y225" t="str">
            <v>Real Estate Fund</v>
          </cell>
          <cell r="Z225" t="str">
            <v>Yes</v>
          </cell>
          <cell r="AC225" t="str">
            <v>Non-Listed Fund</v>
          </cell>
          <cell r="AD225" t="str">
            <v>Opportunity</v>
          </cell>
          <cell r="AE225" t="str">
            <v>finite</v>
          </cell>
          <cell r="AF225" t="str">
            <v>Closed end</v>
          </cell>
          <cell r="AN225" t="str">
            <v>Institutional</v>
          </cell>
          <cell r="AO225" t="str">
            <v>&gt; 2</v>
          </cell>
          <cell r="AP225" t="str">
            <v>≥ 50%</v>
          </cell>
          <cell r="AQ225" t="str">
            <v>Europe</v>
          </cell>
          <cell r="AR225" t="str">
            <v>single country</v>
          </cell>
          <cell r="AT225" t="str">
            <v>Italy</v>
          </cell>
          <cell r="AU225" t="str">
            <v>multi sector</v>
          </cell>
          <cell r="BH225" t="str">
            <v>2017-06-30</v>
          </cell>
          <cell r="BI225">
            <v>164134126</v>
          </cell>
          <cell r="BJ225">
            <v>164134126</v>
          </cell>
          <cell r="BK225">
            <v>100917863</v>
          </cell>
          <cell r="BL225">
            <v>100917863</v>
          </cell>
          <cell r="BM225">
            <v>0</v>
          </cell>
          <cell r="BN225" t="str">
            <v>No</v>
          </cell>
          <cell r="BO225" t="str">
            <v>External</v>
          </cell>
          <cell r="BP225">
            <v>11</v>
          </cell>
          <cell r="BQ225">
            <v>15</v>
          </cell>
          <cell r="BR225">
            <v>215000000</v>
          </cell>
          <cell r="BS225">
            <v>215000000</v>
          </cell>
          <cell r="BT225">
            <v>214843316.33000001</v>
          </cell>
          <cell r="BU225">
            <v>214843316.33000001</v>
          </cell>
          <cell r="BV225" t="str">
            <v>No</v>
          </cell>
          <cell r="BW225" t="str">
            <v>Italy</v>
          </cell>
          <cell r="BX225" t="str">
            <v>Residential</v>
          </cell>
          <cell r="BY225">
            <v>91</v>
          </cell>
          <cell r="BZ225" t="str">
            <v>Italy</v>
          </cell>
          <cell r="CA225" t="str">
            <v>Other</v>
          </cell>
          <cell r="CB225">
            <v>8</v>
          </cell>
        </row>
        <row r="226">
          <cell r="A226">
            <v>178</v>
          </cell>
          <cell r="B226" t="str">
            <v>FONDIS</v>
          </cell>
          <cell r="C226" t="str">
            <v>AEW CILOGER</v>
          </cell>
          <cell r="D226" t="str">
            <v>22 rue du Docteur Lancereaux</v>
          </cell>
          <cell r="E226">
            <v>75008</v>
          </cell>
          <cell r="F226" t="str">
            <v>Paris</v>
          </cell>
          <cell r="G226" t="str">
            <v>France</v>
          </cell>
          <cell r="H226" t="str">
            <v>+33 (0) 1 78 40 93 53</v>
          </cell>
          <cell r="J226" t="str">
            <v>http://www.aeweurope.com</v>
          </cell>
          <cell r="K226" t="str">
            <v>Stéphane SEBBAN</v>
          </cell>
          <cell r="L226" t="str">
            <v>stephane.sebban@eu.aew.com</v>
          </cell>
          <cell r="M226" t="str">
            <v>+33 (0) 1 78 40 93 53</v>
          </cell>
          <cell r="N226" t="str">
            <v>Stéphane SEBBAN</v>
          </cell>
          <cell r="O226" t="str">
            <v>stephane.sebban@eu.aew.com</v>
          </cell>
          <cell r="P226" t="str">
            <v>+33 (0) 1 78 40 93 53</v>
          </cell>
          <cell r="Q226" t="str">
            <v>France</v>
          </cell>
          <cell r="R226" t="str">
            <v>EUR</v>
          </cell>
          <cell r="S226" t="str">
            <v>IFRS</v>
          </cell>
          <cell r="T226" t="str">
            <v>Twice per year</v>
          </cell>
          <cell r="U226" t="str">
            <v>Twice per year</v>
          </cell>
          <cell r="V226" t="str">
            <v>RICS</v>
          </cell>
          <cell r="W226" t="str">
            <v>IFRS NAV</v>
          </cell>
          <cell r="X226" t="str">
            <v>Mazars</v>
          </cell>
          <cell r="Y226" t="str">
            <v>Real Estate Fund</v>
          </cell>
          <cell r="Z226" t="str">
            <v>No</v>
          </cell>
          <cell r="AB226">
            <v>0</v>
          </cell>
          <cell r="AC226" t="str">
            <v>Non-Listed Fund</v>
          </cell>
          <cell r="AD226" t="str">
            <v>Core</v>
          </cell>
          <cell r="AE226" t="str">
            <v>finite</v>
          </cell>
          <cell r="AF226" t="str">
            <v>Closed end</v>
          </cell>
          <cell r="AG226">
            <v>8</v>
          </cell>
          <cell r="AH226">
            <v>10</v>
          </cell>
          <cell r="AI226" t="str">
            <v>Net</v>
          </cell>
          <cell r="AL226">
            <v>50</v>
          </cell>
          <cell r="AM226" t="str">
            <v>&gt; 40% - ≤ 60%</v>
          </cell>
          <cell r="AN226" t="str">
            <v>Institutional</v>
          </cell>
          <cell r="AO226" t="str">
            <v>&gt; 2</v>
          </cell>
          <cell r="AP226" t="str">
            <v>≥ 50%</v>
          </cell>
          <cell r="AQ226" t="str">
            <v>Europe</v>
          </cell>
          <cell r="AR226" t="str">
            <v>single country</v>
          </cell>
          <cell r="AT226" t="str">
            <v>France</v>
          </cell>
          <cell r="AU226" t="str">
            <v>single sector</v>
          </cell>
          <cell r="AV226" t="str">
            <v>Retail</v>
          </cell>
          <cell r="AW226">
            <v>313200000</v>
          </cell>
          <cell r="AX226">
            <v>683588000</v>
          </cell>
          <cell r="AY226">
            <v>2001</v>
          </cell>
          <cell r="AZ226">
            <v>2020</v>
          </cell>
          <cell r="BA226" t="str">
            <v>No</v>
          </cell>
          <cell r="BB226" t="str">
            <v>No</v>
          </cell>
          <cell r="BD226" t="str">
            <v>No</v>
          </cell>
          <cell r="BH226" t="str">
            <v>2020-12-31</v>
          </cell>
          <cell r="BI226">
            <v>576876000</v>
          </cell>
          <cell r="BJ226">
            <v>576876000</v>
          </cell>
          <cell r="BK226">
            <v>311780640</v>
          </cell>
          <cell r="BL226">
            <v>311780640</v>
          </cell>
          <cell r="BM226">
            <v>42.2</v>
          </cell>
          <cell r="BN226" t="str">
            <v>Yes</v>
          </cell>
          <cell r="BO226" t="str">
            <v>External</v>
          </cell>
          <cell r="BP226">
            <v>4</v>
          </cell>
          <cell r="BQ226">
            <v>65</v>
          </cell>
          <cell r="BR226">
            <v>313204000</v>
          </cell>
          <cell r="BS226">
            <v>313204000</v>
          </cell>
          <cell r="BT226">
            <v>259897813</v>
          </cell>
          <cell r="BU226">
            <v>259897813</v>
          </cell>
          <cell r="BV226" t="str">
            <v>No</v>
          </cell>
          <cell r="BW226" t="str">
            <v>France</v>
          </cell>
          <cell r="BX226" t="str">
            <v>Retail</v>
          </cell>
          <cell r="BY226">
            <v>100</v>
          </cell>
        </row>
        <row r="227">
          <cell r="A227">
            <v>181</v>
          </cell>
          <cell r="B227" t="str">
            <v>FONDO CLARICE</v>
          </cell>
          <cell r="C227" t="str">
            <v>PRELIOS SGR S.P.A.</v>
          </cell>
          <cell r="D227" t="str">
            <v>Via Piero e Alberto Pirelli, 27</v>
          </cell>
          <cell r="E227">
            <v>20126</v>
          </cell>
          <cell r="F227" t="str">
            <v>Milan</v>
          </cell>
          <cell r="G227" t="str">
            <v>Italy</v>
          </cell>
          <cell r="H227" t="str">
            <v>+39 02 6442 1</v>
          </cell>
          <cell r="I227" t="str">
            <v>+39 02 6442 6061</v>
          </cell>
          <cell r="J227" t="str">
            <v>http://www.pirelliresgr.com</v>
          </cell>
          <cell r="K227" t="str">
            <v>Silvia Vescovi</v>
          </cell>
          <cell r="L227" t="str">
            <v>silvia.vescovi@preliossgr.com</v>
          </cell>
          <cell r="M227" t="str">
            <v>+39 02 6281 32889</v>
          </cell>
          <cell r="P227" t="str">
            <v>+39 02 6442 6061</v>
          </cell>
          <cell r="Q227" t="str">
            <v>Italy</v>
          </cell>
          <cell r="R227" t="str">
            <v>EUR</v>
          </cell>
          <cell r="S227" t="str">
            <v>Local GAAP</v>
          </cell>
          <cell r="T227" t="str">
            <v>Quarterly</v>
          </cell>
          <cell r="U227" t="str">
            <v>Quarterly</v>
          </cell>
          <cell r="W227" t="str">
            <v>Banca d’Italia Rules</v>
          </cell>
          <cell r="X227" t="str">
            <v>EY</v>
          </cell>
          <cell r="Y227" t="str">
            <v>Real Estate Fund</v>
          </cell>
          <cell r="Z227" t="str">
            <v>No</v>
          </cell>
          <cell r="AB227">
            <v>0</v>
          </cell>
          <cell r="AC227" t="str">
            <v>Non-Listed Fund</v>
          </cell>
          <cell r="AD227" t="str">
            <v>Core</v>
          </cell>
          <cell r="AE227" t="str">
            <v>finite</v>
          </cell>
          <cell r="AF227" t="str">
            <v>Closed end</v>
          </cell>
          <cell r="AG227">
            <v>10</v>
          </cell>
          <cell r="AH227">
            <v>10</v>
          </cell>
          <cell r="AI227" t="str">
            <v>Net</v>
          </cell>
          <cell r="AJ227" t="str">
            <v>10.0%-13.0% IRR</v>
          </cell>
          <cell r="AK227">
            <v>9.3000000000000007</v>
          </cell>
          <cell r="AL227">
            <v>50</v>
          </cell>
          <cell r="AM227" t="str">
            <v>&gt; 40% - ≤ 60%</v>
          </cell>
          <cell r="AN227" t="str">
            <v>Institutional</v>
          </cell>
          <cell r="AO227" t="str">
            <v>&gt; 2</v>
          </cell>
          <cell r="AP227" t="str">
            <v>≥ 50%</v>
          </cell>
          <cell r="AQ227" t="str">
            <v>Europe</v>
          </cell>
          <cell r="AR227" t="str">
            <v>single country</v>
          </cell>
          <cell r="AT227" t="str">
            <v>Italy</v>
          </cell>
          <cell r="AU227" t="str">
            <v>single sector</v>
          </cell>
          <cell r="AV227" t="str">
            <v>Industrial / Logistics</v>
          </cell>
          <cell r="AW227">
            <v>123200000</v>
          </cell>
          <cell r="AX227">
            <v>236300000</v>
          </cell>
          <cell r="AY227">
            <v>2004</v>
          </cell>
          <cell r="AZ227">
            <v>2021</v>
          </cell>
          <cell r="BA227" t="str">
            <v>Yes</v>
          </cell>
          <cell r="BB227" t="str">
            <v>Yes</v>
          </cell>
          <cell r="BC227" t="str">
            <v>13 years</v>
          </cell>
          <cell r="BH227" t="str">
            <v>2020-06-30</v>
          </cell>
          <cell r="BI227">
            <v>132858003</v>
          </cell>
          <cell r="BJ227">
            <v>132858003</v>
          </cell>
          <cell r="BK227">
            <v>60804491</v>
          </cell>
          <cell r="BL227">
            <v>60804491</v>
          </cell>
          <cell r="BM227">
            <v>50.8</v>
          </cell>
          <cell r="BN227" t="str">
            <v>No</v>
          </cell>
          <cell r="BO227" t="str">
            <v>External</v>
          </cell>
          <cell r="BP227">
            <v>2</v>
          </cell>
          <cell r="BQ227">
            <v>57</v>
          </cell>
          <cell r="BR227">
            <v>50773104</v>
          </cell>
          <cell r="BS227">
            <v>50773104</v>
          </cell>
          <cell r="BT227">
            <v>50773104</v>
          </cell>
          <cell r="BU227">
            <v>50773104</v>
          </cell>
          <cell r="BW227" t="str">
            <v>Italy</v>
          </cell>
          <cell r="BX227" t="str">
            <v>Industrial / Logistics</v>
          </cell>
          <cell r="BY227">
            <v>95.93</v>
          </cell>
        </row>
        <row r="228">
          <cell r="A228">
            <v>184</v>
          </cell>
          <cell r="B228" t="str">
            <v>FONDO RAISSA</v>
          </cell>
          <cell r="C228" t="str">
            <v>PRELIOS SGR S.P.A.</v>
          </cell>
          <cell r="D228" t="str">
            <v>Via Piero e Alberto Pirelli, 27</v>
          </cell>
          <cell r="E228">
            <v>20126</v>
          </cell>
          <cell r="F228" t="str">
            <v>Milan</v>
          </cell>
          <cell r="G228" t="str">
            <v>Italy</v>
          </cell>
          <cell r="H228" t="str">
            <v>+39 02 6281 1</v>
          </cell>
          <cell r="I228" t="str">
            <v>+39 02 6281 6061</v>
          </cell>
          <cell r="J228" t="str">
            <v>http://www.preliossgr.com</v>
          </cell>
          <cell r="K228" t="str">
            <v>Francesco Centrone</v>
          </cell>
          <cell r="L228" t="str">
            <v>francesco.centrone@preliossgr.com</v>
          </cell>
          <cell r="M228" t="str">
            <v>+39 02 6281 4421</v>
          </cell>
          <cell r="P228" t="str">
            <v>+39 02 6281 6061</v>
          </cell>
          <cell r="Q228" t="str">
            <v>Italy</v>
          </cell>
          <cell r="R228" t="str">
            <v>EUR</v>
          </cell>
          <cell r="S228" t="str">
            <v>Local GAAP</v>
          </cell>
          <cell r="T228" t="str">
            <v>Quarterly</v>
          </cell>
          <cell r="U228" t="str">
            <v>Quarterly</v>
          </cell>
          <cell r="X228" t="str">
            <v>EY</v>
          </cell>
          <cell r="Z228" t="str">
            <v>Yes</v>
          </cell>
          <cell r="AB228">
            <v>0</v>
          </cell>
          <cell r="AC228" t="str">
            <v>Non-Listed Fund</v>
          </cell>
          <cell r="AD228" t="str">
            <v>Value-added</v>
          </cell>
          <cell r="AE228" t="str">
            <v>finite</v>
          </cell>
          <cell r="AF228" t="str">
            <v>Closed end</v>
          </cell>
          <cell r="AG228">
            <v>10</v>
          </cell>
          <cell r="AH228">
            <v>10</v>
          </cell>
          <cell r="AI228" t="str">
            <v>Net</v>
          </cell>
          <cell r="AJ228" t="str">
            <v>None</v>
          </cell>
          <cell r="AK228">
            <v>9.3000000000000007</v>
          </cell>
          <cell r="AL228">
            <v>50</v>
          </cell>
          <cell r="AM228" t="str">
            <v>&gt; 60%</v>
          </cell>
          <cell r="AN228" t="str">
            <v>Institutional</v>
          </cell>
          <cell r="AO228" t="str">
            <v>&gt; 2</v>
          </cell>
          <cell r="AP228" t="str">
            <v>≥ 50%</v>
          </cell>
          <cell r="AQ228" t="str">
            <v>Europe</v>
          </cell>
          <cell r="AR228" t="str">
            <v>single country</v>
          </cell>
          <cell r="AT228" t="str">
            <v>Italy</v>
          </cell>
          <cell r="AU228" t="str">
            <v>single sector</v>
          </cell>
          <cell r="AV228" t="str">
            <v>Office</v>
          </cell>
          <cell r="AW228">
            <v>292000000</v>
          </cell>
          <cell r="AX228">
            <v>800000000</v>
          </cell>
          <cell r="AY228">
            <v>2005</v>
          </cell>
          <cell r="AZ228">
            <v>2021</v>
          </cell>
          <cell r="BH228" t="str">
            <v>2020-06-30</v>
          </cell>
          <cell r="BI228">
            <v>191032774</v>
          </cell>
          <cell r="BJ228">
            <v>191032774</v>
          </cell>
          <cell r="BK228">
            <v>108211722</v>
          </cell>
          <cell r="BL228">
            <v>108211722</v>
          </cell>
          <cell r="BM228">
            <v>39.200000000000003</v>
          </cell>
          <cell r="BN228" t="str">
            <v>Yes</v>
          </cell>
          <cell r="BO228" t="str">
            <v>External</v>
          </cell>
          <cell r="BP228">
            <v>2</v>
          </cell>
          <cell r="BQ228">
            <v>163</v>
          </cell>
          <cell r="BR228">
            <v>112479043.90000001</v>
          </cell>
          <cell r="BS228">
            <v>112479043.90000001</v>
          </cell>
          <cell r="BT228">
            <v>112479043.90000001</v>
          </cell>
          <cell r="BU228">
            <v>112479043.90000001</v>
          </cell>
          <cell r="BW228" t="str">
            <v>Italy</v>
          </cell>
          <cell r="BX228" t="str">
            <v>Office</v>
          </cell>
          <cell r="BY228">
            <v>97.63</v>
          </cell>
        </row>
        <row r="229">
          <cell r="A229">
            <v>17172</v>
          </cell>
          <cell r="B229" t="str">
            <v>FONDS PENSION</v>
          </cell>
          <cell r="C229" t="str">
            <v>BNP PARIBAS REIM GERMANY</v>
          </cell>
          <cell r="D229" t="str">
            <v>Lilli-Palmer-Straße 2</v>
          </cell>
          <cell r="E229">
            <v>80636</v>
          </cell>
          <cell r="F229" t="str">
            <v>Muenchen</v>
          </cell>
          <cell r="G229" t="str">
            <v>Germany</v>
          </cell>
          <cell r="H229" t="str">
            <v>+49 89 12 173-0</v>
          </cell>
          <cell r="I229" t="str">
            <v>+49 89 12 173-119</v>
          </cell>
          <cell r="J229" t="str">
            <v>http://www.reim.bnpparibas.de</v>
          </cell>
          <cell r="N229" t="str">
            <v>Bianca Kraus</v>
          </cell>
          <cell r="O229" t="str">
            <v>bianca.kraus@bnpparibas.com</v>
          </cell>
          <cell r="P229" t="str">
            <v>+49 89 12 173-318</v>
          </cell>
          <cell r="Q229" t="str">
            <v>Germany</v>
          </cell>
          <cell r="R229" t="str">
            <v>EUR</v>
          </cell>
          <cell r="S229" t="str">
            <v>Local GAAP</v>
          </cell>
          <cell r="T229" t="str">
            <v>Monthly</v>
          </cell>
          <cell r="U229" t="str">
            <v>Annually</v>
          </cell>
          <cell r="W229" t="str">
            <v>INREV NAV</v>
          </cell>
          <cell r="X229" t="str">
            <v>Deloitte</v>
          </cell>
          <cell r="Y229" t="str">
            <v>Spezialfonds</v>
          </cell>
          <cell r="Z229" t="str">
            <v>Yes</v>
          </cell>
          <cell r="AA229" t="str">
            <v>Yes</v>
          </cell>
          <cell r="AC229" t="str">
            <v>Non-Listed Fund</v>
          </cell>
          <cell r="AD229" t="str">
            <v>Core</v>
          </cell>
          <cell r="AE229" t="str">
            <v>infinite</v>
          </cell>
          <cell r="AF229" t="str">
            <v>Open end</v>
          </cell>
          <cell r="AN229" t="str">
            <v>Institutional</v>
          </cell>
          <cell r="AO229" t="str">
            <v>&gt; 2</v>
          </cell>
          <cell r="AP229" t="str">
            <v>≥ 50%</v>
          </cell>
          <cell r="AQ229" t="str">
            <v>Europe</v>
          </cell>
          <cell r="AR229" t="str">
            <v>multi country</v>
          </cell>
          <cell r="AS229" t="str">
            <v>Western Europe</v>
          </cell>
          <cell r="AU229" t="str">
            <v>multi sector</v>
          </cell>
          <cell r="AY229">
            <v>1997</v>
          </cell>
          <cell r="BB229" t="str">
            <v>No</v>
          </cell>
          <cell r="BH229" t="str">
            <v>2020-12-31</v>
          </cell>
          <cell r="BI229">
            <v>568009573.34000003</v>
          </cell>
          <cell r="BJ229">
            <v>568009573.34000003</v>
          </cell>
          <cell r="BK229">
            <v>548198674.70000005</v>
          </cell>
          <cell r="BL229">
            <v>548198674.70000005</v>
          </cell>
          <cell r="BM229">
            <v>1.94</v>
          </cell>
          <cell r="BN229" t="str">
            <v>No</v>
          </cell>
          <cell r="BO229" t="str">
            <v>External</v>
          </cell>
          <cell r="BP229">
            <v>3</v>
          </cell>
          <cell r="BQ229">
            <v>28</v>
          </cell>
          <cell r="BR229">
            <v>435127056.79000002</v>
          </cell>
          <cell r="BS229">
            <v>435127056.79000002</v>
          </cell>
          <cell r="BT229">
            <v>435127056.79000002</v>
          </cell>
          <cell r="BU229">
            <v>435127056.79000002</v>
          </cell>
          <cell r="BV229" t="str">
            <v>No</v>
          </cell>
          <cell r="BW229" t="str">
            <v>France</v>
          </cell>
          <cell r="BX229" t="str">
            <v>Office</v>
          </cell>
          <cell r="BY229">
            <v>3.42</v>
          </cell>
          <cell r="BZ229" t="str">
            <v>Germany</v>
          </cell>
          <cell r="CA229" t="str">
            <v>Residential</v>
          </cell>
          <cell r="CB229">
            <v>32.81</v>
          </cell>
          <cell r="CC229" t="str">
            <v>Germany</v>
          </cell>
          <cell r="CD229" t="str">
            <v>Office</v>
          </cell>
          <cell r="CE229">
            <v>59.57</v>
          </cell>
        </row>
        <row r="230">
          <cell r="A230">
            <v>504</v>
          </cell>
          <cell r="B230" t="str">
            <v>FOSCA II</v>
          </cell>
          <cell r="C230" t="str">
            <v>F&amp;C REIT PROPERTY ASSET MANAGEMENT PLC AND OFI REIM</v>
          </cell>
          <cell r="D230" t="str">
            <v>26 avenue des Champs Elysées</v>
          </cell>
          <cell r="E230">
            <v>75008</v>
          </cell>
          <cell r="F230" t="str">
            <v>Paris</v>
          </cell>
          <cell r="G230" t="str">
            <v>France</v>
          </cell>
          <cell r="H230" t="str">
            <v>+33 (0) 1 43 59 85 82</v>
          </cell>
          <cell r="I230" t="str">
            <v>+33 (0) 1 43 59 85 71</v>
          </cell>
          <cell r="J230" t="str">
            <v>http://www.fandcreit.com  and  www.ofi-reim.fr</v>
          </cell>
          <cell r="K230" t="str">
            <v>Brigitte Sagnes</v>
          </cell>
          <cell r="L230" t="str">
            <v>brigitte.sagnes@ofi-reim.fr</v>
          </cell>
          <cell r="M230" t="str">
            <v>+33 (0) 1 43 59 85 70</v>
          </cell>
          <cell r="N230" t="str">
            <v>Iain Reichwald</v>
          </cell>
          <cell r="O230" t="str">
            <v>fosca2@bmorep.com</v>
          </cell>
          <cell r="P230" t="str">
            <v>+44 (0) 20 8892 8824</v>
          </cell>
          <cell r="Q230" t="str">
            <v>Luxembourg</v>
          </cell>
          <cell r="R230" t="str">
            <v>EUR</v>
          </cell>
          <cell r="S230" t="str">
            <v>IFRS</v>
          </cell>
          <cell r="T230" t="str">
            <v>Quarterly</v>
          </cell>
          <cell r="U230" t="str">
            <v>Twice per year</v>
          </cell>
          <cell r="V230" t="str">
            <v>RICS</v>
          </cell>
          <cell r="W230" t="str">
            <v>INREV NAV</v>
          </cell>
          <cell r="X230" t="str">
            <v>PriceWaterhouseCoopers</v>
          </cell>
          <cell r="Y230" t="str">
            <v>SOPARFI</v>
          </cell>
          <cell r="Z230" t="str">
            <v>No</v>
          </cell>
          <cell r="AA230" t="str">
            <v>Yes</v>
          </cell>
          <cell r="AB230">
            <v>3</v>
          </cell>
          <cell r="AC230" t="str">
            <v>Non-Listed Fund</v>
          </cell>
          <cell r="AD230" t="str">
            <v>Value-added</v>
          </cell>
          <cell r="AE230" t="str">
            <v>finite</v>
          </cell>
          <cell r="AF230" t="str">
            <v>Closed end</v>
          </cell>
          <cell r="AG230">
            <v>9</v>
          </cell>
          <cell r="AH230">
            <v>11</v>
          </cell>
          <cell r="AI230" t="str">
            <v>Net</v>
          </cell>
          <cell r="AJ230" t="str">
            <v>EPPFI</v>
          </cell>
          <cell r="AK230">
            <v>4</v>
          </cell>
          <cell r="AL230">
            <v>50</v>
          </cell>
          <cell r="AM230" t="str">
            <v>&gt; 40% - ≤ 60%</v>
          </cell>
          <cell r="AN230" t="str">
            <v>Institutional</v>
          </cell>
          <cell r="AO230" t="str">
            <v>&gt; 2</v>
          </cell>
          <cell r="AP230" t="str">
            <v>≥ 50%</v>
          </cell>
          <cell r="AQ230" t="str">
            <v>Europe</v>
          </cell>
          <cell r="AR230" t="str">
            <v>single country</v>
          </cell>
          <cell r="AT230" t="str">
            <v>France</v>
          </cell>
          <cell r="AU230" t="str">
            <v>single sector</v>
          </cell>
          <cell r="AV230" t="str">
            <v>Office</v>
          </cell>
          <cell r="AW230">
            <v>250000000</v>
          </cell>
          <cell r="AX230">
            <v>1000000000</v>
          </cell>
          <cell r="AY230">
            <v>2010</v>
          </cell>
          <cell r="AZ230">
            <v>2018</v>
          </cell>
          <cell r="BA230" t="str">
            <v>Yes</v>
          </cell>
          <cell r="BB230" t="str">
            <v>Yes</v>
          </cell>
          <cell r="BC230" t="str">
            <v>2 years</v>
          </cell>
          <cell r="BE230" t="str">
            <v>&lt; 60%</v>
          </cell>
          <cell r="BF230" t="str">
            <v>≤ 15%</v>
          </cell>
          <cell r="BG230" t="str">
            <v>&gt; 5 - ≤ 25%</v>
          </cell>
          <cell r="BH230" t="str">
            <v>2020-12-31</v>
          </cell>
          <cell r="BI230">
            <v>22793827</v>
          </cell>
          <cell r="BJ230">
            <v>22793827</v>
          </cell>
          <cell r="BK230">
            <v>17211625</v>
          </cell>
          <cell r="BL230">
            <v>17211625</v>
          </cell>
          <cell r="BM230">
            <v>0</v>
          </cell>
          <cell r="BN230" t="str">
            <v>No</v>
          </cell>
          <cell r="BO230" t="str">
            <v>External</v>
          </cell>
          <cell r="BP230">
            <v>17</v>
          </cell>
          <cell r="BQ230">
            <v>0</v>
          </cell>
          <cell r="BR230">
            <v>196500000</v>
          </cell>
          <cell r="BS230">
            <v>196500000</v>
          </cell>
          <cell r="BT230">
            <v>196500000</v>
          </cell>
          <cell r="BU230">
            <v>196500000</v>
          </cell>
          <cell r="BV230" t="str">
            <v>No</v>
          </cell>
          <cell r="BW230" t="str">
            <v>France</v>
          </cell>
          <cell r="BX230" t="str">
            <v>Office</v>
          </cell>
          <cell r="BY230">
            <v>0</v>
          </cell>
        </row>
        <row r="231">
          <cell r="A231">
            <v>578</v>
          </cell>
          <cell r="B231" t="str">
            <v>FPROP OPPORTUNITIES PLC</v>
          </cell>
          <cell r="C231" t="str">
            <v>FIRST PROPERTY GROUP</v>
          </cell>
          <cell r="D231" t="str">
            <v>35 Old Queen Street</v>
          </cell>
          <cell r="E231" t="str">
            <v>SW1H 9JA</v>
          </cell>
          <cell r="F231" t="str">
            <v>London</v>
          </cell>
          <cell r="G231" t="str">
            <v>United Kingdom</v>
          </cell>
          <cell r="H231" t="str">
            <v>+44 20 7340 0270</v>
          </cell>
          <cell r="J231" t="str">
            <v>http://www.fprop.com</v>
          </cell>
          <cell r="N231" t="str">
            <v>Jeremy Barkes</v>
          </cell>
          <cell r="O231" t="str">
            <v>jeremy.barkes@fprop.com</v>
          </cell>
          <cell r="P231" t="str">
            <v>+44 20 7340 0270</v>
          </cell>
          <cell r="Q231" t="str">
            <v>United Kingdom</v>
          </cell>
          <cell r="R231" t="str">
            <v>GBP</v>
          </cell>
          <cell r="S231" t="str">
            <v>IFRS</v>
          </cell>
          <cell r="T231" t="str">
            <v>Twice per year</v>
          </cell>
          <cell r="U231" t="str">
            <v>Twice per year</v>
          </cell>
          <cell r="V231" t="str">
            <v>RICS</v>
          </cell>
          <cell r="W231" t="str">
            <v>IFRS NAV</v>
          </cell>
          <cell r="X231" t="str">
            <v>Haines Watts</v>
          </cell>
          <cell r="Y231" t="str">
            <v>Investment company</v>
          </cell>
          <cell r="Z231" t="str">
            <v>No</v>
          </cell>
          <cell r="AA231" t="str">
            <v>No</v>
          </cell>
          <cell r="AC231" t="str">
            <v>Non-Listed Fund</v>
          </cell>
          <cell r="AD231" t="str">
            <v>Opportunity</v>
          </cell>
          <cell r="AE231" t="str">
            <v>finite</v>
          </cell>
          <cell r="AF231" t="str">
            <v>Closed end</v>
          </cell>
          <cell r="AG231">
            <v>15</v>
          </cell>
          <cell r="AI231" t="str">
            <v>Net</v>
          </cell>
          <cell r="AJ231" t="str">
            <v>15%</v>
          </cell>
          <cell r="AM231" t="str">
            <v>&gt; 60%</v>
          </cell>
          <cell r="AN231" t="str">
            <v>Institutional and Retail</v>
          </cell>
          <cell r="AQ231" t="str">
            <v>Europe</v>
          </cell>
          <cell r="AR231" t="str">
            <v>single country</v>
          </cell>
          <cell r="AT231" t="str">
            <v>Poland</v>
          </cell>
          <cell r="AU231" t="str">
            <v>multi sector</v>
          </cell>
          <cell r="AY231">
            <v>2010</v>
          </cell>
          <cell r="AZ231">
            <v>2020</v>
          </cell>
          <cell r="BA231" t="str">
            <v>Yes</v>
          </cell>
          <cell r="BB231" t="str">
            <v>No</v>
          </cell>
          <cell r="BD231" t="str">
            <v>Yes</v>
          </cell>
          <cell r="BE231" t="str">
            <v>≥ 60%</v>
          </cell>
          <cell r="BF231" t="str">
            <v>≤ 15%</v>
          </cell>
          <cell r="BH231" t="str">
            <v>2014-03-31</v>
          </cell>
          <cell r="BJ231">
            <v>0</v>
          </cell>
          <cell r="BL231">
            <v>0</v>
          </cell>
          <cell r="BS231">
            <v>0</v>
          </cell>
        </row>
        <row r="232">
          <cell r="A232">
            <v>17349</v>
          </cell>
          <cell r="B232" t="str">
            <v>FPROP PDR LP</v>
          </cell>
          <cell r="C232" t="str">
            <v>FIRST PROPERTY GROUP</v>
          </cell>
          <cell r="D232" t="str">
            <v>35 Old Queen Street</v>
          </cell>
          <cell r="E232" t="str">
            <v>SW1H 9JA</v>
          </cell>
          <cell r="F232" t="str">
            <v>London</v>
          </cell>
          <cell r="H232" t="str">
            <v>+44 20 7340 0270</v>
          </cell>
          <cell r="J232" t="str">
            <v>http://www.fprop.com</v>
          </cell>
          <cell r="N232" t="str">
            <v>Jeremy Barkes</v>
          </cell>
          <cell r="O232" t="str">
            <v>jeremy.barkes@fprop.com</v>
          </cell>
          <cell r="P232" t="str">
            <v>+44 20 7340 0270</v>
          </cell>
          <cell r="Q232" t="str">
            <v>United Kingdom</v>
          </cell>
          <cell r="R232" t="str">
            <v>GBP</v>
          </cell>
          <cell r="S232" t="str">
            <v>IFRS</v>
          </cell>
          <cell r="T232" t="str">
            <v>Quarterly</v>
          </cell>
          <cell r="V232" t="str">
            <v>Development strategy</v>
          </cell>
          <cell r="X232" t="str">
            <v>Moore Stephens</v>
          </cell>
          <cell r="Y232" t="str">
            <v>Limited Partnership</v>
          </cell>
          <cell r="Z232" t="str">
            <v>No</v>
          </cell>
          <cell r="AC232" t="str">
            <v>Non-Listed Fund</v>
          </cell>
          <cell r="AD232" t="str">
            <v>Opportunity</v>
          </cell>
          <cell r="AE232" t="str">
            <v>finite</v>
          </cell>
          <cell r="AF232" t="str">
            <v>Closed end</v>
          </cell>
          <cell r="AI232" t="str">
            <v>Net</v>
          </cell>
          <cell r="AL232">
            <v>0</v>
          </cell>
          <cell r="AN232" t="str">
            <v>Institutional and Retail</v>
          </cell>
          <cell r="AQ232" t="str">
            <v>Europe</v>
          </cell>
          <cell r="AR232" t="str">
            <v>single country</v>
          </cell>
          <cell r="AT232" t="str">
            <v>United Kingdom</v>
          </cell>
          <cell r="AU232" t="str">
            <v>single sector</v>
          </cell>
          <cell r="AV232" t="str">
            <v>Office</v>
          </cell>
          <cell r="AY232">
            <v>2013</v>
          </cell>
          <cell r="AZ232">
            <v>2016</v>
          </cell>
          <cell r="BA232" t="str">
            <v>Yes</v>
          </cell>
          <cell r="BB232" t="str">
            <v>No</v>
          </cell>
          <cell r="BD232" t="str">
            <v>Yes</v>
          </cell>
          <cell r="BE232" t="str">
            <v>&lt; 60%</v>
          </cell>
        </row>
        <row r="233">
          <cell r="A233">
            <v>18219</v>
          </cell>
          <cell r="B233" t="str">
            <v>FRENCH WHOLESALE STORES</v>
          </cell>
          <cell r="C233" t="str">
            <v>AMUNDI REAL ESTATE</v>
          </cell>
          <cell r="K233" t="str">
            <v>nicholas Holford</v>
          </cell>
          <cell r="Q233" t="str">
            <v>France</v>
          </cell>
          <cell r="R233" t="str">
            <v>EUR</v>
          </cell>
          <cell r="S233" t="str">
            <v>Local GAAP</v>
          </cell>
          <cell r="T233" t="str">
            <v>Quarterly</v>
          </cell>
          <cell r="U233" t="str">
            <v>Quarterly</v>
          </cell>
          <cell r="V233" t="str">
            <v>RICS</v>
          </cell>
          <cell r="W233" t="str">
            <v>Local</v>
          </cell>
          <cell r="X233" t="str">
            <v>KPMG</v>
          </cell>
          <cell r="Y233" t="str">
            <v>Real Estate Fund</v>
          </cell>
          <cell r="Z233" t="str">
            <v>Yes</v>
          </cell>
          <cell r="AA233" t="str">
            <v>Yes</v>
          </cell>
          <cell r="AB233">
            <v>0</v>
          </cell>
          <cell r="AC233" t="str">
            <v>Club deal</v>
          </cell>
          <cell r="AD233" t="str">
            <v>Core</v>
          </cell>
          <cell r="AE233" t="str">
            <v>finite</v>
          </cell>
          <cell r="AF233" t="str">
            <v>Closed end</v>
          </cell>
          <cell r="AG233">
            <v>10</v>
          </cell>
          <cell r="AH233">
            <v>11</v>
          </cell>
          <cell r="AI233" t="str">
            <v>Net</v>
          </cell>
          <cell r="AK233">
            <v>9</v>
          </cell>
          <cell r="AL233">
            <v>35</v>
          </cell>
          <cell r="AM233" t="str">
            <v>≤ 40%</v>
          </cell>
          <cell r="AN233" t="str">
            <v>Institutional</v>
          </cell>
          <cell r="AO233" t="str">
            <v>≤ 2</v>
          </cell>
          <cell r="AP233" t="str">
            <v>≥ 50%</v>
          </cell>
          <cell r="AQ233" t="str">
            <v>Europe</v>
          </cell>
          <cell r="AR233" t="str">
            <v>single country</v>
          </cell>
          <cell r="AT233" t="str">
            <v>France</v>
          </cell>
          <cell r="AU233" t="str">
            <v>single sector</v>
          </cell>
          <cell r="AV233" t="str">
            <v>Industrial / Logistics</v>
          </cell>
          <cell r="AW233">
            <v>150000000</v>
          </cell>
          <cell r="AX233">
            <v>250000000</v>
          </cell>
          <cell r="AY233">
            <v>2013</v>
          </cell>
          <cell r="AZ233">
            <v>2025</v>
          </cell>
          <cell r="BA233" t="str">
            <v>Yes</v>
          </cell>
          <cell r="BB233" t="str">
            <v>No</v>
          </cell>
          <cell r="BD233" t="str">
            <v>No</v>
          </cell>
          <cell r="BE233" t="str">
            <v>≥ 60%</v>
          </cell>
          <cell r="BF233" t="str">
            <v>≤ 15%</v>
          </cell>
          <cell r="BG233" t="str">
            <v>≤ 5%</v>
          </cell>
          <cell r="BH233" t="str">
            <v>2017-06-30</v>
          </cell>
          <cell r="BI233">
            <v>265400000</v>
          </cell>
          <cell r="BJ233">
            <v>265400000</v>
          </cell>
          <cell r="BK233">
            <v>177000000</v>
          </cell>
          <cell r="BL233">
            <v>177000000</v>
          </cell>
          <cell r="BM233">
            <v>31.8</v>
          </cell>
          <cell r="BN233" t="str">
            <v>No</v>
          </cell>
          <cell r="BO233" t="str">
            <v>External</v>
          </cell>
          <cell r="BP233">
            <v>2</v>
          </cell>
          <cell r="BQ233">
            <v>43</v>
          </cell>
          <cell r="BS233">
            <v>0</v>
          </cell>
          <cell r="BV233" t="str">
            <v>No</v>
          </cell>
        </row>
        <row r="234">
          <cell r="A234">
            <v>190</v>
          </cell>
          <cell r="B234" t="str">
            <v>FUNDO VIP</v>
          </cell>
          <cell r="C234" t="str">
            <v>SILVIP</v>
          </cell>
          <cell r="D234" t="str">
            <v>Avenida Fontes Pereira de Melo 6 - 7º Drtº</v>
          </cell>
          <cell r="E234" t="str">
            <v>1050 121</v>
          </cell>
          <cell r="F234" t="str">
            <v>Lisbon</v>
          </cell>
          <cell r="G234" t="str">
            <v>Portugal</v>
          </cell>
          <cell r="I234" t="str">
            <v>+351 21 354 9054</v>
          </cell>
          <cell r="J234" t="str">
            <v>http://www.silvip.pt</v>
          </cell>
          <cell r="K234" t="str">
            <v>Dr. António Augusto Serralha Ferreira</v>
          </cell>
          <cell r="L234" t="str">
            <v>fundo@silvip.pt</v>
          </cell>
          <cell r="M234" t="str">
            <v>+351 (0) 21 315 4651</v>
          </cell>
          <cell r="N234" t="str">
            <v>Joaquim Carlos Silveira</v>
          </cell>
          <cell r="O234" t="str">
            <v>fundo@silvip.pt</v>
          </cell>
          <cell r="P234" t="str">
            <v>+351 (0) 21 315 4651</v>
          </cell>
          <cell r="Q234" t="str">
            <v>Portugal</v>
          </cell>
          <cell r="R234" t="str">
            <v>EUR</v>
          </cell>
          <cell r="S234" t="str">
            <v>Local GAAP</v>
          </cell>
          <cell r="T234" t="str">
            <v>Twice per year</v>
          </cell>
          <cell r="U234" t="str">
            <v>Quarterly</v>
          </cell>
          <cell r="Y234" t="str">
            <v>Real Estate Fund</v>
          </cell>
          <cell r="AB234">
            <v>0</v>
          </cell>
          <cell r="AC234" t="str">
            <v>Non-Listed Fund</v>
          </cell>
          <cell r="AD234" t="str">
            <v>Value-added</v>
          </cell>
          <cell r="AE234" t="str">
            <v>infinite</v>
          </cell>
          <cell r="AF234" t="str">
            <v>Open end</v>
          </cell>
          <cell r="AG234">
            <v>5</v>
          </cell>
          <cell r="AH234">
            <v>5</v>
          </cell>
          <cell r="AL234">
            <v>0</v>
          </cell>
          <cell r="AM234" t="str">
            <v>≤ 40%</v>
          </cell>
          <cell r="AN234" t="str">
            <v>Institutional and Retail</v>
          </cell>
          <cell r="AQ234" t="str">
            <v>Europe</v>
          </cell>
          <cell r="AR234" t="str">
            <v>single country</v>
          </cell>
          <cell r="AT234" t="str">
            <v>Portugal</v>
          </cell>
          <cell r="AU234" t="str">
            <v>multi sector</v>
          </cell>
          <cell r="AY234">
            <v>1987</v>
          </cell>
          <cell r="BH234" t="str">
            <v>2012-06-30</v>
          </cell>
          <cell r="BI234">
            <v>293000000</v>
          </cell>
          <cell r="BJ234">
            <v>293000000</v>
          </cell>
          <cell r="BK234">
            <v>293000000</v>
          </cell>
          <cell r="BL234">
            <v>293000000</v>
          </cell>
          <cell r="BQ234">
            <v>49</v>
          </cell>
          <cell r="BS234">
            <v>0</v>
          </cell>
          <cell r="BV234" t="str">
            <v>Yes</v>
          </cell>
        </row>
        <row r="235">
          <cell r="A235">
            <v>192</v>
          </cell>
          <cell r="B235" t="str">
            <v>GENERALI REAL ESTATE FUND</v>
          </cell>
          <cell r="C235" t="str">
            <v>GENERALI REAL ESTATE FUND</v>
          </cell>
          <cell r="D235" t="str">
            <v>5, Allee Scheffer</v>
          </cell>
          <cell r="E235" t="str">
            <v>L-2520</v>
          </cell>
          <cell r="F235" t="str">
            <v>Luxembourg</v>
          </cell>
          <cell r="G235" t="str">
            <v>Luxembourg</v>
          </cell>
          <cell r="H235" t="str">
            <v>+352 26 92 30 47 23</v>
          </cell>
          <cell r="I235" t="str">
            <v>+352 26 92 30 48 27</v>
          </cell>
          <cell r="J235" t="str">
            <v>http://www.generali.com</v>
          </cell>
          <cell r="K235" t="str">
            <v>Ilaria Drescher</v>
          </cell>
          <cell r="L235" t="str">
            <v>ilaria.drescher@generali-investments.lu</v>
          </cell>
          <cell r="M235" t="str">
            <v>+352 26 92 30 47 31</v>
          </cell>
          <cell r="N235" t="str">
            <v>Cristiano Stampa</v>
          </cell>
          <cell r="O235" t="str">
            <v>cristiano.stampa@generali.com</v>
          </cell>
          <cell r="P235" t="str">
            <v>+39 335 7409 042</v>
          </cell>
          <cell r="Q235" t="str">
            <v>Luxembourg</v>
          </cell>
          <cell r="R235" t="str">
            <v>EUR</v>
          </cell>
          <cell r="S235" t="str">
            <v>IFRS</v>
          </cell>
          <cell r="T235" t="str">
            <v>Twice per year</v>
          </cell>
          <cell r="U235" t="str">
            <v>Annually</v>
          </cell>
          <cell r="X235" t="str">
            <v>PriceWaterhouseCoopers</v>
          </cell>
          <cell r="Y235" t="str">
            <v>SICAV</v>
          </cell>
          <cell r="Z235" t="str">
            <v>No</v>
          </cell>
          <cell r="AA235" t="str">
            <v>No</v>
          </cell>
          <cell r="AB235">
            <v>0</v>
          </cell>
          <cell r="AC235" t="str">
            <v>Non-Listed Fund</v>
          </cell>
          <cell r="AD235" t="str">
            <v>Value-added</v>
          </cell>
          <cell r="AE235" t="str">
            <v>finite</v>
          </cell>
          <cell r="AF235" t="str">
            <v>Closed end</v>
          </cell>
          <cell r="AG235">
            <v>10</v>
          </cell>
          <cell r="AH235">
            <v>10</v>
          </cell>
          <cell r="AI235" t="str">
            <v>Net</v>
          </cell>
          <cell r="AJ235" t="str">
            <v>None</v>
          </cell>
          <cell r="AL235">
            <v>50</v>
          </cell>
          <cell r="AM235" t="str">
            <v>&gt; 40% - ≤ 60%</v>
          </cell>
          <cell r="AN235" t="str">
            <v>Institutional</v>
          </cell>
          <cell r="AO235" t="str">
            <v>&gt; 2</v>
          </cell>
          <cell r="AP235" t="str">
            <v>≥ 50%</v>
          </cell>
          <cell r="AQ235" t="str">
            <v>Global</v>
          </cell>
          <cell r="AR235" t="str">
            <v>multi country</v>
          </cell>
          <cell r="AU235" t="str">
            <v>multi sector</v>
          </cell>
          <cell r="AW235">
            <v>500000000</v>
          </cell>
          <cell r="AX235">
            <v>1000000000</v>
          </cell>
          <cell r="AY235">
            <v>2006</v>
          </cell>
          <cell r="AZ235">
            <v>2016</v>
          </cell>
          <cell r="BA235" t="str">
            <v>Yes</v>
          </cell>
          <cell r="BB235" t="str">
            <v>Yes</v>
          </cell>
          <cell r="BC235" t="str">
            <v>1 year</v>
          </cell>
          <cell r="BH235" t="str">
            <v>2008-06-30</v>
          </cell>
          <cell r="BI235">
            <v>125000000</v>
          </cell>
          <cell r="BJ235">
            <v>125000000</v>
          </cell>
          <cell r="BK235">
            <v>59000000</v>
          </cell>
          <cell r="BL235">
            <v>59000000</v>
          </cell>
          <cell r="BP235">
            <v>11</v>
          </cell>
          <cell r="BQ235">
            <v>1</v>
          </cell>
          <cell r="BR235">
            <v>500000000</v>
          </cell>
          <cell r="BS235">
            <v>500000000</v>
          </cell>
          <cell r="BU235">
            <v>0</v>
          </cell>
          <cell r="BV235" t="str">
            <v>No</v>
          </cell>
        </row>
        <row r="236">
          <cell r="A236">
            <v>18282</v>
          </cell>
          <cell r="B236" t="str">
            <v>GENESTA NORDIC REAL ESTATE FUND II FCP-SIF</v>
          </cell>
          <cell r="C236" t="str">
            <v>GENESTA NORDIC PROPERTY</v>
          </cell>
          <cell r="D236" t="str">
            <v>Jakobsbergsgatan 16</v>
          </cell>
          <cell r="E236">
            <v>11144</v>
          </cell>
          <cell r="F236" t="str">
            <v>Stockholm</v>
          </cell>
          <cell r="G236" t="str">
            <v>Sweden</v>
          </cell>
          <cell r="K236" t="str">
            <v>Allan Strand Oleson</v>
          </cell>
          <cell r="L236" t="str">
            <v>Allan.Strand-Olesen@genesta.dk</v>
          </cell>
          <cell r="N236" t="str">
            <v>Philip Björk</v>
          </cell>
          <cell r="O236" t="str">
            <v>philip.bjork@genesta.se</v>
          </cell>
          <cell r="P236" t="str">
            <v>+46701440786</v>
          </cell>
          <cell r="Q236" t="str">
            <v>Luxembourg</v>
          </cell>
          <cell r="R236" t="str">
            <v>EUR</v>
          </cell>
          <cell r="S236" t="str">
            <v>IFRS</v>
          </cell>
          <cell r="T236" t="str">
            <v>Quarterly</v>
          </cell>
          <cell r="U236" t="str">
            <v>Quarterly</v>
          </cell>
          <cell r="V236" t="str">
            <v>RICS</v>
          </cell>
          <cell r="W236" t="str">
            <v>INREV NAV</v>
          </cell>
          <cell r="X236" t="str">
            <v>EY</v>
          </cell>
          <cell r="Y236" t="str">
            <v>Real Estate Fund</v>
          </cell>
          <cell r="Z236" t="str">
            <v>Yes</v>
          </cell>
          <cell r="AA236" t="str">
            <v>Yes</v>
          </cell>
          <cell r="AB236">
            <v>2</v>
          </cell>
          <cell r="AC236" t="str">
            <v>Non-Listed Fund</v>
          </cell>
          <cell r="AD236" t="str">
            <v>Value-added</v>
          </cell>
          <cell r="AE236" t="str">
            <v>finite</v>
          </cell>
          <cell r="AF236" t="str">
            <v>Closed end</v>
          </cell>
          <cell r="AG236">
            <v>13</v>
          </cell>
          <cell r="AH236">
            <v>14.5</v>
          </cell>
          <cell r="AI236" t="str">
            <v>Net</v>
          </cell>
          <cell r="AJ236" t="str">
            <v>N/A</v>
          </cell>
          <cell r="AM236" t="str">
            <v>&gt; 40% - ≤ 60%</v>
          </cell>
          <cell r="AN236" t="str">
            <v>Institutional</v>
          </cell>
          <cell r="AO236" t="str">
            <v>&gt; 2</v>
          </cell>
          <cell r="AP236" t="str">
            <v>≥ 50%</v>
          </cell>
          <cell r="AQ236" t="str">
            <v>Europe</v>
          </cell>
          <cell r="AR236" t="str">
            <v>multi country</v>
          </cell>
          <cell r="AS236" t="str">
            <v>Nordic</v>
          </cell>
          <cell r="AU236" t="str">
            <v>multi sector</v>
          </cell>
          <cell r="AW236">
            <v>373000000</v>
          </cell>
          <cell r="AX236">
            <v>746000000</v>
          </cell>
          <cell r="AY236">
            <v>2015</v>
          </cell>
          <cell r="AZ236">
            <v>2022</v>
          </cell>
          <cell r="BA236" t="str">
            <v>Yes</v>
          </cell>
          <cell r="BB236" t="str">
            <v>Yes</v>
          </cell>
          <cell r="BC236" t="str">
            <v>1+1 years</v>
          </cell>
          <cell r="BH236" t="str">
            <v>2020-12-31</v>
          </cell>
          <cell r="BI236">
            <v>509482500</v>
          </cell>
          <cell r="BJ236">
            <v>509482500</v>
          </cell>
          <cell r="BK236">
            <v>236237203</v>
          </cell>
          <cell r="BL236">
            <v>236237203</v>
          </cell>
          <cell r="BM236">
            <v>42.75</v>
          </cell>
          <cell r="BN236" t="str">
            <v>No</v>
          </cell>
          <cell r="BO236" t="str">
            <v>External</v>
          </cell>
          <cell r="BP236">
            <v>15</v>
          </cell>
          <cell r="BQ236">
            <v>8</v>
          </cell>
          <cell r="BR236">
            <v>373200000</v>
          </cell>
          <cell r="BS236">
            <v>373200000</v>
          </cell>
          <cell r="BT236">
            <v>325050000</v>
          </cell>
          <cell r="BU236">
            <v>325050000</v>
          </cell>
          <cell r="BV236" t="str">
            <v>No</v>
          </cell>
          <cell r="BW236" t="str">
            <v>Finland</v>
          </cell>
          <cell r="BX236" t="str">
            <v>Office</v>
          </cell>
          <cell r="BY236">
            <v>8.5</v>
          </cell>
          <cell r="BZ236" t="str">
            <v>Finland</v>
          </cell>
          <cell r="CA236" t="str">
            <v>Office</v>
          </cell>
          <cell r="CB236">
            <v>6.82</v>
          </cell>
          <cell r="CC236" t="str">
            <v>Finland</v>
          </cell>
          <cell r="CD236" t="str">
            <v>Office</v>
          </cell>
          <cell r="CE236">
            <v>9.67</v>
          </cell>
          <cell r="CF236" t="str">
            <v>Finland</v>
          </cell>
          <cell r="CG236" t="str">
            <v>Office</v>
          </cell>
          <cell r="CH236">
            <v>8.85</v>
          </cell>
          <cell r="CI236" t="str">
            <v>Denmark</v>
          </cell>
          <cell r="CJ236" t="str">
            <v>Office</v>
          </cell>
          <cell r="CK236">
            <v>33.04</v>
          </cell>
          <cell r="CL236" t="str">
            <v>Sweden</v>
          </cell>
          <cell r="CM236" t="str">
            <v>Retail</v>
          </cell>
          <cell r="CN236">
            <v>10.029999999999999</v>
          </cell>
          <cell r="CO236" t="str">
            <v>Sweden</v>
          </cell>
          <cell r="CP236" t="str">
            <v>Office</v>
          </cell>
          <cell r="CQ236">
            <v>16.47</v>
          </cell>
          <cell r="CR236" t="str">
            <v>Sweden</v>
          </cell>
          <cell r="CS236" t="str">
            <v>Industrial / Logistics</v>
          </cell>
          <cell r="CT236">
            <v>6.62</v>
          </cell>
        </row>
        <row r="237">
          <cell r="A237">
            <v>19268</v>
          </cell>
          <cell r="B237" t="str">
            <v>GENESTA NORDIC REAL ESTATE FUND III, FCP-RAIF</v>
          </cell>
          <cell r="C237" t="str">
            <v>GENESTA NORDIC CAPITAL FUND MANAGEMENT S.à R.L.</v>
          </cell>
          <cell r="G237" t="str">
            <v>Luxembourg</v>
          </cell>
          <cell r="K237" t="str">
            <v>Allan Strand Oleson</v>
          </cell>
          <cell r="L237" t="str">
            <v>allan.strand-olesen@genesta.dk</v>
          </cell>
          <cell r="N237" t="str">
            <v>Philip Björk</v>
          </cell>
          <cell r="O237" t="str">
            <v>philip.bjork@genesta.se</v>
          </cell>
          <cell r="P237" t="str">
            <v>+46701440786</v>
          </cell>
          <cell r="Q237" t="str">
            <v>Luxembourg</v>
          </cell>
          <cell r="R237" t="str">
            <v>EUR</v>
          </cell>
          <cell r="S237" t="str">
            <v>IFRS</v>
          </cell>
          <cell r="T237" t="str">
            <v>Quarterly</v>
          </cell>
          <cell r="U237" t="str">
            <v>Quarterly</v>
          </cell>
          <cell r="V237" t="str">
            <v>RICS</v>
          </cell>
          <cell r="W237" t="str">
            <v>INREV NAV</v>
          </cell>
          <cell r="X237" t="str">
            <v>EY</v>
          </cell>
          <cell r="Y237" t="str">
            <v>Real Estate Fund</v>
          </cell>
          <cell r="Z237" t="str">
            <v>Yes</v>
          </cell>
          <cell r="AA237" t="str">
            <v>Yes</v>
          </cell>
          <cell r="AC237" t="str">
            <v>Non-Listed Fund</v>
          </cell>
          <cell r="AD237" t="str">
            <v>Value-added</v>
          </cell>
          <cell r="AE237" t="str">
            <v>finite</v>
          </cell>
          <cell r="AF237" t="str">
            <v>Closed end</v>
          </cell>
          <cell r="AG237">
            <v>12</v>
          </cell>
          <cell r="AH237">
            <v>14</v>
          </cell>
          <cell r="AI237" t="str">
            <v>Net</v>
          </cell>
          <cell r="AM237" t="str">
            <v>&gt; 40% - ≤ 60%</v>
          </cell>
          <cell r="AN237" t="str">
            <v>Institutional</v>
          </cell>
          <cell r="AO237" t="str">
            <v>&gt; 2</v>
          </cell>
          <cell r="AP237" t="str">
            <v>≥ 50%</v>
          </cell>
          <cell r="AQ237" t="str">
            <v>Europe</v>
          </cell>
          <cell r="AR237" t="str">
            <v>multi country</v>
          </cell>
          <cell r="AS237" t="str">
            <v>Nordic</v>
          </cell>
          <cell r="AU237" t="str">
            <v>multi sector</v>
          </cell>
          <cell r="AW237">
            <v>500000000</v>
          </cell>
          <cell r="AX237">
            <v>800000000</v>
          </cell>
          <cell r="AY237">
            <v>2019</v>
          </cell>
          <cell r="AZ237">
            <v>2026</v>
          </cell>
          <cell r="BA237" t="str">
            <v>Yes</v>
          </cell>
          <cell r="BB237" t="str">
            <v>Yes</v>
          </cell>
          <cell r="BC237" t="str">
            <v>1+1 years</v>
          </cell>
          <cell r="BH237" t="str">
            <v>2020-12-31</v>
          </cell>
          <cell r="BI237">
            <v>140079973</v>
          </cell>
          <cell r="BJ237">
            <v>140079973</v>
          </cell>
          <cell r="BK237">
            <v>68196477</v>
          </cell>
          <cell r="BL237">
            <v>68196477</v>
          </cell>
          <cell r="BM237">
            <v>46.17</v>
          </cell>
          <cell r="BN237" t="str">
            <v>No</v>
          </cell>
          <cell r="BO237" t="str">
            <v>External</v>
          </cell>
          <cell r="BP237">
            <v>12</v>
          </cell>
          <cell r="BQ237">
            <v>2</v>
          </cell>
          <cell r="BR237">
            <v>373500000</v>
          </cell>
          <cell r="BS237">
            <v>373500000</v>
          </cell>
          <cell r="BT237">
            <v>62594150</v>
          </cell>
          <cell r="BU237">
            <v>62594150</v>
          </cell>
          <cell r="BV237" t="str">
            <v>Yes</v>
          </cell>
          <cell r="BW237" t="str">
            <v>Sweden</v>
          </cell>
          <cell r="BX237" t="str">
            <v>Office</v>
          </cell>
          <cell r="BY237">
            <v>100</v>
          </cell>
        </row>
        <row r="238">
          <cell r="A238">
            <v>199</v>
          </cell>
          <cell r="B238" t="str">
            <v>GESTIMO</v>
          </cell>
          <cell r="C238" t="str">
            <v>IMORENDIMENTO</v>
          </cell>
          <cell r="D238" t="str">
            <v>Praca Bom Sucesson 127, Esc 210</v>
          </cell>
          <cell r="E238" t="str">
            <v>4050 146</v>
          </cell>
          <cell r="F238" t="str">
            <v>Porto</v>
          </cell>
          <cell r="G238" t="str">
            <v>Portugal</v>
          </cell>
          <cell r="H238" t="str">
            <v>+351 22 607 5660</v>
          </cell>
          <cell r="I238" t="str">
            <v>+351 22 607 5661</v>
          </cell>
          <cell r="J238" t="str">
            <v>http://www.imorendimento.com</v>
          </cell>
          <cell r="N238" t="str">
            <v>Armando Lacerda Queiroz</v>
          </cell>
          <cell r="O238" t="str">
            <v>imorendimento@imorendimento.pt</v>
          </cell>
          <cell r="P238" t="str">
            <v>+351 607 5660</v>
          </cell>
          <cell r="Q238" t="str">
            <v>Portugal</v>
          </cell>
          <cell r="R238" t="str">
            <v>EUR</v>
          </cell>
          <cell r="T238" t="str">
            <v>Annually</v>
          </cell>
          <cell r="U238" t="str">
            <v>Quarterly</v>
          </cell>
          <cell r="X238" t="str">
            <v>KPMG</v>
          </cell>
          <cell r="Y238" t="str">
            <v>Real Estate Fund</v>
          </cell>
          <cell r="AB238">
            <v>0</v>
          </cell>
          <cell r="AC238" t="str">
            <v>Non-Listed Fund</v>
          </cell>
          <cell r="AD238" t="str">
            <v>Value-added</v>
          </cell>
          <cell r="AE238" t="str">
            <v>finite</v>
          </cell>
          <cell r="AF238" t="str">
            <v>Closed end</v>
          </cell>
          <cell r="AG238">
            <v>0</v>
          </cell>
          <cell r="AH238">
            <v>11</v>
          </cell>
          <cell r="AN238" t="str">
            <v>Institutional</v>
          </cell>
          <cell r="AQ238" t="str">
            <v>Europe</v>
          </cell>
          <cell r="AR238" t="str">
            <v>single country</v>
          </cell>
          <cell r="AT238" t="str">
            <v>Portugal</v>
          </cell>
          <cell r="AU238" t="str">
            <v>multi sector</v>
          </cell>
          <cell r="AY238">
            <v>1995</v>
          </cell>
          <cell r="AZ238">
            <v>2014</v>
          </cell>
          <cell r="BH238" t="str">
            <v>2010-12-31</v>
          </cell>
          <cell r="BJ238">
            <v>0</v>
          </cell>
          <cell r="BK238">
            <v>11000000</v>
          </cell>
          <cell r="BL238">
            <v>11000000</v>
          </cell>
          <cell r="BP238">
            <v>5</v>
          </cell>
          <cell r="BQ238">
            <v>30</v>
          </cell>
          <cell r="BS238">
            <v>0</v>
          </cell>
          <cell r="BV238" t="str">
            <v>No</v>
          </cell>
        </row>
        <row r="239">
          <cell r="A239">
            <v>17487</v>
          </cell>
          <cell r="B239" t="str">
            <v>GLL GMBH &amp; CO. OFFICE II KG</v>
          </cell>
          <cell r="C239" t="str">
            <v>GLL REAL ESTATE PARTNERS</v>
          </cell>
          <cell r="D239" t="str">
            <v>Lindwurmstrasse 76</v>
          </cell>
          <cell r="E239">
            <v>80337</v>
          </cell>
          <cell r="F239" t="str">
            <v>Munich</v>
          </cell>
          <cell r="G239" t="str">
            <v>Germany</v>
          </cell>
          <cell r="H239" t="str">
            <v>+49 (0) 89 72610 3930</v>
          </cell>
          <cell r="I239" t="str">
            <v>+49 (0) 89 72610 3945</v>
          </cell>
          <cell r="J239" t="str">
            <v>http://www.gll-partners.com</v>
          </cell>
          <cell r="K239" t="str">
            <v>Alexander Kratzel</v>
          </cell>
          <cell r="L239" t="str">
            <v>alexander.kratzel@gll-partners.com</v>
          </cell>
          <cell r="M239" t="str">
            <v>+49 (0) 89 72610 3937</v>
          </cell>
          <cell r="N239" t="str">
            <v xml:space="preserve">Brigitte Schmale </v>
          </cell>
          <cell r="O239" t="str">
            <v>Brigitte.Schmale@gll-partners.com</v>
          </cell>
          <cell r="P239" t="str">
            <v>+49 (0) 89 72610 3983</v>
          </cell>
          <cell r="Q239" t="str">
            <v>Germany</v>
          </cell>
          <cell r="R239" t="str">
            <v>EUR</v>
          </cell>
          <cell r="S239" t="str">
            <v>IFRS</v>
          </cell>
          <cell r="T239" t="str">
            <v>Quarterly</v>
          </cell>
          <cell r="U239" t="str">
            <v>Annually</v>
          </cell>
          <cell r="X239" t="str">
            <v>PWC</v>
          </cell>
          <cell r="Y239" t="str">
            <v>Limited Partnership</v>
          </cell>
          <cell r="Z239" t="str">
            <v>Yes</v>
          </cell>
          <cell r="AA239" t="str">
            <v>Yes</v>
          </cell>
          <cell r="AB239">
            <v>0</v>
          </cell>
          <cell r="AC239" t="str">
            <v>Non-Listed Fund</v>
          </cell>
          <cell r="AD239" t="str">
            <v>Core</v>
          </cell>
          <cell r="AE239" t="str">
            <v>finite</v>
          </cell>
          <cell r="AF239" t="str">
            <v>Closed end</v>
          </cell>
          <cell r="AG239">
            <v>9</v>
          </cell>
          <cell r="AH239">
            <v>9</v>
          </cell>
          <cell r="AI239" t="str">
            <v>Net</v>
          </cell>
          <cell r="AJ239" t="str">
            <v>None</v>
          </cell>
          <cell r="AK239">
            <v>6</v>
          </cell>
          <cell r="AL239">
            <v>50</v>
          </cell>
          <cell r="AM239" t="str">
            <v>&gt; 40% - ≤ 60%</v>
          </cell>
          <cell r="AN239" t="str">
            <v>Institutional</v>
          </cell>
          <cell r="AO239" t="str">
            <v>&gt; 2</v>
          </cell>
          <cell r="AP239" t="str">
            <v>≥ 50%</v>
          </cell>
          <cell r="AQ239" t="str">
            <v>Global</v>
          </cell>
          <cell r="AR239" t="str">
            <v>multi country</v>
          </cell>
          <cell r="AU239" t="str">
            <v>single sector</v>
          </cell>
          <cell r="AV239" t="str">
            <v>Office</v>
          </cell>
          <cell r="AW239">
            <v>400000000</v>
          </cell>
          <cell r="AX239">
            <v>750000000</v>
          </cell>
          <cell r="AY239">
            <v>2010</v>
          </cell>
          <cell r="AZ239">
            <v>2019</v>
          </cell>
          <cell r="BA239" t="str">
            <v>Yes</v>
          </cell>
          <cell r="BB239" t="str">
            <v>No</v>
          </cell>
          <cell r="BH239" t="str">
            <v>2019-03-31</v>
          </cell>
          <cell r="BI239">
            <v>257007424</v>
          </cell>
          <cell r="BJ239">
            <v>257007424</v>
          </cell>
          <cell r="BK239">
            <v>145312290</v>
          </cell>
          <cell r="BL239">
            <v>145312290</v>
          </cell>
          <cell r="BM239">
            <v>0</v>
          </cell>
          <cell r="BN239" t="str">
            <v>No</v>
          </cell>
          <cell r="BO239" t="str">
            <v>External</v>
          </cell>
          <cell r="BP239">
            <v>22</v>
          </cell>
          <cell r="BQ239">
            <v>3</v>
          </cell>
          <cell r="BR239">
            <v>391261000</v>
          </cell>
          <cell r="BS239">
            <v>391261000</v>
          </cell>
          <cell r="BT239">
            <v>225485162</v>
          </cell>
          <cell r="BU239">
            <v>225485162</v>
          </cell>
          <cell r="BV239" t="str">
            <v>No</v>
          </cell>
          <cell r="BW239" t="str">
            <v>United States of America</v>
          </cell>
          <cell r="BX239" t="str">
            <v>Office</v>
          </cell>
          <cell r="BY239">
            <v>26.55</v>
          </cell>
          <cell r="BZ239" t="str">
            <v>United States of America</v>
          </cell>
          <cell r="CA239" t="str">
            <v>Office</v>
          </cell>
          <cell r="CB239">
            <v>39.840000000000003</v>
          </cell>
          <cell r="CC239" t="str">
            <v>Belgium</v>
          </cell>
          <cell r="CD239" t="str">
            <v>Office</v>
          </cell>
          <cell r="CE239">
            <v>33.61</v>
          </cell>
        </row>
        <row r="240">
          <cell r="A240">
            <v>200</v>
          </cell>
          <cell r="B240" t="str">
            <v>GLL GMBH &amp; CO. OFFICE KG</v>
          </cell>
          <cell r="C240" t="str">
            <v>GLL REAL ESTATE PARTNERS</v>
          </cell>
          <cell r="D240" t="str">
            <v>Lindwurmstrasse 76</v>
          </cell>
          <cell r="E240">
            <v>80337</v>
          </cell>
          <cell r="F240" t="str">
            <v>Munich</v>
          </cell>
          <cell r="G240" t="str">
            <v>Germany</v>
          </cell>
          <cell r="H240" t="str">
            <v>+49 (0) 89 72610 3930</v>
          </cell>
          <cell r="I240" t="str">
            <v>+49 (0) 89 72610 3945</v>
          </cell>
          <cell r="J240" t="str">
            <v>http://www.gll-partners.com</v>
          </cell>
          <cell r="K240" t="str">
            <v>Alexander Kratzel</v>
          </cell>
          <cell r="L240" t="str">
            <v>alexander.kratzel@gll-partners.com</v>
          </cell>
          <cell r="M240" t="str">
            <v>+49 (0) 89 72610 3937</v>
          </cell>
          <cell r="N240" t="str">
            <v>Brigitte Schmale</v>
          </cell>
          <cell r="O240" t="str">
            <v>Brigitte.Schmale@gll-partners.com</v>
          </cell>
          <cell r="P240" t="str">
            <v>+49 (0) 89 72610 3983</v>
          </cell>
          <cell r="Q240" t="str">
            <v>Germany</v>
          </cell>
          <cell r="R240" t="str">
            <v>EUR</v>
          </cell>
          <cell r="S240" t="str">
            <v>Local GAAP</v>
          </cell>
          <cell r="T240" t="str">
            <v>Quarterly</v>
          </cell>
          <cell r="X240" t="str">
            <v>KPMG</v>
          </cell>
          <cell r="Y240" t="str">
            <v>Limited Partnership</v>
          </cell>
          <cell r="Z240" t="str">
            <v>No</v>
          </cell>
          <cell r="AA240" t="str">
            <v>Yes</v>
          </cell>
          <cell r="AB240">
            <v>0</v>
          </cell>
          <cell r="AC240" t="str">
            <v>Non-Listed Fund</v>
          </cell>
          <cell r="AD240" t="str">
            <v>Core</v>
          </cell>
          <cell r="AE240" t="str">
            <v>finite</v>
          </cell>
          <cell r="AF240" t="str">
            <v>Closed end</v>
          </cell>
          <cell r="AG240">
            <v>10</v>
          </cell>
          <cell r="AH240">
            <v>10</v>
          </cell>
          <cell r="AI240" t="str">
            <v>Net</v>
          </cell>
          <cell r="AJ240" t="str">
            <v>None</v>
          </cell>
          <cell r="AK240">
            <v>6</v>
          </cell>
          <cell r="AL240">
            <v>50</v>
          </cell>
          <cell r="AM240" t="str">
            <v>&gt; 40% - ≤ 60%</v>
          </cell>
          <cell r="AN240" t="str">
            <v>Institutional</v>
          </cell>
          <cell r="AO240" t="str">
            <v>&gt; 2</v>
          </cell>
          <cell r="AP240" t="str">
            <v>≥ 50%</v>
          </cell>
          <cell r="AQ240" t="str">
            <v>Global</v>
          </cell>
          <cell r="AR240" t="str">
            <v>multi country</v>
          </cell>
          <cell r="AU240" t="str">
            <v>single sector</v>
          </cell>
          <cell r="AV240" t="str">
            <v>Office</v>
          </cell>
          <cell r="AW240">
            <v>300000000</v>
          </cell>
          <cell r="AX240">
            <v>600000000</v>
          </cell>
          <cell r="AY240">
            <v>2002</v>
          </cell>
          <cell r="AZ240">
            <v>2014</v>
          </cell>
          <cell r="BA240" t="str">
            <v>Yes</v>
          </cell>
          <cell r="BB240" t="str">
            <v>No</v>
          </cell>
          <cell r="BH240" t="str">
            <v>2019-09-30</v>
          </cell>
          <cell r="BI240">
            <v>13897835.4</v>
          </cell>
          <cell r="BJ240">
            <v>13897835.4</v>
          </cell>
          <cell r="BK240">
            <v>13897835.4</v>
          </cell>
          <cell r="BL240">
            <v>13897835.4</v>
          </cell>
          <cell r="BM240">
            <v>0</v>
          </cell>
          <cell r="BN240" t="str">
            <v>No</v>
          </cell>
          <cell r="BO240" t="str">
            <v>External</v>
          </cell>
          <cell r="BP240">
            <v>16</v>
          </cell>
          <cell r="BQ240">
            <v>2</v>
          </cell>
          <cell r="BR240">
            <v>303810000</v>
          </cell>
          <cell r="BS240">
            <v>303810000</v>
          </cell>
          <cell r="BT240">
            <v>151221641</v>
          </cell>
          <cell r="BU240">
            <v>151221641</v>
          </cell>
          <cell r="BV240" t="str">
            <v>No</v>
          </cell>
        </row>
        <row r="241">
          <cell r="A241">
            <v>201</v>
          </cell>
          <cell r="B241" t="str">
            <v>GLL GMBH &amp; CO. RETAIL KG</v>
          </cell>
          <cell r="C241" t="str">
            <v>GLL REAL ESTATE PARTNERS</v>
          </cell>
          <cell r="D241" t="str">
            <v>Lindwurmstrasse 76</v>
          </cell>
          <cell r="E241">
            <v>80337</v>
          </cell>
          <cell r="F241" t="str">
            <v>Munich</v>
          </cell>
          <cell r="G241" t="str">
            <v>Germany</v>
          </cell>
          <cell r="H241" t="str">
            <v>+49 (0) 89 72610 3930</v>
          </cell>
          <cell r="I241" t="str">
            <v>+49 (0) 89 72610 3945</v>
          </cell>
          <cell r="J241" t="str">
            <v>http://www.gll-partners.com</v>
          </cell>
          <cell r="K241" t="str">
            <v>Kornelia.Kampmeier</v>
          </cell>
          <cell r="L241" t="str">
            <v>Kornelia.Kampmeier@gll-partners.com</v>
          </cell>
          <cell r="M241" t="str">
            <v>+49 (0) 89 72610 3938</v>
          </cell>
          <cell r="N241" t="str">
            <v>Kornelia Kampmeier</v>
          </cell>
          <cell r="O241" t="str">
            <v>Kornelia.Kampmeier@gll-partners.com</v>
          </cell>
          <cell r="P241" t="str">
            <v>+49 (0) 89 72610 3938</v>
          </cell>
          <cell r="Q241" t="str">
            <v>Germany</v>
          </cell>
          <cell r="R241" t="str">
            <v>EUR</v>
          </cell>
          <cell r="S241" t="str">
            <v>Local GAAP</v>
          </cell>
          <cell r="T241" t="str">
            <v>Quarterly</v>
          </cell>
          <cell r="X241" t="str">
            <v>KPMG</v>
          </cell>
          <cell r="Y241" t="str">
            <v>Limited Partnership</v>
          </cell>
          <cell r="Z241" t="str">
            <v>No</v>
          </cell>
          <cell r="AA241" t="str">
            <v>Yes</v>
          </cell>
          <cell r="AB241">
            <v>0</v>
          </cell>
          <cell r="AC241" t="str">
            <v>Non-Listed Fund</v>
          </cell>
          <cell r="AD241" t="str">
            <v>Core</v>
          </cell>
          <cell r="AE241" t="str">
            <v>finite</v>
          </cell>
          <cell r="AF241" t="str">
            <v>Closed end</v>
          </cell>
          <cell r="AG241">
            <v>6</v>
          </cell>
          <cell r="AH241">
            <v>6</v>
          </cell>
          <cell r="AI241" t="str">
            <v>Net</v>
          </cell>
          <cell r="AJ241" t="str">
            <v>None</v>
          </cell>
          <cell r="AK241">
            <v>5.5</v>
          </cell>
          <cell r="AL241">
            <v>50</v>
          </cell>
          <cell r="AM241" t="str">
            <v>&gt; 40% - ≤ 60%</v>
          </cell>
          <cell r="AN241" t="str">
            <v>Institutional</v>
          </cell>
          <cell r="AO241" t="str">
            <v>&gt; 2</v>
          </cell>
          <cell r="AP241" t="str">
            <v>≥ 50%</v>
          </cell>
          <cell r="AQ241" t="str">
            <v>Global</v>
          </cell>
          <cell r="AR241" t="str">
            <v>multi country</v>
          </cell>
          <cell r="AU241" t="str">
            <v>single sector</v>
          </cell>
          <cell r="AV241" t="str">
            <v>Retail</v>
          </cell>
          <cell r="AW241">
            <v>1000000000</v>
          </cell>
          <cell r="AX241">
            <v>2200000000</v>
          </cell>
          <cell r="AY241">
            <v>2006</v>
          </cell>
          <cell r="AZ241">
            <v>2016</v>
          </cell>
          <cell r="BA241" t="str">
            <v>Yes</v>
          </cell>
          <cell r="BB241" t="str">
            <v>No</v>
          </cell>
          <cell r="BH241" t="str">
            <v>2018-12-31</v>
          </cell>
          <cell r="BI241">
            <v>219465000</v>
          </cell>
          <cell r="BJ241">
            <v>219465000</v>
          </cell>
          <cell r="BK241">
            <v>118872136</v>
          </cell>
          <cell r="BL241">
            <v>118872136</v>
          </cell>
          <cell r="BM241">
            <v>41.1</v>
          </cell>
          <cell r="BN241" t="str">
            <v>No</v>
          </cell>
          <cell r="BO241" t="str">
            <v>External</v>
          </cell>
          <cell r="BP241">
            <v>13</v>
          </cell>
          <cell r="BQ241">
            <v>2</v>
          </cell>
          <cell r="BR241">
            <v>381010000</v>
          </cell>
          <cell r="BS241">
            <v>381010000</v>
          </cell>
          <cell r="BT241">
            <v>210710000</v>
          </cell>
          <cell r="BU241">
            <v>210710000</v>
          </cell>
          <cell r="BV241" t="str">
            <v>No</v>
          </cell>
          <cell r="BW241" t="str">
            <v>United States of America</v>
          </cell>
          <cell r="BX241" t="str">
            <v>Office</v>
          </cell>
          <cell r="BY241">
            <v>100</v>
          </cell>
        </row>
        <row r="242">
          <cell r="A242">
            <v>17697</v>
          </cell>
          <cell r="B242" t="str">
            <v>GLL PAN EUROPEAN PROPERTY FUND FCP-FIS</v>
          </cell>
          <cell r="C242" t="str">
            <v>GLL REAL ESTATE PARTNERS</v>
          </cell>
          <cell r="D242" t="str">
            <v>Lindwurmstrasse 76</v>
          </cell>
          <cell r="E242">
            <v>80337</v>
          </cell>
          <cell r="F242" t="str">
            <v>München</v>
          </cell>
          <cell r="G242" t="str">
            <v>Germany</v>
          </cell>
          <cell r="H242" t="str">
            <v>+49 (0) 89 72610 3930</v>
          </cell>
          <cell r="I242" t="str">
            <v>+49 (0) 89 72610 3945</v>
          </cell>
          <cell r="J242" t="str">
            <v>http://www.gll-partners.com</v>
          </cell>
          <cell r="K242" t="str">
            <v>Kornelia.Kampmeier</v>
          </cell>
          <cell r="L242" t="str">
            <v>Kornelia.Kampmeier@gll-partners.com</v>
          </cell>
          <cell r="M242" t="str">
            <v>+49 (0) 89 72610 3938</v>
          </cell>
          <cell r="N242" t="str">
            <v>Kornelia Kampmeier</v>
          </cell>
          <cell r="O242" t="str">
            <v>Kornelia.Kampmeier@gll-partners.com</v>
          </cell>
          <cell r="P242" t="str">
            <v>+49 (0) 89 72610 3938</v>
          </cell>
          <cell r="Q242" t="str">
            <v>Luxembourg</v>
          </cell>
          <cell r="R242" t="str">
            <v>EUR</v>
          </cell>
          <cell r="S242" t="str">
            <v>IFRS</v>
          </cell>
          <cell r="T242" t="str">
            <v>Quarterly</v>
          </cell>
          <cell r="U242" t="str">
            <v>Annually</v>
          </cell>
          <cell r="W242" t="str">
            <v>IFRS NAV</v>
          </cell>
          <cell r="X242" t="str">
            <v>Ernst &amp; Young</v>
          </cell>
          <cell r="Y242" t="str">
            <v>FCP</v>
          </cell>
          <cell r="Z242" t="str">
            <v>Yes</v>
          </cell>
          <cell r="AA242" t="str">
            <v>Yes</v>
          </cell>
          <cell r="AB242">
            <v>0</v>
          </cell>
          <cell r="AC242" t="str">
            <v>Non-Listed Fund</v>
          </cell>
          <cell r="AD242" t="str">
            <v>Core</v>
          </cell>
          <cell r="AE242" t="str">
            <v>infinite</v>
          </cell>
          <cell r="AF242" t="str">
            <v>Open end</v>
          </cell>
          <cell r="AG242">
            <v>10</v>
          </cell>
          <cell r="AH242">
            <v>10</v>
          </cell>
          <cell r="AI242" t="str">
            <v>Net</v>
          </cell>
          <cell r="AJ242" t="str">
            <v>none</v>
          </cell>
          <cell r="AK242">
            <v>6</v>
          </cell>
          <cell r="AL242">
            <v>50</v>
          </cell>
          <cell r="AM242" t="str">
            <v>&gt; 40% - ≤ 60%</v>
          </cell>
          <cell r="AN242" t="str">
            <v>Institutional</v>
          </cell>
          <cell r="AO242" t="str">
            <v>&gt; 2</v>
          </cell>
          <cell r="AP242" t="str">
            <v>≥ 50%</v>
          </cell>
          <cell r="AQ242" t="str">
            <v>Europe</v>
          </cell>
          <cell r="AR242" t="str">
            <v>multi country</v>
          </cell>
          <cell r="AS242" t="str">
            <v>Europe</v>
          </cell>
          <cell r="AU242" t="str">
            <v>multi sector</v>
          </cell>
          <cell r="AW242">
            <v>400000000</v>
          </cell>
          <cell r="AX242">
            <v>800000000</v>
          </cell>
          <cell r="AY242">
            <v>2014</v>
          </cell>
          <cell r="AZ242">
            <v>2021</v>
          </cell>
          <cell r="BA242" t="str">
            <v>Yes</v>
          </cell>
          <cell r="BB242" t="str">
            <v>Yes</v>
          </cell>
          <cell r="BD242" t="str">
            <v>No</v>
          </cell>
          <cell r="BH242" t="str">
            <v>2018-12-31</v>
          </cell>
          <cell r="BI242">
            <v>363729768</v>
          </cell>
          <cell r="BJ242">
            <v>363729768</v>
          </cell>
          <cell r="BK242">
            <v>196148725</v>
          </cell>
          <cell r="BL242">
            <v>196148725</v>
          </cell>
          <cell r="BM242">
            <v>34</v>
          </cell>
          <cell r="BN242" t="str">
            <v>No</v>
          </cell>
          <cell r="BO242" t="str">
            <v>External</v>
          </cell>
          <cell r="BP242">
            <v>17</v>
          </cell>
          <cell r="BQ242">
            <v>6</v>
          </cell>
          <cell r="BR242">
            <v>224000000</v>
          </cell>
          <cell r="BS242">
            <v>224000000</v>
          </cell>
          <cell r="BT242">
            <v>152900000</v>
          </cell>
          <cell r="BU242">
            <v>152900000</v>
          </cell>
          <cell r="BW242" t="str">
            <v>Germany</v>
          </cell>
          <cell r="BX242" t="str">
            <v>Office</v>
          </cell>
          <cell r="BY242">
            <v>23</v>
          </cell>
          <cell r="BZ242" t="str">
            <v>Poland</v>
          </cell>
          <cell r="CA242" t="str">
            <v>Office</v>
          </cell>
          <cell r="CB242">
            <v>31</v>
          </cell>
          <cell r="CC242" t="str">
            <v>Romania</v>
          </cell>
          <cell r="CD242" t="str">
            <v>Office</v>
          </cell>
          <cell r="CE242">
            <v>9</v>
          </cell>
          <cell r="CF242" t="str">
            <v>United Kingdom</v>
          </cell>
          <cell r="CG242" t="str">
            <v>Office</v>
          </cell>
          <cell r="CH242">
            <v>36</v>
          </cell>
        </row>
        <row r="243">
          <cell r="A243">
            <v>17698</v>
          </cell>
          <cell r="B243" t="str">
            <v>GLL RETAIL CENTER I FCP-SIF</v>
          </cell>
          <cell r="C243" t="str">
            <v>GLL REAL ESTATE PARTNERS</v>
          </cell>
          <cell r="D243" t="str">
            <v>Lindwurmstrasse 76</v>
          </cell>
          <cell r="E243">
            <v>80337</v>
          </cell>
          <cell r="F243" t="str">
            <v>München</v>
          </cell>
          <cell r="G243" t="str">
            <v>Germany</v>
          </cell>
          <cell r="H243" t="str">
            <v>+49 (0) 89 72610 3930</v>
          </cell>
          <cell r="I243" t="str">
            <v>+49 (0) 89 72610 3945</v>
          </cell>
          <cell r="J243" t="str">
            <v>http://www.gll-partners.com</v>
          </cell>
          <cell r="N243" t="str">
            <v>Antje Schmidt</v>
          </cell>
          <cell r="O243" t="str">
            <v>antje.schmidt@gll-partners.com</v>
          </cell>
          <cell r="P243" t="str">
            <v>+49 (0) 89 72610 3958</v>
          </cell>
          <cell r="Q243" t="str">
            <v>Luxembourg</v>
          </cell>
          <cell r="R243" t="str">
            <v>EUR</v>
          </cell>
          <cell r="S243" t="str">
            <v>IFRS</v>
          </cell>
          <cell r="T243" t="str">
            <v>Quarterly</v>
          </cell>
          <cell r="U243" t="str">
            <v>Annually</v>
          </cell>
          <cell r="V243" t="str">
            <v>Ertragswertverfahren</v>
          </cell>
          <cell r="W243" t="str">
            <v>Prospect</v>
          </cell>
          <cell r="X243" t="str">
            <v>Deloitte</v>
          </cell>
          <cell r="Y243" t="str">
            <v>FCP</v>
          </cell>
          <cell r="Z243" t="str">
            <v>No</v>
          </cell>
          <cell r="AA243" t="str">
            <v>No</v>
          </cell>
          <cell r="AB243">
            <v>0</v>
          </cell>
          <cell r="AC243" t="str">
            <v>Separate account</v>
          </cell>
          <cell r="AD243" t="str">
            <v>Core</v>
          </cell>
          <cell r="AE243" t="str">
            <v>finite</v>
          </cell>
          <cell r="AF243" t="str">
            <v>Open end</v>
          </cell>
          <cell r="AG243">
            <v>10</v>
          </cell>
          <cell r="AH243">
            <v>10</v>
          </cell>
          <cell r="AI243" t="str">
            <v>Net</v>
          </cell>
          <cell r="AJ243" t="str">
            <v>IRR</v>
          </cell>
          <cell r="AK243">
            <v>8</v>
          </cell>
          <cell r="AL243">
            <v>50</v>
          </cell>
          <cell r="AM243" t="str">
            <v>&gt; 40%</v>
          </cell>
          <cell r="AN243" t="str">
            <v>Institutional</v>
          </cell>
          <cell r="AO243" t="str">
            <v>≤ 2</v>
          </cell>
          <cell r="AP243" t="str">
            <v>≥ 50%</v>
          </cell>
          <cell r="AQ243" t="str">
            <v>Europe</v>
          </cell>
          <cell r="AR243" t="str">
            <v>single country</v>
          </cell>
          <cell r="AT243" t="str">
            <v>Germany</v>
          </cell>
          <cell r="AU243" t="str">
            <v>single sector</v>
          </cell>
          <cell r="AV243" t="str">
            <v>Retail</v>
          </cell>
          <cell r="AW243">
            <v>45000000</v>
          </cell>
          <cell r="AX243">
            <v>84000000</v>
          </cell>
          <cell r="AY243">
            <v>2014</v>
          </cell>
          <cell r="AZ243">
            <v>2018</v>
          </cell>
          <cell r="BA243" t="str">
            <v>No</v>
          </cell>
          <cell r="BB243" t="str">
            <v>No</v>
          </cell>
          <cell r="BD243" t="str">
            <v>No</v>
          </cell>
          <cell r="BF243" t="str">
            <v>≤ 15%</v>
          </cell>
          <cell r="BG243" t="str">
            <v>≤ 5%</v>
          </cell>
          <cell r="BH243" t="str">
            <v>2017-12-31</v>
          </cell>
          <cell r="BI243">
            <v>82420473.079999998</v>
          </cell>
          <cell r="BJ243">
            <v>82420473.079999998</v>
          </cell>
          <cell r="BK243">
            <v>42858646</v>
          </cell>
          <cell r="BL243">
            <v>42858646</v>
          </cell>
          <cell r="BM243">
            <v>48</v>
          </cell>
          <cell r="BN243" t="str">
            <v>No</v>
          </cell>
          <cell r="BO243" t="str">
            <v>External</v>
          </cell>
          <cell r="BP243">
            <v>2</v>
          </cell>
          <cell r="BQ243">
            <v>8</v>
          </cell>
          <cell r="BR243">
            <v>45000000</v>
          </cell>
          <cell r="BS243">
            <v>45000000</v>
          </cell>
          <cell r="BT243">
            <v>44066737.469999999</v>
          </cell>
          <cell r="BU243">
            <v>44066737.469999999</v>
          </cell>
          <cell r="BW243" t="str">
            <v>Germany</v>
          </cell>
          <cell r="BX243" t="str">
            <v>Retail</v>
          </cell>
          <cell r="BY243">
            <v>100</v>
          </cell>
        </row>
        <row r="244">
          <cell r="A244">
            <v>202</v>
          </cell>
          <cell r="B244" t="str">
            <v>GLOBAL FUND I</v>
          </cell>
          <cell r="C244" t="str">
            <v>MGPA</v>
          </cell>
          <cell r="D244" t="str">
            <v>60 Sloane Avenue</v>
          </cell>
          <cell r="E244" t="str">
            <v>SW3 3XB</v>
          </cell>
          <cell r="F244" t="str">
            <v>London</v>
          </cell>
          <cell r="G244" t="str">
            <v>United Kingdom</v>
          </cell>
          <cell r="H244" t="str">
            <v>+44 (0) 20 7591 6630</v>
          </cell>
          <cell r="I244" t="str">
            <v>+44 (0) 20 7052 0022</v>
          </cell>
          <cell r="J244" t="str">
            <v>http://www.mgpa.com</v>
          </cell>
          <cell r="K244" t="str">
            <v>Victoria Walters</v>
          </cell>
          <cell r="L244" t="str">
            <v>victoria.walters@mgpa.com</v>
          </cell>
          <cell r="M244" t="str">
            <v>+44 (0) 20 7591 5469</v>
          </cell>
          <cell r="N244" t="str">
            <v>Andrew Wood</v>
          </cell>
          <cell r="O244" t="str">
            <v>andrew.wood@mgpa.com</v>
          </cell>
          <cell r="P244" t="str">
            <v>+44 (0) 20 7591 6630</v>
          </cell>
          <cell r="Q244" t="str">
            <v>Luxembourg</v>
          </cell>
          <cell r="R244" t="str">
            <v>USD</v>
          </cell>
          <cell r="S244" t="str">
            <v>Local GAAP</v>
          </cell>
          <cell r="T244" t="str">
            <v>Quarterly</v>
          </cell>
          <cell r="U244" t="str">
            <v>Annually</v>
          </cell>
          <cell r="X244" t="str">
            <v>PriceWaterhouseCoopers</v>
          </cell>
          <cell r="Y244" t="str">
            <v>SICAF</v>
          </cell>
          <cell r="Z244" t="str">
            <v>No</v>
          </cell>
          <cell r="AA244" t="str">
            <v>Yes</v>
          </cell>
          <cell r="AB244">
            <v>0</v>
          </cell>
          <cell r="AC244" t="str">
            <v>Non-Listed Fund</v>
          </cell>
          <cell r="AD244" t="str">
            <v>Opportunity</v>
          </cell>
          <cell r="AE244" t="str">
            <v>finite</v>
          </cell>
          <cell r="AF244" t="str">
            <v>Closed end</v>
          </cell>
          <cell r="AG244">
            <v>20</v>
          </cell>
          <cell r="AH244">
            <v>20</v>
          </cell>
          <cell r="AI244" t="str">
            <v>Net</v>
          </cell>
          <cell r="AJ244" t="str">
            <v>absolute return</v>
          </cell>
          <cell r="AL244">
            <v>75</v>
          </cell>
          <cell r="AM244" t="str">
            <v>&gt; 60%</v>
          </cell>
          <cell r="AN244" t="str">
            <v>Institutional</v>
          </cell>
          <cell r="AP244" t="str">
            <v>≥ 50%</v>
          </cell>
          <cell r="AQ244" t="str">
            <v>Global</v>
          </cell>
          <cell r="AR244" t="str">
            <v>multi country</v>
          </cell>
          <cell r="AU244" t="str">
            <v>multi sector</v>
          </cell>
          <cell r="AW244">
            <v>479400000</v>
          </cell>
          <cell r="AY244">
            <v>1999</v>
          </cell>
          <cell r="AZ244">
            <v>2009</v>
          </cell>
          <cell r="BA244" t="str">
            <v>Yes</v>
          </cell>
          <cell r="BB244" t="str">
            <v>Yes</v>
          </cell>
          <cell r="BC244" t="str">
            <v>6 months</v>
          </cell>
          <cell r="BH244" t="str">
            <v>2012-12-31</v>
          </cell>
          <cell r="BI244">
            <v>8700000</v>
          </cell>
          <cell r="BJ244">
            <v>6583290</v>
          </cell>
          <cell r="BK244">
            <v>8700000</v>
          </cell>
          <cell r="BL244">
            <v>6583290</v>
          </cell>
          <cell r="BM244">
            <v>0</v>
          </cell>
          <cell r="BN244" t="str">
            <v>Yes</v>
          </cell>
          <cell r="BO244" t="str">
            <v>External</v>
          </cell>
          <cell r="BP244">
            <v>15</v>
          </cell>
          <cell r="BQ244">
            <v>0</v>
          </cell>
          <cell r="BR244">
            <v>528800000</v>
          </cell>
          <cell r="BS244">
            <v>411353520</v>
          </cell>
          <cell r="BT244">
            <v>528800000</v>
          </cell>
          <cell r="BU244">
            <v>411353520</v>
          </cell>
          <cell r="BV244" t="str">
            <v>No</v>
          </cell>
        </row>
        <row r="245">
          <cell r="A245">
            <v>19653</v>
          </cell>
          <cell r="B245" t="str">
            <v>GLP EUROPE INCOME PARTNERS II</v>
          </cell>
          <cell r="C245" t="str">
            <v>GLP EUROPE MANAGEMENT S.à R.L.</v>
          </cell>
          <cell r="D245" t="str">
            <v>1B, Heienhaff</v>
          </cell>
          <cell r="E245" t="str">
            <v>L - 1736</v>
          </cell>
          <cell r="F245" t="str">
            <v>Luxembourg</v>
          </cell>
          <cell r="G245" t="str">
            <v>Luxembourg</v>
          </cell>
          <cell r="K245" t="str">
            <v>GLP</v>
          </cell>
          <cell r="N245" t="str">
            <v>Sylvia Slaughter</v>
          </cell>
          <cell r="O245" t="str">
            <v>sylvia.slaughter@glp.com</v>
          </cell>
          <cell r="P245" t="str">
            <v>+31615474629</v>
          </cell>
          <cell r="Q245" t="str">
            <v>Luxembourg</v>
          </cell>
          <cell r="R245" t="str">
            <v>EUR</v>
          </cell>
          <cell r="S245" t="str">
            <v>IFRS</v>
          </cell>
          <cell r="T245" t="str">
            <v>Quarterly</v>
          </cell>
          <cell r="U245" t="str">
            <v>Annually</v>
          </cell>
          <cell r="V245" t="str">
            <v>RICS</v>
          </cell>
          <cell r="W245" t="str">
            <v>IFRS NAV</v>
          </cell>
          <cell r="Y245" t="str">
            <v>SCSp</v>
          </cell>
          <cell r="Z245" t="str">
            <v>No</v>
          </cell>
          <cell r="AB245">
            <v>0</v>
          </cell>
          <cell r="AC245" t="str">
            <v>Non-Listed Fund</v>
          </cell>
          <cell r="AD245" t="str">
            <v>Core</v>
          </cell>
          <cell r="AE245" t="str">
            <v>finite</v>
          </cell>
          <cell r="AF245" t="str">
            <v>Closed end</v>
          </cell>
          <cell r="AM245" t="str">
            <v>&gt; 40% - ≤ 60%</v>
          </cell>
          <cell r="AN245" t="str">
            <v>Institutional</v>
          </cell>
          <cell r="AO245" t="str">
            <v>&gt; 2</v>
          </cell>
          <cell r="AP245" t="str">
            <v>≥ 50%</v>
          </cell>
          <cell r="AQ245" t="str">
            <v>Europe</v>
          </cell>
          <cell r="AR245" t="str">
            <v>multi country</v>
          </cell>
          <cell r="AS245" t="str">
            <v>Europe</v>
          </cell>
          <cell r="AU245" t="str">
            <v>single sector</v>
          </cell>
          <cell r="AV245" t="str">
            <v>Industrial / Logistics</v>
          </cell>
          <cell r="AY245">
            <v>2020</v>
          </cell>
          <cell r="AZ245">
            <v>2030</v>
          </cell>
          <cell r="BA245" t="str">
            <v>Yes</v>
          </cell>
          <cell r="BB245" t="str">
            <v>Yes</v>
          </cell>
          <cell r="BC245" t="str">
            <v>1+1 years</v>
          </cell>
          <cell r="BD245" t="str">
            <v>No</v>
          </cell>
          <cell r="BE245" t="str">
            <v>≥ 60%</v>
          </cell>
          <cell r="BF245" t="str">
            <v>≤ 15%</v>
          </cell>
          <cell r="BG245" t="str">
            <v>≤ 5%</v>
          </cell>
        </row>
        <row r="246">
          <cell r="A246">
            <v>18629</v>
          </cell>
          <cell r="B246" t="str">
            <v>GNRE CORE PLUS, FCP-RAIF</v>
          </cell>
          <cell r="C246" t="str">
            <v>GENESTA NORDIC PROPERTY</v>
          </cell>
          <cell r="D246" t="str">
            <v>Jakobsbergsgatan 16</v>
          </cell>
          <cell r="E246">
            <v>11144</v>
          </cell>
          <cell r="F246" t="str">
            <v>Stockholm</v>
          </cell>
          <cell r="G246" t="str">
            <v>Sweden</v>
          </cell>
          <cell r="K246" t="str">
            <v>Allan.Strand Olesen</v>
          </cell>
          <cell r="L246" t="str">
            <v>Allan.Strand-Olesen@genesta.dk</v>
          </cell>
          <cell r="N246" t="str">
            <v>Philip Björk</v>
          </cell>
          <cell r="O246" t="str">
            <v>philip.bjork@genesta.se</v>
          </cell>
          <cell r="P246" t="str">
            <v>+46701440786</v>
          </cell>
          <cell r="Q246" t="str">
            <v>Luxembourg</v>
          </cell>
          <cell r="R246" t="str">
            <v>EUR</v>
          </cell>
          <cell r="S246" t="str">
            <v>IFRS</v>
          </cell>
          <cell r="T246" t="str">
            <v>Quarterly</v>
          </cell>
          <cell r="U246" t="str">
            <v>Quarterly</v>
          </cell>
          <cell r="V246" t="str">
            <v>RICS</v>
          </cell>
          <cell r="W246" t="str">
            <v>INREV NAV</v>
          </cell>
          <cell r="X246" t="str">
            <v>EY</v>
          </cell>
          <cell r="Y246" t="str">
            <v>Real Estate Fund</v>
          </cell>
          <cell r="Z246" t="str">
            <v>Yes</v>
          </cell>
          <cell r="AA246" t="str">
            <v>Yes</v>
          </cell>
          <cell r="AB246">
            <v>2</v>
          </cell>
          <cell r="AC246" t="str">
            <v>Non-Listed Fund</v>
          </cell>
          <cell r="AD246" t="str">
            <v>Core</v>
          </cell>
          <cell r="AE246" t="str">
            <v>finite</v>
          </cell>
          <cell r="AF246" t="str">
            <v>Closed end</v>
          </cell>
          <cell r="AG246">
            <v>7</v>
          </cell>
          <cell r="AH246">
            <v>8</v>
          </cell>
          <cell r="AI246" t="str">
            <v>Net</v>
          </cell>
          <cell r="AJ246" t="str">
            <v>N/A</v>
          </cell>
          <cell r="AM246" t="str">
            <v>&gt; 40% - ≤ 60%</v>
          </cell>
          <cell r="AN246" t="str">
            <v>Institutional</v>
          </cell>
          <cell r="AO246" t="str">
            <v>&gt; 2</v>
          </cell>
          <cell r="AP246" t="str">
            <v>≥ 50%</v>
          </cell>
          <cell r="AQ246" t="str">
            <v>Europe</v>
          </cell>
          <cell r="AR246" t="str">
            <v>multi country</v>
          </cell>
          <cell r="AS246" t="str">
            <v>Nordic</v>
          </cell>
          <cell r="AU246" t="str">
            <v>multi sector</v>
          </cell>
          <cell r="AW246">
            <v>79000000</v>
          </cell>
          <cell r="AX246">
            <v>131666666.67</v>
          </cell>
          <cell r="AY246">
            <v>2018</v>
          </cell>
          <cell r="AZ246">
            <v>2028</v>
          </cell>
          <cell r="BA246" t="str">
            <v>Yes</v>
          </cell>
          <cell r="BB246" t="str">
            <v>No</v>
          </cell>
          <cell r="BH246" t="str">
            <v>2020-12-31</v>
          </cell>
          <cell r="BI246">
            <v>112999178</v>
          </cell>
          <cell r="BJ246">
            <v>112999178</v>
          </cell>
          <cell r="BK246">
            <v>64115485</v>
          </cell>
          <cell r="BL246">
            <v>64115485</v>
          </cell>
          <cell r="BM246">
            <v>38.6</v>
          </cell>
          <cell r="BN246" t="str">
            <v>No</v>
          </cell>
          <cell r="BO246" t="str">
            <v>External</v>
          </cell>
          <cell r="BP246">
            <v>4</v>
          </cell>
          <cell r="BQ246">
            <v>2</v>
          </cell>
          <cell r="BR246">
            <v>65333333</v>
          </cell>
          <cell r="BS246">
            <v>65333333</v>
          </cell>
          <cell r="BT246">
            <v>58000000</v>
          </cell>
          <cell r="BU246">
            <v>58000000</v>
          </cell>
          <cell r="BV246" t="str">
            <v>No</v>
          </cell>
          <cell r="BW246" t="str">
            <v>Sweden</v>
          </cell>
          <cell r="BX246" t="str">
            <v>Retail</v>
          </cell>
          <cell r="BY246">
            <v>56.6</v>
          </cell>
          <cell r="BZ246" t="str">
            <v>Sweden</v>
          </cell>
          <cell r="CA246" t="str">
            <v>Office</v>
          </cell>
          <cell r="CB246">
            <v>43.4</v>
          </cell>
        </row>
        <row r="247">
          <cell r="A247">
            <v>206</v>
          </cell>
          <cell r="B247" t="str">
            <v>GOODMAN EUROPEAN LOGISTICS FUND, FCP-FIS</v>
          </cell>
          <cell r="C247" t="str">
            <v>GELF MANAGEMENT (LUX) SARL</v>
          </cell>
          <cell r="D247" t="str">
            <v>28, Boulevard d'Avranches</v>
          </cell>
          <cell r="E247" t="str">
            <v>L-1160</v>
          </cell>
          <cell r="F247" t="str">
            <v>Luxembourg</v>
          </cell>
          <cell r="G247" t="str">
            <v>Luxembourg</v>
          </cell>
          <cell r="H247" t="str">
            <v>+352 26 36 32 20</v>
          </cell>
          <cell r="I247" t="str">
            <v>+352 26 36 32 36</v>
          </cell>
          <cell r="J247" t="str">
            <v>http://www.goodman.com</v>
          </cell>
          <cell r="K247" t="str">
            <v>Thomas De Meester</v>
          </cell>
          <cell r="L247" t="str">
            <v>Thomas.demeester@goodman.com</v>
          </cell>
          <cell r="M247" t="str">
            <v>+32 2 263 40 10</v>
          </cell>
          <cell r="N247" t="str">
            <v>Carl Moerman</v>
          </cell>
          <cell r="O247" t="str">
            <v>carl.moerman@goodman.com</v>
          </cell>
          <cell r="P247" t="str">
            <v>+32 2 263 40 11</v>
          </cell>
          <cell r="Q247" t="str">
            <v>Luxembourg</v>
          </cell>
          <cell r="R247" t="str">
            <v>EUR</v>
          </cell>
          <cell r="S247" t="str">
            <v>IFRS</v>
          </cell>
          <cell r="T247" t="str">
            <v>Quarterly</v>
          </cell>
          <cell r="U247" t="str">
            <v>Annually</v>
          </cell>
          <cell r="V247" t="str">
            <v>RICS</v>
          </cell>
          <cell r="W247" t="str">
            <v>IFRS NAV</v>
          </cell>
          <cell r="X247" t="str">
            <v>PriceWaterhouseCoopers</v>
          </cell>
          <cell r="Y247" t="str">
            <v>FCP</v>
          </cell>
          <cell r="Z247" t="str">
            <v>Yes</v>
          </cell>
          <cell r="AA247" t="str">
            <v>Yes</v>
          </cell>
          <cell r="AB247">
            <v>1</v>
          </cell>
          <cell r="AC247" t="str">
            <v>Non-Listed Fund</v>
          </cell>
          <cell r="AD247" t="str">
            <v>Core</v>
          </cell>
          <cell r="AE247" t="str">
            <v>finite</v>
          </cell>
          <cell r="AF247" t="str">
            <v>Open end</v>
          </cell>
          <cell r="AG247">
            <v>9.5</v>
          </cell>
          <cell r="AH247">
            <v>9.5</v>
          </cell>
          <cell r="AI247" t="str">
            <v>Net</v>
          </cell>
          <cell r="AJ247" t="str">
            <v>10 year Euribor plus 4.5 percent per annum</v>
          </cell>
          <cell r="AK247">
            <v>7.5</v>
          </cell>
          <cell r="AL247">
            <v>35</v>
          </cell>
          <cell r="AM247" t="str">
            <v>&gt; 40% - ≤ 60%</v>
          </cell>
          <cell r="AN247" t="str">
            <v>Institutional</v>
          </cell>
          <cell r="AO247" t="str">
            <v>&gt; 2</v>
          </cell>
          <cell r="AP247" t="str">
            <v>≥ 50%</v>
          </cell>
          <cell r="AQ247" t="str">
            <v>Europe</v>
          </cell>
          <cell r="AR247" t="str">
            <v>multi country</v>
          </cell>
          <cell r="AS247" t="str">
            <v>Europe</v>
          </cell>
          <cell r="AU247" t="str">
            <v>single sector</v>
          </cell>
          <cell r="AV247" t="str">
            <v>Industrial / Logistics</v>
          </cell>
          <cell r="AY247">
            <v>2006</v>
          </cell>
          <cell r="AZ247">
            <v>2026</v>
          </cell>
          <cell r="BA247" t="str">
            <v>Yes</v>
          </cell>
          <cell r="BB247" t="str">
            <v>Yes</v>
          </cell>
          <cell r="BC247" t="str">
            <v>10 years</v>
          </cell>
          <cell r="BD247" t="str">
            <v>No</v>
          </cell>
          <cell r="BH247" t="str">
            <v>2020-12-31</v>
          </cell>
          <cell r="BI247">
            <v>3615406230</v>
          </cell>
          <cell r="BJ247">
            <v>3615406230</v>
          </cell>
          <cell r="BK247">
            <v>2080269885</v>
          </cell>
          <cell r="BL247">
            <v>2080269885</v>
          </cell>
          <cell r="BM247">
            <v>19.82</v>
          </cell>
          <cell r="BN247" t="str">
            <v>Yes</v>
          </cell>
          <cell r="BO247" t="str">
            <v>External</v>
          </cell>
          <cell r="BP247">
            <v>25</v>
          </cell>
          <cell r="BQ247">
            <v>92</v>
          </cell>
          <cell r="BR247">
            <v>276670567</v>
          </cell>
          <cell r="BS247">
            <v>276670567</v>
          </cell>
          <cell r="BT247">
            <v>2136438908</v>
          </cell>
          <cell r="BU247">
            <v>2136438908</v>
          </cell>
          <cell r="BV247" t="str">
            <v>No</v>
          </cell>
          <cell r="BW247" t="str">
            <v>Poland</v>
          </cell>
          <cell r="BX247" t="str">
            <v>Industrial / Logistics</v>
          </cell>
          <cell r="BY247">
            <v>0.74</v>
          </cell>
          <cell r="BZ247" t="str">
            <v>Spain</v>
          </cell>
          <cell r="CA247" t="str">
            <v>Industrial / Logistics</v>
          </cell>
          <cell r="CB247">
            <v>5.87</v>
          </cell>
          <cell r="CC247" t="str">
            <v>Germany</v>
          </cell>
          <cell r="CD247" t="str">
            <v>Industrial / Logistics</v>
          </cell>
          <cell r="CE247">
            <v>38.96</v>
          </cell>
          <cell r="CF247" t="str">
            <v>France</v>
          </cell>
          <cell r="CG247" t="str">
            <v>Industrial / Logistics</v>
          </cell>
          <cell r="CH247">
            <v>25.76</v>
          </cell>
          <cell r="CI247" t="str">
            <v>Netherlands</v>
          </cell>
          <cell r="CJ247" t="str">
            <v>Industrial / Logistics</v>
          </cell>
          <cell r="CK247">
            <v>12.73</v>
          </cell>
          <cell r="CL247" t="str">
            <v>Belgium</v>
          </cell>
          <cell r="CM247" t="str">
            <v>Industrial / Logistics</v>
          </cell>
          <cell r="CN247">
            <v>6.46</v>
          </cell>
        </row>
        <row r="248">
          <cell r="A248">
            <v>611</v>
          </cell>
          <cell r="B248" t="str">
            <v>GROSVENOR EUROPEAN RETAIL PARTNERSHIP</v>
          </cell>
          <cell r="C248" t="str">
            <v>GROSVENOR FUND MANAGEMENT</v>
          </cell>
          <cell r="D248" t="str">
            <v>5th Floor, Boulevard Haussmann</v>
          </cell>
          <cell r="E248">
            <v>75008</v>
          </cell>
          <cell r="F248" t="str">
            <v>Paris</v>
          </cell>
          <cell r="G248" t="str">
            <v>France</v>
          </cell>
          <cell r="H248" t="str">
            <v>+33 (0) 1 44 51 7500</v>
          </cell>
          <cell r="J248" t="str">
            <v>http://www.grosvenor.com</v>
          </cell>
          <cell r="K248" t="str">
            <v>Nick Preston</v>
          </cell>
          <cell r="L248" t="str">
            <v>Nick.Preston@grosvenor.com</v>
          </cell>
          <cell r="M248" t="str">
            <v>+442073126130</v>
          </cell>
          <cell r="N248" t="str">
            <v>Rebecca Madsen</v>
          </cell>
          <cell r="O248" t="str">
            <v>Rebecca.Madsen@grosvenor.com</v>
          </cell>
          <cell r="P248" t="str">
            <v>+44 (0) 207312 6345</v>
          </cell>
          <cell r="Q248" t="str">
            <v>Luxembourg</v>
          </cell>
          <cell r="R248" t="str">
            <v>EUR</v>
          </cell>
          <cell r="S248" t="str">
            <v>IFRS</v>
          </cell>
          <cell r="T248" t="str">
            <v>Quarterly</v>
          </cell>
          <cell r="U248" t="str">
            <v>Quarterly</v>
          </cell>
          <cell r="V248" t="str">
            <v>RICS</v>
          </cell>
          <cell r="W248" t="str">
            <v>INREV NAV</v>
          </cell>
          <cell r="Y248" t="str">
            <v>Real Estate Fund</v>
          </cell>
          <cell r="Z248" t="str">
            <v>Yes</v>
          </cell>
          <cell r="AB248">
            <v>0</v>
          </cell>
          <cell r="AC248" t="str">
            <v>Non-Listed Fund</v>
          </cell>
          <cell r="AD248" t="str">
            <v>Core</v>
          </cell>
          <cell r="AE248" t="str">
            <v>finite</v>
          </cell>
          <cell r="AF248" t="str">
            <v>Closed end</v>
          </cell>
          <cell r="AN248" t="str">
            <v>Institutional</v>
          </cell>
          <cell r="AO248" t="str">
            <v>&gt; 2</v>
          </cell>
          <cell r="AP248" t="str">
            <v>≥ 50%</v>
          </cell>
          <cell r="AQ248" t="str">
            <v>Europe</v>
          </cell>
          <cell r="AR248" t="str">
            <v>multi country</v>
          </cell>
          <cell r="AS248" t="str">
            <v>Western Europe</v>
          </cell>
          <cell r="AU248" t="str">
            <v>single sector</v>
          </cell>
          <cell r="AV248" t="str">
            <v>Retail</v>
          </cell>
          <cell r="AX248">
            <v>415000000</v>
          </cell>
          <cell r="AY248">
            <v>2011</v>
          </cell>
          <cell r="BH248" t="str">
            <v>2020-12-31</v>
          </cell>
          <cell r="BI248">
            <v>121000000</v>
          </cell>
          <cell r="BJ248">
            <v>121000000</v>
          </cell>
          <cell r="BK248">
            <v>52674000</v>
          </cell>
          <cell r="BL248">
            <v>52674000</v>
          </cell>
          <cell r="BM248">
            <v>67</v>
          </cell>
          <cell r="BN248" t="str">
            <v>Yes</v>
          </cell>
          <cell r="BO248" t="str">
            <v>External</v>
          </cell>
          <cell r="BP248">
            <v>2</v>
          </cell>
          <cell r="BQ248">
            <v>3</v>
          </cell>
          <cell r="BR248">
            <v>260080000</v>
          </cell>
          <cell r="BS248">
            <v>260080000</v>
          </cell>
          <cell r="BT248">
            <v>260080000</v>
          </cell>
          <cell r="BU248">
            <v>260080000</v>
          </cell>
          <cell r="BV248" t="str">
            <v>No</v>
          </cell>
          <cell r="BW248" t="str">
            <v>Sweden</v>
          </cell>
          <cell r="BX248" t="str">
            <v>Retail</v>
          </cell>
          <cell r="BY248">
            <v>100</v>
          </cell>
        </row>
        <row r="249">
          <cell r="A249">
            <v>212</v>
          </cell>
          <cell r="B249" t="str">
            <v>GROSVENOR FRENCH RETAIL INVESTMENTS</v>
          </cell>
          <cell r="C249" t="str">
            <v>GROSVENOR FUND MANAGEMENT</v>
          </cell>
          <cell r="D249" t="str">
            <v>69 Bld Haussmann</v>
          </cell>
          <cell r="E249">
            <v>75008</v>
          </cell>
          <cell r="F249" t="str">
            <v>Paris</v>
          </cell>
          <cell r="G249" t="str">
            <v>France</v>
          </cell>
          <cell r="H249" t="str">
            <v>+33 (0) 1 44 51 75 00</v>
          </cell>
          <cell r="I249" t="str">
            <v>+33 (0) 1 44 51 75 01</v>
          </cell>
          <cell r="J249" t="str">
            <v>http://www.grosvenor.com</v>
          </cell>
          <cell r="K249" t="str">
            <v>Sara Lucas</v>
          </cell>
          <cell r="L249" t="str">
            <v>sara.lucas@grosvenor.com</v>
          </cell>
          <cell r="M249" t="str">
            <v xml:space="preserve">+33 (0)1 44 51 75 25 </v>
          </cell>
          <cell r="N249" t="str">
            <v>Rebecca Madsen</v>
          </cell>
          <cell r="O249" t="str">
            <v>rebecca.Madsen@grosvenor.com</v>
          </cell>
          <cell r="P249" t="str">
            <v>+44 (0) 207312 6345</v>
          </cell>
          <cell r="Q249" t="str">
            <v>Luxembourg</v>
          </cell>
          <cell r="R249" t="str">
            <v>EUR</v>
          </cell>
          <cell r="S249" t="str">
            <v>IFRS</v>
          </cell>
          <cell r="T249" t="str">
            <v>Quarterly</v>
          </cell>
          <cell r="U249" t="str">
            <v>Annually</v>
          </cell>
          <cell r="V249" t="str">
            <v>RICS</v>
          </cell>
          <cell r="W249" t="str">
            <v>INREV NAV</v>
          </cell>
          <cell r="X249" t="str">
            <v>Deloitte &amp; Touche</v>
          </cell>
          <cell r="Y249" t="str">
            <v>SA</v>
          </cell>
          <cell r="Z249" t="str">
            <v>Yes</v>
          </cell>
          <cell r="AA249" t="str">
            <v>Yes</v>
          </cell>
          <cell r="AB249">
            <v>0</v>
          </cell>
          <cell r="AC249" t="str">
            <v>Non-Listed Fund</v>
          </cell>
          <cell r="AD249" t="str">
            <v>Core</v>
          </cell>
          <cell r="AE249" t="str">
            <v>finite</v>
          </cell>
          <cell r="AF249" t="str">
            <v>Closed end</v>
          </cell>
          <cell r="AJ249" t="str">
            <v>None</v>
          </cell>
          <cell r="AN249" t="str">
            <v>Institutional</v>
          </cell>
          <cell r="AO249" t="str">
            <v>&gt; 2</v>
          </cell>
          <cell r="AP249" t="str">
            <v>≥ 50%</v>
          </cell>
          <cell r="AQ249" t="str">
            <v>Europe</v>
          </cell>
          <cell r="AR249" t="str">
            <v>single country</v>
          </cell>
          <cell r="AT249" t="str">
            <v>France</v>
          </cell>
          <cell r="AU249" t="str">
            <v>single sector</v>
          </cell>
          <cell r="AV249" t="str">
            <v>Retail</v>
          </cell>
          <cell r="AY249">
            <v>2006</v>
          </cell>
          <cell r="BH249" t="str">
            <v>2020-12-31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 t="str">
            <v>No</v>
          </cell>
          <cell r="BO249" t="str">
            <v>Internal</v>
          </cell>
          <cell r="BP249">
            <v>11</v>
          </cell>
          <cell r="BQ249">
            <v>0</v>
          </cell>
          <cell r="BR249">
            <v>356764000</v>
          </cell>
          <cell r="BS249">
            <v>356764000</v>
          </cell>
          <cell r="BT249">
            <v>234243000</v>
          </cell>
          <cell r="BU249">
            <v>234243000</v>
          </cell>
          <cell r="BV249" t="str">
            <v>No</v>
          </cell>
          <cell r="BW249" t="str">
            <v>France</v>
          </cell>
          <cell r="BX249" t="str">
            <v>Retail</v>
          </cell>
          <cell r="BY249">
            <v>100</v>
          </cell>
        </row>
        <row r="250">
          <cell r="A250">
            <v>214</v>
          </cell>
          <cell r="B250" t="str">
            <v>GROSVENOR LIVERPOOL FUND</v>
          </cell>
          <cell r="C250" t="str">
            <v>GROSVENOR INVESTMENT MANAGEMENT LIMITED</v>
          </cell>
          <cell r="D250" t="str">
            <v>70 Grosvenor Street</v>
          </cell>
          <cell r="E250" t="str">
            <v>W1K 3JP</v>
          </cell>
          <cell r="F250" t="str">
            <v>London</v>
          </cell>
          <cell r="G250" t="str">
            <v>United Kingdom</v>
          </cell>
          <cell r="H250" t="str">
            <v>+44 (0) 20 7408 0988</v>
          </cell>
          <cell r="I250" t="str">
            <v>+44 (0) 20 7629 6260</v>
          </cell>
          <cell r="J250" t="str">
            <v>http://www.grosvenor.com</v>
          </cell>
          <cell r="K250" t="str">
            <v>Miles Dunnett</v>
          </cell>
          <cell r="L250" t="str">
            <v>Miles.Dunnett@grosvenor.com</v>
          </cell>
          <cell r="M250" t="str">
            <v>+44 (0) 20 7312 6291</v>
          </cell>
          <cell r="N250" t="str">
            <v>Rebecca Madsen</v>
          </cell>
          <cell r="O250" t="str">
            <v>Rebecca.Madsen@grosvenor.com</v>
          </cell>
          <cell r="P250" t="str">
            <v>+44 (0) 207312 6345</v>
          </cell>
          <cell r="Q250" t="str">
            <v>United Kingdom</v>
          </cell>
          <cell r="R250" t="str">
            <v>GBP</v>
          </cell>
          <cell r="S250" t="str">
            <v>Local GAAP</v>
          </cell>
          <cell r="T250" t="str">
            <v>Quarterly</v>
          </cell>
          <cell r="U250" t="str">
            <v>Quarterly</v>
          </cell>
          <cell r="V250" t="str">
            <v>RICS</v>
          </cell>
          <cell r="W250" t="str">
            <v>IFRS NAV</v>
          </cell>
          <cell r="X250" t="str">
            <v>Grosvenor Investment Management Limited</v>
          </cell>
          <cell r="Y250" t="str">
            <v>Limited Partnership</v>
          </cell>
          <cell r="Z250" t="str">
            <v>No</v>
          </cell>
          <cell r="AA250" t="str">
            <v>No</v>
          </cell>
          <cell r="AB250">
            <v>0</v>
          </cell>
          <cell r="AC250" t="str">
            <v>Non-Listed Fund</v>
          </cell>
          <cell r="AD250" t="str">
            <v>Core</v>
          </cell>
          <cell r="AE250" t="str">
            <v>finite</v>
          </cell>
          <cell r="AF250" t="str">
            <v>Closed end</v>
          </cell>
          <cell r="AJ250" t="str">
            <v>Bespoke IPD Benchmark</v>
          </cell>
          <cell r="AN250" t="str">
            <v>Institutional</v>
          </cell>
          <cell r="AO250" t="str">
            <v>&gt; 2</v>
          </cell>
          <cell r="AP250" t="str">
            <v>≥ 50%</v>
          </cell>
          <cell r="AQ250" t="str">
            <v>Europe</v>
          </cell>
          <cell r="AR250" t="str">
            <v>single country</v>
          </cell>
          <cell r="AT250" t="str">
            <v>United Kingdom</v>
          </cell>
          <cell r="AU250" t="str">
            <v>single sector</v>
          </cell>
          <cell r="AV250" t="str">
            <v>Retail</v>
          </cell>
          <cell r="AY250">
            <v>2008</v>
          </cell>
          <cell r="AZ250">
            <v>2038</v>
          </cell>
          <cell r="BA250" t="str">
            <v>Yes</v>
          </cell>
          <cell r="BB250" t="str">
            <v>Yes</v>
          </cell>
          <cell r="BC250" t="str">
            <v>25 years</v>
          </cell>
          <cell r="BH250" t="str">
            <v>2020-12-31</v>
          </cell>
          <cell r="BI250">
            <v>601843000</v>
          </cell>
          <cell r="BJ250">
            <v>665366983.98208499</v>
          </cell>
          <cell r="BK250">
            <v>204745000</v>
          </cell>
          <cell r="BL250">
            <v>226355649.45577499</v>
          </cell>
          <cell r="BM250">
            <v>66.5</v>
          </cell>
          <cell r="BN250" t="str">
            <v>Yes</v>
          </cell>
          <cell r="BO250" t="str">
            <v>External</v>
          </cell>
          <cell r="BP250">
            <v>5</v>
          </cell>
          <cell r="BQ250">
            <v>1</v>
          </cell>
          <cell r="BR250">
            <v>386926000</v>
          </cell>
          <cell r="BS250">
            <v>424827149.48343462</v>
          </cell>
          <cell r="BT250">
            <v>386926000</v>
          </cell>
          <cell r="BU250">
            <v>424827149.48343462</v>
          </cell>
          <cell r="BV250" t="str">
            <v>No</v>
          </cell>
          <cell r="BW250" t="str">
            <v>United Kingdom</v>
          </cell>
          <cell r="BX250" t="str">
            <v>Retail</v>
          </cell>
          <cell r="BY250">
            <v>100</v>
          </cell>
        </row>
        <row r="251">
          <cell r="A251">
            <v>215</v>
          </cell>
          <cell r="B251" t="str">
            <v>GROSVENOR LONDON OFFICE FUND</v>
          </cell>
          <cell r="C251" t="str">
            <v>GROSVENOR INVESTMENT MANAGEMENT LIMITED</v>
          </cell>
          <cell r="D251" t="str">
            <v>70 Grosvenor Street</v>
          </cell>
          <cell r="E251" t="str">
            <v>W1K 3JP</v>
          </cell>
          <cell r="F251" t="str">
            <v>London</v>
          </cell>
          <cell r="G251" t="str">
            <v>United Kingdom</v>
          </cell>
          <cell r="H251" t="str">
            <v>+44 (0) 20 7408 0988</v>
          </cell>
          <cell r="I251" t="str">
            <v>+44 (0) 20 7629 6260</v>
          </cell>
          <cell r="J251" t="str">
            <v>http://www.grosvenor.com</v>
          </cell>
          <cell r="K251" t="str">
            <v>Scott Rowland</v>
          </cell>
          <cell r="L251" t="str">
            <v>scott.rowland@grosvenor.com</v>
          </cell>
          <cell r="M251" t="str">
            <v>+44 (0) 20 7312 6117</v>
          </cell>
          <cell r="N251" t="str">
            <v>Scott Rowland</v>
          </cell>
          <cell r="O251" t="str">
            <v>scott.rowland@grosvenor.com</v>
          </cell>
          <cell r="P251" t="str">
            <v>+44 (0) 20 7629 6260</v>
          </cell>
          <cell r="Q251" t="str">
            <v>United Kingdom</v>
          </cell>
          <cell r="R251" t="str">
            <v>GBP</v>
          </cell>
          <cell r="S251" t="str">
            <v>Local GAAP</v>
          </cell>
          <cell r="T251" t="str">
            <v>Quarterly</v>
          </cell>
          <cell r="U251" t="str">
            <v>Quarterly</v>
          </cell>
          <cell r="V251" t="str">
            <v>RICS</v>
          </cell>
          <cell r="W251" t="str">
            <v>IFRS NAV</v>
          </cell>
          <cell r="X251" t="str">
            <v>Grosvenor Investment Management Limited</v>
          </cell>
          <cell r="Y251" t="str">
            <v>Limited Partnership</v>
          </cell>
          <cell r="Z251" t="str">
            <v>No</v>
          </cell>
          <cell r="AA251" t="str">
            <v>No</v>
          </cell>
          <cell r="AB251">
            <v>0</v>
          </cell>
          <cell r="AC251" t="str">
            <v>Non-Listed Fund</v>
          </cell>
          <cell r="AD251" t="str">
            <v>Core</v>
          </cell>
          <cell r="AE251" t="str">
            <v>finite</v>
          </cell>
          <cell r="AF251" t="str">
            <v>Closed end</v>
          </cell>
          <cell r="AJ251" t="str">
            <v>Bespoke IPD Benchmark</v>
          </cell>
          <cell r="AN251" t="str">
            <v>Institutional</v>
          </cell>
          <cell r="AO251" t="str">
            <v>&gt; 2</v>
          </cell>
          <cell r="AP251" t="str">
            <v>≥ 50%</v>
          </cell>
          <cell r="AQ251" t="str">
            <v>Europe</v>
          </cell>
          <cell r="AR251" t="str">
            <v>single country</v>
          </cell>
          <cell r="AT251" t="str">
            <v>United Kingdom</v>
          </cell>
          <cell r="AU251" t="str">
            <v>single sector</v>
          </cell>
          <cell r="AV251" t="str">
            <v>Office</v>
          </cell>
          <cell r="AY251">
            <v>1999</v>
          </cell>
          <cell r="AZ251">
            <v>2022</v>
          </cell>
          <cell r="BA251" t="str">
            <v>No</v>
          </cell>
          <cell r="BB251" t="str">
            <v>No</v>
          </cell>
          <cell r="BH251" t="str">
            <v>2020-12-31</v>
          </cell>
          <cell r="BI251">
            <v>146573000</v>
          </cell>
          <cell r="BJ251">
            <v>162043647.50143501</v>
          </cell>
          <cell r="BK251">
            <v>141404000</v>
          </cell>
          <cell r="BL251">
            <v>156329064.22938001</v>
          </cell>
          <cell r="BM251">
            <v>0</v>
          </cell>
          <cell r="BN251" t="str">
            <v>Yes</v>
          </cell>
          <cell r="BO251" t="str">
            <v>External</v>
          </cell>
          <cell r="BP251">
            <v>5</v>
          </cell>
          <cell r="BQ251">
            <v>1</v>
          </cell>
          <cell r="BR251">
            <v>0</v>
          </cell>
          <cell r="BS251">
            <v>0</v>
          </cell>
          <cell r="BT251">
            <v>0</v>
          </cell>
          <cell r="BV251" t="str">
            <v>No</v>
          </cell>
          <cell r="BW251" t="str">
            <v>United Kingdom</v>
          </cell>
          <cell r="BX251" t="str">
            <v>Office</v>
          </cell>
          <cell r="BY251">
            <v>100</v>
          </cell>
        </row>
        <row r="252">
          <cell r="A252">
            <v>217</v>
          </cell>
          <cell r="B252" t="str">
            <v>GROSVENOR RETAIL EUROPEAN PROPERTIES</v>
          </cell>
          <cell r="C252" t="str">
            <v>GROSVENOR FUND MANAGEMENT</v>
          </cell>
          <cell r="D252" t="str">
            <v>69 Bld Haussmann</v>
          </cell>
          <cell r="E252">
            <v>75008</v>
          </cell>
          <cell r="F252" t="str">
            <v>Paris</v>
          </cell>
          <cell r="G252" t="str">
            <v>France</v>
          </cell>
          <cell r="H252" t="str">
            <v>+33 (0) 1 44 51 75 00</v>
          </cell>
          <cell r="I252" t="str">
            <v>+33 (0) 1 44 51 75 01</v>
          </cell>
          <cell r="J252" t="str">
            <v>http://www.grosvenor.com</v>
          </cell>
          <cell r="K252" t="str">
            <v>Sara Lucas</v>
          </cell>
          <cell r="L252" t="str">
            <v>sara.lucas@grosvenor.com</v>
          </cell>
          <cell r="M252" t="str">
            <v>+33 (0)1 44 51 75 25</v>
          </cell>
          <cell r="N252" t="str">
            <v>Rebecca Madsen</v>
          </cell>
          <cell r="O252" t="str">
            <v>rebecca.madsen@grosvenor.com</v>
          </cell>
          <cell r="P252" t="str">
            <v>+44 (0) 207312 6345</v>
          </cell>
          <cell r="Q252" t="str">
            <v>Luxembourg</v>
          </cell>
          <cell r="R252" t="str">
            <v>EUR</v>
          </cell>
          <cell r="S252" t="str">
            <v>IFRS</v>
          </cell>
          <cell r="T252" t="str">
            <v>Quarterly</v>
          </cell>
          <cell r="U252" t="str">
            <v>Annually</v>
          </cell>
          <cell r="V252" t="str">
            <v>RICS</v>
          </cell>
          <cell r="W252" t="str">
            <v>INREV NAV</v>
          </cell>
          <cell r="X252" t="str">
            <v>Deloitte &amp; Touche</v>
          </cell>
          <cell r="Y252" t="str">
            <v>SOPARFI</v>
          </cell>
          <cell r="Z252" t="str">
            <v>Yes</v>
          </cell>
          <cell r="AA252" t="str">
            <v>Yes</v>
          </cell>
          <cell r="AB252">
            <v>0</v>
          </cell>
          <cell r="AC252" t="str">
            <v>Non-Listed Fund</v>
          </cell>
          <cell r="AD252" t="str">
            <v>Core</v>
          </cell>
          <cell r="AE252" t="str">
            <v>finite</v>
          </cell>
          <cell r="AF252" t="str">
            <v>Closed end</v>
          </cell>
          <cell r="AJ252" t="str">
            <v>None</v>
          </cell>
          <cell r="AN252" t="str">
            <v>Institutional</v>
          </cell>
          <cell r="AO252" t="str">
            <v>&gt; 2</v>
          </cell>
          <cell r="AP252" t="str">
            <v>≥ 50%</v>
          </cell>
          <cell r="AQ252" t="str">
            <v>Europe</v>
          </cell>
          <cell r="AR252" t="str">
            <v>multi country</v>
          </cell>
          <cell r="AS252" t="str">
            <v>Europe</v>
          </cell>
          <cell r="AU252" t="str">
            <v>single sector</v>
          </cell>
          <cell r="AV252" t="str">
            <v>Retail</v>
          </cell>
          <cell r="AW252">
            <v>250000000</v>
          </cell>
          <cell r="AX252">
            <v>500000000</v>
          </cell>
          <cell r="AY252">
            <v>2004</v>
          </cell>
          <cell r="AZ252">
            <v>2014</v>
          </cell>
          <cell r="BH252" t="str">
            <v>2020-12-31</v>
          </cell>
          <cell r="BI252">
            <v>1587000</v>
          </cell>
          <cell r="BJ252">
            <v>1587000</v>
          </cell>
          <cell r="BK252">
            <v>1587000</v>
          </cell>
          <cell r="BL252">
            <v>1587000</v>
          </cell>
          <cell r="BM252">
            <v>0</v>
          </cell>
          <cell r="BN252" t="str">
            <v>No</v>
          </cell>
          <cell r="BO252" t="str">
            <v>Internal</v>
          </cell>
          <cell r="BP252">
            <v>8</v>
          </cell>
          <cell r="BQ252">
            <v>0</v>
          </cell>
          <cell r="BR252">
            <v>205920000</v>
          </cell>
          <cell r="BS252">
            <v>205920000</v>
          </cell>
          <cell r="BT252">
            <v>205920000</v>
          </cell>
          <cell r="BU252">
            <v>205920000</v>
          </cell>
          <cell r="BV252" t="str">
            <v>No</v>
          </cell>
        </row>
        <row r="253">
          <cell r="A253">
            <v>220</v>
          </cell>
          <cell r="B253" t="str">
            <v>GRUNDBESITZ EUROPA</v>
          </cell>
          <cell r="C253" t="str">
            <v>DWS GRUNDBESITZ GMBH</v>
          </cell>
          <cell r="D253" t="str">
            <v>Mainzer Landstraße 11-17</v>
          </cell>
          <cell r="E253" t="str">
            <v xml:space="preserve">60329 </v>
          </cell>
          <cell r="F253" t="str">
            <v>Frankfurt am Main</v>
          </cell>
          <cell r="G253" t="str">
            <v>Germany</v>
          </cell>
          <cell r="H253" t="str">
            <v>+49 (0) 69 910-12389</v>
          </cell>
          <cell r="I253" t="str">
            <v>+49 (0) 69 910-19090</v>
          </cell>
          <cell r="J253" t="str">
            <v>http://deutscherealestate.com</v>
          </cell>
          <cell r="K253" t="str">
            <v>Ulrich von Creytz</v>
          </cell>
          <cell r="L253" t="str">
            <v>ulrich-von.creytz@dws.com</v>
          </cell>
          <cell r="M253" t="str">
            <v>+49(69)910-16429</v>
          </cell>
          <cell r="N253" t="str">
            <v>Anke Weinreich</v>
          </cell>
          <cell r="O253" t="str">
            <v>anke.weinreich@dws.com</v>
          </cell>
          <cell r="P253" t="str">
            <v>+49(69)910-16436</v>
          </cell>
          <cell r="Q253" t="str">
            <v>Germany</v>
          </cell>
          <cell r="R253" t="str">
            <v>EUR</v>
          </cell>
          <cell r="S253" t="str">
            <v>HGB</v>
          </cell>
          <cell r="T253" t="str">
            <v>Twice per year</v>
          </cell>
          <cell r="U253" t="str">
            <v>Quarterly</v>
          </cell>
          <cell r="V253" t="str">
            <v>ImmoWertV</v>
          </cell>
          <cell r="X253" t="str">
            <v>KPMG</v>
          </cell>
          <cell r="Y253" t="str">
            <v>Publikumsfonds</v>
          </cell>
          <cell r="Z253" t="str">
            <v>No</v>
          </cell>
          <cell r="AA253" t="str">
            <v>Yes</v>
          </cell>
          <cell r="AB253">
            <v>6</v>
          </cell>
          <cell r="AC253" t="str">
            <v>Non-Listed Fund</v>
          </cell>
          <cell r="AD253" t="str">
            <v>Core</v>
          </cell>
          <cell r="AE253" t="str">
            <v>infinite</v>
          </cell>
          <cell r="AF253" t="str">
            <v>Open end</v>
          </cell>
          <cell r="AJ253" t="str">
            <v>German open ended funds</v>
          </cell>
          <cell r="AK253">
            <v>4.5</v>
          </cell>
          <cell r="AM253" t="str">
            <v>&gt; 40% - ≤ 60%</v>
          </cell>
          <cell r="AN253" t="str">
            <v>Institutional and Retail</v>
          </cell>
          <cell r="AO253" t="str">
            <v>&gt; 2</v>
          </cell>
          <cell r="AP253" t="str">
            <v>&lt; 50%</v>
          </cell>
          <cell r="AQ253" t="str">
            <v>Europe</v>
          </cell>
          <cell r="AR253" t="str">
            <v>multi country</v>
          </cell>
          <cell r="AS253" t="str">
            <v>Europe</v>
          </cell>
          <cell r="AU253" t="str">
            <v>multi sector</v>
          </cell>
          <cell r="AX253">
            <v>4500000000</v>
          </cell>
          <cell r="AY253">
            <v>1970</v>
          </cell>
          <cell r="BA253" t="str">
            <v>No</v>
          </cell>
          <cell r="BB253" t="str">
            <v>No</v>
          </cell>
          <cell r="BH253" t="str">
            <v>2020-12-31</v>
          </cell>
          <cell r="BI253">
            <v>10985763890.049999</v>
          </cell>
          <cell r="BJ253">
            <v>10985763890.049999</v>
          </cell>
          <cell r="BK253">
            <v>9611534362.0799999</v>
          </cell>
          <cell r="BL253">
            <v>9611534362.0799999</v>
          </cell>
          <cell r="BM253">
            <v>20.7</v>
          </cell>
          <cell r="BN253" t="str">
            <v>No</v>
          </cell>
          <cell r="BO253" t="str">
            <v>External</v>
          </cell>
          <cell r="BQ253">
            <v>90</v>
          </cell>
          <cell r="BS253">
            <v>0</v>
          </cell>
          <cell r="BW253" t="str">
            <v>Sweden</v>
          </cell>
          <cell r="BX253" t="str">
            <v>Industrial / Logistics</v>
          </cell>
          <cell r="BY253">
            <v>1.6</v>
          </cell>
          <cell r="BZ253" t="str">
            <v>Germany</v>
          </cell>
          <cell r="CA253" t="str">
            <v>Office</v>
          </cell>
          <cell r="CB253">
            <v>16.100000000000001</v>
          </cell>
          <cell r="CC253" t="str">
            <v>Germany</v>
          </cell>
          <cell r="CD253" t="str">
            <v>Retail</v>
          </cell>
          <cell r="CE253">
            <v>6.9</v>
          </cell>
          <cell r="CF253" t="str">
            <v>Germany</v>
          </cell>
          <cell r="CG253" t="str">
            <v>Hotel</v>
          </cell>
          <cell r="CH253">
            <v>0.8</v>
          </cell>
          <cell r="CI253" t="str">
            <v>Germany</v>
          </cell>
          <cell r="CJ253" t="str">
            <v>Residential</v>
          </cell>
          <cell r="CK253">
            <v>0.2</v>
          </cell>
          <cell r="CL253" t="str">
            <v>Germany</v>
          </cell>
          <cell r="CM253" t="str">
            <v>Industrial / Logistics</v>
          </cell>
          <cell r="CN253">
            <v>1.2</v>
          </cell>
          <cell r="CO253" t="str">
            <v>United Kingdom</v>
          </cell>
          <cell r="CP253" t="str">
            <v>Office</v>
          </cell>
          <cell r="CQ253">
            <v>17.8</v>
          </cell>
          <cell r="CR253" t="str">
            <v>United Kingdom</v>
          </cell>
          <cell r="CS253" t="str">
            <v>Retail</v>
          </cell>
          <cell r="CT253">
            <v>1.3</v>
          </cell>
          <cell r="CU253" t="str">
            <v>United Kingdom</v>
          </cell>
          <cell r="CV253" t="str">
            <v>Residential</v>
          </cell>
          <cell r="CW253">
            <v>5.6</v>
          </cell>
          <cell r="CX253" t="str">
            <v>France</v>
          </cell>
          <cell r="CY253" t="str">
            <v>Office</v>
          </cell>
          <cell r="CZ253">
            <v>11.8</v>
          </cell>
          <cell r="DA253" t="str">
            <v>France</v>
          </cell>
          <cell r="DB253" t="str">
            <v>Industrial / Logistics</v>
          </cell>
          <cell r="DC253">
            <v>1.2</v>
          </cell>
          <cell r="DD253" t="str">
            <v>Netherlands</v>
          </cell>
          <cell r="DE253" t="str">
            <v>Office</v>
          </cell>
          <cell r="DF253">
            <v>5.3</v>
          </cell>
          <cell r="DG253" t="str">
            <v>Netherlands</v>
          </cell>
          <cell r="DH253" t="str">
            <v>Residential</v>
          </cell>
          <cell r="DI253">
            <v>3.2</v>
          </cell>
          <cell r="DJ253" t="str">
            <v>Spain</v>
          </cell>
          <cell r="DK253" t="str">
            <v>Office</v>
          </cell>
          <cell r="DL253">
            <v>0.4</v>
          </cell>
          <cell r="DM253" t="str">
            <v>Spain</v>
          </cell>
          <cell r="DN253" t="str">
            <v>Retail</v>
          </cell>
          <cell r="DO253">
            <v>7.4</v>
          </cell>
          <cell r="DP253" t="str">
            <v>Spain</v>
          </cell>
          <cell r="DQ253" t="str">
            <v>Industrial / Logistics</v>
          </cell>
          <cell r="DR253">
            <v>0.2</v>
          </cell>
          <cell r="DS253" t="str">
            <v>Portugal</v>
          </cell>
          <cell r="DT253" t="str">
            <v>Retail</v>
          </cell>
          <cell r="DU253">
            <v>0.9</v>
          </cell>
          <cell r="DV253" t="str">
            <v>Italy</v>
          </cell>
          <cell r="DW253" t="str">
            <v>Office</v>
          </cell>
          <cell r="DX253">
            <v>0.4</v>
          </cell>
          <cell r="DY253" t="str">
            <v>Italy</v>
          </cell>
          <cell r="DZ253" t="str">
            <v>Retail</v>
          </cell>
          <cell r="EA253">
            <v>1.9</v>
          </cell>
          <cell r="EB253" t="str">
            <v>Italy</v>
          </cell>
          <cell r="EC253" t="str">
            <v>Industrial / Logistics</v>
          </cell>
          <cell r="ED253">
            <v>2.2999999999999998</v>
          </cell>
          <cell r="EE253" t="str">
            <v>Poland</v>
          </cell>
          <cell r="EF253" t="str">
            <v>Office</v>
          </cell>
          <cell r="EG253">
            <v>3.7</v>
          </cell>
          <cell r="EH253" t="str">
            <v>Poland</v>
          </cell>
          <cell r="EI253" t="str">
            <v>Retail</v>
          </cell>
          <cell r="EJ253">
            <v>3.1</v>
          </cell>
          <cell r="EK253" t="str">
            <v>Poland</v>
          </cell>
          <cell r="EL253" t="str">
            <v>Industrial / Logistics</v>
          </cell>
          <cell r="EM253">
            <v>0.6</v>
          </cell>
          <cell r="EN253" t="str">
            <v>Hungary</v>
          </cell>
          <cell r="EO253" t="str">
            <v>Retail</v>
          </cell>
          <cell r="EP253">
            <v>0.9</v>
          </cell>
          <cell r="EQ253" t="str">
            <v>Ireland</v>
          </cell>
          <cell r="ER253" t="str">
            <v>Residential</v>
          </cell>
          <cell r="ES253">
            <v>1.8</v>
          </cell>
          <cell r="ET253" t="str">
            <v>Finland</v>
          </cell>
          <cell r="EU253" t="str">
            <v>Office</v>
          </cell>
        </row>
        <row r="254">
          <cell r="A254">
            <v>221</v>
          </cell>
          <cell r="B254" t="str">
            <v>GRUNDBESITZ GLOBAL</v>
          </cell>
          <cell r="C254" t="str">
            <v>RREEF INVESTMENT GMBH</v>
          </cell>
          <cell r="D254" t="str">
            <v>Taunusanlage 12</v>
          </cell>
          <cell r="E254">
            <v>60612</v>
          </cell>
          <cell r="F254" t="str">
            <v>Frankfurt am Main</v>
          </cell>
          <cell r="G254" t="str">
            <v>Germany</v>
          </cell>
          <cell r="H254" t="str">
            <v>+49 (0) 69 910 12389</v>
          </cell>
          <cell r="I254" t="str">
            <v>+49 (0) 69 910 19090</v>
          </cell>
          <cell r="J254" t="str">
            <v>http://www.deutscherealestate.com</v>
          </cell>
          <cell r="K254" t="str">
            <v>Christian Bäcker</v>
          </cell>
          <cell r="L254" t="str">
            <v>christian.baecker@db.com</v>
          </cell>
          <cell r="M254" t="str">
            <v>+49(69)910-14938</v>
          </cell>
          <cell r="N254" t="str">
            <v>Tanja Majer</v>
          </cell>
          <cell r="O254" t="str">
            <v>tanja.majer@db.com</v>
          </cell>
          <cell r="P254" t="str">
            <v>+49(69)910-16331</v>
          </cell>
          <cell r="Q254" t="str">
            <v>Germany</v>
          </cell>
          <cell r="R254" t="str">
            <v>EUR</v>
          </cell>
          <cell r="S254" t="str">
            <v>HGB</v>
          </cell>
          <cell r="T254" t="str">
            <v>Twice per year</v>
          </cell>
          <cell r="U254" t="str">
            <v>Quarterly</v>
          </cell>
          <cell r="X254" t="str">
            <v>KPMG</v>
          </cell>
          <cell r="Y254" t="str">
            <v>Publikumsfonds</v>
          </cell>
          <cell r="Z254" t="str">
            <v>No</v>
          </cell>
          <cell r="AA254" t="str">
            <v>Yes</v>
          </cell>
          <cell r="AB254">
            <v>6</v>
          </cell>
          <cell r="AC254" t="str">
            <v>Non-Listed Fund</v>
          </cell>
          <cell r="AD254" t="str">
            <v>Core</v>
          </cell>
          <cell r="AE254" t="str">
            <v>infinite</v>
          </cell>
          <cell r="AF254" t="str">
            <v>Open end</v>
          </cell>
          <cell r="AJ254" t="str">
            <v>German open ended funds</v>
          </cell>
          <cell r="AK254">
            <v>4</v>
          </cell>
          <cell r="AL254">
            <v>25</v>
          </cell>
          <cell r="AM254" t="str">
            <v>≤ 40%</v>
          </cell>
          <cell r="AN254" t="str">
            <v>Institutional and Retail</v>
          </cell>
          <cell r="AO254" t="str">
            <v>&gt; 2</v>
          </cell>
          <cell r="AP254" t="str">
            <v>&lt; 50%</v>
          </cell>
          <cell r="AQ254" t="str">
            <v>Global</v>
          </cell>
          <cell r="AR254" t="str">
            <v>multi country</v>
          </cell>
          <cell r="AU254" t="str">
            <v>multi sector</v>
          </cell>
          <cell r="AX254">
            <v>4000000000</v>
          </cell>
          <cell r="AY254">
            <v>2000</v>
          </cell>
          <cell r="BA254" t="str">
            <v>No</v>
          </cell>
          <cell r="BB254" t="str">
            <v>No</v>
          </cell>
          <cell r="BD254" t="str">
            <v>No</v>
          </cell>
          <cell r="BH254" t="str">
            <v>2020-12-31</v>
          </cell>
          <cell r="BI254">
            <v>5087981206.8199997</v>
          </cell>
          <cell r="BJ254">
            <v>5087981206.8199997</v>
          </cell>
          <cell r="BK254">
            <v>4194808733.5799999</v>
          </cell>
          <cell r="BL254">
            <v>4194808733.5799999</v>
          </cell>
          <cell r="BM254">
            <v>21.7</v>
          </cell>
          <cell r="BN254" t="str">
            <v>Yes</v>
          </cell>
          <cell r="BO254" t="str">
            <v>External</v>
          </cell>
          <cell r="BQ254">
            <v>56</v>
          </cell>
          <cell r="BS254">
            <v>0</v>
          </cell>
          <cell r="BW254" t="str">
            <v>United States of America</v>
          </cell>
          <cell r="BX254" t="str">
            <v>Leisure</v>
          </cell>
          <cell r="BY254">
            <v>0.7</v>
          </cell>
          <cell r="BZ254" t="str">
            <v>United States of America</v>
          </cell>
          <cell r="CA254" t="str">
            <v>Office</v>
          </cell>
          <cell r="CB254">
            <v>13.4</v>
          </cell>
          <cell r="CC254" t="str">
            <v>United States of America</v>
          </cell>
          <cell r="CD254" t="str">
            <v>Residential</v>
          </cell>
          <cell r="CE254">
            <v>2.1</v>
          </cell>
          <cell r="CF254" t="str">
            <v>United States of America</v>
          </cell>
          <cell r="CG254" t="str">
            <v>Retail</v>
          </cell>
          <cell r="CH254">
            <v>3.6</v>
          </cell>
          <cell r="CI254" t="str">
            <v>Japan</v>
          </cell>
          <cell r="CJ254" t="str">
            <v>Office</v>
          </cell>
          <cell r="CK254">
            <v>6.1</v>
          </cell>
          <cell r="CL254" t="str">
            <v>Japan</v>
          </cell>
          <cell r="CM254" t="str">
            <v>Industrial / Logistics</v>
          </cell>
          <cell r="CN254">
            <v>1.8</v>
          </cell>
          <cell r="CO254" t="str">
            <v>South Korea</v>
          </cell>
          <cell r="CP254" t="str">
            <v>Industrial / Logistics</v>
          </cell>
          <cell r="CQ254">
            <v>3.7</v>
          </cell>
          <cell r="CR254" t="str">
            <v>South Korea</v>
          </cell>
          <cell r="CS254" t="str">
            <v>Office</v>
          </cell>
          <cell r="CT254">
            <v>3.2</v>
          </cell>
          <cell r="CU254" t="str">
            <v>Australia</v>
          </cell>
          <cell r="CV254" t="str">
            <v>Office</v>
          </cell>
          <cell r="CW254">
            <v>4.4000000000000004</v>
          </cell>
          <cell r="CX254" t="str">
            <v>Australia</v>
          </cell>
          <cell r="CY254" t="str">
            <v>Hotel</v>
          </cell>
          <cell r="CZ254">
            <v>0.7</v>
          </cell>
          <cell r="DA254" t="str">
            <v>Finland</v>
          </cell>
          <cell r="DB254" t="str">
            <v>Office</v>
          </cell>
          <cell r="DC254">
            <v>4.2</v>
          </cell>
          <cell r="DD254" t="str">
            <v>Finland</v>
          </cell>
          <cell r="DE254" t="str">
            <v>Industrial / Logistics</v>
          </cell>
          <cell r="DF254">
            <v>1.6</v>
          </cell>
          <cell r="DG254" t="str">
            <v>Netherlands</v>
          </cell>
          <cell r="DH254" t="str">
            <v>Office</v>
          </cell>
          <cell r="DI254">
            <v>2</v>
          </cell>
          <cell r="DJ254" t="str">
            <v>Austria</v>
          </cell>
          <cell r="DK254" t="str">
            <v>Office</v>
          </cell>
          <cell r="DL254">
            <v>4.0999999999999996</v>
          </cell>
          <cell r="DM254" t="str">
            <v>Austria</v>
          </cell>
          <cell r="DN254" t="str">
            <v>Hotel</v>
          </cell>
          <cell r="DO254">
            <v>2.1</v>
          </cell>
          <cell r="DP254" t="str">
            <v>Poland</v>
          </cell>
          <cell r="DQ254" t="str">
            <v>Office</v>
          </cell>
          <cell r="DR254">
            <v>1</v>
          </cell>
          <cell r="DS254" t="str">
            <v>Poland</v>
          </cell>
          <cell r="DT254" t="str">
            <v>Retail</v>
          </cell>
          <cell r="DU254">
            <v>3.1</v>
          </cell>
          <cell r="DV254" t="str">
            <v>Portugal</v>
          </cell>
          <cell r="DW254" t="str">
            <v>Retail</v>
          </cell>
          <cell r="DX254">
            <v>2.9</v>
          </cell>
          <cell r="DY254" t="str">
            <v>Portugal</v>
          </cell>
          <cell r="DZ254" t="str">
            <v>Industrial / Logistics</v>
          </cell>
          <cell r="EA254">
            <v>4.8</v>
          </cell>
          <cell r="EB254" t="str">
            <v>Sweden</v>
          </cell>
          <cell r="EC254" t="str">
            <v>Office</v>
          </cell>
          <cell r="ED254">
            <v>0.9</v>
          </cell>
          <cell r="EE254" t="str">
            <v>Hungary</v>
          </cell>
          <cell r="EF254" t="str">
            <v>Office</v>
          </cell>
          <cell r="EG254">
            <v>10.1</v>
          </cell>
          <cell r="EH254" t="str">
            <v>United Kingdom</v>
          </cell>
          <cell r="EI254" t="str">
            <v>Office</v>
          </cell>
          <cell r="EJ254">
            <v>2.4</v>
          </cell>
          <cell r="EK254" t="str">
            <v>United Kingdom</v>
          </cell>
          <cell r="EL254" t="str">
            <v>Residential</v>
          </cell>
          <cell r="EM254">
            <v>7.4</v>
          </cell>
          <cell r="EN254" t="str">
            <v>Ireland</v>
          </cell>
          <cell r="EO254" t="str">
            <v>Retail</v>
          </cell>
          <cell r="EP254">
            <v>2.1</v>
          </cell>
          <cell r="EQ254" t="str">
            <v>Spain</v>
          </cell>
          <cell r="ER254" t="str">
            <v>Retail</v>
          </cell>
          <cell r="ES254">
            <v>3.7</v>
          </cell>
          <cell r="ET254" t="str">
            <v>Italy</v>
          </cell>
          <cell r="EU254" t="str">
            <v>Retail</v>
          </cell>
        </row>
        <row r="255">
          <cell r="A255">
            <v>222</v>
          </cell>
          <cell r="B255" t="str">
            <v>HABITARE</v>
          </cell>
          <cell r="C255" t="str">
            <v>QUANTUM IMMOBILIEN KAPITALVERWALTUNGSGESELLSCHAFT MBH</v>
          </cell>
          <cell r="D255" t="str">
            <v>Dornbusch 4</v>
          </cell>
          <cell r="E255">
            <v>20095</v>
          </cell>
          <cell r="F255" t="str">
            <v>Hamburg</v>
          </cell>
          <cell r="G255" t="str">
            <v>Germany</v>
          </cell>
          <cell r="H255" t="str">
            <v>+49404143300</v>
          </cell>
          <cell r="I255" t="str">
            <v>+4940414330511</v>
          </cell>
          <cell r="J255" t="str">
            <v>http://www.quantum.ag</v>
          </cell>
          <cell r="N255" t="str">
            <v>Johanna Jachczik</v>
          </cell>
          <cell r="O255" t="str">
            <v>jj@quantum.ag</v>
          </cell>
          <cell r="P255" t="str">
            <v>+4940414330544</v>
          </cell>
          <cell r="Q255" t="str">
            <v>Germany</v>
          </cell>
          <cell r="R255" t="str">
            <v>EUR</v>
          </cell>
          <cell r="S255" t="str">
            <v>Local GAAP</v>
          </cell>
          <cell r="T255" t="str">
            <v>Monthly</v>
          </cell>
          <cell r="U255" t="str">
            <v>Annually</v>
          </cell>
          <cell r="W255" t="str">
            <v>INREV NAV</v>
          </cell>
          <cell r="X255" t="str">
            <v>KPMG</v>
          </cell>
          <cell r="Y255" t="str">
            <v>Spezialfonds</v>
          </cell>
          <cell r="Z255" t="str">
            <v>No</v>
          </cell>
          <cell r="AA255" t="str">
            <v>Yes</v>
          </cell>
          <cell r="AB255">
            <v>3</v>
          </cell>
          <cell r="AC255" t="str">
            <v>Non-Listed Fund</v>
          </cell>
          <cell r="AD255" t="str">
            <v>Core</v>
          </cell>
          <cell r="AE255" t="str">
            <v>infinite</v>
          </cell>
          <cell r="AF255" t="str">
            <v>Open end</v>
          </cell>
          <cell r="AG255">
            <v>5</v>
          </cell>
          <cell r="AH255">
            <v>7</v>
          </cell>
          <cell r="AI255" t="str">
            <v>Net</v>
          </cell>
          <cell r="AJ255" t="str">
            <v>None</v>
          </cell>
          <cell r="AK255">
            <v>5</v>
          </cell>
          <cell r="AL255">
            <v>50</v>
          </cell>
          <cell r="AM255" t="str">
            <v>&gt; 40% - ≤ 60%</v>
          </cell>
          <cell r="AN255" t="str">
            <v>Institutional</v>
          </cell>
          <cell r="AO255" t="str">
            <v>&gt; 2</v>
          </cell>
          <cell r="AP255" t="str">
            <v>≥ 50%</v>
          </cell>
          <cell r="AQ255" t="str">
            <v>Europe</v>
          </cell>
          <cell r="AR255" t="str">
            <v>single country</v>
          </cell>
          <cell r="AT255" t="str">
            <v>Germany</v>
          </cell>
          <cell r="AU255" t="str">
            <v>single sector</v>
          </cell>
          <cell r="AV255" t="str">
            <v>Residential</v>
          </cell>
          <cell r="AW255">
            <v>533000000</v>
          </cell>
          <cell r="AX255">
            <v>1000000000</v>
          </cell>
          <cell r="AY255">
            <v>2006</v>
          </cell>
          <cell r="BA255" t="str">
            <v>No</v>
          </cell>
          <cell r="BB255" t="str">
            <v>No</v>
          </cell>
          <cell r="BD255" t="str">
            <v>No</v>
          </cell>
          <cell r="BH255" t="str">
            <v>2020-12-31</v>
          </cell>
          <cell r="BI255">
            <v>1264417434</v>
          </cell>
          <cell r="BJ255">
            <v>1264417434</v>
          </cell>
          <cell r="BK255">
            <v>911237559</v>
          </cell>
          <cell r="BL255">
            <v>911237559</v>
          </cell>
          <cell r="BM255">
            <v>33</v>
          </cell>
          <cell r="BO255" t="str">
            <v>External</v>
          </cell>
          <cell r="BP255">
            <v>14</v>
          </cell>
          <cell r="BQ255">
            <v>42</v>
          </cell>
          <cell r="BR255">
            <v>533000000</v>
          </cell>
          <cell r="BS255">
            <v>533000000</v>
          </cell>
          <cell r="BT255">
            <v>532999976</v>
          </cell>
          <cell r="BU255">
            <v>532999976</v>
          </cell>
          <cell r="BV255" t="str">
            <v>No</v>
          </cell>
          <cell r="BW255" t="str">
            <v>Germany</v>
          </cell>
          <cell r="BX255" t="str">
            <v>Residential</v>
          </cell>
          <cell r="BY255">
            <v>100</v>
          </cell>
        </row>
        <row r="256">
          <cell r="A256">
            <v>18193</v>
          </cell>
          <cell r="B256" t="str">
            <v>HABITARE II</v>
          </cell>
          <cell r="C256" t="str">
            <v>QUANTUM IMMOBILIEN KAPITALVERWALTUNGSGESELLSCHAFT</v>
          </cell>
          <cell r="D256" t="str">
            <v>Dornbusch 4</v>
          </cell>
          <cell r="E256">
            <v>20095</v>
          </cell>
          <cell r="F256" t="str">
            <v>Hamburg</v>
          </cell>
          <cell r="G256" t="str">
            <v>Germany</v>
          </cell>
          <cell r="H256" t="str">
            <v>+49404143300</v>
          </cell>
          <cell r="I256" t="str">
            <v>+4940414330511</v>
          </cell>
          <cell r="J256" t="str">
            <v>https://www.quantum.ag/</v>
          </cell>
          <cell r="N256" t="str">
            <v>Johanna Jachczik</v>
          </cell>
          <cell r="O256" t="str">
            <v>jj@quantum.ag</v>
          </cell>
          <cell r="P256" t="str">
            <v>+4940414330544</v>
          </cell>
          <cell r="Q256" t="str">
            <v>Germany</v>
          </cell>
          <cell r="R256" t="str">
            <v>EUR</v>
          </cell>
          <cell r="T256" t="str">
            <v>Monthly</v>
          </cell>
          <cell r="U256" t="str">
            <v>Annually</v>
          </cell>
          <cell r="X256" t="str">
            <v>KPMG</v>
          </cell>
          <cell r="Y256" t="str">
            <v>Spezialfonds</v>
          </cell>
          <cell r="Z256" t="str">
            <v>No</v>
          </cell>
          <cell r="AA256" t="str">
            <v>No</v>
          </cell>
          <cell r="AC256" t="str">
            <v>Non-Listed Fund</v>
          </cell>
          <cell r="AD256" t="str">
            <v>Core</v>
          </cell>
          <cell r="AE256" t="str">
            <v>infinite</v>
          </cell>
          <cell r="AF256" t="str">
            <v>Open end</v>
          </cell>
          <cell r="AG256">
            <v>4</v>
          </cell>
          <cell r="AH256">
            <v>4.5</v>
          </cell>
          <cell r="AI256" t="str">
            <v>Net</v>
          </cell>
          <cell r="AJ256" t="str">
            <v>none</v>
          </cell>
          <cell r="AK256">
            <v>4.5</v>
          </cell>
          <cell r="AL256">
            <v>50</v>
          </cell>
          <cell r="AM256" t="str">
            <v>&gt; 40% - ≤ 60%</v>
          </cell>
          <cell r="AN256" t="str">
            <v>Institutional</v>
          </cell>
          <cell r="AO256" t="str">
            <v>&gt; 2</v>
          </cell>
          <cell r="AP256" t="str">
            <v>≥ 50%</v>
          </cell>
          <cell r="AQ256" t="str">
            <v>Europe</v>
          </cell>
          <cell r="AR256" t="str">
            <v>single country</v>
          </cell>
          <cell r="AT256" t="str">
            <v>Germany</v>
          </cell>
          <cell r="AU256" t="str">
            <v>single sector</v>
          </cell>
          <cell r="AV256" t="str">
            <v>Residential</v>
          </cell>
          <cell r="AW256">
            <v>250000000</v>
          </cell>
          <cell r="AX256">
            <v>500000000</v>
          </cell>
          <cell r="AY256">
            <v>2017</v>
          </cell>
          <cell r="BB256" t="str">
            <v>No</v>
          </cell>
          <cell r="BD256" t="str">
            <v>No</v>
          </cell>
          <cell r="BH256" t="str">
            <v>2020-12-31</v>
          </cell>
          <cell r="BI256">
            <v>370604450</v>
          </cell>
          <cell r="BJ256">
            <v>370604450</v>
          </cell>
          <cell r="BK256">
            <v>220645100</v>
          </cell>
          <cell r="BL256">
            <v>220645100</v>
          </cell>
          <cell r="BM256">
            <v>43</v>
          </cell>
          <cell r="BN256" t="str">
            <v>No</v>
          </cell>
          <cell r="BO256" t="str">
            <v>External</v>
          </cell>
          <cell r="BP256">
            <v>24</v>
          </cell>
          <cell r="BQ256">
            <v>12</v>
          </cell>
          <cell r="BR256">
            <v>244500000</v>
          </cell>
          <cell r="BS256">
            <v>244500000</v>
          </cell>
          <cell r="BT256">
            <v>188999000</v>
          </cell>
          <cell r="BU256">
            <v>188999000</v>
          </cell>
          <cell r="BV256" t="str">
            <v>No</v>
          </cell>
          <cell r="BW256" t="str">
            <v>Germany</v>
          </cell>
          <cell r="BX256" t="str">
            <v>Residential</v>
          </cell>
          <cell r="BY256">
            <v>100</v>
          </cell>
        </row>
        <row r="257">
          <cell r="A257">
            <v>18175</v>
          </cell>
          <cell r="B257" t="str">
            <v>HADRIAN</v>
          </cell>
          <cell r="C257" t="str">
            <v>AXA REIM SGR S.P.A</v>
          </cell>
          <cell r="D257" t="str">
            <v>Corso di Porta Romana no. 68</v>
          </cell>
          <cell r="E257">
            <v>20146</v>
          </cell>
          <cell r="F257" t="str">
            <v>Milan</v>
          </cell>
          <cell r="G257" t="str">
            <v>Italy</v>
          </cell>
          <cell r="J257" t="str">
            <v>https://realassets.axa-im.com</v>
          </cell>
          <cell r="K257" t="str">
            <v>Lorenzo SCARFI</v>
          </cell>
          <cell r="L257" t="str">
            <v>lorenzo.scarfi@axa-im.com</v>
          </cell>
          <cell r="M257" t="str">
            <v>+390258442018</v>
          </cell>
          <cell r="N257" t="str">
            <v>Jamie-Lee Chambers</v>
          </cell>
          <cell r="O257" t="str">
            <v>jamie-lee.chambers@axa-im.com</v>
          </cell>
          <cell r="Q257" t="str">
            <v>Italy</v>
          </cell>
          <cell r="R257" t="str">
            <v>EUR</v>
          </cell>
          <cell r="S257" t="str">
            <v>Local GAAP</v>
          </cell>
          <cell r="T257" t="str">
            <v>Quarterly</v>
          </cell>
          <cell r="U257" t="str">
            <v>Twice per year</v>
          </cell>
          <cell r="V257" t="str">
            <v>Other - mark to market</v>
          </cell>
          <cell r="W257" t="str">
            <v>Bank of Italy gaap - similar to IFRS</v>
          </cell>
          <cell r="X257" t="str">
            <v>Mazars Italia S.p.A.</v>
          </cell>
          <cell r="Y257" t="str">
            <v>Real Estate Fund</v>
          </cell>
          <cell r="Z257" t="str">
            <v>No</v>
          </cell>
          <cell r="AC257" t="str">
            <v>Non-Listed Fund</v>
          </cell>
          <cell r="AD257" t="str">
            <v>Core</v>
          </cell>
          <cell r="AE257" t="str">
            <v>finite</v>
          </cell>
          <cell r="AF257" t="str">
            <v>Closed end</v>
          </cell>
          <cell r="AG257">
            <v>6.5</v>
          </cell>
          <cell r="AH257">
            <v>6.5</v>
          </cell>
          <cell r="AI257" t="str">
            <v>Gross</v>
          </cell>
          <cell r="AM257" t="str">
            <v>&gt; 40% - ≤ 60%</v>
          </cell>
          <cell r="AN257" t="str">
            <v>Institutional</v>
          </cell>
          <cell r="AO257" t="str">
            <v>&gt; 2</v>
          </cell>
          <cell r="AP257" t="str">
            <v>≥ 50%</v>
          </cell>
          <cell r="AQ257" t="str">
            <v>Europe</v>
          </cell>
          <cell r="AR257" t="str">
            <v>multi country</v>
          </cell>
          <cell r="AS257" t="str">
            <v>Europe</v>
          </cell>
          <cell r="AU257" t="str">
            <v>multi sector</v>
          </cell>
          <cell r="AY257">
            <v>2016</v>
          </cell>
          <cell r="AZ257">
            <v>2025</v>
          </cell>
          <cell r="BA257" t="str">
            <v>Yes</v>
          </cell>
          <cell r="BB257" t="str">
            <v>Yes</v>
          </cell>
          <cell r="BC257" t="str">
            <v>5 years fixed</v>
          </cell>
          <cell r="BH257" t="str">
            <v>2020-12-31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 t="str">
            <v>Yes</v>
          </cell>
          <cell r="BO257" t="str">
            <v>Internal</v>
          </cell>
          <cell r="BP257">
            <v>8</v>
          </cell>
          <cell r="BQ257">
            <v>0</v>
          </cell>
          <cell r="BR257">
            <v>146500000</v>
          </cell>
          <cell r="BS257">
            <v>146500000</v>
          </cell>
          <cell r="BT257">
            <v>16466600</v>
          </cell>
          <cell r="BU257">
            <v>16466600</v>
          </cell>
          <cell r="BV257" t="str">
            <v>No</v>
          </cell>
        </row>
        <row r="258">
          <cell r="A258">
            <v>543</v>
          </cell>
          <cell r="B258" t="str">
            <v>HAHN FCP-FIS-GERMAN RETAIL FUND</v>
          </cell>
          <cell r="C258" t="str">
            <v>HAHN GROUP</v>
          </cell>
          <cell r="D258" t="str">
            <v>Buddestr. 14</v>
          </cell>
          <cell r="E258">
            <v>51429</v>
          </cell>
          <cell r="F258" t="str">
            <v>Bergisch Gladbach</v>
          </cell>
          <cell r="G258" t="str">
            <v>Germany</v>
          </cell>
          <cell r="H258" t="str">
            <v>+4922049490135</v>
          </cell>
          <cell r="I258" t="str">
            <v>+4922049490212</v>
          </cell>
          <cell r="J258" t="str">
            <v>http://www.hahnag.de</v>
          </cell>
          <cell r="K258" t="str">
            <v>Oliver Luckey</v>
          </cell>
          <cell r="L258" t="str">
            <v>oluckey@hahnag.de</v>
          </cell>
          <cell r="M258" t="str">
            <v>+4922049490135</v>
          </cell>
          <cell r="N258" t="str">
            <v>Oliver Luckey</v>
          </cell>
          <cell r="O258" t="str">
            <v>oluckey@hahnag.de</v>
          </cell>
          <cell r="P258" t="str">
            <v>+4922049490212</v>
          </cell>
          <cell r="Q258" t="str">
            <v>Luxembourg</v>
          </cell>
          <cell r="R258" t="str">
            <v>EUR</v>
          </cell>
          <cell r="S258" t="str">
            <v>IFRS</v>
          </cell>
          <cell r="T258" t="str">
            <v>Monthly</v>
          </cell>
          <cell r="U258" t="str">
            <v>Twice per year</v>
          </cell>
          <cell r="V258" t="str">
            <v>RICS</v>
          </cell>
          <cell r="W258" t="str">
            <v>INREV NAV</v>
          </cell>
          <cell r="X258" t="str">
            <v>PriceWaterhouseCoopers</v>
          </cell>
          <cell r="Y258" t="str">
            <v>FCP</v>
          </cell>
          <cell r="Z258" t="str">
            <v>Yes</v>
          </cell>
          <cell r="AA258" t="str">
            <v>Yes</v>
          </cell>
          <cell r="AB258">
            <v>6</v>
          </cell>
          <cell r="AC258" t="str">
            <v>Non-Listed Fund</v>
          </cell>
          <cell r="AD258" t="str">
            <v>Core</v>
          </cell>
          <cell r="AE258" t="str">
            <v>infinite</v>
          </cell>
          <cell r="AF258" t="str">
            <v>Open end</v>
          </cell>
          <cell r="AG258">
            <v>6</v>
          </cell>
          <cell r="AH258">
            <v>6</v>
          </cell>
          <cell r="AI258" t="str">
            <v>Net</v>
          </cell>
          <cell r="AK258">
            <v>5.5</v>
          </cell>
          <cell r="AL258">
            <v>50</v>
          </cell>
          <cell r="AM258" t="str">
            <v>&gt; 40% - ≤ 60%</v>
          </cell>
          <cell r="AN258" t="str">
            <v>Institutional</v>
          </cell>
          <cell r="AO258" t="str">
            <v>&gt; 2</v>
          </cell>
          <cell r="AP258" t="str">
            <v>≥ 50%</v>
          </cell>
          <cell r="AQ258" t="str">
            <v>Europe</v>
          </cell>
          <cell r="AR258" t="str">
            <v>single country</v>
          </cell>
          <cell r="AT258" t="str">
            <v>Germany</v>
          </cell>
          <cell r="AU258" t="str">
            <v>single sector</v>
          </cell>
          <cell r="AV258" t="str">
            <v>Retail</v>
          </cell>
          <cell r="AW258">
            <v>343500000</v>
          </cell>
          <cell r="AX258">
            <v>500000000</v>
          </cell>
          <cell r="AY258">
            <v>2008</v>
          </cell>
          <cell r="AZ258">
            <v>2020</v>
          </cell>
          <cell r="BA258" t="str">
            <v>Yes</v>
          </cell>
          <cell r="BB258" t="str">
            <v>Yes</v>
          </cell>
          <cell r="BC258" t="str">
            <v>5 years fixed</v>
          </cell>
          <cell r="BD258" t="str">
            <v>Yes</v>
          </cell>
          <cell r="BE258" t="str">
            <v>≥ 60%</v>
          </cell>
          <cell r="BF258" t="str">
            <v>≤ 15%</v>
          </cell>
          <cell r="BG258" t="str">
            <v>≤ 5%</v>
          </cell>
          <cell r="BH258" t="str">
            <v>2020-12-31</v>
          </cell>
          <cell r="BI258">
            <v>551017941</v>
          </cell>
          <cell r="BJ258">
            <v>551017941</v>
          </cell>
          <cell r="BK258">
            <v>358129491</v>
          </cell>
          <cell r="BL258">
            <v>358129491</v>
          </cell>
          <cell r="BM258">
            <v>31.3</v>
          </cell>
          <cell r="BN258" t="str">
            <v>Yes</v>
          </cell>
          <cell r="BO258" t="str">
            <v>External</v>
          </cell>
          <cell r="BP258">
            <v>11</v>
          </cell>
          <cell r="BQ258">
            <v>25</v>
          </cell>
          <cell r="BR258">
            <v>343500000</v>
          </cell>
          <cell r="BS258">
            <v>343500000</v>
          </cell>
          <cell r="BT258">
            <v>343500000</v>
          </cell>
          <cell r="BU258">
            <v>343500000</v>
          </cell>
          <cell r="BV258" t="str">
            <v>No</v>
          </cell>
          <cell r="BW258" t="str">
            <v>Germany</v>
          </cell>
          <cell r="BX258" t="str">
            <v>Retail</v>
          </cell>
          <cell r="BY258">
            <v>100</v>
          </cell>
        </row>
        <row r="259">
          <cell r="A259">
            <v>18216</v>
          </cell>
          <cell r="B259" t="str">
            <v>HAHN GERMAN RETAIL FUND II</v>
          </cell>
          <cell r="C259" t="str">
            <v>HAHN GROUP</v>
          </cell>
          <cell r="D259" t="str">
            <v>Buddestr. 14</v>
          </cell>
          <cell r="E259">
            <v>51429</v>
          </cell>
          <cell r="F259" t="str">
            <v>Bergisch Gladbach</v>
          </cell>
          <cell r="G259" t="str">
            <v>Germany</v>
          </cell>
          <cell r="H259" t="str">
            <v>+49 (0) 2204 9490-135</v>
          </cell>
          <cell r="I259" t="str">
            <v>+49 (0) 2204 9490-202</v>
          </cell>
          <cell r="J259" t="str">
            <v>http://www.hahnag.de</v>
          </cell>
          <cell r="K259" t="str">
            <v>Oliver Luckey</v>
          </cell>
          <cell r="L259" t="str">
            <v>oluckey@hahnag.de</v>
          </cell>
          <cell r="M259" t="str">
            <v>+49 (0) 2204 -9490-135</v>
          </cell>
          <cell r="N259" t="str">
            <v>Oliver Luckey</v>
          </cell>
          <cell r="O259" t="str">
            <v>oluckey@hahnag.de</v>
          </cell>
          <cell r="P259" t="str">
            <v>+49 (0) 2204 -9490-135</v>
          </cell>
          <cell r="Q259" t="str">
            <v>Germany</v>
          </cell>
          <cell r="R259" t="str">
            <v>EUR</v>
          </cell>
          <cell r="S259" t="str">
            <v>Local GAAP</v>
          </cell>
          <cell r="T259" t="str">
            <v>Monthly</v>
          </cell>
          <cell r="U259" t="str">
            <v>Annually</v>
          </cell>
          <cell r="V259" t="str">
            <v>RICS</v>
          </cell>
          <cell r="W259" t="str">
            <v>KARBV</v>
          </cell>
          <cell r="X259" t="str">
            <v>PriceWaterhouseCoopers</v>
          </cell>
          <cell r="Y259" t="str">
            <v>Spezialfonds</v>
          </cell>
          <cell r="Z259" t="str">
            <v>No</v>
          </cell>
          <cell r="AA259" t="str">
            <v>No</v>
          </cell>
          <cell r="AB259">
            <v>4</v>
          </cell>
          <cell r="AC259" t="str">
            <v>Non-Listed Fund</v>
          </cell>
          <cell r="AD259" t="str">
            <v>Core</v>
          </cell>
          <cell r="AE259" t="str">
            <v>infinite</v>
          </cell>
          <cell r="AF259" t="str">
            <v>Open end</v>
          </cell>
          <cell r="AG259">
            <v>6</v>
          </cell>
          <cell r="AH259">
            <v>6</v>
          </cell>
          <cell r="AI259" t="str">
            <v>Net</v>
          </cell>
          <cell r="AJ259" t="str">
            <v>MSCI</v>
          </cell>
          <cell r="AK259">
            <v>4.25</v>
          </cell>
          <cell r="AL259">
            <v>50</v>
          </cell>
          <cell r="AM259" t="str">
            <v>&gt; 40% - ≤ 60%</v>
          </cell>
          <cell r="AN259" t="str">
            <v>Institutional</v>
          </cell>
          <cell r="AO259" t="str">
            <v>&gt; 2</v>
          </cell>
          <cell r="AP259" t="str">
            <v>≥ 50%</v>
          </cell>
          <cell r="AQ259" t="str">
            <v>Europe</v>
          </cell>
          <cell r="AR259" t="str">
            <v>single country</v>
          </cell>
          <cell r="AT259" t="str">
            <v>Germany</v>
          </cell>
          <cell r="AU259" t="str">
            <v>single sector</v>
          </cell>
          <cell r="AV259" t="str">
            <v>Retail</v>
          </cell>
          <cell r="AW259">
            <v>250000000</v>
          </cell>
          <cell r="AX259">
            <v>500000000</v>
          </cell>
          <cell r="AY259">
            <v>2017</v>
          </cell>
          <cell r="BB259" t="str">
            <v>No</v>
          </cell>
          <cell r="BD259" t="str">
            <v>No</v>
          </cell>
          <cell r="BE259" t="str">
            <v>≥ 60%</v>
          </cell>
          <cell r="BF259" t="str">
            <v>≤ 15%</v>
          </cell>
          <cell r="BG259" t="str">
            <v>≤ 5%</v>
          </cell>
          <cell r="BH259" t="str">
            <v>2020-12-31</v>
          </cell>
          <cell r="BI259">
            <v>263607346</v>
          </cell>
          <cell r="BJ259">
            <v>263607346</v>
          </cell>
          <cell r="BK259">
            <v>181067691</v>
          </cell>
          <cell r="BL259">
            <v>181067691</v>
          </cell>
          <cell r="BM259">
            <v>41.3</v>
          </cell>
          <cell r="BN259" t="str">
            <v>No</v>
          </cell>
          <cell r="BO259" t="str">
            <v>External</v>
          </cell>
          <cell r="BP259">
            <v>13</v>
          </cell>
          <cell r="BQ259">
            <v>17</v>
          </cell>
          <cell r="BR259">
            <v>225000000</v>
          </cell>
          <cell r="BS259">
            <v>225000000</v>
          </cell>
          <cell r="BT259">
            <v>176813835</v>
          </cell>
          <cell r="BU259">
            <v>176813835</v>
          </cell>
          <cell r="BV259" t="str">
            <v>No</v>
          </cell>
          <cell r="BW259" t="str">
            <v>Germany</v>
          </cell>
          <cell r="BX259" t="str">
            <v>Retail</v>
          </cell>
          <cell r="BY259">
            <v>100</v>
          </cell>
        </row>
        <row r="260">
          <cell r="A260">
            <v>17867</v>
          </cell>
          <cell r="B260" t="str">
            <v xml:space="preserve">HANSAREAL1				</v>
          </cell>
          <cell r="C260" t="str">
            <v xml:space="preserve">HANSAINVEST HANSEATISCHE INVESTMENT-GMBH				</v>
          </cell>
          <cell r="D260" t="str">
            <v xml:space="preserve">Kapstadtring 8				</v>
          </cell>
          <cell r="E260" t="str">
            <v xml:space="preserve">22297				</v>
          </cell>
          <cell r="F260" t="str">
            <v xml:space="preserve">Hamburg				</v>
          </cell>
          <cell r="G260" t="str">
            <v>Germany</v>
          </cell>
          <cell r="Q260" t="str">
            <v>Germany</v>
          </cell>
          <cell r="R260" t="str">
            <v>EUR</v>
          </cell>
          <cell r="T260" t="str">
            <v>Quarterly</v>
          </cell>
          <cell r="U260" t="str">
            <v>Quarterly</v>
          </cell>
          <cell r="Y260" t="str">
            <v>Spezialfonds</v>
          </cell>
          <cell r="AC260" t="str">
            <v>Non-Listed Fund</v>
          </cell>
          <cell r="AD260" t="str">
            <v>Core</v>
          </cell>
          <cell r="AE260" t="str">
            <v>infinite</v>
          </cell>
          <cell r="AF260" t="str">
            <v>Open end</v>
          </cell>
          <cell r="AN260" t="str">
            <v>Institutional</v>
          </cell>
          <cell r="AO260" t="str">
            <v>≤ 2</v>
          </cell>
          <cell r="AP260" t="str">
            <v>≥ 50%</v>
          </cell>
          <cell r="AQ260" t="str">
            <v>Global</v>
          </cell>
          <cell r="AR260" t="str">
            <v>multi country</v>
          </cell>
          <cell r="AU260" t="str">
            <v>multi sector</v>
          </cell>
          <cell r="AY260">
            <v>1998</v>
          </cell>
          <cell r="BH260" t="str">
            <v>2020-12-31</v>
          </cell>
          <cell r="BI260">
            <v>763013481</v>
          </cell>
          <cell r="BJ260">
            <v>763013481</v>
          </cell>
          <cell r="BK260">
            <v>748531707.76999998</v>
          </cell>
          <cell r="BL260">
            <v>748531707.76999998</v>
          </cell>
          <cell r="BM260">
            <v>1.9</v>
          </cell>
          <cell r="BN260" t="str">
            <v>No</v>
          </cell>
          <cell r="BS260">
            <v>0</v>
          </cell>
          <cell r="BV260" t="str">
            <v>No</v>
          </cell>
        </row>
        <row r="261">
          <cell r="A261">
            <v>17868</v>
          </cell>
          <cell r="B261" t="str">
            <v xml:space="preserve">HANSAREAL2				</v>
          </cell>
          <cell r="C261" t="str">
            <v xml:space="preserve">HANSAINVEST HANSEATISCHE INVESTMENT-GMBH				</v>
          </cell>
          <cell r="D261" t="str">
            <v xml:space="preserve">Kapstadtring 8				</v>
          </cell>
          <cell r="E261" t="str">
            <v xml:space="preserve">22297				</v>
          </cell>
          <cell r="F261" t="str">
            <v xml:space="preserve">Hamburg				</v>
          </cell>
          <cell r="G261" t="str">
            <v>Germany</v>
          </cell>
          <cell r="Q261" t="str">
            <v>Germany</v>
          </cell>
          <cell r="R261" t="str">
            <v>EUR</v>
          </cell>
          <cell r="T261" t="str">
            <v>Quarterly</v>
          </cell>
          <cell r="U261" t="str">
            <v>Quarterly</v>
          </cell>
          <cell r="Y261" t="str">
            <v>Spezialfonds</v>
          </cell>
          <cell r="AC261" t="str">
            <v>Non-Listed Fund</v>
          </cell>
          <cell r="AD261" t="str">
            <v>Core</v>
          </cell>
          <cell r="AE261" t="str">
            <v>infinite</v>
          </cell>
          <cell r="AF261" t="str">
            <v>Open end</v>
          </cell>
          <cell r="AN261" t="str">
            <v>Institutional</v>
          </cell>
          <cell r="AO261" t="str">
            <v>&gt; 2</v>
          </cell>
          <cell r="AP261" t="str">
            <v>≥ 50%</v>
          </cell>
          <cell r="AQ261" t="str">
            <v>Global</v>
          </cell>
          <cell r="AR261" t="str">
            <v>multi country</v>
          </cell>
          <cell r="AU261" t="str">
            <v>multi sector</v>
          </cell>
          <cell r="AY261">
            <v>2002</v>
          </cell>
          <cell r="BH261" t="str">
            <v>2020-12-31</v>
          </cell>
          <cell r="BI261">
            <v>2646424342</v>
          </cell>
          <cell r="BJ261">
            <v>2646424342</v>
          </cell>
          <cell r="BK261">
            <v>2132807065.26</v>
          </cell>
          <cell r="BL261">
            <v>2132807065.26</v>
          </cell>
          <cell r="BM261">
            <v>20.5</v>
          </cell>
          <cell r="BN261" t="str">
            <v>No</v>
          </cell>
          <cell r="BS261">
            <v>0</v>
          </cell>
          <cell r="BV261" t="str">
            <v>No</v>
          </cell>
        </row>
        <row r="262">
          <cell r="A262">
            <v>17234</v>
          </cell>
          <cell r="B262" t="str">
            <v>HARBERT EUROPEAN REAL ESTATE FUND III</v>
          </cell>
          <cell r="C262" t="str">
            <v>HARBERT MANAGEMENT CORPORATION</v>
          </cell>
          <cell r="D262" t="str">
            <v>44 Davies Street</v>
          </cell>
          <cell r="E262" t="str">
            <v>W1K 5DN</v>
          </cell>
          <cell r="F262" t="str">
            <v>London</v>
          </cell>
          <cell r="G262" t="str">
            <v>United Kingdom</v>
          </cell>
          <cell r="H262" t="str">
            <v>+44 (0) 207 408 4120</v>
          </cell>
          <cell r="I262" t="str">
            <v>+44 (0) 207 408 4121</v>
          </cell>
          <cell r="J262" t="str">
            <v>http://www.harbert.net</v>
          </cell>
          <cell r="K262" t="str">
            <v>Scott O'Donnell</v>
          </cell>
          <cell r="L262" t="str">
            <v>sodonnell@harbert.net</v>
          </cell>
          <cell r="M262" t="str">
            <v>+44 (0) 207 408 4131</v>
          </cell>
          <cell r="N262" t="str">
            <v>Michael Larsen</v>
          </cell>
          <cell r="O262" t="str">
            <v>mlarsen@harbert.net</v>
          </cell>
          <cell r="P262" t="str">
            <v>+44 (0) 207 408 4131</v>
          </cell>
          <cell r="Q262" t="str">
            <v>United Kingdom</v>
          </cell>
          <cell r="R262" t="str">
            <v>EUR</v>
          </cell>
          <cell r="S262" t="str">
            <v>US GAAP</v>
          </cell>
          <cell r="T262" t="str">
            <v>Twice per year</v>
          </cell>
          <cell r="U262" t="str">
            <v>Quarterly</v>
          </cell>
          <cell r="V262" t="str">
            <v>US GAAP</v>
          </cell>
          <cell r="X262" t="str">
            <v>PWC</v>
          </cell>
          <cell r="Y262" t="str">
            <v>Limited Partnership</v>
          </cell>
          <cell r="Z262" t="str">
            <v>No</v>
          </cell>
          <cell r="AA262" t="str">
            <v>Yes</v>
          </cell>
          <cell r="AB262">
            <v>6</v>
          </cell>
          <cell r="AC262" t="str">
            <v>Non-Listed Fund</v>
          </cell>
          <cell r="AD262" t="str">
            <v>Opportunity</v>
          </cell>
          <cell r="AE262" t="str">
            <v>finite</v>
          </cell>
          <cell r="AF262" t="str">
            <v>Closed end</v>
          </cell>
          <cell r="AG262">
            <v>20</v>
          </cell>
          <cell r="AH262">
            <v>20</v>
          </cell>
          <cell r="AI262" t="str">
            <v>Net</v>
          </cell>
          <cell r="AL262">
            <v>75</v>
          </cell>
          <cell r="AM262" t="str">
            <v>&gt; 60%</v>
          </cell>
          <cell r="AN262" t="str">
            <v>Institutional and Retail</v>
          </cell>
          <cell r="AO262" t="str">
            <v>&gt; 2</v>
          </cell>
          <cell r="AP262" t="str">
            <v>≥ 50%</v>
          </cell>
          <cell r="AQ262" t="str">
            <v>Europe</v>
          </cell>
          <cell r="AR262" t="str">
            <v>multi country</v>
          </cell>
          <cell r="AS262" t="str">
            <v>Europe</v>
          </cell>
          <cell r="AU262" t="str">
            <v>multi sector</v>
          </cell>
          <cell r="AW262">
            <v>400000000</v>
          </cell>
          <cell r="AX262">
            <v>400000000</v>
          </cell>
          <cell r="AY262">
            <v>2010</v>
          </cell>
          <cell r="AZ262">
            <v>2012</v>
          </cell>
          <cell r="BA262" t="str">
            <v>No</v>
          </cell>
          <cell r="BB262" t="str">
            <v>Yes</v>
          </cell>
          <cell r="BC262" t="str">
            <v>25 years</v>
          </cell>
          <cell r="BD262" t="str">
            <v>No</v>
          </cell>
          <cell r="BH262" t="str">
            <v>2019-06-30</v>
          </cell>
          <cell r="BI262">
            <v>136671947</v>
          </cell>
          <cell r="BJ262">
            <v>136671947</v>
          </cell>
          <cell r="BK262">
            <v>105058435</v>
          </cell>
          <cell r="BL262">
            <v>105058435</v>
          </cell>
          <cell r="BM262">
            <v>23.13</v>
          </cell>
          <cell r="BN262" t="str">
            <v>Yes</v>
          </cell>
          <cell r="BO262" t="str">
            <v>Internal</v>
          </cell>
          <cell r="BP262">
            <v>28</v>
          </cell>
          <cell r="BQ262">
            <v>13</v>
          </cell>
          <cell r="BR262">
            <v>254796859</v>
          </cell>
          <cell r="BS262">
            <v>254796859</v>
          </cell>
          <cell r="BT262">
            <v>321010550</v>
          </cell>
          <cell r="BU262">
            <v>321010550</v>
          </cell>
          <cell r="BW262" t="str">
            <v>United Kingdom</v>
          </cell>
          <cell r="BX262" t="str">
            <v>Development Residential</v>
          </cell>
          <cell r="BY262">
            <v>1.1100000000000001</v>
          </cell>
          <cell r="BZ262" t="str">
            <v>United Kingdom</v>
          </cell>
          <cell r="CA262" t="str">
            <v>Mixed</v>
          </cell>
          <cell r="CB262">
            <v>1.45</v>
          </cell>
          <cell r="CC262" t="str">
            <v>United Kingdom</v>
          </cell>
          <cell r="CD262" t="str">
            <v>Retail</v>
          </cell>
          <cell r="CE262">
            <v>12.86</v>
          </cell>
          <cell r="CF262" t="str">
            <v>United Kingdom</v>
          </cell>
          <cell r="CG262" t="str">
            <v>Industrial / Logistics</v>
          </cell>
          <cell r="CH262">
            <v>26.25</v>
          </cell>
          <cell r="CI262" t="str">
            <v>United Kingdom</v>
          </cell>
          <cell r="CJ262" t="str">
            <v>Office</v>
          </cell>
          <cell r="CK262">
            <v>23.97</v>
          </cell>
          <cell r="CL262" t="str">
            <v>Spain</v>
          </cell>
          <cell r="CM262" t="str">
            <v>Development Residential</v>
          </cell>
          <cell r="CN262">
            <v>6.39</v>
          </cell>
          <cell r="CO262" t="str">
            <v>Spain</v>
          </cell>
          <cell r="CP262" t="str">
            <v>Retail</v>
          </cell>
          <cell r="CQ262">
            <v>4.51</v>
          </cell>
          <cell r="CR262" t="str">
            <v>Spain</v>
          </cell>
          <cell r="CS262" t="str">
            <v>Development Residential</v>
          </cell>
          <cell r="CT262">
            <v>0.19</v>
          </cell>
          <cell r="CU262" t="str">
            <v>France</v>
          </cell>
          <cell r="CV262" t="str">
            <v>Development Office</v>
          </cell>
          <cell r="CW262">
            <v>23</v>
          </cell>
          <cell r="CX262" t="str">
            <v>France</v>
          </cell>
          <cell r="CY262" t="str">
            <v>Residential</v>
          </cell>
          <cell r="CZ262">
            <v>0.27</v>
          </cell>
        </row>
        <row r="263">
          <cell r="A263">
            <v>18540</v>
          </cell>
          <cell r="B263" t="str">
            <v>HARBERT EUROPEAN REAL ESTATE FUND IV, LP</v>
          </cell>
          <cell r="C263" t="str">
            <v>HARBERT FUND ADVISORS INC</v>
          </cell>
          <cell r="D263" t="str">
            <v>44 Davies Street</v>
          </cell>
          <cell r="E263" t="str">
            <v>W1K 5JA</v>
          </cell>
          <cell r="F263" t="str">
            <v>London</v>
          </cell>
          <cell r="G263" t="str">
            <v>United Kingdom</v>
          </cell>
          <cell r="H263" t="str">
            <v>+442074084120</v>
          </cell>
          <cell r="I263" t="str">
            <v>+442074084121</v>
          </cell>
          <cell r="J263" t="str">
            <v>http://www.harbert.net</v>
          </cell>
          <cell r="K263" t="str">
            <v>Scott O'Donnell</v>
          </cell>
          <cell r="L263" t="str">
            <v>sodonnell@harbert.net</v>
          </cell>
          <cell r="M263" t="str">
            <v>+442074084120</v>
          </cell>
          <cell r="N263" t="str">
            <v>Michael Larsen</v>
          </cell>
          <cell r="O263" t="str">
            <v>mlarsen@harbert.net</v>
          </cell>
          <cell r="P263">
            <v>2074084131</v>
          </cell>
          <cell r="Q263" t="str">
            <v>United Kingdom</v>
          </cell>
          <cell r="R263" t="str">
            <v>EUR</v>
          </cell>
          <cell r="S263" t="str">
            <v>US GAAP</v>
          </cell>
          <cell r="T263" t="str">
            <v>Quarterly</v>
          </cell>
          <cell r="U263" t="str">
            <v>Quarterly</v>
          </cell>
          <cell r="V263" t="str">
            <v>US GAAP</v>
          </cell>
          <cell r="X263" t="str">
            <v>PWC</v>
          </cell>
          <cell r="Y263" t="str">
            <v>Real Estate Fund</v>
          </cell>
          <cell r="Z263" t="str">
            <v>No</v>
          </cell>
          <cell r="AA263" t="str">
            <v>Yes</v>
          </cell>
          <cell r="AB263">
            <v>6</v>
          </cell>
          <cell r="AC263" t="str">
            <v>Non-Listed Fund</v>
          </cell>
          <cell r="AD263" t="str">
            <v>Value-added</v>
          </cell>
          <cell r="AE263" t="str">
            <v>finite</v>
          </cell>
          <cell r="AF263" t="str">
            <v>Closed end</v>
          </cell>
          <cell r="AI263" t="str">
            <v>Net</v>
          </cell>
          <cell r="AM263" t="str">
            <v>&gt; 60%</v>
          </cell>
          <cell r="AN263" t="str">
            <v>Institutional</v>
          </cell>
          <cell r="AO263" t="str">
            <v>&gt; 2</v>
          </cell>
          <cell r="AP263" t="str">
            <v>≥ 50%</v>
          </cell>
          <cell r="AQ263" t="str">
            <v>Europe</v>
          </cell>
          <cell r="AR263" t="str">
            <v>multi country</v>
          </cell>
          <cell r="AS263" t="str">
            <v>Western Europe</v>
          </cell>
          <cell r="AU263" t="str">
            <v>multi sector</v>
          </cell>
          <cell r="AY263">
            <v>2015</v>
          </cell>
          <cell r="AZ263">
            <v>2019</v>
          </cell>
          <cell r="BA263" t="str">
            <v>No</v>
          </cell>
          <cell r="BD263" t="str">
            <v>No</v>
          </cell>
          <cell r="BH263" t="str">
            <v>2020-09-30</v>
          </cell>
          <cell r="BI263">
            <v>258572275</v>
          </cell>
          <cell r="BJ263">
            <v>258572275</v>
          </cell>
          <cell r="BK263">
            <v>258572275</v>
          </cell>
          <cell r="BL263">
            <v>258572275</v>
          </cell>
          <cell r="BM263">
            <v>0</v>
          </cell>
          <cell r="BN263" t="str">
            <v>No</v>
          </cell>
          <cell r="BO263" t="str">
            <v>Internal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V263" t="str">
            <v>No</v>
          </cell>
        </row>
        <row r="264">
          <cell r="A264">
            <v>19580</v>
          </cell>
          <cell r="B264" t="str">
            <v>HARBERT EUROPEAN REAL ESTATE FUND V, L.P.</v>
          </cell>
          <cell r="C264" t="str">
            <v>HARBERT FUND ADVISORS, INC. ("HFA")</v>
          </cell>
          <cell r="D264" t="str">
            <v>2100 Third Avenue North, Suite 600</v>
          </cell>
          <cell r="E264">
            <v>35203</v>
          </cell>
          <cell r="F264" t="str">
            <v xml:space="preserve">Birmingham </v>
          </cell>
          <cell r="G264" t="str">
            <v>United States of America</v>
          </cell>
          <cell r="H264" t="str">
            <v>+12059875500</v>
          </cell>
          <cell r="J264" t="str">
            <v>https://www.harbert.net/</v>
          </cell>
          <cell r="K264" t="str">
            <v>Scott O'Donnell</v>
          </cell>
          <cell r="L264" t="str">
            <v>sodonnell@harbert.net</v>
          </cell>
          <cell r="M264" t="str">
            <v>+442074084134</v>
          </cell>
          <cell r="N264" t="str">
            <v>Michael J. Larsen</v>
          </cell>
          <cell r="O264" t="str">
            <v>mlarsen@harbert.net</v>
          </cell>
          <cell r="P264" t="str">
            <v>+442074084131</v>
          </cell>
          <cell r="Q264" t="str">
            <v>United Kingdom</v>
          </cell>
          <cell r="R264" t="str">
            <v>EUR</v>
          </cell>
          <cell r="S264" t="str">
            <v>US GAAP</v>
          </cell>
          <cell r="T264" t="str">
            <v>Quarterly</v>
          </cell>
          <cell r="U264" t="str">
            <v>Annually</v>
          </cell>
          <cell r="V264" t="str">
            <v>Other - mark to market</v>
          </cell>
          <cell r="W264" t="str">
            <v>NAV derived from generally accepted accounting principles (GAAP)</v>
          </cell>
          <cell r="X264" t="str">
            <v>PricewaterhouseCoopers LLP</v>
          </cell>
          <cell r="Y264" t="str">
            <v>Limited Partnership</v>
          </cell>
          <cell r="Z264" t="str">
            <v>No</v>
          </cell>
          <cell r="AA264" t="str">
            <v>Yes</v>
          </cell>
          <cell r="AB264">
            <v>0</v>
          </cell>
          <cell r="AC264" t="str">
            <v>Non-Listed Fund</v>
          </cell>
          <cell r="AD264" t="str">
            <v>Value-added</v>
          </cell>
          <cell r="AE264" t="str">
            <v>finite</v>
          </cell>
          <cell r="AF264" t="str">
            <v>Closed end</v>
          </cell>
          <cell r="AG264">
            <v>12</v>
          </cell>
          <cell r="AH264">
            <v>13</v>
          </cell>
          <cell r="AI264" t="str">
            <v>Net</v>
          </cell>
          <cell r="AM264" t="str">
            <v>&gt; 60%</v>
          </cell>
          <cell r="AN264" t="str">
            <v>Institutional</v>
          </cell>
          <cell r="AO264" t="str">
            <v>&gt; 2</v>
          </cell>
          <cell r="AP264" t="str">
            <v>≥ 50%</v>
          </cell>
          <cell r="AQ264" t="str">
            <v>Europe</v>
          </cell>
          <cell r="AR264" t="str">
            <v>multi country</v>
          </cell>
          <cell r="AS264" t="str">
            <v>Europe</v>
          </cell>
          <cell r="AU264" t="str">
            <v>multi sector</v>
          </cell>
          <cell r="AW264">
            <v>600000000</v>
          </cell>
          <cell r="AY264">
            <v>2017</v>
          </cell>
          <cell r="AZ264">
            <v>2027</v>
          </cell>
          <cell r="BA264" t="str">
            <v>Yes</v>
          </cell>
          <cell r="BB264" t="str">
            <v>Yes</v>
          </cell>
          <cell r="BC264" t="str">
            <v>1+1+1 years</v>
          </cell>
          <cell r="BD264" t="str">
            <v>No</v>
          </cell>
          <cell r="BH264" t="str">
            <v>2020-09-30</v>
          </cell>
          <cell r="BI264">
            <v>245815350</v>
          </cell>
          <cell r="BJ264">
            <v>245815350</v>
          </cell>
          <cell r="BK264">
            <v>245815250</v>
          </cell>
          <cell r="BL264">
            <v>245815250</v>
          </cell>
          <cell r="BM264">
            <v>0</v>
          </cell>
          <cell r="BN264" t="str">
            <v>No</v>
          </cell>
          <cell r="BO264" t="str">
            <v>Internal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V264" t="str">
            <v>No</v>
          </cell>
        </row>
        <row r="265">
          <cell r="A265">
            <v>224</v>
          </cell>
          <cell r="B265" t="str">
            <v>HARBERT EUROPEAN REAL ESTATE FUND, B.V.</v>
          </cell>
          <cell r="C265" t="str">
            <v>HARBERT MANAGEMENT CORPORATION</v>
          </cell>
          <cell r="D265" t="str">
            <v>34 Brook Street</v>
          </cell>
          <cell r="E265" t="str">
            <v>W1K 5DN</v>
          </cell>
          <cell r="F265" t="str">
            <v>London</v>
          </cell>
          <cell r="G265" t="str">
            <v>United Kingdom</v>
          </cell>
          <cell r="H265" t="str">
            <v>+44 (0) 207 408 4120</v>
          </cell>
          <cell r="I265" t="str">
            <v>+44 (0) 207 408 4121</v>
          </cell>
          <cell r="J265" t="str">
            <v>http://www.harbert.net</v>
          </cell>
          <cell r="K265" t="str">
            <v>Michael Larsen</v>
          </cell>
          <cell r="L265" t="str">
            <v>mlarsen@harbert.net</v>
          </cell>
          <cell r="M265" t="str">
            <v>+44 (0) 207 408 4131</v>
          </cell>
          <cell r="N265" t="str">
            <v>Michael Larsen</v>
          </cell>
          <cell r="O265" t="str">
            <v>mlarsen@harbert.net</v>
          </cell>
          <cell r="P265" t="str">
            <v>+44 (0) 207 408 4131</v>
          </cell>
          <cell r="Q265" t="str">
            <v>Netherlands</v>
          </cell>
          <cell r="R265" t="str">
            <v>USD</v>
          </cell>
          <cell r="T265" t="str">
            <v>Quarterly</v>
          </cell>
          <cell r="U265" t="str">
            <v>Quarterly</v>
          </cell>
          <cell r="V265" t="str">
            <v>Other - mark to market</v>
          </cell>
          <cell r="X265" t="str">
            <v>PriceWaterhouseCoopers</v>
          </cell>
          <cell r="Y265" t="str">
            <v>BV</v>
          </cell>
          <cell r="AB265">
            <v>0</v>
          </cell>
          <cell r="AC265" t="str">
            <v>Non-Listed Fund</v>
          </cell>
          <cell r="AD265" t="str">
            <v>Opportunity</v>
          </cell>
          <cell r="AE265" t="str">
            <v>finite</v>
          </cell>
          <cell r="AF265" t="str">
            <v>Closed end</v>
          </cell>
          <cell r="AG265">
            <v>20</v>
          </cell>
          <cell r="AH265">
            <v>20</v>
          </cell>
          <cell r="AM265" t="str">
            <v>&gt; 60%</v>
          </cell>
          <cell r="AN265" t="str">
            <v>Institutional</v>
          </cell>
          <cell r="AO265" t="str">
            <v>&gt; 2</v>
          </cell>
          <cell r="AP265" t="str">
            <v>≥ 50%</v>
          </cell>
          <cell r="AQ265" t="str">
            <v>Europe</v>
          </cell>
          <cell r="AR265" t="str">
            <v>multi country</v>
          </cell>
          <cell r="AS265" t="str">
            <v>Europe</v>
          </cell>
          <cell r="AU265" t="str">
            <v>multi sector</v>
          </cell>
          <cell r="AY265">
            <v>2006</v>
          </cell>
          <cell r="BA265" t="str">
            <v>Yes</v>
          </cell>
          <cell r="BB265" t="str">
            <v>Yes</v>
          </cell>
          <cell r="BC265" t="str">
            <v>4 years</v>
          </cell>
          <cell r="BH265" t="str">
            <v>2017-09-30</v>
          </cell>
          <cell r="BI265">
            <v>43286376</v>
          </cell>
          <cell r="BJ265">
            <v>36680734.190175682</v>
          </cell>
          <cell r="BK265">
            <v>36205067</v>
          </cell>
          <cell r="BL265">
            <v>30680055.982614521</v>
          </cell>
          <cell r="BM265">
            <v>0</v>
          </cell>
          <cell r="BS265">
            <v>0</v>
          </cell>
        </row>
        <row r="266">
          <cell r="A266">
            <v>18308</v>
          </cell>
          <cell r="B266" t="str">
            <v>HB REAVIS CE REIF</v>
          </cell>
          <cell r="C266" t="str">
            <v>HB REAVIS INVESTMENT MANAGEMENT</v>
          </cell>
          <cell r="D266" t="str">
            <v>Karadzicova 12</v>
          </cell>
          <cell r="E266" t="str">
            <v>821 08</v>
          </cell>
          <cell r="F266" t="str">
            <v>Bratislava</v>
          </cell>
          <cell r="G266" t="str">
            <v>Slovakia</v>
          </cell>
          <cell r="H266" t="str">
            <v>+421258303030</v>
          </cell>
          <cell r="K266" t="str">
            <v>Peter Grancic</v>
          </cell>
          <cell r="L266" t="str">
            <v>peter.grancic@hbreavis.com</v>
          </cell>
          <cell r="M266" t="str">
            <v>+421903241723</v>
          </cell>
          <cell r="N266" t="str">
            <v>Monika Vu</v>
          </cell>
          <cell r="O266" t="str">
            <v>huyentrang.vu@hbreavis.com</v>
          </cell>
          <cell r="P266" t="str">
            <v>+421908206473</v>
          </cell>
          <cell r="Q266" t="str">
            <v>Luxembourg</v>
          </cell>
          <cell r="R266" t="str">
            <v>EUR</v>
          </cell>
          <cell r="S266" t="str">
            <v>IFRS</v>
          </cell>
          <cell r="T266" t="str">
            <v>Monthly</v>
          </cell>
          <cell r="U266" t="str">
            <v>Twice per year</v>
          </cell>
          <cell r="V266" t="str">
            <v>RICS</v>
          </cell>
          <cell r="W266" t="str">
            <v>IFRS NAV</v>
          </cell>
          <cell r="X266" t="str">
            <v>PwC</v>
          </cell>
          <cell r="Y266" t="str">
            <v>Investment Fund</v>
          </cell>
          <cell r="Z266" t="str">
            <v>No</v>
          </cell>
          <cell r="AA266" t="str">
            <v>No</v>
          </cell>
          <cell r="AB266">
            <v>3</v>
          </cell>
          <cell r="AC266" t="str">
            <v>Non-Listed Fund</v>
          </cell>
          <cell r="AD266" t="str">
            <v>Core</v>
          </cell>
          <cell r="AE266" t="str">
            <v>infinite</v>
          </cell>
          <cell r="AF266" t="str">
            <v>Open end</v>
          </cell>
          <cell r="AG266">
            <v>9</v>
          </cell>
          <cell r="AH266">
            <v>12</v>
          </cell>
          <cell r="AI266" t="str">
            <v>Net</v>
          </cell>
          <cell r="AK266">
            <v>6</v>
          </cell>
          <cell r="AL266">
            <v>60</v>
          </cell>
          <cell r="AM266" t="str">
            <v>&gt; 60%</v>
          </cell>
          <cell r="AN266" t="str">
            <v>Institutional and Retail</v>
          </cell>
          <cell r="AO266" t="str">
            <v>&gt; 2</v>
          </cell>
          <cell r="AP266" t="str">
            <v>≥ 50%</v>
          </cell>
          <cell r="AQ266" t="str">
            <v>Europe</v>
          </cell>
          <cell r="AR266" t="str">
            <v>multi country</v>
          </cell>
          <cell r="AS266" t="str">
            <v>Central and Eastern Europe(CEE)</v>
          </cell>
          <cell r="AU266" t="str">
            <v>multi sector</v>
          </cell>
          <cell r="AY266">
            <v>2011</v>
          </cell>
          <cell r="BF266" t="str">
            <v>≤ 15%</v>
          </cell>
          <cell r="BG266" t="str">
            <v>≤ 5%</v>
          </cell>
          <cell r="BH266" t="str">
            <v>2020-06-30</v>
          </cell>
          <cell r="BI266">
            <v>349500000</v>
          </cell>
          <cell r="BJ266">
            <v>349500000</v>
          </cell>
          <cell r="BK266">
            <v>136584007.41999999</v>
          </cell>
          <cell r="BL266">
            <v>136584007.41999999</v>
          </cell>
          <cell r="BM266">
            <v>59</v>
          </cell>
          <cell r="BN266" t="str">
            <v>No</v>
          </cell>
          <cell r="BO266" t="str">
            <v>External</v>
          </cell>
          <cell r="BP266">
            <v>4</v>
          </cell>
          <cell r="BQ266">
            <v>5</v>
          </cell>
          <cell r="BR266">
            <v>136584007.41999999</v>
          </cell>
          <cell r="BS266">
            <v>136584007.41999999</v>
          </cell>
          <cell r="BT266">
            <v>136584007.41999999</v>
          </cell>
          <cell r="BU266">
            <v>136584007.41999999</v>
          </cell>
          <cell r="BV266" t="str">
            <v>Yes</v>
          </cell>
          <cell r="BW266" t="str">
            <v>Czech Republic</v>
          </cell>
          <cell r="BX266" t="str">
            <v>Retail</v>
          </cell>
          <cell r="BY266">
            <v>26</v>
          </cell>
          <cell r="BZ266" t="str">
            <v>Slovakia</v>
          </cell>
          <cell r="CA266" t="str">
            <v>Office</v>
          </cell>
          <cell r="CB266">
            <v>74</v>
          </cell>
        </row>
        <row r="267">
          <cell r="A267">
            <v>228</v>
          </cell>
          <cell r="B267" t="str">
            <v>HEALTH CARE I</v>
          </cell>
          <cell r="C267" t="str">
            <v>DWS ALTERNATIVES GMBH</v>
          </cell>
          <cell r="D267" t="str">
            <v>Mainzer Landstraße 11-17</v>
          </cell>
          <cell r="E267">
            <v>60329</v>
          </cell>
          <cell r="F267" t="str">
            <v>Frankfurt am Main</v>
          </cell>
          <cell r="G267" t="str">
            <v>Germany</v>
          </cell>
          <cell r="H267" t="str">
            <v>+496991016661</v>
          </cell>
          <cell r="I267" t="str">
            <v>+496991016909</v>
          </cell>
          <cell r="J267" t="str">
            <v>https://www.dws.de/</v>
          </cell>
          <cell r="K267" t="str">
            <v>Markus Wickenträger</v>
          </cell>
          <cell r="L267" t="str">
            <v>markus.wickentraeger@dws.com</v>
          </cell>
          <cell r="M267" t="str">
            <v>+496991016457</v>
          </cell>
          <cell r="N267" t="str">
            <v>Dr. Ulrich von Creytz</v>
          </cell>
          <cell r="O267" t="str">
            <v>ulrich-von.creytz@dws.com</v>
          </cell>
          <cell r="P267" t="str">
            <v>+496991016429</v>
          </cell>
          <cell r="Q267" t="str">
            <v>Germany</v>
          </cell>
          <cell r="R267" t="str">
            <v>EUR</v>
          </cell>
          <cell r="S267" t="str">
            <v>HGB</v>
          </cell>
          <cell r="T267" t="str">
            <v>Quarterly</v>
          </cell>
          <cell r="U267" t="str">
            <v>Annually</v>
          </cell>
          <cell r="V267" t="str">
            <v>ImmoWertV</v>
          </cell>
          <cell r="W267" t="str">
            <v>KAGB</v>
          </cell>
          <cell r="X267" t="str">
            <v>KPMG</v>
          </cell>
          <cell r="Y267" t="str">
            <v>Spezialfonds</v>
          </cell>
          <cell r="Z267" t="str">
            <v>No</v>
          </cell>
          <cell r="AA267" t="str">
            <v>No</v>
          </cell>
          <cell r="AB267">
            <v>0</v>
          </cell>
          <cell r="AC267" t="str">
            <v>Non-Listed Fund</v>
          </cell>
          <cell r="AD267" t="str">
            <v>Core</v>
          </cell>
          <cell r="AE267" t="str">
            <v>infinite</v>
          </cell>
          <cell r="AF267" t="str">
            <v>Open end</v>
          </cell>
          <cell r="AG267">
            <v>6</v>
          </cell>
          <cell r="AH267">
            <v>7</v>
          </cell>
          <cell r="AI267" t="str">
            <v>Net</v>
          </cell>
          <cell r="AJ267" t="str">
            <v>MSCI SFIX</v>
          </cell>
          <cell r="AK267">
            <v>6</v>
          </cell>
          <cell r="AL267">
            <v>45</v>
          </cell>
          <cell r="AM267" t="str">
            <v>&gt; 40% - ≤ 60%</v>
          </cell>
          <cell r="AN267" t="str">
            <v>Institutional</v>
          </cell>
          <cell r="AO267" t="str">
            <v>&gt; 2</v>
          </cell>
          <cell r="AP267" t="str">
            <v>≥ 50%</v>
          </cell>
          <cell r="AQ267" t="str">
            <v>Europe</v>
          </cell>
          <cell r="AR267" t="str">
            <v>single country</v>
          </cell>
          <cell r="AT267" t="str">
            <v>Germany</v>
          </cell>
          <cell r="AU267" t="str">
            <v>single sector</v>
          </cell>
          <cell r="AV267" t="str">
            <v>Health Care</v>
          </cell>
          <cell r="AW267">
            <v>250000000</v>
          </cell>
          <cell r="AX267">
            <v>450000000</v>
          </cell>
          <cell r="AY267">
            <v>2006</v>
          </cell>
          <cell r="BB267" t="str">
            <v>No</v>
          </cell>
          <cell r="BD267" t="str">
            <v>No</v>
          </cell>
          <cell r="BE267" t="str">
            <v>≥ 60%</v>
          </cell>
          <cell r="BH267" t="str">
            <v>2020-12-31</v>
          </cell>
          <cell r="BI267">
            <v>252549180.28</v>
          </cell>
          <cell r="BJ267">
            <v>252549180.28</v>
          </cell>
          <cell r="BK267">
            <v>152043910.28</v>
          </cell>
          <cell r="BL267">
            <v>152043910.28</v>
          </cell>
          <cell r="BM267">
            <v>39.799999999999997</v>
          </cell>
          <cell r="BN267" t="str">
            <v>Yes</v>
          </cell>
          <cell r="BO267" t="str">
            <v>External</v>
          </cell>
          <cell r="BP267">
            <v>9</v>
          </cell>
          <cell r="BQ267">
            <v>17</v>
          </cell>
          <cell r="BR267">
            <v>159500000</v>
          </cell>
          <cell r="BS267">
            <v>159500000</v>
          </cell>
          <cell r="BT267">
            <v>129601184</v>
          </cell>
          <cell r="BU267">
            <v>129601184</v>
          </cell>
          <cell r="BV267" t="str">
            <v>No</v>
          </cell>
          <cell r="BW267" t="str">
            <v>Germany</v>
          </cell>
          <cell r="BX267" t="str">
            <v>Health Care</v>
          </cell>
          <cell r="BY267">
            <v>100</v>
          </cell>
        </row>
        <row r="268">
          <cell r="A268">
            <v>16074</v>
          </cell>
          <cell r="B268" t="str">
            <v>HEALTH PROPERTY FUND 1</v>
          </cell>
          <cell r="C268" t="str">
            <v>BNP PARIBAS REIM FRANCE</v>
          </cell>
          <cell r="D268" t="str">
            <v>167 Quai de Stalingrad</v>
          </cell>
          <cell r="E268">
            <v>92867</v>
          </cell>
          <cell r="F268" t="str">
            <v xml:space="preserve">Issy Les Moulineaux Cedex </v>
          </cell>
          <cell r="G268" t="str">
            <v>France</v>
          </cell>
          <cell r="I268" t="str">
            <v>+33155652754</v>
          </cell>
          <cell r="J268" t="str">
            <v>http://reim.bnpparibas.fr</v>
          </cell>
          <cell r="K268" t="str">
            <v>Paul Darribère</v>
          </cell>
          <cell r="L268" t="str">
            <v>paul.darribere@bnpparibas.com</v>
          </cell>
          <cell r="M268" t="str">
            <v>+33147592303</v>
          </cell>
          <cell r="N268" t="str">
            <v>Marc Sillon</v>
          </cell>
          <cell r="O268" t="str">
            <v>marc.sillon@bnpparibas.com</v>
          </cell>
          <cell r="P268" t="str">
            <v>+33155652757</v>
          </cell>
          <cell r="Q268" t="str">
            <v>France</v>
          </cell>
          <cell r="R268" t="str">
            <v>EUR</v>
          </cell>
          <cell r="S268" t="str">
            <v>Local GAAP</v>
          </cell>
          <cell r="T268" t="str">
            <v>Quarterly</v>
          </cell>
          <cell r="U268" t="str">
            <v>Quarterly</v>
          </cell>
          <cell r="V268" t="str">
            <v>RICS</v>
          </cell>
          <cell r="W268" t="str">
            <v>French GAAP</v>
          </cell>
          <cell r="X268" t="str">
            <v>KPMG</v>
          </cell>
          <cell r="Y268" t="str">
            <v>SPPICAV Professionnelle</v>
          </cell>
          <cell r="Z268" t="str">
            <v>Yes</v>
          </cell>
          <cell r="AA268" t="str">
            <v>Yes</v>
          </cell>
          <cell r="AB268">
            <v>0</v>
          </cell>
          <cell r="AC268" t="str">
            <v>Non-Listed Fund</v>
          </cell>
          <cell r="AD268" t="str">
            <v>Core</v>
          </cell>
          <cell r="AE268" t="str">
            <v>finite</v>
          </cell>
          <cell r="AF268" t="str">
            <v>Closed end</v>
          </cell>
          <cell r="AG268">
            <v>0</v>
          </cell>
          <cell r="AH268">
            <v>8.5</v>
          </cell>
          <cell r="AI268" t="str">
            <v>Net</v>
          </cell>
          <cell r="AJ268" t="str">
            <v>none</v>
          </cell>
          <cell r="AK268">
            <v>6</v>
          </cell>
          <cell r="AL268">
            <v>40</v>
          </cell>
          <cell r="AM268" t="str">
            <v>&gt; 40% - ≤ 60%</v>
          </cell>
          <cell r="AN268" t="str">
            <v>Institutional</v>
          </cell>
          <cell r="AO268" t="str">
            <v>&gt; 2</v>
          </cell>
          <cell r="AP268" t="str">
            <v>≥ 50%</v>
          </cell>
          <cell r="AQ268" t="str">
            <v>Europe</v>
          </cell>
          <cell r="AR268" t="str">
            <v>single country</v>
          </cell>
          <cell r="AT268" t="str">
            <v>France</v>
          </cell>
          <cell r="AU268" t="str">
            <v>single sector</v>
          </cell>
          <cell r="AV268" t="str">
            <v>Health Care</v>
          </cell>
          <cell r="AW268">
            <v>300000000</v>
          </cell>
          <cell r="AX268">
            <v>500000000</v>
          </cell>
          <cell r="AY268">
            <v>2011</v>
          </cell>
          <cell r="AZ268">
            <v>2022</v>
          </cell>
          <cell r="BA268" t="str">
            <v>Yes</v>
          </cell>
          <cell r="BB268" t="str">
            <v>No</v>
          </cell>
          <cell r="BD268" t="str">
            <v>No</v>
          </cell>
          <cell r="BE268" t="str">
            <v>≥ 60%</v>
          </cell>
          <cell r="BF268" t="str">
            <v>≤ 15%</v>
          </cell>
          <cell r="BG268" t="str">
            <v>≤ 5%</v>
          </cell>
          <cell r="BH268" t="str">
            <v>2020-12-31</v>
          </cell>
          <cell r="BI268">
            <v>579329557</v>
          </cell>
          <cell r="BJ268">
            <v>579329557</v>
          </cell>
          <cell r="BK268">
            <v>392833300</v>
          </cell>
          <cell r="BL268">
            <v>392833300</v>
          </cell>
          <cell r="BM268">
            <v>31.2029</v>
          </cell>
          <cell r="BN268" t="str">
            <v>Yes</v>
          </cell>
          <cell r="BO268" t="str">
            <v>External</v>
          </cell>
          <cell r="BP268">
            <v>29</v>
          </cell>
          <cell r="BQ268">
            <v>33</v>
          </cell>
          <cell r="BR268">
            <v>334910000</v>
          </cell>
          <cell r="BS268">
            <v>334910000</v>
          </cell>
          <cell r="BT268">
            <v>334910000</v>
          </cell>
          <cell r="BU268">
            <v>334910000</v>
          </cell>
          <cell r="BV268" t="str">
            <v>No</v>
          </cell>
          <cell r="BW268" t="str">
            <v>France</v>
          </cell>
          <cell r="BX268" t="str">
            <v>Health Care</v>
          </cell>
          <cell r="BY268">
            <v>94</v>
          </cell>
        </row>
        <row r="269">
          <cell r="A269">
            <v>18409</v>
          </cell>
          <cell r="B269" t="str">
            <v>HEARTHSTONE RESIDENTIAL FUND 1 LP</v>
          </cell>
          <cell r="C269" t="str">
            <v>HEARTHSTONE INVESTMENT MANAGEMENT LTD</v>
          </cell>
          <cell r="D269" t="str">
            <v>23 Austin Friars</v>
          </cell>
          <cell r="E269" t="str">
            <v>EC2N 2QP</v>
          </cell>
          <cell r="F269" t="str">
            <v>London</v>
          </cell>
          <cell r="G269" t="str">
            <v>United Kingdom</v>
          </cell>
          <cell r="H269" t="str">
            <v>+442033011300</v>
          </cell>
          <cell r="J269" t="str">
            <v>http://www.hearthstone-im.co.uk/</v>
          </cell>
          <cell r="K269" t="str">
            <v>Andrew Smith</v>
          </cell>
          <cell r="L269" t="str">
            <v>asmith@hearthstone.co.uk</v>
          </cell>
          <cell r="M269" t="str">
            <v>+447799131733</v>
          </cell>
          <cell r="N269" t="str">
            <v>Michael Dinsdale</v>
          </cell>
          <cell r="O269" t="str">
            <v>mdinsdale@hearthstone.co.uk</v>
          </cell>
          <cell r="P269" t="str">
            <v>+447804750871</v>
          </cell>
          <cell r="Q269" t="str">
            <v>United Kingdom</v>
          </cell>
          <cell r="R269" t="str">
            <v>GBP</v>
          </cell>
          <cell r="S269" t="str">
            <v>IFRS</v>
          </cell>
          <cell r="T269" t="str">
            <v>Quarterly</v>
          </cell>
          <cell r="U269" t="str">
            <v>Quarterly</v>
          </cell>
          <cell r="V269" t="str">
            <v>RICS</v>
          </cell>
          <cell r="W269" t="str">
            <v>IFRS NAV</v>
          </cell>
          <cell r="X269" t="str">
            <v>KPMG</v>
          </cell>
          <cell r="Y269" t="str">
            <v>Limited Partnership</v>
          </cell>
          <cell r="Z269" t="str">
            <v>No</v>
          </cell>
          <cell r="AA269" t="str">
            <v>Yes</v>
          </cell>
          <cell r="AB269">
            <v>2</v>
          </cell>
          <cell r="AC269" t="str">
            <v>Non-Listed Fund</v>
          </cell>
          <cell r="AD269" t="str">
            <v>Core</v>
          </cell>
          <cell r="AE269" t="str">
            <v>finite</v>
          </cell>
          <cell r="AF269" t="str">
            <v>Closed end</v>
          </cell>
          <cell r="AG269">
            <v>7</v>
          </cell>
          <cell r="AH269">
            <v>10</v>
          </cell>
          <cell r="AI269" t="str">
            <v>Gross</v>
          </cell>
          <cell r="AJ269" t="str">
            <v>Absolute</v>
          </cell>
          <cell r="AK269">
            <v>4</v>
          </cell>
          <cell r="AL269">
            <v>0</v>
          </cell>
          <cell r="AN269" t="str">
            <v>Institutional</v>
          </cell>
          <cell r="AO269" t="str">
            <v>&gt; 2</v>
          </cell>
          <cell r="AP269" t="str">
            <v>≥ 50%</v>
          </cell>
          <cell r="AQ269" t="str">
            <v>Europe</v>
          </cell>
          <cell r="AR269" t="str">
            <v>single country</v>
          </cell>
          <cell r="AT269" t="str">
            <v>United Kingdom</v>
          </cell>
          <cell r="AU269" t="str">
            <v>single sector</v>
          </cell>
          <cell r="AV269" t="str">
            <v>Residential</v>
          </cell>
          <cell r="AW269">
            <v>200</v>
          </cell>
          <cell r="AX269">
            <v>200</v>
          </cell>
          <cell r="AY269">
            <v>2017</v>
          </cell>
          <cell r="AZ269">
            <v>2027</v>
          </cell>
          <cell r="BA269" t="str">
            <v>Yes</v>
          </cell>
          <cell r="BB269" t="str">
            <v>Yes</v>
          </cell>
          <cell r="BC269" t="str">
            <v>1+1+1+1+1 years</v>
          </cell>
          <cell r="BD269" t="str">
            <v>No</v>
          </cell>
          <cell r="BE269" t="str">
            <v>≥ 60%</v>
          </cell>
          <cell r="BF269" t="str">
            <v>≤ 15%</v>
          </cell>
          <cell r="BG269" t="str">
            <v>≤ 5%</v>
          </cell>
        </row>
        <row r="270">
          <cell r="A270">
            <v>19618</v>
          </cell>
          <cell r="B270" t="str">
            <v>HEARTHSTONE RESIDENTIAL FUND 2 LP</v>
          </cell>
          <cell r="C270" t="str">
            <v>HEARTHSTONE INVESTMENT MANAGEMENT LTD</v>
          </cell>
          <cell r="D270" t="str">
            <v>23 Austin Friars</v>
          </cell>
          <cell r="E270" t="str">
            <v>EC2N 2QP</v>
          </cell>
          <cell r="F270" t="str">
            <v>London</v>
          </cell>
          <cell r="G270" t="str">
            <v>United Kingdom</v>
          </cell>
          <cell r="H270" t="str">
            <v>+442033011300</v>
          </cell>
          <cell r="J270" t="str">
            <v>www.hearthstone-im.co.uk</v>
          </cell>
          <cell r="K270" t="str">
            <v>Andrew Smith</v>
          </cell>
          <cell r="L270" t="str">
            <v>asmith@hearthstone.co.uk</v>
          </cell>
          <cell r="M270" t="str">
            <v>+447799131733</v>
          </cell>
          <cell r="N270" t="str">
            <v>Michael Dinsdale</v>
          </cell>
          <cell r="O270" t="str">
            <v>mdinsdale@hearthstone.co.uk</v>
          </cell>
          <cell r="P270" t="str">
            <v>+447804750871</v>
          </cell>
          <cell r="Q270" t="str">
            <v>United Kingdom</v>
          </cell>
          <cell r="R270" t="str">
            <v>GBP</v>
          </cell>
          <cell r="S270" t="str">
            <v>IFRS</v>
          </cell>
          <cell r="T270" t="str">
            <v>Quarterly</v>
          </cell>
          <cell r="U270" t="str">
            <v>Quarterly</v>
          </cell>
          <cell r="V270" t="str">
            <v>RICS</v>
          </cell>
          <cell r="W270" t="str">
            <v>IFRS NAV</v>
          </cell>
          <cell r="X270" t="str">
            <v>KPMG</v>
          </cell>
          <cell r="Y270" t="str">
            <v>Limited Partnership</v>
          </cell>
          <cell r="Z270" t="str">
            <v>Yes</v>
          </cell>
          <cell r="AA270" t="str">
            <v>Yes</v>
          </cell>
          <cell r="AB270">
            <v>2</v>
          </cell>
          <cell r="AC270" t="str">
            <v>Non-Listed Fund</v>
          </cell>
          <cell r="AD270" t="str">
            <v>Core</v>
          </cell>
          <cell r="AE270" t="str">
            <v>finite</v>
          </cell>
          <cell r="AF270" t="str">
            <v>Open end</v>
          </cell>
          <cell r="AG270">
            <v>7</v>
          </cell>
          <cell r="AH270">
            <v>8</v>
          </cell>
          <cell r="AI270" t="str">
            <v>Net</v>
          </cell>
          <cell r="AK270">
            <v>4</v>
          </cell>
          <cell r="AN270" t="str">
            <v>Institutional</v>
          </cell>
          <cell r="AO270" t="str">
            <v>&gt; 2</v>
          </cell>
          <cell r="AP270" t="str">
            <v>≥ 50%</v>
          </cell>
          <cell r="AQ270" t="str">
            <v>Europe</v>
          </cell>
          <cell r="AR270" t="str">
            <v>single country</v>
          </cell>
          <cell r="AT270" t="str">
            <v>United Kingdom</v>
          </cell>
          <cell r="AU270" t="str">
            <v>single sector</v>
          </cell>
          <cell r="AV270" t="str">
            <v>Residential</v>
          </cell>
          <cell r="AW270">
            <v>300000000</v>
          </cell>
          <cell r="AX270">
            <v>300000000</v>
          </cell>
          <cell r="AY270">
            <v>2020</v>
          </cell>
          <cell r="AZ270">
            <v>2030</v>
          </cell>
          <cell r="BA270" t="str">
            <v>Yes</v>
          </cell>
          <cell r="BB270" t="str">
            <v>Yes</v>
          </cell>
          <cell r="BD270" t="str">
            <v>No</v>
          </cell>
          <cell r="BE270" t="str">
            <v>≥ 60%</v>
          </cell>
          <cell r="BF270" t="str">
            <v>≤ 15%</v>
          </cell>
          <cell r="BG270" t="str">
            <v>≤ 5%</v>
          </cell>
        </row>
        <row r="271">
          <cell r="A271">
            <v>19578</v>
          </cell>
          <cell r="B271" t="str">
            <v xml:space="preserve">HEIDELBERGER IMMOBILIEN FONDS </v>
          </cell>
          <cell r="C271" t="str">
            <v>WARBURG-HIH INVEST REAL ESTATE GMBH</v>
          </cell>
          <cell r="D271" t="str">
            <v>Gertrudenstraße 9</v>
          </cell>
          <cell r="E271">
            <v>20095</v>
          </cell>
          <cell r="F271" t="str">
            <v>Hamburg</v>
          </cell>
          <cell r="G271" t="str">
            <v>Germany</v>
          </cell>
          <cell r="Q271" t="str">
            <v>Germany</v>
          </cell>
          <cell r="R271" t="str">
            <v>EUR</v>
          </cell>
          <cell r="S271" t="str">
            <v>German Capital Investment Law</v>
          </cell>
          <cell r="T271" t="str">
            <v>Quarterly</v>
          </cell>
          <cell r="U271" t="str">
            <v>Quarterly</v>
          </cell>
          <cell r="V271" t="str">
            <v>ImmoWertV</v>
          </cell>
          <cell r="W271" t="str">
            <v>BVI-Method</v>
          </cell>
          <cell r="Y271" t="str">
            <v>Spezialfonds</v>
          </cell>
          <cell r="Z271" t="str">
            <v>No</v>
          </cell>
          <cell r="AB271">
            <v>0</v>
          </cell>
          <cell r="AC271" t="str">
            <v>Non-Listed Fund</v>
          </cell>
          <cell r="AD271" t="str">
            <v>Core</v>
          </cell>
          <cell r="AE271" t="str">
            <v>infinite</v>
          </cell>
          <cell r="AF271" t="str">
            <v>Open end</v>
          </cell>
          <cell r="AM271" t="str">
            <v>&gt; 40% - ≤ 60%</v>
          </cell>
          <cell r="AN271" t="str">
            <v>Institutional</v>
          </cell>
          <cell r="AO271" t="str">
            <v>&gt; 2</v>
          </cell>
          <cell r="AP271" t="str">
            <v>≥ 50%</v>
          </cell>
          <cell r="AQ271" t="str">
            <v>Europe</v>
          </cell>
          <cell r="AR271" t="str">
            <v>single country</v>
          </cell>
          <cell r="AT271" t="str">
            <v>Germany</v>
          </cell>
          <cell r="AU271" t="str">
            <v>multi sector</v>
          </cell>
          <cell r="AY271">
            <v>2019</v>
          </cell>
          <cell r="BE271" t="str">
            <v>≥ 60%</v>
          </cell>
          <cell r="BH271" t="str">
            <v>2020-12-31</v>
          </cell>
          <cell r="BI271">
            <v>100674509.89</v>
          </cell>
          <cell r="BJ271">
            <v>100674509.89</v>
          </cell>
          <cell r="BK271">
            <v>86237692.75</v>
          </cell>
          <cell r="BL271">
            <v>86237692.75</v>
          </cell>
          <cell r="BM271">
            <v>30.73</v>
          </cell>
          <cell r="BN271" t="str">
            <v>No</v>
          </cell>
          <cell r="BO271" t="str">
            <v>External</v>
          </cell>
          <cell r="BP271">
            <v>1</v>
          </cell>
          <cell r="BQ271">
            <v>3</v>
          </cell>
          <cell r="BR271">
            <v>178906000</v>
          </cell>
          <cell r="BS271">
            <v>178906000</v>
          </cell>
          <cell r="BT271">
            <v>84832896.75</v>
          </cell>
          <cell r="BU271">
            <v>84832896.75</v>
          </cell>
          <cell r="BV271" t="str">
            <v>No</v>
          </cell>
          <cell r="BW271" t="str">
            <v>Germany</v>
          </cell>
          <cell r="BX271" t="str">
            <v>Parking</v>
          </cell>
          <cell r="BY271">
            <v>4.74</v>
          </cell>
          <cell r="BZ271" t="str">
            <v>Germany</v>
          </cell>
          <cell r="CA271" t="str">
            <v>Residential</v>
          </cell>
          <cell r="CB271">
            <v>95.17</v>
          </cell>
          <cell r="CC271" t="str">
            <v>Germany</v>
          </cell>
          <cell r="CD271" t="str">
            <v>Industrial / Logistics</v>
          </cell>
          <cell r="CE271">
            <v>0.09</v>
          </cell>
        </row>
        <row r="272">
          <cell r="A272">
            <v>514</v>
          </cell>
          <cell r="B272" t="str">
            <v>HEITMAN EUROPEAN PROPERTY PARTNERS IV</v>
          </cell>
          <cell r="C272" t="str">
            <v>HEITMAN INTERNATIONAL</v>
          </cell>
          <cell r="D272" t="str">
            <v>8 Hanover Street</v>
          </cell>
          <cell r="E272" t="str">
            <v>W1S 1YQ</v>
          </cell>
          <cell r="F272" t="str">
            <v>London</v>
          </cell>
          <cell r="G272" t="str">
            <v>United Kingdom</v>
          </cell>
          <cell r="H272" t="str">
            <v>+44 207 318 1030</v>
          </cell>
          <cell r="I272" t="str">
            <v>+44 207 318 1031</v>
          </cell>
          <cell r="J272" t="str">
            <v>http://www.heitman.com</v>
          </cell>
          <cell r="K272" t="str">
            <v>Ronan O'Donoghue</v>
          </cell>
          <cell r="L272" t="str">
            <v>Ronan.ODonoghue@heitman.com</v>
          </cell>
          <cell r="M272" t="str">
            <v>+44 207 318 1037</v>
          </cell>
          <cell r="N272" t="str">
            <v>Ajay Sharma</v>
          </cell>
          <cell r="O272" t="str">
            <v>ajay.sharma@heitman.com</v>
          </cell>
          <cell r="P272" t="str">
            <v>+44 207 318 1031</v>
          </cell>
          <cell r="Q272" t="str">
            <v>Luxembourg</v>
          </cell>
          <cell r="R272" t="str">
            <v>EUR</v>
          </cell>
          <cell r="S272" t="str">
            <v>LUXGAAP</v>
          </cell>
          <cell r="T272" t="str">
            <v>Quarterly</v>
          </cell>
          <cell r="U272" t="str">
            <v>Annually</v>
          </cell>
          <cell r="V272" t="str">
            <v>RICS</v>
          </cell>
          <cell r="X272" t="str">
            <v>Ernst &amp; Young</v>
          </cell>
          <cell r="Y272" t="str">
            <v>FCP</v>
          </cell>
          <cell r="Z272" t="str">
            <v>Yes</v>
          </cell>
          <cell r="AA272" t="str">
            <v>Yes</v>
          </cell>
          <cell r="AB272">
            <v>0</v>
          </cell>
          <cell r="AC272" t="str">
            <v>Non-Listed Fund</v>
          </cell>
          <cell r="AD272" t="str">
            <v>Value-added</v>
          </cell>
          <cell r="AE272" t="str">
            <v>finite</v>
          </cell>
          <cell r="AF272" t="str">
            <v>Closed end</v>
          </cell>
          <cell r="AG272">
            <v>13</v>
          </cell>
          <cell r="AH272">
            <v>15</v>
          </cell>
          <cell r="AI272" t="str">
            <v>Net</v>
          </cell>
          <cell r="AJ272" t="str">
            <v>IPD CEE Annual Property Index</v>
          </cell>
          <cell r="AL272">
            <v>65</v>
          </cell>
          <cell r="AM272" t="str">
            <v>&gt; 60%</v>
          </cell>
          <cell r="AN272" t="str">
            <v>Institutional</v>
          </cell>
          <cell r="AO272" t="str">
            <v>&gt; 2</v>
          </cell>
          <cell r="AP272" t="str">
            <v>≥ 50%</v>
          </cell>
          <cell r="AQ272" t="str">
            <v>Europe</v>
          </cell>
          <cell r="AR272" t="str">
            <v>multi country</v>
          </cell>
          <cell r="AS272" t="str">
            <v>Central and Eastern Europe(CEE)</v>
          </cell>
          <cell r="AU272" t="str">
            <v>multi sector</v>
          </cell>
          <cell r="AW272">
            <v>406078337</v>
          </cell>
          <cell r="AX272">
            <v>1715000000</v>
          </cell>
          <cell r="AY272">
            <v>2008</v>
          </cell>
          <cell r="AZ272">
            <v>2019</v>
          </cell>
          <cell r="BA272" t="str">
            <v>Yes</v>
          </cell>
          <cell r="BB272" t="str">
            <v>Yes</v>
          </cell>
          <cell r="BC272" t="str">
            <v>1+1 years</v>
          </cell>
          <cell r="BE272" t="str">
            <v>&lt; 60%</v>
          </cell>
          <cell r="BH272" t="str">
            <v>2020-12-31</v>
          </cell>
          <cell r="BI272">
            <v>54123296</v>
          </cell>
          <cell r="BJ272">
            <v>54123296</v>
          </cell>
          <cell r="BK272">
            <v>18993638</v>
          </cell>
          <cell r="BL272">
            <v>18993638</v>
          </cell>
          <cell r="BM272">
            <v>0</v>
          </cell>
          <cell r="BN272" t="str">
            <v>No</v>
          </cell>
          <cell r="BO272" t="str">
            <v>Internal</v>
          </cell>
          <cell r="BP272">
            <v>10</v>
          </cell>
          <cell r="BQ272">
            <v>1</v>
          </cell>
          <cell r="BR272">
            <v>406078337</v>
          </cell>
          <cell r="BS272">
            <v>406078337</v>
          </cell>
          <cell r="BT272">
            <v>376720912</v>
          </cell>
          <cell r="BU272">
            <v>376720912</v>
          </cell>
          <cell r="BV272" t="str">
            <v>No</v>
          </cell>
          <cell r="BW272" t="str">
            <v>Poland</v>
          </cell>
          <cell r="BX272" t="str">
            <v>Residential</v>
          </cell>
          <cell r="BY272">
            <v>100</v>
          </cell>
        </row>
        <row r="273">
          <cell r="A273">
            <v>18280</v>
          </cell>
          <cell r="B273" t="str">
            <v>HEITMAN EUROPEAN RESIDENTIAL INVESTMENT PARTNERS I SCSP</v>
          </cell>
          <cell r="C273" t="str">
            <v>HEITMAN MANAGEMENT COMPANY S.à R.L.</v>
          </cell>
          <cell r="D273" t="str">
            <v>4 Boulevard Royal</v>
          </cell>
          <cell r="E273" t="str">
            <v>L-2449</v>
          </cell>
          <cell r="F273" t="str">
            <v>Luxembourg</v>
          </cell>
          <cell r="G273" t="str">
            <v>Luxembourg</v>
          </cell>
          <cell r="H273" t="str">
            <v>+35226290927</v>
          </cell>
          <cell r="J273" t="str">
            <v>http://www.heitman.com</v>
          </cell>
          <cell r="K273" t="str">
            <v>Gordon Black</v>
          </cell>
          <cell r="L273" t="str">
            <v>Gordon.Black@heitman.com</v>
          </cell>
          <cell r="M273" t="str">
            <v>+442073181035</v>
          </cell>
          <cell r="N273" t="str">
            <v>Ajay Sharma</v>
          </cell>
          <cell r="O273" t="str">
            <v>Ajay.Sharma@heitman.com</v>
          </cell>
          <cell r="P273" t="str">
            <v>+442073181032</v>
          </cell>
          <cell r="Q273" t="str">
            <v>Luxembourg</v>
          </cell>
          <cell r="R273" t="str">
            <v>EUR</v>
          </cell>
          <cell r="S273" t="str">
            <v>IFRS</v>
          </cell>
          <cell r="T273" t="str">
            <v>Quarterly</v>
          </cell>
          <cell r="U273" t="str">
            <v>Annually</v>
          </cell>
          <cell r="V273" t="str">
            <v>RICS</v>
          </cell>
          <cell r="W273" t="str">
            <v>INREV NAV</v>
          </cell>
          <cell r="X273" t="str">
            <v>Ernst &amp; Young</v>
          </cell>
          <cell r="Y273" t="str">
            <v>Limited Partnership</v>
          </cell>
          <cell r="Z273" t="str">
            <v>Yes</v>
          </cell>
          <cell r="AA273" t="str">
            <v>Yes</v>
          </cell>
          <cell r="AB273">
            <v>0</v>
          </cell>
          <cell r="AC273" t="str">
            <v>Non-Listed Fund</v>
          </cell>
          <cell r="AD273" t="str">
            <v>Core</v>
          </cell>
          <cell r="AE273" t="str">
            <v>finite</v>
          </cell>
          <cell r="AF273" t="str">
            <v>Closed end</v>
          </cell>
          <cell r="AG273">
            <v>7</v>
          </cell>
          <cell r="AH273">
            <v>9</v>
          </cell>
          <cell r="AI273" t="str">
            <v>Net</v>
          </cell>
          <cell r="AL273">
            <v>40</v>
          </cell>
          <cell r="AM273" t="str">
            <v>≤ 40%</v>
          </cell>
          <cell r="AN273" t="str">
            <v>Institutional</v>
          </cell>
          <cell r="AO273" t="str">
            <v>&gt; 2</v>
          </cell>
          <cell r="AP273" t="str">
            <v>≥ 50%</v>
          </cell>
          <cell r="AQ273" t="str">
            <v>Europe</v>
          </cell>
          <cell r="AR273" t="str">
            <v>multi country</v>
          </cell>
          <cell r="AS273" t="str">
            <v>Western Europe</v>
          </cell>
          <cell r="AU273" t="str">
            <v>single sector</v>
          </cell>
          <cell r="AV273" t="str">
            <v>Residential</v>
          </cell>
          <cell r="AW273">
            <v>240570000</v>
          </cell>
          <cell r="AX273">
            <v>400950000</v>
          </cell>
          <cell r="AY273">
            <v>2016</v>
          </cell>
          <cell r="AZ273">
            <v>2023</v>
          </cell>
          <cell r="BA273" t="str">
            <v>Yes</v>
          </cell>
          <cell r="BB273" t="str">
            <v>Yes</v>
          </cell>
          <cell r="BC273" t="str">
            <v>1+1+1 years</v>
          </cell>
          <cell r="BD273" t="str">
            <v>No</v>
          </cell>
          <cell r="BE273" t="str">
            <v>&lt; 60%</v>
          </cell>
          <cell r="BH273" t="str">
            <v>2020-12-31</v>
          </cell>
          <cell r="BI273">
            <v>567247314</v>
          </cell>
          <cell r="BJ273">
            <v>567247314</v>
          </cell>
          <cell r="BK273">
            <v>320411867</v>
          </cell>
          <cell r="BL273">
            <v>320411867</v>
          </cell>
          <cell r="BM273">
            <v>32.799999999999997</v>
          </cell>
          <cell r="BN273" t="str">
            <v>No</v>
          </cell>
          <cell r="BO273" t="str">
            <v>External</v>
          </cell>
          <cell r="BP273">
            <v>6</v>
          </cell>
          <cell r="BQ273">
            <v>159</v>
          </cell>
          <cell r="BR273">
            <v>240570000</v>
          </cell>
          <cell r="BS273">
            <v>240570000</v>
          </cell>
          <cell r="BT273">
            <v>223925000</v>
          </cell>
          <cell r="BU273">
            <v>223925000</v>
          </cell>
          <cell r="BV273" t="str">
            <v>No</v>
          </cell>
          <cell r="BW273" t="str">
            <v>Netherlands</v>
          </cell>
          <cell r="BX273" t="str">
            <v>Mixed</v>
          </cell>
          <cell r="BY273">
            <v>12.82</v>
          </cell>
          <cell r="BZ273" t="str">
            <v>Germany</v>
          </cell>
          <cell r="CA273" t="str">
            <v>Mixed</v>
          </cell>
          <cell r="CB273">
            <v>82.84</v>
          </cell>
        </row>
        <row r="274">
          <cell r="A274">
            <v>18281</v>
          </cell>
          <cell r="B274" t="str">
            <v>HEITMAN EUROPEAN RESIDENTIAL INVESTMENT PARTNERS II SCSP</v>
          </cell>
          <cell r="C274" t="str">
            <v>HEITMAN MANAGEMENT COMPANY S.à R.L.</v>
          </cell>
          <cell r="D274" t="str">
            <v>4 Boulevard Royal</v>
          </cell>
          <cell r="E274" t="str">
            <v>L-2449</v>
          </cell>
          <cell r="F274" t="str">
            <v>Luxembourg</v>
          </cell>
          <cell r="G274" t="str">
            <v>Luxembourg</v>
          </cell>
          <cell r="H274" t="str">
            <v>+35226290927</v>
          </cell>
          <cell r="J274" t="str">
            <v>http://www.heitman.com</v>
          </cell>
          <cell r="K274" t="str">
            <v>Gordon Black</v>
          </cell>
          <cell r="L274" t="str">
            <v>Gordon.Black@heitman.com</v>
          </cell>
          <cell r="M274" t="str">
            <v>+442073181035</v>
          </cell>
          <cell r="N274" t="str">
            <v>Ajay Sharma</v>
          </cell>
          <cell r="O274" t="str">
            <v>Ajay.Sharma@heitman.com</v>
          </cell>
          <cell r="P274" t="str">
            <v>+442073181032</v>
          </cell>
          <cell r="Q274" t="str">
            <v>Luxembourg</v>
          </cell>
          <cell r="R274" t="str">
            <v>EUR</v>
          </cell>
          <cell r="S274" t="str">
            <v>IFRS</v>
          </cell>
          <cell r="T274" t="str">
            <v>Quarterly</v>
          </cell>
          <cell r="U274" t="str">
            <v>Annually</v>
          </cell>
          <cell r="V274" t="str">
            <v>RICS</v>
          </cell>
          <cell r="W274" t="str">
            <v>INREV NAV</v>
          </cell>
          <cell r="X274" t="str">
            <v>Ernst &amp; young</v>
          </cell>
          <cell r="Y274" t="str">
            <v>Limited Partnership</v>
          </cell>
          <cell r="Z274" t="str">
            <v>Yes</v>
          </cell>
          <cell r="AA274" t="str">
            <v>Yes</v>
          </cell>
          <cell r="AB274">
            <v>0</v>
          </cell>
          <cell r="AC274" t="str">
            <v>Non-Listed Fund</v>
          </cell>
          <cell r="AD274" t="str">
            <v>Core</v>
          </cell>
          <cell r="AE274" t="str">
            <v>finite</v>
          </cell>
          <cell r="AF274" t="str">
            <v>Closed end</v>
          </cell>
          <cell r="AG274">
            <v>7</v>
          </cell>
          <cell r="AH274">
            <v>9</v>
          </cell>
          <cell r="AI274" t="str">
            <v>Net</v>
          </cell>
          <cell r="AL274">
            <v>40</v>
          </cell>
          <cell r="AM274" t="str">
            <v>≤ 40%</v>
          </cell>
          <cell r="AN274" t="str">
            <v>Institutional</v>
          </cell>
          <cell r="AO274" t="str">
            <v>&gt; 2</v>
          </cell>
          <cell r="AP274" t="str">
            <v>≥ 50%</v>
          </cell>
          <cell r="AQ274" t="str">
            <v>Europe</v>
          </cell>
          <cell r="AR274" t="str">
            <v>multi country</v>
          </cell>
          <cell r="AS274" t="str">
            <v>Western Europe</v>
          </cell>
          <cell r="AU274" t="str">
            <v>single sector</v>
          </cell>
          <cell r="AV274" t="str">
            <v>Residential</v>
          </cell>
          <cell r="AW274">
            <v>26730000</v>
          </cell>
          <cell r="AX274">
            <v>44550000</v>
          </cell>
          <cell r="AY274">
            <v>2016</v>
          </cell>
          <cell r="AZ274">
            <v>2023</v>
          </cell>
          <cell r="BA274" t="str">
            <v>Yes</v>
          </cell>
          <cell r="BB274" t="str">
            <v>Yes</v>
          </cell>
          <cell r="BC274" t="str">
            <v>1+1+1 years</v>
          </cell>
          <cell r="BD274" t="str">
            <v>No</v>
          </cell>
          <cell r="BE274" t="str">
            <v>&lt; 60%</v>
          </cell>
          <cell r="BH274" t="str">
            <v>2020-12-31</v>
          </cell>
          <cell r="BI274">
            <v>63071961</v>
          </cell>
          <cell r="BJ274">
            <v>63071961</v>
          </cell>
          <cell r="BK274">
            <v>35557551</v>
          </cell>
          <cell r="BL274">
            <v>35557551</v>
          </cell>
          <cell r="BM274">
            <v>32.799999999999997</v>
          </cell>
          <cell r="BN274" t="str">
            <v>Yes</v>
          </cell>
          <cell r="BO274" t="str">
            <v>External</v>
          </cell>
          <cell r="BP274">
            <v>6</v>
          </cell>
          <cell r="BQ274">
            <v>159</v>
          </cell>
          <cell r="BR274">
            <v>26730000</v>
          </cell>
          <cell r="BS274">
            <v>26730000</v>
          </cell>
          <cell r="BT274">
            <v>24925000</v>
          </cell>
          <cell r="BU274">
            <v>24925000</v>
          </cell>
          <cell r="BV274" t="str">
            <v>No</v>
          </cell>
          <cell r="BW274" t="str">
            <v>Netherlands</v>
          </cell>
          <cell r="BX274" t="str">
            <v>Mixed</v>
          </cell>
          <cell r="BY274">
            <v>12.81</v>
          </cell>
          <cell r="BZ274" t="str">
            <v>Germany</v>
          </cell>
          <cell r="CA274" t="str">
            <v>Mixed</v>
          </cell>
          <cell r="CB274">
            <v>82.78</v>
          </cell>
        </row>
        <row r="275">
          <cell r="A275">
            <v>238</v>
          </cell>
          <cell r="B275" t="str">
            <v>HERCULES UNIT TRUST</v>
          </cell>
          <cell r="C275" t="str">
            <v>BRITISH LAND, YORK HOUSE</v>
          </cell>
          <cell r="D275" t="str">
            <v>43-45 Seymour Street</v>
          </cell>
          <cell r="E275" t="str">
            <v>W1H 7LX</v>
          </cell>
          <cell r="F275" t="str">
            <v>London</v>
          </cell>
          <cell r="G275" t="str">
            <v>United Kingdom</v>
          </cell>
          <cell r="H275" t="str">
            <v>+44 (0) 20 7486 4466</v>
          </cell>
          <cell r="I275" t="str">
            <v>+44 (0) 20 7935 5552</v>
          </cell>
          <cell r="J275" t="str">
            <v>http://www.britishland.com/</v>
          </cell>
          <cell r="K275" t="str">
            <v>Matteo Miglio</v>
          </cell>
          <cell r="L275" t="str">
            <v>Matteo.Miglio@britishland.com</v>
          </cell>
          <cell r="M275" t="str">
            <v>+44 (0) 20 7467 3497</v>
          </cell>
          <cell r="N275" t="str">
            <v xml:space="preserve">Matteo Miglio (portfolio manager) </v>
          </cell>
          <cell r="O275" t="str">
            <v>Matteo.Miglio@britishland.com</v>
          </cell>
          <cell r="P275" t="str">
            <v>+44 (0) 20 7467 3497</v>
          </cell>
          <cell r="Q275" t="str">
            <v>Jersey</v>
          </cell>
          <cell r="R275" t="str">
            <v>GBP</v>
          </cell>
          <cell r="T275" t="str">
            <v>Twice per year</v>
          </cell>
          <cell r="U275" t="str">
            <v>Monthly</v>
          </cell>
          <cell r="V275" t="str">
            <v>RICS</v>
          </cell>
          <cell r="W275" t="str">
            <v>INREV NAV</v>
          </cell>
          <cell r="X275" t="str">
            <v>PriceWaterhouseCoopers</v>
          </cell>
          <cell r="Y275" t="str">
            <v>Property Unit Trust</v>
          </cell>
          <cell r="Z275" t="str">
            <v>Yes</v>
          </cell>
          <cell r="AA275" t="str">
            <v>No</v>
          </cell>
          <cell r="AB275">
            <v>0</v>
          </cell>
          <cell r="AC275" t="str">
            <v>Non-Listed Fund</v>
          </cell>
          <cell r="AD275" t="str">
            <v>Core</v>
          </cell>
          <cell r="AE275" t="str">
            <v>finite</v>
          </cell>
          <cell r="AF275" t="str">
            <v>Closed end</v>
          </cell>
          <cell r="AJ275" t="str">
            <v>IPD UK Retail Warehouse Quarterly Index</v>
          </cell>
          <cell r="AM275" t="str">
            <v>&gt; 40% - ≤ 60%</v>
          </cell>
          <cell r="AN275" t="str">
            <v>Institutional</v>
          </cell>
          <cell r="AO275" t="str">
            <v>&gt; 2</v>
          </cell>
          <cell r="AP275" t="str">
            <v>≥ 50%</v>
          </cell>
          <cell r="AQ275" t="str">
            <v>Europe</v>
          </cell>
          <cell r="AR275" t="str">
            <v>single country</v>
          </cell>
          <cell r="AT275" t="str">
            <v>United Kingdom</v>
          </cell>
          <cell r="AU275" t="str">
            <v>single sector</v>
          </cell>
          <cell r="AV275" t="str">
            <v>Retail</v>
          </cell>
          <cell r="AY275">
            <v>2000</v>
          </cell>
          <cell r="AZ275">
            <v>2020</v>
          </cell>
          <cell r="BA275" t="str">
            <v>Yes</v>
          </cell>
          <cell r="BB275" t="str">
            <v>Yes</v>
          </cell>
          <cell r="BC275" t="str">
            <v>10 years</v>
          </cell>
          <cell r="BH275" t="str">
            <v>2020-12-31</v>
          </cell>
          <cell r="BI275">
            <v>701215000</v>
          </cell>
          <cell r="BJ275">
            <v>775227608.65042496</v>
          </cell>
          <cell r="BK275">
            <v>193796497</v>
          </cell>
          <cell r="BL275">
            <v>214251541.87252021</v>
          </cell>
          <cell r="BM275">
            <v>46.65</v>
          </cell>
          <cell r="BN275" t="str">
            <v>No</v>
          </cell>
          <cell r="BS275">
            <v>0</v>
          </cell>
          <cell r="BW275" t="str">
            <v>United Kingdom</v>
          </cell>
          <cell r="BX275" t="str">
            <v>Retail</v>
          </cell>
          <cell r="BY275">
            <v>100</v>
          </cell>
        </row>
        <row r="276">
          <cell r="A276">
            <v>242</v>
          </cell>
          <cell r="B276" t="str">
            <v>HIGHCROSS REGIONAL UK PARTNERS</v>
          </cell>
          <cell r="C276" t="str">
            <v>HIGHCROSS STRETEGIC ADVISERS LTD</v>
          </cell>
          <cell r="D276" t="str">
            <v>St Catherine's House, Oxford Square</v>
          </cell>
          <cell r="E276" t="str">
            <v>RG14 1JQ</v>
          </cell>
          <cell r="F276" t="str">
            <v>Newbury</v>
          </cell>
          <cell r="G276" t="str">
            <v>United Kingdom</v>
          </cell>
          <cell r="H276" t="str">
            <v>+44 (0) 1635 521 088</v>
          </cell>
          <cell r="I276" t="str">
            <v>+44 (0) 1635 35 432</v>
          </cell>
          <cell r="J276" t="str">
            <v>http://www.highcross.co.uk</v>
          </cell>
          <cell r="K276" t="str">
            <v>Peter Gubb</v>
          </cell>
          <cell r="N276" t="str">
            <v>Mike Megan</v>
          </cell>
          <cell r="P276" t="str">
            <v>+44 (0) 1635 35 432</v>
          </cell>
          <cell r="Q276" t="str">
            <v>United States of America</v>
          </cell>
          <cell r="R276" t="str">
            <v>GBP</v>
          </cell>
          <cell r="S276" t="str">
            <v>US GAAP</v>
          </cell>
          <cell r="T276" t="str">
            <v>Quarterly</v>
          </cell>
          <cell r="U276" t="str">
            <v>Quarterly</v>
          </cell>
          <cell r="V276" t="str">
            <v>RICS</v>
          </cell>
          <cell r="X276" t="str">
            <v>Deloitte &amp; Touche</v>
          </cell>
          <cell r="Y276" t="str">
            <v>Limited Partnership</v>
          </cell>
          <cell r="AB276">
            <v>0</v>
          </cell>
          <cell r="AC276" t="str">
            <v>Non-Listed Fund</v>
          </cell>
          <cell r="AD276" t="str">
            <v>Value-added</v>
          </cell>
          <cell r="AE276" t="str">
            <v>finite</v>
          </cell>
          <cell r="AF276" t="str">
            <v>Closed end</v>
          </cell>
          <cell r="AJ276" t="str">
            <v>IPD</v>
          </cell>
          <cell r="AL276">
            <v>65</v>
          </cell>
          <cell r="AM276" t="str">
            <v>&gt; 60%</v>
          </cell>
          <cell r="AN276" t="str">
            <v>Institutional</v>
          </cell>
          <cell r="AO276" t="str">
            <v>&gt; 2</v>
          </cell>
          <cell r="AP276" t="str">
            <v>≥ 50%</v>
          </cell>
          <cell r="AQ276" t="str">
            <v>Europe</v>
          </cell>
          <cell r="AR276" t="str">
            <v>single country</v>
          </cell>
          <cell r="AT276" t="str">
            <v>United Kingdom</v>
          </cell>
          <cell r="AU276" t="str">
            <v>multi sector</v>
          </cell>
          <cell r="AX276">
            <v>524250000</v>
          </cell>
          <cell r="AY276">
            <v>2004</v>
          </cell>
          <cell r="AZ276">
            <v>2012</v>
          </cell>
          <cell r="BA276" t="str">
            <v>Yes</v>
          </cell>
          <cell r="BB276" t="str">
            <v>Yes</v>
          </cell>
          <cell r="BC276" t="str">
            <v>2 years</v>
          </cell>
          <cell r="BH276" t="str">
            <v>2015-03-31</v>
          </cell>
          <cell r="BI276">
            <v>1292540</v>
          </cell>
          <cell r="BJ276">
            <v>1767354.5689999999</v>
          </cell>
          <cell r="BK276">
            <v>1116124</v>
          </cell>
          <cell r="BL276">
            <v>1526132.1514000001</v>
          </cell>
          <cell r="BM276">
            <v>0</v>
          </cell>
          <cell r="BN276" t="str">
            <v>No</v>
          </cell>
          <cell r="BO276" t="str">
            <v>Internal</v>
          </cell>
          <cell r="BR276">
            <v>150000000</v>
          </cell>
          <cell r="BS276">
            <v>192420000</v>
          </cell>
          <cell r="BT276">
            <v>134275000</v>
          </cell>
          <cell r="BU276">
            <v>172247970</v>
          </cell>
        </row>
        <row r="277">
          <cell r="A277">
            <v>243</v>
          </cell>
          <cell r="B277" t="str">
            <v>HIGHCROSS REGIONAL UK PARTNERS II</v>
          </cell>
          <cell r="C277" t="str">
            <v>HIGHCROSS STRETEGIC ADVISERS LTD</v>
          </cell>
          <cell r="D277" t="str">
            <v>St Catherine's House, Oxford Square</v>
          </cell>
          <cell r="E277" t="str">
            <v>RG14 1JQ</v>
          </cell>
          <cell r="F277" t="str">
            <v>Newbury</v>
          </cell>
          <cell r="G277" t="str">
            <v>United Kingdom</v>
          </cell>
          <cell r="H277" t="str">
            <v>+44 (0) 1635 521 088</v>
          </cell>
          <cell r="I277" t="str">
            <v>+44 (0) 1635 35 432</v>
          </cell>
          <cell r="J277" t="str">
            <v>http://www.highcross.co.uk</v>
          </cell>
          <cell r="K277" t="str">
            <v>Peter Gubb</v>
          </cell>
          <cell r="N277" t="str">
            <v>Mike Megan</v>
          </cell>
          <cell r="P277" t="str">
            <v>+44 (0) 1635 35 432</v>
          </cell>
          <cell r="Q277" t="str">
            <v>United Kingdom</v>
          </cell>
          <cell r="R277" t="str">
            <v>GBP</v>
          </cell>
          <cell r="S277" t="str">
            <v>US GAAP</v>
          </cell>
          <cell r="T277" t="str">
            <v>Quarterly</v>
          </cell>
          <cell r="U277" t="str">
            <v>Quarterly</v>
          </cell>
          <cell r="V277" t="str">
            <v>RICS</v>
          </cell>
          <cell r="X277" t="str">
            <v>Deloitte &amp; Touche</v>
          </cell>
          <cell r="Y277" t="str">
            <v>Limited Partnership</v>
          </cell>
          <cell r="AB277">
            <v>0</v>
          </cell>
          <cell r="AC277" t="str">
            <v>Non-Listed Fund</v>
          </cell>
          <cell r="AD277" t="str">
            <v>Value-added</v>
          </cell>
          <cell r="AE277" t="str">
            <v>finite</v>
          </cell>
          <cell r="AF277" t="str">
            <v>Closed end</v>
          </cell>
          <cell r="AJ277" t="str">
            <v>IPD</v>
          </cell>
          <cell r="AL277">
            <v>70</v>
          </cell>
          <cell r="AM277" t="str">
            <v>&gt; 60%</v>
          </cell>
          <cell r="AN277" t="str">
            <v>Institutional</v>
          </cell>
          <cell r="AO277" t="str">
            <v>&gt; 2</v>
          </cell>
          <cell r="AP277" t="str">
            <v>≥ 50%</v>
          </cell>
          <cell r="AQ277" t="str">
            <v>Europe</v>
          </cell>
          <cell r="AR277" t="str">
            <v>single country</v>
          </cell>
          <cell r="AT277" t="str">
            <v>United Kingdom</v>
          </cell>
          <cell r="AU277" t="str">
            <v>multi sector</v>
          </cell>
          <cell r="AX277">
            <v>1323460000</v>
          </cell>
          <cell r="AY277">
            <v>2006</v>
          </cell>
          <cell r="AZ277">
            <v>2014</v>
          </cell>
          <cell r="BH277" t="str">
            <v>2015-03-31</v>
          </cell>
          <cell r="BI277">
            <v>94082000</v>
          </cell>
          <cell r="BJ277">
            <v>128643022.7</v>
          </cell>
          <cell r="BK277">
            <v>0</v>
          </cell>
          <cell r="BL277">
            <v>0</v>
          </cell>
          <cell r="BM277">
            <v>100</v>
          </cell>
          <cell r="BN277" t="str">
            <v>No</v>
          </cell>
          <cell r="BO277" t="str">
            <v>Internal</v>
          </cell>
          <cell r="BR277">
            <v>325050000</v>
          </cell>
          <cell r="BS277">
            <v>416974140</v>
          </cell>
          <cell r="BT277">
            <v>325050000</v>
          </cell>
          <cell r="BU277">
            <v>416974140</v>
          </cell>
          <cell r="BV277" t="str">
            <v>No</v>
          </cell>
        </row>
        <row r="278">
          <cell r="A278">
            <v>244</v>
          </cell>
          <cell r="B278" t="str">
            <v>HIGHCROSS REGIONAL UK PARTNERS III</v>
          </cell>
          <cell r="C278" t="str">
            <v>HIGHCROSS STRATEGIC ADVISERS</v>
          </cell>
          <cell r="D278" t="str">
            <v>St Catherine's House, Oxford Square</v>
          </cell>
          <cell r="E278" t="str">
            <v>RG14 1JQ</v>
          </cell>
          <cell r="F278" t="str">
            <v>Newbury</v>
          </cell>
          <cell r="G278" t="str">
            <v>United Kingdom</v>
          </cell>
          <cell r="H278" t="str">
            <v>+44 (0) 1635 521 088</v>
          </cell>
          <cell r="I278" t="str">
            <v>+44 (0) 1635 35 432</v>
          </cell>
          <cell r="J278" t="str">
            <v>http://www.highcross.co.uk</v>
          </cell>
          <cell r="K278" t="str">
            <v>Peter Gubb</v>
          </cell>
          <cell r="N278" t="str">
            <v>Mike Megan</v>
          </cell>
          <cell r="P278" t="str">
            <v>+44 (0) 1635 35 432</v>
          </cell>
          <cell r="Q278" t="str">
            <v>United Kingdom</v>
          </cell>
          <cell r="R278" t="str">
            <v>GBP</v>
          </cell>
          <cell r="S278" t="str">
            <v>US GAAP</v>
          </cell>
          <cell r="T278" t="str">
            <v>Quarterly</v>
          </cell>
          <cell r="U278" t="str">
            <v>Annually</v>
          </cell>
          <cell r="V278" t="str">
            <v>RICS</v>
          </cell>
          <cell r="X278" t="str">
            <v>Deloitte &amp; Touche</v>
          </cell>
          <cell r="Y278" t="str">
            <v>Limited Partnership</v>
          </cell>
          <cell r="Z278" t="str">
            <v>No</v>
          </cell>
          <cell r="AB278">
            <v>0</v>
          </cell>
          <cell r="AC278" t="str">
            <v>Non-Listed Fund</v>
          </cell>
          <cell r="AD278" t="str">
            <v>Value-added</v>
          </cell>
          <cell r="AE278" t="str">
            <v>finite</v>
          </cell>
          <cell r="AF278" t="str">
            <v>Closed end</v>
          </cell>
          <cell r="AG278">
            <v>18</v>
          </cell>
          <cell r="AH278">
            <v>20</v>
          </cell>
          <cell r="AI278" t="str">
            <v>Net</v>
          </cell>
          <cell r="AL278">
            <v>70</v>
          </cell>
          <cell r="AM278" t="str">
            <v>&gt; 60%</v>
          </cell>
          <cell r="AN278" t="str">
            <v>Institutional</v>
          </cell>
          <cell r="AO278" t="str">
            <v>&gt; 2</v>
          </cell>
          <cell r="AP278" t="str">
            <v>≥ 50%</v>
          </cell>
          <cell r="AQ278" t="str">
            <v>Europe</v>
          </cell>
          <cell r="AR278" t="str">
            <v>single country</v>
          </cell>
          <cell r="AT278" t="str">
            <v>United Kingdom</v>
          </cell>
          <cell r="AU278" t="str">
            <v>multi sector</v>
          </cell>
          <cell r="AY278">
            <v>2008</v>
          </cell>
          <cell r="AZ278">
            <v>2016</v>
          </cell>
          <cell r="BA278" t="str">
            <v>Yes</v>
          </cell>
          <cell r="BB278" t="str">
            <v>Yes</v>
          </cell>
          <cell r="BC278" t="str">
            <v>1+1 years</v>
          </cell>
          <cell r="BH278" t="str">
            <v>2015-03-31</v>
          </cell>
          <cell r="BI278">
            <v>570467</v>
          </cell>
          <cell r="BJ278">
            <v>780028.05244999996</v>
          </cell>
          <cell r="BK278">
            <v>954665</v>
          </cell>
          <cell r="BL278">
            <v>1305361.18775</v>
          </cell>
          <cell r="BM278">
            <v>0</v>
          </cell>
          <cell r="BR278">
            <v>350000000</v>
          </cell>
          <cell r="BS278">
            <v>448980000</v>
          </cell>
          <cell r="BT278">
            <v>322500000</v>
          </cell>
          <cell r="BU278">
            <v>413703000</v>
          </cell>
          <cell r="BV278" t="str">
            <v>No</v>
          </cell>
        </row>
        <row r="279">
          <cell r="A279">
            <v>545</v>
          </cell>
          <cell r="B279" t="str">
            <v>HINES PAN-EUROPEAN CORE FUND</v>
          </cell>
          <cell r="C279" t="str">
            <v>HINES</v>
          </cell>
          <cell r="D279" t="str">
            <v>5 Welbeck Street</v>
          </cell>
          <cell r="E279" t="str">
            <v>W1G 9YQ</v>
          </cell>
          <cell r="F279" t="str">
            <v>London</v>
          </cell>
          <cell r="G279" t="str">
            <v>United Kingdom</v>
          </cell>
          <cell r="J279" t="str">
            <v>https://www.hines.com</v>
          </cell>
          <cell r="K279" t="str">
            <v>Peter Epping</v>
          </cell>
          <cell r="L279" t="str">
            <v>peter.epping@hines.com</v>
          </cell>
          <cell r="N279" t="str">
            <v>Michael Krause</v>
          </cell>
          <cell r="O279" t="str">
            <v>Michael.Krause@hines.com</v>
          </cell>
          <cell r="P279" t="str">
            <v>+447478132211</v>
          </cell>
          <cell r="Q279" t="str">
            <v>Luxembourg</v>
          </cell>
          <cell r="R279" t="str">
            <v>EUR</v>
          </cell>
          <cell r="S279" t="str">
            <v>IFRS</v>
          </cell>
          <cell r="T279" t="str">
            <v>Quarterly</v>
          </cell>
          <cell r="U279" t="str">
            <v>Quarterly</v>
          </cell>
          <cell r="V279" t="str">
            <v>RICS</v>
          </cell>
          <cell r="W279" t="str">
            <v>INREV NAV</v>
          </cell>
          <cell r="Y279" t="str">
            <v>FCP</v>
          </cell>
          <cell r="Z279" t="str">
            <v>Yes</v>
          </cell>
          <cell r="AC279" t="str">
            <v>Non-Listed Fund</v>
          </cell>
          <cell r="AD279" t="str">
            <v>Core</v>
          </cell>
          <cell r="AE279" t="str">
            <v>infinite</v>
          </cell>
          <cell r="AF279" t="str">
            <v>Open end</v>
          </cell>
          <cell r="AL279">
            <v>40</v>
          </cell>
          <cell r="AM279" t="str">
            <v>≤ 40%</v>
          </cell>
          <cell r="AN279" t="str">
            <v>Institutional</v>
          </cell>
          <cell r="AO279" t="str">
            <v>&gt; 2</v>
          </cell>
          <cell r="AP279" t="str">
            <v>≥ 50%</v>
          </cell>
          <cell r="AQ279" t="str">
            <v>Europe</v>
          </cell>
          <cell r="AR279" t="str">
            <v>multi country</v>
          </cell>
          <cell r="AS279" t="str">
            <v>Europe</v>
          </cell>
          <cell r="AU279" t="str">
            <v>multi sector</v>
          </cell>
          <cell r="AW279">
            <v>120000000000</v>
          </cell>
          <cell r="AX279">
            <v>1600000000</v>
          </cell>
          <cell r="AY279">
            <v>2006</v>
          </cell>
          <cell r="BD279" t="str">
            <v>No</v>
          </cell>
          <cell r="BE279" t="str">
            <v>≥ 60%</v>
          </cell>
          <cell r="BF279" t="str">
            <v>≤ 15%</v>
          </cell>
          <cell r="BG279" t="str">
            <v>≤ 5%</v>
          </cell>
          <cell r="BH279" t="str">
            <v>2020-12-31</v>
          </cell>
          <cell r="BI279">
            <v>2053326306</v>
          </cell>
          <cell r="BJ279">
            <v>2053326306</v>
          </cell>
          <cell r="BK279">
            <v>1372735792</v>
          </cell>
          <cell r="BL279">
            <v>1372735792</v>
          </cell>
          <cell r="BM279">
            <v>27.7</v>
          </cell>
          <cell r="BN279" t="str">
            <v>No</v>
          </cell>
          <cell r="BO279" t="str">
            <v>External</v>
          </cell>
          <cell r="BP279">
            <v>25</v>
          </cell>
          <cell r="BQ279">
            <v>28</v>
          </cell>
          <cell r="BR279">
            <v>1650686126</v>
          </cell>
          <cell r="BS279">
            <v>1650686126</v>
          </cell>
          <cell r="BT279">
            <v>1359676126</v>
          </cell>
          <cell r="BU279">
            <v>1359676126</v>
          </cell>
          <cell r="BV279" t="str">
            <v>Yes</v>
          </cell>
          <cell r="BW279" t="str">
            <v>Poland</v>
          </cell>
          <cell r="BX279" t="str">
            <v>Industrial / Logistics</v>
          </cell>
          <cell r="BY279">
            <v>5.1698000000000004</v>
          </cell>
          <cell r="BZ279" t="str">
            <v>Netherlands</v>
          </cell>
          <cell r="CA279" t="str">
            <v>Industrial / Logistics</v>
          </cell>
          <cell r="CB279">
            <v>3.2650999999999999</v>
          </cell>
          <cell r="CC279" t="str">
            <v>Netherlands</v>
          </cell>
          <cell r="CD279" t="str">
            <v>Residential</v>
          </cell>
          <cell r="CE279">
            <v>1.8225</v>
          </cell>
          <cell r="CF279" t="str">
            <v>Netherlands</v>
          </cell>
          <cell r="CG279" t="str">
            <v>Retail</v>
          </cell>
          <cell r="CH279">
            <v>0.16750000000000001</v>
          </cell>
          <cell r="CI279" t="str">
            <v>Netherlands</v>
          </cell>
          <cell r="CJ279" t="str">
            <v>Office</v>
          </cell>
          <cell r="CK279">
            <v>7.3280000000000003</v>
          </cell>
          <cell r="CL279" t="str">
            <v>Denmark</v>
          </cell>
          <cell r="CM279" t="str">
            <v>Residential</v>
          </cell>
          <cell r="CN279">
            <v>0.41849999999999998</v>
          </cell>
          <cell r="CO279" t="str">
            <v>Denmark</v>
          </cell>
          <cell r="CP279" t="str">
            <v>Retail</v>
          </cell>
          <cell r="CQ279">
            <v>2.7075999999999998</v>
          </cell>
          <cell r="CR279" t="str">
            <v>Denmark</v>
          </cell>
          <cell r="CS279" t="str">
            <v>Office</v>
          </cell>
          <cell r="CT279">
            <v>4.9988000000000001</v>
          </cell>
          <cell r="CU279" t="str">
            <v>Ireland</v>
          </cell>
          <cell r="CV279" t="str">
            <v>Residential</v>
          </cell>
          <cell r="CW279">
            <v>0.97929999999999995</v>
          </cell>
          <cell r="CX279" t="str">
            <v>Ireland</v>
          </cell>
          <cell r="CY279" t="str">
            <v>Retail</v>
          </cell>
          <cell r="CZ279">
            <v>3.9780000000000002</v>
          </cell>
          <cell r="DA279" t="str">
            <v>Ireland</v>
          </cell>
          <cell r="DB279" t="str">
            <v>Office</v>
          </cell>
          <cell r="DC279">
            <v>2.0127000000000002</v>
          </cell>
          <cell r="DD279" t="str">
            <v>Spain</v>
          </cell>
          <cell r="DE279" t="str">
            <v>Retail</v>
          </cell>
          <cell r="DF279">
            <v>3.9458000000000002</v>
          </cell>
          <cell r="DG279" t="str">
            <v>Italy</v>
          </cell>
          <cell r="DH279" t="str">
            <v>Hotel</v>
          </cell>
          <cell r="DI279">
            <v>1.6527000000000001</v>
          </cell>
          <cell r="DJ279" t="str">
            <v>Italy</v>
          </cell>
          <cell r="DK279" t="str">
            <v>Retail</v>
          </cell>
          <cell r="DL279">
            <v>4.8244999999999996</v>
          </cell>
          <cell r="DM279" t="str">
            <v>Italy</v>
          </cell>
          <cell r="DN279" t="str">
            <v>Office</v>
          </cell>
          <cell r="DO279">
            <v>3.1899000000000002</v>
          </cell>
          <cell r="DP279" t="str">
            <v>United Kingdom</v>
          </cell>
          <cell r="DQ279" t="str">
            <v>Industrial / Logistics</v>
          </cell>
          <cell r="DR279">
            <v>7.0580999999999996</v>
          </cell>
          <cell r="DS279" t="str">
            <v>United Kingdom</v>
          </cell>
          <cell r="DT279" t="str">
            <v>Retail</v>
          </cell>
          <cell r="DU279">
            <v>2.5512999999999999</v>
          </cell>
          <cell r="DV279" t="str">
            <v>United Kingdom</v>
          </cell>
          <cell r="DW279" t="str">
            <v>Office</v>
          </cell>
          <cell r="DX279">
            <v>9.2835999999999999</v>
          </cell>
          <cell r="DY279" t="str">
            <v>Germany</v>
          </cell>
          <cell r="DZ279" t="str">
            <v>Residential</v>
          </cell>
          <cell r="EA279">
            <v>0.35089999999999999</v>
          </cell>
          <cell r="EB279" t="str">
            <v>Germany</v>
          </cell>
          <cell r="EC279" t="str">
            <v>Retail</v>
          </cell>
          <cell r="ED279">
            <v>2.2778999999999998</v>
          </cell>
          <cell r="EE279" t="str">
            <v>Germany</v>
          </cell>
          <cell r="EF279" t="str">
            <v>Office</v>
          </cell>
          <cell r="EG279">
            <v>15.545199999999999</v>
          </cell>
          <cell r="EH279" t="str">
            <v>France</v>
          </cell>
          <cell r="EI279" t="str">
            <v>Retail</v>
          </cell>
          <cell r="EJ279">
            <v>6.1186999999999996</v>
          </cell>
          <cell r="EK279" t="str">
            <v>France</v>
          </cell>
          <cell r="EL279" t="str">
            <v>Office</v>
          </cell>
          <cell r="EM279">
            <v>5.6276000000000002</v>
          </cell>
          <cell r="EN279" t="str">
            <v>Spain</v>
          </cell>
          <cell r="EO279" t="str">
            <v>Industrial / Logistics</v>
          </cell>
          <cell r="EP279">
            <v>1.1514</v>
          </cell>
        </row>
        <row r="280">
          <cell r="A280">
            <v>245</v>
          </cell>
          <cell r="B280" t="str">
            <v>HISTORIC LODGES</v>
          </cell>
          <cell r="C280" t="str">
            <v>IMORENDIMENTO SGFII, SA</v>
          </cell>
          <cell r="D280" t="str">
            <v>Praça Bom Sucesso 127, Esc 210</v>
          </cell>
          <cell r="E280" t="str">
            <v>4050 146</v>
          </cell>
          <cell r="F280" t="str">
            <v>Porto</v>
          </cell>
          <cell r="G280" t="str">
            <v>Portugal</v>
          </cell>
          <cell r="H280" t="str">
            <v>+351 22 607 5660</v>
          </cell>
          <cell r="I280" t="str">
            <v>+351 22 607 5661</v>
          </cell>
          <cell r="J280" t="str">
            <v>http://www.imorendimento.com</v>
          </cell>
          <cell r="N280" t="str">
            <v>Armando Lacerda Queiroz</v>
          </cell>
          <cell r="O280" t="str">
            <v>imorendimento@imorendimento.pt</v>
          </cell>
          <cell r="P280" t="str">
            <v>+351 22 607 5660</v>
          </cell>
          <cell r="Q280" t="str">
            <v>Portugal</v>
          </cell>
          <cell r="R280" t="str">
            <v>EUR</v>
          </cell>
          <cell r="T280" t="str">
            <v>Annually</v>
          </cell>
          <cell r="U280" t="str">
            <v>Quarterly</v>
          </cell>
          <cell r="X280" t="str">
            <v>Pricewaterhousecoopers</v>
          </cell>
          <cell r="Y280" t="str">
            <v>Real Estate Fund</v>
          </cell>
          <cell r="Z280" t="str">
            <v>No</v>
          </cell>
          <cell r="AB280">
            <v>0</v>
          </cell>
          <cell r="AC280" t="str">
            <v>Non-Listed Fund</v>
          </cell>
          <cell r="AD280" t="str">
            <v>Opportunity</v>
          </cell>
          <cell r="AE280" t="str">
            <v>finite</v>
          </cell>
          <cell r="AF280" t="str">
            <v>Closed end</v>
          </cell>
          <cell r="AG280">
            <v>0</v>
          </cell>
          <cell r="AH280">
            <v>15</v>
          </cell>
          <cell r="AN280" t="str">
            <v>Institutional</v>
          </cell>
          <cell r="AQ280" t="str">
            <v>Europe</v>
          </cell>
          <cell r="AR280" t="str">
            <v>single country</v>
          </cell>
          <cell r="AT280" t="str">
            <v>Portugal</v>
          </cell>
          <cell r="AU280" t="str">
            <v>single sector</v>
          </cell>
          <cell r="AV280" t="str">
            <v>Other</v>
          </cell>
          <cell r="AY280">
            <v>2007</v>
          </cell>
          <cell r="AZ280">
            <v>2014</v>
          </cell>
          <cell r="BA280" t="str">
            <v>Yes</v>
          </cell>
          <cell r="BB280" t="str">
            <v>No</v>
          </cell>
          <cell r="BH280" t="str">
            <v>2010-12-31</v>
          </cell>
          <cell r="BJ280">
            <v>0</v>
          </cell>
          <cell r="BK280">
            <v>8000000</v>
          </cell>
          <cell r="BL280">
            <v>8000000</v>
          </cell>
          <cell r="BQ280">
            <v>1</v>
          </cell>
          <cell r="BS280">
            <v>0</v>
          </cell>
          <cell r="BV280" t="str">
            <v>Yes</v>
          </cell>
        </row>
        <row r="281">
          <cell r="A281">
            <v>19617</v>
          </cell>
          <cell r="B281" t="str">
            <v>HUSREF VII PARALLEL FUND</v>
          </cell>
          <cell r="C281" t="str">
            <v>HARBERT MANAGEMENT CORPORATION</v>
          </cell>
          <cell r="D281" t="str">
            <v>2100 Third Ave North, Suite 600</v>
          </cell>
          <cell r="E281">
            <v>35203</v>
          </cell>
          <cell r="F281" t="str">
            <v>Birmingham</v>
          </cell>
          <cell r="G281" t="str">
            <v>United States of America</v>
          </cell>
          <cell r="H281" t="str">
            <v>+12059875500</v>
          </cell>
          <cell r="I281" t="str">
            <v>+12053276880</v>
          </cell>
          <cell r="J281" t="str">
            <v>harbert.net</v>
          </cell>
          <cell r="K281" t="str">
            <v>Jon-Paul Momsen</v>
          </cell>
          <cell r="L281" t="str">
            <v>jmomsen@harbert.net</v>
          </cell>
          <cell r="M281" t="str">
            <v>+14154428383</v>
          </cell>
          <cell r="N281" t="str">
            <v>Michael Larsen</v>
          </cell>
          <cell r="O281" t="str">
            <v>mlarsen@harbert.net</v>
          </cell>
          <cell r="P281" t="str">
            <v>+442074084131</v>
          </cell>
          <cell r="Q281" t="str">
            <v>Luxembourg</v>
          </cell>
          <cell r="R281" t="str">
            <v>USD</v>
          </cell>
          <cell r="S281" t="str">
            <v>US GAAP</v>
          </cell>
          <cell r="T281" t="str">
            <v>Quarterly</v>
          </cell>
          <cell r="U281" t="str">
            <v>Annually</v>
          </cell>
          <cell r="V281" t="str">
            <v>Other - mark to market</v>
          </cell>
          <cell r="W281" t="str">
            <v>GAAP</v>
          </cell>
          <cell r="X281" t="str">
            <v>PricewaterhouseCoopers LLP, Luxembourg</v>
          </cell>
          <cell r="Y281" t="str">
            <v>Limited Partnership</v>
          </cell>
          <cell r="Z281" t="str">
            <v>No</v>
          </cell>
          <cell r="AA281" t="str">
            <v>Yes</v>
          </cell>
          <cell r="AB281">
            <v>0</v>
          </cell>
          <cell r="AC281" t="str">
            <v>Non-Listed Fund</v>
          </cell>
          <cell r="AD281" t="str">
            <v>Value-added</v>
          </cell>
          <cell r="AE281" t="str">
            <v>finite</v>
          </cell>
          <cell r="AF281" t="str">
            <v>Closed end</v>
          </cell>
          <cell r="AG281">
            <v>13</v>
          </cell>
          <cell r="AH281">
            <v>15</v>
          </cell>
          <cell r="AI281" t="str">
            <v>Net</v>
          </cell>
          <cell r="AM281" t="str">
            <v>&gt; 60%</v>
          </cell>
          <cell r="AN281" t="str">
            <v>Institutional</v>
          </cell>
          <cell r="AO281" t="str">
            <v>&gt; 2</v>
          </cell>
          <cell r="AP281" t="str">
            <v>≥ 50%</v>
          </cell>
          <cell r="AQ281" t="str">
            <v>North America</v>
          </cell>
          <cell r="AR281" t="str">
            <v>single country</v>
          </cell>
          <cell r="AT281" t="str">
            <v>United States of America</v>
          </cell>
          <cell r="AU281" t="str">
            <v>multi sector</v>
          </cell>
          <cell r="AY281">
            <v>2019</v>
          </cell>
          <cell r="AZ281">
            <v>2029</v>
          </cell>
          <cell r="BA281" t="str">
            <v>Yes</v>
          </cell>
          <cell r="BB281" t="str">
            <v>Yes</v>
          </cell>
          <cell r="BC281" t="str">
            <v>1+1 years</v>
          </cell>
          <cell r="BD281" t="str">
            <v>No</v>
          </cell>
          <cell r="BH281" t="str">
            <v>2020-09-30</v>
          </cell>
          <cell r="BI281">
            <v>18812224</v>
          </cell>
          <cell r="BJ281">
            <v>16071685.28706613</v>
          </cell>
          <cell r="BK281">
            <v>18812224</v>
          </cell>
          <cell r="BL281">
            <v>16071685.28706613</v>
          </cell>
          <cell r="BM281">
            <v>0</v>
          </cell>
          <cell r="BN281" t="str">
            <v>Yes</v>
          </cell>
          <cell r="BO281" t="str">
            <v>Internal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V281" t="str">
            <v>No</v>
          </cell>
        </row>
        <row r="282">
          <cell r="A282">
            <v>18106</v>
          </cell>
          <cell r="B282" t="str">
            <v>IBERIA SHOPPING CENTRE VENTURE COöPERATIEF U.A.</v>
          </cell>
          <cell r="C282" t="str">
            <v>SONAE SIERRA</v>
          </cell>
          <cell r="D282" t="str">
            <v>Lugar do Espido - Via Norte</v>
          </cell>
          <cell r="E282" t="str">
            <v>4471-909</v>
          </cell>
          <cell r="F282" t="str">
            <v>Maia</v>
          </cell>
          <cell r="G282" t="str">
            <v>Portugal</v>
          </cell>
          <cell r="J282" t="str">
            <v>http://www.sonaesierra.com</v>
          </cell>
          <cell r="K282" t="str">
            <v>João Lélis</v>
          </cell>
          <cell r="L282" t="str">
            <v>jclelis@sonaesierra.com</v>
          </cell>
          <cell r="M282" t="str">
            <v>+351220104544</v>
          </cell>
          <cell r="N282" t="str">
            <v>João Lélis</v>
          </cell>
          <cell r="O282" t="str">
            <v>jclelis@sonaesierra.com</v>
          </cell>
          <cell r="P282" t="str">
            <v>+351220104544</v>
          </cell>
          <cell r="Q282" t="str">
            <v>Netherlands</v>
          </cell>
          <cell r="R282" t="str">
            <v>EUR</v>
          </cell>
          <cell r="S282" t="str">
            <v>IFRS</v>
          </cell>
          <cell r="T282" t="str">
            <v>Quarterly</v>
          </cell>
          <cell r="U282" t="str">
            <v>Quarterly</v>
          </cell>
          <cell r="V282" t="str">
            <v>RICS</v>
          </cell>
          <cell r="W282" t="str">
            <v>INREV NAV</v>
          </cell>
          <cell r="X282" t="str">
            <v>Deloitte</v>
          </cell>
          <cell r="Y282" t="str">
            <v>Dutch Cooperatif</v>
          </cell>
          <cell r="Z282" t="str">
            <v>Yes</v>
          </cell>
          <cell r="AA282" t="str">
            <v>No</v>
          </cell>
          <cell r="AC282" t="str">
            <v>Non-Listed Fund</v>
          </cell>
          <cell r="AD282" t="str">
            <v>Core</v>
          </cell>
          <cell r="AE282" t="str">
            <v>finite</v>
          </cell>
          <cell r="AF282" t="str">
            <v>Closed end</v>
          </cell>
          <cell r="AN282" t="str">
            <v>Institutional</v>
          </cell>
          <cell r="AO282" t="str">
            <v>&gt; 2</v>
          </cell>
          <cell r="AP282" t="str">
            <v>≥ 50%</v>
          </cell>
          <cell r="AQ282" t="str">
            <v>Europe</v>
          </cell>
          <cell r="AR282" t="str">
            <v>multi country</v>
          </cell>
          <cell r="AS282" t="str">
            <v>Western Europe</v>
          </cell>
          <cell r="AU282" t="str">
            <v>single sector</v>
          </cell>
          <cell r="AV282" t="str">
            <v>Retail</v>
          </cell>
          <cell r="AY282">
            <v>2016</v>
          </cell>
          <cell r="AZ282">
            <v>2021</v>
          </cell>
          <cell r="BA282" t="str">
            <v>Yes</v>
          </cell>
          <cell r="BB282" t="str">
            <v>Yes</v>
          </cell>
          <cell r="BC282" t="str">
            <v>1+1 years</v>
          </cell>
          <cell r="BD282" t="str">
            <v>No</v>
          </cell>
          <cell r="BH282" t="str">
            <v>2020-12-31</v>
          </cell>
          <cell r="BI282">
            <v>221976000</v>
          </cell>
          <cell r="BJ282">
            <v>221976000</v>
          </cell>
          <cell r="BK282">
            <v>173999000</v>
          </cell>
          <cell r="BL282">
            <v>173999000</v>
          </cell>
          <cell r="BM282">
            <v>8.5</v>
          </cell>
          <cell r="BN282" t="str">
            <v>Yes</v>
          </cell>
          <cell r="BO282" t="str">
            <v>External</v>
          </cell>
          <cell r="BP282">
            <v>7</v>
          </cell>
          <cell r="BQ282">
            <v>2</v>
          </cell>
          <cell r="BR282">
            <v>251670575</v>
          </cell>
          <cell r="BS282">
            <v>251670575</v>
          </cell>
          <cell r="BT282">
            <v>251670575</v>
          </cell>
          <cell r="BU282">
            <v>251670575</v>
          </cell>
          <cell r="BV282" t="str">
            <v>No</v>
          </cell>
          <cell r="BW282" t="str">
            <v>Portugal</v>
          </cell>
          <cell r="BX282" t="str">
            <v>Retail</v>
          </cell>
          <cell r="BY282">
            <v>27.2</v>
          </cell>
          <cell r="BZ282" t="str">
            <v>Spain</v>
          </cell>
          <cell r="CA282" t="str">
            <v>Retail</v>
          </cell>
          <cell r="CB282">
            <v>49.9</v>
          </cell>
        </row>
        <row r="283">
          <cell r="A283">
            <v>18278</v>
          </cell>
          <cell r="B283" t="str">
            <v>ICECAPITAL HOUSING FUND IV</v>
          </cell>
          <cell r="C283" t="str">
            <v>ICECAPITAL REAL ESTATE ASSET MANAGEMENT IV</v>
          </cell>
          <cell r="D283" t="str">
            <v>Kluuvikatu 3</v>
          </cell>
          <cell r="E283">
            <v>100</v>
          </cell>
          <cell r="F283" t="str">
            <v>Helsinki</v>
          </cell>
          <cell r="G283" t="str">
            <v>Finland</v>
          </cell>
          <cell r="J283" t="str">
            <v>http://www.icecapital.fi</v>
          </cell>
          <cell r="Q283" t="str">
            <v>Finland</v>
          </cell>
          <cell r="R283" t="str">
            <v>EUR</v>
          </cell>
          <cell r="S283" t="str">
            <v>Local GAAP</v>
          </cell>
          <cell r="T283" t="str">
            <v>Quarterly</v>
          </cell>
          <cell r="U283" t="str">
            <v>Annually</v>
          </cell>
          <cell r="V283" t="str">
            <v>Sales Comparison</v>
          </cell>
          <cell r="W283" t="str">
            <v>Finnish Accounting Standards (FAS)</v>
          </cell>
          <cell r="Y283" t="str">
            <v>Limited Partnership</v>
          </cell>
          <cell r="AA283" t="str">
            <v>Yes</v>
          </cell>
          <cell r="AC283" t="str">
            <v>Non-Listed Fund</v>
          </cell>
          <cell r="AD283" t="str">
            <v>Value-added</v>
          </cell>
          <cell r="AE283" t="str">
            <v>finite</v>
          </cell>
          <cell r="AF283" t="str">
            <v>Closed end</v>
          </cell>
          <cell r="AG283">
            <v>7</v>
          </cell>
          <cell r="AH283">
            <v>12</v>
          </cell>
          <cell r="AI283" t="str">
            <v>Gross</v>
          </cell>
          <cell r="AK283">
            <v>4.5</v>
          </cell>
          <cell r="AL283">
            <v>70</v>
          </cell>
          <cell r="AM283" t="str">
            <v>&gt; 60%</v>
          </cell>
          <cell r="AN283" t="str">
            <v>Institutional</v>
          </cell>
          <cell r="AO283" t="str">
            <v>&gt; 2</v>
          </cell>
          <cell r="AP283" t="str">
            <v>≥ 50%</v>
          </cell>
          <cell r="AQ283" t="str">
            <v>Europe</v>
          </cell>
          <cell r="AR283" t="str">
            <v>single country</v>
          </cell>
          <cell r="AT283" t="str">
            <v>Finland</v>
          </cell>
          <cell r="AU283" t="str">
            <v>single sector</v>
          </cell>
          <cell r="AV283" t="str">
            <v>Development Residential</v>
          </cell>
          <cell r="AW283">
            <v>120500000</v>
          </cell>
          <cell r="AX283">
            <v>385000000</v>
          </cell>
          <cell r="AY283">
            <v>2016</v>
          </cell>
          <cell r="AZ283">
            <v>2025</v>
          </cell>
          <cell r="BA283" t="str">
            <v>Yes</v>
          </cell>
          <cell r="BB283" t="str">
            <v>No</v>
          </cell>
          <cell r="BD283" t="str">
            <v>No</v>
          </cell>
          <cell r="BE283" t="str">
            <v>&lt; 60%</v>
          </cell>
          <cell r="BH283" t="str">
            <v>2020-12-31</v>
          </cell>
          <cell r="BI283">
            <v>435495505.94</v>
          </cell>
          <cell r="BJ283">
            <v>435495505.94</v>
          </cell>
          <cell r="BK283">
            <v>169741517.97999999</v>
          </cell>
          <cell r="BL283">
            <v>169741517.97999999</v>
          </cell>
          <cell r="BM283">
            <v>58.61</v>
          </cell>
          <cell r="BN283" t="str">
            <v>No</v>
          </cell>
          <cell r="BO283" t="str">
            <v>Internal</v>
          </cell>
          <cell r="BP283">
            <v>17</v>
          </cell>
          <cell r="BQ283">
            <v>28</v>
          </cell>
          <cell r="BR283">
            <v>120500000</v>
          </cell>
          <cell r="BS283">
            <v>120500000</v>
          </cell>
          <cell r="BT283">
            <v>109890191.42</v>
          </cell>
          <cell r="BU283">
            <v>109890191.42</v>
          </cell>
          <cell r="BV283" t="str">
            <v>No</v>
          </cell>
          <cell r="BW283" t="str">
            <v>Finland</v>
          </cell>
          <cell r="BX283" t="str">
            <v>Residential</v>
          </cell>
          <cell r="BY283">
            <v>99</v>
          </cell>
        </row>
        <row r="284">
          <cell r="A284">
            <v>16073</v>
          </cell>
          <cell r="B284" t="str">
            <v>IMMO-SPEZIAL - WIRTSCHAFTSREGION SUDDEUTSCHLAND</v>
          </cell>
          <cell r="C284" t="str">
            <v>CATELLA REAL ESTATE AG</v>
          </cell>
          <cell r="D284" t="str">
            <v xml:space="preserve">Alter Hof 5 </v>
          </cell>
          <cell r="E284">
            <v>80331</v>
          </cell>
          <cell r="F284" t="str">
            <v>Munich</v>
          </cell>
          <cell r="G284" t="str">
            <v>Germany</v>
          </cell>
          <cell r="H284" t="str">
            <v>+4989166511</v>
          </cell>
          <cell r="I284" t="str">
            <v>+4989166566</v>
          </cell>
          <cell r="J284" t="str">
            <v>http://www.catella-realestate.de</v>
          </cell>
          <cell r="K284" t="str">
            <v>Markus Mayer</v>
          </cell>
          <cell r="L284" t="str">
            <v>markus.mayer@catella.de</v>
          </cell>
          <cell r="M284" t="str">
            <v>+49 89 189 16 65 42</v>
          </cell>
          <cell r="N284" t="str">
            <v>Nadine Kratzer</v>
          </cell>
          <cell r="O284" t="str">
            <v>nadine.kratzer@catella.de</v>
          </cell>
          <cell r="P284" t="str">
            <v>+49 89 189 16 65 44</v>
          </cell>
          <cell r="Q284" t="str">
            <v>Germany</v>
          </cell>
          <cell r="R284" t="str">
            <v>EUR</v>
          </cell>
          <cell r="T284" t="str">
            <v>Monthly</v>
          </cell>
          <cell r="U284" t="str">
            <v>Annually</v>
          </cell>
          <cell r="V284" t="str">
            <v>Other - mark to market</v>
          </cell>
          <cell r="W284" t="str">
            <v>BVI</v>
          </cell>
          <cell r="X284" t="str">
            <v>PWC</v>
          </cell>
          <cell r="Y284" t="str">
            <v>Spezialfonds</v>
          </cell>
          <cell r="Z284" t="str">
            <v>No</v>
          </cell>
          <cell r="AA284" t="str">
            <v>Yes</v>
          </cell>
          <cell r="AB284">
            <v>8</v>
          </cell>
          <cell r="AC284" t="str">
            <v>Non-Listed Fund</v>
          </cell>
          <cell r="AD284" t="str">
            <v>Core</v>
          </cell>
          <cell r="AE284" t="str">
            <v>finite</v>
          </cell>
          <cell r="AF284" t="str">
            <v>Open end</v>
          </cell>
          <cell r="AK284">
            <v>3.5</v>
          </cell>
          <cell r="AL284">
            <v>30</v>
          </cell>
          <cell r="AN284" t="str">
            <v>Institutional and Retail</v>
          </cell>
          <cell r="AO284" t="str">
            <v>&gt; 2</v>
          </cell>
          <cell r="AP284" t="str">
            <v>≥ 50%</v>
          </cell>
          <cell r="AQ284" t="str">
            <v>Europe</v>
          </cell>
          <cell r="AR284" t="str">
            <v>single country</v>
          </cell>
          <cell r="AT284" t="str">
            <v>Germany</v>
          </cell>
          <cell r="AU284" t="str">
            <v>multi sector</v>
          </cell>
          <cell r="AW284">
            <v>150000000</v>
          </cell>
          <cell r="AX284">
            <v>215000000</v>
          </cell>
          <cell r="AY284">
            <v>2011</v>
          </cell>
          <cell r="AZ284">
            <v>2021</v>
          </cell>
          <cell r="BA284" t="str">
            <v>Yes</v>
          </cell>
          <cell r="BB284" t="str">
            <v>Yes</v>
          </cell>
          <cell r="BC284">
            <v>9</v>
          </cell>
          <cell r="BD284" t="str">
            <v>Yes</v>
          </cell>
          <cell r="BH284" t="str">
            <v>2020-12-31</v>
          </cell>
          <cell r="BI284">
            <v>363360033</v>
          </cell>
          <cell r="BJ284">
            <v>363360033</v>
          </cell>
          <cell r="BK284">
            <v>266828872</v>
          </cell>
          <cell r="BL284">
            <v>266828872</v>
          </cell>
          <cell r="BM284">
            <v>40.1</v>
          </cell>
          <cell r="BN284" t="str">
            <v>No</v>
          </cell>
          <cell r="BO284" t="str">
            <v>Internal</v>
          </cell>
          <cell r="BP284">
            <v>26</v>
          </cell>
          <cell r="BQ284">
            <v>16</v>
          </cell>
          <cell r="BR284">
            <v>0</v>
          </cell>
          <cell r="BS284">
            <v>0</v>
          </cell>
          <cell r="BT284">
            <v>0</v>
          </cell>
          <cell r="BV284" t="str">
            <v>No</v>
          </cell>
          <cell r="BW284" t="str">
            <v>Germany</v>
          </cell>
          <cell r="BX284" t="str">
            <v>Other</v>
          </cell>
          <cell r="BY284">
            <v>2</v>
          </cell>
          <cell r="BZ284" t="str">
            <v>Germany</v>
          </cell>
          <cell r="CA284" t="str">
            <v>Industrial / Logistics</v>
          </cell>
          <cell r="CB284">
            <v>18</v>
          </cell>
          <cell r="CC284" t="str">
            <v>Germany</v>
          </cell>
          <cell r="CD284" t="str">
            <v>Retail</v>
          </cell>
          <cell r="CE284">
            <v>15</v>
          </cell>
          <cell r="CF284" t="str">
            <v>Germany</v>
          </cell>
          <cell r="CG284" t="str">
            <v>Office</v>
          </cell>
          <cell r="CH284">
            <v>60</v>
          </cell>
        </row>
        <row r="285">
          <cell r="A285">
            <v>253</v>
          </cell>
          <cell r="B285" t="str">
            <v>IMMOBILIEN-SPEZIALFONDS NR. 1</v>
          </cell>
          <cell r="C285" t="str">
            <v>RREEF SPEZIAL INVEST GMBH</v>
          </cell>
          <cell r="D285" t="str">
            <v>Mainzer Landstraße 11-17</v>
          </cell>
          <cell r="E285">
            <v>60329</v>
          </cell>
          <cell r="F285" t="str">
            <v>Frankfurt</v>
          </cell>
          <cell r="G285" t="str">
            <v>Germany</v>
          </cell>
          <cell r="H285" t="str">
            <v>+49 (0) 69 91016661</v>
          </cell>
          <cell r="I285" t="str">
            <v>+49 (0) 69 91016909</v>
          </cell>
          <cell r="J285" t="str">
            <v>https://www.dws.de/</v>
          </cell>
          <cell r="K285" t="str">
            <v>Markus Wickenträger</v>
          </cell>
          <cell r="L285" t="str">
            <v>markus.wickentraeger@dws.com</v>
          </cell>
          <cell r="M285" t="str">
            <v>+49 (0) 69 91016457</v>
          </cell>
          <cell r="N285" t="str">
            <v>Dr. Ulrich von Creytz</v>
          </cell>
          <cell r="O285" t="str">
            <v>ulrich-von.creytz@dws.com</v>
          </cell>
          <cell r="P285" t="str">
            <v>+49 (0) 69 91016838</v>
          </cell>
          <cell r="Q285" t="str">
            <v>Germany</v>
          </cell>
          <cell r="R285" t="str">
            <v>EUR</v>
          </cell>
          <cell r="S285" t="str">
            <v>HGB</v>
          </cell>
          <cell r="T285" t="str">
            <v>Quarterly</v>
          </cell>
          <cell r="U285" t="str">
            <v>Annually</v>
          </cell>
          <cell r="X285" t="str">
            <v>KPMG</v>
          </cell>
          <cell r="Y285" t="str">
            <v>Spezialfonds</v>
          </cell>
          <cell r="Z285" t="str">
            <v>No</v>
          </cell>
          <cell r="AA285" t="str">
            <v>No</v>
          </cell>
          <cell r="AB285">
            <v>0</v>
          </cell>
          <cell r="AC285" t="str">
            <v>Non-Listed Fund</v>
          </cell>
          <cell r="AD285" t="str">
            <v>Core</v>
          </cell>
          <cell r="AE285" t="str">
            <v>infinite</v>
          </cell>
          <cell r="AF285" t="str">
            <v>Open end</v>
          </cell>
          <cell r="AG285">
            <v>4.5</v>
          </cell>
          <cell r="AH285">
            <v>5.5</v>
          </cell>
          <cell r="AI285" t="str">
            <v>Net</v>
          </cell>
          <cell r="AJ285" t="str">
            <v>IRR</v>
          </cell>
          <cell r="AK285">
            <v>5</v>
          </cell>
          <cell r="AL285">
            <v>30</v>
          </cell>
          <cell r="AM285" t="str">
            <v>&gt; 40% - ≤ 60%</v>
          </cell>
          <cell r="AN285" t="str">
            <v>Institutional</v>
          </cell>
          <cell r="AO285" t="str">
            <v>&gt; 2</v>
          </cell>
          <cell r="AP285" t="str">
            <v>≥ 50%</v>
          </cell>
          <cell r="AQ285" t="str">
            <v>Europe</v>
          </cell>
          <cell r="AR285" t="str">
            <v>multi country</v>
          </cell>
          <cell r="AS285" t="str">
            <v>Europe</v>
          </cell>
          <cell r="AU285" t="str">
            <v>multi sector</v>
          </cell>
          <cell r="AW285">
            <v>300000000</v>
          </cell>
          <cell r="AX285">
            <v>500000000</v>
          </cell>
          <cell r="AY285">
            <v>2000</v>
          </cell>
          <cell r="BA285" t="str">
            <v>No</v>
          </cell>
          <cell r="BB285" t="str">
            <v>No</v>
          </cell>
          <cell r="BD285" t="str">
            <v>No</v>
          </cell>
          <cell r="BE285" t="str">
            <v>≥ 60%</v>
          </cell>
          <cell r="BF285" t="str">
            <v>&gt; 15% - ≤ 40%</v>
          </cell>
          <cell r="BG285" t="str">
            <v>≤ 5%</v>
          </cell>
          <cell r="BH285" t="str">
            <v>2020-12-31</v>
          </cell>
          <cell r="BI285">
            <v>588439289</v>
          </cell>
          <cell r="BJ285">
            <v>588439289</v>
          </cell>
          <cell r="BK285">
            <v>378084140.06</v>
          </cell>
          <cell r="BL285">
            <v>378084140.06</v>
          </cell>
          <cell r="BM285">
            <v>35.75</v>
          </cell>
          <cell r="BN285" t="str">
            <v>No</v>
          </cell>
          <cell r="BO285" t="str">
            <v>External</v>
          </cell>
          <cell r="BP285">
            <v>9</v>
          </cell>
          <cell r="BQ285">
            <v>24</v>
          </cell>
          <cell r="BR285">
            <v>400793470.14999998</v>
          </cell>
          <cell r="BS285">
            <v>400793470.14999998</v>
          </cell>
          <cell r="BT285">
            <v>387700703.94999999</v>
          </cell>
          <cell r="BU285">
            <v>387700703.94999999</v>
          </cell>
          <cell r="BV285" t="str">
            <v>No</v>
          </cell>
          <cell r="BW285" t="str">
            <v>United Kingdom</v>
          </cell>
          <cell r="BX285" t="str">
            <v>Residential</v>
          </cell>
          <cell r="BY285">
            <v>8.36</v>
          </cell>
          <cell r="BZ285" t="str">
            <v>United Kingdom</v>
          </cell>
          <cell r="CA285" t="str">
            <v>Industrial / Logistics</v>
          </cell>
          <cell r="CB285">
            <v>12.86</v>
          </cell>
          <cell r="CC285" t="str">
            <v>Austria</v>
          </cell>
          <cell r="CD285" t="str">
            <v>Hotel</v>
          </cell>
          <cell r="CE285">
            <v>3.48</v>
          </cell>
          <cell r="CF285" t="str">
            <v>Belgium</v>
          </cell>
          <cell r="CG285" t="str">
            <v>Hotel</v>
          </cell>
          <cell r="CH285">
            <v>5.89</v>
          </cell>
          <cell r="CI285" t="str">
            <v>France</v>
          </cell>
          <cell r="CJ285" t="str">
            <v>Office</v>
          </cell>
          <cell r="CK285">
            <v>6.62</v>
          </cell>
          <cell r="CL285" t="str">
            <v>Germany</v>
          </cell>
          <cell r="CM285" t="str">
            <v>Office</v>
          </cell>
          <cell r="CN285">
            <v>16.16</v>
          </cell>
          <cell r="CO285" t="str">
            <v>Germany</v>
          </cell>
          <cell r="CP285" t="str">
            <v>Retail</v>
          </cell>
          <cell r="CQ285">
            <v>24.47</v>
          </cell>
          <cell r="CR285" t="str">
            <v>Germany</v>
          </cell>
          <cell r="CS285" t="str">
            <v>Hotel</v>
          </cell>
          <cell r="CT285">
            <v>6.04</v>
          </cell>
          <cell r="CU285" t="str">
            <v>Germany</v>
          </cell>
          <cell r="CV285" t="str">
            <v>Parking</v>
          </cell>
          <cell r="CW285">
            <v>1.24</v>
          </cell>
          <cell r="CX285" t="str">
            <v>Italy</v>
          </cell>
          <cell r="CY285" t="str">
            <v>Office</v>
          </cell>
          <cell r="CZ285">
            <v>3.26</v>
          </cell>
          <cell r="DA285" t="str">
            <v>United Kingdom</v>
          </cell>
          <cell r="DB285" t="str">
            <v>Office</v>
          </cell>
          <cell r="DC285">
            <v>6.22</v>
          </cell>
          <cell r="DD285" t="str">
            <v>United Kingdom</v>
          </cell>
          <cell r="DE285" t="str">
            <v>Retail</v>
          </cell>
          <cell r="DF285">
            <v>5.4</v>
          </cell>
        </row>
        <row r="286">
          <cell r="A286">
            <v>19317</v>
          </cell>
          <cell r="B286" t="str">
            <v>IMMOBILIENFONDS CITY CENTER</v>
          </cell>
          <cell r="C286" t="str">
            <v>DWS GRUNDBESITZ GMBH</v>
          </cell>
          <cell r="D286" t="str">
            <v>Mainzer Landstr. 11-17</v>
          </cell>
          <cell r="E286" t="str">
            <v xml:space="preserve">60329 </v>
          </cell>
          <cell r="F286" t="str">
            <v>Frankfurt am Main</v>
          </cell>
          <cell r="G286" t="str">
            <v>Germany</v>
          </cell>
          <cell r="K286" t="str">
            <v>Thomas Köhler</v>
          </cell>
          <cell r="L286" t="str">
            <v>thomas-d.koehler@dws.com</v>
          </cell>
          <cell r="M286" t="str">
            <v>+49 (69) 910 - 14934</v>
          </cell>
          <cell r="Q286" t="str">
            <v>Germany</v>
          </cell>
          <cell r="R286" t="str">
            <v>EUR</v>
          </cell>
          <cell r="S286" t="str">
            <v>HGB</v>
          </cell>
          <cell r="T286" t="str">
            <v>Annually</v>
          </cell>
          <cell r="U286" t="str">
            <v>Annually</v>
          </cell>
          <cell r="V286" t="str">
            <v>ImmoWertV</v>
          </cell>
          <cell r="W286" t="str">
            <v>KAGB</v>
          </cell>
          <cell r="X286" t="str">
            <v>BDO</v>
          </cell>
          <cell r="Y286" t="str">
            <v>Publikumsfonds</v>
          </cell>
          <cell r="Z286" t="str">
            <v>No</v>
          </cell>
          <cell r="AC286" t="str">
            <v>Non-Listed Fund</v>
          </cell>
          <cell r="AD286" t="str">
            <v>Core</v>
          </cell>
          <cell r="AE286" t="str">
            <v>finite</v>
          </cell>
          <cell r="AF286" t="str">
            <v>Closed end</v>
          </cell>
          <cell r="AN286" t="str">
            <v>Retail</v>
          </cell>
          <cell r="AO286" t="str">
            <v>&gt; 2</v>
          </cell>
          <cell r="AP286" t="str">
            <v>&lt; 50%</v>
          </cell>
          <cell r="AQ286" t="str">
            <v>Europe</v>
          </cell>
          <cell r="AR286" t="str">
            <v>single country</v>
          </cell>
          <cell r="AT286" t="str">
            <v>Germany</v>
          </cell>
          <cell r="AU286" t="str">
            <v>single sector</v>
          </cell>
          <cell r="AV286" t="str">
            <v>Retail</v>
          </cell>
          <cell r="AY286">
            <v>1997</v>
          </cell>
          <cell r="BH286" t="str">
            <v>2018-12-31</v>
          </cell>
          <cell r="BI286">
            <v>335200000</v>
          </cell>
          <cell r="BJ286">
            <v>335200000</v>
          </cell>
          <cell r="BK286">
            <v>166400000</v>
          </cell>
          <cell r="BL286">
            <v>166400000</v>
          </cell>
          <cell r="BM286">
            <v>30.72</v>
          </cell>
          <cell r="BN286" t="str">
            <v>Yes</v>
          </cell>
          <cell r="BO286" t="str">
            <v>External</v>
          </cell>
          <cell r="BP286">
            <v>1</v>
          </cell>
          <cell r="BQ286">
            <v>1</v>
          </cell>
          <cell r="BS286">
            <v>0</v>
          </cell>
          <cell r="BV286" t="str">
            <v>No</v>
          </cell>
          <cell r="BW286" t="str">
            <v>Germany</v>
          </cell>
          <cell r="BX286" t="str">
            <v>Retail</v>
          </cell>
          <cell r="BY286">
            <v>100</v>
          </cell>
        </row>
        <row r="287">
          <cell r="A287">
            <v>16078</v>
          </cell>
          <cell r="B287" t="str">
            <v>IMMOFONDS 4</v>
          </cell>
          <cell r="C287" t="str">
            <v>LA FRANCAISE REM</v>
          </cell>
          <cell r="D287" t="str">
            <v xml:space="preserve">173, boulevard Haussmann				</v>
          </cell>
          <cell r="E287">
            <v>75008</v>
          </cell>
          <cell r="F287" t="str">
            <v>Paris</v>
          </cell>
          <cell r="G287" t="str">
            <v>France</v>
          </cell>
          <cell r="H287" t="str">
            <v>+33144561000</v>
          </cell>
          <cell r="I287" t="str">
            <v>+33144561138</v>
          </cell>
          <cell r="J287" t="str">
            <v>https://lafrancaise-am.com</v>
          </cell>
          <cell r="K287" t="str">
            <v>Penin</v>
          </cell>
          <cell r="L287" t="str">
            <v>mopenin@lafrancaise-am.com</v>
          </cell>
          <cell r="N287" t="str">
            <v>SCPI</v>
          </cell>
          <cell r="P287" t="str">
            <v>+33153624060</v>
          </cell>
          <cell r="Q287" t="str">
            <v>France</v>
          </cell>
          <cell r="R287" t="str">
            <v>EUR</v>
          </cell>
          <cell r="S287" t="str">
            <v>IFRS</v>
          </cell>
          <cell r="T287" t="str">
            <v>Quarterly</v>
          </cell>
          <cell r="U287" t="str">
            <v>Annually</v>
          </cell>
          <cell r="V287" t="str">
            <v>Other - mark to market</v>
          </cell>
          <cell r="X287" t="str">
            <v>Deloitte</v>
          </cell>
          <cell r="Y287" t="str">
            <v>SCPI</v>
          </cell>
          <cell r="Z287" t="str">
            <v>No</v>
          </cell>
          <cell r="AA287" t="str">
            <v>Yes</v>
          </cell>
          <cell r="AC287" t="str">
            <v>Non-Listed Fund</v>
          </cell>
          <cell r="AD287" t="str">
            <v>Core</v>
          </cell>
          <cell r="AE287" t="str">
            <v>infinite</v>
          </cell>
          <cell r="AF287" t="str">
            <v>Open end</v>
          </cell>
          <cell r="AK287">
            <v>5.0999999999999996</v>
          </cell>
          <cell r="AL287">
            <v>0</v>
          </cell>
          <cell r="AM287" t="str">
            <v>≤ 40%</v>
          </cell>
          <cell r="AN287" t="str">
            <v>Institutional and Retail</v>
          </cell>
          <cell r="AO287" t="str">
            <v>&gt; 2</v>
          </cell>
          <cell r="AP287" t="str">
            <v>&lt; 50%</v>
          </cell>
          <cell r="AQ287" t="str">
            <v>Europe</v>
          </cell>
          <cell r="AR287" t="str">
            <v>single country</v>
          </cell>
          <cell r="AT287" t="str">
            <v>France</v>
          </cell>
          <cell r="AU287" t="str">
            <v>multi sector</v>
          </cell>
          <cell r="AY287">
            <v>1989</v>
          </cell>
          <cell r="BH287" t="str">
            <v>2015-03-31</v>
          </cell>
          <cell r="BI287">
            <v>243623857</v>
          </cell>
          <cell r="BJ287">
            <v>243623857</v>
          </cell>
          <cell r="BK287">
            <v>237097800</v>
          </cell>
          <cell r="BL287">
            <v>237097800</v>
          </cell>
          <cell r="BM287">
            <v>2.75</v>
          </cell>
          <cell r="BN287" t="str">
            <v>No</v>
          </cell>
          <cell r="BO287" t="str">
            <v>Internal</v>
          </cell>
          <cell r="BP287">
            <v>239</v>
          </cell>
          <cell r="BQ287">
            <v>84</v>
          </cell>
          <cell r="BS287">
            <v>0</v>
          </cell>
          <cell r="BW287" t="str">
            <v>France</v>
          </cell>
          <cell r="BX287" t="str">
            <v>Office</v>
          </cell>
          <cell r="BY287">
            <v>76.14</v>
          </cell>
          <cell r="BZ287" t="str">
            <v>France</v>
          </cell>
          <cell r="CA287" t="str">
            <v>Industrial / Logistics</v>
          </cell>
          <cell r="CB287">
            <v>4.67</v>
          </cell>
          <cell r="CC287" t="str">
            <v>France</v>
          </cell>
          <cell r="CD287" t="str">
            <v>Retail</v>
          </cell>
          <cell r="CE287">
            <v>2.4</v>
          </cell>
          <cell r="CF287" t="str">
            <v>France</v>
          </cell>
          <cell r="CG287" t="str">
            <v>Industrial / Logistics</v>
          </cell>
          <cell r="CH287">
            <v>4.67</v>
          </cell>
        </row>
        <row r="288">
          <cell r="A288">
            <v>18179</v>
          </cell>
          <cell r="B288" t="str">
            <v>IMMOWERT</v>
          </cell>
          <cell r="C288" t="str">
            <v>AXA INVESTMENT MANAGERS</v>
          </cell>
          <cell r="D288" t="str">
            <v>Thurn-und-Taxis-Platz 6</v>
          </cell>
          <cell r="E288">
            <v>60313</v>
          </cell>
          <cell r="F288" t="str">
            <v>Frankfurt am Main</v>
          </cell>
          <cell r="G288" t="str">
            <v>Germany</v>
          </cell>
          <cell r="J288" t="str">
            <v>https://realassets.axa-im.com</v>
          </cell>
          <cell r="K288" t="str">
            <v>Christoph Moelleken</v>
          </cell>
          <cell r="L288" t="str">
            <v>christoph.moelleken@axa-im.com</v>
          </cell>
          <cell r="M288" t="str">
            <v>+4969900252063</v>
          </cell>
          <cell r="N288" t="str">
            <v>Jamie-Lee Chambers</v>
          </cell>
          <cell r="O288" t="str">
            <v>jamie-lee.chambers@axa-im.com</v>
          </cell>
          <cell r="Q288" t="str">
            <v>Germany</v>
          </cell>
          <cell r="R288" t="str">
            <v>EUR</v>
          </cell>
          <cell r="S288" t="str">
            <v>Local GAAP</v>
          </cell>
          <cell r="T288" t="str">
            <v>Quarterly</v>
          </cell>
          <cell r="U288" t="str">
            <v>Quarterly</v>
          </cell>
          <cell r="V288" t="str">
            <v>Ertragswertverfahren</v>
          </cell>
          <cell r="W288" t="str">
            <v>INREV NAV</v>
          </cell>
          <cell r="Y288" t="str">
            <v>Publikumsfonds</v>
          </cell>
          <cell r="Z288" t="str">
            <v>Yes</v>
          </cell>
          <cell r="AA288" t="str">
            <v>No</v>
          </cell>
          <cell r="AC288" t="str">
            <v>Non-Listed Fund</v>
          </cell>
          <cell r="AD288" t="str">
            <v>Core</v>
          </cell>
          <cell r="AE288" t="str">
            <v>infinite</v>
          </cell>
          <cell r="AF288" t="str">
            <v>Open end</v>
          </cell>
          <cell r="AK288">
            <v>3.5</v>
          </cell>
          <cell r="AM288" t="str">
            <v>≤ 40%</v>
          </cell>
          <cell r="AN288" t="str">
            <v>Institutional</v>
          </cell>
          <cell r="AO288" t="str">
            <v>&gt; 2</v>
          </cell>
          <cell r="AP288" t="str">
            <v>&lt; 50%</v>
          </cell>
          <cell r="AQ288" t="str">
            <v>Europe</v>
          </cell>
          <cell r="AR288" t="str">
            <v>multi country</v>
          </cell>
          <cell r="AS288" t="str">
            <v>Europe</v>
          </cell>
          <cell r="AU288" t="str">
            <v>multi sector</v>
          </cell>
          <cell r="AY288">
            <v>2012</v>
          </cell>
          <cell r="BD288" t="str">
            <v>No</v>
          </cell>
          <cell r="BH288" t="str">
            <v>2020-12-31</v>
          </cell>
          <cell r="BI288">
            <v>322380418</v>
          </cell>
          <cell r="BJ288">
            <v>322380418</v>
          </cell>
          <cell r="BK288">
            <v>309266234</v>
          </cell>
          <cell r="BL288">
            <v>309266234</v>
          </cell>
          <cell r="BM288">
            <v>0</v>
          </cell>
          <cell r="BN288" t="str">
            <v>No</v>
          </cell>
          <cell r="BO288" t="str">
            <v>External</v>
          </cell>
          <cell r="BP288">
            <v>700</v>
          </cell>
          <cell r="BQ288">
            <v>11</v>
          </cell>
          <cell r="BR288">
            <v>283096339</v>
          </cell>
          <cell r="BS288">
            <v>283096339</v>
          </cell>
          <cell r="BT288">
            <v>283096339</v>
          </cell>
          <cell r="BU288">
            <v>283096339</v>
          </cell>
          <cell r="BV288" t="str">
            <v>No</v>
          </cell>
          <cell r="BW288" t="str">
            <v>Germany</v>
          </cell>
          <cell r="BX288" t="str">
            <v>Residential</v>
          </cell>
          <cell r="BY288">
            <v>11</v>
          </cell>
          <cell r="BZ288" t="str">
            <v>Germany</v>
          </cell>
          <cell r="CA288" t="str">
            <v>Hotel</v>
          </cell>
          <cell r="CB288">
            <v>15</v>
          </cell>
          <cell r="CC288" t="str">
            <v>Germany</v>
          </cell>
          <cell r="CD288" t="str">
            <v>Retail</v>
          </cell>
          <cell r="CE288">
            <v>6</v>
          </cell>
          <cell r="CF288" t="str">
            <v>Germany</v>
          </cell>
          <cell r="CG288" t="str">
            <v>Office</v>
          </cell>
          <cell r="CH288">
            <v>40</v>
          </cell>
        </row>
        <row r="289">
          <cell r="A289">
            <v>256</v>
          </cell>
          <cell r="B289" t="str">
            <v>IMO PAN IBERIAN RETAIL FUND</v>
          </cell>
          <cell r="C289" t="str">
            <v>IMORENDIMENTO ACTIVE SERVICES</v>
          </cell>
          <cell r="D289" t="str">
            <v>Praça Bom Sucesso 127, Esc 210</v>
          </cell>
          <cell r="E289" t="str">
            <v>4050 146</v>
          </cell>
          <cell r="F289" t="str">
            <v>Porto</v>
          </cell>
          <cell r="G289" t="str">
            <v>Portugal</v>
          </cell>
          <cell r="H289" t="str">
            <v>+351 22 607 5660</v>
          </cell>
          <cell r="I289" t="str">
            <v>+351 22 607 5661</v>
          </cell>
          <cell r="J289" t="str">
            <v>http://www.imorendimento.com</v>
          </cell>
          <cell r="N289" t="str">
            <v>Armando Lacerda Queiroz</v>
          </cell>
          <cell r="O289" t="str">
            <v>lqueiroz@imorendimento.pt</v>
          </cell>
          <cell r="P289" t="str">
            <v>+351 22 607 5660</v>
          </cell>
          <cell r="Q289" t="str">
            <v>Portugal</v>
          </cell>
          <cell r="R289" t="str">
            <v>EUR</v>
          </cell>
          <cell r="T289" t="str">
            <v>Annually</v>
          </cell>
          <cell r="U289" t="str">
            <v>Quarterly</v>
          </cell>
          <cell r="X289" t="str">
            <v>Deloitte / PriceWaterhouseCoopers</v>
          </cell>
          <cell r="Y289" t="str">
            <v>Limited Partnership</v>
          </cell>
          <cell r="AB289">
            <v>0</v>
          </cell>
          <cell r="AC289" t="str">
            <v>Non-Listed Fund</v>
          </cell>
          <cell r="AD289" t="str">
            <v>Value-added</v>
          </cell>
          <cell r="AE289" t="str">
            <v>finite</v>
          </cell>
          <cell r="AF289" t="str">
            <v>Closed end</v>
          </cell>
          <cell r="AG289">
            <v>0</v>
          </cell>
          <cell r="AH289">
            <v>12</v>
          </cell>
          <cell r="AK289">
            <v>5</v>
          </cell>
          <cell r="AL289">
            <v>65</v>
          </cell>
          <cell r="AM289" t="str">
            <v>&gt; 60%</v>
          </cell>
          <cell r="AN289" t="str">
            <v>Institutional</v>
          </cell>
          <cell r="AO289" t="str">
            <v>&gt; 2</v>
          </cell>
          <cell r="AP289" t="str">
            <v>≥ 50%</v>
          </cell>
          <cell r="AQ289" t="str">
            <v>Europe</v>
          </cell>
          <cell r="AR289" t="str">
            <v>multi country</v>
          </cell>
          <cell r="AS289" t="str">
            <v>Europe</v>
          </cell>
          <cell r="AU289" t="str">
            <v>single sector</v>
          </cell>
          <cell r="AV289" t="str">
            <v>Retail</v>
          </cell>
          <cell r="AY289">
            <v>2007</v>
          </cell>
          <cell r="AZ289">
            <v>2017</v>
          </cell>
          <cell r="BA289" t="str">
            <v>Yes</v>
          </cell>
          <cell r="BB289" t="str">
            <v>Yes</v>
          </cell>
          <cell r="BC289" t="str">
            <v>1 year</v>
          </cell>
          <cell r="BH289" t="str">
            <v>2010-12-31</v>
          </cell>
          <cell r="BJ289">
            <v>0</v>
          </cell>
          <cell r="BK289">
            <v>116000000</v>
          </cell>
          <cell r="BL289">
            <v>116000000</v>
          </cell>
          <cell r="BQ289">
            <v>5</v>
          </cell>
          <cell r="BS289">
            <v>0</v>
          </cell>
          <cell r="BV289" t="str">
            <v>No</v>
          </cell>
        </row>
        <row r="290">
          <cell r="A290">
            <v>257</v>
          </cell>
          <cell r="B290" t="str">
            <v>IMOCAR FUND</v>
          </cell>
          <cell r="C290" t="str">
            <v>NORFIN</v>
          </cell>
          <cell r="D290" t="str">
            <v>Avenida da Republica 35-4º</v>
          </cell>
          <cell r="E290" t="str">
            <v>1050-186</v>
          </cell>
          <cell r="F290" t="str">
            <v>Lisbon</v>
          </cell>
          <cell r="G290" t="str">
            <v>Portugal</v>
          </cell>
          <cell r="H290" t="str">
            <v>+351 (0) 21 318 25 20</v>
          </cell>
          <cell r="I290" t="str">
            <v>+351 (0) 21 318 25 29</v>
          </cell>
          <cell r="J290" t="str">
            <v>http://www.norfin.eu</v>
          </cell>
          <cell r="K290" t="str">
            <v>João Brion Sanches</v>
          </cell>
          <cell r="L290" t="str">
            <v>jbrion@norfin.pt</v>
          </cell>
          <cell r="M290" t="str">
            <v>+351 21 318 25 20</v>
          </cell>
          <cell r="N290" t="str">
            <v>João Brion Sanches</v>
          </cell>
          <cell r="O290" t="str">
            <v>jbrion@norfin.pt</v>
          </cell>
          <cell r="P290" t="str">
            <v>+351 21 318 25 20</v>
          </cell>
          <cell r="Q290" t="str">
            <v>Portugal</v>
          </cell>
          <cell r="R290" t="str">
            <v>EUR</v>
          </cell>
          <cell r="S290" t="str">
            <v>Local GAAP</v>
          </cell>
          <cell r="T290" t="str">
            <v>Monthly</v>
          </cell>
          <cell r="U290" t="str">
            <v>Annually</v>
          </cell>
          <cell r="X290" t="str">
            <v>Deloitte &amp; Touche</v>
          </cell>
          <cell r="Y290" t="str">
            <v>FII</v>
          </cell>
          <cell r="Z290" t="str">
            <v>No</v>
          </cell>
          <cell r="AA290" t="str">
            <v>No</v>
          </cell>
          <cell r="AB290">
            <v>0</v>
          </cell>
          <cell r="AC290" t="str">
            <v>Non-Listed Fund</v>
          </cell>
          <cell r="AD290" t="str">
            <v>Core</v>
          </cell>
          <cell r="AE290" t="str">
            <v>finite</v>
          </cell>
          <cell r="AF290" t="str">
            <v>Closed end</v>
          </cell>
          <cell r="AG290">
            <v>10</v>
          </cell>
          <cell r="AH290">
            <v>10</v>
          </cell>
          <cell r="AI290" t="str">
            <v>Gross</v>
          </cell>
          <cell r="AJ290" t="str">
            <v>IPD</v>
          </cell>
          <cell r="AK290">
            <v>4</v>
          </cell>
          <cell r="AM290" t="str">
            <v>≤ 40%</v>
          </cell>
          <cell r="AN290" t="str">
            <v>Institutional and Retail</v>
          </cell>
          <cell r="AO290" t="str">
            <v>&gt; 2</v>
          </cell>
          <cell r="AP290" t="str">
            <v>≥ 50%</v>
          </cell>
          <cell r="AQ290" t="str">
            <v>Europe</v>
          </cell>
          <cell r="AR290" t="str">
            <v>single country</v>
          </cell>
          <cell r="AT290" t="str">
            <v>Portugal</v>
          </cell>
          <cell r="AU290" t="str">
            <v>multi sector</v>
          </cell>
          <cell r="AW290">
            <v>50000000</v>
          </cell>
          <cell r="AX290">
            <v>72000000</v>
          </cell>
          <cell r="AY290">
            <v>2004</v>
          </cell>
          <cell r="AZ290">
            <v>2014</v>
          </cell>
          <cell r="BA290" t="str">
            <v>Yes</v>
          </cell>
          <cell r="BB290" t="str">
            <v>No</v>
          </cell>
          <cell r="BH290" t="str">
            <v>2018-09-30</v>
          </cell>
          <cell r="BI290">
            <v>62338511.840000004</v>
          </cell>
          <cell r="BJ290">
            <v>62338511.840000004</v>
          </cell>
          <cell r="BK290">
            <v>61196699.710000001</v>
          </cell>
          <cell r="BL290">
            <v>61196699.710000001</v>
          </cell>
          <cell r="BM290">
            <v>0</v>
          </cell>
          <cell r="BN290" t="str">
            <v>No</v>
          </cell>
          <cell r="BO290" t="str">
            <v>External</v>
          </cell>
          <cell r="BR290">
            <v>51497350</v>
          </cell>
          <cell r="BS290">
            <v>51497350</v>
          </cell>
          <cell r="BT290">
            <v>51497350</v>
          </cell>
          <cell r="BU290">
            <v>51497350</v>
          </cell>
          <cell r="BV290" t="str">
            <v>No</v>
          </cell>
          <cell r="BW290" t="str">
            <v>Portugal</v>
          </cell>
          <cell r="BX290" t="str">
            <v>Industrial / Logistics</v>
          </cell>
          <cell r="BY290">
            <v>100</v>
          </cell>
        </row>
        <row r="291">
          <cell r="A291">
            <v>512</v>
          </cell>
          <cell r="B291" t="str">
            <v>IMOPROMOçãO</v>
          </cell>
          <cell r="C291" t="str">
            <v>MILLENNIUM BCP - MILLENNIUM GESTãO DE ACTIVOS</v>
          </cell>
          <cell r="D291" t="str">
            <v>Avenida Professor Dr. Cavaco Silva - Parque das Tecnologias Edifício 3 (Tagus Park)</v>
          </cell>
          <cell r="E291" t="str">
            <v>2744-002</v>
          </cell>
          <cell r="F291" t="str">
            <v>Porto Salvo</v>
          </cell>
          <cell r="G291" t="str">
            <v>Portugal</v>
          </cell>
          <cell r="J291" t="str">
            <v>http://www.millenniumbcp.pt</v>
          </cell>
          <cell r="N291" t="str">
            <v>António Pena do Amaral</v>
          </cell>
          <cell r="O291" t="str">
            <v>antonio.amaral@fandc.com</v>
          </cell>
          <cell r="P291" t="str">
            <v>+351 21 003 32 55</v>
          </cell>
          <cell r="Q291" t="str">
            <v>Portugal</v>
          </cell>
          <cell r="R291" t="str">
            <v>EUR</v>
          </cell>
          <cell r="T291" t="str">
            <v>Monthly</v>
          </cell>
          <cell r="U291" t="str">
            <v>Quarterly</v>
          </cell>
          <cell r="X291" t="str">
            <v>KPMG</v>
          </cell>
          <cell r="Y291" t="str">
            <v>Closed Ended Fund</v>
          </cell>
          <cell r="Z291" t="str">
            <v>No</v>
          </cell>
          <cell r="AA291" t="str">
            <v>No</v>
          </cell>
          <cell r="AB291">
            <v>0</v>
          </cell>
          <cell r="AC291" t="str">
            <v>Non-Listed Fund</v>
          </cell>
          <cell r="AD291" t="str">
            <v>Value-added</v>
          </cell>
          <cell r="AE291" t="str">
            <v>finite</v>
          </cell>
          <cell r="AF291" t="str">
            <v>Closed end</v>
          </cell>
          <cell r="AI291" t="str">
            <v>Net</v>
          </cell>
          <cell r="AJ291" t="str">
            <v>APFIPP Index</v>
          </cell>
          <cell r="AM291" t="str">
            <v>&gt; 60%</v>
          </cell>
          <cell r="AN291" t="str">
            <v>Institutional</v>
          </cell>
          <cell r="AP291" t="str">
            <v>≥ 50%</v>
          </cell>
          <cell r="AQ291" t="str">
            <v>Europe</v>
          </cell>
          <cell r="AR291" t="str">
            <v>single country</v>
          </cell>
          <cell r="AT291" t="str">
            <v>Portugal</v>
          </cell>
          <cell r="AU291" t="str">
            <v>multi sector</v>
          </cell>
          <cell r="AW291">
            <v>55000000</v>
          </cell>
          <cell r="AX291">
            <v>55000000</v>
          </cell>
          <cell r="AY291">
            <v>2008</v>
          </cell>
          <cell r="AZ291">
            <v>2018</v>
          </cell>
          <cell r="BA291" t="str">
            <v>Yes</v>
          </cell>
          <cell r="BB291" t="str">
            <v>Yes</v>
          </cell>
          <cell r="BC291" t="str">
            <v>5 years</v>
          </cell>
          <cell r="BH291" t="str">
            <v>2012-09-30</v>
          </cell>
          <cell r="BI291">
            <v>56000000</v>
          </cell>
          <cell r="BJ291">
            <v>56000000</v>
          </cell>
          <cell r="BK291">
            <v>55000000</v>
          </cell>
          <cell r="BL291">
            <v>55000000</v>
          </cell>
          <cell r="BQ291">
            <v>5</v>
          </cell>
          <cell r="BR291">
            <v>55000000</v>
          </cell>
          <cell r="BS291">
            <v>55000000</v>
          </cell>
          <cell r="BU291">
            <v>0</v>
          </cell>
          <cell r="BV291" t="str">
            <v>Yes</v>
          </cell>
        </row>
        <row r="292">
          <cell r="A292">
            <v>259</v>
          </cell>
          <cell r="B292" t="str">
            <v>IMORENDIMENTO II</v>
          </cell>
          <cell r="C292" t="str">
            <v>IMORENDIMENTO SGFII, SA</v>
          </cell>
          <cell r="D292" t="str">
            <v>Praça Bom Sucesso 127, Esc 210</v>
          </cell>
          <cell r="E292" t="str">
            <v>4050 146</v>
          </cell>
          <cell r="F292" t="str">
            <v>Porto</v>
          </cell>
          <cell r="G292" t="str">
            <v>Portugal</v>
          </cell>
          <cell r="H292" t="str">
            <v>+351 22 607 5660</v>
          </cell>
          <cell r="I292" t="str">
            <v>+351 22 607 5661</v>
          </cell>
          <cell r="J292" t="str">
            <v>http://www.imorendimento.com</v>
          </cell>
          <cell r="N292" t="str">
            <v>Armando Lacerda Queiroz</v>
          </cell>
          <cell r="O292" t="str">
            <v>lqueiroz@imorendimento.pt</v>
          </cell>
          <cell r="P292" t="str">
            <v>+351 22 607 5660</v>
          </cell>
          <cell r="Q292" t="str">
            <v>Portugal</v>
          </cell>
          <cell r="R292" t="str">
            <v>EUR</v>
          </cell>
          <cell r="T292" t="str">
            <v>Annually</v>
          </cell>
          <cell r="U292" t="str">
            <v>Twice per year</v>
          </cell>
          <cell r="X292" t="str">
            <v>KPMG</v>
          </cell>
          <cell r="Y292" t="str">
            <v>Real Estate Fund</v>
          </cell>
          <cell r="Z292" t="str">
            <v>No</v>
          </cell>
          <cell r="AA292" t="str">
            <v>No</v>
          </cell>
          <cell r="AB292">
            <v>0</v>
          </cell>
          <cell r="AC292" t="str">
            <v>Non-Listed Fund</v>
          </cell>
          <cell r="AD292" t="str">
            <v>Core</v>
          </cell>
          <cell r="AE292" t="str">
            <v>finite</v>
          </cell>
          <cell r="AF292" t="str">
            <v>Closed end</v>
          </cell>
          <cell r="AG292">
            <v>0</v>
          </cell>
          <cell r="AH292">
            <v>12</v>
          </cell>
          <cell r="AI292" t="str">
            <v>Net</v>
          </cell>
          <cell r="AJ292" t="str">
            <v>IPD Portugal Index</v>
          </cell>
          <cell r="AM292" t="str">
            <v>&gt; 60%</v>
          </cell>
          <cell r="AN292" t="str">
            <v>Institutional</v>
          </cell>
          <cell r="AQ292" t="str">
            <v>Europe</v>
          </cell>
          <cell r="AR292" t="str">
            <v>single country</v>
          </cell>
          <cell r="AT292" t="str">
            <v>Portugal</v>
          </cell>
          <cell r="AU292" t="str">
            <v>multi sector</v>
          </cell>
          <cell r="AY292">
            <v>1991</v>
          </cell>
          <cell r="AZ292">
            <v>2016</v>
          </cell>
          <cell r="BA292" t="str">
            <v>Yes</v>
          </cell>
          <cell r="BB292" t="str">
            <v>No</v>
          </cell>
          <cell r="BH292" t="str">
            <v>2010-12-31</v>
          </cell>
          <cell r="BJ292">
            <v>0</v>
          </cell>
          <cell r="BK292">
            <v>30000000</v>
          </cell>
          <cell r="BL292">
            <v>30000000</v>
          </cell>
          <cell r="BP292">
            <v>13</v>
          </cell>
          <cell r="BQ292">
            <v>35</v>
          </cell>
          <cell r="BS292">
            <v>0</v>
          </cell>
          <cell r="BV292" t="str">
            <v>No</v>
          </cell>
        </row>
        <row r="293">
          <cell r="A293">
            <v>261</v>
          </cell>
          <cell r="B293" t="str">
            <v>INDUSTRIAL PROPERTY INVESTMENT FUND</v>
          </cell>
          <cell r="C293" t="str">
            <v>LEGAL &amp; GENERAL PROPERTY LTD</v>
          </cell>
          <cell r="D293" t="str">
            <v>One Coleman Street</v>
          </cell>
          <cell r="E293" t="str">
            <v>EC2R 5AA</v>
          </cell>
          <cell r="F293" t="str">
            <v>London</v>
          </cell>
          <cell r="G293" t="str">
            <v>United Kingdom</v>
          </cell>
          <cell r="H293" t="str">
            <v>+44 (0) 20 3124 2700</v>
          </cell>
          <cell r="I293" t="str">
            <v>+44 (0) 20 3124 2542</v>
          </cell>
          <cell r="J293" t="str">
            <v>http://www.lgim.co.uk</v>
          </cell>
          <cell r="K293" t="str">
            <v>Jonathan Holland</v>
          </cell>
          <cell r="N293" t="str">
            <v>Callum Fraser</v>
          </cell>
          <cell r="O293" t="str">
            <v>callum.fraser@lgim.co.uk</v>
          </cell>
          <cell r="P293" t="str">
            <v>+44 (0) 20 3124 2542</v>
          </cell>
          <cell r="Q293" t="str">
            <v>United Kingdom</v>
          </cell>
          <cell r="R293" t="str">
            <v>GBP</v>
          </cell>
          <cell r="S293" t="str">
            <v>Local GAAP</v>
          </cell>
          <cell r="T293" t="str">
            <v>Quarterly</v>
          </cell>
          <cell r="U293" t="str">
            <v>Quarterly</v>
          </cell>
          <cell r="V293" t="str">
            <v>RICS</v>
          </cell>
          <cell r="W293" t="str">
            <v>IFRS NAV</v>
          </cell>
          <cell r="X293" t="str">
            <v>Legal &amp; General Investment Management Ltd</v>
          </cell>
          <cell r="Y293" t="str">
            <v>Limited Partnership</v>
          </cell>
          <cell r="Z293" t="str">
            <v>No</v>
          </cell>
          <cell r="AA293" t="str">
            <v>No</v>
          </cell>
          <cell r="AB293">
            <v>0</v>
          </cell>
          <cell r="AC293" t="str">
            <v>Non-Listed Fund</v>
          </cell>
          <cell r="AD293" t="str">
            <v>Core</v>
          </cell>
          <cell r="AE293" t="str">
            <v>infinite</v>
          </cell>
          <cell r="AF293" t="str">
            <v>Open end</v>
          </cell>
          <cell r="AJ293" t="str">
            <v>IPD UK Industrial Annual Index</v>
          </cell>
          <cell r="AK293">
            <v>5</v>
          </cell>
          <cell r="AL293">
            <v>25</v>
          </cell>
          <cell r="AM293" t="str">
            <v>&gt; 40% - ≤ 60%</v>
          </cell>
          <cell r="AN293" t="str">
            <v>Institutional</v>
          </cell>
          <cell r="AO293" t="str">
            <v>&gt; 2</v>
          </cell>
          <cell r="AP293" t="str">
            <v>≥ 50%</v>
          </cell>
          <cell r="AQ293" t="str">
            <v>Europe</v>
          </cell>
          <cell r="AR293" t="str">
            <v>single country</v>
          </cell>
          <cell r="AT293" t="str">
            <v>United Kingdom</v>
          </cell>
          <cell r="AU293" t="str">
            <v>single sector</v>
          </cell>
          <cell r="AV293" t="str">
            <v>Industrial / Logistics</v>
          </cell>
          <cell r="AY293">
            <v>1997</v>
          </cell>
          <cell r="BA293" t="str">
            <v>No</v>
          </cell>
          <cell r="BB293" t="str">
            <v>Yes</v>
          </cell>
          <cell r="BH293" t="str">
            <v>2020-12-31</v>
          </cell>
          <cell r="BI293">
            <v>2652706582.71</v>
          </cell>
          <cell r="BJ293">
            <v>2932697361.8155832</v>
          </cell>
          <cell r="BK293">
            <v>2180713490</v>
          </cell>
          <cell r="BL293">
            <v>2410885825.323792</v>
          </cell>
          <cell r="BM293">
            <v>15.8</v>
          </cell>
          <cell r="BN293" t="str">
            <v>No</v>
          </cell>
          <cell r="BO293" t="str">
            <v>External</v>
          </cell>
          <cell r="BP293">
            <v>84</v>
          </cell>
          <cell r="BQ293">
            <v>167</v>
          </cell>
          <cell r="BR293">
            <v>0</v>
          </cell>
          <cell r="BS293">
            <v>0</v>
          </cell>
          <cell r="BT293">
            <v>0</v>
          </cell>
          <cell r="BV293" t="str">
            <v>Yes</v>
          </cell>
          <cell r="BW293" t="str">
            <v>United Kingdom</v>
          </cell>
          <cell r="BX293" t="str">
            <v>Industrial / Logistics</v>
          </cell>
          <cell r="BY293">
            <v>97.9</v>
          </cell>
        </row>
        <row r="294">
          <cell r="A294">
            <v>17218</v>
          </cell>
          <cell r="B294" t="str">
            <v>INSULA LUMEN</v>
          </cell>
          <cell r="C294" t="str">
            <v>ABERDEEN ASSET MANAGEMENT DEUTSCHLAND AG</v>
          </cell>
          <cell r="D294" t="str">
            <v>Bettinastraße 53-55</v>
          </cell>
          <cell r="E294">
            <v>60325</v>
          </cell>
          <cell r="F294" t="str">
            <v>Frankfurt am Main</v>
          </cell>
          <cell r="G294" t="str">
            <v>Germany</v>
          </cell>
          <cell r="H294" t="str">
            <v>+49697680720</v>
          </cell>
          <cell r="I294" t="str">
            <v>+4969768072251</v>
          </cell>
          <cell r="J294" t="str">
            <v>http://www.aberdeen-immobilien.de/</v>
          </cell>
          <cell r="K294" t="str">
            <v>Norbert Kraus</v>
          </cell>
          <cell r="L294" t="str">
            <v>norbert.kraus@aberdeen-asset.com</v>
          </cell>
          <cell r="M294" t="str">
            <v>+49 69 768072199</v>
          </cell>
          <cell r="N294" t="str">
            <v>Robert Bauer</v>
          </cell>
          <cell r="O294" t="str">
            <v>robert.bauer@aberdeen-asset.com</v>
          </cell>
          <cell r="P294" t="str">
            <v>+4969768072181</v>
          </cell>
          <cell r="Q294" t="str">
            <v>Germany</v>
          </cell>
          <cell r="R294" t="str">
            <v>EUR</v>
          </cell>
          <cell r="S294" t="str">
            <v>Local GAAP</v>
          </cell>
          <cell r="T294" t="str">
            <v>Annually</v>
          </cell>
          <cell r="U294" t="str">
            <v>Annually</v>
          </cell>
          <cell r="V294" t="str">
            <v>Other - mark to market</v>
          </cell>
          <cell r="W294" t="str">
            <v>mark to market</v>
          </cell>
          <cell r="X294" t="str">
            <v>KPMG AG</v>
          </cell>
          <cell r="Y294" t="str">
            <v>Spezialfonds</v>
          </cell>
          <cell r="Z294" t="str">
            <v>No</v>
          </cell>
          <cell r="AA294" t="str">
            <v>Yes</v>
          </cell>
          <cell r="AC294" t="str">
            <v>Non-Listed Fund</v>
          </cell>
          <cell r="AD294" t="str">
            <v>Core</v>
          </cell>
          <cell r="AE294" t="str">
            <v>infinite</v>
          </cell>
          <cell r="AF294" t="str">
            <v>Open end</v>
          </cell>
          <cell r="AG294">
            <v>4</v>
          </cell>
          <cell r="AH294">
            <v>5</v>
          </cell>
          <cell r="AI294" t="str">
            <v>Net</v>
          </cell>
          <cell r="AL294">
            <v>45</v>
          </cell>
          <cell r="AM294" t="str">
            <v>&gt; 40% - ≤ 60%</v>
          </cell>
          <cell r="AN294" t="str">
            <v>Institutional</v>
          </cell>
          <cell r="AO294" t="str">
            <v>&gt; 2</v>
          </cell>
          <cell r="AP294" t="str">
            <v>≥ 50%</v>
          </cell>
          <cell r="AQ294" t="str">
            <v>Europe</v>
          </cell>
          <cell r="AR294" t="str">
            <v>single country</v>
          </cell>
          <cell r="AT294" t="str">
            <v>Germany</v>
          </cell>
          <cell r="AU294" t="str">
            <v>single sector</v>
          </cell>
          <cell r="AV294" t="str">
            <v>Residential</v>
          </cell>
          <cell r="AX294">
            <v>1500000000</v>
          </cell>
          <cell r="AY294">
            <v>2009</v>
          </cell>
          <cell r="BB294" t="str">
            <v>No</v>
          </cell>
          <cell r="BD294" t="str">
            <v>No</v>
          </cell>
          <cell r="BH294" t="str">
            <v>2020-12-31</v>
          </cell>
          <cell r="BI294">
            <v>3126435382</v>
          </cell>
          <cell r="BJ294">
            <v>3126435382</v>
          </cell>
          <cell r="BK294">
            <v>2100424524.0799999</v>
          </cell>
          <cell r="BL294">
            <v>2100424524.0799999</v>
          </cell>
          <cell r="BM294">
            <v>30.7</v>
          </cell>
          <cell r="BN294" t="str">
            <v>No</v>
          </cell>
          <cell r="BO294" t="str">
            <v>External</v>
          </cell>
          <cell r="BP294">
            <v>1</v>
          </cell>
          <cell r="BQ294">
            <v>62</v>
          </cell>
          <cell r="BR294">
            <v>1296740424</v>
          </cell>
          <cell r="BS294">
            <v>1296740424</v>
          </cell>
          <cell r="BT294">
            <v>1296740424</v>
          </cell>
          <cell r="BU294">
            <v>1296740424</v>
          </cell>
          <cell r="BV294" t="str">
            <v>No</v>
          </cell>
          <cell r="BW294" t="str">
            <v>Germany</v>
          </cell>
          <cell r="BX294" t="str">
            <v>Residential</v>
          </cell>
          <cell r="BY294">
            <v>89.7</v>
          </cell>
        </row>
        <row r="295">
          <cell r="A295">
            <v>16345</v>
          </cell>
          <cell r="B295" t="str">
            <v>INTERNOS HOTEL REAL ESTATE FUND</v>
          </cell>
          <cell r="C295" t="str">
            <v>INTERNOS KAG</v>
          </cell>
          <cell r="Q295" t="str">
            <v>Germany</v>
          </cell>
          <cell r="R295" t="str">
            <v>EUR</v>
          </cell>
          <cell r="T295" t="str">
            <v>Quarterly</v>
          </cell>
          <cell r="U295" t="str">
            <v>Annually</v>
          </cell>
          <cell r="Y295" t="str">
            <v>Spezialfonds</v>
          </cell>
          <cell r="Z295" t="str">
            <v>No</v>
          </cell>
          <cell r="AC295" t="str">
            <v>Non-Listed Fund</v>
          </cell>
          <cell r="AD295" t="str">
            <v>Core</v>
          </cell>
          <cell r="AE295" t="str">
            <v>infinite</v>
          </cell>
          <cell r="AF295" t="str">
            <v>Open end</v>
          </cell>
          <cell r="AG295">
            <v>11</v>
          </cell>
          <cell r="AH295">
            <v>11</v>
          </cell>
          <cell r="AI295" t="str">
            <v>Net</v>
          </cell>
          <cell r="AK295">
            <v>7.5</v>
          </cell>
          <cell r="AL295">
            <v>40</v>
          </cell>
          <cell r="AN295" t="str">
            <v>Institutional</v>
          </cell>
          <cell r="AO295" t="str">
            <v>&gt; 2</v>
          </cell>
          <cell r="AP295" t="str">
            <v>≥ 50%</v>
          </cell>
          <cell r="AQ295" t="str">
            <v>Europe</v>
          </cell>
          <cell r="AR295" t="str">
            <v>multi country</v>
          </cell>
          <cell r="AS295" t="str">
            <v>Western Europe</v>
          </cell>
          <cell r="AU295" t="str">
            <v>single sector</v>
          </cell>
          <cell r="AV295" t="str">
            <v>Hotel</v>
          </cell>
          <cell r="AY295">
            <v>2012</v>
          </cell>
          <cell r="BH295" t="str">
            <v>2020-12-31</v>
          </cell>
          <cell r="BI295">
            <v>8457521.7699999996</v>
          </cell>
          <cell r="BJ295">
            <v>8457521.7699999996</v>
          </cell>
          <cell r="BK295">
            <v>8379832.21</v>
          </cell>
          <cell r="BL295">
            <v>8379832.21</v>
          </cell>
          <cell r="BM295">
            <v>0</v>
          </cell>
          <cell r="BN295" t="str">
            <v>No</v>
          </cell>
          <cell r="BO295" t="str">
            <v>External</v>
          </cell>
          <cell r="BP295">
            <v>7</v>
          </cell>
          <cell r="BQ295">
            <v>0</v>
          </cell>
          <cell r="BR295">
            <v>196830000</v>
          </cell>
          <cell r="BS295">
            <v>196830000</v>
          </cell>
          <cell r="BT295">
            <v>193830000</v>
          </cell>
          <cell r="BU295">
            <v>193830000</v>
          </cell>
          <cell r="BV295" t="str">
            <v>No</v>
          </cell>
        </row>
        <row r="296">
          <cell r="A296">
            <v>517</v>
          </cell>
          <cell r="B296" t="str">
            <v>INVESCO EUROPEAN HOTEL REAL ESTATE FUND</v>
          </cell>
          <cell r="C296" t="str">
            <v>INVESCO REAL ESTATE</v>
          </cell>
          <cell r="D296" t="str">
            <v>Maffeistrasse 3</v>
          </cell>
          <cell r="E296">
            <v>80333</v>
          </cell>
          <cell r="F296" t="str">
            <v>München</v>
          </cell>
          <cell r="G296" t="str">
            <v>Germany</v>
          </cell>
          <cell r="H296" t="str">
            <v>+49 (0)89 2060600</v>
          </cell>
          <cell r="I296" t="str">
            <v>+49 (0)89 20606010</v>
          </cell>
          <cell r="J296" t="str">
            <v>http://www.invescorealestate.co.uk</v>
          </cell>
          <cell r="K296" t="str">
            <v>Steffen Pilopp</v>
          </cell>
          <cell r="L296" t="str">
            <v>steffen_pilopp@mun.invesco.com</v>
          </cell>
          <cell r="M296" t="str">
            <v>+49 (0)89 20606109</v>
          </cell>
          <cell r="N296" t="str">
            <v>Steffen Pilopp</v>
          </cell>
          <cell r="O296" t="str">
            <v>steffen_pilopp@mun.invesco.com</v>
          </cell>
          <cell r="P296" t="str">
            <v>+49 (0)89 20606109</v>
          </cell>
          <cell r="Q296" t="str">
            <v>Luxembourg</v>
          </cell>
          <cell r="R296" t="str">
            <v>EUR</v>
          </cell>
          <cell r="S296" t="str">
            <v>IFRS</v>
          </cell>
          <cell r="T296" t="str">
            <v>Annually</v>
          </cell>
          <cell r="U296" t="str">
            <v>Annually</v>
          </cell>
          <cell r="V296" t="str">
            <v>RICS</v>
          </cell>
          <cell r="W296" t="str">
            <v>INREV NAV</v>
          </cell>
          <cell r="X296" t="str">
            <v>Deloitte</v>
          </cell>
          <cell r="Y296" t="str">
            <v>SICAV-SIF</v>
          </cell>
          <cell r="Z296" t="str">
            <v>Yes</v>
          </cell>
          <cell r="AA296" t="str">
            <v>Yes</v>
          </cell>
          <cell r="AB296">
            <v>1</v>
          </cell>
          <cell r="AC296" t="str">
            <v>Non-Listed Fund</v>
          </cell>
          <cell r="AD296" t="str">
            <v>Core</v>
          </cell>
          <cell r="AE296" t="str">
            <v>finite</v>
          </cell>
          <cell r="AF296" t="str">
            <v>Closed end</v>
          </cell>
          <cell r="AG296">
            <v>11</v>
          </cell>
          <cell r="AH296">
            <v>11</v>
          </cell>
          <cell r="AI296" t="str">
            <v>Net</v>
          </cell>
          <cell r="AJ296" t="str">
            <v>n/a</v>
          </cell>
          <cell r="AK296">
            <v>7.5</v>
          </cell>
          <cell r="AL296">
            <v>55</v>
          </cell>
          <cell r="AM296" t="str">
            <v>&gt; 40% - ≤ 60%</v>
          </cell>
          <cell r="AN296" t="str">
            <v>Institutional</v>
          </cell>
          <cell r="AO296" t="str">
            <v>&gt; 2</v>
          </cell>
          <cell r="AP296" t="str">
            <v>≥ 50%</v>
          </cell>
          <cell r="AQ296" t="str">
            <v>Europe</v>
          </cell>
          <cell r="AR296" t="str">
            <v>multi country</v>
          </cell>
          <cell r="AS296" t="str">
            <v>Europe</v>
          </cell>
          <cell r="AU296" t="str">
            <v>single sector</v>
          </cell>
          <cell r="AV296" t="str">
            <v>Hotel</v>
          </cell>
          <cell r="AW296">
            <v>350000000</v>
          </cell>
          <cell r="AX296">
            <v>750000000</v>
          </cell>
          <cell r="AY296">
            <v>2007</v>
          </cell>
          <cell r="AZ296">
            <v>2016</v>
          </cell>
          <cell r="BA296" t="str">
            <v>Yes</v>
          </cell>
          <cell r="BB296" t="str">
            <v>Yes</v>
          </cell>
          <cell r="BC296" t="str">
            <v>1+1 years</v>
          </cell>
          <cell r="BD296" t="str">
            <v>No</v>
          </cell>
          <cell r="BH296" t="str">
            <v>2020-12-31</v>
          </cell>
          <cell r="BI296">
            <v>13695941</v>
          </cell>
          <cell r="BJ296">
            <v>13695941</v>
          </cell>
          <cell r="BK296">
            <v>11427421</v>
          </cell>
          <cell r="BL296">
            <v>11427421</v>
          </cell>
          <cell r="BM296">
            <v>0</v>
          </cell>
          <cell r="BN296" t="str">
            <v>No</v>
          </cell>
          <cell r="BO296" t="str">
            <v>External</v>
          </cell>
          <cell r="BP296">
            <v>7</v>
          </cell>
          <cell r="BQ296">
            <v>1</v>
          </cell>
          <cell r="BR296">
            <v>350000000</v>
          </cell>
          <cell r="BS296">
            <v>350000000</v>
          </cell>
          <cell r="BT296">
            <v>114000000</v>
          </cell>
          <cell r="BU296">
            <v>114000000</v>
          </cell>
          <cell r="BV296" t="str">
            <v>No</v>
          </cell>
          <cell r="BW296" t="str">
            <v>Slovakia</v>
          </cell>
          <cell r="BX296" t="str">
            <v>Hotel</v>
          </cell>
          <cell r="BY296">
            <v>66</v>
          </cell>
        </row>
        <row r="297">
          <cell r="A297">
            <v>559</v>
          </cell>
          <cell r="B297" t="str">
            <v>INVESCO REAL ESTATE - EUROPEAN FUND FCP-SIF</v>
          </cell>
          <cell r="C297" t="str">
            <v>INVESCO REAL ESTATE MANAGEMENT S.à R.L.</v>
          </cell>
          <cell r="D297" t="str">
            <v>20, rue de la Poste</v>
          </cell>
          <cell r="E297">
            <v>2346</v>
          </cell>
          <cell r="F297" t="str">
            <v>Luxembourg</v>
          </cell>
          <cell r="G297" t="str">
            <v>Luxembourg</v>
          </cell>
          <cell r="H297" t="str">
            <v>+352472323</v>
          </cell>
          <cell r="I297" t="str">
            <v>+352472473</v>
          </cell>
          <cell r="K297" t="str">
            <v>Rory Morrison</v>
          </cell>
          <cell r="L297" t="str">
            <v>Rory.Morrison@Invesco.com</v>
          </cell>
          <cell r="M297" t="str">
            <v>+442075433581</v>
          </cell>
          <cell r="N297" t="str">
            <v>Hannah Brown</v>
          </cell>
          <cell r="O297" t="str">
            <v>Hannah.Brown@invesco.com</v>
          </cell>
          <cell r="P297" t="str">
            <v>+442075433549</v>
          </cell>
          <cell r="Q297" t="str">
            <v>Luxembourg</v>
          </cell>
          <cell r="R297" t="str">
            <v>EUR</v>
          </cell>
          <cell r="S297" t="str">
            <v>IFRS</v>
          </cell>
          <cell r="T297" t="str">
            <v>Quarterly</v>
          </cell>
          <cell r="U297" t="str">
            <v>Quarterly</v>
          </cell>
          <cell r="V297" t="str">
            <v>RICS</v>
          </cell>
          <cell r="W297" t="str">
            <v xml:space="preserve"> </v>
          </cell>
          <cell r="X297" t="str">
            <v>KPMG Luxembourg</v>
          </cell>
          <cell r="Y297" t="str">
            <v>FCP</v>
          </cell>
          <cell r="Z297" t="str">
            <v>Yes</v>
          </cell>
          <cell r="AA297" t="str">
            <v>Yes</v>
          </cell>
          <cell r="AB297">
            <v>0</v>
          </cell>
          <cell r="AC297" t="str">
            <v>Non-Listed Fund</v>
          </cell>
          <cell r="AD297" t="str">
            <v>Core</v>
          </cell>
          <cell r="AE297" t="str">
            <v>infinite</v>
          </cell>
          <cell r="AF297" t="str">
            <v>Open end</v>
          </cell>
          <cell r="AG297">
            <v>6</v>
          </cell>
          <cell r="AH297">
            <v>7</v>
          </cell>
          <cell r="AI297" t="str">
            <v>Net</v>
          </cell>
          <cell r="AJ297" t="str">
            <v>IPD</v>
          </cell>
          <cell r="AK297">
            <v>4</v>
          </cell>
          <cell r="AL297">
            <v>40</v>
          </cell>
          <cell r="AM297" t="str">
            <v>&gt; 40% - ≤ 60%</v>
          </cell>
          <cell r="AN297" t="str">
            <v>Institutional</v>
          </cell>
          <cell r="AO297" t="str">
            <v>&gt; 2</v>
          </cell>
          <cell r="AP297" t="str">
            <v>≥ 50%</v>
          </cell>
          <cell r="AQ297" t="str">
            <v>Europe</v>
          </cell>
          <cell r="AR297" t="str">
            <v>multi country</v>
          </cell>
          <cell r="AS297" t="str">
            <v>Europe</v>
          </cell>
          <cell r="AU297" t="str">
            <v>multi sector</v>
          </cell>
          <cell r="AX297">
            <v>6000000000</v>
          </cell>
          <cell r="AY297">
            <v>2008</v>
          </cell>
          <cell r="BB297" t="str">
            <v>No</v>
          </cell>
          <cell r="BD297" t="str">
            <v>No</v>
          </cell>
          <cell r="BE297" t="str">
            <v>≥ 60%</v>
          </cell>
          <cell r="BF297" t="str">
            <v>≤ 15%</v>
          </cell>
          <cell r="BG297" t="str">
            <v>≤ 5%</v>
          </cell>
          <cell r="BH297" t="str">
            <v>2020-12-31</v>
          </cell>
          <cell r="BI297">
            <v>5424436057</v>
          </cell>
          <cell r="BJ297">
            <v>5424436057</v>
          </cell>
          <cell r="BK297">
            <v>3649578893.0700002</v>
          </cell>
          <cell r="BL297">
            <v>3649578893.0700002</v>
          </cell>
          <cell r="BM297">
            <v>30.06</v>
          </cell>
          <cell r="BN297" t="str">
            <v>Yes</v>
          </cell>
          <cell r="BO297" t="str">
            <v>External</v>
          </cell>
          <cell r="BP297">
            <v>149</v>
          </cell>
          <cell r="BQ297">
            <v>39</v>
          </cell>
          <cell r="BR297">
            <v>3779565680.2199998</v>
          </cell>
          <cell r="BS297">
            <v>3779565680.2199998</v>
          </cell>
          <cell r="BT297">
            <v>3763965680.2199998</v>
          </cell>
          <cell r="BU297">
            <v>3763965680.2199998</v>
          </cell>
          <cell r="BV297" t="str">
            <v>No</v>
          </cell>
          <cell r="BW297" t="str">
            <v>Italy</v>
          </cell>
          <cell r="BX297" t="str">
            <v>Development Retail</v>
          </cell>
          <cell r="BY297">
            <v>1.9</v>
          </cell>
          <cell r="BZ297" t="str">
            <v>Italy</v>
          </cell>
          <cell r="CA297" t="str">
            <v>Office</v>
          </cell>
          <cell r="CB297">
            <v>6.5</v>
          </cell>
          <cell r="CC297" t="str">
            <v>Poland</v>
          </cell>
          <cell r="CD297" t="str">
            <v>Retail</v>
          </cell>
          <cell r="CE297">
            <v>3.3</v>
          </cell>
          <cell r="CF297" t="str">
            <v>Poland</v>
          </cell>
          <cell r="CG297" t="str">
            <v>Office</v>
          </cell>
          <cell r="CH297">
            <v>6.4</v>
          </cell>
          <cell r="CI297" t="str">
            <v>Sweden</v>
          </cell>
          <cell r="CJ297" t="str">
            <v>Development Office</v>
          </cell>
          <cell r="CK297">
            <v>2.9</v>
          </cell>
          <cell r="CL297" t="str">
            <v>Sweden</v>
          </cell>
          <cell r="CM297" t="str">
            <v>Office</v>
          </cell>
          <cell r="CN297">
            <v>3.8</v>
          </cell>
          <cell r="CO297" t="str">
            <v>Sweden</v>
          </cell>
          <cell r="CP297" t="str">
            <v>Industrial / Logistics</v>
          </cell>
          <cell r="CQ297">
            <v>0.6</v>
          </cell>
          <cell r="CR297" t="str">
            <v>United Kingdom</v>
          </cell>
          <cell r="CS297" t="str">
            <v>Retail</v>
          </cell>
          <cell r="CT297">
            <v>4.2</v>
          </cell>
          <cell r="CU297" t="str">
            <v>United Kingdom</v>
          </cell>
          <cell r="CV297" t="str">
            <v>Office</v>
          </cell>
          <cell r="CW297">
            <v>1.7</v>
          </cell>
          <cell r="CX297" t="str">
            <v>Netherlands</v>
          </cell>
          <cell r="CY297" t="str">
            <v>Development Residential</v>
          </cell>
          <cell r="CZ297">
            <v>2.2999999999999998</v>
          </cell>
          <cell r="DA297" t="str">
            <v>Netherlands</v>
          </cell>
          <cell r="DB297" t="str">
            <v>Industrial / Logistics</v>
          </cell>
          <cell r="DC297">
            <v>2.5</v>
          </cell>
          <cell r="DD297" t="str">
            <v>Netherlands</v>
          </cell>
          <cell r="DE297" t="str">
            <v>Retail</v>
          </cell>
          <cell r="DF297">
            <v>0.6</v>
          </cell>
          <cell r="DG297" t="str">
            <v>Spain</v>
          </cell>
          <cell r="DH297" t="str">
            <v>Retail</v>
          </cell>
          <cell r="DI297">
            <v>5.8</v>
          </cell>
          <cell r="DJ297" t="str">
            <v>Spain</v>
          </cell>
          <cell r="DK297" t="str">
            <v>Industrial / Logistics</v>
          </cell>
          <cell r="DL297">
            <v>2.7</v>
          </cell>
          <cell r="DM297" t="str">
            <v>Germany</v>
          </cell>
          <cell r="DN297" t="str">
            <v>Development Residential</v>
          </cell>
          <cell r="DO297">
            <v>2.8</v>
          </cell>
          <cell r="DP297" t="str">
            <v>Germany</v>
          </cell>
          <cell r="DQ297" t="str">
            <v>Industrial / Logistics</v>
          </cell>
          <cell r="DR297">
            <v>8.4</v>
          </cell>
          <cell r="DS297" t="str">
            <v>Germany</v>
          </cell>
          <cell r="DT297" t="str">
            <v>Office</v>
          </cell>
          <cell r="DU297">
            <v>21.4</v>
          </cell>
          <cell r="DV297" t="str">
            <v>France</v>
          </cell>
          <cell r="DW297" t="str">
            <v>Development Industrial/Logistcis</v>
          </cell>
          <cell r="DX297">
            <v>1.1000000000000001</v>
          </cell>
          <cell r="DY297" t="str">
            <v>France</v>
          </cell>
          <cell r="DZ297" t="str">
            <v>Industrial / Logistics</v>
          </cell>
          <cell r="EA297">
            <v>5.0999999999999996</v>
          </cell>
          <cell r="EB297" t="str">
            <v>France</v>
          </cell>
          <cell r="EC297" t="str">
            <v>Retail</v>
          </cell>
          <cell r="ED297">
            <v>1.6</v>
          </cell>
          <cell r="EE297" t="str">
            <v>France</v>
          </cell>
          <cell r="EF297" t="str">
            <v>Office</v>
          </cell>
          <cell r="EG297">
            <v>14.4</v>
          </cell>
        </row>
        <row r="298">
          <cell r="A298">
            <v>18386</v>
          </cell>
          <cell r="B298" t="str">
            <v>INVESCO REAL ESTATE - EUROPEAN HOTEL FUND FCP-RAIF</v>
          </cell>
          <cell r="C298" t="str">
            <v>INVESCO REAL ESTATE MANAGEMENT S.A.R.L</v>
          </cell>
          <cell r="D298" t="str">
            <v>37A, Avenue J.F. Kennedy</v>
          </cell>
          <cell r="E298">
            <v>1855</v>
          </cell>
          <cell r="F298" t="str">
            <v>Luxemburg</v>
          </cell>
          <cell r="G298" t="str">
            <v>Luxembourg</v>
          </cell>
          <cell r="K298" t="str">
            <v>Christopher Brassington</v>
          </cell>
          <cell r="L298" t="str">
            <v>chris_brassington@ldn.invesco.com</v>
          </cell>
          <cell r="N298" t="str">
            <v>Dieter Zeiser/Isabell Ritter</v>
          </cell>
          <cell r="O298" t="str">
            <v>dieter_zeiser@mun.invesco.com</v>
          </cell>
          <cell r="P298" t="str">
            <v>+8920606191</v>
          </cell>
          <cell r="Q298" t="str">
            <v>Luxembourg</v>
          </cell>
          <cell r="R298" t="str">
            <v>EUR</v>
          </cell>
          <cell r="S298" t="str">
            <v>IFRS</v>
          </cell>
          <cell r="T298" t="str">
            <v>Quarterly</v>
          </cell>
          <cell r="U298" t="str">
            <v>Quarterly</v>
          </cell>
          <cell r="V298" t="str">
            <v>RICS</v>
          </cell>
          <cell r="W298" t="str">
            <v>IFRS NAV</v>
          </cell>
          <cell r="X298" t="str">
            <v>Deloitte Audit S.a.r.l</v>
          </cell>
          <cell r="Y298" t="str">
            <v>FCP</v>
          </cell>
          <cell r="Z298" t="str">
            <v>Yes</v>
          </cell>
          <cell r="AA298" t="str">
            <v>Yes</v>
          </cell>
          <cell r="AC298" t="str">
            <v>Non-Listed Fund</v>
          </cell>
          <cell r="AD298" t="str">
            <v>Core</v>
          </cell>
          <cell r="AE298" t="str">
            <v>infinite</v>
          </cell>
          <cell r="AF298" t="str">
            <v>Open end</v>
          </cell>
          <cell r="AG298">
            <v>6</v>
          </cell>
          <cell r="AH298">
            <v>8</v>
          </cell>
          <cell r="AI298" t="str">
            <v>Gross</v>
          </cell>
          <cell r="AJ298" t="str">
            <v>7%</v>
          </cell>
          <cell r="AK298">
            <v>5</v>
          </cell>
          <cell r="AL298">
            <v>35</v>
          </cell>
          <cell r="AM298" t="str">
            <v>&gt; 40% - ≤ 60%</v>
          </cell>
          <cell r="AN298" t="str">
            <v>Institutional</v>
          </cell>
          <cell r="AO298" t="str">
            <v>&gt; 2</v>
          </cell>
          <cell r="AP298" t="str">
            <v>≥ 50%</v>
          </cell>
          <cell r="AQ298" t="str">
            <v>Europe</v>
          </cell>
          <cell r="AR298" t="str">
            <v>multi country</v>
          </cell>
          <cell r="AS298" t="str">
            <v>Western Europe</v>
          </cell>
          <cell r="AU298" t="str">
            <v>single sector</v>
          </cell>
          <cell r="AV298" t="str">
            <v>Hotel</v>
          </cell>
          <cell r="AW298">
            <v>500000000</v>
          </cell>
          <cell r="AX298">
            <v>500000000</v>
          </cell>
          <cell r="AY298">
            <v>2017</v>
          </cell>
          <cell r="BE298" t="str">
            <v>≥ 60%</v>
          </cell>
          <cell r="BF298" t="str">
            <v>≤ 15%</v>
          </cell>
          <cell r="BG298" t="str">
            <v>≤ 5%</v>
          </cell>
          <cell r="BH298" t="str">
            <v>2020-12-31</v>
          </cell>
          <cell r="BI298">
            <v>669998810.75</v>
          </cell>
          <cell r="BJ298">
            <v>669998810.75</v>
          </cell>
          <cell r="BK298">
            <v>380344541.56999999</v>
          </cell>
          <cell r="BL298">
            <v>380344541.56999999</v>
          </cell>
          <cell r="BM298">
            <v>44.55</v>
          </cell>
          <cell r="BN298" t="str">
            <v>No</v>
          </cell>
          <cell r="BO298" t="str">
            <v>External</v>
          </cell>
          <cell r="BP298">
            <v>31</v>
          </cell>
          <cell r="BQ298">
            <v>8</v>
          </cell>
          <cell r="BR298">
            <v>637036021</v>
          </cell>
          <cell r="BS298">
            <v>637036021</v>
          </cell>
          <cell r="BT298">
            <v>463047652</v>
          </cell>
          <cell r="BU298">
            <v>463047652</v>
          </cell>
          <cell r="BV298" t="str">
            <v>Yes</v>
          </cell>
          <cell r="BW298" t="str">
            <v>Germany</v>
          </cell>
          <cell r="BX298" t="str">
            <v>Hotel</v>
          </cell>
          <cell r="BY298">
            <v>36.78</v>
          </cell>
          <cell r="BZ298" t="str">
            <v>Netherlands</v>
          </cell>
          <cell r="CA298" t="str">
            <v>Hotel</v>
          </cell>
          <cell r="CB298">
            <v>26.78</v>
          </cell>
          <cell r="CC298" t="str">
            <v>Portugal</v>
          </cell>
          <cell r="CD298" t="str">
            <v>Hotel</v>
          </cell>
          <cell r="CE298">
            <v>28.8</v>
          </cell>
        </row>
        <row r="299">
          <cell r="A299">
            <v>17864</v>
          </cell>
          <cell r="B299" t="str">
            <v>IPUT PROPERTY FUND</v>
          </cell>
          <cell r="C299" t="str">
            <v>IPUT PLC</v>
          </cell>
          <cell r="D299" t="str">
            <v>47/49 St. Stephen's Green</v>
          </cell>
          <cell r="E299" t="str">
            <v>D02 W634</v>
          </cell>
          <cell r="F299" t="str">
            <v>Dublin 2</v>
          </cell>
          <cell r="G299" t="str">
            <v>Ireland</v>
          </cell>
          <cell r="H299" t="str">
            <v>+35316613499</v>
          </cell>
          <cell r="I299" t="str">
            <v>+35316613336</v>
          </cell>
          <cell r="J299" t="str">
            <v>http://www.iput.com</v>
          </cell>
          <cell r="L299" t="str">
            <v>pmcginley@iput.com</v>
          </cell>
          <cell r="M299" t="str">
            <v>+35316613499</v>
          </cell>
          <cell r="N299" t="str">
            <v>Pat McGinley</v>
          </cell>
          <cell r="O299" t="str">
            <v>pmcginley@iput.com</v>
          </cell>
          <cell r="P299" t="str">
            <v>+35316613499</v>
          </cell>
          <cell r="Q299" t="str">
            <v>Ireland</v>
          </cell>
          <cell r="R299" t="str">
            <v>EUR</v>
          </cell>
          <cell r="S299" t="str">
            <v>IFRS</v>
          </cell>
          <cell r="T299" t="str">
            <v>Annually</v>
          </cell>
          <cell r="U299" t="str">
            <v>Quarterly</v>
          </cell>
          <cell r="V299" t="str">
            <v>RICS</v>
          </cell>
          <cell r="W299" t="str">
            <v>IFRS NAV</v>
          </cell>
          <cell r="X299" t="str">
            <v>Pat McGinley</v>
          </cell>
          <cell r="Y299" t="str">
            <v>Real Estate Fund</v>
          </cell>
          <cell r="Z299" t="str">
            <v>Yes</v>
          </cell>
          <cell r="AA299" t="str">
            <v>Yes</v>
          </cell>
          <cell r="AB299">
            <v>6</v>
          </cell>
          <cell r="AC299" t="str">
            <v>Non-Listed Fund</v>
          </cell>
          <cell r="AD299" t="str">
            <v>Core</v>
          </cell>
          <cell r="AE299" t="str">
            <v>infinite</v>
          </cell>
          <cell r="AF299" t="str">
            <v>Open end</v>
          </cell>
          <cell r="AG299">
            <v>6</v>
          </cell>
          <cell r="AH299">
            <v>8</v>
          </cell>
          <cell r="AI299" t="str">
            <v>Gross</v>
          </cell>
          <cell r="AJ299" t="str">
            <v>IPD</v>
          </cell>
          <cell r="AK299">
            <v>4.5</v>
          </cell>
          <cell r="AL299">
            <v>10</v>
          </cell>
          <cell r="AM299" t="str">
            <v>≤ 40%</v>
          </cell>
          <cell r="AN299" t="str">
            <v>Institutional</v>
          </cell>
          <cell r="AO299" t="str">
            <v>&gt; 2</v>
          </cell>
          <cell r="AP299" t="str">
            <v>≥ 50%</v>
          </cell>
          <cell r="AQ299" t="str">
            <v>Europe</v>
          </cell>
          <cell r="AR299" t="str">
            <v>single country</v>
          </cell>
          <cell r="AT299" t="str">
            <v>Ireland</v>
          </cell>
          <cell r="AU299" t="str">
            <v>multi sector</v>
          </cell>
          <cell r="AY299">
            <v>1967</v>
          </cell>
          <cell r="BD299" t="str">
            <v>Yes</v>
          </cell>
          <cell r="BE299" t="str">
            <v>≥ 60%</v>
          </cell>
          <cell r="BF299" t="str">
            <v>≤ 15%</v>
          </cell>
          <cell r="BG299" t="str">
            <v>&gt; 5 - ≤ 25%</v>
          </cell>
          <cell r="BH299" t="str">
            <v>2020-12-31</v>
          </cell>
          <cell r="BI299">
            <v>3026036000</v>
          </cell>
          <cell r="BJ299">
            <v>3026036000</v>
          </cell>
          <cell r="BK299">
            <v>2686210063</v>
          </cell>
          <cell r="BL299">
            <v>2686210063</v>
          </cell>
          <cell r="BM299">
            <v>8.1999999999999993</v>
          </cell>
          <cell r="BN299" t="str">
            <v>No</v>
          </cell>
          <cell r="BO299" t="str">
            <v>External</v>
          </cell>
          <cell r="BP299">
            <v>77</v>
          </cell>
          <cell r="BQ299">
            <v>95</v>
          </cell>
          <cell r="BR299">
            <v>0</v>
          </cell>
          <cell r="BS299">
            <v>0</v>
          </cell>
          <cell r="BT299">
            <v>0</v>
          </cell>
          <cell r="BV299" t="str">
            <v>Yes</v>
          </cell>
          <cell r="BW299" t="str">
            <v>Ireland</v>
          </cell>
          <cell r="BX299" t="str">
            <v>Other</v>
          </cell>
          <cell r="BY299">
            <v>2.2599999999999998</v>
          </cell>
          <cell r="BZ299" t="str">
            <v>Ireland</v>
          </cell>
          <cell r="CA299" t="str">
            <v>Industrial / Logistics</v>
          </cell>
          <cell r="CB299">
            <v>10.77</v>
          </cell>
          <cell r="CC299" t="str">
            <v>Ireland</v>
          </cell>
          <cell r="CD299" t="str">
            <v>Retail</v>
          </cell>
          <cell r="CE299">
            <v>15.32</v>
          </cell>
          <cell r="CF299" t="str">
            <v>Ireland</v>
          </cell>
          <cell r="CG299" t="str">
            <v>Office</v>
          </cell>
          <cell r="CH299">
            <v>70.430000000000007</v>
          </cell>
        </row>
        <row r="300">
          <cell r="A300">
            <v>17805</v>
          </cell>
          <cell r="B300" t="str">
            <v>IVG KAVERNENFONDS</v>
          </cell>
          <cell r="C300" t="str">
            <v>TRIUVA KAPITALVERWALTUNGSGESELLSCHAFT MBH</v>
          </cell>
          <cell r="D300" t="str">
            <v>THE SQUAIRE 18, Am Flughafen</v>
          </cell>
          <cell r="E300">
            <v>60549</v>
          </cell>
          <cell r="F300" t="str">
            <v>Frankfurt am Main</v>
          </cell>
          <cell r="G300" t="str">
            <v>Germany</v>
          </cell>
          <cell r="J300" t="str">
            <v>http://www.triuva.com</v>
          </cell>
          <cell r="Q300" t="str">
            <v>Germany</v>
          </cell>
          <cell r="R300" t="str">
            <v>EUR</v>
          </cell>
          <cell r="T300" t="str">
            <v>Quarterly</v>
          </cell>
          <cell r="U300" t="str">
            <v>Annually</v>
          </cell>
          <cell r="W300" t="str">
            <v>German Special Fund Investment Law GAAP</v>
          </cell>
          <cell r="Y300" t="str">
            <v>Spezialfonds</v>
          </cell>
          <cell r="Z300" t="str">
            <v>No</v>
          </cell>
          <cell r="AC300" t="str">
            <v>Non-Listed Fund</v>
          </cell>
          <cell r="AD300" t="str">
            <v>Core</v>
          </cell>
          <cell r="AE300" t="str">
            <v>infinite</v>
          </cell>
          <cell r="AF300" t="str">
            <v>Open end</v>
          </cell>
          <cell r="AI300" t="str">
            <v>Net</v>
          </cell>
          <cell r="AM300" t="str">
            <v>&gt; 40% - ≤ 60%</v>
          </cell>
          <cell r="AN300" t="str">
            <v>Institutional</v>
          </cell>
          <cell r="AO300" t="str">
            <v>&gt; 2</v>
          </cell>
          <cell r="AP300" t="str">
            <v>≥ 50%</v>
          </cell>
          <cell r="AQ300" t="str">
            <v>Europe</v>
          </cell>
          <cell r="AR300" t="str">
            <v>single country</v>
          </cell>
          <cell r="AT300" t="str">
            <v>Germany</v>
          </cell>
          <cell r="AU300" t="str">
            <v>single sector</v>
          </cell>
          <cell r="AV300" t="str">
            <v>Other</v>
          </cell>
          <cell r="AY300">
            <v>2008</v>
          </cell>
          <cell r="BH300" t="str">
            <v>2020-12-31</v>
          </cell>
          <cell r="BI300">
            <v>1731225167.97</v>
          </cell>
          <cell r="BJ300">
            <v>1731225167.97</v>
          </cell>
          <cell r="BK300">
            <v>1068425167.48</v>
          </cell>
          <cell r="BL300">
            <v>1068425167.48</v>
          </cell>
          <cell r="BM300">
            <v>40.130000000000003</v>
          </cell>
          <cell r="BN300" t="str">
            <v>No</v>
          </cell>
          <cell r="BO300" t="str">
            <v>Internal</v>
          </cell>
          <cell r="BP300">
            <v>30</v>
          </cell>
          <cell r="BQ300">
            <v>70</v>
          </cell>
          <cell r="BR300">
            <v>0</v>
          </cell>
          <cell r="BS300">
            <v>0</v>
          </cell>
          <cell r="BT300">
            <v>0</v>
          </cell>
          <cell r="BV300" t="str">
            <v>No</v>
          </cell>
          <cell r="BW300" t="str">
            <v>Germany</v>
          </cell>
          <cell r="BX300" t="str">
            <v>Other</v>
          </cell>
          <cell r="BY300">
            <v>100</v>
          </cell>
        </row>
        <row r="301">
          <cell r="A301">
            <v>17961</v>
          </cell>
          <cell r="B301" t="str">
            <v>IWS II – WIRTSCHAFTSREGION SüDDEUTSCHLAND</v>
          </cell>
          <cell r="C301" t="str">
            <v>CATELLA REAL ESTATE AG</v>
          </cell>
          <cell r="D301" t="str">
            <v>Alter Hof 5</v>
          </cell>
          <cell r="E301">
            <v>80331</v>
          </cell>
          <cell r="F301" t="str">
            <v>München</v>
          </cell>
          <cell r="G301" t="str">
            <v>Germany</v>
          </cell>
          <cell r="H301" t="str">
            <v>+4989166511</v>
          </cell>
          <cell r="I301" t="str">
            <v>+4989166566</v>
          </cell>
          <cell r="J301" t="str">
            <v>http://www.catella-realestate.de</v>
          </cell>
          <cell r="K301" t="str">
            <v>Markus Mayer</v>
          </cell>
          <cell r="L301" t="str">
            <v>markus.mayer@catella.de</v>
          </cell>
          <cell r="M301" t="str">
            <v>+49 89 189 16 65 42</v>
          </cell>
          <cell r="N301" t="str">
            <v>Nadine Kratzer</v>
          </cell>
          <cell r="O301" t="str">
            <v>nadine.kratzer@catella.de</v>
          </cell>
          <cell r="P301" t="str">
            <v>+49 89 189 16 65 44</v>
          </cell>
          <cell r="Q301" t="str">
            <v>Germany</v>
          </cell>
          <cell r="R301" t="str">
            <v>EUR</v>
          </cell>
          <cell r="S301" t="str">
            <v>Local GAAP</v>
          </cell>
          <cell r="T301" t="str">
            <v>Monthly</v>
          </cell>
          <cell r="U301" t="str">
            <v>Annually</v>
          </cell>
          <cell r="V301" t="str">
            <v>ImmoWertV</v>
          </cell>
          <cell r="W301" t="str">
            <v>BVI</v>
          </cell>
          <cell r="Y301" t="str">
            <v>Spezialfonds</v>
          </cell>
          <cell r="Z301" t="str">
            <v>Yes</v>
          </cell>
          <cell r="AC301" t="str">
            <v>Non-Listed Fund</v>
          </cell>
          <cell r="AD301" t="str">
            <v>Core</v>
          </cell>
          <cell r="AE301" t="str">
            <v>infinite</v>
          </cell>
          <cell r="AF301" t="str">
            <v>Open end</v>
          </cell>
          <cell r="AG301">
            <v>4</v>
          </cell>
          <cell r="AH301">
            <v>5</v>
          </cell>
          <cell r="AI301" t="str">
            <v>Net</v>
          </cell>
          <cell r="AK301">
            <v>3</v>
          </cell>
          <cell r="AM301" t="str">
            <v>&gt; 40%</v>
          </cell>
          <cell r="AN301" t="str">
            <v>Institutional</v>
          </cell>
          <cell r="AO301" t="str">
            <v>&gt; 2</v>
          </cell>
          <cell r="AP301" t="str">
            <v>≥ 50%</v>
          </cell>
          <cell r="AQ301" t="str">
            <v>Europe</v>
          </cell>
          <cell r="AR301" t="str">
            <v>single country</v>
          </cell>
          <cell r="AT301" t="str">
            <v>Germany</v>
          </cell>
          <cell r="AU301" t="str">
            <v>multi sector</v>
          </cell>
          <cell r="AW301">
            <v>150</v>
          </cell>
          <cell r="AX301">
            <v>300</v>
          </cell>
          <cell r="AY301">
            <v>2016</v>
          </cell>
          <cell r="BD301" t="str">
            <v>No</v>
          </cell>
          <cell r="BE301" t="str">
            <v>≥ 60%</v>
          </cell>
          <cell r="BF301" t="str">
            <v>≤ 15%</v>
          </cell>
          <cell r="BG301" t="str">
            <v>≤ 5%</v>
          </cell>
          <cell r="BH301" t="str">
            <v>2020-12-31</v>
          </cell>
          <cell r="BI301">
            <v>301422102.85000002</v>
          </cell>
          <cell r="BJ301">
            <v>301422102.85000002</v>
          </cell>
          <cell r="BK301">
            <v>205551097</v>
          </cell>
          <cell r="BL301">
            <v>205551097</v>
          </cell>
          <cell r="BM301">
            <v>40.1</v>
          </cell>
          <cell r="BN301" t="str">
            <v>No</v>
          </cell>
          <cell r="BO301" t="str">
            <v>Internal</v>
          </cell>
          <cell r="BP301">
            <v>22</v>
          </cell>
          <cell r="BQ301">
            <v>11</v>
          </cell>
          <cell r="BR301">
            <v>0</v>
          </cell>
          <cell r="BS301">
            <v>0</v>
          </cell>
          <cell r="BT301">
            <v>0</v>
          </cell>
          <cell r="BV301" t="str">
            <v>No</v>
          </cell>
          <cell r="BW301" t="str">
            <v>Germany</v>
          </cell>
          <cell r="BX301" t="str">
            <v>Other</v>
          </cell>
          <cell r="BY301">
            <v>7</v>
          </cell>
          <cell r="BZ301" t="str">
            <v>Germany</v>
          </cell>
          <cell r="CA301" t="str">
            <v>Industrial / Logistics</v>
          </cell>
          <cell r="CB301">
            <v>11</v>
          </cell>
          <cell r="CC301" t="str">
            <v>Germany</v>
          </cell>
          <cell r="CD301" t="str">
            <v>Retail</v>
          </cell>
          <cell r="CE301">
            <v>25</v>
          </cell>
          <cell r="CF301" t="str">
            <v>Germany</v>
          </cell>
          <cell r="CG301" t="str">
            <v>Residential</v>
          </cell>
          <cell r="CH301">
            <v>1</v>
          </cell>
          <cell r="CI301" t="str">
            <v>Germany</v>
          </cell>
          <cell r="CJ301" t="str">
            <v>Office</v>
          </cell>
          <cell r="CK301">
            <v>50</v>
          </cell>
        </row>
        <row r="302">
          <cell r="A302">
            <v>296</v>
          </cell>
          <cell r="B302" t="str">
            <v>K2</v>
          </cell>
          <cell r="C302" t="str">
            <v>BNP PARIBAS REAL ESTATE INVESTMENT MANAGEMENT ITALY SGR</v>
          </cell>
          <cell r="D302" t="str">
            <v>Piazza Lina Bo Bardi, 3</v>
          </cell>
          <cell r="E302">
            <v>20124</v>
          </cell>
          <cell r="F302" t="str">
            <v>Milan</v>
          </cell>
          <cell r="G302" t="str">
            <v>Italy</v>
          </cell>
          <cell r="J302" t="str">
            <v>http://www.reim.bnpparibas.com</v>
          </cell>
          <cell r="K302" t="str">
            <v>Luca Meneghetti</v>
          </cell>
          <cell r="L302" t="str">
            <v>luca.meneghetti@bnpparibas.com</v>
          </cell>
          <cell r="P302" t="str">
            <v>+39 02 5833141</v>
          </cell>
          <cell r="Q302" t="str">
            <v>Italy</v>
          </cell>
          <cell r="R302" t="str">
            <v>EUR</v>
          </cell>
          <cell r="S302" t="str">
            <v>Local GAAP</v>
          </cell>
          <cell r="T302" t="str">
            <v>Twice per year</v>
          </cell>
          <cell r="U302" t="str">
            <v>Twice per year</v>
          </cell>
          <cell r="V302" t="str">
            <v>RICS</v>
          </cell>
          <cell r="X302" t="str">
            <v>Mazard &amp; Guarard</v>
          </cell>
          <cell r="Y302" t="str">
            <v>Closed Ended Fund</v>
          </cell>
          <cell r="Z302" t="str">
            <v>No</v>
          </cell>
          <cell r="AB302">
            <v>0</v>
          </cell>
          <cell r="AC302" t="str">
            <v>Non-Listed Fund</v>
          </cell>
          <cell r="AD302" t="str">
            <v>Core</v>
          </cell>
          <cell r="AE302" t="str">
            <v>finite</v>
          </cell>
          <cell r="AF302" t="str">
            <v>Closed end</v>
          </cell>
          <cell r="AI302" t="str">
            <v>Gross</v>
          </cell>
          <cell r="AJ302" t="str">
            <v>None</v>
          </cell>
          <cell r="AM302" t="str">
            <v>&gt; 40% - ≤ 60%</v>
          </cell>
          <cell r="AN302" t="str">
            <v>Institutional</v>
          </cell>
          <cell r="AO302" t="str">
            <v>&gt; 2</v>
          </cell>
          <cell r="AP302" t="str">
            <v>≥ 50%</v>
          </cell>
          <cell r="AQ302" t="str">
            <v>Europe</v>
          </cell>
          <cell r="AR302" t="str">
            <v>single country</v>
          </cell>
          <cell r="AT302" t="str">
            <v>Italy</v>
          </cell>
          <cell r="AU302" t="str">
            <v>single sector</v>
          </cell>
          <cell r="AV302" t="str">
            <v>Retail</v>
          </cell>
          <cell r="AY302">
            <v>2008</v>
          </cell>
          <cell r="AZ302">
            <v>2022</v>
          </cell>
          <cell r="BA302" t="str">
            <v>Yes</v>
          </cell>
          <cell r="BB302" t="str">
            <v>Yes</v>
          </cell>
          <cell r="BC302" t="str">
            <v>3 years</v>
          </cell>
          <cell r="BH302" t="str">
            <v>2019-12-31</v>
          </cell>
          <cell r="BI302">
            <v>10416164</v>
          </cell>
          <cell r="BJ302">
            <v>10416164</v>
          </cell>
          <cell r="BK302">
            <v>8603967</v>
          </cell>
          <cell r="BL302">
            <v>8603967</v>
          </cell>
          <cell r="BM302">
            <v>17.399999999999999</v>
          </cell>
          <cell r="BS302">
            <v>0</v>
          </cell>
        </row>
        <row r="303">
          <cell r="A303">
            <v>17478</v>
          </cell>
          <cell r="B303" t="str">
            <v>KAMES UK ACTIVE VALUE PROPERTY UNIT TRUST</v>
          </cell>
          <cell r="C303" t="str">
            <v>KAMES CAPITAL</v>
          </cell>
          <cell r="D303" t="str">
            <v>3 Lochside Crescent</v>
          </cell>
          <cell r="E303" t="str">
            <v>EH12 9SA</v>
          </cell>
          <cell r="F303" t="str">
            <v>Edinburgh</v>
          </cell>
          <cell r="G303" t="str">
            <v>United Kingdom</v>
          </cell>
          <cell r="J303" t="str">
            <v>http://www.kamescapital.com</v>
          </cell>
          <cell r="K303" t="str">
            <v>Philip Bach</v>
          </cell>
          <cell r="L303" t="str">
            <v>philip.bach@kamescapital.com</v>
          </cell>
          <cell r="N303" t="str">
            <v>Shaun McWilliam</v>
          </cell>
          <cell r="O303" t="str">
            <v>shaun.mcwilliam@kamescapital.com</v>
          </cell>
          <cell r="P303" t="str">
            <v xml:space="preserve">+44 (0)20 7200 2547 </v>
          </cell>
          <cell r="Q303" t="str">
            <v>Jersey</v>
          </cell>
          <cell r="R303" t="str">
            <v>GBP</v>
          </cell>
          <cell r="S303" t="str">
            <v>IFRS</v>
          </cell>
          <cell r="T303" t="str">
            <v>Quarterly</v>
          </cell>
          <cell r="U303" t="str">
            <v>Monthly</v>
          </cell>
          <cell r="V303" t="str">
            <v>RICS</v>
          </cell>
          <cell r="W303" t="str">
            <v>IFRS NAV</v>
          </cell>
          <cell r="X303" t="str">
            <v>Price Waterhouse Coopers</v>
          </cell>
          <cell r="Y303" t="str">
            <v>Unit trust</v>
          </cell>
          <cell r="Z303" t="str">
            <v>Yes</v>
          </cell>
          <cell r="AA303" t="str">
            <v>No</v>
          </cell>
          <cell r="AB303">
            <v>0</v>
          </cell>
          <cell r="AC303" t="str">
            <v>Non-Listed Fund</v>
          </cell>
          <cell r="AD303" t="str">
            <v>Value-added</v>
          </cell>
          <cell r="AE303" t="str">
            <v>finite</v>
          </cell>
          <cell r="AF303" t="str">
            <v>Closed end</v>
          </cell>
          <cell r="AG303">
            <v>6</v>
          </cell>
          <cell r="AH303">
            <v>8</v>
          </cell>
          <cell r="AI303" t="str">
            <v>Net</v>
          </cell>
          <cell r="AK303">
            <v>6</v>
          </cell>
          <cell r="AL303">
            <v>0</v>
          </cell>
          <cell r="AM303" t="str">
            <v>≤ 40%</v>
          </cell>
          <cell r="AN303" t="str">
            <v>Institutional</v>
          </cell>
          <cell r="AO303" t="str">
            <v>&gt; 2</v>
          </cell>
          <cell r="AP303" t="str">
            <v>≥ 50%</v>
          </cell>
          <cell r="AQ303" t="str">
            <v>Europe</v>
          </cell>
          <cell r="AR303" t="str">
            <v>single country</v>
          </cell>
          <cell r="AT303" t="str">
            <v>United Kingdom</v>
          </cell>
          <cell r="AU303" t="str">
            <v>multi sector</v>
          </cell>
          <cell r="AX303">
            <v>300000000</v>
          </cell>
          <cell r="AY303">
            <v>2013</v>
          </cell>
          <cell r="AZ303">
            <v>2020</v>
          </cell>
          <cell r="BA303" t="str">
            <v>Yes</v>
          </cell>
          <cell r="BB303" t="str">
            <v>No</v>
          </cell>
          <cell r="BD303" t="str">
            <v>No</v>
          </cell>
          <cell r="BE303" t="str">
            <v>≥ 60%</v>
          </cell>
          <cell r="BF303" t="str">
            <v>≤ 15%</v>
          </cell>
          <cell r="BG303" t="str">
            <v>≤ 5%</v>
          </cell>
          <cell r="BH303" t="str">
            <v>2015-12-31</v>
          </cell>
          <cell r="BI303">
            <v>258001854</v>
          </cell>
          <cell r="BJ303">
            <v>350103355.84091997</v>
          </cell>
          <cell r="BK303">
            <v>258001854</v>
          </cell>
          <cell r="BL303">
            <v>350103355.84091997</v>
          </cell>
          <cell r="BM303">
            <v>0</v>
          </cell>
          <cell r="BS303">
            <v>0</v>
          </cell>
        </row>
        <row r="304">
          <cell r="A304">
            <v>565</v>
          </cell>
          <cell r="B304" t="str">
            <v>KAMESTARGET HEALTHCARE PROPERTY UNIT TRUST</v>
          </cell>
          <cell r="C304" t="str">
            <v>KAMES CAPITAL PLC</v>
          </cell>
          <cell r="D304" t="str">
            <v>3 Lochside Crescent</v>
          </cell>
          <cell r="E304" t="str">
            <v>EH12 9SA</v>
          </cell>
          <cell r="F304" t="str">
            <v>Edinburgh</v>
          </cell>
          <cell r="G304" t="str">
            <v>United Kingdom</v>
          </cell>
          <cell r="H304" t="str">
            <v>+44-131 549 6850</v>
          </cell>
          <cell r="I304" t="str">
            <v>+44-131 459 0027</v>
          </cell>
          <cell r="J304" t="str">
            <v>http://www.kamescapital.com</v>
          </cell>
          <cell r="K304" t="str">
            <v>Phil Clark</v>
          </cell>
          <cell r="L304" t="str">
            <v>phil.clark@kamescapital.com</v>
          </cell>
          <cell r="N304" t="str">
            <v>Shaun McWilliam</v>
          </cell>
          <cell r="O304" t="str">
            <v>shaun.mcwilliam@kamescapital.com</v>
          </cell>
          <cell r="P304" t="str">
            <v>0207 200 2547</v>
          </cell>
          <cell r="Q304" t="str">
            <v>Jersey</v>
          </cell>
          <cell r="R304" t="str">
            <v>GBP</v>
          </cell>
          <cell r="S304" t="str">
            <v>IFRS</v>
          </cell>
          <cell r="T304" t="str">
            <v>Annually</v>
          </cell>
          <cell r="U304" t="str">
            <v>Quarterly</v>
          </cell>
          <cell r="V304" t="str">
            <v>RICS</v>
          </cell>
          <cell r="W304" t="str">
            <v>INREV NAV</v>
          </cell>
          <cell r="X304" t="str">
            <v>Ernst &amp; Young</v>
          </cell>
          <cell r="Y304" t="str">
            <v>Unit trust</v>
          </cell>
          <cell r="Z304" t="str">
            <v>Yes</v>
          </cell>
          <cell r="AA304" t="str">
            <v>No</v>
          </cell>
          <cell r="AB304">
            <v>0</v>
          </cell>
          <cell r="AC304" t="str">
            <v>Non-Listed Fund</v>
          </cell>
          <cell r="AD304" t="str">
            <v>Value-added</v>
          </cell>
          <cell r="AE304" t="str">
            <v>finite</v>
          </cell>
          <cell r="AF304" t="str">
            <v>Closed end</v>
          </cell>
          <cell r="AG304">
            <v>0</v>
          </cell>
          <cell r="AH304">
            <v>9</v>
          </cell>
          <cell r="AI304" t="str">
            <v>Gross</v>
          </cell>
          <cell r="AJ304" t="str">
            <v>IPD All Healthcare Index</v>
          </cell>
          <cell r="AK304">
            <v>7.7</v>
          </cell>
          <cell r="AM304" t="str">
            <v>≤ 40%</v>
          </cell>
          <cell r="AN304" t="str">
            <v>Institutional</v>
          </cell>
          <cell r="AO304" t="str">
            <v>&gt; 2</v>
          </cell>
          <cell r="AP304" t="str">
            <v>≥ 50%</v>
          </cell>
          <cell r="AQ304" t="str">
            <v>Europe</v>
          </cell>
          <cell r="AR304" t="str">
            <v>single country</v>
          </cell>
          <cell r="AT304" t="str">
            <v>United Kingdom</v>
          </cell>
          <cell r="AU304" t="str">
            <v>single sector</v>
          </cell>
          <cell r="AV304" t="str">
            <v>Health Care</v>
          </cell>
          <cell r="AX304">
            <v>300000000</v>
          </cell>
          <cell r="AY304">
            <v>2010</v>
          </cell>
          <cell r="AZ304">
            <v>2017</v>
          </cell>
          <cell r="BA304" t="str">
            <v>Yes</v>
          </cell>
          <cell r="BB304" t="str">
            <v>Yes</v>
          </cell>
          <cell r="BC304" t="str">
            <v>2 years fixed</v>
          </cell>
          <cell r="BD304" t="str">
            <v>No</v>
          </cell>
          <cell r="BE304" t="str">
            <v>≥ 60%</v>
          </cell>
          <cell r="BF304" t="str">
            <v>≤ 15%</v>
          </cell>
          <cell r="BG304" t="str">
            <v>≤ 5%</v>
          </cell>
          <cell r="BH304" t="str">
            <v>2015-12-31</v>
          </cell>
          <cell r="BI304">
            <v>101142404</v>
          </cell>
          <cell r="BJ304">
            <v>137248219.37992001</v>
          </cell>
          <cell r="BK304">
            <v>68108319</v>
          </cell>
          <cell r="BL304">
            <v>92421626.716619998</v>
          </cell>
          <cell r="BM304">
            <v>29.27</v>
          </cell>
          <cell r="BS304">
            <v>0</v>
          </cell>
        </row>
        <row r="305">
          <cell r="A305">
            <v>19312</v>
          </cell>
          <cell r="B305" t="str">
            <v>KAUFHOF LöVENICH-WEIDEN</v>
          </cell>
          <cell r="C305" t="str">
            <v>DWS GRUNDBESITZ GMBH</v>
          </cell>
          <cell r="D305" t="str">
            <v>Mainzer Landstr. 11-17</v>
          </cell>
          <cell r="E305" t="str">
            <v xml:space="preserve">60329 </v>
          </cell>
          <cell r="F305" t="str">
            <v>Frankfurt am Main</v>
          </cell>
          <cell r="G305" t="str">
            <v>Germany</v>
          </cell>
          <cell r="K305" t="str">
            <v>Burkhard Meldt</v>
          </cell>
          <cell r="L305" t="str">
            <v>burkhard.meldt@dws.com</v>
          </cell>
          <cell r="M305" t="str">
            <v>+49 (69) 910 - 14940</v>
          </cell>
          <cell r="Q305" t="str">
            <v>Germany</v>
          </cell>
          <cell r="R305" t="str">
            <v>EUR</v>
          </cell>
          <cell r="S305" t="str">
            <v>HGB</v>
          </cell>
          <cell r="T305" t="str">
            <v>Annually</v>
          </cell>
          <cell r="U305" t="str">
            <v>Annually</v>
          </cell>
          <cell r="V305" t="str">
            <v>ImmoWertV</v>
          </cell>
          <cell r="W305" t="str">
            <v>KAGB</v>
          </cell>
          <cell r="X305" t="str">
            <v>KPMG</v>
          </cell>
          <cell r="Y305" t="str">
            <v>Publikumsfonds</v>
          </cell>
          <cell r="Z305" t="str">
            <v>No</v>
          </cell>
          <cell r="AC305" t="str">
            <v>Non-Listed Fund</v>
          </cell>
          <cell r="AD305" t="str">
            <v>Core</v>
          </cell>
          <cell r="AE305" t="str">
            <v>finite</v>
          </cell>
          <cell r="AF305" t="str">
            <v>Closed end</v>
          </cell>
          <cell r="AK305">
            <v>20</v>
          </cell>
          <cell r="AN305" t="str">
            <v>Retail</v>
          </cell>
          <cell r="AO305" t="str">
            <v>&gt; 2</v>
          </cell>
          <cell r="AP305" t="str">
            <v>&lt; 50%</v>
          </cell>
          <cell r="AQ305" t="str">
            <v>Europe</v>
          </cell>
          <cell r="AR305" t="str">
            <v>single country</v>
          </cell>
          <cell r="AT305" t="str">
            <v>Germany</v>
          </cell>
          <cell r="AU305" t="str">
            <v>single sector</v>
          </cell>
          <cell r="AV305" t="str">
            <v>Retail</v>
          </cell>
          <cell r="AY305">
            <v>1972</v>
          </cell>
          <cell r="BD305" t="str">
            <v>No</v>
          </cell>
          <cell r="BH305" t="str">
            <v>2018-12-31</v>
          </cell>
          <cell r="BI305">
            <v>13300000</v>
          </cell>
          <cell r="BJ305">
            <v>13300000</v>
          </cell>
          <cell r="BK305">
            <v>14409000</v>
          </cell>
          <cell r="BL305">
            <v>14409000</v>
          </cell>
          <cell r="BM305">
            <v>0</v>
          </cell>
          <cell r="BN305" t="str">
            <v>Yes</v>
          </cell>
          <cell r="BO305" t="str">
            <v>External</v>
          </cell>
          <cell r="BP305">
            <v>0</v>
          </cell>
          <cell r="BQ305">
            <v>1</v>
          </cell>
          <cell r="BS305">
            <v>0</v>
          </cell>
          <cell r="BV305" t="str">
            <v>No</v>
          </cell>
          <cell r="BW305" t="str">
            <v>Germany</v>
          </cell>
          <cell r="BX305" t="str">
            <v>Retail</v>
          </cell>
          <cell r="BY305">
            <v>100</v>
          </cell>
        </row>
        <row r="306">
          <cell r="A306">
            <v>297</v>
          </cell>
          <cell r="B306" t="str">
            <v>KAUPPAKESKUSKIINTEISTöT FEA KY</v>
          </cell>
          <cell r="C306" t="str">
            <v>ABERDEEN ASSET MANAGEMENT FINLAND OY</v>
          </cell>
          <cell r="D306" t="str">
            <v>Kaivokatu 8</v>
          </cell>
          <cell r="E306">
            <v>100</v>
          </cell>
          <cell r="F306" t="str">
            <v>Helsinki</v>
          </cell>
          <cell r="G306" t="str">
            <v>Finland</v>
          </cell>
          <cell r="H306" t="str">
            <v>+358 (0) 10 040 100</v>
          </cell>
          <cell r="I306" t="str">
            <v>+358 (0) 10 304 0513</v>
          </cell>
          <cell r="J306" t="str">
            <v>http://www.aberdeen-asset.com</v>
          </cell>
          <cell r="K306" t="str">
            <v>Ville Raitio</v>
          </cell>
          <cell r="L306" t="str">
            <v>ville.raitio@aberdeen-asset.com</v>
          </cell>
          <cell r="M306" t="str">
            <v>+358 (0) 10 304 0521</v>
          </cell>
          <cell r="N306" t="str">
            <v>Ville Raitio</v>
          </cell>
          <cell r="O306" t="str">
            <v>ville.raitio@aberdeen-asset.com</v>
          </cell>
          <cell r="P306" t="str">
            <v>+358 (0) 10 304 0521</v>
          </cell>
          <cell r="Q306" t="str">
            <v>Finland</v>
          </cell>
          <cell r="R306" t="str">
            <v>EUR</v>
          </cell>
          <cell r="S306" t="str">
            <v>IFRS</v>
          </cell>
          <cell r="T306" t="str">
            <v>Quarterly</v>
          </cell>
          <cell r="U306" t="str">
            <v>Annually</v>
          </cell>
          <cell r="V306" t="str">
            <v>RICS</v>
          </cell>
          <cell r="W306" t="str">
            <v>IFRS NAV</v>
          </cell>
          <cell r="X306" t="str">
            <v>Tuokko Oy</v>
          </cell>
          <cell r="Y306" t="str">
            <v>Ky</v>
          </cell>
          <cell r="Z306" t="str">
            <v>No</v>
          </cell>
          <cell r="AA306" t="str">
            <v>Yes</v>
          </cell>
          <cell r="AB306">
            <v>0</v>
          </cell>
          <cell r="AC306" t="str">
            <v>Non-Listed Fund</v>
          </cell>
          <cell r="AD306" t="str">
            <v>Core</v>
          </cell>
          <cell r="AE306" t="str">
            <v>infinite</v>
          </cell>
          <cell r="AF306" t="str">
            <v>Open end</v>
          </cell>
          <cell r="AG306">
            <v>10</v>
          </cell>
          <cell r="AH306">
            <v>10</v>
          </cell>
          <cell r="AI306" t="str">
            <v>Net</v>
          </cell>
          <cell r="AJ306" t="str">
            <v>None</v>
          </cell>
          <cell r="AK306">
            <v>5</v>
          </cell>
          <cell r="AL306">
            <v>60</v>
          </cell>
          <cell r="AM306" t="str">
            <v>&gt; 40% - ≤ 60%</v>
          </cell>
          <cell r="AN306" t="str">
            <v>Institutional</v>
          </cell>
          <cell r="AO306" t="str">
            <v>&gt; 2</v>
          </cell>
          <cell r="AP306" t="str">
            <v>≥ 50%</v>
          </cell>
          <cell r="AQ306" t="str">
            <v>Europe</v>
          </cell>
          <cell r="AR306" t="str">
            <v>single country</v>
          </cell>
          <cell r="AT306" t="str">
            <v>Finland</v>
          </cell>
          <cell r="AU306" t="str">
            <v>single sector</v>
          </cell>
          <cell r="AV306" t="str">
            <v>Retail</v>
          </cell>
          <cell r="AW306">
            <v>120000000</v>
          </cell>
          <cell r="AX306">
            <v>300000000</v>
          </cell>
          <cell r="AY306">
            <v>2006</v>
          </cell>
          <cell r="BE306" t="str">
            <v>≥ 60%</v>
          </cell>
          <cell r="BF306" t="str">
            <v>≤ 15%</v>
          </cell>
          <cell r="BG306" t="str">
            <v>≤ 5%</v>
          </cell>
          <cell r="BH306" t="str">
            <v>2017-12-31</v>
          </cell>
          <cell r="BI306">
            <v>151900000</v>
          </cell>
          <cell r="BJ306">
            <v>151900000</v>
          </cell>
          <cell r="BK306">
            <v>80800000</v>
          </cell>
          <cell r="BL306">
            <v>80800000</v>
          </cell>
          <cell r="BM306">
            <v>47.2</v>
          </cell>
          <cell r="BN306" t="str">
            <v>Yes</v>
          </cell>
          <cell r="BO306" t="str">
            <v>External</v>
          </cell>
          <cell r="BP306">
            <v>2</v>
          </cell>
          <cell r="BQ306">
            <v>8</v>
          </cell>
          <cell r="BR306">
            <v>120000000</v>
          </cell>
          <cell r="BS306">
            <v>120000000</v>
          </cell>
          <cell r="BT306">
            <v>105773064</v>
          </cell>
          <cell r="BU306">
            <v>105773064</v>
          </cell>
          <cell r="BW306" t="str">
            <v>Finland</v>
          </cell>
          <cell r="BX306" t="str">
            <v>Retail</v>
          </cell>
          <cell r="BY306">
            <v>93</v>
          </cell>
          <cell r="BZ306" t="str">
            <v>Finland</v>
          </cell>
          <cell r="CA306" t="str">
            <v>Industrial / Logistics</v>
          </cell>
          <cell r="CB306">
            <v>5</v>
          </cell>
        </row>
        <row r="307">
          <cell r="A307">
            <v>18446</v>
          </cell>
          <cell r="B307" t="str">
            <v>KCD-CATELLA NACHHALTIGKEIT IMMOBILIEN DEUTSCHLAND</v>
          </cell>
          <cell r="C307" t="str">
            <v>CATELLA REAL ESTATE AG</v>
          </cell>
          <cell r="G307" t="str">
            <v>Germany</v>
          </cell>
          <cell r="N307" t="str">
            <v xml:space="preserve">Leopold Stengl </v>
          </cell>
          <cell r="O307" t="str">
            <v>leopold.stengl@catella-investment.com</v>
          </cell>
          <cell r="Q307" t="str">
            <v>Germany</v>
          </cell>
          <cell r="R307" t="str">
            <v>EUR</v>
          </cell>
          <cell r="S307" t="str">
            <v>Local GAAP</v>
          </cell>
          <cell r="T307" t="str">
            <v>Monthly</v>
          </cell>
          <cell r="U307" t="str">
            <v>Quarterly</v>
          </cell>
          <cell r="V307" t="str">
            <v>ImmoWertV</v>
          </cell>
          <cell r="W307" t="str">
            <v>BVI</v>
          </cell>
          <cell r="Y307" t="str">
            <v>Publikumsfonds</v>
          </cell>
          <cell r="Z307" t="str">
            <v>No</v>
          </cell>
          <cell r="AC307" t="str">
            <v>Non-Listed Fund</v>
          </cell>
          <cell r="AD307" t="str">
            <v>Core</v>
          </cell>
          <cell r="AE307" t="str">
            <v>infinite</v>
          </cell>
          <cell r="AF307" t="str">
            <v>Open end</v>
          </cell>
          <cell r="AJ307">
            <v>3</v>
          </cell>
          <cell r="AK307">
            <v>4</v>
          </cell>
          <cell r="AN307" t="str">
            <v>Retail</v>
          </cell>
          <cell r="AO307" t="str">
            <v>&gt; 2</v>
          </cell>
          <cell r="AP307" t="str">
            <v>&lt; 50%</v>
          </cell>
          <cell r="AQ307" t="str">
            <v>Europe</v>
          </cell>
          <cell r="AR307" t="str">
            <v>single country</v>
          </cell>
          <cell r="AT307" t="str">
            <v>Germany</v>
          </cell>
          <cell r="AU307" t="str">
            <v>multi sector</v>
          </cell>
          <cell r="AY307">
            <v>2017</v>
          </cell>
          <cell r="BH307" t="str">
            <v>2020-12-31</v>
          </cell>
          <cell r="BI307">
            <v>227153278</v>
          </cell>
          <cell r="BJ307">
            <v>227153278</v>
          </cell>
          <cell r="BK307">
            <v>182062823</v>
          </cell>
          <cell r="BL307">
            <v>182062823</v>
          </cell>
          <cell r="BM307">
            <v>27.7</v>
          </cell>
          <cell r="BN307" t="str">
            <v>No</v>
          </cell>
          <cell r="BO307" t="str">
            <v>Internal</v>
          </cell>
          <cell r="BP307">
            <v>5</v>
          </cell>
          <cell r="BQ307">
            <v>8</v>
          </cell>
          <cell r="BR307">
            <v>0</v>
          </cell>
          <cell r="BS307">
            <v>0</v>
          </cell>
          <cell r="BT307">
            <v>0</v>
          </cell>
          <cell r="BV307" t="str">
            <v>No</v>
          </cell>
          <cell r="BW307" t="str">
            <v>Germany</v>
          </cell>
          <cell r="BX307" t="str">
            <v>Health Care</v>
          </cell>
          <cell r="BY307">
            <v>9</v>
          </cell>
          <cell r="BZ307" t="str">
            <v>Germany</v>
          </cell>
          <cell r="CA307" t="str">
            <v>Other</v>
          </cell>
          <cell r="CB307">
            <v>15</v>
          </cell>
          <cell r="CC307" t="str">
            <v>Germany</v>
          </cell>
          <cell r="CD307" t="str">
            <v>Residential</v>
          </cell>
          <cell r="CE307">
            <v>10</v>
          </cell>
          <cell r="CF307" t="str">
            <v>Germany</v>
          </cell>
          <cell r="CG307" t="str">
            <v>Office</v>
          </cell>
          <cell r="CH307">
            <v>60</v>
          </cell>
        </row>
        <row r="308">
          <cell r="A308">
            <v>19656</v>
          </cell>
          <cell r="B308" t="str">
            <v>KGAL RESIDENTIAL CORE 3</v>
          </cell>
          <cell r="C308" t="str">
            <v>KGAL INVESTMENT MANAGEMENT</v>
          </cell>
          <cell r="D308" t="str">
            <v>Tölzer Straße 15</v>
          </cell>
          <cell r="E308" t="str">
            <v xml:space="preserve">82031 </v>
          </cell>
          <cell r="F308" t="str">
            <v>Grünwald</v>
          </cell>
          <cell r="G308" t="str">
            <v>Germany</v>
          </cell>
          <cell r="H308" t="str">
            <v>+498964143143</v>
          </cell>
          <cell r="J308" t="str">
            <v>www.kgal.de</v>
          </cell>
          <cell r="K308" t="str">
            <v>Karl Neumann-Henneberg</v>
          </cell>
          <cell r="L308" t="str">
            <v>karl.neumann-henneberg@kgal.de</v>
          </cell>
          <cell r="M308" t="str">
            <v>+498964143148</v>
          </cell>
          <cell r="N308" t="str">
            <v>Roland Gill</v>
          </cell>
          <cell r="O308" t="str">
            <v>roland.gill@kgal.de</v>
          </cell>
          <cell r="P308" t="str">
            <v>+498964143143</v>
          </cell>
          <cell r="Q308" t="str">
            <v>Germany</v>
          </cell>
          <cell r="R308" t="str">
            <v>EUR</v>
          </cell>
          <cell r="S308" t="str">
            <v xml:space="preserve">KAGB/KARBV </v>
          </cell>
          <cell r="T308" t="str">
            <v>Quarterly</v>
          </cell>
          <cell r="U308" t="str">
            <v>Annually</v>
          </cell>
          <cell r="V308" t="str">
            <v>HGB</v>
          </cell>
          <cell r="W308" t="str">
            <v>INREV NAV</v>
          </cell>
          <cell r="X308" t="str">
            <v>Ernst &amp; Young</v>
          </cell>
          <cell r="Y308" t="str">
            <v>Real Estate Fund</v>
          </cell>
          <cell r="Z308" t="str">
            <v>Yes</v>
          </cell>
          <cell r="AA308" t="str">
            <v>No</v>
          </cell>
          <cell r="AB308">
            <v>0</v>
          </cell>
          <cell r="AC308" t="str">
            <v>Non-Listed Fund</v>
          </cell>
          <cell r="AD308" t="str">
            <v>Core</v>
          </cell>
          <cell r="AE308" t="str">
            <v>finite</v>
          </cell>
          <cell r="AF308" t="str">
            <v>Closed end</v>
          </cell>
          <cell r="AG308">
            <v>4.5</v>
          </cell>
          <cell r="AH308">
            <v>5.5</v>
          </cell>
          <cell r="AI308" t="str">
            <v>Net</v>
          </cell>
          <cell r="AK308">
            <v>3.5</v>
          </cell>
          <cell r="AM308" t="str">
            <v>&gt; 40% - ≤ 60%</v>
          </cell>
          <cell r="AN308" t="str">
            <v>Institutional</v>
          </cell>
          <cell r="AO308" t="str">
            <v>&gt; 2</v>
          </cell>
          <cell r="AP308" t="str">
            <v>≥ 50%</v>
          </cell>
          <cell r="AQ308" t="str">
            <v>Europe</v>
          </cell>
          <cell r="AR308" t="str">
            <v>single country</v>
          </cell>
          <cell r="AT308" t="str">
            <v>Germany</v>
          </cell>
          <cell r="AU308" t="str">
            <v>single sector</v>
          </cell>
          <cell r="AV308" t="str">
            <v>Residential</v>
          </cell>
          <cell r="AW308">
            <v>400000000</v>
          </cell>
          <cell r="AX308">
            <v>800000000</v>
          </cell>
          <cell r="AY308">
            <v>2021</v>
          </cell>
          <cell r="AZ308">
            <v>2038</v>
          </cell>
          <cell r="BA308" t="str">
            <v>No</v>
          </cell>
          <cell r="BD308" t="str">
            <v>No</v>
          </cell>
          <cell r="BE308" t="str">
            <v>≥ 60%</v>
          </cell>
          <cell r="BF308" t="str">
            <v>≤ 15%</v>
          </cell>
          <cell r="BG308" t="str">
            <v>≤ 5%</v>
          </cell>
        </row>
        <row r="309">
          <cell r="A309">
            <v>19360</v>
          </cell>
          <cell r="B309" t="str">
            <v>KGAL WALKABILITY FUND 1</v>
          </cell>
          <cell r="C309" t="str">
            <v>KGAL INVESTMENT MANAGEMENT</v>
          </cell>
          <cell r="D309" t="str">
            <v>Tölzer Strasse 15</v>
          </cell>
          <cell r="E309">
            <v>82031</v>
          </cell>
          <cell r="F309" t="str">
            <v>Grünwald</v>
          </cell>
          <cell r="G309" t="str">
            <v>Germany</v>
          </cell>
          <cell r="H309" t="str">
            <v>+498964143143</v>
          </cell>
          <cell r="J309" t="str">
            <v>https://www.kgal.de/</v>
          </cell>
          <cell r="K309" t="str">
            <v>Helge Vahlenkamp</v>
          </cell>
          <cell r="L309" t="str">
            <v>helge.vahlenkamp@kgal.de</v>
          </cell>
          <cell r="M309" t="str">
            <v>+498964143416</v>
          </cell>
          <cell r="N309" t="str">
            <v>Roland Gill</v>
          </cell>
          <cell r="O309" t="str">
            <v>roland.gill@kgal.de</v>
          </cell>
          <cell r="P309" t="str">
            <v>+498964143143</v>
          </cell>
          <cell r="Q309" t="str">
            <v>Luxembourg</v>
          </cell>
          <cell r="R309" t="str">
            <v>EUR</v>
          </cell>
          <cell r="S309" t="str">
            <v>Local GAAP</v>
          </cell>
          <cell r="T309" t="str">
            <v>Quarterly</v>
          </cell>
          <cell r="U309" t="str">
            <v>Annually</v>
          </cell>
          <cell r="V309" t="str">
            <v>Other - mark to market</v>
          </cell>
          <cell r="W309" t="str">
            <v>INREV NAV</v>
          </cell>
          <cell r="X309" t="str">
            <v>Ernst &amp; Young S.A.</v>
          </cell>
          <cell r="Y309" t="str">
            <v>SICAV</v>
          </cell>
          <cell r="Z309" t="str">
            <v>Yes</v>
          </cell>
          <cell r="AA309" t="str">
            <v>Yes</v>
          </cell>
          <cell r="AC309" t="str">
            <v>Non-Listed Fund</v>
          </cell>
          <cell r="AD309" t="str">
            <v>Core</v>
          </cell>
          <cell r="AE309" t="str">
            <v>finite</v>
          </cell>
          <cell r="AF309" t="str">
            <v>Closed end</v>
          </cell>
          <cell r="AG309">
            <v>6.5</v>
          </cell>
          <cell r="AH309">
            <v>7</v>
          </cell>
          <cell r="AI309" t="str">
            <v>Net</v>
          </cell>
          <cell r="AK309">
            <v>4.5</v>
          </cell>
          <cell r="AL309">
            <v>40</v>
          </cell>
          <cell r="AM309" t="str">
            <v>≤ 40%</v>
          </cell>
          <cell r="AN309" t="str">
            <v>Institutional</v>
          </cell>
          <cell r="AO309" t="str">
            <v>&gt; 2</v>
          </cell>
          <cell r="AP309" t="str">
            <v>≥ 50%</v>
          </cell>
          <cell r="AQ309" t="str">
            <v>Europe</v>
          </cell>
          <cell r="AR309" t="str">
            <v>multi country</v>
          </cell>
          <cell r="AS309" t="str">
            <v>Europe</v>
          </cell>
          <cell r="AU309" t="str">
            <v>multi sector</v>
          </cell>
          <cell r="AW309">
            <v>400000000</v>
          </cell>
          <cell r="AX309">
            <v>670000000</v>
          </cell>
          <cell r="AY309">
            <v>2018</v>
          </cell>
          <cell r="AZ309">
            <v>2035</v>
          </cell>
          <cell r="BA309" t="str">
            <v>Yes</v>
          </cell>
          <cell r="BB309" t="str">
            <v>Yes</v>
          </cell>
          <cell r="BC309" t="str">
            <v>5 years fixed</v>
          </cell>
          <cell r="BD309" t="str">
            <v>No</v>
          </cell>
          <cell r="BE309" t="str">
            <v>≥ 60%</v>
          </cell>
          <cell r="BF309" t="str">
            <v>&gt; 40%</v>
          </cell>
          <cell r="BG309" t="str">
            <v>≤ 5%</v>
          </cell>
          <cell r="BH309" t="str">
            <v>2020-12-31</v>
          </cell>
          <cell r="BI309">
            <v>192000000</v>
          </cell>
          <cell r="BJ309">
            <v>192000000</v>
          </cell>
          <cell r="BK309">
            <v>107000000</v>
          </cell>
          <cell r="BL309">
            <v>107000000</v>
          </cell>
          <cell r="BM309">
            <v>42</v>
          </cell>
          <cell r="BN309" t="str">
            <v>No</v>
          </cell>
          <cell r="BO309" t="str">
            <v>External</v>
          </cell>
          <cell r="BP309">
            <v>1</v>
          </cell>
          <cell r="BQ309">
            <v>4</v>
          </cell>
          <cell r="BR309">
            <v>100000000</v>
          </cell>
          <cell r="BS309">
            <v>100000000</v>
          </cell>
          <cell r="BT309">
            <v>92300000</v>
          </cell>
          <cell r="BU309">
            <v>92300000</v>
          </cell>
          <cell r="BW309" t="str">
            <v>Germany</v>
          </cell>
          <cell r="BX309" t="str">
            <v>Office</v>
          </cell>
          <cell r="BY309">
            <v>66.2</v>
          </cell>
          <cell r="BZ309" t="str">
            <v>Germany</v>
          </cell>
          <cell r="CA309" t="str">
            <v>Retail</v>
          </cell>
          <cell r="CB309">
            <v>25.5</v>
          </cell>
          <cell r="CC309" t="str">
            <v>Germany</v>
          </cell>
          <cell r="CD309" t="str">
            <v>Other</v>
          </cell>
          <cell r="CE309">
            <v>8.3000000000000007</v>
          </cell>
        </row>
        <row r="310">
          <cell r="A310">
            <v>298</v>
          </cell>
          <cell r="B310" t="str">
            <v>KRISTENSEN PARTNERS I</v>
          </cell>
          <cell r="C310" t="str">
            <v>KRISTENSEN PROPERTIES A/S</v>
          </cell>
          <cell r="D310" t="str">
            <v>Vesterbro 18</v>
          </cell>
          <cell r="E310">
            <v>9000</v>
          </cell>
          <cell r="F310" t="str">
            <v>Aalborg</v>
          </cell>
          <cell r="G310" t="str">
            <v>Denmark</v>
          </cell>
          <cell r="H310" t="str">
            <v>+45 70 22 88 80</v>
          </cell>
          <cell r="I310" t="str">
            <v>+45 70 22 88 81</v>
          </cell>
          <cell r="J310" t="str">
            <v>http://www.kristensenproperties.com</v>
          </cell>
          <cell r="K310" t="str">
            <v>Anders Holm-Pedersen</v>
          </cell>
          <cell r="L310" t="str">
            <v>ahp@kristensenproperties.com</v>
          </cell>
          <cell r="M310" t="str">
            <v>+45 70 22 88 80</v>
          </cell>
          <cell r="N310" t="str">
            <v>Anders Holm-Pedersen</v>
          </cell>
          <cell r="O310" t="str">
            <v>ahp@kristensenproperties.com</v>
          </cell>
          <cell r="P310" t="str">
            <v>+45 70 22 88 81</v>
          </cell>
          <cell r="Q310" t="str">
            <v>Denmark</v>
          </cell>
          <cell r="R310" t="str">
            <v>DKK</v>
          </cell>
          <cell r="S310" t="str">
            <v>IFRS</v>
          </cell>
          <cell r="T310" t="str">
            <v>Quarterly</v>
          </cell>
          <cell r="U310" t="str">
            <v>Annually</v>
          </cell>
          <cell r="X310" t="str">
            <v>PriceWaterhouseCoopers</v>
          </cell>
          <cell r="Y310" t="str">
            <v>Limited Partnership</v>
          </cell>
          <cell r="Z310" t="str">
            <v>No</v>
          </cell>
          <cell r="AA310" t="str">
            <v>No</v>
          </cell>
          <cell r="AB310">
            <v>0</v>
          </cell>
          <cell r="AC310" t="str">
            <v>Non-Listed Fund</v>
          </cell>
          <cell r="AD310" t="str">
            <v>Value-added</v>
          </cell>
          <cell r="AE310" t="str">
            <v>finite</v>
          </cell>
          <cell r="AF310" t="str">
            <v>Closed end</v>
          </cell>
          <cell r="AG310">
            <v>10</v>
          </cell>
          <cell r="AH310">
            <v>15</v>
          </cell>
          <cell r="AJ310" t="str">
            <v>IRR</v>
          </cell>
          <cell r="AK310">
            <v>5</v>
          </cell>
          <cell r="AL310">
            <v>75</v>
          </cell>
          <cell r="AM310" t="str">
            <v>&gt; 60%</v>
          </cell>
          <cell r="AN310" t="str">
            <v>Institutional</v>
          </cell>
          <cell r="AO310" t="str">
            <v>&gt; 2</v>
          </cell>
          <cell r="AP310" t="str">
            <v>≥ 50%</v>
          </cell>
          <cell r="AQ310" t="str">
            <v>Europe</v>
          </cell>
          <cell r="AR310" t="str">
            <v>single country</v>
          </cell>
          <cell r="AT310" t="str">
            <v>Germany</v>
          </cell>
          <cell r="AU310" t="str">
            <v>single sector</v>
          </cell>
          <cell r="AV310" t="str">
            <v>Office</v>
          </cell>
          <cell r="AW310">
            <v>540150000</v>
          </cell>
          <cell r="AX310">
            <v>1800370000</v>
          </cell>
          <cell r="AY310">
            <v>2006</v>
          </cell>
          <cell r="AZ310">
            <v>2012</v>
          </cell>
          <cell r="BA310" t="str">
            <v>Yes</v>
          </cell>
          <cell r="BB310" t="str">
            <v>No</v>
          </cell>
          <cell r="BH310" t="str">
            <v>2009-12-31</v>
          </cell>
          <cell r="BI310">
            <v>1622000000</v>
          </cell>
          <cell r="BJ310">
            <v>217996800</v>
          </cell>
          <cell r="BK310">
            <v>534000000</v>
          </cell>
          <cell r="BL310">
            <v>71769600</v>
          </cell>
          <cell r="BM310">
            <v>67</v>
          </cell>
          <cell r="BN310" t="str">
            <v>Yes</v>
          </cell>
          <cell r="BS310">
            <v>0</v>
          </cell>
        </row>
        <row r="311">
          <cell r="A311">
            <v>300</v>
          </cell>
          <cell r="B311" t="str">
            <v>KRISTENSEN PARTNERS III A/S</v>
          </cell>
          <cell r="C311" t="str">
            <v>KRISTENSEN PROPERTIES A/S</v>
          </cell>
          <cell r="D311" t="str">
            <v>Vesterbri 18</v>
          </cell>
          <cell r="E311">
            <v>9000</v>
          </cell>
          <cell r="F311" t="str">
            <v>Aalborg</v>
          </cell>
          <cell r="G311" t="str">
            <v>Denmark</v>
          </cell>
          <cell r="H311" t="str">
            <v>+45 70 22 88 80</v>
          </cell>
          <cell r="I311" t="str">
            <v>+45 70 22 88 81</v>
          </cell>
          <cell r="J311" t="str">
            <v>http://www.kristensenproperties.com</v>
          </cell>
          <cell r="K311" t="str">
            <v>Anders Holm-Pedersen</v>
          </cell>
          <cell r="L311" t="str">
            <v>ahp@kristensenproperties.com</v>
          </cell>
          <cell r="M311" t="str">
            <v>+45 70 22 88 80</v>
          </cell>
          <cell r="N311" t="str">
            <v>Anders Holm-Pedersen</v>
          </cell>
          <cell r="O311" t="str">
            <v>ahp@kristensenproperties.com</v>
          </cell>
          <cell r="P311" t="str">
            <v>+45 70 22 88 81</v>
          </cell>
          <cell r="Q311" t="str">
            <v>Denmark</v>
          </cell>
          <cell r="R311" t="str">
            <v>DKK</v>
          </cell>
          <cell r="S311" t="str">
            <v>IFRS</v>
          </cell>
          <cell r="T311" t="str">
            <v>Quarterly</v>
          </cell>
          <cell r="U311" t="str">
            <v>Annually</v>
          </cell>
          <cell r="X311" t="str">
            <v>PriceWaterhouseCoopers</v>
          </cell>
          <cell r="Y311" t="str">
            <v>A/S</v>
          </cell>
          <cell r="Z311" t="str">
            <v>No</v>
          </cell>
          <cell r="AA311" t="str">
            <v>Yes</v>
          </cell>
          <cell r="AB311">
            <v>5</v>
          </cell>
          <cell r="AC311" t="str">
            <v>Non-Listed Fund</v>
          </cell>
          <cell r="AD311" t="str">
            <v>Value-added</v>
          </cell>
          <cell r="AE311" t="str">
            <v>infinite</v>
          </cell>
          <cell r="AF311" t="str">
            <v>Closed end</v>
          </cell>
          <cell r="AG311">
            <v>10</v>
          </cell>
          <cell r="AH311">
            <v>15</v>
          </cell>
          <cell r="AI311" t="str">
            <v>Net</v>
          </cell>
          <cell r="AJ311" t="str">
            <v>None</v>
          </cell>
          <cell r="AK311">
            <v>5</v>
          </cell>
          <cell r="AL311">
            <v>75</v>
          </cell>
          <cell r="AM311" t="str">
            <v>&gt; 60%</v>
          </cell>
          <cell r="AN311" t="str">
            <v>Institutional and Retail</v>
          </cell>
          <cell r="AO311" t="str">
            <v>&gt; 2</v>
          </cell>
          <cell r="AP311" t="str">
            <v>&lt; 50%</v>
          </cell>
          <cell r="AQ311" t="str">
            <v>Europe</v>
          </cell>
          <cell r="AR311" t="str">
            <v>single country</v>
          </cell>
          <cell r="AT311" t="str">
            <v>Germany</v>
          </cell>
          <cell r="AU311" t="str">
            <v>single sector</v>
          </cell>
          <cell r="AV311" t="str">
            <v>Retail</v>
          </cell>
          <cell r="AW311">
            <v>225000000</v>
          </cell>
          <cell r="AX311">
            <v>750000000</v>
          </cell>
          <cell r="AY311">
            <v>2008</v>
          </cell>
          <cell r="BA311" t="str">
            <v>Yes</v>
          </cell>
          <cell r="BB311" t="str">
            <v>No</v>
          </cell>
          <cell r="BH311" t="str">
            <v>2009-12-31</v>
          </cell>
          <cell r="BI311">
            <v>405711000</v>
          </cell>
          <cell r="BJ311">
            <v>54527558.399999999</v>
          </cell>
          <cell r="BK311">
            <v>178450000</v>
          </cell>
          <cell r="BL311">
            <v>23983680</v>
          </cell>
          <cell r="BM311">
            <v>56</v>
          </cell>
          <cell r="BN311" t="str">
            <v>Yes</v>
          </cell>
          <cell r="BS311">
            <v>0</v>
          </cell>
        </row>
        <row r="312">
          <cell r="A312">
            <v>301</v>
          </cell>
          <cell r="B312" t="str">
            <v>KVMS-DOMUS-FONDS</v>
          </cell>
          <cell r="C312" t="str">
            <v>DEKA IMMOBILIEN INVESTMENT</v>
          </cell>
          <cell r="D312" t="str">
            <v>Taunusanlage 1</v>
          </cell>
          <cell r="E312">
            <v>60329</v>
          </cell>
          <cell r="F312" t="str">
            <v>Frankfurt</v>
          </cell>
          <cell r="G312" t="str">
            <v>Germany</v>
          </cell>
          <cell r="H312" t="str">
            <v>+49 (0) 69 7147 0</v>
          </cell>
          <cell r="I312" t="str">
            <v>+49 (0) 69 7147 3114</v>
          </cell>
          <cell r="J312" t="str">
            <v>http://www.deka-immobilien.de</v>
          </cell>
          <cell r="K312" t="str">
            <v>Carsten Jöckel</v>
          </cell>
          <cell r="L312" t="str">
            <v>carsten.joeckel@deka.de</v>
          </cell>
          <cell r="M312" t="str">
            <v>+49 (0) 69 7147 7539</v>
          </cell>
          <cell r="N312" t="str">
            <v>Michaela Graefe</v>
          </cell>
          <cell r="O312" t="str">
            <v>michaela.graefe@deka.de</v>
          </cell>
          <cell r="P312" t="str">
            <v>+49 (0) 69 7147 35 04</v>
          </cell>
          <cell r="Q312" t="str">
            <v>Germany</v>
          </cell>
          <cell r="R312" t="str">
            <v>EUR</v>
          </cell>
          <cell r="S312" t="str">
            <v>German HGB</v>
          </cell>
          <cell r="T312" t="str">
            <v>Annually</v>
          </cell>
          <cell r="U312" t="str">
            <v>Annually</v>
          </cell>
          <cell r="V312" t="str">
            <v>ImmoWertV</v>
          </cell>
          <cell r="X312" t="str">
            <v>KPMG</v>
          </cell>
          <cell r="Y312" t="str">
            <v>Spezialfonds</v>
          </cell>
          <cell r="Z312" t="str">
            <v>No</v>
          </cell>
          <cell r="AA312" t="str">
            <v>Yes</v>
          </cell>
          <cell r="AB312">
            <v>4</v>
          </cell>
          <cell r="AC312" t="str">
            <v>Non-Listed Fund</v>
          </cell>
          <cell r="AD312" t="str">
            <v>Core</v>
          </cell>
          <cell r="AE312" t="str">
            <v>infinite</v>
          </cell>
          <cell r="AF312" t="str">
            <v>Open end</v>
          </cell>
          <cell r="AG312">
            <v>5</v>
          </cell>
          <cell r="AH312">
            <v>6.5</v>
          </cell>
          <cell r="AI312" t="str">
            <v>Net</v>
          </cell>
          <cell r="AJ312" t="str">
            <v>BVI Open Real Estate</v>
          </cell>
          <cell r="AK312">
            <v>5.5</v>
          </cell>
          <cell r="AL312">
            <v>50</v>
          </cell>
          <cell r="AM312" t="str">
            <v>&gt; 40% - ≤ 60%</v>
          </cell>
          <cell r="AN312" t="str">
            <v>Institutional</v>
          </cell>
          <cell r="AO312" t="str">
            <v>&gt; 2</v>
          </cell>
          <cell r="AP312" t="str">
            <v>≥ 50%</v>
          </cell>
          <cell r="AQ312" t="str">
            <v>Europe</v>
          </cell>
          <cell r="AR312" t="str">
            <v>single country</v>
          </cell>
          <cell r="AT312" t="str">
            <v>Germany</v>
          </cell>
          <cell r="AU312" t="str">
            <v>multi sector</v>
          </cell>
          <cell r="AW312">
            <v>150000000</v>
          </cell>
          <cell r="AX312">
            <v>300000000</v>
          </cell>
          <cell r="AY312">
            <v>2004</v>
          </cell>
          <cell r="BB312" t="str">
            <v>No</v>
          </cell>
          <cell r="BH312" t="str">
            <v>2020-12-31</v>
          </cell>
          <cell r="BI312">
            <v>519565963</v>
          </cell>
          <cell r="BJ312">
            <v>519565963</v>
          </cell>
          <cell r="BK312">
            <v>326547041</v>
          </cell>
          <cell r="BL312">
            <v>326547041</v>
          </cell>
          <cell r="BM312">
            <v>38.1</v>
          </cell>
          <cell r="BN312" t="str">
            <v>No</v>
          </cell>
          <cell r="BO312" t="str">
            <v>External</v>
          </cell>
          <cell r="BP312">
            <v>2</v>
          </cell>
          <cell r="BQ312">
            <v>20</v>
          </cell>
          <cell r="BR312">
            <v>269337927</v>
          </cell>
          <cell r="BS312">
            <v>269337927</v>
          </cell>
          <cell r="BT312">
            <v>269337927</v>
          </cell>
          <cell r="BU312">
            <v>269337927</v>
          </cell>
          <cell r="BV312" t="str">
            <v>No</v>
          </cell>
          <cell r="BW312" t="str">
            <v>Germany</v>
          </cell>
          <cell r="BX312" t="str">
            <v>Office</v>
          </cell>
          <cell r="BY312">
            <v>46.2</v>
          </cell>
          <cell r="BZ312" t="str">
            <v>Germany</v>
          </cell>
          <cell r="CA312" t="str">
            <v>Retail</v>
          </cell>
          <cell r="CB312">
            <v>17.100000000000001</v>
          </cell>
          <cell r="CC312" t="str">
            <v>Germany</v>
          </cell>
          <cell r="CD312" t="str">
            <v>Industrial / Logistics</v>
          </cell>
          <cell r="CE312">
            <v>5.2</v>
          </cell>
          <cell r="CF312" t="str">
            <v>Germany</v>
          </cell>
          <cell r="CG312" t="str">
            <v>Hotel</v>
          </cell>
          <cell r="CH312">
            <v>14.7</v>
          </cell>
          <cell r="CI312" t="str">
            <v>Germany</v>
          </cell>
          <cell r="CJ312" t="str">
            <v>Mixed</v>
          </cell>
          <cell r="CK312">
            <v>16.8</v>
          </cell>
        </row>
        <row r="313">
          <cell r="A313">
            <v>19630</v>
          </cell>
          <cell r="B313" t="str">
            <v>LA FRANçAISE IMMO SR</v>
          </cell>
          <cell r="C313" t="str">
            <v>LA FRANçAISE REM</v>
          </cell>
          <cell r="D313" t="str">
            <v>128 boulevard Raspail</v>
          </cell>
          <cell r="E313">
            <v>75006</v>
          </cell>
          <cell r="F313" t="str">
            <v>PARIS</v>
          </cell>
          <cell r="G313" t="str">
            <v>France</v>
          </cell>
          <cell r="J313" t="str">
            <v>https://www.la-francaise.com/</v>
          </cell>
          <cell r="Q313" t="str">
            <v>France</v>
          </cell>
          <cell r="R313" t="str">
            <v>EUR</v>
          </cell>
          <cell r="T313" t="str">
            <v>Quarterly</v>
          </cell>
          <cell r="U313" t="str">
            <v>Annually</v>
          </cell>
          <cell r="X313" t="str">
            <v>Deloitte &amp; Associés</v>
          </cell>
          <cell r="Y313" t="str">
            <v>Real Estate Fund</v>
          </cell>
          <cell r="Z313" t="str">
            <v>No</v>
          </cell>
          <cell r="AB313">
            <v>0</v>
          </cell>
          <cell r="AC313" t="str">
            <v>Non-Listed Fund</v>
          </cell>
          <cell r="AD313" t="str">
            <v>Core</v>
          </cell>
          <cell r="AE313" t="str">
            <v>finite</v>
          </cell>
          <cell r="AF313" t="str">
            <v>Closed end</v>
          </cell>
          <cell r="AK313">
            <v>6</v>
          </cell>
          <cell r="AM313" t="str">
            <v>&gt; 40% - ≤ 60%</v>
          </cell>
          <cell r="AN313" t="str">
            <v>Institutional</v>
          </cell>
          <cell r="AO313" t="str">
            <v>&gt; 2</v>
          </cell>
          <cell r="AP313" t="str">
            <v>≥ 50%</v>
          </cell>
          <cell r="AQ313" t="str">
            <v>Europe</v>
          </cell>
          <cell r="AR313" t="str">
            <v>single country</v>
          </cell>
          <cell r="AT313" t="str">
            <v>France</v>
          </cell>
          <cell r="AU313" t="str">
            <v>multi sector</v>
          </cell>
          <cell r="AW313">
            <v>200000000</v>
          </cell>
          <cell r="AY313">
            <v>2009</v>
          </cell>
          <cell r="AZ313">
            <v>2024</v>
          </cell>
          <cell r="BA313" t="str">
            <v>No</v>
          </cell>
          <cell r="BD313" t="str">
            <v>Yes</v>
          </cell>
        </row>
        <row r="314">
          <cell r="A314">
            <v>18378</v>
          </cell>
          <cell r="B314" t="str">
            <v>LASALLE E-REGI</v>
          </cell>
          <cell r="C314" t="str">
            <v>LASALLE INVESTMENT MANAGEMENT KAPITALVERWALTUNGSGESELLSCHAFT MBH</v>
          </cell>
          <cell r="D314" t="str">
            <v>Viktualienmarkt 8</v>
          </cell>
          <cell r="E314">
            <v>80993</v>
          </cell>
          <cell r="F314" t="str">
            <v>Munich</v>
          </cell>
          <cell r="G314" t="str">
            <v>Germany</v>
          </cell>
          <cell r="H314" t="str">
            <v>+49892111130</v>
          </cell>
          <cell r="J314" t="str">
            <v>http://www.lasalle.com/</v>
          </cell>
          <cell r="K314" t="str">
            <v>Uwe Rempis</v>
          </cell>
          <cell r="L314" t="str">
            <v>uwe.rempis@lasalle.com</v>
          </cell>
          <cell r="M314" t="str">
            <v>+498921111359</v>
          </cell>
          <cell r="N314" t="str">
            <v>Jan Novak</v>
          </cell>
          <cell r="O314" t="str">
            <v>jan.novak@lasalle.com</v>
          </cell>
          <cell r="P314" t="str">
            <v>+498921111343</v>
          </cell>
          <cell r="Q314" t="str">
            <v>Germany</v>
          </cell>
          <cell r="R314" t="str">
            <v>EUR</v>
          </cell>
          <cell r="S314" t="str">
            <v>KAGB</v>
          </cell>
          <cell r="T314" t="str">
            <v>Monthly</v>
          </cell>
          <cell r="U314" t="str">
            <v>Twice per year</v>
          </cell>
          <cell r="V314" t="str">
            <v>ImmoWertV</v>
          </cell>
          <cell r="W314" t="str">
            <v>German Investment Act NAV</v>
          </cell>
          <cell r="X314" t="str">
            <v xml:space="preserve">KPMG </v>
          </cell>
          <cell r="Y314" t="str">
            <v>Spezialfonds</v>
          </cell>
          <cell r="Z314" t="str">
            <v>No</v>
          </cell>
          <cell r="AC314" t="str">
            <v>Non-Listed Fund</v>
          </cell>
          <cell r="AD314" t="str">
            <v>Core</v>
          </cell>
          <cell r="AE314" t="str">
            <v>infinite</v>
          </cell>
          <cell r="AF314" t="str">
            <v>Open end</v>
          </cell>
          <cell r="AJ314" t="str">
            <v>MSCI S-FIX</v>
          </cell>
          <cell r="AK314">
            <v>4.5</v>
          </cell>
          <cell r="AL314">
            <v>40</v>
          </cell>
          <cell r="AM314" t="str">
            <v>≤ 40%</v>
          </cell>
          <cell r="AN314" t="str">
            <v>Institutional</v>
          </cell>
          <cell r="AO314" t="str">
            <v>&gt; 2</v>
          </cell>
          <cell r="AP314" t="str">
            <v>≥ 50%</v>
          </cell>
          <cell r="AQ314" t="str">
            <v>Europe</v>
          </cell>
          <cell r="AR314" t="str">
            <v>multi country</v>
          </cell>
          <cell r="AS314" t="str">
            <v>Europe</v>
          </cell>
          <cell r="AU314" t="str">
            <v>multi sector</v>
          </cell>
          <cell r="AY314">
            <v>2011</v>
          </cell>
          <cell r="BB314" t="str">
            <v>No</v>
          </cell>
          <cell r="BD314" t="str">
            <v>No</v>
          </cell>
          <cell r="BE314" t="str">
            <v>≥ 60%</v>
          </cell>
          <cell r="BF314" t="str">
            <v>≤ 15%</v>
          </cell>
          <cell r="BG314" t="str">
            <v>≤ 5%</v>
          </cell>
          <cell r="BH314" t="str">
            <v>2020-12-31</v>
          </cell>
          <cell r="BI314">
            <v>1202633075</v>
          </cell>
          <cell r="BJ314">
            <v>1202633075</v>
          </cell>
          <cell r="BK314">
            <v>847215888</v>
          </cell>
          <cell r="BL314">
            <v>847215888</v>
          </cell>
          <cell r="BM314">
            <v>31</v>
          </cell>
          <cell r="BN314" t="str">
            <v>No</v>
          </cell>
          <cell r="BO314" t="str">
            <v>External</v>
          </cell>
          <cell r="BP314">
            <v>26</v>
          </cell>
          <cell r="BQ314">
            <v>27</v>
          </cell>
          <cell r="BR314">
            <v>751766274</v>
          </cell>
          <cell r="BS314">
            <v>751766274</v>
          </cell>
          <cell r="BT314">
            <v>742139898</v>
          </cell>
          <cell r="BU314">
            <v>742139898</v>
          </cell>
          <cell r="BV314" t="str">
            <v>Yes</v>
          </cell>
          <cell r="BW314" t="str">
            <v>Czech Republic</v>
          </cell>
          <cell r="BX314" t="str">
            <v>Retail</v>
          </cell>
          <cell r="BY314">
            <v>1.3</v>
          </cell>
          <cell r="BZ314" t="str">
            <v>Czech Republic</v>
          </cell>
          <cell r="CA314" t="str">
            <v>Office</v>
          </cell>
          <cell r="CB314">
            <v>4.0999999999999996</v>
          </cell>
          <cell r="CC314" t="str">
            <v>Spain</v>
          </cell>
          <cell r="CD314" t="str">
            <v>Industrial / Logistics</v>
          </cell>
          <cell r="CE314">
            <v>1.8</v>
          </cell>
          <cell r="CF314" t="str">
            <v>Poland</v>
          </cell>
          <cell r="CG314" t="str">
            <v>Industrial / Logistics</v>
          </cell>
          <cell r="CH314">
            <v>2.5</v>
          </cell>
          <cell r="CI314" t="str">
            <v>Netherlands</v>
          </cell>
          <cell r="CJ314" t="str">
            <v>Retail</v>
          </cell>
          <cell r="CK314">
            <v>2</v>
          </cell>
          <cell r="CL314" t="str">
            <v>Netherlands</v>
          </cell>
          <cell r="CM314" t="str">
            <v>Office</v>
          </cell>
          <cell r="CN314">
            <v>5.9</v>
          </cell>
          <cell r="CO314" t="str">
            <v>United Kingdom</v>
          </cell>
          <cell r="CP314" t="str">
            <v>Hotel</v>
          </cell>
          <cell r="CQ314">
            <v>3.4</v>
          </cell>
          <cell r="CR314" t="str">
            <v>France</v>
          </cell>
          <cell r="CS314" t="str">
            <v>Hotel</v>
          </cell>
          <cell r="CT314">
            <v>2.2000000000000002</v>
          </cell>
          <cell r="CU314" t="str">
            <v>France</v>
          </cell>
          <cell r="CV314" t="str">
            <v>Retail</v>
          </cell>
          <cell r="CW314">
            <v>4</v>
          </cell>
          <cell r="CX314" t="str">
            <v>France</v>
          </cell>
          <cell r="CY314" t="str">
            <v>Office</v>
          </cell>
          <cell r="CZ314">
            <v>8.3000000000000007</v>
          </cell>
          <cell r="DA314" t="str">
            <v>Finland</v>
          </cell>
          <cell r="DB314" t="str">
            <v>Office</v>
          </cell>
          <cell r="DC314">
            <v>4</v>
          </cell>
          <cell r="DD314" t="str">
            <v>Germany</v>
          </cell>
          <cell r="DE314" t="str">
            <v>Hotel</v>
          </cell>
          <cell r="DF314">
            <v>0.8</v>
          </cell>
          <cell r="DG314" t="str">
            <v>Germany</v>
          </cell>
          <cell r="DH314" t="str">
            <v>Industrial / Logistics</v>
          </cell>
          <cell r="DI314">
            <v>6.8</v>
          </cell>
          <cell r="DJ314" t="str">
            <v>Germany</v>
          </cell>
          <cell r="DK314" t="str">
            <v>Retail</v>
          </cell>
          <cell r="DL314">
            <v>2</v>
          </cell>
          <cell r="DM314" t="str">
            <v>Germany</v>
          </cell>
          <cell r="DN314" t="str">
            <v>Office</v>
          </cell>
          <cell r="DO314">
            <v>48.3</v>
          </cell>
        </row>
        <row r="315">
          <cell r="A315">
            <v>310</v>
          </cell>
          <cell r="B315" t="str">
            <v>LEGAL &amp; GENERAL ASSURANCE (PENSIONS MANAGEMENT) LTD INDEX</v>
          </cell>
          <cell r="C315" t="str">
            <v>LEGAL &amp; GENERAL PROPERTY LTD</v>
          </cell>
          <cell r="D315" t="str">
            <v>One Coleman Street</v>
          </cell>
          <cell r="E315" t="str">
            <v>EC2R 5AA</v>
          </cell>
          <cell r="F315" t="str">
            <v>London</v>
          </cell>
          <cell r="G315" t="str">
            <v>United Kingdom</v>
          </cell>
          <cell r="H315" t="str">
            <v>+44 (0) 20 3124 2770</v>
          </cell>
          <cell r="I315" t="str">
            <v>+44 (0) 20 3124 2542</v>
          </cell>
          <cell r="J315" t="str">
            <v>http://www.lgim.co.uk</v>
          </cell>
          <cell r="K315" t="str">
            <v>Mark Russell</v>
          </cell>
          <cell r="N315" t="str">
            <v>Callum Fraser</v>
          </cell>
          <cell r="O315" t="str">
            <v>callum.fraser@lgim.com</v>
          </cell>
          <cell r="P315" t="str">
            <v>+44 (0) 20 3124 2542</v>
          </cell>
          <cell r="Q315" t="str">
            <v>United Kingdom</v>
          </cell>
          <cell r="R315" t="str">
            <v>GBP</v>
          </cell>
          <cell r="S315" t="str">
            <v>Local GAAP</v>
          </cell>
          <cell r="T315" t="str">
            <v>Quarterly</v>
          </cell>
          <cell r="U315" t="str">
            <v>Monthly</v>
          </cell>
          <cell r="V315" t="str">
            <v>RICS</v>
          </cell>
          <cell r="W315" t="str">
            <v>IFRS NAV</v>
          </cell>
          <cell r="X315" t="str">
            <v>PriceWaterhouseCoopers</v>
          </cell>
          <cell r="Y315" t="str">
            <v>Managed Fund</v>
          </cell>
          <cell r="Z315" t="str">
            <v>No</v>
          </cell>
          <cell r="AA315" t="str">
            <v>Yes</v>
          </cell>
          <cell r="AB315">
            <v>0</v>
          </cell>
          <cell r="AC315" t="str">
            <v>Non-Listed Fund</v>
          </cell>
          <cell r="AD315" t="str">
            <v>Core</v>
          </cell>
          <cell r="AE315" t="str">
            <v>infinite</v>
          </cell>
          <cell r="AF315" t="str">
            <v>Open end</v>
          </cell>
          <cell r="AJ315" t="str">
            <v>Russell/Mellon CAPS Pooled Property Fund Median</v>
          </cell>
          <cell r="AN315" t="str">
            <v>Institutional</v>
          </cell>
          <cell r="AO315" t="str">
            <v>&gt; 2</v>
          </cell>
          <cell r="AP315" t="str">
            <v>≥ 50%</v>
          </cell>
          <cell r="AQ315" t="str">
            <v>Europe</v>
          </cell>
          <cell r="AR315" t="str">
            <v>single country</v>
          </cell>
          <cell r="AT315" t="str">
            <v>United Kingdom</v>
          </cell>
          <cell r="AU315" t="str">
            <v>multi sector</v>
          </cell>
          <cell r="AY315">
            <v>1990</v>
          </cell>
          <cell r="BH315" t="str">
            <v>2020-12-31</v>
          </cell>
          <cell r="BI315">
            <v>3140246638.6799998</v>
          </cell>
          <cell r="BJ315">
            <v>3471696829.4694662</v>
          </cell>
          <cell r="BK315">
            <v>3193567241.1300001</v>
          </cell>
          <cell r="BL315">
            <v>3530645373.2529178</v>
          </cell>
          <cell r="BM315">
            <v>1.4</v>
          </cell>
          <cell r="BN315" t="str">
            <v>No</v>
          </cell>
          <cell r="BO315" t="str">
            <v>External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V315" t="str">
            <v>Yes</v>
          </cell>
          <cell r="BW315" t="str">
            <v>United Kingdom</v>
          </cell>
          <cell r="BX315" t="str">
            <v>Other</v>
          </cell>
          <cell r="BY315">
            <v>9.17</v>
          </cell>
          <cell r="BZ315" t="str">
            <v>United Kingdom</v>
          </cell>
          <cell r="CA315" t="str">
            <v>Industrial / Logistics</v>
          </cell>
          <cell r="CB315">
            <v>29.36</v>
          </cell>
          <cell r="CC315" t="str">
            <v>United Kingdom</v>
          </cell>
          <cell r="CD315" t="str">
            <v>Retail</v>
          </cell>
          <cell r="CE315">
            <v>18.18</v>
          </cell>
          <cell r="CF315" t="str">
            <v>United Kingdom</v>
          </cell>
          <cell r="CG315" t="str">
            <v>Office</v>
          </cell>
          <cell r="CH315">
            <v>31.31</v>
          </cell>
        </row>
        <row r="316">
          <cell r="A316">
            <v>18541</v>
          </cell>
          <cell r="B316" t="str">
            <v>LF EUROPIMMO</v>
          </cell>
          <cell r="C316" t="str">
            <v>LA FRANçAISE REM</v>
          </cell>
          <cell r="D316" t="str">
            <v>128 Boulevard Raspail</v>
          </cell>
          <cell r="E316">
            <v>75006</v>
          </cell>
          <cell r="F316" t="str">
            <v>Paris</v>
          </cell>
          <cell r="G316" t="str">
            <v>France</v>
          </cell>
          <cell r="J316" t="str">
            <v>http://www.la-francaise.com</v>
          </cell>
          <cell r="Q316" t="str">
            <v>France</v>
          </cell>
          <cell r="R316" t="str">
            <v>EUR</v>
          </cell>
          <cell r="S316" t="str">
            <v>IFRS</v>
          </cell>
          <cell r="T316" t="str">
            <v>Quarterly</v>
          </cell>
          <cell r="U316" t="str">
            <v>Quarterly</v>
          </cell>
          <cell r="V316" t="str">
            <v>Other - mark to market</v>
          </cell>
          <cell r="W316" t="str">
            <v>IFRS NAV</v>
          </cell>
          <cell r="Y316" t="str">
            <v>SCPI</v>
          </cell>
          <cell r="AC316" t="str">
            <v>Non-Listed Fund</v>
          </cell>
          <cell r="AD316" t="str">
            <v>Core</v>
          </cell>
          <cell r="AE316" t="str">
            <v>infinite</v>
          </cell>
          <cell r="AF316" t="str">
            <v>Open end</v>
          </cell>
          <cell r="AN316" t="str">
            <v>Institutional and Retail</v>
          </cell>
          <cell r="AO316" t="str">
            <v>&gt; 2</v>
          </cell>
          <cell r="AP316" t="str">
            <v>≥ 50%</v>
          </cell>
          <cell r="AQ316" t="str">
            <v>Europe</v>
          </cell>
          <cell r="AR316" t="str">
            <v>multi country</v>
          </cell>
          <cell r="AS316" t="str">
            <v>Europe</v>
          </cell>
          <cell r="AU316" t="str">
            <v>multi sector</v>
          </cell>
          <cell r="AY316">
            <v>2014</v>
          </cell>
          <cell r="BD316" t="str">
            <v>Yes</v>
          </cell>
          <cell r="BH316" t="str">
            <v>2019-09-30</v>
          </cell>
          <cell r="BJ316">
            <v>0</v>
          </cell>
          <cell r="BL316">
            <v>0</v>
          </cell>
          <cell r="BQ316">
            <v>24</v>
          </cell>
          <cell r="BS316">
            <v>0</v>
          </cell>
          <cell r="BW316" t="str">
            <v>France</v>
          </cell>
          <cell r="BX316" t="str">
            <v>Office</v>
          </cell>
          <cell r="BY316">
            <v>25.62</v>
          </cell>
          <cell r="BZ316" t="str">
            <v>Germany</v>
          </cell>
          <cell r="CA316" t="str">
            <v>Office</v>
          </cell>
          <cell r="CB316">
            <v>41.68</v>
          </cell>
          <cell r="CC316" t="str">
            <v>Germany</v>
          </cell>
          <cell r="CD316" t="str">
            <v>Retail</v>
          </cell>
          <cell r="CE316">
            <v>8.35</v>
          </cell>
          <cell r="CF316" t="str">
            <v>Germany</v>
          </cell>
          <cell r="CG316" t="str">
            <v>Residential</v>
          </cell>
          <cell r="CH316">
            <v>3.25</v>
          </cell>
          <cell r="CI316" t="str">
            <v>Netherlands</v>
          </cell>
          <cell r="CJ316" t="str">
            <v>Office</v>
          </cell>
          <cell r="CK316">
            <v>6.18</v>
          </cell>
          <cell r="CL316" t="str">
            <v>Ireland</v>
          </cell>
          <cell r="CM316" t="str">
            <v>Office</v>
          </cell>
          <cell r="CN316">
            <v>2.58</v>
          </cell>
          <cell r="CO316" t="str">
            <v>Belgium</v>
          </cell>
          <cell r="CP316" t="str">
            <v>Office</v>
          </cell>
          <cell r="CQ316">
            <v>12.34</v>
          </cell>
        </row>
        <row r="317">
          <cell r="A317">
            <v>479</v>
          </cell>
          <cell r="B317" t="str">
            <v>LF GRAND PARIS PATRIMOINE</v>
          </cell>
          <cell r="C317" t="str">
            <v>LA FRANCAISE REM</v>
          </cell>
          <cell r="D317" t="str">
            <v>128 Boulevard Raspail</v>
          </cell>
          <cell r="E317">
            <v>75006</v>
          </cell>
          <cell r="F317" t="str">
            <v>Paris</v>
          </cell>
          <cell r="G317" t="str">
            <v>France</v>
          </cell>
          <cell r="H317" t="str">
            <v>+33 (0)1 44 56 10 00</v>
          </cell>
          <cell r="I317" t="str">
            <v>+33 (0) 1 44 56 11 15</v>
          </cell>
          <cell r="J317" t="str">
            <v>http://www.lafrancaise-am.com</v>
          </cell>
          <cell r="K317" t="str">
            <v>Patrice Crete</v>
          </cell>
          <cell r="L317" t="str">
            <v>scpi@lafrancaise-am.com</v>
          </cell>
          <cell r="M317" t="str">
            <v>+33 (0)1 44 56 10 00</v>
          </cell>
          <cell r="N317" t="str">
            <v>Marc-Olivier Penin</v>
          </cell>
          <cell r="O317" t="str">
            <v>mopenin@lafrancaise-am.com</v>
          </cell>
          <cell r="P317" t="str">
            <v>+33 (0)1 44 56 10 00</v>
          </cell>
          <cell r="Q317" t="str">
            <v>France</v>
          </cell>
          <cell r="R317" t="str">
            <v>EUR</v>
          </cell>
          <cell r="S317" t="str">
            <v>IFRS</v>
          </cell>
          <cell r="T317" t="str">
            <v>Quarterly</v>
          </cell>
          <cell r="U317" t="str">
            <v>Annually</v>
          </cell>
          <cell r="V317" t="str">
            <v>Other - mark to market</v>
          </cell>
          <cell r="X317" t="str">
            <v>Société Deloitte et Associés</v>
          </cell>
          <cell r="Y317" t="str">
            <v>SCPI</v>
          </cell>
          <cell r="AB317">
            <v>0</v>
          </cell>
          <cell r="AC317" t="str">
            <v>Non-Listed Fund</v>
          </cell>
          <cell r="AD317" t="str">
            <v>Core</v>
          </cell>
          <cell r="AE317" t="str">
            <v>infinite</v>
          </cell>
          <cell r="AF317" t="str">
            <v>Open end</v>
          </cell>
          <cell r="AG317">
            <v>5</v>
          </cell>
          <cell r="AH317">
            <v>5.2</v>
          </cell>
          <cell r="AI317" t="str">
            <v>Net</v>
          </cell>
          <cell r="AJ317" t="str">
            <v>none</v>
          </cell>
          <cell r="AK317">
            <v>5.2</v>
          </cell>
          <cell r="AM317" t="str">
            <v>≤ 40%</v>
          </cell>
          <cell r="AN317" t="str">
            <v>Institutional</v>
          </cell>
          <cell r="AO317" t="str">
            <v>&gt; 2</v>
          </cell>
          <cell r="AP317" t="str">
            <v>≥ 50%</v>
          </cell>
          <cell r="AQ317" t="str">
            <v>Europe</v>
          </cell>
          <cell r="AR317" t="str">
            <v>single country</v>
          </cell>
          <cell r="AT317" t="str">
            <v>France</v>
          </cell>
          <cell r="AU317" t="str">
            <v>single sector</v>
          </cell>
          <cell r="AV317" t="str">
            <v>Office</v>
          </cell>
          <cell r="AY317">
            <v>1999</v>
          </cell>
          <cell r="AZ317">
            <v>2089</v>
          </cell>
          <cell r="BH317" t="str">
            <v>2018-12-31</v>
          </cell>
          <cell r="BI317">
            <v>837998793</v>
          </cell>
          <cell r="BJ317">
            <v>837998793</v>
          </cell>
          <cell r="BK317">
            <v>720976527</v>
          </cell>
          <cell r="BL317">
            <v>720976527</v>
          </cell>
          <cell r="BM317">
            <v>16.53</v>
          </cell>
          <cell r="BQ317">
            <v>64</v>
          </cell>
          <cell r="BS317">
            <v>0</v>
          </cell>
          <cell r="BW317" t="str">
            <v>France</v>
          </cell>
          <cell r="BX317" t="str">
            <v>Office</v>
          </cell>
          <cell r="BY317">
            <v>96.04</v>
          </cell>
          <cell r="BZ317" t="str">
            <v>France</v>
          </cell>
          <cell r="CA317" t="str">
            <v>Industrial / Logistics</v>
          </cell>
          <cell r="CB317">
            <v>0.97</v>
          </cell>
          <cell r="CC317" t="str">
            <v>France</v>
          </cell>
          <cell r="CD317" t="str">
            <v>Other</v>
          </cell>
          <cell r="CE317">
            <v>2.99</v>
          </cell>
        </row>
        <row r="318">
          <cell r="A318">
            <v>19643</v>
          </cell>
          <cell r="B318" t="str">
            <v>LF RéSIDENCES SENIORS</v>
          </cell>
          <cell r="C318" t="str">
            <v>LA FRANçAISE REAL ESTATE MANAGERS</v>
          </cell>
          <cell r="D318" t="str">
            <v xml:space="preserve">128 Boulevard Raspail </v>
          </cell>
          <cell r="E318">
            <v>75006</v>
          </cell>
          <cell r="F318" t="str">
            <v>Paris</v>
          </cell>
          <cell r="G318" t="str">
            <v>France</v>
          </cell>
          <cell r="J318" t="str">
            <v>https://www.la-francaise.com/</v>
          </cell>
          <cell r="Q318" t="str">
            <v>France</v>
          </cell>
          <cell r="R318" t="str">
            <v>EUR</v>
          </cell>
          <cell r="T318" t="str">
            <v>Quarterly</v>
          </cell>
          <cell r="U318" t="str">
            <v>Quarterly</v>
          </cell>
          <cell r="Y318" t="str">
            <v>Real Estate Fund</v>
          </cell>
          <cell r="Z318" t="str">
            <v>No</v>
          </cell>
          <cell r="AB318">
            <v>0</v>
          </cell>
          <cell r="AC318" t="str">
            <v>Non-Listed Fund</v>
          </cell>
          <cell r="AD318" t="str">
            <v>Core</v>
          </cell>
          <cell r="AE318" t="str">
            <v>finite</v>
          </cell>
          <cell r="AF318" t="str">
            <v>Closed end</v>
          </cell>
          <cell r="AG318">
            <v>6.3</v>
          </cell>
          <cell r="AH318">
            <v>7.6</v>
          </cell>
          <cell r="AI318" t="str">
            <v>Net</v>
          </cell>
          <cell r="AK318">
            <v>5</v>
          </cell>
          <cell r="AM318" t="str">
            <v>≤ 40%</v>
          </cell>
          <cell r="AN318" t="str">
            <v>Institutional</v>
          </cell>
          <cell r="AO318" t="str">
            <v>&gt; 2</v>
          </cell>
          <cell r="AP318" t="str">
            <v>≥ 50%</v>
          </cell>
          <cell r="AQ318" t="str">
            <v>Europe</v>
          </cell>
          <cell r="AR318" t="str">
            <v>single country</v>
          </cell>
          <cell r="AT318" t="str">
            <v>France</v>
          </cell>
          <cell r="AU318" t="str">
            <v>single sector</v>
          </cell>
          <cell r="AV318" t="str">
            <v>Aged care</v>
          </cell>
          <cell r="AW318">
            <v>200000000</v>
          </cell>
          <cell r="AY318">
            <v>2017</v>
          </cell>
          <cell r="AZ318">
            <v>2031</v>
          </cell>
          <cell r="BA318" t="str">
            <v>Yes</v>
          </cell>
          <cell r="BB318" t="str">
            <v>No</v>
          </cell>
          <cell r="BD318" t="str">
            <v>Yes</v>
          </cell>
        </row>
        <row r="319">
          <cell r="A319">
            <v>312</v>
          </cell>
          <cell r="B319" t="str">
            <v>LIME PROPERTY FUND UNIT TRUST</v>
          </cell>
          <cell r="C319" t="str">
            <v>AVIVA INVESTORS</v>
          </cell>
          <cell r="D319" t="str">
            <v>1 Poultry</v>
          </cell>
          <cell r="E319" t="str">
            <v>EC2R 8EJ</v>
          </cell>
          <cell r="F319" t="str">
            <v>London</v>
          </cell>
          <cell r="G319" t="str">
            <v>United Kingdom</v>
          </cell>
          <cell r="H319" t="str">
            <v>+44 (0) 20 7809 6000</v>
          </cell>
          <cell r="I319" t="str">
            <v>+44 (0) 20 7809 6816</v>
          </cell>
          <cell r="J319" t="str">
            <v>http://www.avivainvestors.com</v>
          </cell>
          <cell r="K319" t="str">
            <v>James Allum</v>
          </cell>
          <cell r="L319" t="str">
            <v>james.allum@avivainvestors.com</v>
          </cell>
          <cell r="M319" t="str">
            <v>+44 (0) 20 7809 8288</v>
          </cell>
          <cell r="N319" t="str">
            <v>Renos Booth</v>
          </cell>
          <cell r="O319" t="str">
            <v>renos.booth@avivainvestors.com</v>
          </cell>
          <cell r="P319" t="str">
            <v>+44 (0) 20 7809 6826</v>
          </cell>
          <cell r="Q319" t="str">
            <v>Jersey</v>
          </cell>
          <cell r="R319" t="str">
            <v>GBP</v>
          </cell>
          <cell r="S319" t="str">
            <v>Local GAAP</v>
          </cell>
          <cell r="T319" t="str">
            <v>Quarterly</v>
          </cell>
          <cell r="U319" t="str">
            <v>Monthly</v>
          </cell>
          <cell r="X319" t="str">
            <v>Ernst &amp; Young</v>
          </cell>
          <cell r="Y319" t="str">
            <v>Jersey Property Unit Trust</v>
          </cell>
          <cell r="Z319" t="str">
            <v>No</v>
          </cell>
          <cell r="AB319">
            <v>0</v>
          </cell>
          <cell r="AC319" t="str">
            <v>Non-Listed Fund</v>
          </cell>
          <cell r="AD319" t="str">
            <v>Core</v>
          </cell>
          <cell r="AE319" t="str">
            <v>infinite</v>
          </cell>
          <cell r="AF319" t="str">
            <v>Open end</v>
          </cell>
          <cell r="AJ319" t="str">
            <v>Composite index 50/50 FTSE Gilts Indices 5-15yrs/15yrs+</v>
          </cell>
          <cell r="AN319" t="str">
            <v>Institutional</v>
          </cell>
          <cell r="AP319" t="str">
            <v>≥ 50%</v>
          </cell>
          <cell r="AQ319" t="str">
            <v>Europe</v>
          </cell>
          <cell r="AR319" t="str">
            <v>single country</v>
          </cell>
          <cell r="AT319" t="str">
            <v>United Kingdom</v>
          </cell>
          <cell r="AU319" t="str">
            <v>multi sector</v>
          </cell>
          <cell r="AW319">
            <v>733220000</v>
          </cell>
          <cell r="AX319">
            <v>733220000</v>
          </cell>
          <cell r="AY319">
            <v>2004</v>
          </cell>
          <cell r="BH319" t="str">
            <v>2010-12-31</v>
          </cell>
          <cell r="BI319">
            <v>732000000</v>
          </cell>
          <cell r="BJ319">
            <v>854610000</v>
          </cell>
          <cell r="BK319">
            <v>732000000</v>
          </cell>
          <cell r="BL319">
            <v>854610000</v>
          </cell>
          <cell r="BP319">
            <v>47</v>
          </cell>
          <cell r="BQ319">
            <v>42</v>
          </cell>
          <cell r="BR319">
            <v>732000000</v>
          </cell>
          <cell r="BS319">
            <v>849120000</v>
          </cell>
          <cell r="BU319">
            <v>0</v>
          </cell>
          <cell r="BV319" t="str">
            <v>Yes</v>
          </cell>
        </row>
        <row r="320">
          <cell r="A320">
            <v>19329</v>
          </cell>
          <cell r="B320" t="str">
            <v>LODZ SHOPINVEST KG</v>
          </cell>
          <cell r="C320" t="str">
            <v>DWS GRUNDBESITZ GMBH</v>
          </cell>
          <cell r="D320" t="str">
            <v>Mainzer Landstr. 11-17</v>
          </cell>
          <cell r="E320" t="str">
            <v xml:space="preserve">60329 </v>
          </cell>
          <cell r="F320" t="str">
            <v>Frankfurt am Main</v>
          </cell>
          <cell r="G320" t="str">
            <v>Germany</v>
          </cell>
          <cell r="K320" t="str">
            <v>Herbert Knötgen</v>
          </cell>
          <cell r="L320" t="str">
            <v>herbert.knoetgen@dws.com</v>
          </cell>
          <cell r="M320" t="str">
            <v>+49 (69) 910 - 14935</v>
          </cell>
          <cell r="Q320" t="str">
            <v>Germany</v>
          </cell>
          <cell r="R320" t="str">
            <v>EUR</v>
          </cell>
          <cell r="S320" t="str">
            <v>HGB</v>
          </cell>
          <cell r="T320" t="str">
            <v>Annually</v>
          </cell>
          <cell r="U320" t="str">
            <v>Annually</v>
          </cell>
          <cell r="V320" t="str">
            <v>ImmoWertV</v>
          </cell>
          <cell r="W320" t="str">
            <v>KAGB</v>
          </cell>
          <cell r="X320" t="str">
            <v>BDO</v>
          </cell>
          <cell r="Y320" t="str">
            <v>Publikumsfonds</v>
          </cell>
          <cell r="Z320" t="str">
            <v>No</v>
          </cell>
          <cell r="AC320" t="str">
            <v>Non-Listed Fund</v>
          </cell>
          <cell r="AD320" t="str">
            <v>Core</v>
          </cell>
          <cell r="AE320" t="str">
            <v>finite</v>
          </cell>
          <cell r="AF320" t="str">
            <v>Closed end</v>
          </cell>
          <cell r="AN320" t="str">
            <v>Retail</v>
          </cell>
          <cell r="AO320" t="str">
            <v>&gt; 2</v>
          </cell>
          <cell r="AP320" t="str">
            <v>&lt; 50%</v>
          </cell>
          <cell r="AQ320" t="str">
            <v>Europe</v>
          </cell>
          <cell r="AR320" t="str">
            <v>single country</v>
          </cell>
          <cell r="AT320" t="str">
            <v>Poland</v>
          </cell>
          <cell r="AU320" t="str">
            <v>single sector</v>
          </cell>
          <cell r="AV320" t="str">
            <v>Retail</v>
          </cell>
          <cell r="AY320">
            <v>2002</v>
          </cell>
          <cell r="BH320" t="str">
            <v>2018-12-31</v>
          </cell>
          <cell r="BI320">
            <v>137100000</v>
          </cell>
          <cell r="BJ320">
            <v>137100000</v>
          </cell>
          <cell r="BK320">
            <v>77262000</v>
          </cell>
          <cell r="BL320">
            <v>77262000</v>
          </cell>
          <cell r="BM320">
            <v>43.22</v>
          </cell>
          <cell r="BN320" t="str">
            <v>Yes</v>
          </cell>
          <cell r="BO320" t="str">
            <v>External</v>
          </cell>
          <cell r="BP320">
            <v>0</v>
          </cell>
          <cell r="BQ320">
            <v>1</v>
          </cell>
          <cell r="BS320">
            <v>0</v>
          </cell>
          <cell r="BV320" t="str">
            <v>No</v>
          </cell>
          <cell r="BW320" t="str">
            <v>Poland</v>
          </cell>
          <cell r="BX320" t="str">
            <v>Retail</v>
          </cell>
          <cell r="BY320">
            <v>100</v>
          </cell>
        </row>
        <row r="321">
          <cell r="A321">
            <v>314</v>
          </cell>
          <cell r="B321" t="str">
            <v>LOGISTICS AND DISTRIBUTION</v>
          </cell>
          <cell r="C321" t="str">
            <v>NORFIN</v>
          </cell>
          <cell r="D321" t="str">
            <v>Avenida da Republica 35-4º</v>
          </cell>
          <cell r="E321" t="str">
            <v>1050-186</v>
          </cell>
          <cell r="F321" t="str">
            <v>Lisbon</v>
          </cell>
          <cell r="G321" t="str">
            <v>Portugal</v>
          </cell>
          <cell r="H321" t="str">
            <v>+351 21 318 25 20</v>
          </cell>
          <cell r="I321" t="str">
            <v>+351 21 318 25 29</v>
          </cell>
          <cell r="J321" t="str">
            <v>http://www.norfin.eu</v>
          </cell>
          <cell r="K321" t="str">
            <v>Nuno Ravara</v>
          </cell>
          <cell r="L321" t="str">
            <v>nravara@norfin.pt</v>
          </cell>
          <cell r="M321" t="str">
            <v>+351 21 318 25 20</v>
          </cell>
          <cell r="N321" t="str">
            <v>Nuno Ravara</v>
          </cell>
          <cell r="O321" t="str">
            <v>nravara@norfin.pt</v>
          </cell>
          <cell r="P321" t="str">
            <v>+351 21 318 25 29</v>
          </cell>
          <cell r="Q321" t="str">
            <v>Portugal</v>
          </cell>
          <cell r="R321" t="str">
            <v>EUR</v>
          </cell>
          <cell r="T321" t="str">
            <v>Monthly</v>
          </cell>
          <cell r="U321" t="str">
            <v>Annually</v>
          </cell>
          <cell r="V321" t="str">
            <v>RICS</v>
          </cell>
          <cell r="X321" t="str">
            <v>Deloitte</v>
          </cell>
          <cell r="Y321" t="str">
            <v>Real Estate Fund</v>
          </cell>
          <cell r="AA321" t="str">
            <v>Yes</v>
          </cell>
          <cell r="AB321">
            <v>0</v>
          </cell>
          <cell r="AC321" t="str">
            <v>Non-Listed Fund</v>
          </cell>
          <cell r="AD321" t="str">
            <v>Core</v>
          </cell>
          <cell r="AE321" t="str">
            <v>finite</v>
          </cell>
          <cell r="AF321" t="str">
            <v>Closed end</v>
          </cell>
          <cell r="AG321">
            <v>9</v>
          </cell>
          <cell r="AH321">
            <v>10</v>
          </cell>
          <cell r="AI321" t="str">
            <v>Net</v>
          </cell>
          <cell r="AJ321" t="str">
            <v>IPD Portugal Index</v>
          </cell>
          <cell r="AK321">
            <v>4</v>
          </cell>
          <cell r="AL321">
            <v>10</v>
          </cell>
          <cell r="AM321" t="str">
            <v>≤ 40%</v>
          </cell>
          <cell r="AN321" t="str">
            <v>Institutional</v>
          </cell>
          <cell r="AO321" t="str">
            <v>&gt; 2</v>
          </cell>
          <cell r="AP321" t="str">
            <v>≥ 50%</v>
          </cell>
          <cell r="AQ321" t="str">
            <v>Europe</v>
          </cell>
          <cell r="AR321" t="str">
            <v>multi country</v>
          </cell>
          <cell r="AS321" t="str">
            <v>Southern Europe</v>
          </cell>
          <cell r="AU321" t="str">
            <v>single sector</v>
          </cell>
          <cell r="AV321" t="str">
            <v>Industrial / Logistics</v>
          </cell>
          <cell r="AY321">
            <v>2003</v>
          </cell>
          <cell r="AZ321">
            <v>2013</v>
          </cell>
          <cell r="BA321" t="str">
            <v>Yes</v>
          </cell>
          <cell r="BB321" t="str">
            <v>No</v>
          </cell>
          <cell r="BC321" t="str">
            <v>5 years</v>
          </cell>
          <cell r="BH321" t="str">
            <v>2018-03-31</v>
          </cell>
          <cell r="BI321">
            <v>38668136.829999998</v>
          </cell>
          <cell r="BJ321">
            <v>38668136.829999998</v>
          </cell>
          <cell r="BK321">
            <v>23638101.379999999</v>
          </cell>
          <cell r="BL321">
            <v>23638101.379999999</v>
          </cell>
          <cell r="BM321">
            <v>0</v>
          </cell>
          <cell r="BN321" t="str">
            <v>No</v>
          </cell>
          <cell r="BO321" t="str">
            <v>External</v>
          </cell>
          <cell r="BQ321">
            <v>8</v>
          </cell>
          <cell r="BR321">
            <v>59794000</v>
          </cell>
          <cell r="BS321">
            <v>59794000</v>
          </cell>
          <cell r="BT321">
            <v>59794000</v>
          </cell>
          <cell r="BU321">
            <v>59794000</v>
          </cell>
          <cell r="BV321" t="str">
            <v>No</v>
          </cell>
          <cell r="BW321" t="str">
            <v>Portugal</v>
          </cell>
          <cell r="BX321" t="str">
            <v>Industrial / Logistics</v>
          </cell>
          <cell r="BY321">
            <v>100</v>
          </cell>
        </row>
        <row r="322">
          <cell r="A322">
            <v>622</v>
          </cell>
          <cell r="B322" t="str">
            <v>LOGISTIS</v>
          </cell>
          <cell r="C322" t="str">
            <v>AEW EUROPE</v>
          </cell>
          <cell r="D322" t="str">
            <v>8-12 rue des Pirogues de Bercy</v>
          </cell>
          <cell r="E322">
            <v>75012</v>
          </cell>
          <cell r="F322" t="str">
            <v>Paris</v>
          </cell>
          <cell r="G322" t="str">
            <v>France</v>
          </cell>
          <cell r="H322" t="str">
            <v>+33(0)178409340</v>
          </cell>
          <cell r="I322" t="str">
            <v>+33(0)178409340</v>
          </cell>
          <cell r="J322" t="str">
            <v>http://www.aeweurope.com</v>
          </cell>
          <cell r="K322" t="str">
            <v>Remy Vertupier</v>
          </cell>
          <cell r="L322" t="str">
            <v>remy.vertupier@aeweurope.com</v>
          </cell>
          <cell r="M322">
            <v>33178409423</v>
          </cell>
          <cell r="N322" t="str">
            <v>Schalk Visser</v>
          </cell>
          <cell r="O322" t="str">
            <v>schalk.visser@aeweurope.com</v>
          </cell>
          <cell r="P322" t="str">
            <v>+33(0)178409340</v>
          </cell>
          <cell r="Q322" t="str">
            <v>Luxembourg</v>
          </cell>
          <cell r="R322" t="str">
            <v>EUR</v>
          </cell>
          <cell r="S322" t="str">
            <v>IFRS</v>
          </cell>
          <cell r="T322" t="str">
            <v>Quarterly</v>
          </cell>
          <cell r="U322" t="str">
            <v>Quarterly</v>
          </cell>
          <cell r="V322" t="str">
            <v>RICS</v>
          </cell>
          <cell r="W322" t="str">
            <v>INREV NAV</v>
          </cell>
          <cell r="X322" t="str">
            <v>Mazars</v>
          </cell>
          <cell r="Y322" t="str">
            <v>Real Estate Fund</v>
          </cell>
          <cell r="Z322" t="str">
            <v>Yes</v>
          </cell>
          <cell r="AA322" t="str">
            <v>Yes</v>
          </cell>
          <cell r="AB322">
            <v>2</v>
          </cell>
          <cell r="AC322" t="str">
            <v>Non-Listed Fund</v>
          </cell>
          <cell r="AD322" t="str">
            <v>Core</v>
          </cell>
          <cell r="AE322" t="str">
            <v>finite</v>
          </cell>
          <cell r="AF322" t="str">
            <v>Closed end</v>
          </cell>
          <cell r="AG322">
            <v>8</v>
          </cell>
          <cell r="AH322">
            <v>10</v>
          </cell>
          <cell r="AI322" t="str">
            <v>Net</v>
          </cell>
          <cell r="AJ322" t="str">
            <v>IPD</v>
          </cell>
          <cell r="AK322">
            <v>7</v>
          </cell>
          <cell r="AL322">
            <v>40</v>
          </cell>
          <cell r="AM322" t="str">
            <v>&gt; 40% - ≤ 60%</v>
          </cell>
          <cell r="AN322" t="str">
            <v>Institutional</v>
          </cell>
          <cell r="AO322" t="str">
            <v>&gt; 2</v>
          </cell>
          <cell r="AP322" t="str">
            <v>≥ 50%</v>
          </cell>
          <cell r="AQ322" t="str">
            <v>Europe</v>
          </cell>
          <cell r="AR322" t="str">
            <v>multi country</v>
          </cell>
          <cell r="AS322" t="str">
            <v>Europe</v>
          </cell>
          <cell r="AU322" t="str">
            <v>single sector</v>
          </cell>
          <cell r="AV322" t="str">
            <v>Industrial / Logistics</v>
          </cell>
          <cell r="AW322">
            <v>2700000000</v>
          </cell>
          <cell r="AX322">
            <v>4000000000</v>
          </cell>
          <cell r="AY322">
            <v>2011</v>
          </cell>
          <cell r="AZ322">
            <v>2026</v>
          </cell>
          <cell r="BA322" t="str">
            <v>Yes</v>
          </cell>
          <cell r="BB322" t="str">
            <v>Yes</v>
          </cell>
          <cell r="BC322" t="str">
            <v>5+2</v>
          </cell>
          <cell r="BE322" t="str">
            <v>≥ 60%</v>
          </cell>
          <cell r="BF322" t="str">
            <v>&gt; 15% - ≤ 40%</v>
          </cell>
          <cell r="BH322" t="str">
            <v>2020-12-31</v>
          </cell>
          <cell r="BI322">
            <v>4133268556</v>
          </cell>
          <cell r="BJ322">
            <v>4133268556</v>
          </cell>
          <cell r="BK322">
            <v>2716338439</v>
          </cell>
          <cell r="BL322">
            <v>2716338439</v>
          </cell>
          <cell r="BM322">
            <v>23</v>
          </cell>
          <cell r="BN322" t="str">
            <v>Yes</v>
          </cell>
          <cell r="BO322" t="str">
            <v>External</v>
          </cell>
          <cell r="BP322">
            <v>21</v>
          </cell>
          <cell r="BQ322">
            <v>104</v>
          </cell>
          <cell r="BR322">
            <v>2297910069</v>
          </cell>
          <cell r="BS322">
            <v>2297910069</v>
          </cell>
          <cell r="BT322">
            <v>1939998410</v>
          </cell>
          <cell r="BU322">
            <v>1939998410</v>
          </cell>
          <cell r="BV322" t="str">
            <v>No</v>
          </cell>
          <cell r="BW322" t="str">
            <v>France</v>
          </cell>
          <cell r="BX322" t="str">
            <v>Industrial / Logistics</v>
          </cell>
          <cell r="BY322">
            <v>61</v>
          </cell>
          <cell r="BZ322" t="str">
            <v>Germany</v>
          </cell>
          <cell r="CA322" t="str">
            <v>Industrial / Logistics</v>
          </cell>
          <cell r="CB322">
            <v>16.5</v>
          </cell>
          <cell r="CC322" t="str">
            <v>Italy</v>
          </cell>
          <cell r="CD322" t="str">
            <v>Industrial / Logistics</v>
          </cell>
          <cell r="CE322">
            <v>6.4</v>
          </cell>
          <cell r="CF322" t="str">
            <v>Netherlands</v>
          </cell>
          <cell r="CG322" t="str">
            <v>Industrial / Logistics</v>
          </cell>
          <cell r="CH322">
            <v>5.8</v>
          </cell>
          <cell r="CI322" t="str">
            <v>Poland</v>
          </cell>
          <cell r="CJ322" t="str">
            <v>Industrial / Logistics</v>
          </cell>
          <cell r="CK322">
            <v>6.9</v>
          </cell>
          <cell r="CL322" t="str">
            <v>Belgium</v>
          </cell>
          <cell r="CM322" t="str">
            <v>Industrial / Logistics</v>
          </cell>
          <cell r="CN322">
            <v>0.1</v>
          </cell>
          <cell r="CO322" t="str">
            <v>Czech Republic</v>
          </cell>
          <cell r="CP322" t="str">
            <v>Industrial / Logistics</v>
          </cell>
          <cell r="CQ322">
            <v>3.3</v>
          </cell>
        </row>
        <row r="323">
          <cell r="A323">
            <v>19557</v>
          </cell>
          <cell r="B323" t="str">
            <v>LONG HARBOUR EURO SECURED INCOME I FUND</v>
          </cell>
          <cell r="C323" t="str">
            <v>LONG HARBOUR LIMITED</v>
          </cell>
          <cell r="D323" t="str">
            <v>33 Wigmore Street</v>
          </cell>
          <cell r="E323" t="str">
            <v>w1u 1qx</v>
          </cell>
          <cell r="F323" t="str">
            <v>London</v>
          </cell>
          <cell r="G323" t="str">
            <v>United Kingdom</v>
          </cell>
          <cell r="Q323" t="str">
            <v>Luxembourg</v>
          </cell>
          <cell r="R323" t="str">
            <v>EUR</v>
          </cell>
          <cell r="S323" t="str">
            <v>IFRS</v>
          </cell>
          <cell r="T323" t="str">
            <v>Quarterly</v>
          </cell>
          <cell r="U323" t="str">
            <v>Quarterly</v>
          </cell>
          <cell r="V323" t="str">
            <v>RICS</v>
          </cell>
          <cell r="W323" t="str">
            <v>INREV NAV</v>
          </cell>
          <cell r="Y323" t="str">
            <v>Real Estate Fund</v>
          </cell>
          <cell r="Z323" t="str">
            <v>Yes</v>
          </cell>
          <cell r="AB323">
            <v>0</v>
          </cell>
          <cell r="AC323" t="str">
            <v>Non-Listed Fund</v>
          </cell>
          <cell r="AD323" t="str">
            <v>Core</v>
          </cell>
          <cell r="AE323" t="str">
            <v>infinite</v>
          </cell>
          <cell r="AF323" t="str">
            <v>Open end</v>
          </cell>
          <cell r="AM323" t="str">
            <v>≤ 40%</v>
          </cell>
          <cell r="AN323" t="str">
            <v>Institutional</v>
          </cell>
          <cell r="AO323" t="str">
            <v>&gt; 2</v>
          </cell>
          <cell r="AP323" t="str">
            <v>≥ 50%</v>
          </cell>
          <cell r="AQ323" t="str">
            <v>Europe</v>
          </cell>
          <cell r="AR323" t="str">
            <v>multi country</v>
          </cell>
          <cell r="AS323" t="str">
            <v>Europe</v>
          </cell>
          <cell r="AU323" t="str">
            <v>single sector</v>
          </cell>
          <cell r="AV323" t="str">
            <v>Mixed</v>
          </cell>
          <cell r="AY323">
            <v>2019</v>
          </cell>
          <cell r="BD323" t="str">
            <v>No</v>
          </cell>
          <cell r="BE323" t="str">
            <v>≥ 60%</v>
          </cell>
          <cell r="BH323" t="str">
            <v>2020-12-31</v>
          </cell>
          <cell r="BI323">
            <v>44261688</v>
          </cell>
          <cell r="BJ323">
            <v>44261688</v>
          </cell>
          <cell r="BK323">
            <v>42466048</v>
          </cell>
          <cell r="BL323">
            <v>42466048</v>
          </cell>
          <cell r="BM323">
            <v>0</v>
          </cell>
          <cell r="BN323" t="str">
            <v>No</v>
          </cell>
          <cell r="BO323" t="str">
            <v>External</v>
          </cell>
          <cell r="BP323">
            <v>1</v>
          </cell>
          <cell r="BQ323">
            <v>1</v>
          </cell>
          <cell r="BR323">
            <v>50000000</v>
          </cell>
          <cell r="BS323">
            <v>50000000</v>
          </cell>
          <cell r="BT323">
            <v>43000101</v>
          </cell>
          <cell r="BU323">
            <v>43000101</v>
          </cell>
          <cell r="BV323" t="str">
            <v>No</v>
          </cell>
          <cell r="BW323" t="str">
            <v>Ireland</v>
          </cell>
          <cell r="BX323" t="str">
            <v>Leisure</v>
          </cell>
          <cell r="BY323">
            <v>14</v>
          </cell>
        </row>
        <row r="324">
          <cell r="A324">
            <v>19142</v>
          </cell>
          <cell r="B324" t="str">
            <v>LONG HARBOUR INCOME FUND - A UNIT</v>
          </cell>
          <cell r="C324" t="str">
            <v>LONG HARBOUR</v>
          </cell>
          <cell r="D324" t="str">
            <v>33 Wigmore Street</v>
          </cell>
          <cell r="E324" t="str">
            <v>W1U 1QX</v>
          </cell>
          <cell r="F324" t="str">
            <v>London</v>
          </cell>
          <cell r="G324" t="str">
            <v>United Kingdom</v>
          </cell>
          <cell r="N324" t="str">
            <v>Tabitha Perry</v>
          </cell>
          <cell r="O324" t="str">
            <v>tjp@longharbour.co.uk</v>
          </cell>
          <cell r="Q324" t="str">
            <v>Guernsey</v>
          </cell>
          <cell r="R324" t="str">
            <v>GBP</v>
          </cell>
          <cell r="S324" t="str">
            <v>Local GAAP</v>
          </cell>
          <cell r="T324" t="str">
            <v>Annually</v>
          </cell>
          <cell r="U324" t="str">
            <v>Annually</v>
          </cell>
          <cell r="V324" t="str">
            <v>RICS</v>
          </cell>
          <cell r="W324" t="str">
            <v>INREV NAV</v>
          </cell>
          <cell r="X324" t="str">
            <v>KPMG</v>
          </cell>
          <cell r="Y324" t="str">
            <v>Unit trust</v>
          </cell>
          <cell r="Z324" t="str">
            <v>No</v>
          </cell>
          <cell r="AA324" t="str">
            <v>Yes</v>
          </cell>
          <cell r="AB324">
            <v>1</v>
          </cell>
          <cell r="AC324" t="str">
            <v>Non-Listed Fund</v>
          </cell>
          <cell r="AD324" t="str">
            <v>Core</v>
          </cell>
          <cell r="AE324" t="str">
            <v>finite</v>
          </cell>
          <cell r="AF324" t="str">
            <v>Closed end</v>
          </cell>
          <cell r="AG324">
            <v>8</v>
          </cell>
          <cell r="AH324">
            <v>12</v>
          </cell>
          <cell r="AI324" t="str">
            <v>Net</v>
          </cell>
          <cell r="AJ324" t="str">
            <v>N/A</v>
          </cell>
          <cell r="AK324">
            <v>4</v>
          </cell>
          <cell r="AL324">
            <v>40</v>
          </cell>
          <cell r="AM324" t="str">
            <v>≤ 40%</v>
          </cell>
          <cell r="AN324" t="str">
            <v>Institutional</v>
          </cell>
          <cell r="AO324" t="str">
            <v>&gt; 2</v>
          </cell>
          <cell r="AP324" t="str">
            <v>≥ 50%</v>
          </cell>
          <cell r="AQ324" t="str">
            <v>Europe</v>
          </cell>
          <cell r="AR324" t="str">
            <v>single country</v>
          </cell>
          <cell r="AT324" t="str">
            <v>United Kingdom</v>
          </cell>
          <cell r="AU324" t="str">
            <v>single sector</v>
          </cell>
          <cell r="AV324" t="str">
            <v>Residential</v>
          </cell>
          <cell r="AW324">
            <v>40000000</v>
          </cell>
          <cell r="AY324">
            <v>2013</v>
          </cell>
          <cell r="AZ324">
            <v>2020</v>
          </cell>
          <cell r="BA324" t="str">
            <v>Yes</v>
          </cell>
          <cell r="BB324" t="str">
            <v>Yes</v>
          </cell>
          <cell r="BD324" t="str">
            <v>Yes</v>
          </cell>
          <cell r="BE324" t="str">
            <v>&lt; 60%</v>
          </cell>
          <cell r="BF324" t="str">
            <v>≤ 15%</v>
          </cell>
          <cell r="BG324" t="str">
            <v>≤ 5%</v>
          </cell>
          <cell r="BH324" t="str">
            <v>2020-12-31</v>
          </cell>
          <cell r="BI324">
            <v>28975990</v>
          </cell>
          <cell r="BJ324">
            <v>32034379.521229051</v>
          </cell>
          <cell r="BK324">
            <v>20999539</v>
          </cell>
          <cell r="BL324">
            <v>23216021.33686721</v>
          </cell>
          <cell r="BM324">
            <v>42</v>
          </cell>
          <cell r="BN324" t="str">
            <v>No</v>
          </cell>
          <cell r="BO324" t="str">
            <v>Internal</v>
          </cell>
          <cell r="BP324">
            <v>10</v>
          </cell>
          <cell r="BQ324">
            <v>123</v>
          </cell>
          <cell r="BR324">
            <v>39100000</v>
          </cell>
          <cell r="BS324">
            <v>42930021.618610002</v>
          </cell>
          <cell r="BT324">
            <v>39100000</v>
          </cell>
          <cell r="BU324">
            <v>42930021.618610002</v>
          </cell>
          <cell r="BV324" t="str">
            <v>No</v>
          </cell>
          <cell r="BW324" t="str">
            <v>United Kingdom</v>
          </cell>
          <cell r="BX324" t="str">
            <v>Residential</v>
          </cell>
          <cell r="BY324">
            <v>85</v>
          </cell>
        </row>
        <row r="325">
          <cell r="A325">
            <v>19143</v>
          </cell>
          <cell r="B325" t="str">
            <v>LONG HARBOUR INCOME FUND - B UNIT</v>
          </cell>
          <cell r="C325" t="str">
            <v>LONG HARBOUR</v>
          </cell>
          <cell r="D325" t="str">
            <v>33 Wigmore Street</v>
          </cell>
          <cell r="E325" t="str">
            <v>W1U 1QX</v>
          </cell>
          <cell r="F325" t="str">
            <v>London</v>
          </cell>
          <cell r="G325" t="str">
            <v>United Kingdom</v>
          </cell>
          <cell r="N325" t="str">
            <v>Tabitha Perry</v>
          </cell>
          <cell r="O325" t="str">
            <v>tjp@longharbour.co.uk</v>
          </cell>
          <cell r="Q325" t="str">
            <v>Guernsey</v>
          </cell>
          <cell r="R325" t="str">
            <v>GBP</v>
          </cell>
          <cell r="S325" t="str">
            <v>Local GAAP</v>
          </cell>
          <cell r="T325" t="str">
            <v>Quarterly</v>
          </cell>
          <cell r="U325" t="str">
            <v>Annually</v>
          </cell>
          <cell r="V325" t="str">
            <v>RICS</v>
          </cell>
          <cell r="W325" t="str">
            <v>INREV NAV</v>
          </cell>
          <cell r="X325" t="str">
            <v>KPMG</v>
          </cell>
          <cell r="Y325" t="str">
            <v>Unit trust</v>
          </cell>
          <cell r="Z325" t="str">
            <v>No</v>
          </cell>
          <cell r="AA325" t="str">
            <v>Yes</v>
          </cell>
          <cell r="AB325">
            <v>1</v>
          </cell>
          <cell r="AC325" t="str">
            <v>Non-Listed Fund</v>
          </cell>
          <cell r="AD325" t="str">
            <v>Core</v>
          </cell>
          <cell r="AE325" t="str">
            <v>finite</v>
          </cell>
          <cell r="AF325" t="str">
            <v>Closed end</v>
          </cell>
          <cell r="AG325">
            <v>7.25</v>
          </cell>
          <cell r="AH325">
            <v>7.25</v>
          </cell>
          <cell r="AI325" t="str">
            <v>Net</v>
          </cell>
          <cell r="AJ325" t="str">
            <v>N/A</v>
          </cell>
          <cell r="AK325">
            <v>4</v>
          </cell>
          <cell r="AL325">
            <v>0</v>
          </cell>
          <cell r="AM325" t="str">
            <v>≤ 40%</v>
          </cell>
          <cell r="AN325" t="str">
            <v>Institutional</v>
          </cell>
          <cell r="AO325" t="str">
            <v>≤ 2</v>
          </cell>
          <cell r="AP325" t="str">
            <v>≥ 50%</v>
          </cell>
          <cell r="AQ325" t="str">
            <v>Europe</v>
          </cell>
          <cell r="AR325" t="str">
            <v>single country</v>
          </cell>
          <cell r="AT325" t="str">
            <v>United Kingdom</v>
          </cell>
          <cell r="AU325" t="str">
            <v>single sector</v>
          </cell>
          <cell r="AV325" t="str">
            <v>Residential</v>
          </cell>
          <cell r="AW325">
            <v>200000000</v>
          </cell>
          <cell r="AX325">
            <v>200000000</v>
          </cell>
          <cell r="AY325">
            <v>2016</v>
          </cell>
          <cell r="AZ325">
            <v>2031</v>
          </cell>
          <cell r="BA325" t="str">
            <v>Yes</v>
          </cell>
          <cell r="BB325" t="str">
            <v>Yes</v>
          </cell>
          <cell r="BD325" t="str">
            <v>Yes</v>
          </cell>
          <cell r="BE325" t="str">
            <v>≥ 60%</v>
          </cell>
          <cell r="BF325" t="str">
            <v>≤ 15%</v>
          </cell>
          <cell r="BG325" t="str">
            <v>≤ 5%</v>
          </cell>
          <cell r="BH325" t="str">
            <v>2020-12-31</v>
          </cell>
          <cell r="BI325">
            <v>158500861</v>
          </cell>
          <cell r="BJ325">
            <v>175230483.43527079</v>
          </cell>
          <cell r="BK325">
            <v>158500861</v>
          </cell>
          <cell r="BL325">
            <v>175230483.43527079</v>
          </cell>
          <cell r="BM325">
            <v>0</v>
          </cell>
          <cell r="BN325" t="str">
            <v>No</v>
          </cell>
          <cell r="BO325" t="str">
            <v>Internal</v>
          </cell>
          <cell r="BP325">
            <v>2</v>
          </cell>
          <cell r="BQ325">
            <v>5</v>
          </cell>
          <cell r="BR325">
            <v>200000000</v>
          </cell>
          <cell r="BS325">
            <v>219590903.41999999</v>
          </cell>
          <cell r="BT325">
            <v>152231692</v>
          </cell>
          <cell r="BU325">
            <v>167143473.8771759</v>
          </cell>
          <cell r="BV325" t="str">
            <v>No</v>
          </cell>
          <cell r="BW325" t="str">
            <v>United Kingdom</v>
          </cell>
          <cell r="BX325" t="str">
            <v>Residential</v>
          </cell>
          <cell r="BY325">
            <v>96</v>
          </cell>
        </row>
        <row r="326">
          <cell r="A326">
            <v>19144</v>
          </cell>
          <cell r="B326" t="str">
            <v>LONG HARBOUR INCOME FUND - C UNIT</v>
          </cell>
          <cell r="C326" t="str">
            <v>LONG HARBOUR</v>
          </cell>
          <cell r="D326" t="str">
            <v>33 Wigmore Street</v>
          </cell>
          <cell r="E326" t="str">
            <v>W1U 1QX</v>
          </cell>
          <cell r="F326" t="str">
            <v>London</v>
          </cell>
          <cell r="G326" t="str">
            <v>United Kingdom</v>
          </cell>
          <cell r="N326" t="str">
            <v>Tabitha Perry</v>
          </cell>
          <cell r="O326" t="str">
            <v>tjp@longharbour.co.uk</v>
          </cell>
          <cell r="Q326" t="str">
            <v>Guernsey</v>
          </cell>
          <cell r="R326" t="str">
            <v>GBP</v>
          </cell>
          <cell r="S326" t="str">
            <v>Local GAAP</v>
          </cell>
          <cell r="T326" t="str">
            <v>Annually</v>
          </cell>
          <cell r="U326" t="str">
            <v>Annually</v>
          </cell>
          <cell r="V326" t="str">
            <v>RICS</v>
          </cell>
          <cell r="W326" t="str">
            <v>INREV NAV</v>
          </cell>
          <cell r="X326" t="str">
            <v>KPMG</v>
          </cell>
          <cell r="Y326" t="str">
            <v>Unit trust</v>
          </cell>
          <cell r="Z326" t="str">
            <v>No</v>
          </cell>
          <cell r="AA326" t="str">
            <v>Yes</v>
          </cell>
          <cell r="AB326">
            <v>1</v>
          </cell>
          <cell r="AC326" t="str">
            <v>Non-Listed Fund</v>
          </cell>
          <cell r="AD326" t="str">
            <v>Core</v>
          </cell>
          <cell r="AE326" t="str">
            <v>finite</v>
          </cell>
          <cell r="AF326" t="str">
            <v>Closed end</v>
          </cell>
          <cell r="AG326">
            <v>7.25</v>
          </cell>
          <cell r="AH326">
            <v>7.25</v>
          </cell>
          <cell r="AI326" t="str">
            <v>Net</v>
          </cell>
          <cell r="AJ326" t="str">
            <v>N/A</v>
          </cell>
          <cell r="AK326">
            <v>4</v>
          </cell>
          <cell r="AL326">
            <v>0</v>
          </cell>
          <cell r="AM326" t="str">
            <v>≤ 40%</v>
          </cell>
          <cell r="AN326" t="str">
            <v>Institutional</v>
          </cell>
          <cell r="AO326" t="str">
            <v>&gt; 2</v>
          </cell>
          <cell r="AP326" t="str">
            <v>≥ 50%</v>
          </cell>
          <cell r="AQ326" t="str">
            <v>Europe</v>
          </cell>
          <cell r="AR326" t="str">
            <v>single country</v>
          </cell>
          <cell r="AT326" t="str">
            <v>United Kingdom</v>
          </cell>
          <cell r="AU326" t="str">
            <v>single sector</v>
          </cell>
          <cell r="AV326" t="str">
            <v>Residential</v>
          </cell>
          <cell r="AW326">
            <v>14000000</v>
          </cell>
          <cell r="AX326">
            <v>14000000</v>
          </cell>
          <cell r="AY326">
            <v>2016</v>
          </cell>
          <cell r="AZ326">
            <v>2031</v>
          </cell>
          <cell r="BA326" t="str">
            <v>Yes</v>
          </cell>
          <cell r="BB326" t="str">
            <v>Yes</v>
          </cell>
          <cell r="BD326" t="str">
            <v>Yes</v>
          </cell>
          <cell r="BE326" t="str">
            <v>&lt; 60%</v>
          </cell>
          <cell r="BF326" t="str">
            <v>≤ 15%</v>
          </cell>
          <cell r="BG326" t="str">
            <v>≤ 5%</v>
          </cell>
          <cell r="BH326" t="str">
            <v>2020-12-31</v>
          </cell>
          <cell r="BI326">
            <v>14653398</v>
          </cell>
          <cell r="BJ326">
            <v>16200050.89757481</v>
          </cell>
          <cell r="BK326">
            <v>13485029</v>
          </cell>
          <cell r="BL326">
            <v>14908361.606998749</v>
          </cell>
          <cell r="BM326">
            <v>0</v>
          </cell>
          <cell r="BN326" t="str">
            <v>No</v>
          </cell>
          <cell r="BO326" t="str">
            <v>Internal</v>
          </cell>
          <cell r="BP326">
            <v>2</v>
          </cell>
          <cell r="BQ326">
            <v>5</v>
          </cell>
          <cell r="BR326">
            <v>14000000</v>
          </cell>
          <cell r="BS326">
            <v>15371363.239399999</v>
          </cell>
          <cell r="BT326">
            <v>13312552</v>
          </cell>
          <cell r="BU326">
            <v>14616576.602528639</v>
          </cell>
          <cell r="BV326" t="str">
            <v>No</v>
          </cell>
          <cell r="BW326" t="str">
            <v>United Kingdom</v>
          </cell>
          <cell r="BX326" t="str">
            <v>Residential</v>
          </cell>
          <cell r="BY326">
            <v>94</v>
          </cell>
        </row>
        <row r="327">
          <cell r="A327">
            <v>19345</v>
          </cell>
          <cell r="B327" t="str">
            <v>LONG HARBOUR MULTI FAMILY VENTURE</v>
          </cell>
          <cell r="C327" t="str">
            <v>LONG HARBOUR</v>
          </cell>
          <cell r="D327" t="str">
            <v>33 Wigmore Street</v>
          </cell>
          <cell r="E327" t="str">
            <v>W1U 1QX</v>
          </cell>
          <cell r="F327" t="str">
            <v>London</v>
          </cell>
          <cell r="G327" t="str">
            <v>United Kingdom</v>
          </cell>
          <cell r="N327" t="str">
            <v>Tabitha Perry</v>
          </cell>
          <cell r="O327" t="str">
            <v>tjp@longharbour.co.uk</v>
          </cell>
          <cell r="Q327" t="str">
            <v>Guernsey</v>
          </cell>
          <cell r="R327" t="str">
            <v>GBP</v>
          </cell>
          <cell r="S327" t="str">
            <v>Local GAAP</v>
          </cell>
          <cell r="T327" t="str">
            <v>Annually</v>
          </cell>
          <cell r="U327" t="str">
            <v>Annually</v>
          </cell>
          <cell r="V327" t="str">
            <v>RICS</v>
          </cell>
          <cell r="W327" t="str">
            <v>INREV NAV</v>
          </cell>
          <cell r="X327" t="str">
            <v>KPMG</v>
          </cell>
          <cell r="Y327" t="str">
            <v>Unit trust</v>
          </cell>
          <cell r="Z327" t="str">
            <v>No</v>
          </cell>
          <cell r="AA327" t="str">
            <v>Yes</v>
          </cell>
          <cell r="AB327">
            <v>1</v>
          </cell>
          <cell r="AC327" t="str">
            <v>Non-Listed Fund</v>
          </cell>
          <cell r="AD327" t="str">
            <v>Opportunity</v>
          </cell>
          <cell r="AE327" t="str">
            <v>finite</v>
          </cell>
          <cell r="AF327" t="str">
            <v>Closed end</v>
          </cell>
          <cell r="AG327">
            <v>9</v>
          </cell>
          <cell r="AH327">
            <v>9</v>
          </cell>
          <cell r="AI327" t="str">
            <v>Net</v>
          </cell>
          <cell r="AJ327" t="str">
            <v>N/A</v>
          </cell>
          <cell r="AL327">
            <v>55</v>
          </cell>
          <cell r="AM327" t="str">
            <v>&gt; 40% - ≤ 60%</v>
          </cell>
          <cell r="AN327" t="str">
            <v>Institutional</v>
          </cell>
          <cell r="AO327" t="str">
            <v>&gt; 2</v>
          </cell>
          <cell r="AP327" t="str">
            <v>≥ 50%</v>
          </cell>
          <cell r="AQ327" t="str">
            <v>Europe</v>
          </cell>
          <cell r="AR327" t="str">
            <v>single country</v>
          </cell>
          <cell r="AT327" t="str">
            <v>United Kingdom</v>
          </cell>
          <cell r="AU327" t="str">
            <v>single sector</v>
          </cell>
          <cell r="AV327" t="str">
            <v>Development Residential</v>
          </cell>
          <cell r="AW327">
            <v>250000000</v>
          </cell>
          <cell r="AY327">
            <v>2019</v>
          </cell>
          <cell r="AZ327">
            <v>2039</v>
          </cell>
          <cell r="BA327" t="str">
            <v>Yes</v>
          </cell>
          <cell r="BB327" t="str">
            <v>No</v>
          </cell>
          <cell r="BC327" t="str">
            <v>2 years fixed</v>
          </cell>
          <cell r="BD327" t="str">
            <v>Yes</v>
          </cell>
          <cell r="BF327" t="str">
            <v>≤ 15%</v>
          </cell>
          <cell r="BG327" t="str">
            <v>&gt; 25%</v>
          </cell>
          <cell r="BH327" t="str">
            <v>2020-09-30</v>
          </cell>
          <cell r="BI327">
            <v>102049034</v>
          </cell>
          <cell r="BJ327">
            <v>112107750.679084</v>
          </cell>
          <cell r="BK327">
            <v>86674279</v>
          </cell>
          <cell r="BL327">
            <v>95217544.738555461</v>
          </cell>
          <cell r="BM327">
            <v>0</v>
          </cell>
          <cell r="BN327" t="str">
            <v>No</v>
          </cell>
          <cell r="BO327" t="str">
            <v>Internal</v>
          </cell>
          <cell r="BP327">
            <v>1</v>
          </cell>
          <cell r="BQ327">
            <v>2</v>
          </cell>
          <cell r="BR327">
            <v>250000000</v>
          </cell>
          <cell r="BS327">
            <v>274477589.52499998</v>
          </cell>
          <cell r="BT327">
            <v>88280045</v>
          </cell>
          <cell r="BU327">
            <v>96923575.819034114</v>
          </cell>
          <cell r="BV327" t="str">
            <v>No</v>
          </cell>
          <cell r="BW327" t="str">
            <v>United Kingdom</v>
          </cell>
          <cell r="BX327" t="str">
            <v>Development Residential</v>
          </cell>
          <cell r="BY327">
            <v>87</v>
          </cell>
        </row>
        <row r="328">
          <cell r="A328">
            <v>318</v>
          </cell>
          <cell r="B328" t="str">
            <v>LONG LEASE PROPERTY FUND</v>
          </cell>
          <cell r="C328" t="str">
            <v>ABERDEEN STANDARD INVESTMENTS</v>
          </cell>
          <cell r="D328" t="str">
            <v>1 George Street</v>
          </cell>
          <cell r="E328" t="str">
            <v>EH2 2LL</v>
          </cell>
          <cell r="F328" t="str">
            <v>Edinburgh</v>
          </cell>
          <cell r="G328" t="str">
            <v>United Kingdom</v>
          </cell>
          <cell r="H328" t="str">
            <v>+44 (0) 131 225 2345</v>
          </cell>
          <cell r="I328" t="str">
            <v>+44 (0) 131 245 2547</v>
          </cell>
          <cell r="J328" t="str">
            <v>http://www.aberdeenstandard.com</v>
          </cell>
          <cell r="K328" t="str">
            <v>Richard Marshall</v>
          </cell>
          <cell r="L328" t="str">
            <v>richard_marshall@standardlife.com</v>
          </cell>
          <cell r="M328" t="str">
            <v>+44 (0) 1312452823</v>
          </cell>
          <cell r="N328" t="str">
            <v>Robert Mattews</v>
          </cell>
          <cell r="O328" t="str">
            <v>robert.matthews@aberdeen-asset.com</v>
          </cell>
          <cell r="P328" t="str">
            <v xml:space="preserve">+44 2076 18 1582 </v>
          </cell>
          <cell r="Q328" t="str">
            <v>United Kingdom</v>
          </cell>
          <cell r="R328" t="str">
            <v>GBP</v>
          </cell>
          <cell r="S328" t="str">
            <v>Local GAAP</v>
          </cell>
          <cell r="T328" t="str">
            <v>Quarterly</v>
          </cell>
          <cell r="U328" t="str">
            <v>Quarterly</v>
          </cell>
          <cell r="V328" t="str">
            <v>RICS</v>
          </cell>
          <cell r="W328" t="str">
            <v>IFRS NAV</v>
          </cell>
          <cell r="X328" t="str">
            <v>PriceWaterhouseCoopers</v>
          </cell>
          <cell r="Y328" t="str">
            <v>Insurance linked pooled fund</v>
          </cell>
          <cell r="Z328" t="str">
            <v>No</v>
          </cell>
          <cell r="AA328" t="str">
            <v>No</v>
          </cell>
          <cell r="AB328">
            <v>0</v>
          </cell>
          <cell r="AC328" t="str">
            <v>Non-Listed Fund</v>
          </cell>
          <cell r="AD328" t="str">
            <v>Core</v>
          </cell>
          <cell r="AE328" t="str">
            <v>infinite</v>
          </cell>
          <cell r="AF328" t="str">
            <v>Open end</v>
          </cell>
          <cell r="AJ328" t="str">
            <v>FT British Government All Stocks +2.00% over rolling 5 years</v>
          </cell>
          <cell r="AN328" t="str">
            <v>Institutional</v>
          </cell>
          <cell r="AO328" t="str">
            <v>&gt; 2</v>
          </cell>
          <cell r="AP328" t="str">
            <v>≥ 50%</v>
          </cell>
          <cell r="AQ328" t="str">
            <v>Europe</v>
          </cell>
          <cell r="AR328" t="str">
            <v>single country</v>
          </cell>
          <cell r="AT328" t="str">
            <v>United Kingdom</v>
          </cell>
          <cell r="AU328" t="str">
            <v>multi sector</v>
          </cell>
          <cell r="AY328">
            <v>2003</v>
          </cell>
          <cell r="BA328" t="str">
            <v>No</v>
          </cell>
          <cell r="BH328" t="str">
            <v>2020-12-31</v>
          </cell>
          <cell r="BI328">
            <v>2678948518</v>
          </cell>
          <cell r="BJ328">
            <v>2961709109.6264911</v>
          </cell>
          <cell r="BK328">
            <v>2678948518</v>
          </cell>
          <cell r="BL328">
            <v>2961709109.6264911</v>
          </cell>
          <cell r="BM328">
            <v>0</v>
          </cell>
          <cell r="BN328" t="str">
            <v>Yes</v>
          </cell>
          <cell r="BO328" t="str">
            <v>External</v>
          </cell>
          <cell r="BP328">
            <v>74</v>
          </cell>
          <cell r="BQ328">
            <v>105</v>
          </cell>
          <cell r="BR328">
            <v>2678948518</v>
          </cell>
          <cell r="BS328">
            <v>2941363626.416451</v>
          </cell>
          <cell r="BT328">
            <v>2678948518</v>
          </cell>
          <cell r="BU328">
            <v>2941363626.416451</v>
          </cell>
          <cell r="BV328" t="str">
            <v>Yes</v>
          </cell>
          <cell r="BW328" t="str">
            <v>United Kingdom</v>
          </cell>
          <cell r="BX328" t="str">
            <v>Other</v>
          </cell>
          <cell r="BY328">
            <v>3.97</v>
          </cell>
          <cell r="BZ328" t="str">
            <v>United Kingdom</v>
          </cell>
          <cell r="CA328" t="str">
            <v>Health Care</v>
          </cell>
          <cell r="CB328">
            <v>3.1</v>
          </cell>
          <cell r="CC328" t="str">
            <v>United Kingdom</v>
          </cell>
          <cell r="CD328" t="str">
            <v>Parking</v>
          </cell>
          <cell r="CE328">
            <v>4</v>
          </cell>
          <cell r="CF328" t="str">
            <v>United Kingdom</v>
          </cell>
          <cell r="CG328" t="str">
            <v>Leisure</v>
          </cell>
          <cell r="CH328">
            <v>4.9000000000000004</v>
          </cell>
          <cell r="CI328" t="str">
            <v>United Kingdom</v>
          </cell>
          <cell r="CJ328" t="str">
            <v>Hotel</v>
          </cell>
          <cell r="CK328">
            <v>10.3</v>
          </cell>
          <cell r="CL328" t="str">
            <v>United Kingdom</v>
          </cell>
          <cell r="CM328" t="str">
            <v>Student Housing</v>
          </cell>
          <cell r="CN328">
            <v>9.6999999999999993</v>
          </cell>
          <cell r="CO328" t="str">
            <v>United Kingdom</v>
          </cell>
          <cell r="CP328" t="str">
            <v>Office</v>
          </cell>
          <cell r="CQ328">
            <v>24.49</v>
          </cell>
          <cell r="CR328" t="str">
            <v>United Kingdom</v>
          </cell>
          <cell r="CS328" t="str">
            <v>Industrial / Logistics</v>
          </cell>
          <cell r="CT328">
            <v>14.19</v>
          </cell>
          <cell r="CU328" t="str">
            <v>United Kingdom</v>
          </cell>
          <cell r="CV328" t="str">
            <v>Retail</v>
          </cell>
          <cell r="CW328">
            <v>22.27</v>
          </cell>
        </row>
        <row r="329">
          <cell r="A329">
            <v>17177</v>
          </cell>
          <cell r="B329" t="str">
            <v>LORDS LB BALTIC FUND I</v>
          </cell>
          <cell r="C329" t="str">
            <v>LORDS LB ASSET MANAGEMENT</v>
          </cell>
          <cell r="D329" t="str">
            <v>Jogailos 4</v>
          </cell>
          <cell r="F329" t="str">
            <v>Vilnius</v>
          </cell>
          <cell r="G329" t="str">
            <v>Lithuania</v>
          </cell>
          <cell r="H329" t="str">
            <v>+370 5 261 94 70</v>
          </cell>
          <cell r="J329" t="str">
            <v>http://www.lordslb.com</v>
          </cell>
          <cell r="K329" t="str">
            <v>Marius Zemaitis</v>
          </cell>
          <cell r="L329" t="str">
            <v>info@lordslb.com</v>
          </cell>
          <cell r="M329" t="str">
            <v>+370 5 261 94 70</v>
          </cell>
          <cell r="N329" t="str">
            <v>Vilma Tvaronaviciene</v>
          </cell>
          <cell r="O329" t="str">
            <v>info@lordslb.com</v>
          </cell>
          <cell r="P329" t="str">
            <v>+370 5 261 94 70</v>
          </cell>
          <cell r="Q329" t="str">
            <v>Lithuania</v>
          </cell>
          <cell r="R329" t="str">
            <v>EUR</v>
          </cell>
          <cell r="S329" t="str">
            <v>IFRS</v>
          </cell>
          <cell r="T329" t="str">
            <v>Monthly</v>
          </cell>
          <cell r="U329" t="str">
            <v>Twice per year</v>
          </cell>
          <cell r="V329" t="str">
            <v>RICS</v>
          </cell>
          <cell r="W329" t="str">
            <v>the NAV methodology as defined by the supervisory authority - Bank of Lithuania</v>
          </cell>
          <cell r="X329" t="str">
            <v>PWC</v>
          </cell>
          <cell r="Y329" t="str">
            <v>Real Estate Fund</v>
          </cell>
          <cell r="Z329" t="str">
            <v>No</v>
          </cell>
          <cell r="AA329" t="str">
            <v>Yes</v>
          </cell>
          <cell r="AB329">
            <v>3</v>
          </cell>
          <cell r="AC329" t="str">
            <v>Non-Listed Fund</v>
          </cell>
          <cell r="AD329" t="str">
            <v>Core</v>
          </cell>
          <cell r="AE329" t="str">
            <v>finite</v>
          </cell>
          <cell r="AF329" t="str">
            <v>Closed end</v>
          </cell>
          <cell r="AG329">
            <v>18</v>
          </cell>
          <cell r="AH329">
            <v>20</v>
          </cell>
          <cell r="AI329" t="str">
            <v>Net</v>
          </cell>
          <cell r="AJ329" t="str">
            <v>absolute benchmark</v>
          </cell>
          <cell r="AK329">
            <v>6</v>
          </cell>
          <cell r="AL329">
            <v>60</v>
          </cell>
          <cell r="AM329" t="str">
            <v>&gt; 40% - ≤ 60%</v>
          </cell>
          <cell r="AN329" t="str">
            <v>Institutional and Retail</v>
          </cell>
          <cell r="AO329" t="str">
            <v>&gt; 2</v>
          </cell>
          <cell r="AP329" t="str">
            <v>≥ 50%</v>
          </cell>
          <cell r="AQ329" t="str">
            <v>Europe</v>
          </cell>
          <cell r="AR329" t="str">
            <v>multi country</v>
          </cell>
          <cell r="AS329" t="str">
            <v>Central and Eastern Europe(CEE)</v>
          </cell>
          <cell r="AU329" t="str">
            <v>multi sector</v>
          </cell>
          <cell r="AW329">
            <v>20000000</v>
          </cell>
          <cell r="AX329">
            <v>55000000</v>
          </cell>
          <cell r="AY329">
            <v>2009</v>
          </cell>
          <cell r="AZ329">
            <v>2014</v>
          </cell>
          <cell r="BB329" t="str">
            <v>Yes</v>
          </cell>
          <cell r="BC329" t="str">
            <v>2 years fixed</v>
          </cell>
          <cell r="BD329" t="str">
            <v>No</v>
          </cell>
          <cell r="BE329" t="str">
            <v>≥ 60%</v>
          </cell>
          <cell r="BF329" t="str">
            <v>≤ 15%</v>
          </cell>
          <cell r="BG329" t="str">
            <v>&gt; 5 - ≤ 25%</v>
          </cell>
          <cell r="BH329" t="str">
            <v>2013-06-30</v>
          </cell>
          <cell r="BJ329">
            <v>0</v>
          </cell>
          <cell r="BK329">
            <v>24208206</v>
          </cell>
          <cell r="BL329">
            <v>24208206</v>
          </cell>
          <cell r="BN329" t="str">
            <v>Yes</v>
          </cell>
          <cell r="BO329" t="str">
            <v>External</v>
          </cell>
          <cell r="BQ329">
            <v>4</v>
          </cell>
          <cell r="BR329">
            <v>19900000</v>
          </cell>
          <cell r="BS329">
            <v>19900000</v>
          </cell>
          <cell r="BT329">
            <v>19900000</v>
          </cell>
          <cell r="BU329">
            <v>19900000</v>
          </cell>
          <cell r="BV329" t="str">
            <v>No</v>
          </cell>
          <cell r="BW329" t="str">
            <v>Lithuania</v>
          </cell>
          <cell r="BX329" t="str">
            <v>Office</v>
          </cell>
          <cell r="BY329">
            <v>25</v>
          </cell>
          <cell r="BZ329" t="str">
            <v>Lithuania</v>
          </cell>
          <cell r="CA329" t="str">
            <v>Retail</v>
          </cell>
          <cell r="CB329">
            <v>25</v>
          </cell>
          <cell r="CC329" t="str">
            <v>Latvia</v>
          </cell>
          <cell r="CD329" t="str">
            <v>Retail</v>
          </cell>
          <cell r="CE329">
            <v>10</v>
          </cell>
          <cell r="CF329" t="str">
            <v>Estonia</v>
          </cell>
          <cell r="CG329" t="str">
            <v>Office</v>
          </cell>
          <cell r="CH329">
            <v>40</v>
          </cell>
        </row>
        <row r="330">
          <cell r="A330">
            <v>17178</v>
          </cell>
          <cell r="B330" t="str">
            <v>LORDS LB BALTIC FUND II</v>
          </cell>
          <cell r="C330" t="str">
            <v>LORDS LB ASSET MANAGEMENT</v>
          </cell>
          <cell r="D330" t="str">
            <v>Jogailos 4</v>
          </cell>
          <cell r="F330" t="str">
            <v>Vilnius</v>
          </cell>
          <cell r="G330" t="str">
            <v>Lithuania</v>
          </cell>
          <cell r="H330" t="str">
            <v>+370 5 261 9470</v>
          </cell>
          <cell r="J330" t="str">
            <v>http://www.lordslb.com</v>
          </cell>
          <cell r="K330" t="str">
            <v>Marius Zemaitis</v>
          </cell>
          <cell r="L330" t="str">
            <v>info@lordslb.com</v>
          </cell>
          <cell r="M330" t="str">
            <v>+370 5 261 9470</v>
          </cell>
          <cell r="N330" t="str">
            <v>Vilma Tvaronaviciene</v>
          </cell>
          <cell r="O330" t="str">
            <v>info@lordslb.com</v>
          </cell>
          <cell r="P330" t="str">
            <v>+370 5 261 9470</v>
          </cell>
          <cell r="Q330" t="str">
            <v>Lithuania</v>
          </cell>
          <cell r="R330" t="str">
            <v>EUR</v>
          </cell>
          <cell r="S330" t="str">
            <v>IFRS</v>
          </cell>
          <cell r="T330" t="str">
            <v>Monthly</v>
          </cell>
          <cell r="U330" t="str">
            <v>Twice per year</v>
          </cell>
          <cell r="V330" t="str">
            <v>RICS</v>
          </cell>
          <cell r="W330" t="str">
            <v>the NAV calculation methodology as approved by the supervising authority - Bank of Lithuania</v>
          </cell>
          <cell r="X330" t="str">
            <v>PWC</v>
          </cell>
          <cell r="Y330" t="str">
            <v>Real Estate Fund</v>
          </cell>
          <cell r="Z330" t="str">
            <v>No</v>
          </cell>
          <cell r="AA330" t="str">
            <v>Yes</v>
          </cell>
          <cell r="AB330">
            <v>3</v>
          </cell>
          <cell r="AC330" t="str">
            <v>Non-Listed Fund</v>
          </cell>
          <cell r="AD330" t="str">
            <v>Core</v>
          </cell>
          <cell r="AE330" t="str">
            <v>finite</v>
          </cell>
          <cell r="AF330" t="str">
            <v>Closed end</v>
          </cell>
          <cell r="AG330">
            <v>20</v>
          </cell>
          <cell r="AH330">
            <v>25</v>
          </cell>
          <cell r="AI330" t="str">
            <v>Net</v>
          </cell>
          <cell r="AJ330" t="str">
            <v>absolute benchmark</v>
          </cell>
          <cell r="AL330">
            <v>75</v>
          </cell>
          <cell r="AM330" t="str">
            <v>&gt; 60%</v>
          </cell>
          <cell r="AN330" t="str">
            <v>Institutional and Retail</v>
          </cell>
          <cell r="AO330" t="str">
            <v>&gt; 2</v>
          </cell>
          <cell r="AP330" t="str">
            <v>≥ 50%</v>
          </cell>
          <cell r="AQ330" t="str">
            <v>Europe</v>
          </cell>
          <cell r="AR330" t="str">
            <v>multi country</v>
          </cell>
          <cell r="AS330" t="str">
            <v>Central and Eastern Europe(CEE)</v>
          </cell>
          <cell r="AU330" t="str">
            <v>multi sector</v>
          </cell>
          <cell r="AW330">
            <v>15</v>
          </cell>
          <cell r="AX330">
            <v>60</v>
          </cell>
          <cell r="AY330">
            <v>2011</v>
          </cell>
          <cell r="AZ330">
            <v>2016</v>
          </cell>
          <cell r="BB330" t="str">
            <v>Yes</v>
          </cell>
          <cell r="BC330" t="str">
            <v>2 years fixed</v>
          </cell>
          <cell r="BD330" t="str">
            <v>No</v>
          </cell>
          <cell r="BE330" t="str">
            <v>&lt; 60%</v>
          </cell>
          <cell r="BF330" t="str">
            <v>&gt; 15% - ≤ 40%</v>
          </cell>
          <cell r="BG330" t="str">
            <v>&gt; 5 - ≤ 25%</v>
          </cell>
          <cell r="BH330" t="str">
            <v>2013-06-30</v>
          </cell>
          <cell r="BJ330">
            <v>0</v>
          </cell>
          <cell r="BK330">
            <v>5538184</v>
          </cell>
          <cell r="BL330">
            <v>5538184</v>
          </cell>
          <cell r="BM330">
            <v>0</v>
          </cell>
          <cell r="BN330" t="str">
            <v>Yes</v>
          </cell>
          <cell r="BO330" t="str">
            <v>External</v>
          </cell>
          <cell r="BQ330">
            <v>1</v>
          </cell>
          <cell r="BR330">
            <v>7350000</v>
          </cell>
          <cell r="BS330">
            <v>7350000</v>
          </cell>
          <cell r="BT330">
            <v>5200000</v>
          </cell>
          <cell r="BU330">
            <v>5200000</v>
          </cell>
          <cell r="BV330" t="str">
            <v>No</v>
          </cell>
          <cell r="BW330" t="str">
            <v>Lithuania</v>
          </cell>
          <cell r="BX330" t="str">
            <v>Development Office</v>
          </cell>
          <cell r="BY330">
            <v>100</v>
          </cell>
        </row>
        <row r="331">
          <cell r="A331">
            <v>17179</v>
          </cell>
          <cell r="B331" t="str">
            <v>LORDS LB BALTIC FUND III</v>
          </cell>
          <cell r="C331" t="str">
            <v>LORDS LB ASSET MANAGEMENT</v>
          </cell>
          <cell r="D331" t="str">
            <v>Jogailos 4</v>
          </cell>
          <cell r="F331" t="str">
            <v>Vilnius</v>
          </cell>
          <cell r="G331" t="str">
            <v>Lithuania</v>
          </cell>
          <cell r="H331" t="str">
            <v>+370 5 261 9470</v>
          </cell>
          <cell r="J331" t="str">
            <v>http://www.lordslb.com</v>
          </cell>
          <cell r="K331" t="str">
            <v>Andrius Stonkus</v>
          </cell>
          <cell r="L331" t="str">
            <v>info@lordslb.com</v>
          </cell>
          <cell r="M331" t="str">
            <v>+370 5 261 9470</v>
          </cell>
          <cell r="N331" t="str">
            <v>Vilma Tvaronaviciene</v>
          </cell>
          <cell r="O331" t="str">
            <v>info@lordslb.com</v>
          </cell>
          <cell r="P331" t="str">
            <v>+370 5 261 9470</v>
          </cell>
          <cell r="Q331" t="str">
            <v>Lithuania</v>
          </cell>
          <cell r="R331" t="str">
            <v>EUR</v>
          </cell>
          <cell r="S331" t="str">
            <v>IFRS</v>
          </cell>
          <cell r="T331" t="str">
            <v>Monthly</v>
          </cell>
          <cell r="U331" t="str">
            <v>Twice per year</v>
          </cell>
          <cell r="V331" t="str">
            <v>RICS</v>
          </cell>
          <cell r="W331" t="str">
            <v>the NAV calculation metholodyg as aprroved by the supervisory authority - Bank of Lithuania</v>
          </cell>
          <cell r="X331" t="str">
            <v>PWC</v>
          </cell>
          <cell r="Y331" t="str">
            <v>Real Estate Fund</v>
          </cell>
          <cell r="Z331" t="str">
            <v>No</v>
          </cell>
          <cell r="AA331" t="str">
            <v>Yes</v>
          </cell>
          <cell r="AB331">
            <v>3</v>
          </cell>
          <cell r="AC331" t="str">
            <v>Non-Listed Fund</v>
          </cell>
          <cell r="AD331" t="str">
            <v>Core</v>
          </cell>
          <cell r="AE331" t="str">
            <v>finite</v>
          </cell>
          <cell r="AF331" t="str">
            <v>Closed end</v>
          </cell>
          <cell r="AG331">
            <v>18</v>
          </cell>
          <cell r="AH331">
            <v>18</v>
          </cell>
          <cell r="AI331" t="str">
            <v>Net</v>
          </cell>
          <cell r="AJ331" t="str">
            <v>absolute benchmark</v>
          </cell>
          <cell r="AL331">
            <v>75</v>
          </cell>
          <cell r="AM331" t="str">
            <v>&gt; 60%</v>
          </cell>
          <cell r="AN331" t="str">
            <v>Institutional and Retail</v>
          </cell>
          <cell r="AO331" t="str">
            <v>&gt; 2</v>
          </cell>
          <cell r="AP331" t="str">
            <v>≥ 50%</v>
          </cell>
          <cell r="AQ331" t="str">
            <v>Europe</v>
          </cell>
          <cell r="AR331" t="str">
            <v>multi country</v>
          </cell>
          <cell r="AS331" t="str">
            <v>Central and Eastern Europe(CEE)</v>
          </cell>
          <cell r="AU331" t="str">
            <v>multi sector</v>
          </cell>
          <cell r="AW331">
            <v>50000000</v>
          </cell>
          <cell r="AX331">
            <v>200000000</v>
          </cell>
          <cell r="AY331">
            <v>2013</v>
          </cell>
          <cell r="AZ331">
            <v>2020</v>
          </cell>
          <cell r="BB331" t="str">
            <v>Yes</v>
          </cell>
          <cell r="BC331" t="str">
            <v>2 years fixed</v>
          </cell>
          <cell r="BD331" t="str">
            <v>No</v>
          </cell>
          <cell r="BE331" t="str">
            <v>≥ 60%</v>
          </cell>
          <cell r="BF331" t="str">
            <v>≤ 15%</v>
          </cell>
          <cell r="BG331" t="str">
            <v>&gt; 5 - ≤ 25%</v>
          </cell>
        </row>
        <row r="332">
          <cell r="A332">
            <v>319</v>
          </cell>
          <cell r="B332" t="str">
            <v>LOTHBURY PROPERTY TRUST</v>
          </cell>
          <cell r="C332" t="str">
            <v>LOTHBURY INVESTMENT MANAGEMENT LTD</v>
          </cell>
          <cell r="D332" t="str">
            <v>155 Bishopsgate</v>
          </cell>
          <cell r="E332" t="str">
            <v>EC2M 3TQ</v>
          </cell>
          <cell r="F332" t="str">
            <v>London</v>
          </cell>
          <cell r="G332" t="str">
            <v>United Kingdom</v>
          </cell>
          <cell r="H332" t="str">
            <v>+44 203 551 4900</v>
          </cell>
          <cell r="I332" t="str">
            <v>+44 203 551 4920</v>
          </cell>
          <cell r="J332" t="str">
            <v>http://www.lothburyim.com</v>
          </cell>
          <cell r="K332" t="str">
            <v>Joanna Bond</v>
          </cell>
          <cell r="L332" t="str">
            <v>jo.bond@lothburyim.com</v>
          </cell>
          <cell r="M332" t="str">
            <v>+44 203 551 4915</v>
          </cell>
          <cell r="N332" t="str">
            <v>Jo Bond</v>
          </cell>
          <cell r="O332" t="str">
            <v>jo.bond@lothburyim.com</v>
          </cell>
          <cell r="P332" t="str">
            <v>+44 203 551 4915</v>
          </cell>
          <cell r="Q332" t="str">
            <v>Ireland</v>
          </cell>
          <cell r="R332" t="str">
            <v>GBP</v>
          </cell>
          <cell r="T332" t="str">
            <v>Quarterly</v>
          </cell>
          <cell r="U332" t="str">
            <v>Monthly</v>
          </cell>
          <cell r="V332" t="str">
            <v>RICS</v>
          </cell>
          <cell r="W332" t="str">
            <v>IFRS NAV</v>
          </cell>
          <cell r="X332" t="str">
            <v>KPMG</v>
          </cell>
          <cell r="Y332" t="str">
            <v>Property Unit Trust</v>
          </cell>
          <cell r="Z332" t="str">
            <v>No</v>
          </cell>
          <cell r="AA332" t="str">
            <v>Yes</v>
          </cell>
          <cell r="AB332">
            <v>7</v>
          </cell>
          <cell r="AC332" t="str">
            <v>Non-Listed Fund</v>
          </cell>
          <cell r="AD332" t="str">
            <v>Core</v>
          </cell>
          <cell r="AE332" t="str">
            <v>infinite</v>
          </cell>
          <cell r="AF332" t="str">
            <v>Open end</v>
          </cell>
          <cell r="AI332" t="str">
            <v>Gross</v>
          </cell>
          <cell r="AJ332" t="str">
            <v>MSCI/AREF UK All Balanced Quarterly Property Fund Index</v>
          </cell>
          <cell r="AM332" t="str">
            <v>≤ 40%</v>
          </cell>
          <cell r="AN332" t="str">
            <v>Institutional</v>
          </cell>
          <cell r="AO332" t="str">
            <v>&gt; 2</v>
          </cell>
          <cell r="AP332" t="str">
            <v>≥ 50%</v>
          </cell>
          <cell r="AQ332" t="str">
            <v>Europe</v>
          </cell>
          <cell r="AR332" t="str">
            <v>single country</v>
          </cell>
          <cell r="AT332" t="str">
            <v>United Kingdom</v>
          </cell>
          <cell r="AU332" t="str">
            <v>multi sector</v>
          </cell>
          <cell r="AX332">
            <v>800000000</v>
          </cell>
          <cell r="AY332">
            <v>2000</v>
          </cell>
          <cell r="BA332" t="str">
            <v>No</v>
          </cell>
          <cell r="BB332" t="str">
            <v>No</v>
          </cell>
          <cell r="BH332" t="str">
            <v>2020-12-31</v>
          </cell>
          <cell r="BI332">
            <v>1618682376.78</v>
          </cell>
          <cell r="BJ332">
            <v>1789532836.7415781</v>
          </cell>
          <cell r="BK332">
            <v>1602329647.76</v>
          </cell>
          <cell r="BL332">
            <v>1771454091.9727371</v>
          </cell>
          <cell r="BM332">
            <v>0</v>
          </cell>
          <cell r="BN332" t="str">
            <v>Yes</v>
          </cell>
          <cell r="BO332" t="str">
            <v>External</v>
          </cell>
          <cell r="BP332">
            <v>104</v>
          </cell>
          <cell r="BQ332">
            <v>52</v>
          </cell>
          <cell r="BR332">
            <v>0</v>
          </cell>
          <cell r="BS332">
            <v>0</v>
          </cell>
          <cell r="BT332">
            <v>1530948956.76</v>
          </cell>
          <cell r="BV332" t="str">
            <v>No</v>
          </cell>
          <cell r="BW332" t="str">
            <v>United Kingdom</v>
          </cell>
          <cell r="BX332" t="str">
            <v>Other</v>
          </cell>
          <cell r="BY332">
            <v>12.6</v>
          </cell>
          <cell r="BZ332" t="str">
            <v>United Kingdom</v>
          </cell>
          <cell r="CA332" t="str">
            <v>Industrial / Logistics</v>
          </cell>
          <cell r="CB332">
            <v>24.9</v>
          </cell>
          <cell r="CC332" t="str">
            <v>United Kingdom</v>
          </cell>
          <cell r="CD332" t="str">
            <v>Retail</v>
          </cell>
          <cell r="CE332">
            <v>32.4</v>
          </cell>
          <cell r="CF332" t="str">
            <v>United Kingdom</v>
          </cell>
          <cell r="CG332" t="str">
            <v>Office</v>
          </cell>
          <cell r="CH332">
            <v>25.7</v>
          </cell>
        </row>
        <row r="333">
          <cell r="A333">
            <v>321</v>
          </cell>
          <cell r="B333" t="str">
            <v>M&amp;G EUROPEAN PROPERTY FUND</v>
          </cell>
          <cell r="C333" t="str">
            <v>M&amp;G REAL ESTATE</v>
          </cell>
          <cell r="D333" t="str">
            <v>10 Fenchurch Avenue</v>
          </cell>
          <cell r="E333" t="str">
            <v>EC3M 5AG</v>
          </cell>
          <cell r="F333" t="str">
            <v>London</v>
          </cell>
          <cell r="G333" t="str">
            <v>United Kingdom</v>
          </cell>
          <cell r="H333" t="str">
            <v>+442075486600</v>
          </cell>
          <cell r="I333" t="str">
            <v>+442075483058</v>
          </cell>
          <cell r="J333" t="str">
            <v>http://www.mandg.co.uk/institutions/realestate/</v>
          </cell>
          <cell r="K333" t="str">
            <v>David Jackson</v>
          </cell>
          <cell r="L333" t="str">
            <v>David.Jackson@mandg.com</v>
          </cell>
          <cell r="M333" t="str">
            <v>+442075486905</v>
          </cell>
          <cell r="N333" t="str">
            <v>Nioki Doggett</v>
          </cell>
          <cell r="O333" t="str">
            <v>nioki.doggett@mandg.com</v>
          </cell>
          <cell r="P333" t="str">
            <v>+442039771243</v>
          </cell>
          <cell r="Q333" t="str">
            <v>Luxembourg</v>
          </cell>
          <cell r="R333" t="str">
            <v>EUR</v>
          </cell>
          <cell r="S333" t="str">
            <v>IFRS</v>
          </cell>
          <cell r="T333" t="str">
            <v>Quarterly</v>
          </cell>
          <cell r="U333" t="str">
            <v>Monthly</v>
          </cell>
          <cell r="V333" t="str">
            <v>RICS</v>
          </cell>
          <cell r="W333" t="str">
            <v>Adjusted IFRS NAV</v>
          </cell>
          <cell r="X333" t="str">
            <v>Ernst &amp; Young</v>
          </cell>
          <cell r="Y333" t="str">
            <v>SICAV</v>
          </cell>
          <cell r="Z333" t="str">
            <v>Yes</v>
          </cell>
          <cell r="AA333" t="str">
            <v>Yes</v>
          </cell>
          <cell r="AB333">
            <v>3</v>
          </cell>
          <cell r="AC333" t="str">
            <v>Non-Listed Fund</v>
          </cell>
          <cell r="AD333" t="str">
            <v>Core</v>
          </cell>
          <cell r="AE333" t="str">
            <v>infinite</v>
          </cell>
          <cell r="AF333" t="str">
            <v>Open end</v>
          </cell>
          <cell r="AG333">
            <v>7</v>
          </cell>
          <cell r="AH333">
            <v>7</v>
          </cell>
          <cell r="AI333" t="str">
            <v>Net</v>
          </cell>
          <cell r="AL333">
            <v>30</v>
          </cell>
          <cell r="AM333" t="str">
            <v>≤ 40%</v>
          </cell>
          <cell r="AN333" t="str">
            <v>Institutional</v>
          </cell>
          <cell r="AO333" t="str">
            <v>&gt; 2</v>
          </cell>
          <cell r="AP333" t="str">
            <v>≥ 50%</v>
          </cell>
          <cell r="AQ333" t="str">
            <v>Europe</v>
          </cell>
          <cell r="AR333" t="str">
            <v>multi country</v>
          </cell>
          <cell r="AS333" t="str">
            <v>Europe</v>
          </cell>
          <cell r="AU333" t="str">
            <v>multi sector</v>
          </cell>
          <cell r="AY333">
            <v>2006</v>
          </cell>
          <cell r="BE333" t="str">
            <v>≥ 60%</v>
          </cell>
          <cell r="BF333" t="str">
            <v>≤ 15%</v>
          </cell>
          <cell r="BG333" t="str">
            <v>≤ 5%</v>
          </cell>
          <cell r="BH333" t="str">
            <v>2020-12-31</v>
          </cell>
          <cell r="BI333">
            <v>4216556453</v>
          </cell>
          <cell r="BJ333">
            <v>4216556453</v>
          </cell>
          <cell r="BK333">
            <v>3333137620</v>
          </cell>
          <cell r="BL333">
            <v>3333137620</v>
          </cell>
          <cell r="BM333">
            <v>12.7</v>
          </cell>
          <cell r="BN333" t="str">
            <v>No</v>
          </cell>
          <cell r="BO333" t="str">
            <v>External</v>
          </cell>
          <cell r="BP333">
            <v>73</v>
          </cell>
          <cell r="BQ333">
            <v>83</v>
          </cell>
          <cell r="BR333">
            <v>3753575046</v>
          </cell>
          <cell r="BS333">
            <v>3753575046</v>
          </cell>
          <cell r="BT333">
            <v>3109130663</v>
          </cell>
          <cell r="BU333">
            <v>3109130663</v>
          </cell>
          <cell r="BV333" t="str">
            <v>Yes</v>
          </cell>
          <cell r="BW333" t="str">
            <v>Sweden</v>
          </cell>
          <cell r="BX333" t="str">
            <v>Residential</v>
          </cell>
          <cell r="BY333">
            <v>0</v>
          </cell>
          <cell r="BZ333" t="str">
            <v>Sweden</v>
          </cell>
          <cell r="CA333" t="str">
            <v>Industrial / Logistics</v>
          </cell>
          <cell r="CB333">
            <v>3.9</v>
          </cell>
          <cell r="CC333" t="str">
            <v>Sweden</v>
          </cell>
          <cell r="CD333" t="str">
            <v>Retail</v>
          </cell>
          <cell r="CE333">
            <v>0.2</v>
          </cell>
          <cell r="CF333" t="str">
            <v>Sweden</v>
          </cell>
          <cell r="CG333" t="str">
            <v>Office</v>
          </cell>
          <cell r="CH333">
            <v>8.6</v>
          </cell>
          <cell r="CI333" t="str">
            <v>Spain</v>
          </cell>
          <cell r="CJ333" t="str">
            <v>Residential</v>
          </cell>
          <cell r="CK333">
            <v>0.4</v>
          </cell>
          <cell r="CL333" t="str">
            <v>Spain</v>
          </cell>
          <cell r="CM333" t="str">
            <v>Industrial / Logistics</v>
          </cell>
          <cell r="CN333">
            <v>2.2000000000000002</v>
          </cell>
          <cell r="CO333" t="str">
            <v>Spain</v>
          </cell>
          <cell r="CP333" t="str">
            <v>Retail</v>
          </cell>
          <cell r="CQ333">
            <v>0.8</v>
          </cell>
          <cell r="CR333" t="str">
            <v>Spain</v>
          </cell>
          <cell r="CS333" t="str">
            <v>Office</v>
          </cell>
          <cell r="CT333">
            <v>7.4</v>
          </cell>
          <cell r="CU333" t="str">
            <v>Portugal</v>
          </cell>
          <cell r="CV333" t="str">
            <v>Residential</v>
          </cell>
          <cell r="CW333">
            <v>0</v>
          </cell>
          <cell r="CX333" t="str">
            <v>Portugal</v>
          </cell>
          <cell r="CY333" t="str">
            <v>Industrial / Logistics</v>
          </cell>
          <cell r="CZ333">
            <v>0</v>
          </cell>
          <cell r="DA333" t="str">
            <v>Portugal</v>
          </cell>
          <cell r="DB333" t="str">
            <v>Retail</v>
          </cell>
          <cell r="DC333">
            <v>3.4</v>
          </cell>
          <cell r="DD333" t="str">
            <v>Portugal</v>
          </cell>
          <cell r="DE333" t="str">
            <v>Office</v>
          </cell>
          <cell r="DF333">
            <v>1.2</v>
          </cell>
          <cell r="DG333" t="str">
            <v>Poland</v>
          </cell>
          <cell r="DH333" t="str">
            <v>Residential</v>
          </cell>
          <cell r="DI333">
            <v>0</v>
          </cell>
          <cell r="DJ333" t="str">
            <v>Poland</v>
          </cell>
          <cell r="DK333" t="str">
            <v>Industrial / Logistics</v>
          </cell>
          <cell r="DL333">
            <v>2.5</v>
          </cell>
          <cell r="DM333" t="str">
            <v>Poland</v>
          </cell>
          <cell r="DN333" t="str">
            <v>Retail</v>
          </cell>
          <cell r="DO333">
            <v>0</v>
          </cell>
          <cell r="DP333" t="str">
            <v>Poland</v>
          </cell>
          <cell r="DQ333" t="str">
            <v>Office</v>
          </cell>
          <cell r="DR333">
            <v>0</v>
          </cell>
          <cell r="DS333" t="str">
            <v>Netherlands</v>
          </cell>
          <cell r="DT333" t="str">
            <v>Residential</v>
          </cell>
          <cell r="DU333">
            <v>0</v>
          </cell>
          <cell r="DV333" t="str">
            <v>Netherlands</v>
          </cell>
          <cell r="DW333" t="str">
            <v>Industrial / Logistics</v>
          </cell>
          <cell r="DX333">
            <v>2.2000000000000002</v>
          </cell>
          <cell r="DY333" t="str">
            <v>Netherlands</v>
          </cell>
          <cell r="DZ333" t="str">
            <v>Retail</v>
          </cell>
          <cell r="EA333">
            <v>0</v>
          </cell>
          <cell r="EB333" t="str">
            <v>Netherlands</v>
          </cell>
          <cell r="EC333" t="str">
            <v>Office</v>
          </cell>
          <cell r="ED333">
            <v>2.2000000000000002</v>
          </cell>
          <cell r="EE333" t="str">
            <v>Luxembourg</v>
          </cell>
          <cell r="EF333" t="str">
            <v>Residential</v>
          </cell>
          <cell r="EG333">
            <v>0</v>
          </cell>
          <cell r="EH333" t="str">
            <v>Luxembourg</v>
          </cell>
          <cell r="EI333" t="str">
            <v>Industrial / Logistics</v>
          </cell>
          <cell r="EJ333">
            <v>0</v>
          </cell>
          <cell r="EK333" t="str">
            <v>Luxembourg</v>
          </cell>
          <cell r="EL333" t="str">
            <v>Retail</v>
          </cell>
          <cell r="EM333">
            <v>0</v>
          </cell>
          <cell r="EN333" t="str">
            <v>Luxembourg</v>
          </cell>
          <cell r="EO333" t="str">
            <v>Office</v>
          </cell>
          <cell r="EP333">
            <v>2</v>
          </cell>
          <cell r="EQ333" t="str">
            <v>Italy</v>
          </cell>
          <cell r="ER333" t="str">
            <v>Residential</v>
          </cell>
          <cell r="ES333">
            <v>0</v>
          </cell>
          <cell r="ET333" t="str">
            <v>Italy</v>
          </cell>
          <cell r="EU333" t="str">
            <v>Industrial / Logistics</v>
          </cell>
        </row>
        <row r="334">
          <cell r="A334">
            <v>323</v>
          </cell>
          <cell r="B334" t="str">
            <v>M&amp;G PROPERTY PORTFOLIO</v>
          </cell>
          <cell r="C334" t="str">
            <v>PRUDENTIAL PROPERTY INVESTMENT MANAGERS</v>
          </cell>
          <cell r="D334" t="str">
            <v>Governor's House, Laurence Pountney Hill</v>
          </cell>
          <cell r="E334" t="str">
            <v>EC4R 0HH</v>
          </cell>
          <cell r="F334" t="str">
            <v>London</v>
          </cell>
          <cell r="G334" t="str">
            <v>United Kingdom</v>
          </cell>
          <cell r="H334" t="str">
            <v>+44 (0) 20 7548 6600</v>
          </cell>
          <cell r="I334" t="str">
            <v>+44 (0) 20 7548 3058</v>
          </cell>
          <cell r="J334" t="str">
            <v>http://www.prupim.com</v>
          </cell>
          <cell r="K334" t="str">
            <v>Henrietta Walker</v>
          </cell>
          <cell r="L334" t="str">
            <v>henrietta.walker@prupim.com</v>
          </cell>
          <cell r="M334" t="str">
            <v>+44 (0)20 7548 6752</v>
          </cell>
          <cell r="N334" t="str">
            <v>Fiona Rowley</v>
          </cell>
          <cell r="O334" t="str">
            <v>fiona.rowley@prupim.com</v>
          </cell>
          <cell r="P334" t="str">
            <v>+44 (0) 20 7548 6753</v>
          </cell>
          <cell r="Q334" t="str">
            <v>United Kingdom</v>
          </cell>
          <cell r="R334" t="str">
            <v>GBP</v>
          </cell>
          <cell r="S334" t="str">
            <v>IFRS</v>
          </cell>
          <cell r="T334" t="str">
            <v>Twice per year</v>
          </cell>
          <cell r="U334" t="str">
            <v>Monthly</v>
          </cell>
          <cell r="X334" t="str">
            <v>PriceWaterhouseCoopers</v>
          </cell>
          <cell r="Y334" t="str">
            <v>Property Unit Trust</v>
          </cell>
          <cell r="AA334" t="str">
            <v>No</v>
          </cell>
          <cell r="AB334">
            <v>0</v>
          </cell>
          <cell r="AC334" t="str">
            <v>Non-Listed Fund</v>
          </cell>
          <cell r="AD334" t="str">
            <v>Core</v>
          </cell>
          <cell r="AE334" t="str">
            <v>infinite</v>
          </cell>
          <cell r="AF334" t="str">
            <v>Open end</v>
          </cell>
          <cell r="AI334" t="str">
            <v>Gross</v>
          </cell>
          <cell r="AJ334" t="str">
            <v>IPD UK Monthly Index</v>
          </cell>
          <cell r="AM334" t="str">
            <v>≤ 40%</v>
          </cell>
          <cell r="AN334" t="str">
            <v>Institutional and Retail</v>
          </cell>
          <cell r="AQ334" t="str">
            <v>Europe</v>
          </cell>
          <cell r="AR334" t="str">
            <v>single country</v>
          </cell>
          <cell r="AT334" t="str">
            <v>United Kingdom</v>
          </cell>
          <cell r="AU334" t="str">
            <v>multi sector</v>
          </cell>
          <cell r="AY334">
            <v>2005</v>
          </cell>
          <cell r="BA334" t="str">
            <v>Yes</v>
          </cell>
          <cell r="BB334" t="str">
            <v>Yes</v>
          </cell>
          <cell r="BC334" t="str">
            <v>1 year</v>
          </cell>
          <cell r="BH334" t="str">
            <v>2014-06-30</v>
          </cell>
          <cell r="BJ334">
            <v>0</v>
          </cell>
          <cell r="BK334">
            <v>3163170000</v>
          </cell>
          <cell r="BL334">
            <v>3951431964</v>
          </cell>
          <cell r="BQ334">
            <v>186</v>
          </cell>
          <cell r="BS334">
            <v>0</v>
          </cell>
        </row>
        <row r="335">
          <cell r="A335">
            <v>585</v>
          </cell>
          <cell r="B335" t="str">
            <v>M&amp;G SECURED PROPERTY INCOME FUND</v>
          </cell>
          <cell r="C335" t="str">
            <v>M&amp;G INVESTMENTS</v>
          </cell>
          <cell r="D335" t="str">
            <v>10 Fenchurch Avenue</v>
          </cell>
          <cell r="E335" t="str">
            <v>EC3M 5AG</v>
          </cell>
          <cell r="F335" t="str">
            <v>London</v>
          </cell>
          <cell r="G335" t="str">
            <v>United Kingdom</v>
          </cell>
          <cell r="H335" t="str">
            <v>+442075486600</v>
          </cell>
          <cell r="I335" t="str">
            <v>+442075483058</v>
          </cell>
          <cell r="J335" t="str">
            <v>http://www.mandg.co.uk</v>
          </cell>
          <cell r="K335" t="str">
            <v>Holly Johnstone</v>
          </cell>
          <cell r="L335" t="str">
            <v>Holly.Johnstone@mandg.co.uk</v>
          </cell>
          <cell r="M335" t="str">
            <v>+442039773584</v>
          </cell>
          <cell r="N335" t="str">
            <v>Mabel Chui</v>
          </cell>
          <cell r="O335" t="str">
            <v>mabel.chui@mandg.co.uk</v>
          </cell>
          <cell r="P335" t="str">
            <v>+442075486642</v>
          </cell>
          <cell r="Q335" t="str">
            <v>Guernsey</v>
          </cell>
          <cell r="R335" t="str">
            <v>GBP</v>
          </cell>
          <cell r="S335" t="str">
            <v>IFRS</v>
          </cell>
          <cell r="T335" t="str">
            <v>Annually</v>
          </cell>
          <cell r="U335" t="str">
            <v>Monthly</v>
          </cell>
          <cell r="V335" t="str">
            <v>RICS</v>
          </cell>
          <cell r="W335" t="str">
            <v>FRS102</v>
          </cell>
          <cell r="X335" t="str">
            <v>Ernst &amp; Young</v>
          </cell>
          <cell r="Y335" t="str">
            <v>GPUT</v>
          </cell>
          <cell r="Z335" t="str">
            <v>Yes</v>
          </cell>
          <cell r="AA335" t="str">
            <v>Yes</v>
          </cell>
          <cell r="AB335">
            <v>4</v>
          </cell>
          <cell r="AC335" t="str">
            <v>Non-Listed Fund</v>
          </cell>
          <cell r="AD335" t="str">
            <v>Core</v>
          </cell>
          <cell r="AE335" t="str">
            <v>infinite</v>
          </cell>
          <cell r="AF335" t="str">
            <v>Open end</v>
          </cell>
          <cell r="AG335">
            <v>0</v>
          </cell>
          <cell r="AH335">
            <v>10</v>
          </cell>
          <cell r="AI335" t="str">
            <v>Gross</v>
          </cell>
          <cell r="AJ335" t="str">
            <v>N/A – long-term total return focus</v>
          </cell>
          <cell r="AK335">
            <v>4</v>
          </cell>
          <cell r="AM335" t="str">
            <v>≤ 40%</v>
          </cell>
          <cell r="AN335" t="str">
            <v>Institutional</v>
          </cell>
          <cell r="AO335" t="str">
            <v>&gt; 2</v>
          </cell>
          <cell r="AP335" t="str">
            <v>≥ 50%</v>
          </cell>
          <cell r="AQ335" t="str">
            <v>Europe</v>
          </cell>
          <cell r="AR335" t="str">
            <v>single country</v>
          </cell>
          <cell r="AT335" t="str">
            <v>United Kingdom</v>
          </cell>
          <cell r="AU335" t="str">
            <v>multi sector</v>
          </cell>
          <cell r="AY335">
            <v>2007</v>
          </cell>
          <cell r="BD335" t="str">
            <v>No</v>
          </cell>
          <cell r="BE335" t="str">
            <v>≥ 60%</v>
          </cell>
          <cell r="BH335" t="str">
            <v>2020-12-31</v>
          </cell>
          <cell r="BI335">
            <v>4492753372.1700001</v>
          </cell>
          <cell r="BJ335">
            <v>4966959424.6607418</v>
          </cell>
          <cell r="BK335">
            <v>4492753372.1700001</v>
          </cell>
          <cell r="BL335">
            <v>4966959424.6607418</v>
          </cell>
          <cell r="BM335">
            <v>0</v>
          </cell>
          <cell r="BN335" t="str">
            <v>No</v>
          </cell>
          <cell r="BO335" t="str">
            <v>External</v>
          </cell>
          <cell r="BP335">
            <v>83</v>
          </cell>
          <cell r="BQ335">
            <v>240</v>
          </cell>
          <cell r="BR335">
            <v>4808497937.6099997</v>
          </cell>
          <cell r="BS335">
            <v>5279512031.0649338</v>
          </cell>
          <cell r="BT335">
            <v>4572358437.6099997</v>
          </cell>
          <cell r="BU335">
            <v>5020241600.3741989</v>
          </cell>
          <cell r="BV335" t="str">
            <v>Yes</v>
          </cell>
          <cell r="BW335" t="str">
            <v>United Kingdom</v>
          </cell>
          <cell r="BX335" t="str">
            <v>Health Care</v>
          </cell>
          <cell r="BY335">
            <v>5.56</v>
          </cell>
          <cell r="BZ335" t="str">
            <v>United Kingdom</v>
          </cell>
          <cell r="CA335" t="str">
            <v>Hotel</v>
          </cell>
          <cell r="CB335">
            <v>15.05</v>
          </cell>
          <cell r="CC335" t="str">
            <v>United Kingdom</v>
          </cell>
          <cell r="CD335" t="str">
            <v>Industrial / Logistics</v>
          </cell>
          <cell r="CE335">
            <v>4.53</v>
          </cell>
          <cell r="CF335" t="str">
            <v>United Kingdom</v>
          </cell>
          <cell r="CG335" t="str">
            <v>Leisure</v>
          </cell>
          <cell r="CH335">
            <v>13.31</v>
          </cell>
          <cell r="CI335" t="str">
            <v>United Kingdom</v>
          </cell>
          <cell r="CJ335" t="str">
            <v>Office</v>
          </cell>
          <cell r="CK335">
            <v>21.71</v>
          </cell>
          <cell r="CL335" t="str">
            <v>United Kingdom</v>
          </cell>
          <cell r="CM335" t="str">
            <v>Other</v>
          </cell>
          <cell r="CN335">
            <v>1.83</v>
          </cell>
          <cell r="CO335" t="str">
            <v>United Kingdom</v>
          </cell>
          <cell r="CP335" t="str">
            <v>Residential</v>
          </cell>
          <cell r="CQ335">
            <v>5.72</v>
          </cell>
          <cell r="CR335" t="str">
            <v>United Kingdom</v>
          </cell>
          <cell r="CS335" t="str">
            <v>Student Housing</v>
          </cell>
          <cell r="CT335">
            <v>5.41</v>
          </cell>
          <cell r="CU335" t="str">
            <v>United Kingdom</v>
          </cell>
          <cell r="CV335" t="str">
            <v>Retail</v>
          </cell>
          <cell r="CW335">
            <v>26.88</v>
          </cell>
        </row>
        <row r="336">
          <cell r="A336">
            <v>452</v>
          </cell>
          <cell r="B336" t="str">
            <v>M&amp;G UK PROPERTY FUND</v>
          </cell>
          <cell r="C336" t="str">
            <v>M&amp;G REAL ESTATE</v>
          </cell>
          <cell r="D336" t="str">
            <v>10 Fenchurch Avenue</v>
          </cell>
          <cell r="E336" t="str">
            <v>EC3M 5AG</v>
          </cell>
          <cell r="F336" t="str">
            <v>London</v>
          </cell>
          <cell r="G336" t="str">
            <v>United Kingdom</v>
          </cell>
          <cell r="H336" t="str">
            <v>+442075486600</v>
          </cell>
          <cell r="I336" t="str">
            <v>+442075483058</v>
          </cell>
          <cell r="J336" t="str">
            <v>http://www.mandg.co.uk/institutions/realestate/</v>
          </cell>
          <cell r="K336" t="str">
            <v>Dermot Kiernan</v>
          </cell>
          <cell r="L336" t="str">
            <v>Dermot.Kiernan@mandg.com</v>
          </cell>
          <cell r="M336" t="str">
            <v>+447775676405</v>
          </cell>
          <cell r="N336" t="str">
            <v>Kay Akast</v>
          </cell>
          <cell r="O336" t="str">
            <v>kay.akast@mandg.com</v>
          </cell>
          <cell r="P336" t="str">
            <v>+442039771231</v>
          </cell>
          <cell r="Q336" t="str">
            <v>United Kingdom</v>
          </cell>
          <cell r="R336" t="str">
            <v>GBP</v>
          </cell>
          <cell r="S336" t="str">
            <v>IFRS</v>
          </cell>
          <cell r="T336" t="str">
            <v>Annually</v>
          </cell>
          <cell r="U336" t="str">
            <v>Quarterly</v>
          </cell>
          <cell r="V336" t="str">
            <v>RICS</v>
          </cell>
          <cell r="W336" t="str">
            <v>INREV NAV</v>
          </cell>
          <cell r="X336" t="str">
            <v>KPMG</v>
          </cell>
          <cell r="Y336" t="str">
            <v>Managed Fund</v>
          </cell>
          <cell r="Z336" t="str">
            <v>Yes</v>
          </cell>
          <cell r="AB336">
            <v>0</v>
          </cell>
          <cell r="AC336" t="str">
            <v>Non-Listed Fund</v>
          </cell>
          <cell r="AD336" t="str">
            <v>Core</v>
          </cell>
          <cell r="AE336" t="str">
            <v>infinite</v>
          </cell>
          <cell r="AF336" t="str">
            <v>Open end</v>
          </cell>
          <cell r="AJ336" t="str">
            <v>CAPS Pooled Property Fund Median</v>
          </cell>
          <cell r="AL336">
            <v>0</v>
          </cell>
          <cell r="AM336" t="str">
            <v>≤ 40%</v>
          </cell>
          <cell r="AN336" t="str">
            <v>Institutional</v>
          </cell>
          <cell r="AO336" t="str">
            <v>&gt; 2</v>
          </cell>
          <cell r="AP336" t="str">
            <v>≥ 50%</v>
          </cell>
          <cell r="AQ336" t="str">
            <v>Europe</v>
          </cell>
          <cell r="AR336" t="str">
            <v>single country</v>
          </cell>
          <cell r="AT336" t="str">
            <v>United Kingdom</v>
          </cell>
          <cell r="AU336" t="str">
            <v>multi sector</v>
          </cell>
          <cell r="AY336">
            <v>1971</v>
          </cell>
          <cell r="BH336" t="str">
            <v>2020-12-31</v>
          </cell>
          <cell r="BI336">
            <v>460473223.63</v>
          </cell>
          <cell r="BJ336">
            <v>509075755.65587908</v>
          </cell>
          <cell r="BK336">
            <v>455219644</v>
          </cell>
          <cell r="BL336">
            <v>503267665.45042223</v>
          </cell>
          <cell r="BM336">
            <v>0</v>
          </cell>
          <cell r="BN336" t="str">
            <v>No</v>
          </cell>
          <cell r="BO336" t="str">
            <v>External</v>
          </cell>
          <cell r="BP336">
            <v>4</v>
          </cell>
          <cell r="BQ336">
            <v>29</v>
          </cell>
          <cell r="BR336">
            <v>604038162</v>
          </cell>
          <cell r="BS336">
            <v>663206428.46868157</v>
          </cell>
          <cell r="BT336">
            <v>604038162</v>
          </cell>
          <cell r="BU336">
            <v>663206428.46868157</v>
          </cell>
          <cell r="BV336" t="str">
            <v>Yes</v>
          </cell>
          <cell r="BW336" t="str">
            <v>United Kingdom</v>
          </cell>
          <cell r="BX336" t="str">
            <v>Other</v>
          </cell>
          <cell r="BY336">
            <v>12.9</v>
          </cell>
          <cell r="BZ336" t="str">
            <v>United Kingdom</v>
          </cell>
          <cell r="CA336" t="str">
            <v>Industrial / Logistics</v>
          </cell>
          <cell r="CB336">
            <v>38</v>
          </cell>
          <cell r="CC336" t="str">
            <v>United Kingdom</v>
          </cell>
          <cell r="CD336" t="str">
            <v>Retail</v>
          </cell>
          <cell r="CE336">
            <v>27.3</v>
          </cell>
          <cell r="CF336" t="str">
            <v>United Kingdom</v>
          </cell>
          <cell r="CG336" t="str">
            <v>Office</v>
          </cell>
          <cell r="CH336">
            <v>17.3</v>
          </cell>
        </row>
        <row r="337">
          <cell r="A337">
            <v>17263</v>
          </cell>
          <cell r="B337" t="str">
            <v>M&amp;G UK RESIDENTIAL PROPERTY FUND</v>
          </cell>
          <cell r="C337" t="str">
            <v>M&amp;G REAL ESTATE</v>
          </cell>
          <cell r="D337" t="str">
            <v>City Place House, 55 Basinghall Street</v>
          </cell>
          <cell r="E337" t="str">
            <v xml:space="preserve">EC2V 5DU </v>
          </cell>
          <cell r="F337" t="str">
            <v>London</v>
          </cell>
          <cell r="G337" t="str">
            <v>United Kingdom</v>
          </cell>
          <cell r="H337" t="str">
            <v>0207 548 6600</v>
          </cell>
          <cell r="I337" t="str">
            <v>0207 548 6969</v>
          </cell>
          <cell r="J337" t="str">
            <v>http://www.mandg.co.uk/institutions/realestate/</v>
          </cell>
          <cell r="K337" t="str">
            <v>Alex Greaves</v>
          </cell>
          <cell r="L337" t="str">
            <v>Alex.Greaves@mandg.com</v>
          </cell>
          <cell r="M337" t="str">
            <v>+44 7973 746 336</v>
          </cell>
          <cell r="Q337" t="str">
            <v>Luxembourg</v>
          </cell>
          <cell r="R337" t="str">
            <v>GBP</v>
          </cell>
          <cell r="S337" t="str">
            <v>IFRS</v>
          </cell>
          <cell r="T337" t="str">
            <v>Quarterly</v>
          </cell>
          <cell r="U337" t="str">
            <v>Twice per year</v>
          </cell>
          <cell r="V337" t="str">
            <v>RICS</v>
          </cell>
          <cell r="W337" t="str">
            <v>INREV NAV</v>
          </cell>
          <cell r="X337" t="str">
            <v>Ernst &amp; Young SA</v>
          </cell>
          <cell r="Y337" t="str">
            <v>FCP</v>
          </cell>
          <cell r="Z337" t="str">
            <v>Yes</v>
          </cell>
          <cell r="AA337" t="str">
            <v>Yes</v>
          </cell>
          <cell r="AB337">
            <v>10</v>
          </cell>
          <cell r="AC337" t="str">
            <v>Non-Listed Fund</v>
          </cell>
          <cell r="AD337" t="str">
            <v>Core</v>
          </cell>
          <cell r="AE337" t="str">
            <v>infinite</v>
          </cell>
          <cell r="AF337" t="str">
            <v>Open end</v>
          </cell>
          <cell r="AG337">
            <v>5</v>
          </cell>
          <cell r="AH337">
            <v>7</v>
          </cell>
          <cell r="AI337" t="str">
            <v>Net</v>
          </cell>
          <cell r="AJ337" t="str">
            <v>None</v>
          </cell>
          <cell r="AK337">
            <v>3</v>
          </cell>
          <cell r="AL337">
            <v>0</v>
          </cell>
          <cell r="AM337" t="str">
            <v>≤ 40%</v>
          </cell>
          <cell r="AN337" t="str">
            <v>Institutional</v>
          </cell>
          <cell r="AO337" t="str">
            <v>&gt; 2</v>
          </cell>
          <cell r="AP337" t="str">
            <v>≥ 50%</v>
          </cell>
          <cell r="AQ337" t="str">
            <v>Europe</v>
          </cell>
          <cell r="AR337" t="str">
            <v>single country</v>
          </cell>
          <cell r="AT337" t="str">
            <v>United Kingdom</v>
          </cell>
          <cell r="AU337" t="str">
            <v>multi sector</v>
          </cell>
          <cell r="AW337">
            <v>500000000</v>
          </cell>
          <cell r="AX337">
            <v>500000000</v>
          </cell>
          <cell r="AY337">
            <v>2013</v>
          </cell>
          <cell r="BB337" t="str">
            <v>No</v>
          </cell>
          <cell r="BD337" t="str">
            <v>No</v>
          </cell>
          <cell r="BE337" t="str">
            <v>≥ 60%</v>
          </cell>
          <cell r="BF337" t="str">
            <v>≤ 15%</v>
          </cell>
          <cell r="BG337" t="str">
            <v>&gt; 5 - ≤ 25%</v>
          </cell>
          <cell r="BH337" t="str">
            <v>2020-12-31</v>
          </cell>
          <cell r="BI337">
            <v>1096976294</v>
          </cell>
          <cell r="BJ337">
            <v>1212761149.0681541</v>
          </cell>
          <cell r="BK337">
            <v>1092485684</v>
          </cell>
          <cell r="BL337">
            <v>1207796559.2466559</v>
          </cell>
          <cell r="BM337">
            <v>0</v>
          </cell>
          <cell r="BN337" t="str">
            <v>No</v>
          </cell>
          <cell r="BO337" t="str">
            <v>External</v>
          </cell>
          <cell r="BP337">
            <v>33</v>
          </cell>
          <cell r="BQ337">
            <v>33</v>
          </cell>
          <cell r="BR337">
            <v>92900000</v>
          </cell>
          <cell r="BS337">
            <v>101999974.63858999</v>
          </cell>
          <cell r="BT337">
            <v>0</v>
          </cell>
          <cell r="BU337">
            <v>0</v>
          </cell>
          <cell r="BV337" t="str">
            <v>Yes</v>
          </cell>
          <cell r="BW337" t="str">
            <v>United Kingdom</v>
          </cell>
          <cell r="BX337" t="str">
            <v>Residential</v>
          </cell>
          <cell r="BY337">
            <v>98.6</v>
          </cell>
        </row>
        <row r="338">
          <cell r="A338">
            <v>18101</v>
          </cell>
          <cell r="B338" t="str">
            <v>M7 EREIP II</v>
          </cell>
          <cell r="C338" t="str">
            <v>M7 REAL ESTATE LTD</v>
          </cell>
          <cell r="D338" t="str">
            <v>22 Lavington Street</v>
          </cell>
          <cell r="E338" t="str">
            <v>SE1 0NZ</v>
          </cell>
          <cell r="F338" t="str">
            <v>London</v>
          </cell>
          <cell r="G338" t="str">
            <v>United Kingdom</v>
          </cell>
          <cell r="H338" t="str">
            <v>+44 (0)20 3657 5500</v>
          </cell>
          <cell r="K338" t="str">
            <v>Jack Thoms</v>
          </cell>
          <cell r="L338" t="str">
            <v>Jack.Thoms@m7re.co.uk</v>
          </cell>
          <cell r="M338">
            <v>2036575530</v>
          </cell>
          <cell r="N338" t="str">
            <v>Teresa Gilchrist</v>
          </cell>
          <cell r="O338" t="str">
            <v>Teresa.Gilchrist@m7re.co.uk</v>
          </cell>
          <cell r="P338">
            <v>2036575520</v>
          </cell>
          <cell r="Q338" t="str">
            <v>Jersey</v>
          </cell>
          <cell r="R338" t="str">
            <v>EUR</v>
          </cell>
          <cell r="S338" t="str">
            <v>IFRS</v>
          </cell>
          <cell r="T338" t="str">
            <v>Quarterly</v>
          </cell>
          <cell r="U338" t="str">
            <v>Quarterly</v>
          </cell>
          <cell r="V338" t="str">
            <v>RICS</v>
          </cell>
          <cell r="W338" t="str">
            <v>IFRS NAV</v>
          </cell>
          <cell r="X338" t="str">
            <v>KPMG</v>
          </cell>
          <cell r="Y338" t="str">
            <v>Limited Partnership</v>
          </cell>
          <cell r="Z338" t="str">
            <v>No</v>
          </cell>
          <cell r="AA338" t="str">
            <v>Yes</v>
          </cell>
          <cell r="AB338">
            <v>4</v>
          </cell>
          <cell r="AC338" t="str">
            <v>Non-Listed Fund</v>
          </cell>
          <cell r="AD338" t="str">
            <v>Value-added</v>
          </cell>
          <cell r="AE338" t="str">
            <v>finite</v>
          </cell>
          <cell r="AF338" t="str">
            <v>Closed end</v>
          </cell>
          <cell r="AM338" t="str">
            <v>&gt; 60%</v>
          </cell>
          <cell r="AN338" t="str">
            <v>Institutional</v>
          </cell>
          <cell r="AO338" t="str">
            <v>&gt; 2</v>
          </cell>
          <cell r="AP338" t="str">
            <v>≥ 50%</v>
          </cell>
          <cell r="AQ338" t="str">
            <v>Europe</v>
          </cell>
          <cell r="AR338" t="str">
            <v>single country</v>
          </cell>
          <cell r="AT338" t="str">
            <v>Netherlands</v>
          </cell>
          <cell r="AU338" t="str">
            <v>multi sector</v>
          </cell>
          <cell r="AW338">
            <v>26000000</v>
          </cell>
          <cell r="AX338">
            <v>80000000</v>
          </cell>
          <cell r="AY338">
            <v>2015</v>
          </cell>
          <cell r="AZ338">
            <v>2020</v>
          </cell>
          <cell r="BA338" t="str">
            <v>Yes</v>
          </cell>
          <cell r="BB338" t="str">
            <v>Yes</v>
          </cell>
          <cell r="BC338" t="str">
            <v>1+1 years</v>
          </cell>
        </row>
        <row r="339">
          <cell r="A339">
            <v>18557</v>
          </cell>
          <cell r="B339" t="str">
            <v>MADELEINE</v>
          </cell>
          <cell r="C339" t="str">
            <v>STAM FRANCE INVESTMENT MANAGERS</v>
          </cell>
          <cell r="D339" t="str">
            <v>18-20 PLACE DE LA MADELEINE</v>
          </cell>
          <cell r="E339">
            <v>75008</v>
          </cell>
          <cell r="F339" t="str">
            <v>PARIS</v>
          </cell>
          <cell r="G339" t="str">
            <v>France</v>
          </cell>
          <cell r="N339" t="str">
            <v>Samantha Sudre Roux</v>
          </cell>
          <cell r="O339" t="str">
            <v>ssudreroux@stam-europe.com</v>
          </cell>
          <cell r="Q339" t="str">
            <v>France</v>
          </cell>
          <cell r="R339" t="str">
            <v>EUR</v>
          </cell>
          <cell r="S339" t="str">
            <v>Local GAAP</v>
          </cell>
          <cell r="T339" t="str">
            <v>Quarterly</v>
          </cell>
          <cell r="U339" t="str">
            <v>Twice per year</v>
          </cell>
          <cell r="V339" t="str">
            <v>RICS</v>
          </cell>
          <cell r="W339" t="str">
            <v>Local GAAP NAV</v>
          </cell>
          <cell r="Y339" t="str">
            <v>Real Estate Fund</v>
          </cell>
          <cell r="Z339" t="str">
            <v>Yes</v>
          </cell>
          <cell r="AA339" t="str">
            <v>Yes</v>
          </cell>
          <cell r="AC339" t="str">
            <v>Non-Listed Fund</v>
          </cell>
          <cell r="AD339" t="str">
            <v>Core</v>
          </cell>
          <cell r="AE339" t="str">
            <v>finite</v>
          </cell>
          <cell r="AF339" t="str">
            <v>Open end</v>
          </cell>
          <cell r="AG339">
            <v>5</v>
          </cell>
          <cell r="AH339">
            <v>6</v>
          </cell>
          <cell r="AI339" t="str">
            <v>Net</v>
          </cell>
          <cell r="AK339">
            <v>4.5</v>
          </cell>
          <cell r="AM339" t="str">
            <v>&gt; 40% - ≤ 60%</v>
          </cell>
          <cell r="AN339" t="str">
            <v>Institutional</v>
          </cell>
          <cell r="AO339" t="str">
            <v>&gt; 2</v>
          </cell>
          <cell r="AP339" t="str">
            <v>≥ 50%</v>
          </cell>
          <cell r="AQ339" t="str">
            <v>Europe</v>
          </cell>
          <cell r="AR339" t="str">
            <v>single country</v>
          </cell>
          <cell r="AT339" t="str">
            <v>France</v>
          </cell>
          <cell r="AU339" t="str">
            <v>multi sector</v>
          </cell>
          <cell r="AW339">
            <v>250000000</v>
          </cell>
          <cell r="AX339">
            <v>500000000</v>
          </cell>
          <cell r="AY339">
            <v>2017</v>
          </cell>
          <cell r="BD339" t="str">
            <v>No</v>
          </cell>
          <cell r="BH339" t="str">
            <v>2020-12-31</v>
          </cell>
          <cell r="BI339">
            <v>414690000</v>
          </cell>
          <cell r="BJ339">
            <v>414690000</v>
          </cell>
          <cell r="BK339">
            <v>257533317</v>
          </cell>
          <cell r="BL339">
            <v>257533317</v>
          </cell>
          <cell r="BM339">
            <v>42.2</v>
          </cell>
          <cell r="BN339" t="str">
            <v>No</v>
          </cell>
          <cell r="BO339" t="str">
            <v>External</v>
          </cell>
          <cell r="BP339">
            <v>24</v>
          </cell>
          <cell r="BQ339">
            <v>9</v>
          </cell>
          <cell r="BR339">
            <v>248200000</v>
          </cell>
          <cell r="BS339">
            <v>248200000</v>
          </cell>
          <cell r="BT339">
            <v>248200000</v>
          </cell>
          <cell r="BU339">
            <v>248200000</v>
          </cell>
          <cell r="BV339" t="str">
            <v>No</v>
          </cell>
          <cell r="BW339" t="str">
            <v>France</v>
          </cell>
          <cell r="BX339" t="str">
            <v>Retail</v>
          </cell>
          <cell r="BY339">
            <v>6</v>
          </cell>
          <cell r="BZ339" t="str">
            <v>France</v>
          </cell>
          <cell r="CA339" t="str">
            <v>Office</v>
          </cell>
          <cell r="CB339">
            <v>94</v>
          </cell>
        </row>
        <row r="340">
          <cell r="A340">
            <v>18587</v>
          </cell>
          <cell r="B340" t="str">
            <v>MADISON INTERNATIONAL REAL ESTATE LIQUIDITY FUND VII, LP</v>
          </cell>
          <cell r="C340" t="str">
            <v>MADISON INTERNATIONAL REALTY</v>
          </cell>
          <cell r="D340" t="str">
            <v>410 Park Ave, Floor 10</v>
          </cell>
          <cell r="E340">
            <v>11217</v>
          </cell>
          <cell r="F340" t="str">
            <v>New York</v>
          </cell>
          <cell r="G340" t="str">
            <v>United States of America</v>
          </cell>
          <cell r="H340" t="str">
            <v>212-688-8777</v>
          </cell>
          <cell r="J340" t="str">
            <v>http://www.madisonint.com</v>
          </cell>
          <cell r="N340" t="str">
            <v>Edward Chen</v>
          </cell>
          <cell r="O340" t="str">
            <v>echen@madisonint.com</v>
          </cell>
          <cell r="P340">
            <v>6466952828</v>
          </cell>
          <cell r="Q340" t="str">
            <v>United States of America</v>
          </cell>
          <cell r="R340" t="str">
            <v>USD</v>
          </cell>
          <cell r="S340" t="str">
            <v>US GAAP</v>
          </cell>
          <cell r="T340" t="str">
            <v>Quarterly</v>
          </cell>
          <cell r="V340" t="str">
            <v>ASC820</v>
          </cell>
          <cell r="X340" t="str">
            <v>E&amp;Y</v>
          </cell>
          <cell r="Y340" t="str">
            <v>Real Estate Fund</v>
          </cell>
          <cell r="Z340" t="str">
            <v>No</v>
          </cell>
          <cell r="AA340" t="str">
            <v>Yes</v>
          </cell>
          <cell r="AB340">
            <v>9</v>
          </cell>
          <cell r="AC340" t="str">
            <v>Non-Listed Fund</v>
          </cell>
          <cell r="AD340" t="str">
            <v>Value-added</v>
          </cell>
          <cell r="AE340" t="str">
            <v>finite</v>
          </cell>
          <cell r="AF340" t="str">
            <v>Closed end</v>
          </cell>
          <cell r="AG340">
            <v>15</v>
          </cell>
          <cell r="AH340">
            <v>20</v>
          </cell>
          <cell r="AI340" t="str">
            <v>Gross</v>
          </cell>
          <cell r="AJ340" t="str">
            <v>None</v>
          </cell>
          <cell r="AK340">
            <v>5</v>
          </cell>
          <cell r="AL340">
            <v>50</v>
          </cell>
          <cell r="AM340" t="str">
            <v>&gt; 60%</v>
          </cell>
          <cell r="AN340" t="str">
            <v>Institutional and Retail</v>
          </cell>
          <cell r="AO340" t="str">
            <v>&gt; 2</v>
          </cell>
          <cell r="AP340" t="str">
            <v>≥ 50%</v>
          </cell>
          <cell r="AQ340" t="str">
            <v>Global</v>
          </cell>
          <cell r="AR340" t="str">
            <v>multi country</v>
          </cell>
          <cell r="AU340" t="str">
            <v>multi sector</v>
          </cell>
          <cell r="AW340">
            <v>1300000000</v>
          </cell>
          <cell r="AY340">
            <v>2018</v>
          </cell>
          <cell r="AZ340">
            <v>2026</v>
          </cell>
          <cell r="BA340" t="str">
            <v>Yes</v>
          </cell>
          <cell r="BB340" t="str">
            <v>Yes</v>
          </cell>
          <cell r="BC340" t="str">
            <v>1+1 years</v>
          </cell>
          <cell r="BD340" t="str">
            <v>No</v>
          </cell>
          <cell r="BE340" t="str">
            <v>&lt; 60%</v>
          </cell>
          <cell r="BF340" t="str">
            <v>≤ 15%</v>
          </cell>
          <cell r="BG340" t="str">
            <v>≤ 5%</v>
          </cell>
        </row>
        <row r="341">
          <cell r="A341">
            <v>17256</v>
          </cell>
          <cell r="B341" t="str">
            <v>MARK EUROPEAN RETAIL PARTNERS II</v>
          </cell>
          <cell r="C341" t="str">
            <v>MARK</v>
          </cell>
          <cell r="D341" t="str">
            <v xml:space="preserve">20 Air Street </v>
          </cell>
          <cell r="E341" t="str">
            <v>W1B 5AN</v>
          </cell>
          <cell r="F341" t="str">
            <v>London</v>
          </cell>
          <cell r="G341" t="str">
            <v>United Kingdom</v>
          </cell>
          <cell r="H341" t="str">
            <v>+442073558300</v>
          </cell>
          <cell r="I341" t="str">
            <v>+442073558301</v>
          </cell>
          <cell r="J341" t="str">
            <v>https://thisismark.com/</v>
          </cell>
          <cell r="K341" t="str">
            <v>Marcus Meijer</v>
          </cell>
          <cell r="L341" t="str">
            <v>Marcus@meyerbergman.com</v>
          </cell>
          <cell r="M341" t="str">
            <v>+442073558300</v>
          </cell>
          <cell r="N341" t="str">
            <v>Lee Purcell</v>
          </cell>
          <cell r="O341" t="str">
            <v>lee@meyerbergman.com</v>
          </cell>
          <cell r="P341" t="str">
            <v>+442073558300</v>
          </cell>
          <cell r="Q341" t="str">
            <v>United Kingdom</v>
          </cell>
          <cell r="R341" t="str">
            <v>EUR</v>
          </cell>
          <cell r="S341" t="str">
            <v>US GAAP</v>
          </cell>
          <cell r="T341" t="str">
            <v>Quarterly</v>
          </cell>
          <cell r="U341" t="str">
            <v>Annually</v>
          </cell>
          <cell r="V341" t="str">
            <v>Other - mark to market</v>
          </cell>
          <cell r="W341" t="str">
            <v>ASC 820</v>
          </cell>
          <cell r="X341" t="str">
            <v>PwC</v>
          </cell>
          <cell r="Y341" t="str">
            <v>Limited Partnership</v>
          </cell>
          <cell r="Z341" t="str">
            <v>No</v>
          </cell>
          <cell r="AA341" t="str">
            <v>Yes</v>
          </cell>
          <cell r="AB341">
            <v>2</v>
          </cell>
          <cell r="AC341" t="str">
            <v>Non-Listed Fund</v>
          </cell>
          <cell r="AD341" t="str">
            <v>Value-added</v>
          </cell>
          <cell r="AE341" t="str">
            <v>finite</v>
          </cell>
          <cell r="AF341" t="str">
            <v>Closed end</v>
          </cell>
          <cell r="AG341">
            <v>18</v>
          </cell>
          <cell r="AH341">
            <v>20</v>
          </cell>
          <cell r="AI341" t="str">
            <v>Gross</v>
          </cell>
          <cell r="AJ341" t="str">
            <v>NA</v>
          </cell>
          <cell r="AK341">
            <v>4</v>
          </cell>
          <cell r="AL341">
            <v>50</v>
          </cell>
          <cell r="AM341" t="str">
            <v>&gt; 40% - ≤ 60%</v>
          </cell>
          <cell r="AN341" t="str">
            <v>Institutional</v>
          </cell>
          <cell r="AO341" t="str">
            <v>&gt; 2</v>
          </cell>
          <cell r="AP341" t="str">
            <v>≥ 50%</v>
          </cell>
          <cell r="AQ341" t="str">
            <v>Europe</v>
          </cell>
          <cell r="AR341" t="str">
            <v>multi country</v>
          </cell>
          <cell r="AS341" t="str">
            <v>Europe</v>
          </cell>
          <cell r="AU341" t="str">
            <v>single sector</v>
          </cell>
          <cell r="AV341" t="str">
            <v>Mixed</v>
          </cell>
          <cell r="AW341">
            <v>500000000</v>
          </cell>
          <cell r="AY341">
            <v>2012</v>
          </cell>
          <cell r="AZ341">
            <v>2021</v>
          </cell>
          <cell r="BA341" t="str">
            <v>Yes</v>
          </cell>
          <cell r="BB341" t="str">
            <v>Yes</v>
          </cell>
          <cell r="BC341" t="str">
            <v>1+1 years</v>
          </cell>
          <cell r="BD341" t="str">
            <v>No</v>
          </cell>
          <cell r="BE341" t="str">
            <v>&lt; 60%</v>
          </cell>
          <cell r="BF341" t="str">
            <v>≤ 15%</v>
          </cell>
          <cell r="BG341" t="str">
            <v>&gt; 5 - ≤ 25%</v>
          </cell>
          <cell r="BH341" t="str">
            <v>2020-09-30</v>
          </cell>
          <cell r="BI341">
            <v>993200000</v>
          </cell>
          <cell r="BJ341">
            <v>993200000</v>
          </cell>
          <cell r="BK341">
            <v>501500000</v>
          </cell>
          <cell r="BL341">
            <v>501500000</v>
          </cell>
          <cell r="BM341">
            <v>49.5</v>
          </cell>
          <cell r="BN341" t="str">
            <v>No</v>
          </cell>
          <cell r="BO341" t="str">
            <v>Internal</v>
          </cell>
          <cell r="BP341">
            <v>16</v>
          </cell>
          <cell r="BQ341">
            <v>8</v>
          </cell>
          <cell r="BS341">
            <v>0</v>
          </cell>
          <cell r="BT341">
            <v>1021500000</v>
          </cell>
          <cell r="BV341" t="str">
            <v>No</v>
          </cell>
        </row>
        <row r="342">
          <cell r="A342">
            <v>17685</v>
          </cell>
          <cell r="B342" t="str">
            <v>MARK EUROPEAN RETAIL PARTNERS III</v>
          </cell>
          <cell r="C342" t="str">
            <v>MARK</v>
          </cell>
          <cell r="D342" t="str">
            <v xml:space="preserve">20 Air Street </v>
          </cell>
          <cell r="E342" t="str">
            <v>W1B 5AN</v>
          </cell>
          <cell r="F342" t="str">
            <v>London</v>
          </cell>
          <cell r="G342" t="str">
            <v>United Kingdom</v>
          </cell>
          <cell r="H342" t="str">
            <v>+442073558300</v>
          </cell>
          <cell r="I342" t="str">
            <v>+442073558301</v>
          </cell>
          <cell r="J342" t="str">
            <v>https://thisismark.com/</v>
          </cell>
          <cell r="K342" t="str">
            <v>Marcus Meijer</v>
          </cell>
          <cell r="L342" t="str">
            <v>Marcus@meyerbergman.com</v>
          </cell>
          <cell r="M342" t="str">
            <v>+442073558300</v>
          </cell>
          <cell r="N342" t="str">
            <v>Lee Purcell</v>
          </cell>
          <cell r="O342" t="str">
            <v>lee@meyerbergman.com</v>
          </cell>
          <cell r="P342" t="str">
            <v>+442073558300</v>
          </cell>
          <cell r="Q342" t="str">
            <v>United Kingdom</v>
          </cell>
          <cell r="R342" t="str">
            <v>EUR</v>
          </cell>
          <cell r="S342" t="str">
            <v>US GAAP</v>
          </cell>
          <cell r="T342" t="str">
            <v>Quarterly</v>
          </cell>
          <cell r="U342" t="str">
            <v>Annually</v>
          </cell>
          <cell r="V342" t="str">
            <v>Other - mark to market</v>
          </cell>
          <cell r="W342" t="str">
            <v>ASC 820</v>
          </cell>
          <cell r="X342" t="str">
            <v>PwC</v>
          </cell>
          <cell r="Y342" t="str">
            <v>Limited Partnership</v>
          </cell>
          <cell r="Z342" t="str">
            <v>No</v>
          </cell>
          <cell r="AA342" t="str">
            <v>Yes</v>
          </cell>
          <cell r="AB342">
            <v>2</v>
          </cell>
          <cell r="AC342" t="str">
            <v>Non-Listed Fund</v>
          </cell>
          <cell r="AD342" t="str">
            <v>Value-added</v>
          </cell>
          <cell r="AE342" t="str">
            <v>finite</v>
          </cell>
          <cell r="AF342" t="str">
            <v>Closed end</v>
          </cell>
          <cell r="AG342">
            <v>18</v>
          </cell>
          <cell r="AH342">
            <v>20</v>
          </cell>
          <cell r="AI342" t="str">
            <v>Gross</v>
          </cell>
          <cell r="AJ342" t="str">
            <v>NA</v>
          </cell>
          <cell r="AK342">
            <v>4</v>
          </cell>
          <cell r="AL342">
            <v>50</v>
          </cell>
          <cell r="AM342" t="str">
            <v>&gt; 40% - ≤ 60%</v>
          </cell>
          <cell r="AN342" t="str">
            <v>Institutional</v>
          </cell>
          <cell r="AO342" t="str">
            <v>&gt; 2</v>
          </cell>
          <cell r="AP342" t="str">
            <v>≥ 50%</v>
          </cell>
          <cell r="AQ342" t="str">
            <v>Europe</v>
          </cell>
          <cell r="AR342" t="str">
            <v>multi country</v>
          </cell>
          <cell r="AS342" t="str">
            <v>Europe</v>
          </cell>
          <cell r="AU342" t="str">
            <v>single sector</v>
          </cell>
          <cell r="AV342" t="str">
            <v>Mixed</v>
          </cell>
          <cell r="AW342">
            <v>900000000</v>
          </cell>
          <cell r="AY342">
            <v>2015</v>
          </cell>
          <cell r="AZ342">
            <v>2025</v>
          </cell>
          <cell r="BA342" t="str">
            <v>Yes</v>
          </cell>
          <cell r="BB342" t="str">
            <v>Yes</v>
          </cell>
          <cell r="BC342" t="str">
            <v>1+1 years</v>
          </cell>
          <cell r="BD342" t="str">
            <v>No</v>
          </cell>
          <cell r="BE342" t="str">
            <v>&lt; 60%</v>
          </cell>
          <cell r="BF342" t="str">
            <v>≤ 15%</v>
          </cell>
          <cell r="BG342" t="str">
            <v>&gt; 5 - ≤ 25%</v>
          </cell>
          <cell r="BH342" t="str">
            <v>2019-03-31</v>
          </cell>
          <cell r="BI342">
            <v>900900000</v>
          </cell>
          <cell r="BJ342">
            <v>900900000</v>
          </cell>
          <cell r="BK342">
            <v>536300000</v>
          </cell>
          <cell r="BL342">
            <v>536300000</v>
          </cell>
          <cell r="BM342">
            <v>40</v>
          </cell>
          <cell r="BN342" t="str">
            <v>Yes</v>
          </cell>
          <cell r="BO342" t="str">
            <v>External</v>
          </cell>
          <cell r="BP342">
            <v>15</v>
          </cell>
          <cell r="BQ342">
            <v>13</v>
          </cell>
          <cell r="BS342">
            <v>0</v>
          </cell>
          <cell r="BT342">
            <v>616100000</v>
          </cell>
          <cell r="BV342" t="str">
            <v>No</v>
          </cell>
          <cell r="BW342" t="str">
            <v>Monaco</v>
          </cell>
          <cell r="BX342" t="str">
            <v>Mixed</v>
          </cell>
          <cell r="BY342">
            <v>24</v>
          </cell>
          <cell r="BZ342" t="str">
            <v>France</v>
          </cell>
          <cell r="CA342" t="str">
            <v>Mixed</v>
          </cell>
          <cell r="CB342">
            <v>17</v>
          </cell>
          <cell r="CC342" t="str">
            <v>United Kingdom</v>
          </cell>
          <cell r="CD342" t="str">
            <v>Mixed</v>
          </cell>
          <cell r="CE342">
            <v>16</v>
          </cell>
          <cell r="CF342" t="str">
            <v>Norway</v>
          </cell>
          <cell r="CG342" t="str">
            <v>Mixed</v>
          </cell>
          <cell r="CH342">
            <v>14</v>
          </cell>
          <cell r="CI342" t="str">
            <v>Ireland</v>
          </cell>
          <cell r="CJ342" t="str">
            <v>Mixed</v>
          </cell>
          <cell r="CK342">
            <v>10</v>
          </cell>
          <cell r="CL342" t="str">
            <v>Italy</v>
          </cell>
          <cell r="CM342" t="str">
            <v>Mixed</v>
          </cell>
          <cell r="CN342">
            <v>8</v>
          </cell>
          <cell r="CO342" t="str">
            <v>Germany</v>
          </cell>
          <cell r="CP342" t="str">
            <v>Mixed</v>
          </cell>
          <cell r="CQ342">
            <v>10</v>
          </cell>
        </row>
        <row r="343">
          <cell r="A343">
            <v>19318</v>
          </cell>
          <cell r="B343" t="str">
            <v>MARKTPASSAGEN JENA WIELAND KG</v>
          </cell>
          <cell r="C343" t="str">
            <v>DWS GRUNDBESITZ GMBH</v>
          </cell>
          <cell r="D343" t="str">
            <v>Mainzer Landstr. 11-17</v>
          </cell>
          <cell r="E343" t="str">
            <v xml:space="preserve">60329 </v>
          </cell>
          <cell r="F343" t="str">
            <v>Frankfurt am Main</v>
          </cell>
          <cell r="G343" t="str">
            <v>Germany</v>
          </cell>
          <cell r="K343" t="str">
            <v>Juliane Germann</v>
          </cell>
          <cell r="L343" t="str">
            <v>juliane.germann@dws.com</v>
          </cell>
          <cell r="M343" t="str">
            <v>+49 (69) 910 - 14962</v>
          </cell>
          <cell r="Q343" t="str">
            <v>Germany</v>
          </cell>
          <cell r="R343" t="str">
            <v>EUR</v>
          </cell>
          <cell r="S343" t="str">
            <v>HGB</v>
          </cell>
          <cell r="T343" t="str">
            <v>Annually</v>
          </cell>
          <cell r="U343" t="str">
            <v>Annually</v>
          </cell>
          <cell r="V343" t="str">
            <v>ImmoWertV</v>
          </cell>
          <cell r="W343" t="str">
            <v>KAGB</v>
          </cell>
          <cell r="X343" t="str">
            <v>BDO</v>
          </cell>
          <cell r="Y343" t="str">
            <v>Publikumsfonds</v>
          </cell>
          <cell r="Z343" t="str">
            <v>No</v>
          </cell>
          <cell r="AC343" t="str">
            <v>Non-Listed Fund</v>
          </cell>
          <cell r="AD343" t="str">
            <v>Core</v>
          </cell>
          <cell r="AE343" t="str">
            <v>finite</v>
          </cell>
          <cell r="AF343" t="str">
            <v>Closed end</v>
          </cell>
          <cell r="AN343" t="str">
            <v>Retail</v>
          </cell>
          <cell r="AO343" t="str">
            <v>&gt; 2</v>
          </cell>
          <cell r="AP343" t="str">
            <v>&lt; 50%</v>
          </cell>
          <cell r="AQ343" t="str">
            <v>Europe</v>
          </cell>
          <cell r="AR343" t="str">
            <v>single country</v>
          </cell>
          <cell r="AT343" t="str">
            <v>Germany</v>
          </cell>
          <cell r="AU343" t="str">
            <v>multi sector</v>
          </cell>
          <cell r="AY343">
            <v>1997</v>
          </cell>
          <cell r="BH343" t="str">
            <v>2018-12-31</v>
          </cell>
          <cell r="BI343">
            <v>15460000</v>
          </cell>
          <cell r="BJ343">
            <v>15460000</v>
          </cell>
          <cell r="BK343">
            <v>12629760</v>
          </cell>
          <cell r="BL343">
            <v>12629760</v>
          </cell>
          <cell r="BM343">
            <v>28.37</v>
          </cell>
          <cell r="BN343" t="str">
            <v>Yes</v>
          </cell>
          <cell r="BO343" t="str">
            <v>External</v>
          </cell>
          <cell r="BP343">
            <v>0</v>
          </cell>
          <cell r="BQ343">
            <v>1</v>
          </cell>
          <cell r="BS343">
            <v>0</v>
          </cell>
          <cell r="BV343" t="str">
            <v>No</v>
          </cell>
          <cell r="BW343" t="str">
            <v>Germany</v>
          </cell>
          <cell r="BX343" t="str">
            <v>Mixed</v>
          </cell>
          <cell r="BY343">
            <v>100</v>
          </cell>
        </row>
        <row r="344">
          <cell r="A344">
            <v>19591</v>
          </cell>
          <cell r="B344" t="str">
            <v>MASTER HALLE</v>
          </cell>
          <cell r="C344" t="str">
            <v>WARBURG-HIH INVEST REAL ESTATE GMBH</v>
          </cell>
          <cell r="D344" t="str">
            <v>Gertrudenstraße 9</v>
          </cell>
          <cell r="E344">
            <v>20095</v>
          </cell>
          <cell r="F344" t="str">
            <v>Hamburg</v>
          </cell>
          <cell r="G344" t="str">
            <v>Germany</v>
          </cell>
          <cell r="H344" t="str">
            <v>+494032826317</v>
          </cell>
          <cell r="Q344" t="str">
            <v>Germany</v>
          </cell>
          <cell r="R344" t="str">
            <v>EUR</v>
          </cell>
          <cell r="S344" t="str">
            <v>German Capital Investment Law</v>
          </cell>
          <cell r="T344" t="str">
            <v>Quarterly</v>
          </cell>
          <cell r="U344" t="str">
            <v>Annually</v>
          </cell>
          <cell r="V344" t="str">
            <v>ImmoWertV</v>
          </cell>
          <cell r="W344" t="str">
            <v>BVI-Method</v>
          </cell>
          <cell r="Y344" t="str">
            <v>Spezialfonds</v>
          </cell>
          <cell r="Z344" t="str">
            <v>No</v>
          </cell>
          <cell r="AA344" t="str">
            <v>No</v>
          </cell>
          <cell r="AB344">
            <v>0</v>
          </cell>
          <cell r="AC344" t="str">
            <v>Non-Listed Fund</v>
          </cell>
          <cell r="AD344" t="str">
            <v>Core</v>
          </cell>
          <cell r="AE344" t="str">
            <v>infinite</v>
          </cell>
          <cell r="AF344" t="str">
            <v>Open end</v>
          </cell>
          <cell r="AM344" t="str">
            <v>&gt; 40% - ≤ 60%</v>
          </cell>
          <cell r="AN344" t="str">
            <v>Institutional</v>
          </cell>
          <cell r="AO344" t="str">
            <v>&gt; 2</v>
          </cell>
          <cell r="AP344" t="str">
            <v>≥ 50%</v>
          </cell>
          <cell r="AQ344" t="str">
            <v>Europe</v>
          </cell>
          <cell r="AR344" t="str">
            <v>single country</v>
          </cell>
          <cell r="AT344" t="str">
            <v>Germany</v>
          </cell>
          <cell r="AU344" t="str">
            <v>multi sector</v>
          </cell>
          <cell r="AY344">
            <v>2020</v>
          </cell>
          <cell r="BD344" t="str">
            <v>No</v>
          </cell>
          <cell r="BH344" t="str">
            <v>2020-12-31</v>
          </cell>
          <cell r="BI344">
            <v>409084995.48000002</v>
          </cell>
          <cell r="BJ344">
            <v>409084995.48000002</v>
          </cell>
          <cell r="BK344">
            <v>409051459.11000001</v>
          </cell>
          <cell r="BL344">
            <v>409051459.11000001</v>
          </cell>
          <cell r="BM344">
            <v>0</v>
          </cell>
          <cell r="BN344" t="str">
            <v>No</v>
          </cell>
          <cell r="BO344" t="str">
            <v>External</v>
          </cell>
          <cell r="BP344">
            <v>1</v>
          </cell>
          <cell r="BQ344">
            <v>0</v>
          </cell>
          <cell r="BR344">
            <v>485197988.19999999</v>
          </cell>
          <cell r="BS344">
            <v>485197988.19999999</v>
          </cell>
          <cell r="BT344">
            <v>395663340.74000001</v>
          </cell>
          <cell r="BU344">
            <v>395663340.74000001</v>
          </cell>
          <cell r="BV344" t="str">
            <v>No</v>
          </cell>
        </row>
        <row r="345">
          <cell r="A345">
            <v>18414</v>
          </cell>
          <cell r="B345" t="str">
            <v>MEDICX HEALTHFUND II</v>
          </cell>
          <cell r="C345" t="str">
            <v>MEDICX ADVISER LTD</v>
          </cell>
          <cell r="D345" t="str">
            <v>6th Floor 33 Holborn</v>
          </cell>
          <cell r="E345" t="str">
            <v>EC1N 2HT</v>
          </cell>
          <cell r="F345" t="str">
            <v>London</v>
          </cell>
          <cell r="G345" t="str">
            <v>United Kingdom</v>
          </cell>
          <cell r="J345" t="str">
            <v>https://octopusinvestments.com/institutional-investor/investment-capabilities/healthcare-infrastructure/</v>
          </cell>
          <cell r="K345" t="str">
            <v>Ben Penaliggon</v>
          </cell>
          <cell r="L345" t="str">
            <v>Ben.Penaliggon@octopushealthcare.com</v>
          </cell>
          <cell r="M345" t="str">
            <v>+44 (0) 203 142 4052</v>
          </cell>
          <cell r="N345" t="str">
            <v>Baafour Totoe</v>
          </cell>
          <cell r="O345" t="str">
            <v>baafour.totoe@octopusinvestments.com</v>
          </cell>
          <cell r="P345" t="str">
            <v>+44 (0) 203 142 4871</v>
          </cell>
          <cell r="Q345" t="str">
            <v>United Kingdom</v>
          </cell>
          <cell r="R345" t="str">
            <v>GBP</v>
          </cell>
          <cell r="S345" t="str">
            <v>IFRS</v>
          </cell>
          <cell r="T345" t="str">
            <v>Quarterly</v>
          </cell>
          <cell r="U345" t="str">
            <v>Quarterly</v>
          </cell>
          <cell r="V345" t="str">
            <v>RICS</v>
          </cell>
          <cell r="W345" t="str">
            <v>IFRS NAV</v>
          </cell>
          <cell r="X345" t="str">
            <v>BDO Limted</v>
          </cell>
          <cell r="Y345" t="str">
            <v>Limited Partnership</v>
          </cell>
          <cell r="Z345" t="str">
            <v>Yes</v>
          </cell>
          <cell r="AA345" t="str">
            <v>No</v>
          </cell>
          <cell r="AC345" t="str">
            <v>Non-Listed Fund</v>
          </cell>
          <cell r="AD345" t="str">
            <v>Core</v>
          </cell>
          <cell r="AE345" t="str">
            <v>finite</v>
          </cell>
          <cell r="AF345" t="str">
            <v>Closed end</v>
          </cell>
          <cell r="AK345">
            <v>7</v>
          </cell>
          <cell r="AL345">
            <v>30</v>
          </cell>
          <cell r="AM345" t="str">
            <v>≤ 40%</v>
          </cell>
          <cell r="AN345" t="str">
            <v>Institutional</v>
          </cell>
          <cell r="AO345" t="str">
            <v>&gt; 2</v>
          </cell>
          <cell r="AP345" t="str">
            <v>≥ 50%</v>
          </cell>
          <cell r="AQ345" t="str">
            <v>Europe</v>
          </cell>
          <cell r="AR345" t="str">
            <v>single country</v>
          </cell>
          <cell r="AT345" t="str">
            <v>United Kingdom</v>
          </cell>
          <cell r="AU345" t="str">
            <v>single sector</v>
          </cell>
          <cell r="AV345" t="str">
            <v>Health Care</v>
          </cell>
          <cell r="AW345">
            <v>252000000</v>
          </cell>
          <cell r="AX345">
            <v>252000000</v>
          </cell>
          <cell r="AY345">
            <v>2013</v>
          </cell>
          <cell r="AZ345">
            <v>2019</v>
          </cell>
          <cell r="BA345" t="str">
            <v>Yes</v>
          </cell>
          <cell r="BB345" t="str">
            <v>No</v>
          </cell>
          <cell r="BD345" t="str">
            <v>No</v>
          </cell>
          <cell r="BE345" t="str">
            <v>≥ 60%</v>
          </cell>
          <cell r="BF345" t="str">
            <v>&gt; 15% - ≤ 40%</v>
          </cell>
          <cell r="BG345" t="str">
            <v>&gt; 5 - ≤ 25%</v>
          </cell>
          <cell r="BH345" t="str">
            <v>2020-12-31</v>
          </cell>
          <cell r="BI345">
            <v>17021422</v>
          </cell>
          <cell r="BJ345">
            <v>18818017.68771309</v>
          </cell>
          <cell r="BK345">
            <v>15964690</v>
          </cell>
          <cell r="BL345">
            <v>17649748.581455551</v>
          </cell>
          <cell r="BM345">
            <v>0</v>
          </cell>
          <cell r="BN345" t="str">
            <v>No</v>
          </cell>
          <cell r="BO345" t="str">
            <v>Internal</v>
          </cell>
          <cell r="BP345">
            <v>8</v>
          </cell>
          <cell r="BQ345">
            <v>1</v>
          </cell>
          <cell r="BR345">
            <v>187900000</v>
          </cell>
          <cell r="BS345">
            <v>206305653.76309001</v>
          </cell>
          <cell r="BT345">
            <v>187900000</v>
          </cell>
          <cell r="BU345">
            <v>206305653.76309001</v>
          </cell>
          <cell r="BV345" t="str">
            <v>No</v>
          </cell>
          <cell r="BW345" t="str">
            <v>United Kingdom</v>
          </cell>
          <cell r="BX345" t="str">
            <v>Aged care</v>
          </cell>
          <cell r="BY345">
            <v>70</v>
          </cell>
        </row>
        <row r="346">
          <cell r="A346">
            <v>18454</v>
          </cell>
          <cell r="B346" t="str">
            <v>MHL</v>
          </cell>
          <cell r="C346" t="str">
            <v>MAN GLOBAL PRIVATE MARKETS</v>
          </cell>
          <cell r="D346" t="str">
            <v>2 Swan Lane</v>
          </cell>
          <cell r="E346" t="str">
            <v>EC4R 3AD</v>
          </cell>
          <cell r="F346" t="str">
            <v>London</v>
          </cell>
          <cell r="G346" t="str">
            <v>United Kingdom</v>
          </cell>
          <cell r="J346" t="str">
            <v>https://www.man.com/gpm-aalto</v>
          </cell>
          <cell r="K346" t="str">
            <v>Travis Masters</v>
          </cell>
          <cell r="L346" t="str">
            <v>Travis.Masters@man.com</v>
          </cell>
          <cell r="M346" t="str">
            <v>+1 (980) 321-7561</v>
          </cell>
          <cell r="N346" t="str">
            <v>Jonathan Shaw</v>
          </cell>
          <cell r="O346" t="str">
            <v>Jonathan.Shaw@Man.com</v>
          </cell>
          <cell r="P346">
            <v>2071142911</v>
          </cell>
          <cell r="Q346" t="str">
            <v>United States of America</v>
          </cell>
          <cell r="R346" t="str">
            <v>USD</v>
          </cell>
          <cell r="S346" t="str">
            <v>US GAAP</v>
          </cell>
          <cell r="T346" t="str">
            <v>Annually</v>
          </cell>
          <cell r="U346" t="str">
            <v>Annually</v>
          </cell>
          <cell r="V346" t="str">
            <v>CoreLogic: Automated Valuation Estimate or Broker Price Option; otherwise RedBell Valuation Risk Review ; or valued at cost if in development</v>
          </cell>
          <cell r="W346" t="str">
            <v>CoreLogic (Automated Valuation Model): PASS</v>
          </cell>
          <cell r="X346" t="str">
            <v>Grant Thornton</v>
          </cell>
          <cell r="Y346" t="str">
            <v>Real Estate Fund</v>
          </cell>
          <cell r="Z346" t="str">
            <v>No</v>
          </cell>
          <cell r="AA346" t="str">
            <v>Yes</v>
          </cell>
          <cell r="AC346" t="str">
            <v>Separate account</v>
          </cell>
          <cell r="AD346" t="str">
            <v>Core</v>
          </cell>
          <cell r="AE346" t="str">
            <v>finite</v>
          </cell>
          <cell r="AF346" t="str">
            <v>Closed end</v>
          </cell>
          <cell r="AG346">
            <v>7</v>
          </cell>
          <cell r="AH346">
            <v>9</v>
          </cell>
          <cell r="AI346" t="str">
            <v>Gross</v>
          </cell>
          <cell r="AJ346" t="str">
            <v>None</v>
          </cell>
          <cell r="AL346">
            <v>0</v>
          </cell>
          <cell r="AM346" t="str">
            <v>≤ 40%</v>
          </cell>
          <cell r="AN346" t="str">
            <v>Institutional</v>
          </cell>
          <cell r="AO346" t="str">
            <v>≤ 2</v>
          </cell>
          <cell r="AP346" t="str">
            <v>≥ 50%</v>
          </cell>
          <cell r="AQ346" t="str">
            <v>North America</v>
          </cell>
          <cell r="AR346" t="str">
            <v>single country</v>
          </cell>
          <cell r="AT346" t="str">
            <v>United States of America</v>
          </cell>
          <cell r="AU346" t="str">
            <v>single sector</v>
          </cell>
          <cell r="AV346" t="str">
            <v>Residential</v>
          </cell>
          <cell r="AW346">
            <v>50000000</v>
          </cell>
          <cell r="AY346">
            <v>2015</v>
          </cell>
          <cell r="BA346" t="str">
            <v>No</v>
          </cell>
          <cell r="BF346" t="str">
            <v>≤ 15%</v>
          </cell>
        </row>
        <row r="347">
          <cell r="A347">
            <v>17852</v>
          </cell>
          <cell r="B347" t="str">
            <v>MHREC</v>
          </cell>
          <cell r="C347" t="str">
            <v>COIMA SGR</v>
          </cell>
          <cell r="D347" t="str">
            <v>Via Moscova, 18</v>
          </cell>
          <cell r="E347">
            <v>20121</v>
          </cell>
          <cell r="F347" t="str">
            <v>Milan</v>
          </cell>
          <cell r="G347" t="str">
            <v>Italy</v>
          </cell>
          <cell r="H347" t="str">
            <v>39 02655006601</v>
          </cell>
          <cell r="J347" t="str">
            <v>http://www.coimasgr.it</v>
          </cell>
          <cell r="K347" t="str">
            <v>Luigi Massimilla</v>
          </cell>
          <cell r="L347" t="str">
            <v>luigi.massimilla@coimasgr.com</v>
          </cell>
          <cell r="M347" t="str">
            <v>+39 0265506601</v>
          </cell>
          <cell r="N347" t="str">
            <v>Kelly Russell</v>
          </cell>
          <cell r="O347" t="str">
            <v>kelly.russell@coimasgr.com</v>
          </cell>
          <cell r="P347" t="str">
            <v>+39 0265506601</v>
          </cell>
          <cell r="Q347" t="str">
            <v>Italy</v>
          </cell>
          <cell r="R347" t="str">
            <v>EUR</v>
          </cell>
          <cell r="S347" t="str">
            <v>Local GAAP</v>
          </cell>
          <cell r="T347" t="str">
            <v>Twice per year</v>
          </cell>
          <cell r="U347" t="str">
            <v>Twice per year</v>
          </cell>
          <cell r="V347" t="str">
            <v>NAV</v>
          </cell>
          <cell r="X347" t="str">
            <v>Ernst &amp; Young</v>
          </cell>
          <cell r="Y347" t="str">
            <v>Real Estate Fund</v>
          </cell>
          <cell r="Z347" t="str">
            <v>No</v>
          </cell>
          <cell r="AA347" t="str">
            <v>Yes</v>
          </cell>
          <cell r="AB347">
            <v>2</v>
          </cell>
          <cell r="AC347" t="str">
            <v>Non-Listed Fund</v>
          </cell>
          <cell r="AD347" t="str">
            <v>Value-added</v>
          </cell>
          <cell r="AE347" t="str">
            <v>finite</v>
          </cell>
          <cell r="AF347" t="str">
            <v>Closed end</v>
          </cell>
          <cell r="AM347" t="str">
            <v>&gt; 40% - ≤ 60%</v>
          </cell>
          <cell r="AN347" t="str">
            <v>Institutional</v>
          </cell>
          <cell r="AO347" t="str">
            <v>&gt; 2</v>
          </cell>
          <cell r="AP347" t="str">
            <v>≥ 50%</v>
          </cell>
          <cell r="AQ347" t="str">
            <v>Europe</v>
          </cell>
          <cell r="AR347" t="str">
            <v>multi country</v>
          </cell>
          <cell r="AS347" t="str">
            <v>Europe</v>
          </cell>
          <cell r="AU347" t="str">
            <v>multi sector</v>
          </cell>
          <cell r="AW347">
            <v>150000000</v>
          </cell>
          <cell r="AX347">
            <v>375000000</v>
          </cell>
          <cell r="AY347">
            <v>2005</v>
          </cell>
          <cell r="AZ347">
            <v>2018</v>
          </cell>
          <cell r="BA347" t="str">
            <v>Yes</v>
          </cell>
          <cell r="BB347" t="str">
            <v>Yes</v>
          </cell>
          <cell r="BC347" t="str">
            <v>3 years fixed</v>
          </cell>
          <cell r="BD347" t="str">
            <v>No</v>
          </cell>
          <cell r="BE347" t="str">
            <v>&lt; 60%</v>
          </cell>
          <cell r="BF347" t="str">
            <v>≤ 15%</v>
          </cell>
          <cell r="BG347" t="str">
            <v>≤ 5%</v>
          </cell>
          <cell r="BH347" t="str">
            <v>2020-09-30</v>
          </cell>
          <cell r="BI347">
            <v>206482989</v>
          </cell>
          <cell r="BJ347">
            <v>206482989</v>
          </cell>
          <cell r="BK347">
            <v>155928081</v>
          </cell>
          <cell r="BL347">
            <v>155928081</v>
          </cell>
          <cell r="BM347">
            <v>23</v>
          </cell>
          <cell r="BN347" t="str">
            <v>No</v>
          </cell>
          <cell r="BO347" t="str">
            <v>Internal</v>
          </cell>
          <cell r="BP347">
            <v>3</v>
          </cell>
          <cell r="BQ347">
            <v>1</v>
          </cell>
          <cell r="BR347">
            <v>169320000</v>
          </cell>
          <cell r="BS347">
            <v>169320000</v>
          </cell>
          <cell r="BT347">
            <v>169320000</v>
          </cell>
          <cell r="BU347">
            <v>169320000</v>
          </cell>
          <cell r="BV347" t="str">
            <v>No</v>
          </cell>
          <cell r="BW347" t="str">
            <v>Italy</v>
          </cell>
          <cell r="BX347" t="str">
            <v>Hotel</v>
          </cell>
          <cell r="BY347">
            <v>20</v>
          </cell>
          <cell r="BZ347" t="str">
            <v>Italy</v>
          </cell>
          <cell r="CA347" t="str">
            <v>Office</v>
          </cell>
          <cell r="CB347">
            <v>60</v>
          </cell>
        </row>
        <row r="348">
          <cell r="A348">
            <v>16677</v>
          </cell>
          <cell r="B348" t="str">
            <v>MOORFIELD REAL ESTATE FUND III</v>
          </cell>
          <cell r="C348" t="str">
            <v>MOORFIELD GROUP LTD</v>
          </cell>
          <cell r="D348" t="str">
            <v>10 Grosvenor Street</v>
          </cell>
          <cell r="E348" t="str">
            <v>W1K 4QB</v>
          </cell>
          <cell r="F348" t="str">
            <v>London</v>
          </cell>
          <cell r="G348" t="str">
            <v>United Kingdom</v>
          </cell>
          <cell r="H348" t="str">
            <v>+442073991900</v>
          </cell>
          <cell r="I348" t="str">
            <v>+442074992114</v>
          </cell>
          <cell r="J348" t="str">
            <v>http://www.moorfield.com</v>
          </cell>
          <cell r="K348" t="str">
            <v xml:space="preserve">Moorfield </v>
          </cell>
          <cell r="M348" t="str">
            <v>+442073991900</v>
          </cell>
          <cell r="N348" t="str">
            <v>Robbert Zoet</v>
          </cell>
          <cell r="O348" t="str">
            <v>robbert.zoet@moorfield.com</v>
          </cell>
          <cell r="P348" t="str">
            <v>+442073991900</v>
          </cell>
          <cell r="Q348" t="str">
            <v>United Kingdom</v>
          </cell>
          <cell r="R348" t="str">
            <v>GBP</v>
          </cell>
          <cell r="S348" t="str">
            <v>IFRS</v>
          </cell>
          <cell r="T348" t="str">
            <v>Quarterly</v>
          </cell>
          <cell r="U348" t="str">
            <v>Annually</v>
          </cell>
          <cell r="V348" t="str">
            <v>RICS</v>
          </cell>
          <cell r="W348" t="str">
            <v>IFRS NAV</v>
          </cell>
          <cell r="X348" t="str">
            <v>PricewaterhouseCoopers</v>
          </cell>
          <cell r="Y348" t="str">
            <v>Limited Partnership</v>
          </cell>
          <cell r="Z348" t="str">
            <v>No</v>
          </cell>
          <cell r="AA348" t="str">
            <v>No</v>
          </cell>
          <cell r="AB348">
            <v>0</v>
          </cell>
          <cell r="AC348" t="str">
            <v>Non-Listed Fund</v>
          </cell>
          <cell r="AD348" t="str">
            <v>Opportunity</v>
          </cell>
          <cell r="AE348" t="str">
            <v>finite</v>
          </cell>
          <cell r="AF348" t="str">
            <v>Closed end</v>
          </cell>
          <cell r="AG348">
            <v>15</v>
          </cell>
          <cell r="AH348">
            <v>20</v>
          </cell>
          <cell r="AI348" t="str">
            <v>Gross</v>
          </cell>
          <cell r="AJ348" t="str">
            <v>Absolute</v>
          </cell>
          <cell r="AL348">
            <v>50</v>
          </cell>
          <cell r="AM348" t="str">
            <v>&gt; 40% - ≤ 60%</v>
          </cell>
          <cell r="AN348" t="str">
            <v>Institutional</v>
          </cell>
          <cell r="AO348" t="str">
            <v>&gt; 2</v>
          </cell>
          <cell r="AP348" t="str">
            <v>≥ 50%</v>
          </cell>
          <cell r="AQ348" t="str">
            <v>Europe</v>
          </cell>
          <cell r="AR348" t="str">
            <v>single country</v>
          </cell>
          <cell r="AT348" t="str">
            <v>United Kingdom</v>
          </cell>
          <cell r="AU348" t="str">
            <v>multi sector</v>
          </cell>
          <cell r="AW348">
            <v>250000000</v>
          </cell>
          <cell r="AX348">
            <v>750000000</v>
          </cell>
          <cell r="AY348">
            <v>2013</v>
          </cell>
          <cell r="AZ348">
            <v>2021</v>
          </cell>
          <cell r="BA348" t="str">
            <v>Yes</v>
          </cell>
          <cell r="BB348" t="str">
            <v>Yes</v>
          </cell>
          <cell r="BC348" t="str">
            <v>1+1 years</v>
          </cell>
          <cell r="BD348" t="str">
            <v>No</v>
          </cell>
          <cell r="BE348" t="str">
            <v>&lt; 60%</v>
          </cell>
          <cell r="BF348" t="str">
            <v>≤ 15%</v>
          </cell>
          <cell r="BG348" t="str">
            <v>&gt; 5 - ≤ 25%</v>
          </cell>
          <cell r="BH348" t="str">
            <v>2018-12-31</v>
          </cell>
          <cell r="BI348">
            <v>329000000</v>
          </cell>
          <cell r="BJ348">
            <v>365340747.86580002</v>
          </cell>
          <cell r="BK348">
            <v>217000000</v>
          </cell>
          <cell r="BL348">
            <v>240969429.4434</v>
          </cell>
          <cell r="BM348">
            <v>35</v>
          </cell>
          <cell r="BS348">
            <v>0</v>
          </cell>
        </row>
        <row r="349">
          <cell r="A349">
            <v>17678</v>
          </cell>
          <cell r="B349" t="str">
            <v>MOUNTGRANGE REAL ESTATE OPPORTUNITY FUND</v>
          </cell>
          <cell r="C349" t="str">
            <v>CLEARBELL CAPITAL LLP</v>
          </cell>
          <cell r="D349" t="str">
            <v>2 Harewood Place</v>
          </cell>
          <cell r="E349" t="str">
            <v>W1S 1BX</v>
          </cell>
          <cell r="F349" t="str">
            <v>London</v>
          </cell>
          <cell r="G349" t="str">
            <v>United Kingdom</v>
          </cell>
          <cell r="H349">
            <v>2074947620</v>
          </cell>
          <cell r="J349" t="str">
            <v>http://www.clearbell.com</v>
          </cell>
          <cell r="K349" t="str">
            <v>Clearbell</v>
          </cell>
          <cell r="M349">
            <v>2074947620</v>
          </cell>
          <cell r="N349" t="str">
            <v>Sian Morgan</v>
          </cell>
          <cell r="O349" t="str">
            <v>sian@clearbell.com</v>
          </cell>
          <cell r="P349">
            <v>2074947620</v>
          </cell>
          <cell r="Q349" t="str">
            <v>United Kingdom</v>
          </cell>
          <cell r="R349" t="str">
            <v>GBP</v>
          </cell>
          <cell r="S349" t="str">
            <v>UK GAAP</v>
          </cell>
          <cell r="T349" t="str">
            <v>Quarterly</v>
          </cell>
          <cell r="U349" t="str">
            <v>Annually</v>
          </cell>
          <cell r="V349" t="str">
            <v>RICS</v>
          </cell>
          <cell r="W349" t="str">
            <v>UK GAAP</v>
          </cell>
          <cell r="X349" t="str">
            <v>Deloitte</v>
          </cell>
          <cell r="Y349" t="str">
            <v>Limited Partnership</v>
          </cell>
          <cell r="Z349" t="str">
            <v>No</v>
          </cell>
          <cell r="AA349" t="str">
            <v>No</v>
          </cell>
          <cell r="AB349">
            <v>0</v>
          </cell>
          <cell r="AC349" t="str">
            <v>Non-Listed Fund</v>
          </cell>
          <cell r="AD349" t="str">
            <v>Opportunity</v>
          </cell>
          <cell r="AE349" t="str">
            <v>finite</v>
          </cell>
          <cell r="AF349" t="str">
            <v>Closed end</v>
          </cell>
          <cell r="AG349">
            <v>20</v>
          </cell>
          <cell r="AH349">
            <v>20</v>
          </cell>
          <cell r="AI349" t="str">
            <v>Gross</v>
          </cell>
          <cell r="AJ349" t="str">
            <v>none</v>
          </cell>
          <cell r="AL349">
            <v>50</v>
          </cell>
          <cell r="AM349" t="str">
            <v>&gt; 60%</v>
          </cell>
          <cell r="AN349" t="str">
            <v>Institutional</v>
          </cell>
          <cell r="AO349" t="str">
            <v>&gt; 2</v>
          </cell>
          <cell r="AP349" t="str">
            <v>≥ 50%</v>
          </cell>
          <cell r="AQ349" t="str">
            <v>Europe</v>
          </cell>
          <cell r="AR349" t="str">
            <v>single country</v>
          </cell>
          <cell r="AT349" t="str">
            <v>United Kingdom</v>
          </cell>
          <cell r="AU349" t="str">
            <v>multi sector</v>
          </cell>
          <cell r="AW349">
            <v>400000000</v>
          </cell>
          <cell r="AX349">
            <v>800000000</v>
          </cell>
          <cell r="AY349">
            <v>2007</v>
          </cell>
          <cell r="AZ349">
            <v>2017</v>
          </cell>
          <cell r="BA349" t="str">
            <v>Yes</v>
          </cell>
          <cell r="BB349" t="str">
            <v>No</v>
          </cell>
          <cell r="BD349" t="str">
            <v>No</v>
          </cell>
          <cell r="BF349" t="str">
            <v>&gt; 15% - ≤ 40%</v>
          </cell>
          <cell r="BG349" t="str">
            <v>&gt; 25%</v>
          </cell>
        </row>
        <row r="350">
          <cell r="A350">
            <v>19267</v>
          </cell>
          <cell r="B350" t="str">
            <v>MREFIV</v>
          </cell>
          <cell r="C350" t="str">
            <v>MOORFIELD</v>
          </cell>
          <cell r="D350" t="str">
            <v>10 Grosvenor Street</v>
          </cell>
          <cell r="E350" t="str">
            <v>W1K 4QB</v>
          </cell>
          <cell r="F350" t="str">
            <v>London</v>
          </cell>
          <cell r="G350" t="str">
            <v>United Kingdom</v>
          </cell>
          <cell r="H350" t="str">
            <v>+442073991900</v>
          </cell>
          <cell r="J350" t="str">
            <v>http://www.moorfield.com</v>
          </cell>
          <cell r="K350" t="str">
            <v>Charles Ferguson Davie</v>
          </cell>
          <cell r="L350" t="str">
            <v>charles.fergusondavie@moorfield.com</v>
          </cell>
          <cell r="M350" t="str">
            <v>+442073991922</v>
          </cell>
          <cell r="N350" t="str">
            <v>Robbert Zoet</v>
          </cell>
          <cell r="O350" t="str">
            <v>robbert.zoet@moorfield.com</v>
          </cell>
          <cell r="P350" t="str">
            <v>+442073991936</v>
          </cell>
          <cell r="Q350" t="str">
            <v>United Kingdom</v>
          </cell>
          <cell r="R350" t="str">
            <v>GBP</v>
          </cell>
          <cell r="S350" t="str">
            <v>IFRS</v>
          </cell>
          <cell r="T350" t="str">
            <v>Quarterly</v>
          </cell>
          <cell r="U350" t="str">
            <v>Annually</v>
          </cell>
          <cell r="V350" t="str">
            <v>RICS</v>
          </cell>
          <cell r="W350" t="str">
            <v>IFRS NAV</v>
          </cell>
          <cell r="X350" t="str">
            <v>PWC</v>
          </cell>
          <cell r="Y350" t="str">
            <v>Limited Partnership</v>
          </cell>
          <cell r="Z350" t="str">
            <v>No</v>
          </cell>
          <cell r="AA350" t="str">
            <v>No</v>
          </cell>
          <cell r="AC350" t="str">
            <v>Non-Listed Fund</v>
          </cell>
          <cell r="AD350" t="str">
            <v>Opportunity</v>
          </cell>
          <cell r="AE350" t="str">
            <v>finite</v>
          </cell>
          <cell r="AF350" t="str">
            <v>Closed end</v>
          </cell>
          <cell r="AG350">
            <v>15</v>
          </cell>
          <cell r="AH350">
            <v>20</v>
          </cell>
          <cell r="AI350" t="str">
            <v>Gross</v>
          </cell>
          <cell r="AL350">
            <v>50</v>
          </cell>
          <cell r="AM350" t="str">
            <v>&gt; 40% - ≤ 60%</v>
          </cell>
          <cell r="AN350" t="str">
            <v>Institutional</v>
          </cell>
          <cell r="AO350" t="str">
            <v>&gt; 2</v>
          </cell>
          <cell r="AP350" t="str">
            <v>≥ 50%</v>
          </cell>
          <cell r="AQ350" t="str">
            <v>Europe</v>
          </cell>
          <cell r="AR350" t="str">
            <v>single country</v>
          </cell>
          <cell r="AT350" t="str">
            <v>United Kingdom</v>
          </cell>
          <cell r="AU350" t="str">
            <v>multi sector</v>
          </cell>
          <cell r="AW350">
            <v>220000000</v>
          </cell>
          <cell r="AX350">
            <v>450000000</v>
          </cell>
          <cell r="AY350">
            <v>2017</v>
          </cell>
          <cell r="AZ350">
            <v>2023</v>
          </cell>
          <cell r="BA350" t="str">
            <v>Yes</v>
          </cell>
          <cell r="BB350" t="str">
            <v>Yes</v>
          </cell>
          <cell r="BC350" t="str">
            <v>1+1 years</v>
          </cell>
          <cell r="BD350" t="str">
            <v>No</v>
          </cell>
          <cell r="BE350" t="str">
            <v>&lt; 60%</v>
          </cell>
          <cell r="BF350" t="str">
            <v>&gt; 15% - ≤ 40%</v>
          </cell>
          <cell r="BG350" t="str">
            <v>&gt; 5 - ≤ 25%</v>
          </cell>
          <cell r="BH350" t="str">
            <v>2019-03-31</v>
          </cell>
          <cell r="BI350">
            <v>107000000</v>
          </cell>
          <cell r="BJ350">
            <v>124441756.60770001</v>
          </cell>
          <cell r="BK350">
            <v>74000000</v>
          </cell>
          <cell r="BL350">
            <v>86062523.261399999</v>
          </cell>
          <cell r="BM350">
            <v>25</v>
          </cell>
          <cell r="BS350">
            <v>0</v>
          </cell>
        </row>
        <row r="351">
          <cell r="A351">
            <v>332</v>
          </cell>
          <cell r="B351" t="str">
            <v>MULTIPARK</v>
          </cell>
          <cell r="C351" t="str">
            <v>IMORENDIMENTO SGFII, SA</v>
          </cell>
          <cell r="D351" t="str">
            <v>Praça Bom Sucesso 127, Esc 210</v>
          </cell>
          <cell r="E351" t="str">
            <v>4050 146</v>
          </cell>
          <cell r="F351" t="str">
            <v>Porto</v>
          </cell>
          <cell r="G351" t="str">
            <v>Portugal</v>
          </cell>
          <cell r="H351" t="str">
            <v>+351 22 607 5660</v>
          </cell>
          <cell r="I351" t="str">
            <v>+351 22 607 5661</v>
          </cell>
          <cell r="J351" t="str">
            <v>http://www.imorendimento.com</v>
          </cell>
          <cell r="N351" t="str">
            <v>Armando Lacerda Queiroz</v>
          </cell>
          <cell r="O351" t="str">
            <v>lqueiroz@imorendimento.pt</v>
          </cell>
          <cell r="P351" t="str">
            <v>+351 22 607 5660</v>
          </cell>
          <cell r="Q351" t="str">
            <v>Portugal</v>
          </cell>
          <cell r="R351" t="str">
            <v>EUR</v>
          </cell>
          <cell r="T351" t="str">
            <v>Annually</v>
          </cell>
          <cell r="U351" t="str">
            <v>Quarterly</v>
          </cell>
          <cell r="X351" t="str">
            <v>PriceWaterhouseCoopers</v>
          </cell>
          <cell r="Y351" t="str">
            <v>Real Estate Fund</v>
          </cell>
          <cell r="AB351">
            <v>0</v>
          </cell>
          <cell r="AC351" t="str">
            <v>Non-Listed Fund</v>
          </cell>
          <cell r="AD351" t="str">
            <v>Opportunity</v>
          </cell>
          <cell r="AE351" t="str">
            <v>finite</v>
          </cell>
          <cell r="AF351" t="str">
            <v>Closed end</v>
          </cell>
          <cell r="AG351">
            <v>20</v>
          </cell>
          <cell r="AH351">
            <v>20</v>
          </cell>
          <cell r="AK351">
            <v>10</v>
          </cell>
          <cell r="AM351" t="str">
            <v>&gt; 60%</v>
          </cell>
          <cell r="AN351" t="str">
            <v>Institutional</v>
          </cell>
          <cell r="AQ351" t="str">
            <v>Europe</v>
          </cell>
          <cell r="AR351" t="str">
            <v>single country</v>
          </cell>
          <cell r="AT351" t="str">
            <v>Portugal</v>
          </cell>
          <cell r="AU351" t="str">
            <v>single sector</v>
          </cell>
          <cell r="AV351" t="str">
            <v>Industrial / Logistics</v>
          </cell>
          <cell r="AY351">
            <v>2006</v>
          </cell>
          <cell r="AZ351">
            <v>2016</v>
          </cell>
          <cell r="BH351" t="str">
            <v>2010-12-31</v>
          </cell>
          <cell r="BJ351">
            <v>0</v>
          </cell>
          <cell r="BK351">
            <v>8000000</v>
          </cell>
          <cell r="BL351">
            <v>8000000</v>
          </cell>
          <cell r="BP351">
            <v>5</v>
          </cell>
          <cell r="BQ351">
            <v>18</v>
          </cell>
          <cell r="BS351">
            <v>0</v>
          </cell>
          <cell r="BV351" t="str">
            <v>No</v>
          </cell>
        </row>
        <row r="352">
          <cell r="A352">
            <v>18455</v>
          </cell>
          <cell r="B352" t="str">
            <v>MURREF</v>
          </cell>
          <cell r="C352" t="str">
            <v>MAN GLOBAL PRIVATE MARKETS</v>
          </cell>
          <cell r="D352" t="str">
            <v>2 Swan Lane</v>
          </cell>
          <cell r="E352" t="str">
            <v>EC4R 3AD</v>
          </cell>
          <cell r="F352" t="str">
            <v>London</v>
          </cell>
          <cell r="G352" t="str">
            <v>United States of America</v>
          </cell>
          <cell r="J352" t="str">
            <v>https://www.man.com/gpm-aalto</v>
          </cell>
          <cell r="K352" t="str">
            <v>Travis Masters</v>
          </cell>
          <cell r="L352" t="str">
            <v>Travis.Masters@man.com</v>
          </cell>
          <cell r="M352" t="str">
            <v>+1 (980) 321-7561</v>
          </cell>
          <cell r="N352" t="str">
            <v>Jonathan Shaw</v>
          </cell>
          <cell r="O352" t="str">
            <v>Jonathan.Shaw@Man.com</v>
          </cell>
          <cell r="P352">
            <v>2071142911</v>
          </cell>
          <cell r="Q352" t="str">
            <v>United States of America</v>
          </cell>
          <cell r="R352" t="str">
            <v>USD</v>
          </cell>
          <cell r="S352" t="str">
            <v>US GAAP</v>
          </cell>
          <cell r="T352" t="str">
            <v>Annually</v>
          </cell>
          <cell r="U352" t="str">
            <v>Annually</v>
          </cell>
          <cell r="V352" t="str">
            <v>CoreLogic: Automated Valuation Estimate or Broker Price Option; otherwise RedBell Valuation Risk Review ; or valued at cost if in development</v>
          </cell>
          <cell r="W352" t="str">
            <v>CoreLogic (Automated Valuation Model): PASS</v>
          </cell>
          <cell r="Y352" t="str">
            <v>Real Estate Collective Investment</v>
          </cell>
          <cell r="Z352" t="str">
            <v>No</v>
          </cell>
          <cell r="AA352" t="str">
            <v>No</v>
          </cell>
          <cell r="AC352" t="str">
            <v>Non-Listed Fund</v>
          </cell>
          <cell r="AD352" t="str">
            <v>Value-added</v>
          </cell>
          <cell r="AE352" t="str">
            <v>infinite</v>
          </cell>
          <cell r="AF352" t="str">
            <v>Open end</v>
          </cell>
          <cell r="AG352">
            <v>10</v>
          </cell>
          <cell r="AH352">
            <v>14</v>
          </cell>
          <cell r="AI352" t="str">
            <v>Gross</v>
          </cell>
          <cell r="AJ352" t="str">
            <v>None</v>
          </cell>
          <cell r="AL352">
            <v>40</v>
          </cell>
          <cell r="AM352" t="str">
            <v>&gt; 40% - ≤ 60%</v>
          </cell>
          <cell r="AN352" t="str">
            <v>Institutional</v>
          </cell>
          <cell r="AO352" t="str">
            <v>&gt; 2</v>
          </cell>
          <cell r="AP352" t="str">
            <v>≥ 50%</v>
          </cell>
          <cell r="AQ352" t="str">
            <v>North America</v>
          </cell>
          <cell r="AR352" t="str">
            <v>single country</v>
          </cell>
          <cell r="AT352" t="str">
            <v>United States of America</v>
          </cell>
          <cell r="AU352" t="str">
            <v>single sector</v>
          </cell>
          <cell r="AV352" t="str">
            <v>Residential</v>
          </cell>
          <cell r="AW352">
            <v>1500000000</v>
          </cell>
          <cell r="AY352">
            <v>2018</v>
          </cell>
          <cell r="BD352" t="str">
            <v>No</v>
          </cell>
          <cell r="BF352" t="str">
            <v>≤ 15%</v>
          </cell>
          <cell r="BG352" t="str">
            <v>&gt; 25%</v>
          </cell>
        </row>
        <row r="353">
          <cell r="A353">
            <v>333</v>
          </cell>
          <cell r="B353" t="str">
            <v>NATURA</v>
          </cell>
          <cell r="C353" t="str">
            <v>IMORENDIMENTO SGFII, SA</v>
          </cell>
          <cell r="D353" t="str">
            <v>Praça Bom Sucesso 127, Esc 210</v>
          </cell>
          <cell r="E353" t="str">
            <v>4050 146</v>
          </cell>
          <cell r="F353" t="str">
            <v>Porto</v>
          </cell>
          <cell r="G353" t="str">
            <v>Portugal</v>
          </cell>
          <cell r="H353" t="str">
            <v>+351 22 607 5660</v>
          </cell>
          <cell r="I353" t="str">
            <v>+351 22 607 5661</v>
          </cell>
          <cell r="J353" t="str">
            <v>http://www.imorendimento.com</v>
          </cell>
          <cell r="N353" t="str">
            <v>Armando Lacerda Queiroz</v>
          </cell>
          <cell r="O353" t="str">
            <v>lqueiroz@imorendimento.pt</v>
          </cell>
          <cell r="P353" t="str">
            <v>+351 22 607 5660</v>
          </cell>
          <cell r="Q353" t="str">
            <v>Portugal</v>
          </cell>
          <cell r="R353" t="str">
            <v>EUR</v>
          </cell>
          <cell r="T353" t="str">
            <v>Annually</v>
          </cell>
          <cell r="U353" t="str">
            <v>Quarterly</v>
          </cell>
          <cell r="X353" t="str">
            <v>Mazars</v>
          </cell>
          <cell r="Y353" t="str">
            <v>Real Estate Fund</v>
          </cell>
          <cell r="AB353">
            <v>0</v>
          </cell>
          <cell r="AC353" t="str">
            <v>Non-Listed Fund</v>
          </cell>
          <cell r="AD353" t="str">
            <v>Opportunity</v>
          </cell>
          <cell r="AE353" t="str">
            <v>finite</v>
          </cell>
          <cell r="AF353" t="str">
            <v>Closed end</v>
          </cell>
          <cell r="AG353">
            <v>0</v>
          </cell>
          <cell r="AH353">
            <v>16</v>
          </cell>
          <cell r="AJ353" t="str">
            <v>IPD Portugal Index</v>
          </cell>
          <cell r="AM353" t="str">
            <v>&gt; 60%</v>
          </cell>
          <cell r="AN353" t="str">
            <v>Institutional</v>
          </cell>
          <cell r="AQ353" t="str">
            <v>Europe</v>
          </cell>
          <cell r="AR353" t="str">
            <v>single country</v>
          </cell>
          <cell r="AT353" t="str">
            <v>Portugal</v>
          </cell>
          <cell r="AU353" t="str">
            <v>multi sector</v>
          </cell>
          <cell r="AY353">
            <v>2006</v>
          </cell>
          <cell r="AZ353">
            <v>2016</v>
          </cell>
          <cell r="BA353" t="str">
            <v>Yes</v>
          </cell>
          <cell r="BB353" t="str">
            <v>No</v>
          </cell>
          <cell r="BH353" t="str">
            <v>2010-12-31</v>
          </cell>
          <cell r="BJ353">
            <v>0</v>
          </cell>
          <cell r="BK353">
            <v>12000000</v>
          </cell>
          <cell r="BL353">
            <v>12000000</v>
          </cell>
          <cell r="BP353">
            <v>1</v>
          </cell>
          <cell r="BQ353">
            <v>3</v>
          </cell>
          <cell r="BS353">
            <v>0</v>
          </cell>
          <cell r="BV353" t="str">
            <v>No</v>
          </cell>
        </row>
        <row r="354">
          <cell r="A354">
            <v>17957</v>
          </cell>
          <cell r="B354" t="str">
            <v>NEXT ESTATE INCOME FUND II</v>
          </cell>
          <cell r="C354" t="str">
            <v>BNP PARIBAS REIM</v>
          </cell>
          <cell r="D354" t="str">
            <v>167 quai de Stalingrad</v>
          </cell>
          <cell r="E354" t="str">
            <v xml:space="preserve">92867 </v>
          </cell>
          <cell r="F354" t="str">
            <v>Issy Les Moulineaux Cedex</v>
          </cell>
          <cell r="G354" t="str">
            <v>France</v>
          </cell>
          <cell r="H354" t="str">
            <v>+33 1 55 65 27 62</v>
          </cell>
          <cell r="I354" t="str">
            <v>+33 1 55 65 27 36</v>
          </cell>
          <cell r="J354" t="str">
            <v>http://www.realestate.bnpparibas.com/bnppre/fr</v>
          </cell>
          <cell r="K354" t="str">
            <v>Laurent Boissin</v>
          </cell>
          <cell r="L354" t="str">
            <v>laurent.boissin@bnpparibas.com</v>
          </cell>
          <cell r="M354" t="str">
            <v>+33 1 55 65 27 62</v>
          </cell>
          <cell r="N354" t="str">
            <v>Henri Romnicianu</v>
          </cell>
          <cell r="O354" t="str">
            <v>henri.romnicianu@bnpparibas.com</v>
          </cell>
          <cell r="P354" t="str">
            <v>+33 1 55 65 34 01</v>
          </cell>
          <cell r="Q354" t="str">
            <v>Luxembourg</v>
          </cell>
          <cell r="R354" t="str">
            <v>EUR</v>
          </cell>
          <cell r="S354" t="str">
            <v>IFRS</v>
          </cell>
          <cell r="T354" t="str">
            <v>Quarterly</v>
          </cell>
          <cell r="U354" t="str">
            <v>Quarterly</v>
          </cell>
          <cell r="V354" t="str">
            <v>RICS</v>
          </cell>
          <cell r="W354" t="str">
            <v>INREV NAV</v>
          </cell>
          <cell r="X354" t="str">
            <v>PWC</v>
          </cell>
          <cell r="Y354" t="str">
            <v>Real Estate Fund</v>
          </cell>
          <cell r="Z354" t="str">
            <v>Yes</v>
          </cell>
          <cell r="AA354" t="str">
            <v>Yes</v>
          </cell>
          <cell r="AB354">
            <v>4</v>
          </cell>
          <cell r="AC354" t="str">
            <v>Non-Listed Fund</v>
          </cell>
          <cell r="AD354" t="str">
            <v>Core</v>
          </cell>
          <cell r="AE354" t="str">
            <v>finite</v>
          </cell>
          <cell r="AF354" t="str">
            <v>Closed end</v>
          </cell>
          <cell r="AG354">
            <v>7</v>
          </cell>
          <cell r="AH354">
            <v>7</v>
          </cell>
          <cell r="AI354" t="str">
            <v>Gross</v>
          </cell>
          <cell r="AJ354" t="str">
            <v>IPD</v>
          </cell>
          <cell r="AK354">
            <v>5</v>
          </cell>
          <cell r="AL354">
            <v>40</v>
          </cell>
          <cell r="AM354" t="str">
            <v>≤ 40%</v>
          </cell>
          <cell r="AN354" t="str">
            <v>Institutional</v>
          </cell>
          <cell r="AO354" t="str">
            <v>&gt; 2</v>
          </cell>
          <cell r="AP354" t="str">
            <v>≥ 50%</v>
          </cell>
          <cell r="AQ354" t="str">
            <v>Europe</v>
          </cell>
          <cell r="AR354" t="str">
            <v>multi country</v>
          </cell>
          <cell r="AS354" t="str">
            <v>Europe</v>
          </cell>
          <cell r="AU354" t="str">
            <v>single sector</v>
          </cell>
          <cell r="AV354" t="str">
            <v>Office</v>
          </cell>
          <cell r="AW354">
            <v>500000000</v>
          </cell>
          <cell r="AX354">
            <v>850000000</v>
          </cell>
          <cell r="AY354">
            <v>2014</v>
          </cell>
          <cell r="AZ354">
            <v>2024</v>
          </cell>
          <cell r="BA354" t="str">
            <v>Yes</v>
          </cell>
          <cell r="BB354" t="str">
            <v>Yes</v>
          </cell>
          <cell r="BC354" t="str">
            <v>3 years fixed</v>
          </cell>
          <cell r="BD354" t="str">
            <v>No</v>
          </cell>
          <cell r="BE354" t="str">
            <v>≥ 60%</v>
          </cell>
          <cell r="BF354" t="str">
            <v>≤ 15%</v>
          </cell>
          <cell r="BG354" t="str">
            <v>&gt; 5 - ≤ 25%</v>
          </cell>
          <cell r="BH354" t="str">
            <v>2020-12-31</v>
          </cell>
          <cell r="BI354">
            <v>907820000</v>
          </cell>
          <cell r="BJ354">
            <v>907820000</v>
          </cell>
          <cell r="BK354">
            <v>566896000</v>
          </cell>
          <cell r="BL354">
            <v>566896000</v>
          </cell>
          <cell r="BM354">
            <v>37.4</v>
          </cell>
          <cell r="BN354" t="str">
            <v>No</v>
          </cell>
          <cell r="BO354" t="str">
            <v>External</v>
          </cell>
          <cell r="BP354">
            <v>28</v>
          </cell>
          <cell r="BQ354">
            <v>13</v>
          </cell>
          <cell r="BR354">
            <v>527000000</v>
          </cell>
          <cell r="BS354">
            <v>527000000</v>
          </cell>
          <cell r="BT354">
            <v>527000000</v>
          </cell>
          <cell r="BU354">
            <v>527000000</v>
          </cell>
          <cell r="BV354" t="str">
            <v>No</v>
          </cell>
          <cell r="BW354" t="str">
            <v>France</v>
          </cell>
          <cell r="BX354" t="str">
            <v>Office</v>
          </cell>
          <cell r="BY354">
            <v>25.9</v>
          </cell>
          <cell r="BZ354" t="str">
            <v>Luxembourg</v>
          </cell>
          <cell r="CA354" t="str">
            <v>Office</v>
          </cell>
          <cell r="CB354">
            <v>5</v>
          </cell>
          <cell r="CC354" t="str">
            <v>Ireland</v>
          </cell>
          <cell r="CD354" t="str">
            <v>Office</v>
          </cell>
          <cell r="CE354">
            <v>3.7</v>
          </cell>
          <cell r="CF354" t="str">
            <v>Austria</v>
          </cell>
          <cell r="CG354" t="str">
            <v>Office</v>
          </cell>
          <cell r="CH354">
            <v>8.6999999999999993</v>
          </cell>
          <cell r="CI354" t="str">
            <v>Italy</v>
          </cell>
          <cell r="CJ354" t="str">
            <v>Office</v>
          </cell>
          <cell r="CK354">
            <v>11.5</v>
          </cell>
          <cell r="CL354" t="str">
            <v>Germany</v>
          </cell>
          <cell r="CM354" t="str">
            <v>Office</v>
          </cell>
          <cell r="CN354">
            <v>45.2</v>
          </cell>
        </row>
        <row r="355">
          <cell r="A355">
            <v>18562</v>
          </cell>
          <cell r="B355" t="str">
            <v>NEXT ESTATE INCOME FUND III</v>
          </cell>
          <cell r="C355" t="str">
            <v>BNP PARIBAS REIM</v>
          </cell>
          <cell r="D355" t="str">
            <v>167 quai de Stalingrad</v>
          </cell>
          <cell r="E355">
            <v>92867</v>
          </cell>
          <cell r="F355" t="str">
            <v>Issy Les Moulineaux Cedex</v>
          </cell>
          <cell r="G355" t="str">
            <v>France</v>
          </cell>
          <cell r="H355" t="str">
            <v>01 55 65 20 04</v>
          </cell>
          <cell r="J355" t="str">
            <v>https://www.bnppre.fr</v>
          </cell>
          <cell r="K355" t="str">
            <v>Laurent Boissin</v>
          </cell>
          <cell r="L355" t="str">
            <v>laurent.boissin@bnpparibas.com</v>
          </cell>
          <cell r="M355" t="str">
            <v>+33 1 55 65 27 62</v>
          </cell>
          <cell r="N355" t="str">
            <v>Henri Romnicianu</v>
          </cell>
          <cell r="O355" t="str">
            <v>henri.romnicianu@bnpparibas.com</v>
          </cell>
          <cell r="P355" t="str">
            <v>+33 1 55 65 34 01</v>
          </cell>
          <cell r="Q355" t="str">
            <v>Luxembourg</v>
          </cell>
          <cell r="R355" t="str">
            <v>EUR</v>
          </cell>
          <cell r="S355" t="str">
            <v>IFRS</v>
          </cell>
          <cell r="T355" t="str">
            <v>Quarterly</v>
          </cell>
          <cell r="U355" t="str">
            <v>Quarterly</v>
          </cell>
          <cell r="V355" t="str">
            <v>RICS</v>
          </cell>
          <cell r="W355" t="str">
            <v>INREV NAV</v>
          </cell>
          <cell r="X355" t="str">
            <v>PWC</v>
          </cell>
          <cell r="Y355" t="str">
            <v>SICAV</v>
          </cell>
          <cell r="Z355" t="str">
            <v>Yes</v>
          </cell>
          <cell r="AA355" t="str">
            <v>Yes</v>
          </cell>
          <cell r="AB355">
            <v>3</v>
          </cell>
          <cell r="AC355" t="str">
            <v>Non-Listed Fund</v>
          </cell>
          <cell r="AD355" t="str">
            <v>Core</v>
          </cell>
          <cell r="AE355" t="str">
            <v>finite</v>
          </cell>
          <cell r="AF355" t="str">
            <v>Open end</v>
          </cell>
          <cell r="AG355">
            <v>5.5</v>
          </cell>
          <cell r="AH355">
            <v>5.5</v>
          </cell>
          <cell r="AI355" t="str">
            <v>Net</v>
          </cell>
          <cell r="AJ355" t="str">
            <v>IPD / MSCI</v>
          </cell>
          <cell r="AK355">
            <v>4</v>
          </cell>
          <cell r="AL355">
            <v>40</v>
          </cell>
          <cell r="AM355" t="str">
            <v>≤ 40%</v>
          </cell>
          <cell r="AN355" t="str">
            <v>Institutional</v>
          </cell>
          <cell r="AO355" t="str">
            <v>&gt; 2</v>
          </cell>
          <cell r="AP355" t="str">
            <v>≥ 50%</v>
          </cell>
          <cell r="AQ355" t="str">
            <v>Europe</v>
          </cell>
          <cell r="AR355" t="str">
            <v>multi country</v>
          </cell>
          <cell r="AS355" t="str">
            <v>Western Europe</v>
          </cell>
          <cell r="AU355" t="str">
            <v>single sector</v>
          </cell>
          <cell r="AV355" t="str">
            <v>Office</v>
          </cell>
          <cell r="AW355">
            <v>600000000</v>
          </cell>
          <cell r="AX355">
            <v>1000000000</v>
          </cell>
          <cell r="AY355">
            <v>2017</v>
          </cell>
          <cell r="BA355" t="str">
            <v>No</v>
          </cell>
          <cell r="BB355" t="str">
            <v>No</v>
          </cell>
          <cell r="BD355" t="str">
            <v>No</v>
          </cell>
          <cell r="BE355" t="str">
            <v>≥ 60%</v>
          </cell>
          <cell r="BF355" t="str">
            <v>≤ 15%</v>
          </cell>
          <cell r="BG355" t="str">
            <v>≤ 5%</v>
          </cell>
          <cell r="BH355" t="str">
            <v>2020-12-31</v>
          </cell>
          <cell r="BI355">
            <v>527500000</v>
          </cell>
          <cell r="BJ355">
            <v>527500000</v>
          </cell>
          <cell r="BK355">
            <v>380986000</v>
          </cell>
          <cell r="BL355">
            <v>380986000</v>
          </cell>
          <cell r="BM355">
            <v>39.9</v>
          </cell>
          <cell r="BN355" t="str">
            <v>No</v>
          </cell>
          <cell r="BO355" t="str">
            <v>External</v>
          </cell>
          <cell r="BP355">
            <v>21</v>
          </cell>
          <cell r="BQ355">
            <v>7</v>
          </cell>
          <cell r="BR355">
            <v>512000000</v>
          </cell>
          <cell r="BS355">
            <v>512000000</v>
          </cell>
          <cell r="BT355">
            <v>372766000</v>
          </cell>
          <cell r="BU355">
            <v>372766000</v>
          </cell>
          <cell r="BV355" t="str">
            <v>No</v>
          </cell>
          <cell r="BW355" t="str">
            <v>Spain</v>
          </cell>
          <cell r="BX355" t="str">
            <v>Office</v>
          </cell>
          <cell r="BY355">
            <v>24</v>
          </cell>
          <cell r="BZ355" t="str">
            <v>France</v>
          </cell>
          <cell r="CA355" t="str">
            <v>Office</v>
          </cell>
          <cell r="CB355">
            <v>38</v>
          </cell>
          <cell r="CC355" t="str">
            <v>Germany</v>
          </cell>
          <cell r="CD355" t="str">
            <v>Office</v>
          </cell>
          <cell r="CE355">
            <v>38</v>
          </cell>
        </row>
        <row r="356">
          <cell r="A356">
            <v>17153</v>
          </cell>
          <cell r="B356" t="str">
            <v>NEXT REAL ESTATE POLISH RETAIL S.à R.L.</v>
          </cell>
          <cell r="C356" t="str">
            <v>CROMWELL REIM LUXEMBOURG S.à R.L.</v>
          </cell>
          <cell r="D356" t="str">
            <v>Rue Hildegard Von Bingen 1</v>
          </cell>
          <cell r="E356" t="str">
            <v>L-1282</v>
          </cell>
          <cell r="F356" t="str">
            <v>Luxembourg</v>
          </cell>
          <cell r="G356" t="str">
            <v>Luxembourg</v>
          </cell>
          <cell r="H356" t="str">
            <v>+3522649584311</v>
          </cell>
          <cell r="I356" t="str">
            <v>+3522649584312</v>
          </cell>
          <cell r="J356" t="str">
            <v>http://www.cromwell.co.uk</v>
          </cell>
          <cell r="K356" t="str">
            <v>Thierry Leleu</v>
          </cell>
          <cell r="L356" t="str">
            <v>thierry.leleu@cromwellpropertygroup.co.uk</v>
          </cell>
          <cell r="M356" t="str">
            <v xml:space="preserve">+44 20 7659 6729 </v>
          </cell>
          <cell r="N356" t="str">
            <v>Thierry Leleu</v>
          </cell>
          <cell r="O356" t="str">
            <v>thierry.leleu@cromwellpropertygroup.co.uk</v>
          </cell>
          <cell r="P356" t="str">
            <v>+44 20 7659 6729</v>
          </cell>
          <cell r="Q356" t="str">
            <v>Luxembourg</v>
          </cell>
          <cell r="R356" t="str">
            <v>EUR</v>
          </cell>
          <cell r="S356" t="str">
            <v>IFRS</v>
          </cell>
          <cell r="T356" t="str">
            <v>Quarterly</v>
          </cell>
          <cell r="U356" t="str">
            <v>Annually</v>
          </cell>
          <cell r="V356" t="str">
            <v>RICS</v>
          </cell>
          <cell r="W356" t="str">
            <v>INREV NAV</v>
          </cell>
          <cell r="X356" t="str">
            <v>KPMG Luxembourg S.à r.l.</v>
          </cell>
          <cell r="Y356" t="str">
            <v>SOPARFI</v>
          </cell>
          <cell r="Z356" t="str">
            <v>Yes</v>
          </cell>
          <cell r="AA356" t="str">
            <v>No</v>
          </cell>
          <cell r="AB356">
            <v>0</v>
          </cell>
          <cell r="AC356" t="str">
            <v>Non-Listed Fund</v>
          </cell>
          <cell r="AD356" t="str">
            <v>Value-added</v>
          </cell>
          <cell r="AE356" t="str">
            <v>finite</v>
          </cell>
          <cell r="AF356" t="str">
            <v>Closed end</v>
          </cell>
          <cell r="AG356">
            <v>14</v>
          </cell>
          <cell r="AH356">
            <v>17</v>
          </cell>
          <cell r="AI356" t="str">
            <v>Net</v>
          </cell>
          <cell r="AJ356" t="str">
            <v>Total Return</v>
          </cell>
          <cell r="AK356">
            <v>7</v>
          </cell>
          <cell r="AL356">
            <v>50</v>
          </cell>
          <cell r="AM356" t="str">
            <v>&gt; 40% - ≤ 60%</v>
          </cell>
          <cell r="AN356" t="str">
            <v>Institutional</v>
          </cell>
          <cell r="AO356" t="str">
            <v>&gt; 2</v>
          </cell>
          <cell r="AP356" t="str">
            <v>≥ 50%</v>
          </cell>
          <cell r="AQ356" t="str">
            <v>Europe</v>
          </cell>
          <cell r="AR356" t="str">
            <v>single country</v>
          </cell>
          <cell r="AT356" t="str">
            <v>Poland</v>
          </cell>
          <cell r="AU356" t="str">
            <v>single sector</v>
          </cell>
          <cell r="AV356" t="str">
            <v>Retail</v>
          </cell>
          <cell r="AW356">
            <v>240000000</v>
          </cell>
          <cell r="AX356">
            <v>768000000</v>
          </cell>
          <cell r="AY356">
            <v>2011</v>
          </cell>
          <cell r="AZ356">
            <v>2018</v>
          </cell>
          <cell r="BA356" t="str">
            <v>Yes</v>
          </cell>
          <cell r="BB356" t="str">
            <v>Yes</v>
          </cell>
          <cell r="BC356" t="str">
            <v>3 years fixed</v>
          </cell>
          <cell r="BD356" t="str">
            <v>No</v>
          </cell>
          <cell r="BF356" t="str">
            <v>&gt; 15% - ≤ 40%</v>
          </cell>
          <cell r="BG356" t="str">
            <v>&gt; 5 - ≤ 25%</v>
          </cell>
          <cell r="BH356" t="str">
            <v>2019-03-31</v>
          </cell>
          <cell r="BI356">
            <v>543043662</v>
          </cell>
          <cell r="BJ356">
            <v>543043662</v>
          </cell>
          <cell r="BK356">
            <v>277699091</v>
          </cell>
          <cell r="BL356">
            <v>277699091</v>
          </cell>
          <cell r="BM356">
            <v>47.1</v>
          </cell>
          <cell r="BN356" t="str">
            <v>No</v>
          </cell>
          <cell r="BO356" t="str">
            <v>External</v>
          </cell>
          <cell r="BQ356">
            <v>7</v>
          </cell>
          <cell r="BR356">
            <v>250000000</v>
          </cell>
          <cell r="BS356">
            <v>250000000</v>
          </cell>
          <cell r="BT356">
            <v>217736695</v>
          </cell>
          <cell r="BU356">
            <v>217736695</v>
          </cell>
          <cell r="BV356" t="str">
            <v>No</v>
          </cell>
          <cell r="BW356" t="str">
            <v>Poland</v>
          </cell>
          <cell r="BX356" t="str">
            <v>Retail</v>
          </cell>
          <cell r="BY356">
            <v>100</v>
          </cell>
        </row>
        <row r="357">
          <cell r="A357">
            <v>19581</v>
          </cell>
          <cell r="B357" t="str">
            <v>NEXUS 1</v>
          </cell>
          <cell r="C357" t="str">
            <v>AMUNDI REAL ESTATE ITALIA SGR</v>
          </cell>
          <cell r="D357" t="str">
            <v>Via Cernaia 8-10</v>
          </cell>
          <cell r="E357">
            <v>20121</v>
          </cell>
          <cell r="F357" t="str">
            <v>Milan</v>
          </cell>
          <cell r="G357" t="str">
            <v>Italy</v>
          </cell>
          <cell r="J357" t="str">
            <v>https://www.amundi-re.it/</v>
          </cell>
          <cell r="N357" t="str">
            <v>Francesco Berardinelli</v>
          </cell>
          <cell r="O357" t="str">
            <v>francesco.berardinelli@amundi.com</v>
          </cell>
          <cell r="P357" t="str">
            <v>+393351576021</v>
          </cell>
          <cell r="Q357" t="str">
            <v>Italy</v>
          </cell>
          <cell r="R357" t="str">
            <v>EUR</v>
          </cell>
          <cell r="S357" t="str">
            <v>Local GAAP</v>
          </cell>
          <cell r="T357" t="str">
            <v>Quarterly</v>
          </cell>
          <cell r="U357" t="str">
            <v>Quarterly</v>
          </cell>
          <cell r="V357" t="str">
            <v>RICS</v>
          </cell>
          <cell r="W357" t="str">
            <v>Bank of Italy rules</v>
          </cell>
          <cell r="X357" t="str">
            <v>PricewaterhouseCoopers SpA</v>
          </cell>
          <cell r="Y357" t="str">
            <v>Real Estate Fund</v>
          </cell>
          <cell r="Z357" t="str">
            <v>No</v>
          </cell>
          <cell r="AA357" t="str">
            <v>Yes</v>
          </cell>
          <cell r="AB357">
            <v>2</v>
          </cell>
          <cell r="AC357" t="str">
            <v>Non-Listed Fund</v>
          </cell>
          <cell r="AD357" t="str">
            <v>Core</v>
          </cell>
          <cell r="AE357" t="str">
            <v>finite</v>
          </cell>
          <cell r="AF357" t="str">
            <v>Closed end</v>
          </cell>
          <cell r="AG357">
            <v>5</v>
          </cell>
          <cell r="AH357">
            <v>7</v>
          </cell>
          <cell r="AI357" t="str">
            <v>Net</v>
          </cell>
          <cell r="AK357">
            <v>5</v>
          </cell>
          <cell r="AM357" t="str">
            <v>≤ 40%</v>
          </cell>
          <cell r="AN357" t="str">
            <v>Institutional</v>
          </cell>
          <cell r="AO357" t="str">
            <v>&gt; 2</v>
          </cell>
          <cell r="AP357" t="str">
            <v>≥ 50%</v>
          </cell>
          <cell r="AQ357" t="str">
            <v>Europe</v>
          </cell>
          <cell r="AR357" t="str">
            <v>single country</v>
          </cell>
          <cell r="AT357" t="str">
            <v>Italy</v>
          </cell>
          <cell r="AU357" t="str">
            <v>multi sector</v>
          </cell>
          <cell r="AW357">
            <v>650000000</v>
          </cell>
          <cell r="AX357">
            <v>1000000000</v>
          </cell>
          <cell r="AY357">
            <v>2014</v>
          </cell>
          <cell r="AZ357">
            <v>2028</v>
          </cell>
          <cell r="BA357" t="str">
            <v>No</v>
          </cell>
          <cell r="BD357" t="str">
            <v>No</v>
          </cell>
          <cell r="BE357" t="str">
            <v>≥ 60%</v>
          </cell>
          <cell r="BF357" t="str">
            <v>≤ 15%</v>
          </cell>
          <cell r="BG357" t="str">
            <v>≤ 5%</v>
          </cell>
          <cell r="BH357" t="str">
            <v>2020-12-31</v>
          </cell>
          <cell r="BI357">
            <v>753491905</v>
          </cell>
          <cell r="BJ357">
            <v>753491905</v>
          </cell>
          <cell r="BK357">
            <v>535132331</v>
          </cell>
          <cell r="BL357">
            <v>535132331</v>
          </cell>
          <cell r="BM357">
            <v>28</v>
          </cell>
          <cell r="BN357" t="str">
            <v>Yes</v>
          </cell>
          <cell r="BO357" t="str">
            <v>External</v>
          </cell>
          <cell r="BP357">
            <v>5</v>
          </cell>
          <cell r="BQ357">
            <v>15</v>
          </cell>
          <cell r="BR357">
            <v>620418038</v>
          </cell>
          <cell r="BS357">
            <v>620418038</v>
          </cell>
          <cell r="BT357">
            <v>569050843</v>
          </cell>
          <cell r="BU357">
            <v>569050843</v>
          </cell>
          <cell r="BV357" t="str">
            <v>Yes</v>
          </cell>
          <cell r="BW357" t="str">
            <v>Italy</v>
          </cell>
          <cell r="BX357" t="str">
            <v>Retail</v>
          </cell>
          <cell r="BY357">
            <v>7</v>
          </cell>
          <cell r="BZ357" t="str">
            <v>Italy</v>
          </cell>
          <cell r="CA357" t="str">
            <v>Office</v>
          </cell>
          <cell r="CB357">
            <v>88</v>
          </cell>
        </row>
        <row r="358">
          <cell r="A358">
            <v>18457</v>
          </cell>
          <cell r="B358" t="str">
            <v>NGH</v>
          </cell>
          <cell r="C358" t="str">
            <v>MAN GLOBAL PRIVATE MARKETS</v>
          </cell>
          <cell r="D358" t="str">
            <v>2 Swan Lane</v>
          </cell>
          <cell r="E358" t="str">
            <v>EC4R 3AD</v>
          </cell>
          <cell r="F358" t="str">
            <v>London</v>
          </cell>
          <cell r="G358" t="str">
            <v>United States of America</v>
          </cell>
          <cell r="J358" t="str">
            <v>https://www.man.com/gpm-aalto</v>
          </cell>
          <cell r="K358" t="str">
            <v>Travis Masters</v>
          </cell>
          <cell r="L358" t="str">
            <v>Travis.Masters@man.com</v>
          </cell>
          <cell r="M358" t="str">
            <v>+1 (980) 321-7561</v>
          </cell>
          <cell r="N358" t="str">
            <v>Jonathan Shaw</v>
          </cell>
          <cell r="O358" t="str">
            <v>Jonathan.Shaw@Man.com</v>
          </cell>
          <cell r="P358">
            <v>2071142911</v>
          </cell>
          <cell r="Q358" t="str">
            <v>United States of America</v>
          </cell>
          <cell r="R358" t="str">
            <v>USD</v>
          </cell>
          <cell r="S358" t="str">
            <v>US GAAP</v>
          </cell>
          <cell r="T358" t="str">
            <v>Annually</v>
          </cell>
          <cell r="U358" t="str">
            <v>Annually</v>
          </cell>
          <cell r="V358" t="str">
            <v>CoreLogic: Automated Valuation Estimate or Broker Price Option; otherwise RedBell Valuation Risk Review ; or valued at cost if in development</v>
          </cell>
          <cell r="W358" t="str">
            <v>CoreLogic (Automated Valuation Model): PASS</v>
          </cell>
          <cell r="X358" t="str">
            <v>Grant Thornton</v>
          </cell>
          <cell r="Y358" t="str">
            <v>Real Estate Fund</v>
          </cell>
          <cell r="Z358" t="str">
            <v>No</v>
          </cell>
          <cell r="AA358" t="str">
            <v>Yes</v>
          </cell>
          <cell r="AC358" t="str">
            <v>Non-Listed Fund</v>
          </cell>
          <cell r="AD358" t="str">
            <v>Core</v>
          </cell>
          <cell r="AE358" t="str">
            <v>infinite</v>
          </cell>
          <cell r="AF358" t="str">
            <v>Closed end</v>
          </cell>
          <cell r="AG358">
            <v>7</v>
          </cell>
          <cell r="AH358">
            <v>9</v>
          </cell>
          <cell r="AI358" t="str">
            <v>Gross</v>
          </cell>
          <cell r="AJ358" t="str">
            <v>None</v>
          </cell>
          <cell r="AL358">
            <v>0</v>
          </cell>
          <cell r="AM358" t="str">
            <v>≤ 40%</v>
          </cell>
          <cell r="AN358" t="str">
            <v>Institutional</v>
          </cell>
          <cell r="AO358" t="str">
            <v>≤ 2</v>
          </cell>
          <cell r="AP358" t="str">
            <v>≥ 50%</v>
          </cell>
          <cell r="AQ358" t="str">
            <v>North America</v>
          </cell>
          <cell r="AR358" t="str">
            <v>single country</v>
          </cell>
          <cell r="AT358" t="str">
            <v>United States of America</v>
          </cell>
          <cell r="AU358" t="str">
            <v>single sector</v>
          </cell>
          <cell r="AV358" t="str">
            <v>Residential</v>
          </cell>
          <cell r="AY358">
            <v>2012</v>
          </cell>
          <cell r="BF358" t="str">
            <v>≤ 15%</v>
          </cell>
        </row>
        <row r="359">
          <cell r="A359">
            <v>16344</v>
          </cell>
          <cell r="B359" t="str">
            <v>NIAM NORDIC CORE-PLUS</v>
          </cell>
          <cell r="C359" t="str">
            <v>NIAM</v>
          </cell>
          <cell r="D359" t="str">
            <v>Stureplan 3</v>
          </cell>
          <cell r="E359" t="str">
            <v>111 45</v>
          </cell>
          <cell r="F359" t="str">
            <v>Stockholm</v>
          </cell>
          <cell r="G359" t="str">
            <v>Sweden</v>
          </cell>
          <cell r="H359" t="str">
            <v>+46851758500</v>
          </cell>
          <cell r="I359" t="str">
            <v>+46851758599</v>
          </cell>
          <cell r="J359" t="str">
            <v>http://www.niam.se/</v>
          </cell>
          <cell r="K359" t="str">
            <v>Victor Wettergren</v>
          </cell>
          <cell r="L359" t="str">
            <v>victor.wettergren@niam.com</v>
          </cell>
          <cell r="M359" t="str">
            <v>+46851758525</v>
          </cell>
          <cell r="N359" t="str">
            <v>Fanny Jörwall</v>
          </cell>
          <cell r="O359" t="str">
            <v>fanny.jorwall@niam.com</v>
          </cell>
          <cell r="P359" t="str">
            <v>+46708196839</v>
          </cell>
          <cell r="Q359" t="str">
            <v>Luxembourg</v>
          </cell>
          <cell r="R359" t="str">
            <v>EUR</v>
          </cell>
          <cell r="S359" t="str">
            <v>IFRS</v>
          </cell>
          <cell r="T359" t="str">
            <v>Quarterly</v>
          </cell>
          <cell r="U359" t="str">
            <v>Twice per year</v>
          </cell>
          <cell r="V359" t="str">
            <v>RICS</v>
          </cell>
          <cell r="W359" t="str">
            <v>IFRS NAV</v>
          </cell>
          <cell r="X359" t="str">
            <v>E&amp;Y</v>
          </cell>
          <cell r="Y359" t="str">
            <v>FCP</v>
          </cell>
          <cell r="Z359" t="str">
            <v>Yes</v>
          </cell>
          <cell r="AA359" t="str">
            <v>Yes</v>
          </cell>
          <cell r="AB359">
            <v>1</v>
          </cell>
          <cell r="AC359" t="str">
            <v>Non-Listed Fund</v>
          </cell>
          <cell r="AD359" t="str">
            <v>Core</v>
          </cell>
          <cell r="AE359" t="str">
            <v>finite</v>
          </cell>
          <cell r="AF359" t="str">
            <v>Closed end</v>
          </cell>
          <cell r="AG359">
            <v>10</v>
          </cell>
          <cell r="AH359">
            <v>10</v>
          </cell>
          <cell r="AI359" t="str">
            <v>Net</v>
          </cell>
          <cell r="AK359">
            <v>5</v>
          </cell>
          <cell r="AL359">
            <v>50</v>
          </cell>
          <cell r="AM359" t="str">
            <v>&gt; 40% - ≤ 60%</v>
          </cell>
          <cell r="AN359" t="str">
            <v>Institutional</v>
          </cell>
          <cell r="AO359" t="str">
            <v>&gt; 2</v>
          </cell>
          <cell r="AP359" t="str">
            <v>≥ 50%</v>
          </cell>
          <cell r="AQ359" t="str">
            <v>Europe</v>
          </cell>
          <cell r="AR359" t="str">
            <v>multi country</v>
          </cell>
          <cell r="AS359" t="str">
            <v>Nordic</v>
          </cell>
          <cell r="AU359" t="str">
            <v>multi sector</v>
          </cell>
          <cell r="AW359">
            <v>300</v>
          </cell>
          <cell r="AY359">
            <v>2013</v>
          </cell>
          <cell r="AZ359">
            <v>2021</v>
          </cell>
          <cell r="BA359" t="str">
            <v>Yes</v>
          </cell>
          <cell r="BB359" t="str">
            <v>Yes</v>
          </cell>
          <cell r="BC359" t="str">
            <v>1+1 years</v>
          </cell>
          <cell r="BD359" t="str">
            <v>No</v>
          </cell>
          <cell r="BH359" t="str">
            <v>2020-12-31</v>
          </cell>
          <cell r="BI359">
            <v>39788000</v>
          </cell>
          <cell r="BJ359">
            <v>39788000</v>
          </cell>
          <cell r="BK359">
            <v>18810000</v>
          </cell>
          <cell r="BL359">
            <v>18810000</v>
          </cell>
          <cell r="BM359">
            <v>51</v>
          </cell>
          <cell r="BN359" t="str">
            <v>No</v>
          </cell>
          <cell r="BO359" t="str">
            <v>Internal</v>
          </cell>
          <cell r="BP359">
            <v>12</v>
          </cell>
          <cell r="BQ359">
            <v>2</v>
          </cell>
          <cell r="BR359">
            <v>299970000</v>
          </cell>
          <cell r="BS359">
            <v>299970000</v>
          </cell>
          <cell r="BT359">
            <v>244951724</v>
          </cell>
          <cell r="BU359">
            <v>244951724</v>
          </cell>
          <cell r="BV359" t="str">
            <v>No</v>
          </cell>
          <cell r="BW359" t="str">
            <v>Sweden</v>
          </cell>
          <cell r="BX359" t="str">
            <v>Retail</v>
          </cell>
          <cell r="BY359">
            <v>47</v>
          </cell>
          <cell r="BZ359" t="str">
            <v>Denmark</v>
          </cell>
          <cell r="CA359" t="str">
            <v>Office</v>
          </cell>
          <cell r="CB359">
            <v>53</v>
          </cell>
        </row>
        <row r="360">
          <cell r="A360">
            <v>18147</v>
          </cell>
          <cell r="B360" t="str">
            <v>NIAM NORDIC CORE-PLUS II</v>
          </cell>
          <cell r="C360" t="str">
            <v>NIAM</v>
          </cell>
          <cell r="D360" t="str">
            <v>Stureplan 3</v>
          </cell>
          <cell r="E360" t="str">
            <v>111 45</v>
          </cell>
          <cell r="F360" t="str">
            <v>Stockholm</v>
          </cell>
          <cell r="G360" t="str">
            <v>Sweden</v>
          </cell>
          <cell r="H360" t="str">
            <v>+46851758500</v>
          </cell>
          <cell r="I360" t="str">
            <v>+46851758599</v>
          </cell>
          <cell r="J360" t="str">
            <v>http://www.niam.se</v>
          </cell>
          <cell r="K360" t="str">
            <v>Victor Wettergren</v>
          </cell>
          <cell r="L360" t="str">
            <v>victor.wettergren@niam.com</v>
          </cell>
          <cell r="M360" t="str">
            <v>+46851758525</v>
          </cell>
          <cell r="N360" t="str">
            <v>Fanny Jörwall</v>
          </cell>
          <cell r="O360" t="str">
            <v>fanny.jorwall@niam.com</v>
          </cell>
          <cell r="P360" t="str">
            <v>+46708196839</v>
          </cell>
          <cell r="Q360" t="str">
            <v>Luxembourg</v>
          </cell>
          <cell r="R360" t="str">
            <v>EUR</v>
          </cell>
          <cell r="S360" t="str">
            <v>IFRS</v>
          </cell>
          <cell r="T360" t="str">
            <v>Quarterly</v>
          </cell>
          <cell r="U360" t="str">
            <v>Twice per year</v>
          </cell>
          <cell r="V360" t="str">
            <v>RICS</v>
          </cell>
          <cell r="W360" t="str">
            <v>IFRS NAV</v>
          </cell>
          <cell r="Y360" t="str">
            <v>Limited Partnership</v>
          </cell>
          <cell r="Z360" t="str">
            <v>Yes</v>
          </cell>
          <cell r="AC360" t="str">
            <v>Non-Listed Fund</v>
          </cell>
          <cell r="AD360" t="str">
            <v>Core</v>
          </cell>
          <cell r="AE360" t="str">
            <v>finite</v>
          </cell>
          <cell r="AF360" t="str">
            <v>Closed end</v>
          </cell>
          <cell r="AG360">
            <v>8</v>
          </cell>
          <cell r="AH360">
            <v>8</v>
          </cell>
          <cell r="AI360" t="str">
            <v>Net</v>
          </cell>
          <cell r="AK360">
            <v>5</v>
          </cell>
          <cell r="AL360">
            <v>50</v>
          </cell>
          <cell r="AM360" t="str">
            <v>&gt; 40% - ≤ 60%</v>
          </cell>
          <cell r="AN360" t="str">
            <v>Institutional</v>
          </cell>
          <cell r="AO360" t="str">
            <v>&gt; 2</v>
          </cell>
          <cell r="AP360" t="str">
            <v>≥ 50%</v>
          </cell>
          <cell r="AQ360" t="str">
            <v>Europe</v>
          </cell>
          <cell r="AR360" t="str">
            <v>multi country</v>
          </cell>
          <cell r="AS360" t="str">
            <v>Nordic</v>
          </cell>
          <cell r="AU360" t="str">
            <v>multi sector</v>
          </cell>
          <cell r="AW360">
            <v>300000000</v>
          </cell>
          <cell r="AX360">
            <v>600000000</v>
          </cell>
          <cell r="AY360">
            <v>2017</v>
          </cell>
          <cell r="AZ360">
            <v>2025</v>
          </cell>
          <cell r="BA360" t="str">
            <v>Yes</v>
          </cell>
          <cell r="BB360" t="str">
            <v>Yes</v>
          </cell>
          <cell r="BC360" t="str">
            <v>1+1+1+1 years</v>
          </cell>
          <cell r="BD360" t="str">
            <v>No</v>
          </cell>
          <cell r="BE360" t="str">
            <v>≥ 60%</v>
          </cell>
          <cell r="BF360" t="str">
            <v>≤ 15%</v>
          </cell>
          <cell r="BH360" t="str">
            <v>2020-12-31</v>
          </cell>
          <cell r="BI360">
            <v>524414000</v>
          </cell>
          <cell r="BJ360">
            <v>524414000</v>
          </cell>
          <cell r="BK360">
            <v>254217000</v>
          </cell>
          <cell r="BL360">
            <v>254217000</v>
          </cell>
          <cell r="BM360">
            <v>48</v>
          </cell>
          <cell r="BN360" t="str">
            <v>No</v>
          </cell>
          <cell r="BO360" t="str">
            <v>Internal</v>
          </cell>
          <cell r="BP360">
            <v>16</v>
          </cell>
          <cell r="BQ360">
            <v>18</v>
          </cell>
          <cell r="BR360">
            <v>280962314</v>
          </cell>
          <cell r="BS360">
            <v>280962314</v>
          </cell>
          <cell r="BT360">
            <v>233100767</v>
          </cell>
          <cell r="BU360">
            <v>233100767</v>
          </cell>
          <cell r="BV360" t="str">
            <v>No</v>
          </cell>
          <cell r="BW360" t="str">
            <v>Denmark</v>
          </cell>
          <cell r="BX360" t="str">
            <v>Office</v>
          </cell>
          <cell r="BY360">
            <v>21.15</v>
          </cell>
          <cell r="BZ360" t="str">
            <v>Finland</v>
          </cell>
          <cell r="CA360" t="str">
            <v>Office</v>
          </cell>
          <cell r="CB360">
            <v>13.93</v>
          </cell>
          <cell r="CC360" t="str">
            <v>Norway</v>
          </cell>
          <cell r="CD360" t="str">
            <v>Office</v>
          </cell>
          <cell r="CE360">
            <v>16.739999999999998</v>
          </cell>
          <cell r="CF360" t="str">
            <v>Denmark</v>
          </cell>
          <cell r="CG360" t="str">
            <v>Other</v>
          </cell>
          <cell r="CH360">
            <v>5.55</v>
          </cell>
          <cell r="CI360" t="str">
            <v>Sweden</v>
          </cell>
          <cell r="CJ360" t="str">
            <v>Other</v>
          </cell>
          <cell r="CK360">
            <v>3.54</v>
          </cell>
          <cell r="CL360" t="str">
            <v>Sweden</v>
          </cell>
          <cell r="CM360" t="str">
            <v>Residential</v>
          </cell>
          <cell r="CN360">
            <v>8.2799999999999994</v>
          </cell>
          <cell r="CO360" t="str">
            <v>Finland</v>
          </cell>
          <cell r="CP360" t="str">
            <v>Retail</v>
          </cell>
          <cell r="CQ360">
            <v>10.52</v>
          </cell>
          <cell r="CR360" t="str">
            <v>Sweden</v>
          </cell>
          <cell r="CS360" t="str">
            <v>Retail</v>
          </cell>
          <cell r="CT360">
            <v>20.29</v>
          </cell>
        </row>
        <row r="361">
          <cell r="A361">
            <v>617</v>
          </cell>
          <cell r="B361" t="str">
            <v>NIAM NORDIC V</v>
          </cell>
          <cell r="C361" t="str">
            <v>NIAM AB</v>
          </cell>
          <cell r="D361" t="str">
            <v>Stureplan 3</v>
          </cell>
          <cell r="E361" t="str">
            <v>111 45</v>
          </cell>
          <cell r="F361" t="str">
            <v>STOCKHOLM</v>
          </cell>
          <cell r="G361" t="str">
            <v>Sweden</v>
          </cell>
          <cell r="H361" t="str">
            <v>+46851758500</v>
          </cell>
          <cell r="I361" t="str">
            <v>+46851758599</v>
          </cell>
          <cell r="J361" t="str">
            <v>http://www.niam.se</v>
          </cell>
          <cell r="K361" t="str">
            <v>Erik Rydström</v>
          </cell>
          <cell r="L361" t="str">
            <v>erik.rydstrom@niam.com</v>
          </cell>
          <cell r="M361" t="str">
            <v>+46851758544</v>
          </cell>
          <cell r="N361" t="str">
            <v>Fanny Jörwall</v>
          </cell>
          <cell r="O361" t="str">
            <v>fanny.jorwall@niam.com</v>
          </cell>
          <cell r="P361" t="str">
            <v>+46708196839</v>
          </cell>
          <cell r="Q361" t="str">
            <v>Sweden</v>
          </cell>
          <cell r="R361" t="str">
            <v>EUR</v>
          </cell>
          <cell r="S361" t="str">
            <v>IFRS</v>
          </cell>
          <cell r="T361" t="str">
            <v>Quarterly</v>
          </cell>
          <cell r="U361" t="str">
            <v>Annually</v>
          </cell>
          <cell r="V361" t="str">
            <v>RICS</v>
          </cell>
          <cell r="W361" t="str">
            <v>IFRS NAV</v>
          </cell>
          <cell r="X361" t="str">
            <v>Ernst &amp; Young</v>
          </cell>
          <cell r="Y361" t="str">
            <v>Limited Partnership</v>
          </cell>
          <cell r="Z361" t="str">
            <v>No</v>
          </cell>
          <cell r="AC361" t="str">
            <v>Non-Listed Fund</v>
          </cell>
          <cell r="AD361" t="str">
            <v>Opportunity</v>
          </cell>
          <cell r="AE361" t="str">
            <v>finite</v>
          </cell>
          <cell r="AF361" t="str">
            <v>Closed end</v>
          </cell>
          <cell r="AG361">
            <v>20</v>
          </cell>
          <cell r="AH361">
            <v>20</v>
          </cell>
          <cell r="AI361" t="str">
            <v>Gross</v>
          </cell>
          <cell r="AJ361" t="str">
            <v>IPD</v>
          </cell>
          <cell r="AL361">
            <v>75</v>
          </cell>
          <cell r="AM361" t="str">
            <v>&gt; 60%</v>
          </cell>
          <cell r="AN361" t="str">
            <v>Institutional</v>
          </cell>
          <cell r="AO361" t="str">
            <v>&gt; 2</v>
          </cell>
          <cell r="AP361" t="str">
            <v>≥ 50%</v>
          </cell>
          <cell r="AQ361" t="str">
            <v>Europe</v>
          </cell>
          <cell r="AR361" t="str">
            <v>multi country</v>
          </cell>
          <cell r="AS361" t="str">
            <v>Nordic</v>
          </cell>
          <cell r="AU361" t="str">
            <v>multi sector</v>
          </cell>
          <cell r="AW361">
            <v>600000000</v>
          </cell>
          <cell r="AY361">
            <v>2011</v>
          </cell>
          <cell r="AZ361">
            <v>2020</v>
          </cell>
          <cell r="BA361" t="str">
            <v>Yes</v>
          </cell>
          <cell r="BB361" t="str">
            <v>Yes</v>
          </cell>
          <cell r="BC361" t="str">
            <v>4 years fixed</v>
          </cell>
          <cell r="BF361" t="str">
            <v>&gt; 40%</v>
          </cell>
          <cell r="BG361" t="str">
            <v>&gt; 5 - ≤ 25%</v>
          </cell>
          <cell r="BH361" t="str">
            <v>2020-12-31</v>
          </cell>
          <cell r="BI361">
            <v>392413000</v>
          </cell>
          <cell r="BJ361">
            <v>392413000</v>
          </cell>
          <cell r="BK361">
            <v>201490000</v>
          </cell>
          <cell r="BL361">
            <v>201490000</v>
          </cell>
          <cell r="BM361">
            <v>44</v>
          </cell>
          <cell r="BN361" t="str">
            <v>No</v>
          </cell>
          <cell r="BO361" t="str">
            <v>Internal</v>
          </cell>
          <cell r="BP361">
            <v>37</v>
          </cell>
          <cell r="BQ361">
            <v>11</v>
          </cell>
          <cell r="BR361">
            <v>719372500</v>
          </cell>
          <cell r="BS361">
            <v>719372500</v>
          </cell>
          <cell r="BT361">
            <v>674417163</v>
          </cell>
          <cell r="BU361">
            <v>674417163</v>
          </cell>
          <cell r="BV361" t="str">
            <v>No</v>
          </cell>
          <cell r="BW361" t="str">
            <v>Sweden</v>
          </cell>
          <cell r="BX361" t="str">
            <v>Development Residential</v>
          </cell>
          <cell r="BY361">
            <v>11.2</v>
          </cell>
          <cell r="BZ361" t="str">
            <v>Norway</v>
          </cell>
          <cell r="CA361" t="str">
            <v>Retail</v>
          </cell>
          <cell r="CB361">
            <v>31.2</v>
          </cell>
          <cell r="CC361" t="str">
            <v>Poland</v>
          </cell>
          <cell r="CD361" t="str">
            <v>Office</v>
          </cell>
          <cell r="CE361">
            <v>28.2</v>
          </cell>
          <cell r="CF361" t="str">
            <v>Denmark</v>
          </cell>
          <cell r="CG361" t="str">
            <v>Office</v>
          </cell>
          <cell r="CH361">
            <v>29.4</v>
          </cell>
        </row>
        <row r="362">
          <cell r="A362">
            <v>17696</v>
          </cell>
          <cell r="B362" t="str">
            <v>NIAM NORDIC VI</v>
          </cell>
          <cell r="C362" t="str">
            <v>NIAM AB</v>
          </cell>
          <cell r="D362" t="str">
            <v>Stureplan 3</v>
          </cell>
          <cell r="E362" t="str">
            <v>111 45</v>
          </cell>
          <cell r="F362" t="str">
            <v>Stockholm</v>
          </cell>
          <cell r="G362" t="str">
            <v>Sweden</v>
          </cell>
          <cell r="H362" t="str">
            <v>+46851758500</v>
          </cell>
          <cell r="I362" t="str">
            <v>+46851758599</v>
          </cell>
          <cell r="J362" t="str">
            <v>http://www.niam.se</v>
          </cell>
          <cell r="K362" t="str">
            <v>Henrik Gerdin</v>
          </cell>
          <cell r="L362" t="str">
            <v>henrik.gerdin@niam.com</v>
          </cell>
          <cell r="M362" t="str">
            <v>+46851758503</v>
          </cell>
          <cell r="N362" t="str">
            <v>Fanny Jörwall</v>
          </cell>
          <cell r="O362" t="str">
            <v>fanny.jorwall@niam.com</v>
          </cell>
          <cell r="P362" t="str">
            <v>+46708196839</v>
          </cell>
          <cell r="Q362" t="str">
            <v>United Kingdom</v>
          </cell>
          <cell r="R362" t="str">
            <v>EUR</v>
          </cell>
          <cell r="S362" t="str">
            <v>IFRS</v>
          </cell>
          <cell r="T362" t="str">
            <v>Quarterly</v>
          </cell>
          <cell r="U362" t="str">
            <v>Annually</v>
          </cell>
          <cell r="V362" t="str">
            <v>RICS</v>
          </cell>
          <cell r="W362" t="str">
            <v>IFRS NAV</v>
          </cell>
          <cell r="X362" t="str">
            <v>Ernst &amp; Young</v>
          </cell>
          <cell r="Y362" t="str">
            <v>Limited Partnership</v>
          </cell>
          <cell r="Z362" t="str">
            <v>No</v>
          </cell>
          <cell r="AC362" t="str">
            <v>Non-Listed Fund</v>
          </cell>
          <cell r="AD362" t="str">
            <v>Opportunity</v>
          </cell>
          <cell r="AE362" t="str">
            <v>finite</v>
          </cell>
          <cell r="AF362" t="str">
            <v>Closed end</v>
          </cell>
          <cell r="AG362">
            <v>18</v>
          </cell>
          <cell r="AH362">
            <v>20</v>
          </cell>
          <cell r="AI362" t="str">
            <v>Gross</v>
          </cell>
          <cell r="AJ362" t="str">
            <v>Cambridge</v>
          </cell>
          <cell r="AL362">
            <v>75</v>
          </cell>
          <cell r="AM362" t="str">
            <v>&gt; 60%</v>
          </cell>
          <cell r="AN362" t="str">
            <v>Institutional</v>
          </cell>
          <cell r="AO362" t="str">
            <v>&gt; 2</v>
          </cell>
          <cell r="AP362" t="str">
            <v>≥ 50%</v>
          </cell>
          <cell r="AQ362" t="str">
            <v>Europe</v>
          </cell>
          <cell r="AR362" t="str">
            <v>multi country</v>
          </cell>
          <cell r="AS362" t="str">
            <v>Nordic</v>
          </cell>
          <cell r="AU362" t="str">
            <v>multi sector</v>
          </cell>
          <cell r="AW362">
            <v>800000000</v>
          </cell>
          <cell r="AY362">
            <v>2015</v>
          </cell>
          <cell r="AZ362">
            <v>2023</v>
          </cell>
          <cell r="BA362" t="str">
            <v>Yes</v>
          </cell>
          <cell r="BB362" t="str">
            <v>Yes</v>
          </cell>
          <cell r="BC362" t="str">
            <v>1+1+1+1 years</v>
          </cell>
          <cell r="BF362" t="str">
            <v>&gt; 15% - ≤ 40%</v>
          </cell>
          <cell r="BG362" t="str">
            <v>&gt; 5 - ≤ 25%</v>
          </cell>
          <cell r="BH362" t="str">
            <v>2020-12-31</v>
          </cell>
          <cell r="BI362">
            <v>2599740000</v>
          </cell>
          <cell r="BJ362">
            <v>2599740000</v>
          </cell>
          <cell r="BK362">
            <v>813523000</v>
          </cell>
          <cell r="BL362">
            <v>813523000</v>
          </cell>
          <cell r="BM362">
            <v>62</v>
          </cell>
          <cell r="BN362" t="str">
            <v>No</v>
          </cell>
          <cell r="BO362" t="str">
            <v>Internal</v>
          </cell>
          <cell r="BP362">
            <v>27</v>
          </cell>
          <cell r="BQ362">
            <v>219</v>
          </cell>
          <cell r="BR362">
            <v>800000000</v>
          </cell>
          <cell r="BS362">
            <v>800000000</v>
          </cell>
          <cell r="BT362">
            <v>670081027</v>
          </cell>
          <cell r="BU362">
            <v>670081027</v>
          </cell>
          <cell r="BV362" t="str">
            <v>No</v>
          </cell>
          <cell r="BW362" t="str">
            <v>Poland</v>
          </cell>
          <cell r="BX362" t="str">
            <v>Office</v>
          </cell>
          <cell r="BY362">
            <v>6.8</v>
          </cell>
          <cell r="BZ362" t="str">
            <v>Sweden</v>
          </cell>
          <cell r="CA362" t="str">
            <v>Other</v>
          </cell>
          <cell r="CB362">
            <v>3.95</v>
          </cell>
          <cell r="CC362" t="str">
            <v>Sweden</v>
          </cell>
          <cell r="CD362" t="str">
            <v>Office</v>
          </cell>
          <cell r="CE362">
            <v>4.82</v>
          </cell>
          <cell r="CF362" t="str">
            <v>Finland</v>
          </cell>
          <cell r="CG362" t="str">
            <v>Retail</v>
          </cell>
          <cell r="CH362">
            <v>7.52</v>
          </cell>
          <cell r="CI362" t="str">
            <v>Finland</v>
          </cell>
          <cell r="CJ362" t="str">
            <v>Office</v>
          </cell>
          <cell r="CK362">
            <v>11.57</v>
          </cell>
          <cell r="CL362" t="str">
            <v>Denmark</v>
          </cell>
          <cell r="CM362" t="str">
            <v>Other</v>
          </cell>
          <cell r="CN362">
            <v>0.27</v>
          </cell>
          <cell r="CO362" t="str">
            <v>Denmark</v>
          </cell>
          <cell r="CP362" t="str">
            <v>Industrial / Logistics</v>
          </cell>
          <cell r="CQ362">
            <v>2.25</v>
          </cell>
          <cell r="CR362" t="str">
            <v>Denmark</v>
          </cell>
          <cell r="CS362" t="str">
            <v>Retail</v>
          </cell>
          <cell r="CT362">
            <v>0.04</v>
          </cell>
          <cell r="CU362" t="str">
            <v>Denmark</v>
          </cell>
          <cell r="CV362" t="str">
            <v>Office</v>
          </cell>
          <cell r="CW362">
            <v>5.16</v>
          </cell>
          <cell r="CX362" t="str">
            <v>Denmark</v>
          </cell>
          <cell r="CY362" t="str">
            <v>Residential</v>
          </cell>
          <cell r="CZ362">
            <v>57.62</v>
          </cell>
        </row>
        <row r="363">
          <cell r="A363">
            <v>19346</v>
          </cell>
          <cell r="B363" t="str">
            <v>NIAM NORDIC VII</v>
          </cell>
          <cell r="C363" t="str">
            <v>NIAM AB</v>
          </cell>
          <cell r="D363" t="str">
            <v>Stureplan 3</v>
          </cell>
          <cell r="E363" t="str">
            <v>111 45</v>
          </cell>
          <cell r="F363" t="str">
            <v>Stockholm</v>
          </cell>
          <cell r="G363" t="str">
            <v>Sweden</v>
          </cell>
          <cell r="H363" t="str">
            <v>+46851758500</v>
          </cell>
          <cell r="I363" t="str">
            <v>+46851758599</v>
          </cell>
          <cell r="J363" t="str">
            <v>http://www.niam.se</v>
          </cell>
          <cell r="K363" t="str">
            <v>Erik Rydström</v>
          </cell>
          <cell r="L363" t="str">
            <v>erik.rydstrom@niam.com</v>
          </cell>
          <cell r="M363" t="str">
            <v>+46851758544</v>
          </cell>
          <cell r="N363" t="str">
            <v>Fanny Jörwall</v>
          </cell>
          <cell r="O363" t="str">
            <v>fanny.jorwall@niam.com</v>
          </cell>
          <cell r="P363" t="str">
            <v>+46708196839</v>
          </cell>
          <cell r="Q363" t="str">
            <v>Sweden</v>
          </cell>
          <cell r="R363" t="str">
            <v>EUR</v>
          </cell>
          <cell r="S363" t="str">
            <v>IFRS</v>
          </cell>
          <cell r="T363" t="str">
            <v>Quarterly</v>
          </cell>
          <cell r="U363" t="str">
            <v>Annually</v>
          </cell>
          <cell r="V363" t="str">
            <v>RICS</v>
          </cell>
          <cell r="W363" t="str">
            <v>IFRS NAV</v>
          </cell>
          <cell r="X363" t="str">
            <v>E&amp;Y</v>
          </cell>
          <cell r="Y363" t="str">
            <v>Limited Partnership</v>
          </cell>
          <cell r="Z363" t="str">
            <v>No</v>
          </cell>
          <cell r="AC363" t="str">
            <v>Non-Listed Fund</v>
          </cell>
          <cell r="AD363" t="str">
            <v>Opportunity</v>
          </cell>
          <cell r="AE363" t="str">
            <v>finite</v>
          </cell>
          <cell r="AF363" t="str">
            <v>Closed end</v>
          </cell>
          <cell r="AG363">
            <v>18</v>
          </cell>
          <cell r="AH363">
            <v>20</v>
          </cell>
          <cell r="AI363" t="str">
            <v>Gross</v>
          </cell>
          <cell r="AL363">
            <v>75</v>
          </cell>
          <cell r="AM363" t="str">
            <v>&gt; 60%</v>
          </cell>
          <cell r="AN363" t="str">
            <v>Institutional</v>
          </cell>
          <cell r="AO363" t="str">
            <v>&gt; 2</v>
          </cell>
          <cell r="AP363" t="str">
            <v>≥ 50%</v>
          </cell>
          <cell r="AQ363" t="str">
            <v>Europe</v>
          </cell>
          <cell r="AR363" t="str">
            <v>multi country</v>
          </cell>
          <cell r="AS363" t="str">
            <v>Nordic</v>
          </cell>
          <cell r="AU363" t="str">
            <v>multi sector</v>
          </cell>
          <cell r="AW363">
            <v>800000000</v>
          </cell>
          <cell r="AY363">
            <v>2018</v>
          </cell>
          <cell r="AZ363">
            <v>2028</v>
          </cell>
          <cell r="BA363" t="str">
            <v>Yes</v>
          </cell>
          <cell r="BB363" t="str">
            <v>Yes</v>
          </cell>
          <cell r="BC363" t="str">
            <v>1+1+1+1 years</v>
          </cell>
          <cell r="BF363" t="str">
            <v>&gt; 15% - ≤ 40%</v>
          </cell>
          <cell r="BG363" t="str">
            <v>&gt; 5 - ≤ 25%</v>
          </cell>
          <cell r="BH363" t="str">
            <v>2020-12-31</v>
          </cell>
          <cell r="BI363">
            <v>566057000</v>
          </cell>
          <cell r="BJ363">
            <v>566057000</v>
          </cell>
          <cell r="BK363">
            <v>179844000</v>
          </cell>
          <cell r="BL363">
            <v>179844000</v>
          </cell>
          <cell r="BM363">
            <v>59</v>
          </cell>
          <cell r="BN363" t="str">
            <v>No</v>
          </cell>
          <cell r="BO363" t="str">
            <v>Internal</v>
          </cell>
          <cell r="BP363">
            <v>31</v>
          </cell>
          <cell r="BQ363">
            <v>23</v>
          </cell>
          <cell r="BR363">
            <v>1099310606</v>
          </cell>
          <cell r="BS363">
            <v>1099310606</v>
          </cell>
          <cell r="BT363">
            <v>194157378</v>
          </cell>
          <cell r="BU363">
            <v>194157378</v>
          </cell>
          <cell r="BV363" t="str">
            <v>No</v>
          </cell>
          <cell r="BW363" t="str">
            <v>Denmark</v>
          </cell>
          <cell r="BX363" t="str">
            <v>Residential</v>
          </cell>
          <cell r="BY363">
            <v>2.73</v>
          </cell>
          <cell r="BZ363" t="str">
            <v>Sweden</v>
          </cell>
          <cell r="CA363" t="str">
            <v>Industrial / Logistics</v>
          </cell>
          <cell r="CB363">
            <v>19.38</v>
          </cell>
          <cell r="CC363" t="str">
            <v>Denmark</v>
          </cell>
          <cell r="CD363" t="str">
            <v>Industrial / Logistics</v>
          </cell>
          <cell r="CE363">
            <v>2.92</v>
          </cell>
          <cell r="CF363" t="str">
            <v>Denmark</v>
          </cell>
          <cell r="CG363" t="str">
            <v>Office</v>
          </cell>
          <cell r="CH363">
            <v>45.11</v>
          </cell>
          <cell r="CI363" t="str">
            <v>Sweden</v>
          </cell>
          <cell r="CJ363" t="str">
            <v>Residential</v>
          </cell>
          <cell r="CK363">
            <v>16.61</v>
          </cell>
          <cell r="CL363" t="str">
            <v>Denmark</v>
          </cell>
          <cell r="CM363" t="str">
            <v>Other</v>
          </cell>
          <cell r="CN363">
            <v>13.25</v>
          </cell>
        </row>
        <row r="364">
          <cell r="A364">
            <v>336</v>
          </cell>
          <cell r="B364" t="str">
            <v>NICHER REAL ESTATE</v>
          </cell>
          <cell r="C364" t="str">
            <v>FONDAMENTA SGR P.A.</v>
          </cell>
          <cell r="D364" t="str">
            <v>Via Mazzini 2</v>
          </cell>
          <cell r="E364">
            <v>20123</v>
          </cell>
          <cell r="F364" t="str">
            <v>Milano</v>
          </cell>
          <cell r="G364" t="str">
            <v>Italy</v>
          </cell>
          <cell r="H364" t="str">
            <v>+39 02 7214 7761</v>
          </cell>
          <cell r="I364" t="str">
            <v>+39 02 7214 7720</v>
          </cell>
          <cell r="J364" t="str">
            <v>http://www.fondamentasgr.com</v>
          </cell>
          <cell r="N364" t="str">
            <v>Riccardo R Sadun</v>
          </cell>
          <cell r="Q364" t="str">
            <v>Italy</v>
          </cell>
          <cell r="R364" t="str">
            <v>EUR</v>
          </cell>
          <cell r="T364" t="str">
            <v>Quarterly</v>
          </cell>
          <cell r="U364" t="str">
            <v>Quarterly</v>
          </cell>
          <cell r="X364" t="str">
            <v>Ernst &amp; Young</v>
          </cell>
          <cell r="Y364" t="str">
            <v>Closed Ended Fund</v>
          </cell>
          <cell r="AB364">
            <v>0</v>
          </cell>
          <cell r="AC364" t="str">
            <v>Non-Listed Fund</v>
          </cell>
          <cell r="AD364" t="str">
            <v>Value-added</v>
          </cell>
          <cell r="AE364" t="str">
            <v>finite</v>
          </cell>
          <cell r="AF364" t="str">
            <v>Closed end</v>
          </cell>
          <cell r="AJ364" t="str">
            <v>None</v>
          </cell>
          <cell r="AL364">
            <v>60</v>
          </cell>
          <cell r="AM364" t="str">
            <v>&gt; 40% - ≤ 60%</v>
          </cell>
          <cell r="AN364" t="str">
            <v>Institutional</v>
          </cell>
          <cell r="AP364" t="str">
            <v>≥ 50%</v>
          </cell>
          <cell r="AQ364" t="str">
            <v>Europe</v>
          </cell>
          <cell r="AR364" t="str">
            <v>single country</v>
          </cell>
          <cell r="AT364" t="str">
            <v>Italy</v>
          </cell>
          <cell r="AU364" t="str">
            <v>multi sector</v>
          </cell>
          <cell r="AX364">
            <v>375000000</v>
          </cell>
          <cell r="AY364">
            <v>2006</v>
          </cell>
          <cell r="AZ364">
            <v>2020</v>
          </cell>
          <cell r="BH364" t="str">
            <v>2008-06-30</v>
          </cell>
          <cell r="BI364">
            <v>80960000</v>
          </cell>
          <cell r="BJ364">
            <v>80960000</v>
          </cell>
          <cell r="BK364">
            <v>41680000</v>
          </cell>
          <cell r="BL364">
            <v>41680000</v>
          </cell>
          <cell r="BP364">
            <v>5</v>
          </cell>
          <cell r="BR364">
            <v>150000000</v>
          </cell>
          <cell r="BS364">
            <v>150000000</v>
          </cell>
          <cell r="BU364">
            <v>0</v>
          </cell>
        </row>
        <row r="365">
          <cell r="A365">
            <v>18546</v>
          </cell>
          <cell r="B365" t="str">
            <v>NORDIC AGED CARE FUND</v>
          </cell>
          <cell r="C365" t="str">
            <v>NORTHERN HORIZON CAPITAL AIFM OY</v>
          </cell>
          <cell r="D365" t="str">
            <v>Aleksanterinkatu 19 A</v>
          </cell>
          <cell r="E365" t="str">
            <v>FI-00101</v>
          </cell>
          <cell r="F365" t="str">
            <v>Helsinki</v>
          </cell>
          <cell r="G365" t="str">
            <v>Finland</v>
          </cell>
          <cell r="H365" t="str">
            <v>+3589667668</v>
          </cell>
          <cell r="I365" t="str">
            <v>+358947669799</v>
          </cell>
          <cell r="J365" t="str">
            <v>https://www.nh-cap.com/</v>
          </cell>
          <cell r="K365" t="str">
            <v>Riikka Moreau</v>
          </cell>
          <cell r="L365" t="str">
            <v>riikka.moreau@nh-cap.com</v>
          </cell>
          <cell r="M365" t="str">
            <v>+3584487938</v>
          </cell>
          <cell r="N365" t="str">
            <v>Riikka Moreau</v>
          </cell>
          <cell r="O365" t="str">
            <v>riikka.moreau@nh-cap.com</v>
          </cell>
          <cell r="P365" t="str">
            <v>+3584487938</v>
          </cell>
          <cell r="Q365" t="str">
            <v>Luxembourg</v>
          </cell>
          <cell r="R365" t="str">
            <v>EUR</v>
          </cell>
          <cell r="S365" t="str">
            <v>IFRS</v>
          </cell>
          <cell r="T365" t="str">
            <v>Quarterly</v>
          </cell>
          <cell r="U365" t="str">
            <v>Annually</v>
          </cell>
          <cell r="V365" t="str">
            <v>RICS</v>
          </cell>
          <cell r="W365" t="str">
            <v>INREV NAV</v>
          </cell>
          <cell r="X365" t="str">
            <v>EY</v>
          </cell>
          <cell r="Y365" t="str">
            <v>SICAV</v>
          </cell>
          <cell r="Z365" t="str">
            <v>Yes</v>
          </cell>
          <cell r="AA365" t="str">
            <v>Yes</v>
          </cell>
          <cell r="AB365">
            <v>2</v>
          </cell>
          <cell r="AC365" t="str">
            <v>Non-Listed Fund</v>
          </cell>
          <cell r="AD365" t="str">
            <v>Core</v>
          </cell>
          <cell r="AE365" t="str">
            <v>finite</v>
          </cell>
          <cell r="AF365" t="str">
            <v>Closed end</v>
          </cell>
          <cell r="AG365">
            <v>9</v>
          </cell>
          <cell r="AH365">
            <v>10</v>
          </cell>
          <cell r="AI365" t="str">
            <v>Net</v>
          </cell>
          <cell r="AL365">
            <v>50</v>
          </cell>
          <cell r="AM365" t="str">
            <v>&gt; 40% - ≤ 60%</v>
          </cell>
          <cell r="AN365" t="str">
            <v>Institutional</v>
          </cell>
          <cell r="AO365" t="str">
            <v>&gt; 2</v>
          </cell>
          <cell r="AP365" t="str">
            <v>≥ 50%</v>
          </cell>
          <cell r="AQ365" t="str">
            <v>Europe</v>
          </cell>
          <cell r="AR365" t="str">
            <v>multi country</v>
          </cell>
          <cell r="AS365" t="str">
            <v>Nordic</v>
          </cell>
          <cell r="AU365" t="str">
            <v>single sector</v>
          </cell>
          <cell r="AV365" t="str">
            <v>Aged care</v>
          </cell>
          <cell r="AW365">
            <v>250000000</v>
          </cell>
          <cell r="AX365">
            <v>500000000</v>
          </cell>
          <cell r="AY365">
            <v>2016</v>
          </cell>
          <cell r="AZ365">
            <v>2024</v>
          </cell>
          <cell r="BH365" t="str">
            <v>2020-12-31</v>
          </cell>
          <cell r="BI365">
            <v>615513000</v>
          </cell>
          <cell r="BJ365">
            <v>615513000</v>
          </cell>
          <cell r="BK365">
            <v>348476000</v>
          </cell>
          <cell r="BL365">
            <v>348476000</v>
          </cell>
          <cell r="BM365">
            <v>40</v>
          </cell>
          <cell r="BN365" t="str">
            <v>No</v>
          </cell>
          <cell r="BO365" t="str">
            <v>External</v>
          </cell>
          <cell r="BP365">
            <v>22</v>
          </cell>
          <cell r="BQ365">
            <v>56</v>
          </cell>
          <cell r="BR365">
            <v>300000000</v>
          </cell>
          <cell r="BS365">
            <v>300000000</v>
          </cell>
          <cell r="BT365">
            <v>237000000</v>
          </cell>
          <cell r="BU365">
            <v>237000000</v>
          </cell>
          <cell r="BV365" t="str">
            <v>No</v>
          </cell>
          <cell r="BW365" t="str">
            <v>Finland</v>
          </cell>
          <cell r="BX365" t="str">
            <v>Aged care</v>
          </cell>
          <cell r="BY365">
            <v>39</v>
          </cell>
          <cell r="BZ365" t="str">
            <v>Sweden</v>
          </cell>
          <cell r="CA365" t="str">
            <v>Aged care</v>
          </cell>
          <cell r="CB365">
            <v>61</v>
          </cell>
        </row>
        <row r="366">
          <cell r="A366">
            <v>337</v>
          </cell>
          <cell r="B366" t="str">
            <v>NORDIC AKTIV 2 PROPERTY FUND L.P.</v>
          </cell>
          <cell r="C366" t="str">
            <v>VALAD PROPERTY GROUP</v>
          </cell>
          <cell r="D366" t="str">
            <v>64 North Row</v>
          </cell>
          <cell r="E366" t="str">
            <v>W1K 7DA</v>
          </cell>
          <cell r="F366" t="str">
            <v>London</v>
          </cell>
          <cell r="G366" t="str">
            <v>United Kingdom</v>
          </cell>
          <cell r="H366" t="str">
            <v>+44 (0) 20 7659 6666</v>
          </cell>
          <cell r="I366" t="str">
            <v>+44 (0) 20 7659 6667</v>
          </cell>
          <cell r="J366" t="str">
            <v>http://www.valad.co.uk</v>
          </cell>
          <cell r="K366" t="str">
            <v>Robert Cotterell</v>
          </cell>
          <cell r="L366" t="str">
            <v>robert.cotterell@valad.co.uk</v>
          </cell>
          <cell r="M366" t="str">
            <v>+44 (0)113 204 4550</v>
          </cell>
          <cell r="N366" t="str">
            <v>Robert Cotterell</v>
          </cell>
          <cell r="O366" t="str">
            <v>robert.cotterell@valad.co.uk</v>
          </cell>
          <cell r="P366" t="str">
            <v>+44 (0) 20 7659 6667</v>
          </cell>
          <cell r="Q366" t="str">
            <v>United Kingdom</v>
          </cell>
          <cell r="R366" t="str">
            <v>EUR</v>
          </cell>
          <cell r="S366" t="str">
            <v>IFRS</v>
          </cell>
          <cell r="T366" t="str">
            <v>Quarterly</v>
          </cell>
          <cell r="U366" t="str">
            <v>Twice per year</v>
          </cell>
          <cell r="V366" t="str">
            <v>RICS</v>
          </cell>
          <cell r="W366" t="str">
            <v>INREV NAV</v>
          </cell>
          <cell r="X366" t="str">
            <v>PriceWaterhouseCoopers</v>
          </cell>
          <cell r="Y366" t="str">
            <v>Limited Partnership</v>
          </cell>
          <cell r="Z366" t="str">
            <v>Yes</v>
          </cell>
          <cell r="AA366" t="str">
            <v>Yes</v>
          </cell>
          <cell r="AB366">
            <v>0</v>
          </cell>
          <cell r="AC366" t="str">
            <v>Non-Listed Fund</v>
          </cell>
          <cell r="AD366" t="str">
            <v>Value-added</v>
          </cell>
          <cell r="AE366" t="str">
            <v>finite</v>
          </cell>
          <cell r="AF366" t="str">
            <v>Closed end</v>
          </cell>
          <cell r="AG366">
            <v>12</v>
          </cell>
          <cell r="AH366">
            <v>12</v>
          </cell>
          <cell r="AI366" t="str">
            <v>Net</v>
          </cell>
          <cell r="AL366">
            <v>65</v>
          </cell>
          <cell r="AM366" t="str">
            <v>&gt; 60%</v>
          </cell>
          <cell r="AN366" t="str">
            <v>Institutional</v>
          </cell>
          <cell r="AO366" t="str">
            <v>&gt; 2</v>
          </cell>
          <cell r="AP366" t="str">
            <v>≥ 50%</v>
          </cell>
          <cell r="AQ366" t="str">
            <v>Europe</v>
          </cell>
          <cell r="AR366" t="str">
            <v>multi country</v>
          </cell>
          <cell r="AS366" t="str">
            <v>Nordic</v>
          </cell>
          <cell r="AU366" t="str">
            <v>single sector</v>
          </cell>
          <cell r="AV366" t="str">
            <v>Industrial / Logistics</v>
          </cell>
          <cell r="AW366">
            <v>310000000</v>
          </cell>
          <cell r="AX366">
            <v>850000000</v>
          </cell>
          <cell r="AY366">
            <v>2008</v>
          </cell>
          <cell r="AZ366">
            <v>2017</v>
          </cell>
          <cell r="BA366" t="str">
            <v>Yes</v>
          </cell>
          <cell r="BB366" t="str">
            <v>Yes</v>
          </cell>
          <cell r="BC366" t="str">
            <v>1+1+1 years</v>
          </cell>
          <cell r="BH366" t="str">
            <v>2016-06-30</v>
          </cell>
          <cell r="BI366">
            <v>60381184</v>
          </cell>
          <cell r="BJ366">
            <v>60381184</v>
          </cell>
          <cell r="BK366">
            <v>75890630</v>
          </cell>
          <cell r="BL366">
            <v>75890630</v>
          </cell>
          <cell r="BM366">
            <v>0</v>
          </cell>
          <cell r="BN366" t="str">
            <v>No</v>
          </cell>
          <cell r="BO366" t="str">
            <v>External</v>
          </cell>
          <cell r="BQ366">
            <v>10</v>
          </cell>
          <cell r="BR366">
            <v>107800000</v>
          </cell>
          <cell r="BS366">
            <v>107800000</v>
          </cell>
          <cell r="BT366">
            <v>107800000</v>
          </cell>
          <cell r="BU366">
            <v>107800000</v>
          </cell>
          <cell r="BV366" t="str">
            <v>No</v>
          </cell>
          <cell r="BW366" t="str">
            <v>Sweden</v>
          </cell>
          <cell r="BX366" t="str">
            <v>Industrial / Logistics</v>
          </cell>
          <cell r="BY366">
            <v>3.83</v>
          </cell>
          <cell r="BZ366" t="str">
            <v>Sweden</v>
          </cell>
          <cell r="CA366" t="str">
            <v>Office</v>
          </cell>
          <cell r="CB366">
            <v>59.01</v>
          </cell>
          <cell r="CC366" t="str">
            <v>Sweden</v>
          </cell>
          <cell r="CD366" t="str">
            <v>Retail</v>
          </cell>
          <cell r="CE366">
            <v>16.43</v>
          </cell>
          <cell r="CF366" t="str">
            <v>Norway</v>
          </cell>
          <cell r="CG366" t="str">
            <v>Office</v>
          </cell>
          <cell r="CH366">
            <v>20.73</v>
          </cell>
        </row>
        <row r="367">
          <cell r="A367">
            <v>340</v>
          </cell>
          <cell r="B367" t="str">
            <v>NORDIC RETAIL FUND</v>
          </cell>
          <cell r="C367" t="str">
            <v>CORNERSTONE REAL ESTATE ADVISERS</v>
          </cell>
          <cell r="D367" t="str">
            <v>30 Old Burlington Street</v>
          </cell>
          <cell r="E367" t="str">
            <v>W1S 3AR</v>
          </cell>
          <cell r="F367" t="str">
            <v>London</v>
          </cell>
          <cell r="G367" t="str">
            <v>United Kingdom</v>
          </cell>
          <cell r="H367" t="str">
            <v>+44 (0) 20 7297 0900</v>
          </cell>
          <cell r="I367" t="str">
            <v>+44 (0) 20 7297 0999</v>
          </cell>
          <cell r="J367" t="str">
            <v>http://www.cornerstoneadvisers.com</v>
          </cell>
          <cell r="K367" t="str">
            <v>Charles Weeks</v>
          </cell>
          <cell r="L367" t="str">
            <v>cweeks@cornerstoneadvisers-eu.com</v>
          </cell>
          <cell r="M367" t="str">
            <v>+44 (0) 20 7297 0902</v>
          </cell>
          <cell r="N367" t="str">
            <v>Charles Weeks</v>
          </cell>
          <cell r="O367" t="str">
            <v>cweeks@cornerstoneadvisers-eu.com</v>
          </cell>
          <cell r="P367" t="str">
            <v>+44 (0) 20 7297 0999</v>
          </cell>
          <cell r="Q367" t="str">
            <v>Luxembourg</v>
          </cell>
          <cell r="R367" t="str">
            <v>EUR</v>
          </cell>
          <cell r="S367" t="str">
            <v>IFRS</v>
          </cell>
          <cell r="T367" t="str">
            <v>Quarterly</v>
          </cell>
          <cell r="U367" t="str">
            <v>Quarterly</v>
          </cell>
          <cell r="V367" t="str">
            <v>RICS</v>
          </cell>
          <cell r="W367" t="str">
            <v>INREV NAV</v>
          </cell>
          <cell r="X367" t="str">
            <v>Deloitte</v>
          </cell>
          <cell r="Y367" t="str">
            <v>FCP</v>
          </cell>
          <cell r="Z367" t="str">
            <v>Yes</v>
          </cell>
          <cell r="AB367">
            <v>0</v>
          </cell>
          <cell r="AC367" t="str">
            <v>Non-Listed Fund</v>
          </cell>
          <cell r="AD367" t="str">
            <v>Core</v>
          </cell>
          <cell r="AE367" t="str">
            <v>finite</v>
          </cell>
          <cell r="AF367" t="str">
            <v>Closed end</v>
          </cell>
          <cell r="AG367">
            <v>9</v>
          </cell>
          <cell r="AH367">
            <v>11</v>
          </cell>
          <cell r="AI367" t="str">
            <v>Net</v>
          </cell>
          <cell r="AJ367" t="str">
            <v>IPD</v>
          </cell>
          <cell r="AK367">
            <v>5</v>
          </cell>
          <cell r="AL367">
            <v>65</v>
          </cell>
          <cell r="AM367" t="str">
            <v>&gt; 60%</v>
          </cell>
          <cell r="AN367" t="str">
            <v>Institutional</v>
          </cell>
          <cell r="AO367" t="str">
            <v>&gt; 2</v>
          </cell>
          <cell r="AP367" t="str">
            <v>≥ 50%</v>
          </cell>
          <cell r="AQ367" t="str">
            <v>Europe</v>
          </cell>
          <cell r="AR367" t="str">
            <v>multi country</v>
          </cell>
          <cell r="AS367" t="str">
            <v>Nordic</v>
          </cell>
          <cell r="AU367" t="str">
            <v>single sector</v>
          </cell>
          <cell r="AV367" t="str">
            <v>Retail</v>
          </cell>
          <cell r="AW367">
            <v>589930000</v>
          </cell>
          <cell r="AX367">
            <v>1000000000</v>
          </cell>
          <cell r="AY367">
            <v>2007</v>
          </cell>
          <cell r="AZ367">
            <v>2017</v>
          </cell>
          <cell r="BA367" t="str">
            <v>Yes</v>
          </cell>
          <cell r="BB367" t="str">
            <v>Yes</v>
          </cell>
          <cell r="BC367" t="str">
            <v>5 years</v>
          </cell>
          <cell r="BH367" t="str">
            <v>2019-06-30</v>
          </cell>
          <cell r="BI367">
            <v>30304788</v>
          </cell>
          <cell r="BJ367">
            <v>30304788</v>
          </cell>
          <cell r="BK367">
            <v>28291213</v>
          </cell>
          <cell r="BL367">
            <v>28291213</v>
          </cell>
          <cell r="BM367">
            <v>0</v>
          </cell>
          <cell r="BN367" t="str">
            <v>No</v>
          </cell>
          <cell r="BO367" t="str">
            <v>Internal</v>
          </cell>
          <cell r="BP367">
            <v>12</v>
          </cell>
          <cell r="BQ367">
            <v>0</v>
          </cell>
          <cell r="BR367">
            <v>625628100</v>
          </cell>
          <cell r="BS367">
            <v>625628100</v>
          </cell>
          <cell r="BT367">
            <v>625628100</v>
          </cell>
          <cell r="BU367">
            <v>625628100</v>
          </cell>
          <cell r="BV367" t="str">
            <v>No</v>
          </cell>
        </row>
        <row r="368">
          <cell r="A368">
            <v>17467</v>
          </cell>
          <cell r="B368" t="str">
            <v>NREP COPENHAGEN RESIDENTIAL FUND 1 K/S</v>
          </cell>
          <cell r="C368" t="str">
            <v>NORDIC REAL ESTATE PARTNERS</v>
          </cell>
          <cell r="D368" t="str">
            <v>Skodsborgstrandvej 48A</v>
          </cell>
          <cell r="E368">
            <v>2830</v>
          </cell>
          <cell r="F368" t="str">
            <v>Virum</v>
          </cell>
          <cell r="G368" t="str">
            <v>Denmark</v>
          </cell>
          <cell r="H368" t="str">
            <v>+4539484900</v>
          </cell>
          <cell r="J368" t="str">
            <v>http://www.nrep.com</v>
          </cell>
          <cell r="K368" t="str">
            <v>Rune Kock / Rasmus Nørgaard</v>
          </cell>
          <cell r="N368" t="str">
            <v>Mikkel Bülow-Lehnsby</v>
          </cell>
          <cell r="Q368" t="str">
            <v>Denmark</v>
          </cell>
          <cell r="R368" t="str">
            <v>DKK</v>
          </cell>
          <cell r="S368" t="str">
            <v>IFRS</v>
          </cell>
          <cell r="T368" t="str">
            <v>Quarterly</v>
          </cell>
          <cell r="V368" t="str">
            <v>Other - mark to market</v>
          </cell>
          <cell r="W368" t="str">
            <v>INREV NAV</v>
          </cell>
          <cell r="X368" t="str">
            <v>PricewaterhouseCoopers</v>
          </cell>
          <cell r="Y368" t="str">
            <v>Limited Partnership</v>
          </cell>
          <cell r="Z368" t="str">
            <v>Yes</v>
          </cell>
          <cell r="AA368" t="str">
            <v>No</v>
          </cell>
          <cell r="AB368">
            <v>0</v>
          </cell>
          <cell r="AC368" t="str">
            <v>Non-Listed Fund</v>
          </cell>
          <cell r="AD368" t="str">
            <v>Opportunity</v>
          </cell>
          <cell r="AE368" t="str">
            <v>finite</v>
          </cell>
          <cell r="AF368" t="str">
            <v>Closed end</v>
          </cell>
          <cell r="AG368">
            <v>20</v>
          </cell>
          <cell r="AH368">
            <v>20</v>
          </cell>
          <cell r="AI368" t="str">
            <v>Gross</v>
          </cell>
          <cell r="AJ368" t="str">
            <v>Absolute 20% IRR net of management fees, but gross of carry</v>
          </cell>
          <cell r="AL368">
            <v>65</v>
          </cell>
          <cell r="AM368" t="str">
            <v>&gt; 60%</v>
          </cell>
          <cell r="AN368" t="str">
            <v>Institutional and Retail</v>
          </cell>
          <cell r="AO368" t="str">
            <v>≤ 2</v>
          </cell>
          <cell r="AP368" t="str">
            <v>&lt; 50%</v>
          </cell>
          <cell r="AQ368" t="str">
            <v>Europe</v>
          </cell>
          <cell r="AR368" t="str">
            <v>single country</v>
          </cell>
          <cell r="AT368" t="str">
            <v>Denmark</v>
          </cell>
          <cell r="AU368" t="str">
            <v>single sector</v>
          </cell>
          <cell r="AV368" t="str">
            <v>Development Residential</v>
          </cell>
          <cell r="AW368">
            <v>150000000</v>
          </cell>
          <cell r="AX368">
            <v>300000000</v>
          </cell>
          <cell r="AY368">
            <v>2013</v>
          </cell>
          <cell r="AZ368">
            <v>2019</v>
          </cell>
          <cell r="BA368" t="str">
            <v>Yes</v>
          </cell>
          <cell r="BB368" t="str">
            <v>Yes</v>
          </cell>
          <cell r="BC368" t="str">
            <v>1+1 years</v>
          </cell>
          <cell r="BD368" t="str">
            <v>No</v>
          </cell>
          <cell r="BE368" t="str">
            <v>&lt; 60%</v>
          </cell>
          <cell r="BF368" t="str">
            <v>&gt; 40%</v>
          </cell>
          <cell r="BG368" t="str">
            <v>&gt; 25%</v>
          </cell>
          <cell r="BH368" t="str">
            <v>2020-12-31</v>
          </cell>
          <cell r="BI368">
            <v>9507151</v>
          </cell>
          <cell r="BJ368">
            <v>1277987.7439291249</v>
          </cell>
          <cell r="BK368">
            <v>8785912</v>
          </cell>
          <cell r="BL368">
            <v>1181036.0280634889</v>
          </cell>
          <cell r="BM368">
            <v>0</v>
          </cell>
          <cell r="BN368" t="str">
            <v>No</v>
          </cell>
          <cell r="BO368" t="str">
            <v>Internal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V368" t="str">
            <v>No</v>
          </cell>
        </row>
        <row r="369">
          <cell r="A369">
            <v>635</v>
          </cell>
          <cell r="B369" t="str">
            <v>NREP NORDIC RETAIL 2</v>
          </cell>
          <cell r="C369" t="str">
            <v>NREP NORDIC RETAIL 2 AB</v>
          </cell>
          <cell r="D369" t="str">
            <v>Kungsgatan 42, 6th floor</v>
          </cell>
          <cell r="E369">
            <v>11135</v>
          </cell>
          <cell r="F369" t="str">
            <v>Stockholm</v>
          </cell>
          <cell r="G369" t="str">
            <v>Sweden</v>
          </cell>
          <cell r="H369" t="str">
            <v>+46 86 78 16 64</v>
          </cell>
          <cell r="I369" t="str">
            <v>+46 86 78 16 69</v>
          </cell>
          <cell r="J369" t="str">
            <v>http://www.nrep.com</v>
          </cell>
          <cell r="K369" t="str">
            <v>Tobias Alsborger</v>
          </cell>
          <cell r="L369" t="str">
            <v>tobias.alsborger@nrep.com</v>
          </cell>
          <cell r="N369" t="str">
            <v>Gustaf Sigge Lilliehöök</v>
          </cell>
          <cell r="O369" t="str">
            <v>gustaf.lilliehook@nrep.com</v>
          </cell>
          <cell r="Q369" t="str">
            <v>Sweden</v>
          </cell>
          <cell r="R369" t="str">
            <v>EUR</v>
          </cell>
          <cell r="S369" t="str">
            <v>IFRS</v>
          </cell>
          <cell r="T369" t="str">
            <v>Quarterly</v>
          </cell>
          <cell r="U369" t="str">
            <v>Quarterly</v>
          </cell>
          <cell r="V369" t="str">
            <v>RICS</v>
          </cell>
          <cell r="W369" t="str">
            <v>INREV NAV</v>
          </cell>
          <cell r="X369" t="str">
            <v>PWC</v>
          </cell>
          <cell r="Y369" t="str">
            <v>Swedish AB - limited (liability) company</v>
          </cell>
          <cell r="Z369" t="str">
            <v>Yes</v>
          </cell>
          <cell r="AA369" t="str">
            <v>Yes</v>
          </cell>
          <cell r="AB369">
            <v>4</v>
          </cell>
          <cell r="AC369" t="str">
            <v>Non-Listed Fund</v>
          </cell>
          <cell r="AD369" t="str">
            <v>Value-added</v>
          </cell>
          <cell r="AE369" t="str">
            <v>finite</v>
          </cell>
          <cell r="AF369" t="str">
            <v>Closed end</v>
          </cell>
          <cell r="AG369">
            <v>12.5</v>
          </cell>
          <cell r="AH369">
            <v>12.5</v>
          </cell>
          <cell r="AI369" t="str">
            <v>Net</v>
          </cell>
          <cell r="AJ369" t="str">
            <v>12.5% IRR (net of management fees, but gross of carry)</v>
          </cell>
          <cell r="AK369">
            <v>7</v>
          </cell>
          <cell r="AL369">
            <v>50</v>
          </cell>
          <cell r="AM369" t="str">
            <v>&gt; 40% - ≤ 60%</v>
          </cell>
          <cell r="AN369" t="str">
            <v>Institutional</v>
          </cell>
          <cell r="AO369" t="str">
            <v>&gt; 2</v>
          </cell>
          <cell r="AP369" t="str">
            <v>≥ 50%</v>
          </cell>
          <cell r="AQ369" t="str">
            <v>Europe</v>
          </cell>
          <cell r="AR369" t="str">
            <v>multi country</v>
          </cell>
          <cell r="AS369" t="str">
            <v>Nordic</v>
          </cell>
          <cell r="AU369" t="str">
            <v>single sector</v>
          </cell>
          <cell r="AV369" t="str">
            <v>Retail</v>
          </cell>
          <cell r="AW369">
            <v>200000000</v>
          </cell>
          <cell r="AX369">
            <v>400000000</v>
          </cell>
          <cell r="AY369">
            <v>2012</v>
          </cell>
          <cell r="AZ369">
            <v>2020</v>
          </cell>
          <cell r="BA369" t="str">
            <v>Yes</v>
          </cell>
          <cell r="BB369" t="str">
            <v>Yes</v>
          </cell>
          <cell r="BC369" t="str">
            <v>1+1 years</v>
          </cell>
          <cell r="BD369" t="str">
            <v>No</v>
          </cell>
          <cell r="BE369" t="str">
            <v>≥ 60%</v>
          </cell>
          <cell r="BF369" t="str">
            <v>≤ 15%</v>
          </cell>
          <cell r="BG369" t="str">
            <v>&gt; 5 - ≤ 25%</v>
          </cell>
          <cell r="BH369" t="str">
            <v>2020-12-31</v>
          </cell>
          <cell r="BI369">
            <v>6659219</v>
          </cell>
          <cell r="BJ369">
            <v>6659219</v>
          </cell>
          <cell r="BK369">
            <v>5021201</v>
          </cell>
          <cell r="BL369">
            <v>5021201</v>
          </cell>
          <cell r="BM369">
            <v>0</v>
          </cell>
          <cell r="BN369" t="str">
            <v>No</v>
          </cell>
          <cell r="BO369" t="str">
            <v>Internal</v>
          </cell>
          <cell r="BP369">
            <v>9</v>
          </cell>
          <cell r="BQ369">
            <v>1</v>
          </cell>
          <cell r="BR369">
            <v>174376000</v>
          </cell>
          <cell r="BS369">
            <v>174376000</v>
          </cell>
          <cell r="BT369">
            <v>173257120</v>
          </cell>
          <cell r="BU369">
            <v>173257120</v>
          </cell>
          <cell r="BV369" t="str">
            <v>No</v>
          </cell>
          <cell r="BW369" t="str">
            <v>Denmark</v>
          </cell>
          <cell r="BX369" t="str">
            <v>Development Residential</v>
          </cell>
          <cell r="BY369">
            <v>42</v>
          </cell>
        </row>
        <row r="370">
          <cell r="A370">
            <v>17468</v>
          </cell>
          <cell r="B370" t="str">
            <v>NREP NORDIC STRATEGIES FUND FCP-FIS</v>
          </cell>
          <cell r="C370" t="str">
            <v>NREP MANAGEMENT COMPANY S.A R.L</v>
          </cell>
          <cell r="D370" t="str">
            <v>2-8 Avenue Charles de Gaulle</v>
          </cell>
          <cell r="E370">
            <v>2014</v>
          </cell>
          <cell r="F370" t="str">
            <v>Luxembourg</v>
          </cell>
          <cell r="G370" t="str">
            <v>Luxembourg</v>
          </cell>
          <cell r="H370" t="str">
            <v>+4539484900</v>
          </cell>
          <cell r="J370" t="str">
            <v>http://www.nrep.com/</v>
          </cell>
          <cell r="K370" t="str">
            <v>Jani Nokkanen</v>
          </cell>
          <cell r="L370" t="str">
            <v>jani.nokkanen@nrep.com</v>
          </cell>
          <cell r="M370" t="str">
            <v>+358451228002</v>
          </cell>
          <cell r="N370" t="str">
            <v>Gustaf Lillihöök</v>
          </cell>
          <cell r="O370" t="str">
            <v>gustaf.lilliehook@nrep.com</v>
          </cell>
          <cell r="P370" t="str">
            <v>+4521120441</v>
          </cell>
          <cell r="Q370" t="str">
            <v>Luxembourg</v>
          </cell>
          <cell r="R370" t="str">
            <v>EUR</v>
          </cell>
          <cell r="S370" t="str">
            <v>IFRS</v>
          </cell>
          <cell r="T370" t="str">
            <v>Quarterly</v>
          </cell>
          <cell r="U370" t="str">
            <v>Twice per year</v>
          </cell>
          <cell r="V370" t="str">
            <v>RICS</v>
          </cell>
          <cell r="W370" t="str">
            <v>INREV NAV</v>
          </cell>
          <cell r="X370" t="str">
            <v>PricewaterhouseCoopers Luxembourg</v>
          </cell>
          <cell r="Y370" t="str">
            <v>FCP</v>
          </cell>
          <cell r="Z370" t="str">
            <v>Yes</v>
          </cell>
          <cell r="AA370" t="str">
            <v>Yes</v>
          </cell>
          <cell r="AB370">
            <v>4</v>
          </cell>
          <cell r="AC370" t="str">
            <v>Non-Listed Fund</v>
          </cell>
          <cell r="AD370" t="str">
            <v>Value-added</v>
          </cell>
          <cell r="AE370" t="str">
            <v>finite</v>
          </cell>
          <cell r="AF370" t="str">
            <v>Closed end</v>
          </cell>
          <cell r="AG370">
            <v>18</v>
          </cell>
          <cell r="AH370">
            <v>18</v>
          </cell>
          <cell r="AI370" t="str">
            <v>Gross</v>
          </cell>
          <cell r="AJ370" t="str">
            <v>18% gross performance (gross of mgmt fees and carry)</v>
          </cell>
          <cell r="AK370">
            <v>5.5</v>
          </cell>
          <cell r="AL370">
            <v>60</v>
          </cell>
          <cell r="AM370" t="str">
            <v>&gt; 60%</v>
          </cell>
          <cell r="AN370" t="str">
            <v>Institutional</v>
          </cell>
          <cell r="AO370" t="str">
            <v>&gt; 2</v>
          </cell>
          <cell r="AP370" t="str">
            <v>≥ 50%</v>
          </cell>
          <cell r="AQ370" t="str">
            <v>Europe</v>
          </cell>
          <cell r="AR370" t="str">
            <v>multi country</v>
          </cell>
          <cell r="AS370" t="str">
            <v>Nordic</v>
          </cell>
          <cell r="AU370" t="str">
            <v>multi sector</v>
          </cell>
          <cell r="AW370">
            <v>325000000</v>
          </cell>
          <cell r="AX370">
            <v>812500000</v>
          </cell>
          <cell r="AY370">
            <v>2014</v>
          </cell>
          <cell r="AZ370">
            <v>2022</v>
          </cell>
          <cell r="BA370" t="str">
            <v>Yes</v>
          </cell>
          <cell r="BB370" t="str">
            <v>Yes</v>
          </cell>
          <cell r="BC370" t="str">
            <v>1+1 years</v>
          </cell>
          <cell r="BD370" t="str">
            <v>No</v>
          </cell>
          <cell r="BE370" t="str">
            <v>&lt; 60%</v>
          </cell>
          <cell r="BF370" t="str">
            <v>&gt; 15% - ≤ 40%</v>
          </cell>
          <cell r="BG370" t="str">
            <v>&gt; 5 - ≤ 25%</v>
          </cell>
          <cell r="BH370" t="str">
            <v>2020-12-31</v>
          </cell>
          <cell r="BI370">
            <v>235458922</v>
          </cell>
          <cell r="BJ370">
            <v>235458922</v>
          </cell>
          <cell r="BK370">
            <v>88320936</v>
          </cell>
          <cell r="BL370">
            <v>88320936</v>
          </cell>
          <cell r="BM370">
            <v>35.799999999999997</v>
          </cell>
          <cell r="BN370" t="str">
            <v>No</v>
          </cell>
          <cell r="BO370" t="str">
            <v>Internal</v>
          </cell>
          <cell r="BP370">
            <v>30</v>
          </cell>
          <cell r="BQ370">
            <v>4</v>
          </cell>
          <cell r="BR370">
            <v>444780615</v>
          </cell>
          <cell r="BS370">
            <v>444780615</v>
          </cell>
          <cell r="BT370">
            <v>444780615</v>
          </cell>
          <cell r="BU370">
            <v>444780615</v>
          </cell>
          <cell r="BV370" t="str">
            <v>No</v>
          </cell>
          <cell r="BW370" t="str">
            <v>Finland</v>
          </cell>
          <cell r="BX370" t="str">
            <v>Retail</v>
          </cell>
          <cell r="BY370">
            <v>0</v>
          </cell>
          <cell r="BZ370" t="str">
            <v>Denmark</v>
          </cell>
          <cell r="CA370" t="str">
            <v>Development Retail</v>
          </cell>
          <cell r="CB370">
            <v>0</v>
          </cell>
          <cell r="CC370" t="str">
            <v>Denmark</v>
          </cell>
          <cell r="CD370" t="str">
            <v>Residential</v>
          </cell>
          <cell r="CE370">
            <v>12</v>
          </cell>
          <cell r="CF370" t="str">
            <v>Sweden</v>
          </cell>
          <cell r="CG370" t="str">
            <v>Retail</v>
          </cell>
          <cell r="CH370">
            <v>0</v>
          </cell>
          <cell r="CI370" t="str">
            <v>Finland</v>
          </cell>
          <cell r="CJ370" t="str">
            <v>Residential</v>
          </cell>
          <cell r="CK370">
            <v>8</v>
          </cell>
          <cell r="CL370" t="str">
            <v>Denmark</v>
          </cell>
          <cell r="CM370" t="str">
            <v>Development Residential</v>
          </cell>
          <cell r="CN370">
            <v>70</v>
          </cell>
        </row>
        <row r="371">
          <cell r="A371">
            <v>18374</v>
          </cell>
          <cell r="B371" t="str">
            <v>NREP NORDIC STRATEGIES FUND II LP</v>
          </cell>
          <cell r="C371" t="str">
            <v>NREP</v>
          </cell>
          <cell r="G371" t="str">
            <v>Luxembourg</v>
          </cell>
          <cell r="N371" t="str">
            <v>Gustaf Lillihöök</v>
          </cell>
          <cell r="O371" t="str">
            <v>gustaf.lilliehook@nrep.com</v>
          </cell>
          <cell r="P371" t="str">
            <v>+4521120441</v>
          </cell>
          <cell r="Q371" t="str">
            <v>Luxembourg</v>
          </cell>
          <cell r="R371" t="str">
            <v>EUR</v>
          </cell>
          <cell r="T371" t="str">
            <v>Quarterly</v>
          </cell>
          <cell r="U371" t="str">
            <v>Quarterly</v>
          </cell>
          <cell r="V371" t="str">
            <v>RICS</v>
          </cell>
          <cell r="W371" t="str">
            <v>INREV NAV</v>
          </cell>
          <cell r="AC371" t="str">
            <v>Non-Listed Fund</v>
          </cell>
          <cell r="AD371" t="str">
            <v>Value-added</v>
          </cell>
          <cell r="AE371" t="str">
            <v>finite</v>
          </cell>
          <cell r="AF371" t="str">
            <v>Closed end</v>
          </cell>
          <cell r="AN371" t="str">
            <v>Institutional</v>
          </cell>
          <cell r="AO371" t="str">
            <v>&gt; 2</v>
          </cell>
          <cell r="AP371" t="str">
            <v>≥ 50%</v>
          </cell>
          <cell r="AQ371" t="str">
            <v>Europe</v>
          </cell>
          <cell r="AR371" t="str">
            <v>multi country</v>
          </cell>
          <cell r="AS371" t="str">
            <v>Nordic</v>
          </cell>
          <cell r="AU371" t="str">
            <v>multi sector</v>
          </cell>
          <cell r="AY371">
            <v>2016</v>
          </cell>
          <cell r="BH371" t="str">
            <v>2020-12-31</v>
          </cell>
          <cell r="BI371">
            <v>1465355862</v>
          </cell>
          <cell r="BJ371">
            <v>1465355862</v>
          </cell>
          <cell r="BK371">
            <v>493025135</v>
          </cell>
          <cell r="BL371">
            <v>493025135</v>
          </cell>
          <cell r="BM371">
            <v>52.8</v>
          </cell>
          <cell r="BN371" t="str">
            <v>No</v>
          </cell>
          <cell r="BO371" t="str">
            <v>Internal</v>
          </cell>
          <cell r="BP371">
            <v>29</v>
          </cell>
          <cell r="BQ371">
            <v>55</v>
          </cell>
          <cell r="BR371">
            <v>596000000</v>
          </cell>
          <cell r="BS371">
            <v>596000000</v>
          </cell>
          <cell r="BT371">
            <v>458813228</v>
          </cell>
          <cell r="BU371">
            <v>458813228</v>
          </cell>
          <cell r="BV371" t="str">
            <v>No</v>
          </cell>
          <cell r="BW371" t="str">
            <v>Sweden</v>
          </cell>
          <cell r="BX371" t="str">
            <v>Industrial / Logistics</v>
          </cell>
          <cell r="BY371">
            <v>15.8</v>
          </cell>
          <cell r="BZ371" t="str">
            <v>Denmark</v>
          </cell>
          <cell r="CA371" t="str">
            <v>Development Retail</v>
          </cell>
          <cell r="CB371">
            <v>3.5</v>
          </cell>
          <cell r="CC371" t="str">
            <v>Denmark</v>
          </cell>
          <cell r="CD371" t="str">
            <v>Other</v>
          </cell>
          <cell r="CE371">
            <v>4.0999999999999996</v>
          </cell>
          <cell r="CF371" t="str">
            <v>Denmark</v>
          </cell>
          <cell r="CG371" t="str">
            <v>Development Residential</v>
          </cell>
          <cell r="CH371">
            <v>19.8</v>
          </cell>
          <cell r="CI371" t="str">
            <v>Sweden</v>
          </cell>
          <cell r="CJ371" t="str">
            <v>Development Industrial/Logistcis</v>
          </cell>
          <cell r="CK371">
            <v>1.5</v>
          </cell>
          <cell r="CL371" t="str">
            <v>Finland</v>
          </cell>
          <cell r="CM371" t="str">
            <v>Mixed</v>
          </cell>
          <cell r="CN371">
            <v>4.3</v>
          </cell>
          <cell r="CO371" t="str">
            <v>Finland</v>
          </cell>
          <cell r="CP371" t="str">
            <v>Other</v>
          </cell>
          <cell r="CQ371">
            <v>9.4</v>
          </cell>
          <cell r="CR371" t="str">
            <v>Sweden</v>
          </cell>
          <cell r="CS371" t="str">
            <v>Retail</v>
          </cell>
          <cell r="CT371">
            <v>2.4</v>
          </cell>
          <cell r="CU371" t="str">
            <v>Denmark</v>
          </cell>
          <cell r="CV371" t="str">
            <v>Residential</v>
          </cell>
          <cell r="CW371">
            <v>2.4</v>
          </cell>
          <cell r="CX371" t="str">
            <v>Finland</v>
          </cell>
          <cell r="CY371" t="str">
            <v>Residential</v>
          </cell>
          <cell r="CZ371">
            <v>5.9</v>
          </cell>
          <cell r="DA371" t="str">
            <v>Finland</v>
          </cell>
          <cell r="DB371" t="str">
            <v>Residential</v>
          </cell>
          <cell r="DC371">
            <v>5.9</v>
          </cell>
          <cell r="DD371" t="str">
            <v>Finland</v>
          </cell>
          <cell r="DE371" t="str">
            <v>Office</v>
          </cell>
          <cell r="DF371">
            <v>1</v>
          </cell>
          <cell r="DG371" t="str">
            <v>Norway</v>
          </cell>
          <cell r="DH371" t="str">
            <v>Industrial / Logistics</v>
          </cell>
          <cell r="DI371">
            <v>5.6</v>
          </cell>
          <cell r="DJ371" t="str">
            <v>Finland</v>
          </cell>
          <cell r="DK371" t="str">
            <v>Industrial / Logistics</v>
          </cell>
          <cell r="DL371">
            <v>3.8</v>
          </cell>
          <cell r="DM371" t="str">
            <v>Denmark</v>
          </cell>
          <cell r="DN371" t="str">
            <v>Industrial / Logistics</v>
          </cell>
          <cell r="DO371">
            <v>5.4</v>
          </cell>
          <cell r="DP371" t="str">
            <v>Finland</v>
          </cell>
          <cell r="DQ371" t="str">
            <v>Other</v>
          </cell>
          <cell r="DR371">
            <v>0.3</v>
          </cell>
        </row>
        <row r="372">
          <cell r="A372">
            <v>19588</v>
          </cell>
          <cell r="B372" t="str">
            <v>NREP NORDIC STRATEGIES FUND IV LP</v>
          </cell>
          <cell r="C372" t="str">
            <v>NREP AB</v>
          </cell>
          <cell r="D372" t="str">
            <v>Box 7543</v>
          </cell>
          <cell r="E372" t="str">
            <v>103 93</v>
          </cell>
          <cell r="F372" t="str">
            <v>Stockholm</v>
          </cell>
          <cell r="G372" t="str">
            <v>Sweden</v>
          </cell>
          <cell r="J372" t="str">
            <v>http://www.nrep.com/</v>
          </cell>
          <cell r="K372" t="str">
            <v xml:space="preserve">Jens Petter Hagen </v>
          </cell>
          <cell r="L372" t="str">
            <v>jph@nrep.com</v>
          </cell>
          <cell r="M372" t="str">
            <v>+4748278731</v>
          </cell>
          <cell r="N372" t="str">
            <v>Johanna Ekesiöö</v>
          </cell>
          <cell r="O372" t="str">
            <v>joek@nrep.com</v>
          </cell>
          <cell r="P372" t="str">
            <v>+46732009903</v>
          </cell>
          <cell r="Q372" t="str">
            <v>Luxembourg</v>
          </cell>
          <cell r="R372" t="str">
            <v>EUR</v>
          </cell>
          <cell r="S372" t="str">
            <v>IFRS</v>
          </cell>
          <cell r="T372" t="str">
            <v>Quarterly</v>
          </cell>
          <cell r="U372" t="str">
            <v>Twice per year</v>
          </cell>
          <cell r="V372" t="str">
            <v>RICS</v>
          </cell>
          <cell r="W372" t="str">
            <v>INREV NAV</v>
          </cell>
          <cell r="X372" t="str">
            <v>PricewaterhouseCoopers</v>
          </cell>
          <cell r="Y372" t="str">
            <v>Limited Partnership</v>
          </cell>
          <cell r="Z372" t="str">
            <v>Yes</v>
          </cell>
          <cell r="AA372" t="str">
            <v>Yes</v>
          </cell>
          <cell r="AB372">
            <v>0</v>
          </cell>
          <cell r="AC372" t="str">
            <v>Non-Listed Fund</v>
          </cell>
          <cell r="AD372" t="str">
            <v>Value-added</v>
          </cell>
          <cell r="AE372" t="str">
            <v>finite</v>
          </cell>
          <cell r="AF372" t="str">
            <v>Closed end</v>
          </cell>
          <cell r="AG372">
            <v>17</v>
          </cell>
          <cell r="AH372">
            <v>17</v>
          </cell>
          <cell r="AI372" t="str">
            <v>Gross</v>
          </cell>
          <cell r="AM372" t="str">
            <v>&gt; 40% - ≤ 60%</v>
          </cell>
          <cell r="AN372" t="str">
            <v>Institutional</v>
          </cell>
          <cell r="AO372" t="str">
            <v>&gt; 2</v>
          </cell>
          <cell r="AP372" t="str">
            <v>≥ 50%</v>
          </cell>
          <cell r="AQ372" t="str">
            <v>Europe</v>
          </cell>
          <cell r="AR372" t="str">
            <v>multi country</v>
          </cell>
          <cell r="AS372" t="str">
            <v>Nordic</v>
          </cell>
          <cell r="AU372" t="str">
            <v>multi sector</v>
          </cell>
          <cell r="AX372">
            <v>1250000000</v>
          </cell>
          <cell r="AY372">
            <v>2019</v>
          </cell>
          <cell r="AZ372">
            <v>2029</v>
          </cell>
          <cell r="BA372" t="str">
            <v>Yes</v>
          </cell>
          <cell r="BB372" t="str">
            <v>Yes</v>
          </cell>
          <cell r="BC372" t="str">
            <v>1+1+1 years</v>
          </cell>
          <cell r="BD372" t="str">
            <v>No</v>
          </cell>
          <cell r="BF372" t="str">
            <v>&gt; 15% - ≤ 40%</v>
          </cell>
          <cell r="BG372" t="str">
            <v>&gt; 5 - ≤ 25%</v>
          </cell>
          <cell r="BH372" t="str">
            <v>2020-12-31</v>
          </cell>
          <cell r="BI372">
            <v>507936197</v>
          </cell>
          <cell r="BJ372">
            <v>507936197</v>
          </cell>
          <cell r="BK372">
            <v>61472087</v>
          </cell>
          <cell r="BL372">
            <v>61472087</v>
          </cell>
          <cell r="BM372">
            <v>73</v>
          </cell>
          <cell r="BN372" t="str">
            <v>No</v>
          </cell>
          <cell r="BO372" t="str">
            <v>Internal</v>
          </cell>
          <cell r="BP372">
            <v>55</v>
          </cell>
          <cell r="BQ372">
            <v>28</v>
          </cell>
          <cell r="BR372">
            <v>1677953300</v>
          </cell>
          <cell r="BS372">
            <v>1677953300</v>
          </cell>
          <cell r="BT372">
            <v>86354929</v>
          </cell>
          <cell r="BU372">
            <v>86354929</v>
          </cell>
          <cell r="BV372" t="str">
            <v>No</v>
          </cell>
          <cell r="BW372" t="str">
            <v>Sweden</v>
          </cell>
          <cell r="BX372" t="str">
            <v>Development Industrial/Logistcis</v>
          </cell>
          <cell r="BY372">
            <v>3</v>
          </cell>
          <cell r="BZ372" t="str">
            <v>Norway</v>
          </cell>
          <cell r="CA372" t="str">
            <v>Development Industrial/Logistcis</v>
          </cell>
          <cell r="CB372">
            <v>1</v>
          </cell>
          <cell r="CC372" t="str">
            <v>Finland</v>
          </cell>
          <cell r="CD372" t="str">
            <v>Development Industrial/Logistcis</v>
          </cell>
          <cell r="CE372">
            <v>1</v>
          </cell>
          <cell r="CF372" t="str">
            <v>Finland</v>
          </cell>
          <cell r="CG372" t="str">
            <v>Development Retail</v>
          </cell>
          <cell r="CH372">
            <v>1</v>
          </cell>
          <cell r="CI372" t="str">
            <v>Finland</v>
          </cell>
          <cell r="CJ372" t="str">
            <v>Development Residential</v>
          </cell>
          <cell r="CK372">
            <v>14</v>
          </cell>
          <cell r="CL372" t="str">
            <v>Sweden</v>
          </cell>
          <cell r="CM372" t="str">
            <v>Development Aged care</v>
          </cell>
          <cell r="CN372">
            <v>2</v>
          </cell>
          <cell r="CO372" t="str">
            <v>Sweden</v>
          </cell>
          <cell r="CP372" t="str">
            <v>Development Aged care</v>
          </cell>
          <cell r="CQ372">
            <v>5</v>
          </cell>
          <cell r="CR372" t="str">
            <v>Sweden</v>
          </cell>
          <cell r="CS372" t="str">
            <v>Hotel</v>
          </cell>
          <cell r="CT372">
            <v>25</v>
          </cell>
          <cell r="CU372" t="str">
            <v>Sweden</v>
          </cell>
          <cell r="CV372" t="str">
            <v>Retail</v>
          </cell>
          <cell r="CW372">
            <v>23</v>
          </cell>
          <cell r="CX372" t="str">
            <v>Norway</v>
          </cell>
          <cell r="CY372" t="str">
            <v>Student Housing</v>
          </cell>
          <cell r="CZ372">
            <v>11</v>
          </cell>
        </row>
        <row r="373">
          <cell r="A373">
            <v>18413</v>
          </cell>
          <cell r="B373" t="str">
            <v>OCTOPUS HEALTHCARE FUND</v>
          </cell>
          <cell r="C373" t="str">
            <v>OCTOPUS AIF MANAGEMENT LIMITED</v>
          </cell>
          <cell r="D373" t="str">
            <v>6th Floor 33 Holborn</v>
          </cell>
          <cell r="E373" t="str">
            <v>EC1N 2HT</v>
          </cell>
          <cell r="F373" t="str">
            <v>London</v>
          </cell>
          <cell r="G373" t="str">
            <v>United Kingdom</v>
          </cell>
          <cell r="J373" t="str">
            <v>https://octopusinvestments.com/institutional-investor/investment-capabilities/healthcare-infrastructure/</v>
          </cell>
          <cell r="K373" t="str">
            <v>Ben Penaliggon</v>
          </cell>
          <cell r="L373" t="str">
            <v>Ben.Penaliggon@octopushealthcare.com</v>
          </cell>
          <cell r="M373" t="str">
            <v>+44 (0) 203 142 4052</v>
          </cell>
          <cell r="N373" t="str">
            <v>Baafour Totoe</v>
          </cell>
          <cell r="O373" t="str">
            <v>baafour.totoe@octopushealthcare.com</v>
          </cell>
          <cell r="P373" t="str">
            <v>+44 (0) 203 142 4871</v>
          </cell>
          <cell r="Q373" t="str">
            <v>Guernsey</v>
          </cell>
          <cell r="R373" t="str">
            <v>GBP</v>
          </cell>
          <cell r="S373" t="str">
            <v>IFRS</v>
          </cell>
          <cell r="T373" t="str">
            <v>Quarterly</v>
          </cell>
          <cell r="U373" t="str">
            <v>Quarterly</v>
          </cell>
          <cell r="V373" t="str">
            <v>RICS</v>
          </cell>
          <cell r="W373" t="str">
            <v>IFRS NAV</v>
          </cell>
          <cell r="X373" t="str">
            <v>BDO Limted</v>
          </cell>
          <cell r="Y373" t="str">
            <v>Unit trust</v>
          </cell>
          <cell r="Z373" t="str">
            <v>Yes</v>
          </cell>
          <cell r="AA373" t="str">
            <v>No</v>
          </cell>
          <cell r="AC373" t="str">
            <v>Non-Listed Fund</v>
          </cell>
          <cell r="AD373" t="str">
            <v>Core</v>
          </cell>
          <cell r="AE373" t="str">
            <v>finite</v>
          </cell>
          <cell r="AF373" t="str">
            <v>Open end</v>
          </cell>
          <cell r="AK373">
            <v>6</v>
          </cell>
          <cell r="AL373">
            <v>20</v>
          </cell>
          <cell r="AM373" t="str">
            <v>≤ 40%</v>
          </cell>
          <cell r="AN373" t="str">
            <v>Institutional</v>
          </cell>
          <cell r="AO373" t="str">
            <v>&gt; 2</v>
          </cell>
          <cell r="AP373" t="str">
            <v>≥ 50%</v>
          </cell>
          <cell r="AQ373" t="str">
            <v>Europe</v>
          </cell>
          <cell r="AR373" t="str">
            <v>single country</v>
          </cell>
          <cell r="AT373" t="str">
            <v>United Kingdom</v>
          </cell>
          <cell r="AU373" t="str">
            <v>single sector</v>
          </cell>
          <cell r="AV373" t="str">
            <v>Health Care</v>
          </cell>
          <cell r="AW373">
            <v>1000000000</v>
          </cell>
          <cell r="AX373">
            <v>1000000000</v>
          </cell>
          <cell r="AY373">
            <v>2017</v>
          </cell>
          <cell r="AZ373">
            <v>2057</v>
          </cell>
          <cell r="BA373" t="str">
            <v>No</v>
          </cell>
          <cell r="BD373" t="str">
            <v>No</v>
          </cell>
          <cell r="BE373" t="str">
            <v>≥ 60%</v>
          </cell>
          <cell r="BF373" t="str">
            <v>≤ 15%</v>
          </cell>
          <cell r="BG373" t="str">
            <v>&gt; 5 - ≤ 25%</v>
          </cell>
          <cell r="BH373" t="str">
            <v>2020-12-31</v>
          </cell>
          <cell r="BI373">
            <v>840716314</v>
          </cell>
          <cell r="BJ373">
            <v>929453160.09443581</v>
          </cell>
          <cell r="BK373">
            <v>656651265</v>
          </cell>
          <cell r="BL373">
            <v>725960211.75135517</v>
          </cell>
          <cell r="BM373">
            <v>19.75</v>
          </cell>
          <cell r="BN373" t="str">
            <v>No</v>
          </cell>
          <cell r="BO373" t="str">
            <v>External</v>
          </cell>
          <cell r="BP373">
            <v>28</v>
          </cell>
          <cell r="BQ373">
            <v>67</v>
          </cell>
          <cell r="BR373">
            <v>387000000</v>
          </cell>
          <cell r="BS373">
            <v>424908398.11769998</v>
          </cell>
          <cell r="BT373">
            <v>269000000</v>
          </cell>
          <cell r="BU373">
            <v>295349765.09990001</v>
          </cell>
          <cell r="BV373" t="str">
            <v>Yes</v>
          </cell>
          <cell r="BW373" t="str">
            <v>United Kingdom</v>
          </cell>
          <cell r="BX373" t="str">
            <v>Aged care</v>
          </cell>
          <cell r="BY373">
            <v>97.7</v>
          </cell>
        </row>
        <row r="374">
          <cell r="A374">
            <v>343</v>
          </cell>
          <cell r="B374" t="str">
            <v>OFFICE PARK EXPO FUND</v>
          </cell>
          <cell r="C374" t="str">
            <v>NORFIN</v>
          </cell>
          <cell r="D374" t="str">
            <v>Avenida da Republica 35-4º</v>
          </cell>
          <cell r="E374" t="str">
            <v>1050-186</v>
          </cell>
          <cell r="F374" t="str">
            <v>Lisbon</v>
          </cell>
          <cell r="G374" t="str">
            <v>Portugal</v>
          </cell>
          <cell r="H374" t="str">
            <v>+351 21 318 25 20</v>
          </cell>
          <cell r="I374" t="str">
            <v>+351 21 318 25 29</v>
          </cell>
          <cell r="J374" t="str">
            <v>http://www.norfin.eu</v>
          </cell>
          <cell r="K374" t="str">
            <v>António Pedrinho</v>
          </cell>
          <cell r="L374" t="str">
            <v>apedrinho@norfin.pt</v>
          </cell>
          <cell r="M374" t="str">
            <v>+351 21 318 25 20</v>
          </cell>
          <cell r="N374" t="str">
            <v>João Brion Sanches</v>
          </cell>
          <cell r="O374" t="str">
            <v>jbrion@norfin.pt</v>
          </cell>
          <cell r="P374" t="str">
            <v>+351 21 318 25 29</v>
          </cell>
          <cell r="Q374" t="str">
            <v>Portugal</v>
          </cell>
          <cell r="R374" t="str">
            <v>EUR</v>
          </cell>
          <cell r="T374" t="str">
            <v>Monthly</v>
          </cell>
          <cell r="U374" t="str">
            <v>Annually</v>
          </cell>
          <cell r="V374" t="str">
            <v>RICS</v>
          </cell>
          <cell r="X374" t="str">
            <v>PriceWaterhouseCoopers</v>
          </cell>
          <cell r="Y374" t="str">
            <v>Real Estate Fund</v>
          </cell>
          <cell r="Z374" t="str">
            <v>No</v>
          </cell>
          <cell r="AA374" t="str">
            <v>Yes</v>
          </cell>
          <cell r="AB374">
            <v>0</v>
          </cell>
          <cell r="AC374" t="str">
            <v>Non-Listed Fund</v>
          </cell>
          <cell r="AD374" t="str">
            <v>Value-added</v>
          </cell>
          <cell r="AE374" t="str">
            <v>finite</v>
          </cell>
          <cell r="AF374" t="str">
            <v>Closed end</v>
          </cell>
          <cell r="AG374">
            <v>7.2</v>
          </cell>
          <cell r="AH374">
            <v>7.2</v>
          </cell>
          <cell r="AI374" t="str">
            <v>Net</v>
          </cell>
          <cell r="AJ374" t="str">
            <v>IPD Portugal Index</v>
          </cell>
          <cell r="AK374">
            <v>4</v>
          </cell>
          <cell r="AL374">
            <v>33</v>
          </cell>
          <cell r="AM374" t="str">
            <v>≤ 40%</v>
          </cell>
          <cell r="AN374" t="str">
            <v>Institutional</v>
          </cell>
          <cell r="AO374" t="str">
            <v>&gt; 2</v>
          </cell>
          <cell r="AP374" t="str">
            <v>≥ 50%</v>
          </cell>
          <cell r="AQ374" t="str">
            <v>Europe</v>
          </cell>
          <cell r="AR374" t="str">
            <v>single country</v>
          </cell>
          <cell r="AT374" t="str">
            <v>Portugal</v>
          </cell>
          <cell r="AU374" t="str">
            <v>single sector</v>
          </cell>
          <cell r="AV374" t="str">
            <v>Office</v>
          </cell>
          <cell r="AW374">
            <v>200000000</v>
          </cell>
          <cell r="AX374">
            <v>200000000</v>
          </cell>
          <cell r="AY374">
            <v>2002</v>
          </cell>
          <cell r="AZ374">
            <v>2012</v>
          </cell>
          <cell r="BA374" t="str">
            <v>Yes</v>
          </cell>
          <cell r="BB374" t="str">
            <v>Yes</v>
          </cell>
          <cell r="BC374" t="str">
            <v>10 years</v>
          </cell>
          <cell r="BH374" t="str">
            <v>2018-09-30</v>
          </cell>
          <cell r="BI374">
            <v>250996036.53999999</v>
          </cell>
          <cell r="BJ374">
            <v>250996036.53999999</v>
          </cell>
          <cell r="BK374">
            <v>238410860.25</v>
          </cell>
          <cell r="BL374">
            <v>238410860.25</v>
          </cell>
          <cell r="BM374">
            <v>0</v>
          </cell>
          <cell r="BN374" t="str">
            <v>No</v>
          </cell>
          <cell r="BO374" t="str">
            <v>External</v>
          </cell>
          <cell r="BQ374">
            <v>1</v>
          </cell>
          <cell r="BR374">
            <v>180000000</v>
          </cell>
          <cell r="BS374">
            <v>180000000</v>
          </cell>
          <cell r="BT374">
            <v>180000000</v>
          </cell>
          <cell r="BU374">
            <v>180000000</v>
          </cell>
          <cell r="BV374" t="str">
            <v>No</v>
          </cell>
          <cell r="BW374" t="str">
            <v>Portugal</v>
          </cell>
          <cell r="BX374" t="str">
            <v>Office</v>
          </cell>
          <cell r="BY374">
            <v>100</v>
          </cell>
        </row>
        <row r="375">
          <cell r="A375">
            <v>19334</v>
          </cell>
          <cell r="B375" t="str">
            <v>OLYMPIA EINKAUFSZENTRUM MüNCHEN</v>
          </cell>
          <cell r="C375" t="str">
            <v>DWS GRUNDBESITZ GMBH</v>
          </cell>
          <cell r="D375" t="str">
            <v>Mainzer Landstr. 11-17</v>
          </cell>
          <cell r="E375" t="str">
            <v xml:space="preserve">60329 </v>
          </cell>
          <cell r="F375" t="str">
            <v>Frankfurt am Main</v>
          </cell>
          <cell r="G375" t="str">
            <v>Germany</v>
          </cell>
          <cell r="K375" t="str">
            <v>Toralf Steinhaus</v>
          </cell>
          <cell r="L375" t="str">
            <v>toralf.steinhaus@dws.com</v>
          </cell>
          <cell r="M375" t="str">
            <v>+49 (69) 910 - 14939</v>
          </cell>
          <cell r="Q375" t="str">
            <v>Germany</v>
          </cell>
          <cell r="R375" t="str">
            <v>EUR</v>
          </cell>
          <cell r="S375" t="str">
            <v>HGB</v>
          </cell>
          <cell r="T375" t="str">
            <v>Annually</v>
          </cell>
          <cell r="U375" t="str">
            <v>Annually</v>
          </cell>
          <cell r="V375" t="str">
            <v>ImmoWertV</v>
          </cell>
          <cell r="W375" t="str">
            <v>KAGB</v>
          </cell>
          <cell r="X375" t="str">
            <v>BDO</v>
          </cell>
          <cell r="Y375" t="str">
            <v>Publikumsfonds</v>
          </cell>
          <cell r="Z375" t="str">
            <v>No</v>
          </cell>
          <cell r="AC375" t="str">
            <v>Non-Listed Fund</v>
          </cell>
          <cell r="AD375" t="str">
            <v>Core</v>
          </cell>
          <cell r="AE375" t="str">
            <v>finite</v>
          </cell>
          <cell r="AF375" t="str">
            <v>Closed end</v>
          </cell>
          <cell r="AN375" t="str">
            <v>Retail</v>
          </cell>
          <cell r="AO375" t="str">
            <v>&gt; 2</v>
          </cell>
          <cell r="AP375" t="str">
            <v>&lt; 50%</v>
          </cell>
          <cell r="AQ375" t="str">
            <v>Europe</v>
          </cell>
          <cell r="AR375" t="str">
            <v>single country</v>
          </cell>
          <cell r="AT375" t="str">
            <v>Germany</v>
          </cell>
          <cell r="AU375" t="str">
            <v>single sector</v>
          </cell>
          <cell r="AV375" t="str">
            <v>Retail</v>
          </cell>
          <cell r="AY375">
            <v>1979</v>
          </cell>
          <cell r="BH375" t="str">
            <v>2018-12-31</v>
          </cell>
          <cell r="BI375">
            <v>412400000</v>
          </cell>
          <cell r="BJ375">
            <v>412400000</v>
          </cell>
          <cell r="BK375">
            <v>324610546</v>
          </cell>
          <cell r="BL375">
            <v>324610546</v>
          </cell>
          <cell r="BM375">
            <v>25.51</v>
          </cell>
          <cell r="BN375" t="str">
            <v>Yes</v>
          </cell>
          <cell r="BO375" t="str">
            <v>External</v>
          </cell>
          <cell r="BP375">
            <v>0</v>
          </cell>
          <cell r="BQ375">
            <v>1</v>
          </cell>
          <cell r="BS375">
            <v>0</v>
          </cell>
          <cell r="BV375" t="str">
            <v>No</v>
          </cell>
          <cell r="BW375" t="str">
            <v>Germany</v>
          </cell>
          <cell r="BX375" t="str">
            <v>Retail</v>
          </cell>
          <cell r="BY375">
            <v>100</v>
          </cell>
        </row>
        <row r="376">
          <cell r="A376">
            <v>19271</v>
          </cell>
          <cell r="B376" t="str">
            <v>OPERA</v>
          </cell>
          <cell r="C376" t="str">
            <v>STAM FRANCE INVESTMENT MANAGEMENT</v>
          </cell>
          <cell r="D376" t="str">
            <v>18-20 PLACE DE LA MADELEINE</v>
          </cell>
          <cell r="E376">
            <v>75008</v>
          </cell>
          <cell r="F376" t="str">
            <v>Paris</v>
          </cell>
          <cell r="G376" t="str">
            <v>France</v>
          </cell>
          <cell r="N376" t="str">
            <v>Samantha Sudre Roux</v>
          </cell>
          <cell r="O376" t="str">
            <v>ssudreroux@stam-europe.com</v>
          </cell>
          <cell r="Q376" t="str">
            <v>France</v>
          </cell>
          <cell r="R376" t="str">
            <v>EUR</v>
          </cell>
          <cell r="T376" t="str">
            <v>Quarterly</v>
          </cell>
          <cell r="U376" t="str">
            <v>Twice per year</v>
          </cell>
          <cell r="V376" t="str">
            <v>RICS</v>
          </cell>
          <cell r="Z376" t="str">
            <v>Yes</v>
          </cell>
          <cell r="AA376" t="str">
            <v>Yes</v>
          </cell>
          <cell r="AC376" t="str">
            <v>Non-Listed Fund</v>
          </cell>
          <cell r="AD376" t="str">
            <v>Core</v>
          </cell>
          <cell r="AE376" t="str">
            <v>finite</v>
          </cell>
          <cell r="AF376" t="str">
            <v>Open end</v>
          </cell>
          <cell r="AG376">
            <v>6</v>
          </cell>
          <cell r="AM376" t="str">
            <v>&gt; 40% - ≤ 60%</v>
          </cell>
          <cell r="AN376" t="str">
            <v>Institutional</v>
          </cell>
          <cell r="AO376" t="str">
            <v>&gt; 2</v>
          </cell>
          <cell r="AP376" t="str">
            <v>≥ 50%</v>
          </cell>
          <cell r="AQ376" t="str">
            <v>Europe</v>
          </cell>
          <cell r="AR376" t="str">
            <v>single country</v>
          </cell>
          <cell r="AT376" t="str">
            <v>France</v>
          </cell>
          <cell r="AU376" t="str">
            <v>multi sector</v>
          </cell>
          <cell r="AY376">
            <v>2018</v>
          </cell>
          <cell r="BH376" t="str">
            <v>2020-12-31</v>
          </cell>
          <cell r="BI376">
            <v>126300000</v>
          </cell>
          <cell r="BJ376">
            <v>126300000</v>
          </cell>
          <cell r="BK376">
            <v>91251553</v>
          </cell>
          <cell r="BL376">
            <v>91251553</v>
          </cell>
          <cell r="BM376">
            <v>43</v>
          </cell>
          <cell r="BN376" t="str">
            <v>No</v>
          </cell>
          <cell r="BO376" t="str">
            <v>External</v>
          </cell>
          <cell r="BP376">
            <v>4</v>
          </cell>
          <cell r="BQ376">
            <v>2</v>
          </cell>
          <cell r="BR376">
            <v>84000000</v>
          </cell>
          <cell r="BS376">
            <v>84000000</v>
          </cell>
          <cell r="BT376">
            <v>84000000</v>
          </cell>
          <cell r="BU376">
            <v>84000000</v>
          </cell>
          <cell r="BV376" t="str">
            <v>No</v>
          </cell>
          <cell r="BW376" t="str">
            <v>France</v>
          </cell>
          <cell r="BX376" t="str">
            <v>Residential</v>
          </cell>
          <cell r="BY376">
            <v>100</v>
          </cell>
        </row>
        <row r="377">
          <cell r="A377">
            <v>346</v>
          </cell>
          <cell r="B377" t="str">
            <v>ORION EUROPEAN REAL ESTATE FUND II</v>
          </cell>
          <cell r="C377" t="str">
            <v>ORION CAPITAL MANAGERS</v>
          </cell>
          <cell r="D377" t="str">
            <v>2 Cavendish Square</v>
          </cell>
          <cell r="E377" t="str">
            <v>W1G 0PD</v>
          </cell>
          <cell r="F377" t="str">
            <v>London</v>
          </cell>
          <cell r="G377" t="str">
            <v>United Kingdom</v>
          </cell>
          <cell r="H377" t="str">
            <v>+44 (0) 20 7612 9399</v>
          </cell>
          <cell r="I377" t="str">
            <v>+44 (0) 20 7612 9398</v>
          </cell>
          <cell r="J377" t="str">
            <v>http://www.orioncapman.com</v>
          </cell>
          <cell r="K377" t="str">
            <v>Van J. Stults</v>
          </cell>
          <cell r="L377" t="str">
            <v>vstults@orioncapman.com</v>
          </cell>
          <cell r="M377" t="str">
            <v>+44 (0) 20 7612 9399</v>
          </cell>
          <cell r="N377" t="str">
            <v>Van J Stults</v>
          </cell>
          <cell r="O377" t="str">
            <v>vstults@orioncapman.com</v>
          </cell>
          <cell r="P377" t="str">
            <v>+44 (0) 20 7612 9399</v>
          </cell>
          <cell r="Q377" t="str">
            <v>Netherlands</v>
          </cell>
          <cell r="R377" t="str">
            <v>EUR</v>
          </cell>
          <cell r="T377" t="str">
            <v>Quarterly</v>
          </cell>
          <cell r="U377" t="str">
            <v>Quarterly</v>
          </cell>
          <cell r="X377" t="str">
            <v>Deloitte S.A.</v>
          </cell>
          <cell r="Y377" t="str">
            <v>CV</v>
          </cell>
          <cell r="Z377" t="str">
            <v>Yes</v>
          </cell>
          <cell r="AA377" t="str">
            <v>No</v>
          </cell>
          <cell r="AB377">
            <v>0</v>
          </cell>
          <cell r="AC377" t="str">
            <v>Non-Listed Fund</v>
          </cell>
          <cell r="AD377" t="str">
            <v>Opportunity</v>
          </cell>
          <cell r="AE377" t="str">
            <v>finite</v>
          </cell>
          <cell r="AF377" t="str">
            <v>Closed end</v>
          </cell>
          <cell r="AG377">
            <v>20</v>
          </cell>
          <cell r="AH377">
            <v>20</v>
          </cell>
          <cell r="AL377">
            <v>75</v>
          </cell>
          <cell r="AM377" t="str">
            <v>&gt; 60%</v>
          </cell>
          <cell r="AN377" t="str">
            <v>Institutional</v>
          </cell>
          <cell r="AQ377" t="str">
            <v>Europe</v>
          </cell>
          <cell r="AR377" t="str">
            <v>multi country</v>
          </cell>
          <cell r="AS377" t="str">
            <v>Europe</v>
          </cell>
          <cell r="AU377" t="str">
            <v>multi sector</v>
          </cell>
          <cell r="AW377">
            <v>500000000</v>
          </cell>
          <cell r="AX377">
            <v>2000000000</v>
          </cell>
          <cell r="AY377">
            <v>2005</v>
          </cell>
          <cell r="AZ377">
            <v>2013</v>
          </cell>
          <cell r="BA377" t="str">
            <v>Yes</v>
          </cell>
          <cell r="BB377" t="str">
            <v>Yes</v>
          </cell>
          <cell r="BC377" t="str">
            <v>11 years</v>
          </cell>
          <cell r="BH377" t="str">
            <v>2008-06-30</v>
          </cell>
          <cell r="BJ377">
            <v>0</v>
          </cell>
          <cell r="BL377">
            <v>0</v>
          </cell>
          <cell r="BP377">
            <v>30</v>
          </cell>
          <cell r="BR377">
            <v>500000000</v>
          </cell>
          <cell r="BS377">
            <v>500000000</v>
          </cell>
          <cell r="BU377">
            <v>0</v>
          </cell>
          <cell r="BV377" t="str">
            <v>No</v>
          </cell>
        </row>
        <row r="378">
          <cell r="A378">
            <v>347</v>
          </cell>
          <cell r="B378" t="str">
            <v>ORION EUROPEAN REAL ESTATE FUND III</v>
          </cell>
          <cell r="C378" t="str">
            <v>ORION CAPITAL MANAGERS</v>
          </cell>
          <cell r="D378" t="str">
            <v>2 Cavendish Square</v>
          </cell>
          <cell r="E378" t="str">
            <v>W1G 0PD</v>
          </cell>
          <cell r="F378" t="str">
            <v>London</v>
          </cell>
          <cell r="G378" t="str">
            <v>United Kingdom</v>
          </cell>
          <cell r="H378" t="str">
            <v>+44 (0) 20 7612 9399</v>
          </cell>
          <cell r="I378" t="str">
            <v>+44 (0) 20 7612 9398</v>
          </cell>
          <cell r="J378" t="str">
            <v>http://www.orioncapman.com</v>
          </cell>
          <cell r="K378" t="str">
            <v>Van J Stults</v>
          </cell>
          <cell r="L378" t="str">
            <v>vstults@orioncapman.com</v>
          </cell>
          <cell r="M378" t="str">
            <v>+44 (0) 20 7612 9399</v>
          </cell>
          <cell r="N378" t="str">
            <v>Van J Stults</v>
          </cell>
          <cell r="O378" t="str">
            <v>vstults@orioncapman.com</v>
          </cell>
          <cell r="P378" t="str">
            <v>+44 (0) 20 7612 9399</v>
          </cell>
          <cell r="Q378" t="str">
            <v>Netherlands</v>
          </cell>
          <cell r="R378" t="str">
            <v>EUR</v>
          </cell>
          <cell r="S378" t="str">
            <v>US GAAP</v>
          </cell>
          <cell r="T378" t="str">
            <v>Quarterly</v>
          </cell>
          <cell r="U378" t="str">
            <v>Quarterly</v>
          </cell>
          <cell r="X378" t="str">
            <v>Deloitte SA</v>
          </cell>
          <cell r="Y378" t="str">
            <v>CV</v>
          </cell>
          <cell r="Z378" t="str">
            <v>Yes</v>
          </cell>
          <cell r="AA378" t="str">
            <v>No</v>
          </cell>
          <cell r="AB378">
            <v>0</v>
          </cell>
          <cell r="AC378" t="str">
            <v>Non-Listed Fund</v>
          </cell>
          <cell r="AD378" t="str">
            <v>Opportunity</v>
          </cell>
          <cell r="AE378" t="str">
            <v>finite</v>
          </cell>
          <cell r="AF378" t="str">
            <v>Closed end</v>
          </cell>
          <cell r="AG378">
            <v>20</v>
          </cell>
          <cell r="AH378">
            <v>20</v>
          </cell>
          <cell r="AI378" t="str">
            <v>Gross</v>
          </cell>
          <cell r="AL378">
            <v>75</v>
          </cell>
          <cell r="AM378" t="str">
            <v>&gt; 60%</v>
          </cell>
          <cell r="AN378" t="str">
            <v>Institutional</v>
          </cell>
          <cell r="AP378" t="str">
            <v>≥ 50%</v>
          </cell>
          <cell r="AQ378" t="str">
            <v>Europe</v>
          </cell>
          <cell r="AR378" t="str">
            <v>multi country</v>
          </cell>
          <cell r="AS378" t="str">
            <v>Europe</v>
          </cell>
          <cell r="AU378" t="str">
            <v>multi sector</v>
          </cell>
          <cell r="AW378">
            <v>1250000000</v>
          </cell>
          <cell r="AX378">
            <v>5000000000</v>
          </cell>
          <cell r="AY378">
            <v>2008</v>
          </cell>
          <cell r="AZ378">
            <v>2016</v>
          </cell>
          <cell r="BA378" t="str">
            <v>Yes</v>
          </cell>
          <cell r="BB378" t="str">
            <v>Yes</v>
          </cell>
          <cell r="BC378" t="str">
            <v>10 years</v>
          </cell>
          <cell r="BH378" t="str">
            <v>2008-12-31</v>
          </cell>
          <cell r="BJ378">
            <v>0</v>
          </cell>
          <cell r="BL378">
            <v>0</v>
          </cell>
          <cell r="BP378">
            <v>33</v>
          </cell>
          <cell r="BR378">
            <v>850000000</v>
          </cell>
          <cell r="BS378">
            <v>850000000</v>
          </cell>
          <cell r="BU378">
            <v>0</v>
          </cell>
          <cell r="BV378" t="str">
            <v>Yes</v>
          </cell>
        </row>
        <row r="379">
          <cell r="A379">
            <v>348</v>
          </cell>
          <cell r="B379" t="str">
            <v>ORION INCOME RETURNS PARTNERS</v>
          </cell>
          <cell r="C379" t="str">
            <v>ORION CAPITAL MANAGERS</v>
          </cell>
          <cell r="D379" t="str">
            <v>2 Cavendish Square</v>
          </cell>
          <cell r="E379" t="str">
            <v>W1G 0PD</v>
          </cell>
          <cell r="F379" t="str">
            <v>London</v>
          </cell>
          <cell r="G379" t="str">
            <v>United Kingdom</v>
          </cell>
          <cell r="H379" t="str">
            <v>+44 (0) 20 7612 9399</v>
          </cell>
          <cell r="I379" t="str">
            <v>+44 (0) 20 7612 9398</v>
          </cell>
          <cell r="J379" t="str">
            <v>http://www.orioncapman.com</v>
          </cell>
          <cell r="K379" t="str">
            <v>Van J. Stults</v>
          </cell>
          <cell r="L379" t="str">
            <v>vstults@orioncapman.com</v>
          </cell>
          <cell r="M379" t="str">
            <v>+44 (0) 20 7612 9399</v>
          </cell>
          <cell r="N379" t="str">
            <v>Van J Stults</v>
          </cell>
          <cell r="O379" t="str">
            <v>vstults@orioncapman.com</v>
          </cell>
          <cell r="P379" t="str">
            <v>+44 (0) 20 7612 9399</v>
          </cell>
          <cell r="Q379" t="str">
            <v>Netherlands</v>
          </cell>
          <cell r="R379" t="str">
            <v>EUR</v>
          </cell>
          <cell r="S379" t="str">
            <v>IFRS</v>
          </cell>
          <cell r="T379" t="str">
            <v>Quarterly</v>
          </cell>
          <cell r="U379" t="str">
            <v>Annually</v>
          </cell>
          <cell r="X379" t="str">
            <v>Deloitte &amp; Touche</v>
          </cell>
          <cell r="Y379" t="str">
            <v>CV</v>
          </cell>
          <cell r="Z379" t="str">
            <v>Yes</v>
          </cell>
          <cell r="AA379" t="str">
            <v>No</v>
          </cell>
          <cell r="AB379">
            <v>0</v>
          </cell>
          <cell r="AC379" t="str">
            <v>Non-Listed Fund</v>
          </cell>
          <cell r="AD379" t="str">
            <v>Core</v>
          </cell>
          <cell r="AE379" t="str">
            <v>finite</v>
          </cell>
          <cell r="AF379" t="str">
            <v>Closed end</v>
          </cell>
          <cell r="AG379">
            <v>12</v>
          </cell>
          <cell r="AH379">
            <v>12</v>
          </cell>
          <cell r="AL379">
            <v>60</v>
          </cell>
          <cell r="AM379" t="str">
            <v>&gt; 40% - ≤ 60%</v>
          </cell>
          <cell r="AN379" t="str">
            <v>Institutional</v>
          </cell>
          <cell r="AQ379" t="str">
            <v>Europe</v>
          </cell>
          <cell r="AR379" t="str">
            <v>multi country</v>
          </cell>
          <cell r="AS379" t="str">
            <v>Europe</v>
          </cell>
          <cell r="AU379" t="str">
            <v>multi sector</v>
          </cell>
          <cell r="AW379">
            <v>400000000</v>
          </cell>
          <cell r="AX379">
            <v>1000000000</v>
          </cell>
          <cell r="AY379">
            <v>2006</v>
          </cell>
          <cell r="AZ379">
            <v>2016</v>
          </cell>
          <cell r="BA379" t="str">
            <v>Yes</v>
          </cell>
          <cell r="BB379" t="str">
            <v>Yes</v>
          </cell>
          <cell r="BC379" t="str">
            <v>1 year</v>
          </cell>
          <cell r="BH379" t="str">
            <v>2009-06-30</v>
          </cell>
          <cell r="BJ379">
            <v>0</v>
          </cell>
          <cell r="BL379">
            <v>0</v>
          </cell>
          <cell r="BP379">
            <v>3</v>
          </cell>
          <cell r="BQ379">
            <v>1</v>
          </cell>
          <cell r="BR379">
            <v>200000000</v>
          </cell>
          <cell r="BS379">
            <v>200000000</v>
          </cell>
          <cell r="BU379">
            <v>0</v>
          </cell>
          <cell r="BV379" t="str">
            <v>No</v>
          </cell>
        </row>
        <row r="380">
          <cell r="A380">
            <v>18180</v>
          </cell>
          <cell r="B380" t="str">
            <v>OTELI FRANCE</v>
          </cell>
          <cell r="C380" t="str">
            <v>AXA INVESTMENT MANAGERS</v>
          </cell>
          <cell r="G380" t="str">
            <v>France</v>
          </cell>
          <cell r="J380" t="str">
            <v>https://realassets.axa-im.com/</v>
          </cell>
          <cell r="K380" t="str">
            <v>Nicolas Gromakowski</v>
          </cell>
          <cell r="L380" t="str">
            <v>nicolas.gromakowski@axa-im.com</v>
          </cell>
          <cell r="M380" t="str">
            <v>+33 (0)144 45 97 96</v>
          </cell>
          <cell r="N380" t="str">
            <v>Jamie-Lee Chambers</v>
          </cell>
          <cell r="O380" t="str">
            <v>jamie-lee.chambers@axa-im.com</v>
          </cell>
          <cell r="Q380" t="str">
            <v>France</v>
          </cell>
          <cell r="R380" t="str">
            <v>EUR</v>
          </cell>
          <cell r="T380" t="str">
            <v>Quarterly</v>
          </cell>
          <cell r="U380" t="str">
            <v>Quarterly</v>
          </cell>
          <cell r="Y380" t="str">
            <v>Real Estate Fund</v>
          </cell>
          <cell r="Z380" t="str">
            <v>No</v>
          </cell>
          <cell r="AC380" t="str">
            <v>Non-Listed Fund</v>
          </cell>
          <cell r="AD380" t="str">
            <v>Core</v>
          </cell>
          <cell r="AE380" t="str">
            <v>finite</v>
          </cell>
          <cell r="AF380" t="str">
            <v>Closed end</v>
          </cell>
          <cell r="AG380">
            <v>5.6</v>
          </cell>
          <cell r="AN380" t="str">
            <v>Institutional</v>
          </cell>
          <cell r="AO380" t="str">
            <v>&gt; 2</v>
          </cell>
          <cell r="AP380" t="str">
            <v>≥ 50%</v>
          </cell>
          <cell r="AQ380" t="str">
            <v>Europe</v>
          </cell>
          <cell r="AR380" t="str">
            <v>single country</v>
          </cell>
          <cell r="AT380" t="str">
            <v>France</v>
          </cell>
          <cell r="AU380" t="str">
            <v>single sector</v>
          </cell>
          <cell r="AV380" t="str">
            <v>Hotel</v>
          </cell>
          <cell r="AY380">
            <v>2008</v>
          </cell>
          <cell r="AZ380">
            <v>2020</v>
          </cell>
          <cell r="BA380" t="str">
            <v>No</v>
          </cell>
          <cell r="BB380" t="str">
            <v>No</v>
          </cell>
          <cell r="BH380" t="str">
            <v>2019-06-30</v>
          </cell>
          <cell r="BI380">
            <v>329936174.25</v>
          </cell>
          <cell r="BJ380">
            <v>329936174.25</v>
          </cell>
          <cell r="BK380">
            <v>203577504.06999999</v>
          </cell>
          <cell r="BL380">
            <v>203577504.06999999</v>
          </cell>
          <cell r="BM380">
            <v>0</v>
          </cell>
          <cell r="BN380" t="str">
            <v>No</v>
          </cell>
          <cell r="BO380" t="str">
            <v>Internal</v>
          </cell>
          <cell r="BP380">
            <v>4</v>
          </cell>
          <cell r="BQ380">
            <v>26</v>
          </cell>
          <cell r="BS380">
            <v>0</v>
          </cell>
          <cell r="BW380" t="str">
            <v>France</v>
          </cell>
          <cell r="BX380" t="str">
            <v>Hotel</v>
          </cell>
          <cell r="BY380">
            <v>96.67</v>
          </cell>
          <cell r="BZ380" t="str">
            <v>France</v>
          </cell>
          <cell r="CA380" t="str">
            <v>Other</v>
          </cell>
          <cell r="CB380">
            <v>1.34</v>
          </cell>
        </row>
        <row r="381">
          <cell r="A381">
            <v>17535</v>
          </cell>
          <cell r="B381" t="str">
            <v>PACIFIC 1</v>
          </cell>
          <cell r="C381" t="str">
            <v>BNP PARIBAS REIM ITALY</v>
          </cell>
          <cell r="D381" t="str">
            <v>Via Carlo Bo, 11</v>
          </cell>
          <cell r="E381">
            <v>20143</v>
          </cell>
          <cell r="F381" t="str">
            <v>Milan</v>
          </cell>
          <cell r="G381" t="str">
            <v>Italy</v>
          </cell>
          <cell r="N381" t="str">
            <v>Simone Roberti</v>
          </cell>
          <cell r="O381" t="str">
            <v>simone.roberti@bnpparibas.com</v>
          </cell>
          <cell r="Q381" t="str">
            <v>Italy</v>
          </cell>
          <cell r="R381" t="str">
            <v>EUR</v>
          </cell>
          <cell r="S381" t="str">
            <v>Local GAAP</v>
          </cell>
          <cell r="T381" t="str">
            <v>Twice per year</v>
          </cell>
          <cell r="U381" t="str">
            <v>Twice per year</v>
          </cell>
          <cell r="V381" t="str">
            <v>Other - mark to market</v>
          </cell>
          <cell r="W381" t="str">
            <v>INREV NAV</v>
          </cell>
          <cell r="Y381" t="str">
            <v>Real Estate Fund</v>
          </cell>
          <cell r="Z381" t="str">
            <v>Yes</v>
          </cell>
          <cell r="AC381" t="str">
            <v>Non-Listed Fund</v>
          </cell>
          <cell r="AD381" t="str">
            <v>Opportunity</v>
          </cell>
          <cell r="AE381" t="str">
            <v>finite</v>
          </cell>
          <cell r="AF381" t="str">
            <v>Closed end</v>
          </cell>
          <cell r="AM381" t="str">
            <v>&gt; 40% - ≤ 60%</v>
          </cell>
          <cell r="AN381" t="str">
            <v>Institutional</v>
          </cell>
          <cell r="AO381" t="str">
            <v>≤ 2</v>
          </cell>
          <cell r="AP381" t="str">
            <v>≥ 50%</v>
          </cell>
          <cell r="AQ381" t="str">
            <v>Europe</v>
          </cell>
          <cell r="AR381" t="str">
            <v>single country</v>
          </cell>
          <cell r="AT381" t="str">
            <v>Italy</v>
          </cell>
          <cell r="AU381" t="str">
            <v>multi sector</v>
          </cell>
          <cell r="AZ381">
            <v>2021</v>
          </cell>
          <cell r="BH381" t="str">
            <v>2015-12-31</v>
          </cell>
          <cell r="BI381">
            <v>372548632</v>
          </cell>
          <cell r="BJ381">
            <v>372548632</v>
          </cell>
          <cell r="BK381">
            <v>121838463</v>
          </cell>
          <cell r="BL381">
            <v>121838463</v>
          </cell>
          <cell r="BM381">
            <v>60.36</v>
          </cell>
          <cell r="BN381" t="str">
            <v>Yes</v>
          </cell>
          <cell r="BO381" t="str">
            <v>External</v>
          </cell>
          <cell r="BP381">
            <v>1</v>
          </cell>
          <cell r="BQ381">
            <v>9</v>
          </cell>
          <cell r="BS381">
            <v>0</v>
          </cell>
          <cell r="BV381" t="str">
            <v>No</v>
          </cell>
          <cell r="BW381" t="str">
            <v>Italy</v>
          </cell>
          <cell r="BX381" t="str">
            <v>Office</v>
          </cell>
          <cell r="BY381">
            <v>98.71</v>
          </cell>
        </row>
        <row r="382">
          <cell r="A382">
            <v>18226</v>
          </cell>
          <cell r="B382" t="str">
            <v>PAN EUROPEAN VALUE ADDED VENTURE (PEVAV)</v>
          </cell>
          <cell r="C382" t="str">
            <v>AXA REIM SGP UK</v>
          </cell>
          <cell r="D382" t="str">
            <v>21, Boulevard Grande-Duchesse Charlotte</v>
          </cell>
          <cell r="E382" t="str">
            <v xml:space="preserve">L-1331 </v>
          </cell>
          <cell r="F382" t="str">
            <v>Luxembourg</v>
          </cell>
          <cell r="G382" t="str">
            <v>Luxembourg</v>
          </cell>
          <cell r="J382" t="str">
            <v>http://realassets.axa-im.com/</v>
          </cell>
          <cell r="N382" t="str">
            <v>Jamie-Lee Chambers</v>
          </cell>
          <cell r="O382" t="str">
            <v>jamie-lee.chambers@axa-im.com</v>
          </cell>
          <cell r="Q382" t="str">
            <v>Luxembourg</v>
          </cell>
          <cell r="R382" t="str">
            <v>EUR</v>
          </cell>
          <cell r="S382" t="str">
            <v>IFRS</v>
          </cell>
          <cell r="T382" t="str">
            <v>Quarterly</v>
          </cell>
          <cell r="U382" t="str">
            <v>Quarterly</v>
          </cell>
          <cell r="V382" t="str">
            <v>Various</v>
          </cell>
          <cell r="W382" t="str">
            <v>INREV NAV</v>
          </cell>
          <cell r="Y382" t="str">
            <v>SCA</v>
          </cell>
          <cell r="Z382" t="str">
            <v>Yes</v>
          </cell>
          <cell r="AA382" t="str">
            <v>Yes</v>
          </cell>
          <cell r="AC382" t="str">
            <v>Non-Listed Fund</v>
          </cell>
          <cell r="AD382" t="str">
            <v>Value-added</v>
          </cell>
          <cell r="AE382" t="str">
            <v>finite</v>
          </cell>
          <cell r="AF382" t="str">
            <v>Closed end</v>
          </cell>
          <cell r="AG382">
            <v>12</v>
          </cell>
          <cell r="AH382">
            <v>12</v>
          </cell>
          <cell r="AI382" t="str">
            <v>Net</v>
          </cell>
          <cell r="AL382">
            <v>50</v>
          </cell>
          <cell r="AM382" t="str">
            <v>&gt; 40% - ≤ 60%</v>
          </cell>
          <cell r="AN382" t="str">
            <v>Institutional</v>
          </cell>
          <cell r="AO382" t="str">
            <v>&gt; 2</v>
          </cell>
          <cell r="AP382" t="str">
            <v>≥ 50%</v>
          </cell>
          <cell r="AQ382" t="str">
            <v>Europe</v>
          </cell>
          <cell r="AR382" t="str">
            <v>multi country</v>
          </cell>
          <cell r="AS382" t="str">
            <v>Europe</v>
          </cell>
          <cell r="AU382" t="str">
            <v>multi sector</v>
          </cell>
          <cell r="AY382">
            <v>2014</v>
          </cell>
          <cell r="AZ382">
            <v>2021</v>
          </cell>
          <cell r="BE382" t="str">
            <v>&lt; 60%</v>
          </cell>
          <cell r="BF382" t="str">
            <v>≤ 15%</v>
          </cell>
          <cell r="BH382" t="str">
            <v>2020-12-31</v>
          </cell>
          <cell r="BI382">
            <v>258907661</v>
          </cell>
          <cell r="BJ382">
            <v>258907661</v>
          </cell>
          <cell r="BK382">
            <v>156879372.02000001</v>
          </cell>
          <cell r="BL382">
            <v>156879372.02000001</v>
          </cell>
          <cell r="BM382">
            <v>35</v>
          </cell>
          <cell r="BN382" t="str">
            <v>No</v>
          </cell>
          <cell r="BO382" t="str">
            <v>External</v>
          </cell>
          <cell r="BP382">
            <v>10</v>
          </cell>
          <cell r="BQ382">
            <v>4</v>
          </cell>
          <cell r="BR382">
            <v>445000000</v>
          </cell>
          <cell r="BS382">
            <v>445000000</v>
          </cell>
          <cell r="BT382">
            <v>348067311</v>
          </cell>
          <cell r="BU382">
            <v>348067311</v>
          </cell>
          <cell r="BV382" t="str">
            <v>No</v>
          </cell>
          <cell r="BW382" t="str">
            <v>Spain</v>
          </cell>
          <cell r="BX382" t="str">
            <v>Development Residential</v>
          </cell>
          <cell r="BY382">
            <v>1.88</v>
          </cell>
          <cell r="BZ382" t="str">
            <v>Italy</v>
          </cell>
          <cell r="CA382" t="str">
            <v>Retail</v>
          </cell>
          <cell r="CB382">
            <v>9.23</v>
          </cell>
          <cell r="CC382" t="str">
            <v>United Kingdom</v>
          </cell>
          <cell r="CD382" t="str">
            <v>Office</v>
          </cell>
          <cell r="CE382">
            <v>88.89</v>
          </cell>
        </row>
        <row r="383">
          <cell r="A383">
            <v>18627</v>
          </cell>
          <cell r="B383" t="str">
            <v xml:space="preserve">PAN EUROPEAN VALUE ADDED VENTURE II </v>
          </cell>
          <cell r="C383" t="str">
            <v>AXA REIM SGP UK</v>
          </cell>
          <cell r="D383" t="str">
            <v>21, Boulevard Grande Duchesse</v>
          </cell>
          <cell r="E383" t="str">
            <v>L-1331</v>
          </cell>
          <cell r="F383" t="str">
            <v>Luxembourg</v>
          </cell>
          <cell r="G383" t="str">
            <v>Luxembourg</v>
          </cell>
          <cell r="N383" t="str">
            <v>Jamie-Lee Chambers</v>
          </cell>
          <cell r="O383" t="str">
            <v>jamie-lee.chambers@axa-im.com</v>
          </cell>
          <cell r="Q383" t="str">
            <v>Luxembourg</v>
          </cell>
          <cell r="R383" t="str">
            <v>EUR</v>
          </cell>
          <cell r="S383" t="str">
            <v>IFRS</v>
          </cell>
          <cell r="T383" t="str">
            <v>Quarterly</v>
          </cell>
          <cell r="U383" t="str">
            <v>Quarterly</v>
          </cell>
          <cell r="V383" t="str">
            <v>DCF</v>
          </cell>
          <cell r="W383" t="str">
            <v>INREV NAV</v>
          </cell>
          <cell r="X383" t="str">
            <v>MAZARS</v>
          </cell>
          <cell r="Y383" t="str">
            <v>SCA</v>
          </cell>
          <cell r="Z383" t="str">
            <v>Yes</v>
          </cell>
          <cell r="AA383" t="str">
            <v>Yes</v>
          </cell>
          <cell r="AC383" t="str">
            <v>Non-Listed Fund</v>
          </cell>
          <cell r="AD383" t="str">
            <v>Value-added</v>
          </cell>
          <cell r="AE383" t="str">
            <v>finite</v>
          </cell>
          <cell r="AF383" t="str">
            <v>Closed end</v>
          </cell>
          <cell r="AG383">
            <v>12</v>
          </cell>
          <cell r="AH383">
            <v>12</v>
          </cell>
          <cell r="AI383" t="str">
            <v>Net</v>
          </cell>
          <cell r="AN383" t="str">
            <v>Institutional</v>
          </cell>
          <cell r="AO383" t="str">
            <v>&gt; 2</v>
          </cell>
          <cell r="AP383" t="str">
            <v>≥ 50%</v>
          </cell>
          <cell r="AQ383" t="str">
            <v>Europe</v>
          </cell>
          <cell r="AR383" t="str">
            <v>multi country</v>
          </cell>
          <cell r="AS383" t="str">
            <v>Europe</v>
          </cell>
          <cell r="AU383" t="str">
            <v>multi sector</v>
          </cell>
          <cell r="AY383">
            <v>2018</v>
          </cell>
          <cell r="BA383" t="str">
            <v>Yes</v>
          </cell>
          <cell r="BB383" t="str">
            <v>No</v>
          </cell>
          <cell r="BH383" t="str">
            <v>2020-12-31</v>
          </cell>
          <cell r="BI383">
            <v>517213879</v>
          </cell>
          <cell r="BJ383">
            <v>517213879</v>
          </cell>
          <cell r="BK383">
            <v>155181947</v>
          </cell>
          <cell r="BL383">
            <v>155181947</v>
          </cell>
          <cell r="BM383">
            <v>46</v>
          </cell>
          <cell r="BN383" t="str">
            <v>No</v>
          </cell>
          <cell r="BO383" t="str">
            <v>External</v>
          </cell>
          <cell r="BP383">
            <v>28</v>
          </cell>
          <cell r="BQ383">
            <v>4</v>
          </cell>
          <cell r="BR383">
            <v>643445000</v>
          </cell>
          <cell r="BS383">
            <v>643445000</v>
          </cell>
          <cell r="BT383">
            <v>180800001</v>
          </cell>
          <cell r="BU383">
            <v>180800001</v>
          </cell>
          <cell r="BV383" t="str">
            <v>No</v>
          </cell>
          <cell r="BW383" t="str">
            <v>United Kingdom</v>
          </cell>
          <cell r="BX383" t="str">
            <v>Retail</v>
          </cell>
          <cell r="BY383">
            <v>6</v>
          </cell>
          <cell r="BZ383" t="str">
            <v>Germany</v>
          </cell>
          <cell r="CA383" t="str">
            <v>Office</v>
          </cell>
          <cell r="CB383">
            <v>49</v>
          </cell>
          <cell r="CC383" t="str">
            <v>Italy</v>
          </cell>
          <cell r="CD383" t="str">
            <v>Retail</v>
          </cell>
          <cell r="CE383">
            <v>23</v>
          </cell>
          <cell r="CF383" t="str">
            <v>Ireland</v>
          </cell>
          <cell r="CG383" t="str">
            <v>Retail</v>
          </cell>
          <cell r="CH383">
            <v>16</v>
          </cell>
        </row>
        <row r="384">
          <cell r="A384">
            <v>18577</v>
          </cell>
          <cell r="B384" t="str">
            <v>PAN-EUROPEAN REAL ESTATE FUND (PEREF I)</v>
          </cell>
          <cell r="C384" t="str">
            <v>PGIM REAL ESTATE LUXEMBOURG S.A.</v>
          </cell>
          <cell r="D384" t="str">
            <v>2, Boulevard de la Foire</v>
          </cell>
          <cell r="E384">
            <v>1528</v>
          </cell>
          <cell r="F384" t="str">
            <v>Luxembourg</v>
          </cell>
          <cell r="G384" t="str">
            <v>Luxembourg</v>
          </cell>
          <cell r="H384" t="str">
            <v> + 352 (0) 27 62 34 10</v>
          </cell>
          <cell r="K384" t="str">
            <v>Theresa Reif</v>
          </cell>
          <cell r="L384" t="str">
            <v>theresa.reif@pgim.com</v>
          </cell>
          <cell r="M384" t="str">
            <v xml:space="preserve">+ 49 (0) 89 28645 177 </v>
          </cell>
          <cell r="N384" t="str">
            <v>Tobias Waldschmidt</v>
          </cell>
          <cell r="O384" t="str">
            <v>tobias.waldschmidt@pgim.com</v>
          </cell>
          <cell r="P384" t="str">
            <v>+ 49 (0) 69 244 341 663</v>
          </cell>
          <cell r="Q384" t="str">
            <v>Luxembourg</v>
          </cell>
          <cell r="R384" t="str">
            <v>EUR</v>
          </cell>
          <cell r="S384" t="str">
            <v>Italian GAAP at the level of PEREF FCP (including FV option) </v>
          </cell>
          <cell r="T384" t="str">
            <v>Twice per year</v>
          </cell>
          <cell r="U384" t="str">
            <v>Twice per year</v>
          </cell>
          <cell r="V384" t="str">
            <v>Other - mark to market</v>
          </cell>
          <cell r="X384" t="str">
            <v> PWC Italy</v>
          </cell>
          <cell r="Y384" t="str">
            <v>Real Estate Fund</v>
          </cell>
          <cell r="Z384" t="str">
            <v>No</v>
          </cell>
          <cell r="AA384" t="str">
            <v>No</v>
          </cell>
          <cell r="AC384" t="str">
            <v>Non-Listed Fund</v>
          </cell>
          <cell r="AD384" t="str">
            <v>Core</v>
          </cell>
          <cell r="AE384" t="str">
            <v>finite</v>
          </cell>
          <cell r="AF384" t="str">
            <v>Closed end</v>
          </cell>
          <cell r="AG384">
            <v>6.5</v>
          </cell>
          <cell r="AH384">
            <v>6.5</v>
          </cell>
          <cell r="AI384" t="str">
            <v>Net</v>
          </cell>
          <cell r="AK384">
            <v>3</v>
          </cell>
          <cell r="AL384">
            <v>50</v>
          </cell>
          <cell r="AN384" t="str">
            <v>Institutional</v>
          </cell>
          <cell r="AO384" t="str">
            <v>&gt; 2</v>
          </cell>
          <cell r="AP384" t="str">
            <v>≥ 50%</v>
          </cell>
          <cell r="AQ384" t="str">
            <v>Europe</v>
          </cell>
          <cell r="AR384" t="str">
            <v>multi country</v>
          </cell>
          <cell r="AS384" t="str">
            <v>Europe</v>
          </cell>
          <cell r="AU384" t="str">
            <v>multi sector</v>
          </cell>
          <cell r="AY384">
            <v>2015</v>
          </cell>
          <cell r="AZ384">
            <v>2025</v>
          </cell>
          <cell r="BA384" t="str">
            <v>Yes</v>
          </cell>
          <cell r="BB384" t="str">
            <v>Yes</v>
          </cell>
          <cell r="BC384" t="str">
            <v>2 years fixed</v>
          </cell>
          <cell r="BH384" t="str">
            <v>2018-12-31</v>
          </cell>
          <cell r="BI384">
            <v>118488299.86</v>
          </cell>
          <cell r="BJ384">
            <v>118488299.86</v>
          </cell>
          <cell r="BK384">
            <v>118255581.56</v>
          </cell>
          <cell r="BL384">
            <v>118255581.56</v>
          </cell>
          <cell r="BM384">
            <v>48.7</v>
          </cell>
          <cell r="BS384">
            <v>0</v>
          </cell>
        </row>
        <row r="385">
          <cell r="A385">
            <v>18578</v>
          </cell>
          <cell r="B385" t="str">
            <v>PAN-EUROPEAN REAL ESTATE FUND II (PEREF II)</v>
          </cell>
          <cell r="C385" t="str">
            <v>PGIM REAL ESTATE LUXEMBOURG S.A.</v>
          </cell>
          <cell r="D385" t="str">
            <v>2, boulevard de la Foire</v>
          </cell>
          <cell r="E385" t="str">
            <v>L-1528</v>
          </cell>
          <cell r="F385" t="str">
            <v>Luxembourg</v>
          </cell>
          <cell r="G385" t="str">
            <v>Luxembourg</v>
          </cell>
          <cell r="H385">
            <v>35227623410</v>
          </cell>
          <cell r="I385">
            <v>35227623419</v>
          </cell>
          <cell r="K385" t="str">
            <v>Theresa Reif</v>
          </cell>
          <cell r="L385" t="str">
            <v>Theresa.Reif@pgim.com</v>
          </cell>
          <cell r="M385">
            <v>498928645177</v>
          </cell>
          <cell r="N385" t="str">
            <v>Tobias Waldschmidt</v>
          </cell>
          <cell r="O385" t="str">
            <v>tobias.waldschmidt@pgim.com</v>
          </cell>
          <cell r="P385">
            <v>4969244341663</v>
          </cell>
          <cell r="Q385" t="str">
            <v>Luxembourg</v>
          </cell>
          <cell r="R385" t="str">
            <v>EUR</v>
          </cell>
          <cell r="S385" t="str">
            <v>IFRS</v>
          </cell>
          <cell r="T385" t="str">
            <v>Quarterly</v>
          </cell>
          <cell r="U385" t="str">
            <v>Annually</v>
          </cell>
          <cell r="V385" t="str">
            <v>Other - mark to market</v>
          </cell>
          <cell r="X385" t="str">
            <v>PWC</v>
          </cell>
          <cell r="Y385" t="str">
            <v>Real Estate Fund</v>
          </cell>
          <cell r="AC385" t="str">
            <v>Non-Listed Fund</v>
          </cell>
          <cell r="AD385" t="str">
            <v>Core</v>
          </cell>
          <cell r="AE385" t="str">
            <v>finite</v>
          </cell>
          <cell r="AF385" t="str">
            <v>Closed end</v>
          </cell>
          <cell r="AG385">
            <v>7</v>
          </cell>
          <cell r="AH385">
            <v>8</v>
          </cell>
          <cell r="AI385" t="str">
            <v>Net</v>
          </cell>
          <cell r="AK385">
            <v>4</v>
          </cell>
          <cell r="AL385">
            <v>50</v>
          </cell>
          <cell r="AM385" t="str">
            <v>&gt; 40% - ≤ 60%</v>
          </cell>
          <cell r="AN385" t="str">
            <v>Institutional</v>
          </cell>
          <cell r="AO385" t="str">
            <v>&gt; 2</v>
          </cell>
          <cell r="AP385" t="str">
            <v>≥ 50%</v>
          </cell>
          <cell r="AQ385" t="str">
            <v>Europe</v>
          </cell>
          <cell r="AR385" t="str">
            <v>multi country</v>
          </cell>
          <cell r="AS385" t="str">
            <v>Europe</v>
          </cell>
          <cell r="AU385" t="str">
            <v>multi sector</v>
          </cell>
          <cell r="AY385">
            <v>2018</v>
          </cell>
          <cell r="AZ385">
            <v>2031</v>
          </cell>
          <cell r="BA385" t="str">
            <v>Yes</v>
          </cell>
          <cell r="BB385" t="str">
            <v>Yes</v>
          </cell>
          <cell r="BC385" t="str">
            <v>5 years fixed</v>
          </cell>
          <cell r="BE385" t="str">
            <v>≥ 60%</v>
          </cell>
          <cell r="BF385" t="str">
            <v>&gt; 15% - ≤ 40%</v>
          </cell>
          <cell r="BH385" t="str">
            <v>2020-09-30</v>
          </cell>
          <cell r="BI385">
            <v>304217925</v>
          </cell>
          <cell r="BJ385">
            <v>304217925</v>
          </cell>
          <cell r="BK385">
            <v>149320512.5</v>
          </cell>
          <cell r="BL385">
            <v>149320512.5</v>
          </cell>
          <cell r="BM385">
            <v>43.8</v>
          </cell>
          <cell r="BN385" t="str">
            <v>No</v>
          </cell>
          <cell r="BO385" t="str">
            <v>External</v>
          </cell>
          <cell r="BP385">
            <v>9</v>
          </cell>
          <cell r="BQ385">
            <v>9</v>
          </cell>
          <cell r="BR385">
            <v>320500000</v>
          </cell>
          <cell r="BS385">
            <v>320500000</v>
          </cell>
          <cell r="BT385">
            <v>151136389</v>
          </cell>
          <cell r="BU385">
            <v>151136389</v>
          </cell>
          <cell r="BV385" t="str">
            <v>Yes</v>
          </cell>
          <cell r="BW385" t="str">
            <v>Germany</v>
          </cell>
          <cell r="BX385" t="str">
            <v>Office</v>
          </cell>
          <cell r="BY385">
            <v>12.52</v>
          </cell>
          <cell r="BZ385" t="str">
            <v>France</v>
          </cell>
          <cell r="CA385" t="str">
            <v>Mixed</v>
          </cell>
          <cell r="CB385">
            <v>20.85</v>
          </cell>
          <cell r="CC385" t="str">
            <v>France</v>
          </cell>
          <cell r="CD385" t="str">
            <v>Office</v>
          </cell>
          <cell r="CE385">
            <v>26.98</v>
          </cell>
          <cell r="CF385" t="str">
            <v>Italy</v>
          </cell>
          <cell r="CG385" t="str">
            <v>Industrial / Logistics</v>
          </cell>
          <cell r="CH385">
            <v>11.79</v>
          </cell>
          <cell r="CI385" t="str">
            <v>Italy</v>
          </cell>
          <cell r="CJ385" t="str">
            <v>Hotel</v>
          </cell>
          <cell r="CK385">
            <v>7.72</v>
          </cell>
          <cell r="CL385" t="str">
            <v>Germany</v>
          </cell>
          <cell r="CM385" t="str">
            <v>Hotel</v>
          </cell>
          <cell r="CN385">
            <v>15.55</v>
          </cell>
        </row>
        <row r="386">
          <cell r="A386">
            <v>608</v>
          </cell>
          <cell r="B386" t="str">
            <v>PAN-EUROPEAN URBAN RETAIL FUND (PURETAIL FUND)</v>
          </cell>
          <cell r="C386" t="str">
            <v>SCOTTISH WIDOWS INVESTMENT PARTNERSHIP, PART OF ABERDEEN ASSET MANAGEMENT</v>
          </cell>
          <cell r="D386" t="str">
            <v>Bow Bells House, 1 Bread Street</v>
          </cell>
          <cell r="E386" t="str">
            <v>EC4M 9HH</v>
          </cell>
          <cell r="F386" t="str">
            <v>London</v>
          </cell>
          <cell r="G386" t="str">
            <v>United Kingdom</v>
          </cell>
          <cell r="H386" t="str">
            <v>+44 (0) 20 7463 6000</v>
          </cell>
          <cell r="J386" t="str">
            <v>http://www.aberdeen-asset.com</v>
          </cell>
          <cell r="K386" t="str">
            <v>Ross Braithwaite</v>
          </cell>
          <cell r="L386" t="str">
            <v>ross.braithwaite@aberdeen-asset.com</v>
          </cell>
          <cell r="M386" t="str">
            <v>+44(0)131 528 4329</v>
          </cell>
          <cell r="N386" t="str">
            <v>Robert Matthews</v>
          </cell>
          <cell r="O386" t="str">
            <v>robert.matthews@aberdeen-asset.com</v>
          </cell>
          <cell r="P386" t="str">
            <v>+44 131 528 4328</v>
          </cell>
          <cell r="Q386" t="str">
            <v>Luxembourg</v>
          </cell>
          <cell r="R386" t="str">
            <v>EUR</v>
          </cell>
          <cell r="T386" t="str">
            <v>Quarterly</v>
          </cell>
          <cell r="U386" t="str">
            <v>Quarterly</v>
          </cell>
          <cell r="V386" t="str">
            <v>RICS</v>
          </cell>
          <cell r="W386" t="str">
            <v>INREV NAV</v>
          </cell>
          <cell r="X386" t="str">
            <v>PriceWaterhouseCoopers</v>
          </cell>
          <cell r="Y386" t="str">
            <v>Luxembourg FCP</v>
          </cell>
          <cell r="Z386" t="str">
            <v>Yes</v>
          </cell>
          <cell r="AA386" t="str">
            <v>Yes</v>
          </cell>
          <cell r="AB386">
            <v>2</v>
          </cell>
          <cell r="AC386" t="str">
            <v>Non-Listed Fund</v>
          </cell>
          <cell r="AD386" t="str">
            <v>Core</v>
          </cell>
          <cell r="AE386" t="str">
            <v>finite</v>
          </cell>
          <cell r="AF386" t="str">
            <v>Closed end</v>
          </cell>
          <cell r="AG386">
            <v>10</v>
          </cell>
          <cell r="AH386">
            <v>12</v>
          </cell>
          <cell r="AI386" t="str">
            <v>Net</v>
          </cell>
          <cell r="AJ386" t="str">
            <v>Absolute return</v>
          </cell>
          <cell r="AK386">
            <v>4.5</v>
          </cell>
          <cell r="AL386">
            <v>50</v>
          </cell>
          <cell r="AM386" t="str">
            <v>&gt; 40% - ≤ 60%</v>
          </cell>
          <cell r="AN386" t="str">
            <v>Institutional</v>
          </cell>
          <cell r="AO386" t="str">
            <v>&gt; 2</v>
          </cell>
          <cell r="AP386" t="str">
            <v>≥ 50%</v>
          </cell>
          <cell r="AQ386" t="str">
            <v>Europe</v>
          </cell>
          <cell r="AR386" t="str">
            <v>multi country</v>
          </cell>
          <cell r="AS386" t="str">
            <v>Europe</v>
          </cell>
          <cell r="AU386" t="str">
            <v>single sector</v>
          </cell>
          <cell r="AV386" t="str">
            <v>Retail</v>
          </cell>
          <cell r="AW386">
            <v>250000000</v>
          </cell>
          <cell r="AX386">
            <v>500000000</v>
          </cell>
          <cell r="AY386">
            <v>2011</v>
          </cell>
          <cell r="AZ386">
            <v>2019</v>
          </cell>
          <cell r="BA386" t="str">
            <v>Yes</v>
          </cell>
          <cell r="BB386" t="str">
            <v>Yes</v>
          </cell>
          <cell r="BC386" t="str">
            <v>1+1 years</v>
          </cell>
          <cell r="BH386" t="str">
            <v>2020-12-31</v>
          </cell>
          <cell r="BI386">
            <v>18528173</v>
          </cell>
          <cell r="BJ386">
            <v>18528173</v>
          </cell>
          <cell r="BK386">
            <v>9392552</v>
          </cell>
          <cell r="BL386">
            <v>9392552</v>
          </cell>
          <cell r="BM386">
            <v>0</v>
          </cell>
          <cell r="BN386" t="str">
            <v>No</v>
          </cell>
          <cell r="BO386" t="str">
            <v>External</v>
          </cell>
          <cell r="BP386">
            <v>7</v>
          </cell>
          <cell r="BQ386">
            <v>0</v>
          </cell>
          <cell r="BR386">
            <v>0</v>
          </cell>
          <cell r="BS386">
            <v>0</v>
          </cell>
          <cell r="BT386">
            <v>9392552</v>
          </cell>
          <cell r="BV386" t="str">
            <v>No</v>
          </cell>
        </row>
        <row r="387">
          <cell r="A387">
            <v>17724</v>
          </cell>
          <cell r="B387" t="str">
            <v>PANTA RHEI DUTCH RESIDENTIAL - PDR</v>
          </cell>
          <cell r="G387" t="str">
            <v>Germany</v>
          </cell>
          <cell r="Q387" t="str">
            <v>Germany</v>
          </cell>
          <cell r="R387" t="str">
            <v>EUR</v>
          </cell>
          <cell r="T387" t="str">
            <v>Quarterly</v>
          </cell>
          <cell r="U387" t="str">
            <v>Quarterly</v>
          </cell>
          <cell r="V387" t="str">
            <v>ImmoWertV</v>
          </cell>
          <cell r="W387" t="str">
            <v>BVI</v>
          </cell>
          <cell r="Y387" t="str">
            <v>Spezialfonds</v>
          </cell>
          <cell r="AC387" t="str">
            <v>Non-Listed Fund</v>
          </cell>
          <cell r="AD387" t="str">
            <v>Core</v>
          </cell>
          <cell r="AE387" t="str">
            <v>infinite</v>
          </cell>
          <cell r="AF387" t="str">
            <v>Open end</v>
          </cell>
          <cell r="AN387" t="str">
            <v>Institutional</v>
          </cell>
          <cell r="AO387" t="str">
            <v>&gt; 2</v>
          </cell>
          <cell r="AP387" t="str">
            <v>≥ 50%</v>
          </cell>
          <cell r="AQ387" t="str">
            <v>Europe</v>
          </cell>
          <cell r="AR387" t="str">
            <v>single country</v>
          </cell>
          <cell r="AT387" t="str">
            <v>Netherlands</v>
          </cell>
          <cell r="AU387" t="str">
            <v>single sector</v>
          </cell>
          <cell r="AV387" t="str">
            <v>Residential</v>
          </cell>
          <cell r="AY387">
            <v>2015</v>
          </cell>
          <cell r="BH387" t="str">
            <v>2020-12-31</v>
          </cell>
          <cell r="BI387">
            <v>185014440</v>
          </cell>
          <cell r="BJ387">
            <v>185014440</v>
          </cell>
          <cell r="BK387">
            <v>184811584</v>
          </cell>
          <cell r="BL387">
            <v>184811584</v>
          </cell>
          <cell r="BM387">
            <v>31.6</v>
          </cell>
          <cell r="BN387" t="str">
            <v>No</v>
          </cell>
          <cell r="BO387" t="str">
            <v>Internal</v>
          </cell>
          <cell r="BP387">
            <v>6</v>
          </cell>
          <cell r="BQ387">
            <v>16</v>
          </cell>
          <cell r="BR387">
            <v>0</v>
          </cell>
          <cell r="BS387">
            <v>0</v>
          </cell>
          <cell r="BT387">
            <v>0</v>
          </cell>
          <cell r="BV387" t="str">
            <v>No</v>
          </cell>
          <cell r="BW387" t="str">
            <v>Netherlands</v>
          </cell>
          <cell r="BX387" t="str">
            <v>Other</v>
          </cell>
          <cell r="BY387">
            <v>1</v>
          </cell>
          <cell r="BZ387" t="str">
            <v>Netherlands</v>
          </cell>
          <cell r="CA387" t="str">
            <v>Residential</v>
          </cell>
          <cell r="CB387">
            <v>94</v>
          </cell>
        </row>
        <row r="388">
          <cell r="A388">
            <v>357</v>
          </cell>
          <cell r="B388" t="str">
            <v>PATRIMONIO 1</v>
          </cell>
          <cell r="C388" t="str">
            <v>BNP PARIBAS REAL ESTATE INVESTMENT MANAGEMENT ITALY SGR</v>
          </cell>
          <cell r="D388" t="str">
            <v>Piazza Lina Bo Bardi, 3</v>
          </cell>
          <cell r="E388">
            <v>20124</v>
          </cell>
          <cell r="F388" t="str">
            <v>Milan</v>
          </cell>
          <cell r="G388" t="str">
            <v>Italy</v>
          </cell>
          <cell r="J388" t="str">
            <v>http://www.reim.bnpparibas.it</v>
          </cell>
          <cell r="K388" t="str">
            <v>Daniele Cenni</v>
          </cell>
          <cell r="L388" t="str">
            <v>daniele.cenni@bnpparibas.com</v>
          </cell>
          <cell r="P388" t="str">
            <v>+39 02 5833 141</v>
          </cell>
          <cell r="Q388" t="str">
            <v>Italy</v>
          </cell>
          <cell r="R388" t="str">
            <v>EUR</v>
          </cell>
          <cell r="S388" t="str">
            <v>Local GAAP</v>
          </cell>
          <cell r="T388" t="str">
            <v>Twice per year</v>
          </cell>
          <cell r="U388" t="str">
            <v>Twice per year</v>
          </cell>
          <cell r="V388" t="str">
            <v>RICS</v>
          </cell>
          <cell r="X388" t="str">
            <v>Mazard &amp; Guarard</v>
          </cell>
          <cell r="Y388" t="str">
            <v>Closed Ended Fund</v>
          </cell>
          <cell r="Z388" t="str">
            <v>No</v>
          </cell>
          <cell r="AA388" t="str">
            <v>Yes</v>
          </cell>
          <cell r="AB388">
            <v>2</v>
          </cell>
          <cell r="AC388" t="str">
            <v>Non-Listed Fund</v>
          </cell>
          <cell r="AD388" t="str">
            <v>Value-added</v>
          </cell>
          <cell r="AE388" t="str">
            <v>finite</v>
          </cell>
          <cell r="AF388" t="str">
            <v>Closed end</v>
          </cell>
          <cell r="AG388">
            <v>12</v>
          </cell>
          <cell r="AH388">
            <v>12</v>
          </cell>
          <cell r="AI388" t="str">
            <v>Gross</v>
          </cell>
          <cell r="AJ388" t="str">
            <v>none</v>
          </cell>
          <cell r="AM388" t="str">
            <v>&gt; 40% - ≤ 60%</v>
          </cell>
          <cell r="AN388" t="str">
            <v>Institutional</v>
          </cell>
          <cell r="AO388" t="str">
            <v>&gt; 2</v>
          </cell>
          <cell r="AP388" t="str">
            <v>≥ 50%</v>
          </cell>
          <cell r="AQ388" t="str">
            <v>Europe</v>
          </cell>
          <cell r="AR388" t="str">
            <v>single country</v>
          </cell>
          <cell r="AT388" t="str">
            <v>Italy</v>
          </cell>
          <cell r="AU388" t="str">
            <v>multi sector</v>
          </cell>
          <cell r="AY388">
            <v>2005</v>
          </cell>
          <cell r="AZ388">
            <v>2017</v>
          </cell>
          <cell r="BA388" t="str">
            <v>Yes</v>
          </cell>
          <cell r="BB388" t="str">
            <v>Yes</v>
          </cell>
          <cell r="BC388" t="str">
            <v>3 years</v>
          </cell>
          <cell r="BH388" t="str">
            <v>2018-12-31</v>
          </cell>
          <cell r="BI388">
            <v>293869326</v>
          </cell>
          <cell r="BJ388">
            <v>293869326</v>
          </cell>
          <cell r="BK388">
            <v>207969436</v>
          </cell>
          <cell r="BL388">
            <v>207969436</v>
          </cell>
          <cell r="BM388">
            <v>26</v>
          </cell>
          <cell r="BN388" t="str">
            <v>No</v>
          </cell>
          <cell r="BO388" t="str">
            <v>External</v>
          </cell>
          <cell r="BP388">
            <v>15</v>
          </cell>
          <cell r="BQ388">
            <v>31</v>
          </cell>
          <cell r="BR388">
            <v>260700001</v>
          </cell>
          <cell r="BS388">
            <v>260700001</v>
          </cell>
          <cell r="BT388">
            <v>260700001</v>
          </cell>
          <cell r="BU388">
            <v>260700001</v>
          </cell>
          <cell r="BV388" t="str">
            <v>No</v>
          </cell>
          <cell r="BW388" t="str">
            <v>Italy</v>
          </cell>
          <cell r="BX388" t="str">
            <v>Retail</v>
          </cell>
          <cell r="BY388">
            <v>5</v>
          </cell>
          <cell r="BZ388" t="str">
            <v>Italy</v>
          </cell>
          <cell r="CA388" t="str">
            <v>Residential</v>
          </cell>
          <cell r="CB388">
            <v>43</v>
          </cell>
          <cell r="CC388" t="str">
            <v>Italy</v>
          </cell>
          <cell r="CD388" t="str">
            <v>Office</v>
          </cell>
          <cell r="CE388">
            <v>39</v>
          </cell>
          <cell r="CF388" t="str">
            <v>Italy</v>
          </cell>
          <cell r="CG388" t="str">
            <v>Other</v>
          </cell>
          <cell r="CH388">
            <v>7</v>
          </cell>
        </row>
        <row r="389">
          <cell r="A389">
            <v>17199</v>
          </cell>
          <cell r="B389" t="str">
            <v>PATRIZIA BüRO-INVEST EUROPA I</v>
          </cell>
          <cell r="C389" t="str">
            <v>PATRIZIA GEWERBEINVEST KVG MBH</v>
          </cell>
          <cell r="D389" t="str">
            <v>Burchardstraße 14</v>
          </cell>
          <cell r="E389">
            <v>20095</v>
          </cell>
          <cell r="F389" t="str">
            <v>Hamburg</v>
          </cell>
          <cell r="G389" t="str">
            <v>Germany</v>
          </cell>
          <cell r="H389" t="str">
            <v>+4940284067400</v>
          </cell>
          <cell r="I389" t="str">
            <v>+4940284067417</v>
          </cell>
          <cell r="J389" t="str">
            <v>http://www.patrizia.ag</v>
          </cell>
          <cell r="K389" t="str">
            <v>Kai Stolzenberg</v>
          </cell>
          <cell r="L389" t="str">
            <v>kai.stolzenberg@patrizia.ag</v>
          </cell>
          <cell r="M389" t="str">
            <v>+4940284067472</v>
          </cell>
          <cell r="N389" t="str">
            <v>Jochen Reith</v>
          </cell>
          <cell r="O389" t="str">
            <v>jochen.reith@patrizia.ag</v>
          </cell>
          <cell r="P389" t="str">
            <v>+4982150910667</v>
          </cell>
          <cell r="Q389" t="str">
            <v>Germany</v>
          </cell>
          <cell r="R389" t="str">
            <v>EUR</v>
          </cell>
          <cell r="S389" t="str">
            <v>KAGB</v>
          </cell>
          <cell r="T389" t="str">
            <v>Monthly</v>
          </cell>
          <cell r="U389" t="str">
            <v>Annually</v>
          </cell>
          <cell r="V389" t="str">
            <v>Other - mark to market</v>
          </cell>
          <cell r="W389" t="str">
            <v>KAGB</v>
          </cell>
          <cell r="X389" t="str">
            <v>Ernst &amp; Young GmbH</v>
          </cell>
          <cell r="Y389" t="str">
            <v>Spezialfonds</v>
          </cell>
          <cell r="Z389" t="str">
            <v>No</v>
          </cell>
          <cell r="AA389" t="str">
            <v>Yes</v>
          </cell>
          <cell r="AB389">
            <v>0</v>
          </cell>
          <cell r="AC389" t="str">
            <v>Non-Listed Fund</v>
          </cell>
          <cell r="AD389" t="str">
            <v>Core</v>
          </cell>
          <cell r="AE389" t="str">
            <v>infinite</v>
          </cell>
          <cell r="AF389" t="str">
            <v>Open end</v>
          </cell>
          <cell r="AK389">
            <v>5</v>
          </cell>
          <cell r="AL389">
            <v>50</v>
          </cell>
          <cell r="AM389" t="str">
            <v>&gt; 40% - ≤ 60%</v>
          </cell>
          <cell r="AN389" t="str">
            <v>Institutional</v>
          </cell>
          <cell r="AO389" t="str">
            <v>&gt; 2</v>
          </cell>
          <cell r="AP389" t="str">
            <v>≥ 50%</v>
          </cell>
          <cell r="AQ389" t="str">
            <v>Europe</v>
          </cell>
          <cell r="AR389" t="str">
            <v>multi country</v>
          </cell>
          <cell r="AS389" t="str">
            <v>Europe</v>
          </cell>
          <cell r="AU389" t="str">
            <v>single sector</v>
          </cell>
          <cell r="AV389" t="str">
            <v>Office</v>
          </cell>
          <cell r="AW389">
            <v>185000000</v>
          </cell>
          <cell r="AX389">
            <v>370000000</v>
          </cell>
          <cell r="AY389">
            <v>2004</v>
          </cell>
          <cell r="BB389" t="str">
            <v>No</v>
          </cell>
          <cell r="BD389" t="str">
            <v>No</v>
          </cell>
          <cell r="BE389" t="str">
            <v>≥ 60%</v>
          </cell>
          <cell r="BF389" t="str">
            <v>≤ 15%</v>
          </cell>
          <cell r="BG389" t="str">
            <v>≤ 5%</v>
          </cell>
          <cell r="BH389" t="str">
            <v>2020-12-31</v>
          </cell>
          <cell r="BI389">
            <v>8227792.7000000002</v>
          </cell>
          <cell r="BJ389">
            <v>8227792.7000000002</v>
          </cell>
          <cell r="BK389">
            <v>5278430.17</v>
          </cell>
          <cell r="BL389">
            <v>5278430.17</v>
          </cell>
          <cell r="BM389">
            <v>0</v>
          </cell>
          <cell r="BN389" t="str">
            <v>No</v>
          </cell>
          <cell r="BO389" t="str">
            <v>External</v>
          </cell>
          <cell r="BP389">
            <v>17</v>
          </cell>
          <cell r="BQ389">
            <v>0</v>
          </cell>
          <cell r="BR389">
            <v>16993472.48</v>
          </cell>
          <cell r="BS389">
            <v>16993472.48</v>
          </cell>
          <cell r="BT389">
            <v>16969739.670000002</v>
          </cell>
          <cell r="BU389">
            <v>16969739.670000002</v>
          </cell>
          <cell r="BV389" t="str">
            <v>No</v>
          </cell>
        </row>
        <row r="390">
          <cell r="A390">
            <v>18338</v>
          </cell>
          <cell r="B390" t="str">
            <v>PATRIZIA GEWERBE-IMMOBILIEN DEUTSCHLAND III</v>
          </cell>
          <cell r="C390" t="str">
            <v>PATRIZIA GEWERBEINVEST KVG MBH</v>
          </cell>
          <cell r="D390" t="str">
            <v>Burchardstrasse 14</v>
          </cell>
          <cell r="E390">
            <v>20095</v>
          </cell>
          <cell r="F390" t="str">
            <v>Hamburg</v>
          </cell>
          <cell r="G390" t="str">
            <v>Germany</v>
          </cell>
          <cell r="H390" t="str">
            <v>+4940284067400</v>
          </cell>
          <cell r="I390" t="str">
            <v>+4940284067417</v>
          </cell>
          <cell r="J390" t="str">
            <v>http://www.patrizia.ag</v>
          </cell>
          <cell r="K390" t="str">
            <v>Sandro Paul</v>
          </cell>
          <cell r="L390" t="str">
            <v>sandro.paul@patrizia.ag</v>
          </cell>
          <cell r="M390" t="str">
            <v>+4940284067168</v>
          </cell>
          <cell r="N390" t="str">
            <v>Jochen Reith</v>
          </cell>
          <cell r="O390" t="str">
            <v>jochen.reith@patrizia.ag</v>
          </cell>
          <cell r="P390" t="str">
            <v>+4982150910667</v>
          </cell>
          <cell r="Q390" t="str">
            <v>Germany</v>
          </cell>
          <cell r="R390" t="str">
            <v>EUR</v>
          </cell>
          <cell r="S390" t="str">
            <v>KAGB</v>
          </cell>
          <cell r="T390" t="str">
            <v>Monthly</v>
          </cell>
          <cell r="U390" t="str">
            <v>Annually</v>
          </cell>
          <cell r="V390" t="str">
            <v>Other - mark to market</v>
          </cell>
          <cell r="W390" t="str">
            <v>KAGB</v>
          </cell>
          <cell r="X390" t="str">
            <v>Ernst &amp; Young GmbH</v>
          </cell>
          <cell r="Y390" t="str">
            <v>Spezialfonds</v>
          </cell>
          <cell r="Z390" t="str">
            <v>No</v>
          </cell>
          <cell r="AA390" t="str">
            <v>Yes</v>
          </cell>
          <cell r="AB390">
            <v>0</v>
          </cell>
          <cell r="AC390" t="str">
            <v>Non-Listed Fund</v>
          </cell>
          <cell r="AD390" t="str">
            <v>Core</v>
          </cell>
          <cell r="AE390" t="str">
            <v>infinite</v>
          </cell>
          <cell r="AF390" t="str">
            <v>Open end</v>
          </cell>
          <cell r="AK390">
            <v>5</v>
          </cell>
          <cell r="AL390">
            <v>50</v>
          </cell>
          <cell r="AM390" t="str">
            <v>&gt; 40% - ≤ 60%</v>
          </cell>
          <cell r="AN390" t="str">
            <v>Institutional</v>
          </cell>
          <cell r="AO390" t="str">
            <v>&gt; 2</v>
          </cell>
          <cell r="AP390" t="str">
            <v>≥ 50%</v>
          </cell>
          <cell r="AQ390" t="str">
            <v>Europe</v>
          </cell>
          <cell r="AR390" t="str">
            <v>multi country</v>
          </cell>
          <cell r="AS390" t="str">
            <v>Europe</v>
          </cell>
          <cell r="AU390" t="str">
            <v>multi sector</v>
          </cell>
          <cell r="AW390">
            <v>300000000</v>
          </cell>
          <cell r="AX390">
            <v>600000000</v>
          </cell>
          <cell r="AY390">
            <v>2017</v>
          </cell>
          <cell r="BB390" t="str">
            <v>No</v>
          </cell>
          <cell r="BD390" t="str">
            <v>No</v>
          </cell>
          <cell r="BH390" t="str">
            <v>2020-12-31</v>
          </cell>
          <cell r="BI390">
            <v>678506042.33000004</v>
          </cell>
          <cell r="BJ390">
            <v>678506042.33000004</v>
          </cell>
          <cell r="BK390">
            <v>378612708.27999997</v>
          </cell>
          <cell r="BL390">
            <v>378612708.27999997</v>
          </cell>
          <cell r="BM390">
            <v>44.5</v>
          </cell>
          <cell r="BN390" t="str">
            <v>No</v>
          </cell>
          <cell r="BO390" t="str">
            <v>External</v>
          </cell>
          <cell r="BP390">
            <v>45</v>
          </cell>
          <cell r="BQ390">
            <v>24</v>
          </cell>
          <cell r="BR390">
            <v>400000000</v>
          </cell>
          <cell r="BS390">
            <v>400000000</v>
          </cell>
          <cell r="BT390">
            <v>347132771.14999998</v>
          </cell>
          <cell r="BU390">
            <v>347132771.14999998</v>
          </cell>
          <cell r="BV390" t="str">
            <v>No</v>
          </cell>
          <cell r="BW390" t="str">
            <v>Germany</v>
          </cell>
          <cell r="BX390" t="str">
            <v>Retail</v>
          </cell>
          <cell r="BY390">
            <v>15</v>
          </cell>
          <cell r="BZ390" t="str">
            <v>Germany</v>
          </cell>
          <cell r="CA390" t="str">
            <v>Office</v>
          </cell>
          <cell r="CB390">
            <v>80</v>
          </cell>
          <cell r="CC390" t="str">
            <v>Germany</v>
          </cell>
          <cell r="CD390" t="str">
            <v>Industrial / Logistics</v>
          </cell>
          <cell r="CE390">
            <v>5</v>
          </cell>
        </row>
        <row r="391">
          <cell r="A391">
            <v>19664</v>
          </cell>
          <cell r="B391" t="str">
            <v>PATRIZIA GEWERBE-IMMOBILIEN DEUTSCHLAND IV</v>
          </cell>
          <cell r="C391" t="str">
            <v>PATRIZIA IMMOBILIEN KVG MBH</v>
          </cell>
          <cell r="D391" t="str">
            <v>Burchardstraße 14</v>
          </cell>
          <cell r="E391">
            <v>20095</v>
          </cell>
          <cell r="F391" t="str">
            <v>Hamburg</v>
          </cell>
          <cell r="G391" t="str">
            <v>Germany</v>
          </cell>
          <cell r="Q391" t="str">
            <v>Germany</v>
          </cell>
          <cell r="R391" t="str">
            <v>EUR</v>
          </cell>
          <cell r="S391" t="str">
            <v>KAGB</v>
          </cell>
          <cell r="T391" t="str">
            <v>Monthly</v>
          </cell>
          <cell r="U391" t="str">
            <v>Annually</v>
          </cell>
          <cell r="V391" t="str">
            <v>ImmoWertV</v>
          </cell>
          <cell r="W391" t="str">
            <v>KAGB</v>
          </cell>
          <cell r="Y391" t="str">
            <v>Spezialfonds</v>
          </cell>
          <cell r="Z391" t="str">
            <v>No</v>
          </cell>
          <cell r="AA391" t="str">
            <v>No</v>
          </cell>
          <cell r="AB391">
            <v>0</v>
          </cell>
          <cell r="AC391" t="str">
            <v>Non-Listed Fund</v>
          </cell>
          <cell r="AD391" t="str">
            <v>Core</v>
          </cell>
          <cell r="AE391" t="str">
            <v>infinite</v>
          </cell>
          <cell r="AF391" t="str">
            <v>Open end</v>
          </cell>
          <cell r="AM391" t="str">
            <v>&gt; 40% - ≤ 60%</v>
          </cell>
          <cell r="AN391" t="str">
            <v>Institutional</v>
          </cell>
          <cell r="AO391" t="str">
            <v>&gt; 2</v>
          </cell>
          <cell r="AP391" t="str">
            <v>≥ 50%</v>
          </cell>
          <cell r="AQ391" t="str">
            <v>Europe</v>
          </cell>
          <cell r="AR391" t="str">
            <v>single country</v>
          </cell>
          <cell r="AT391" t="str">
            <v>Germany</v>
          </cell>
          <cell r="AU391" t="str">
            <v>multi sector</v>
          </cell>
          <cell r="AY391">
            <v>2021</v>
          </cell>
          <cell r="BH391" t="str">
            <v>2020-12-31</v>
          </cell>
          <cell r="BI391">
            <v>2721112.24</v>
          </cell>
          <cell r="BJ391">
            <v>2721112.24</v>
          </cell>
          <cell r="BK391">
            <v>2717678.24</v>
          </cell>
          <cell r="BL391">
            <v>2717678.24</v>
          </cell>
          <cell r="BM391">
            <v>0</v>
          </cell>
          <cell r="BN391" t="str">
            <v>No</v>
          </cell>
          <cell r="BO391" t="str">
            <v>External</v>
          </cell>
          <cell r="BP391">
            <v>6</v>
          </cell>
          <cell r="BQ391">
            <v>0</v>
          </cell>
          <cell r="BR391">
            <v>46500000</v>
          </cell>
          <cell r="BS391">
            <v>46500000</v>
          </cell>
          <cell r="BT391">
            <v>2718800</v>
          </cell>
          <cell r="BU391">
            <v>2718800</v>
          </cell>
          <cell r="BV391" t="str">
            <v>Yes</v>
          </cell>
        </row>
        <row r="392">
          <cell r="A392">
            <v>17219</v>
          </cell>
          <cell r="B392" t="str">
            <v>PATRIZIA HANDELS-INVEST DEUTSCHLAND I</v>
          </cell>
          <cell r="C392" t="str">
            <v>PATRIZIA GEWERBEINVEST KVG MBH</v>
          </cell>
          <cell r="D392" t="str">
            <v>Burchardstraße 14</v>
          </cell>
          <cell r="E392">
            <v>20095</v>
          </cell>
          <cell r="F392" t="str">
            <v>Hamburg</v>
          </cell>
          <cell r="G392" t="str">
            <v>Germany</v>
          </cell>
          <cell r="H392" t="str">
            <v>+4940284067400</v>
          </cell>
          <cell r="I392" t="str">
            <v>+4940284067417</v>
          </cell>
          <cell r="J392" t="str">
            <v>http://www.patrizia.ag</v>
          </cell>
          <cell r="K392" t="str">
            <v>Susanne Kreß</v>
          </cell>
          <cell r="L392" t="str">
            <v>Susanne.Kress@patrizia.ag</v>
          </cell>
          <cell r="M392" t="str">
            <v>+4940284067467</v>
          </cell>
          <cell r="N392" t="str">
            <v>Jochen Reith</v>
          </cell>
          <cell r="O392" t="str">
            <v>jochen.reith@patrizia.ag</v>
          </cell>
          <cell r="P392" t="str">
            <v>+4982150910667</v>
          </cell>
          <cell r="Q392" t="str">
            <v>Germany</v>
          </cell>
          <cell r="R392" t="str">
            <v>EUR</v>
          </cell>
          <cell r="S392" t="str">
            <v>KAGB</v>
          </cell>
          <cell r="T392" t="str">
            <v>Monthly</v>
          </cell>
          <cell r="U392" t="str">
            <v>Annually</v>
          </cell>
          <cell r="V392" t="str">
            <v>Other - mark to market</v>
          </cell>
          <cell r="W392" t="str">
            <v>KAGB</v>
          </cell>
          <cell r="X392" t="str">
            <v>Ernst &amp; Young GmbH</v>
          </cell>
          <cell r="Y392" t="str">
            <v>Spezialfonds</v>
          </cell>
          <cell r="Z392" t="str">
            <v>No</v>
          </cell>
          <cell r="AA392" t="str">
            <v>Yes</v>
          </cell>
          <cell r="AB392">
            <v>0</v>
          </cell>
          <cell r="AC392" t="str">
            <v>Non-Listed Fund</v>
          </cell>
          <cell r="AD392" t="str">
            <v>Core</v>
          </cell>
          <cell r="AE392" t="str">
            <v>infinite</v>
          </cell>
          <cell r="AF392" t="str">
            <v>Open end</v>
          </cell>
          <cell r="AK392">
            <v>6</v>
          </cell>
          <cell r="AL392">
            <v>50</v>
          </cell>
          <cell r="AM392" t="str">
            <v>&gt; 40% - ≤ 60%</v>
          </cell>
          <cell r="AN392" t="str">
            <v>Institutional</v>
          </cell>
          <cell r="AO392" t="str">
            <v>&gt; 2</v>
          </cell>
          <cell r="AP392" t="str">
            <v>≥ 50%</v>
          </cell>
          <cell r="AQ392" t="str">
            <v>Europe</v>
          </cell>
          <cell r="AR392" t="str">
            <v>single country</v>
          </cell>
          <cell r="AT392" t="str">
            <v>Germany</v>
          </cell>
          <cell r="AU392" t="str">
            <v>single sector</v>
          </cell>
          <cell r="AV392" t="str">
            <v>Retail</v>
          </cell>
          <cell r="AW392">
            <v>199000000</v>
          </cell>
          <cell r="AX392">
            <v>398000000</v>
          </cell>
          <cell r="AY392">
            <v>2002</v>
          </cell>
          <cell r="BB392" t="str">
            <v>No</v>
          </cell>
          <cell r="BD392" t="str">
            <v>No</v>
          </cell>
          <cell r="BE392" t="str">
            <v>≥ 60%</v>
          </cell>
          <cell r="BF392" t="str">
            <v>≤ 15%</v>
          </cell>
          <cell r="BG392" t="str">
            <v>≤ 5%</v>
          </cell>
          <cell r="BH392" t="str">
            <v>2020-12-31</v>
          </cell>
          <cell r="BI392">
            <v>459044755</v>
          </cell>
          <cell r="BJ392">
            <v>459044755</v>
          </cell>
          <cell r="BK392">
            <v>242330964</v>
          </cell>
          <cell r="BL392">
            <v>242330964</v>
          </cell>
          <cell r="BM392">
            <v>48.5</v>
          </cell>
          <cell r="BN392" t="str">
            <v>No</v>
          </cell>
          <cell r="BO392" t="str">
            <v>External</v>
          </cell>
          <cell r="BP392">
            <v>28</v>
          </cell>
          <cell r="BQ392">
            <v>21</v>
          </cell>
          <cell r="BR392">
            <v>250615550</v>
          </cell>
          <cell r="BS392">
            <v>250615550</v>
          </cell>
          <cell r="BT392">
            <v>244750500.19999999</v>
          </cell>
          <cell r="BU392">
            <v>244750500.19999999</v>
          </cell>
          <cell r="BV392" t="str">
            <v>No</v>
          </cell>
          <cell r="BW392" t="str">
            <v>Germany</v>
          </cell>
          <cell r="BX392" t="str">
            <v>Retail</v>
          </cell>
          <cell r="BY392">
            <v>100</v>
          </cell>
        </row>
        <row r="393">
          <cell r="A393">
            <v>17198</v>
          </cell>
          <cell r="B393" t="str">
            <v xml:space="preserve">PATRIZIA HANDELS-INVEST EUROPA I </v>
          </cell>
          <cell r="C393" t="str">
            <v>PATRIZIA GEWERBEINVEST KVG MBH</v>
          </cell>
          <cell r="D393" t="str">
            <v>Burchardstrasse 14</v>
          </cell>
          <cell r="E393">
            <v>20095</v>
          </cell>
          <cell r="F393" t="str">
            <v>Hamburg</v>
          </cell>
          <cell r="G393" t="str">
            <v>Germany</v>
          </cell>
          <cell r="H393" t="str">
            <v>+4940284067400</v>
          </cell>
          <cell r="I393" t="str">
            <v>+4940284067417</v>
          </cell>
          <cell r="J393" t="str">
            <v>http://www.patrizia.ag</v>
          </cell>
          <cell r="K393" t="str">
            <v>Susanne Kreß</v>
          </cell>
          <cell r="L393" t="str">
            <v>susanne.kress@patrizia.ag</v>
          </cell>
          <cell r="M393" t="str">
            <v>+4940284067467</v>
          </cell>
          <cell r="N393" t="str">
            <v>Jochen Reith</v>
          </cell>
          <cell r="O393" t="str">
            <v>jochen.reith@patrizia.ag</v>
          </cell>
          <cell r="P393" t="str">
            <v>+4982150910667</v>
          </cell>
          <cell r="Q393" t="str">
            <v>Germany</v>
          </cell>
          <cell r="R393" t="str">
            <v>EUR</v>
          </cell>
          <cell r="S393" t="str">
            <v>KAGB</v>
          </cell>
          <cell r="T393" t="str">
            <v>Monthly</v>
          </cell>
          <cell r="U393" t="str">
            <v>Annually</v>
          </cell>
          <cell r="V393" t="str">
            <v>Other - mark to market</v>
          </cell>
          <cell r="W393" t="str">
            <v>KAGB</v>
          </cell>
          <cell r="X393" t="str">
            <v>Ernst &amp; Young GmbH</v>
          </cell>
          <cell r="Y393" t="str">
            <v>Spezialfonds</v>
          </cell>
          <cell r="Z393" t="str">
            <v>No</v>
          </cell>
          <cell r="AA393" t="str">
            <v>Yes</v>
          </cell>
          <cell r="AB393">
            <v>0</v>
          </cell>
          <cell r="AC393" t="str">
            <v>Non-Listed Fund</v>
          </cell>
          <cell r="AD393" t="str">
            <v>Core</v>
          </cell>
          <cell r="AE393" t="str">
            <v>infinite</v>
          </cell>
          <cell r="AF393" t="str">
            <v>Open end</v>
          </cell>
          <cell r="AK393">
            <v>5.25</v>
          </cell>
          <cell r="AL393">
            <v>50</v>
          </cell>
          <cell r="AM393" t="str">
            <v>&gt; 40% - ≤ 60%</v>
          </cell>
          <cell r="AN393" t="str">
            <v>Institutional</v>
          </cell>
          <cell r="AO393" t="str">
            <v>&gt; 2</v>
          </cell>
          <cell r="AP393" t="str">
            <v>≥ 50%</v>
          </cell>
          <cell r="AQ393" t="str">
            <v>Europe</v>
          </cell>
          <cell r="AR393" t="str">
            <v>multi country</v>
          </cell>
          <cell r="AS393" t="str">
            <v>Europe</v>
          </cell>
          <cell r="AU393" t="str">
            <v>single sector</v>
          </cell>
          <cell r="AV393" t="str">
            <v>Retail</v>
          </cell>
          <cell r="AW393">
            <v>300000000</v>
          </cell>
          <cell r="AX393">
            <v>600000000</v>
          </cell>
          <cell r="AY393">
            <v>2005</v>
          </cell>
          <cell r="BB393" t="str">
            <v>No</v>
          </cell>
          <cell r="BD393" t="str">
            <v>No</v>
          </cell>
          <cell r="BE393" t="str">
            <v>≥ 60%</v>
          </cell>
          <cell r="BF393" t="str">
            <v>≤ 15%</v>
          </cell>
          <cell r="BG393" t="str">
            <v>≤ 5%</v>
          </cell>
          <cell r="BH393" t="str">
            <v>2020-12-31</v>
          </cell>
          <cell r="BI393">
            <v>250400493</v>
          </cell>
          <cell r="BJ393">
            <v>250400493</v>
          </cell>
          <cell r="BK393">
            <v>154586554</v>
          </cell>
          <cell r="BL393">
            <v>154586554</v>
          </cell>
          <cell r="BM393">
            <v>48.5</v>
          </cell>
          <cell r="BN393" t="str">
            <v>No</v>
          </cell>
          <cell r="BO393" t="str">
            <v>External</v>
          </cell>
          <cell r="BP393">
            <v>14</v>
          </cell>
          <cell r="BQ393">
            <v>18</v>
          </cell>
          <cell r="BR393">
            <v>170000020</v>
          </cell>
          <cell r="BS393">
            <v>170000020</v>
          </cell>
          <cell r="BT393">
            <v>162662923.13999999</v>
          </cell>
          <cell r="BU393">
            <v>162662923.13999999</v>
          </cell>
          <cell r="BV393" t="str">
            <v>No</v>
          </cell>
          <cell r="BW393" t="str">
            <v>Finland</v>
          </cell>
          <cell r="BX393" t="str">
            <v>Industrial / Logistics</v>
          </cell>
          <cell r="BY393">
            <v>7</v>
          </cell>
          <cell r="BZ393" t="str">
            <v>United Kingdom</v>
          </cell>
          <cell r="CA393" t="str">
            <v>Retail</v>
          </cell>
          <cell r="CB393">
            <v>7</v>
          </cell>
          <cell r="CC393" t="str">
            <v>Denmark</v>
          </cell>
          <cell r="CD393" t="str">
            <v>Retail</v>
          </cell>
          <cell r="CE393">
            <v>7</v>
          </cell>
          <cell r="CF393" t="str">
            <v>Sweden</v>
          </cell>
          <cell r="CG393" t="str">
            <v>Retail</v>
          </cell>
          <cell r="CH393">
            <v>12</v>
          </cell>
          <cell r="CI393" t="str">
            <v>Netherlands</v>
          </cell>
          <cell r="CJ393" t="str">
            <v>Retail</v>
          </cell>
          <cell r="CK393">
            <v>28</v>
          </cell>
          <cell r="CL393" t="str">
            <v>Germany</v>
          </cell>
          <cell r="CM393" t="str">
            <v>Retail</v>
          </cell>
          <cell r="CN393">
            <v>39</v>
          </cell>
        </row>
        <row r="394">
          <cell r="A394">
            <v>386</v>
          </cell>
          <cell r="B394" t="str">
            <v>PATRIZIA HANOVER PROPERTY UNIT TRUST</v>
          </cell>
          <cell r="C394" t="str">
            <v>ROCKSPRING PROPERTY INVESTMENT MANAGERS LLP</v>
          </cell>
          <cell r="D394" t="str">
            <v>166 Sloane Street</v>
          </cell>
          <cell r="E394" t="str">
            <v>SW1X 9QF</v>
          </cell>
          <cell r="F394" t="str">
            <v>London</v>
          </cell>
          <cell r="G394" t="str">
            <v>United Kingdom</v>
          </cell>
          <cell r="H394" t="str">
            <v>+44 (0) 20 7761 3300</v>
          </cell>
          <cell r="I394" t="str">
            <v>+44 (0) 20 7761 3400</v>
          </cell>
          <cell r="J394" t="str">
            <v>http://www.rockspringpim.com</v>
          </cell>
          <cell r="N394" t="str">
            <v>Kathryn Dixon</v>
          </cell>
          <cell r="O394" t="str">
            <v>kathryn.dixon@rockspringpim.com</v>
          </cell>
          <cell r="P394" t="str">
            <v>+44 (0) 20 7761 3400</v>
          </cell>
          <cell r="Q394" t="str">
            <v>Jersey</v>
          </cell>
          <cell r="R394" t="str">
            <v>GBP</v>
          </cell>
          <cell r="T394" t="str">
            <v>Quarterly</v>
          </cell>
          <cell r="U394" t="str">
            <v>Quarterly</v>
          </cell>
          <cell r="V394" t="str">
            <v>RICS</v>
          </cell>
          <cell r="W394" t="str">
            <v>AREF</v>
          </cell>
          <cell r="X394" t="str">
            <v>Deloitte</v>
          </cell>
          <cell r="Y394" t="str">
            <v>Property Unit Trust</v>
          </cell>
          <cell r="Z394" t="str">
            <v>No</v>
          </cell>
          <cell r="AA394" t="str">
            <v>Yes</v>
          </cell>
          <cell r="AB394">
            <v>4</v>
          </cell>
          <cell r="AC394" t="str">
            <v>Non-Listed Fund</v>
          </cell>
          <cell r="AD394" t="str">
            <v>Core</v>
          </cell>
          <cell r="AE394" t="str">
            <v>infinite</v>
          </cell>
          <cell r="AF394" t="str">
            <v>Open end</v>
          </cell>
          <cell r="AJ394" t="str">
            <v>IPD Other Balanced Property Funds Index</v>
          </cell>
          <cell r="AM394" t="str">
            <v>&gt; 40% - ≤ 60%</v>
          </cell>
          <cell r="AN394" t="str">
            <v>Institutional</v>
          </cell>
          <cell r="AO394" t="str">
            <v>&gt; 2</v>
          </cell>
          <cell r="AP394" t="str">
            <v>≥ 50%</v>
          </cell>
          <cell r="AQ394" t="str">
            <v>Europe</v>
          </cell>
          <cell r="AR394" t="str">
            <v>single country</v>
          </cell>
          <cell r="AT394" t="str">
            <v>United Kingdom</v>
          </cell>
          <cell r="AU394" t="str">
            <v>multi sector</v>
          </cell>
          <cell r="AY394">
            <v>1967</v>
          </cell>
          <cell r="BD394" t="str">
            <v>Yes</v>
          </cell>
          <cell r="BH394" t="str">
            <v>2020-12-31</v>
          </cell>
          <cell r="BI394">
            <v>535080031.89999998</v>
          </cell>
          <cell r="BJ394">
            <v>591557245.01961613</v>
          </cell>
          <cell r="BK394">
            <v>487617521</v>
          </cell>
          <cell r="BL394">
            <v>539085109.04769349</v>
          </cell>
          <cell r="BM394">
            <v>7.2</v>
          </cell>
          <cell r="BN394" t="str">
            <v>Yes</v>
          </cell>
          <cell r="BO394" t="str">
            <v>External</v>
          </cell>
          <cell r="BP394">
            <v>51</v>
          </cell>
          <cell r="BQ394">
            <v>22</v>
          </cell>
          <cell r="BR394">
            <v>515556423</v>
          </cell>
          <cell r="BS394">
            <v>566057503.45276833</v>
          </cell>
          <cell r="BT394">
            <v>515420688</v>
          </cell>
          <cell r="BU394">
            <v>565908472.59638977</v>
          </cell>
          <cell r="BV394" t="str">
            <v>No</v>
          </cell>
          <cell r="BW394" t="str">
            <v>United Kingdom</v>
          </cell>
          <cell r="BX394" t="str">
            <v>Hotel</v>
          </cell>
          <cell r="BY394">
            <v>5.4</v>
          </cell>
          <cell r="BZ394" t="str">
            <v>United Kingdom</v>
          </cell>
          <cell r="CA394" t="str">
            <v>Industrial / Logistics</v>
          </cell>
          <cell r="CB394">
            <v>47.9</v>
          </cell>
          <cell r="CC394" t="str">
            <v>United Kingdom</v>
          </cell>
          <cell r="CD394" t="str">
            <v>Retail</v>
          </cell>
          <cell r="CE394">
            <v>14</v>
          </cell>
          <cell r="CF394" t="str">
            <v>United Kingdom</v>
          </cell>
          <cell r="CG394" t="str">
            <v>Office</v>
          </cell>
          <cell r="CH394">
            <v>29.4</v>
          </cell>
        </row>
        <row r="395">
          <cell r="A395">
            <v>18566</v>
          </cell>
          <cell r="B395" t="str">
            <v>PATRIZIA LOGISTIK-INVEST EUROPA II</v>
          </cell>
          <cell r="C395" t="str">
            <v>PATRIZIA GEWERBEINVEST KVG MBH</v>
          </cell>
          <cell r="D395" t="str">
            <v>Burchardstraße 14</v>
          </cell>
          <cell r="E395">
            <v>20095</v>
          </cell>
          <cell r="F395" t="str">
            <v>Hamburg</v>
          </cell>
          <cell r="G395" t="str">
            <v>Germany</v>
          </cell>
          <cell r="H395" t="str">
            <v>+ 49 40 284067 - 400</v>
          </cell>
          <cell r="I395" t="str">
            <v>+ 49 40 284067 - 417</v>
          </cell>
          <cell r="J395" t="str">
            <v>https://www.patrizia.ag/</v>
          </cell>
          <cell r="K395" t="str">
            <v>Nicolai Soltau</v>
          </cell>
          <cell r="L395" t="str">
            <v>nicolai.soltau@patrizia.ag</v>
          </cell>
          <cell r="M395" t="str">
            <v>+ 49 40 284067 - 438</v>
          </cell>
          <cell r="N395" t="str">
            <v>Jochen Reith</v>
          </cell>
          <cell r="O395" t="str">
            <v>jochen.reith@patrizia.ag</v>
          </cell>
          <cell r="P395" t="str">
            <v>+ 49 821 50910 - 667</v>
          </cell>
          <cell r="Q395" t="str">
            <v>Germany</v>
          </cell>
          <cell r="R395" t="str">
            <v>EUR</v>
          </cell>
          <cell r="S395" t="str">
            <v>KAGB</v>
          </cell>
          <cell r="T395" t="str">
            <v>Monthly</v>
          </cell>
          <cell r="U395" t="str">
            <v>Annually</v>
          </cell>
          <cell r="V395" t="str">
            <v>Other - mark to market</v>
          </cell>
          <cell r="W395" t="str">
            <v>KAGB</v>
          </cell>
          <cell r="Y395" t="str">
            <v>Spezialfonds</v>
          </cell>
          <cell r="Z395" t="str">
            <v>No</v>
          </cell>
          <cell r="AC395" t="str">
            <v>Non-Listed Fund</v>
          </cell>
          <cell r="AD395" t="str">
            <v>Core</v>
          </cell>
          <cell r="AE395" t="str">
            <v>infinite</v>
          </cell>
          <cell r="AF395" t="str">
            <v>Open end</v>
          </cell>
          <cell r="AK395">
            <v>5</v>
          </cell>
          <cell r="AM395" t="str">
            <v>&gt; 40% - ≤ 60%</v>
          </cell>
          <cell r="AN395" t="str">
            <v>Institutional</v>
          </cell>
          <cell r="AO395" t="str">
            <v>&gt; 2</v>
          </cell>
          <cell r="AP395" t="str">
            <v>≥ 50%</v>
          </cell>
          <cell r="AQ395" t="str">
            <v>Europe</v>
          </cell>
          <cell r="AR395" t="str">
            <v>multi country</v>
          </cell>
          <cell r="AS395" t="str">
            <v>Europe</v>
          </cell>
          <cell r="AU395" t="str">
            <v>single sector</v>
          </cell>
          <cell r="AV395" t="str">
            <v>Industrial / Logistics</v>
          </cell>
          <cell r="AW395">
            <v>350000000</v>
          </cell>
          <cell r="AX395">
            <v>700000000</v>
          </cell>
          <cell r="AY395">
            <v>2018</v>
          </cell>
          <cell r="BH395" t="str">
            <v>2020-12-31</v>
          </cell>
          <cell r="BI395">
            <v>729384215.18851101</v>
          </cell>
          <cell r="BJ395">
            <v>729384215.18851101</v>
          </cell>
          <cell r="BK395">
            <v>460310074</v>
          </cell>
          <cell r="BL395">
            <v>460310074</v>
          </cell>
          <cell r="BM395">
            <v>47</v>
          </cell>
          <cell r="BN395" t="str">
            <v>No</v>
          </cell>
          <cell r="BO395" t="str">
            <v>External</v>
          </cell>
          <cell r="BP395">
            <v>48</v>
          </cell>
          <cell r="BQ395">
            <v>55</v>
          </cell>
          <cell r="BR395">
            <v>449997749.16000003</v>
          </cell>
          <cell r="BS395">
            <v>449997749.16000003</v>
          </cell>
          <cell r="BT395">
            <v>449997318.86000001</v>
          </cell>
          <cell r="BU395">
            <v>449997318.86000001</v>
          </cell>
          <cell r="BV395" t="str">
            <v>No</v>
          </cell>
          <cell r="BW395" t="str">
            <v>France</v>
          </cell>
          <cell r="BX395" t="str">
            <v>Industrial / Logistics</v>
          </cell>
          <cell r="BY395">
            <v>31</v>
          </cell>
          <cell r="BZ395" t="str">
            <v>Netherlands</v>
          </cell>
          <cell r="CA395" t="str">
            <v>Industrial / Logistics</v>
          </cell>
          <cell r="CB395">
            <v>32</v>
          </cell>
          <cell r="CC395" t="str">
            <v>Germany</v>
          </cell>
          <cell r="CD395" t="str">
            <v>Industrial / Logistics</v>
          </cell>
          <cell r="CE395">
            <v>19</v>
          </cell>
          <cell r="CF395" t="str">
            <v>Italy</v>
          </cell>
          <cell r="CG395" t="str">
            <v>Industrial / Logistics</v>
          </cell>
          <cell r="CH395">
            <v>13</v>
          </cell>
          <cell r="CI395" t="str">
            <v>Spain</v>
          </cell>
          <cell r="CJ395" t="str">
            <v>Industrial / Logistics</v>
          </cell>
          <cell r="CK395">
            <v>5</v>
          </cell>
        </row>
        <row r="396">
          <cell r="A396">
            <v>19663</v>
          </cell>
          <cell r="B396" t="str">
            <v>PATRIZIA LOGISTIK-INVEST EUROPA III</v>
          </cell>
          <cell r="C396" t="str">
            <v>PATRIZIA GEWERBEINVEST KVG MBH</v>
          </cell>
          <cell r="D396" t="str">
            <v>Burchardstraße 14</v>
          </cell>
          <cell r="E396">
            <v>20095</v>
          </cell>
          <cell r="F396" t="str">
            <v>Hamburg</v>
          </cell>
          <cell r="G396" t="str">
            <v>Germany</v>
          </cell>
          <cell r="Q396" t="str">
            <v>Germany</v>
          </cell>
          <cell r="R396" t="str">
            <v>EUR</v>
          </cell>
          <cell r="S396" t="str">
            <v>KAGB</v>
          </cell>
          <cell r="T396" t="str">
            <v>Monthly</v>
          </cell>
          <cell r="U396" t="str">
            <v>Annually</v>
          </cell>
          <cell r="V396" t="str">
            <v>ImmoWertV</v>
          </cell>
          <cell r="W396" t="str">
            <v>KAGB</v>
          </cell>
          <cell r="X396" t="str">
            <v>KPMG</v>
          </cell>
          <cell r="Y396" t="str">
            <v>Investment Fund</v>
          </cell>
          <cell r="Z396" t="str">
            <v>No</v>
          </cell>
          <cell r="AA396" t="str">
            <v>Yes</v>
          </cell>
          <cell r="AB396">
            <v>0</v>
          </cell>
          <cell r="AC396" t="str">
            <v>Non-Listed Fund</v>
          </cell>
          <cell r="AD396" t="str">
            <v>Core</v>
          </cell>
          <cell r="AE396" t="str">
            <v>infinite</v>
          </cell>
          <cell r="AF396" t="str">
            <v>Open end</v>
          </cell>
          <cell r="AM396" t="str">
            <v>&gt; 40% - ≤ 60%</v>
          </cell>
          <cell r="AN396" t="str">
            <v>Institutional</v>
          </cell>
          <cell r="AO396" t="str">
            <v>&gt; 2</v>
          </cell>
          <cell r="AP396" t="str">
            <v>≥ 50%</v>
          </cell>
          <cell r="AQ396" t="str">
            <v>Europe</v>
          </cell>
          <cell r="AR396" t="str">
            <v>multi country</v>
          </cell>
          <cell r="AS396" t="str">
            <v>Europe</v>
          </cell>
          <cell r="AU396" t="str">
            <v>single sector</v>
          </cell>
          <cell r="AV396" t="str">
            <v>Industrial / Logistics</v>
          </cell>
          <cell r="AY396">
            <v>2021</v>
          </cell>
          <cell r="BD396" t="str">
            <v>No</v>
          </cell>
          <cell r="BH396" t="str">
            <v>2020-12-31</v>
          </cell>
          <cell r="BI396">
            <v>17174745</v>
          </cell>
          <cell r="BJ396">
            <v>17174745</v>
          </cell>
          <cell r="BK396">
            <v>17045457</v>
          </cell>
          <cell r="BL396">
            <v>17045457</v>
          </cell>
          <cell r="BM396">
            <v>0</v>
          </cell>
          <cell r="BN396" t="str">
            <v>No</v>
          </cell>
          <cell r="BO396" t="str">
            <v>External</v>
          </cell>
          <cell r="BP396">
            <v>9</v>
          </cell>
          <cell r="BQ396">
            <v>0</v>
          </cell>
          <cell r="BR396">
            <v>110000000</v>
          </cell>
          <cell r="BS396">
            <v>110000000</v>
          </cell>
          <cell r="BT396">
            <v>17026350.420000002</v>
          </cell>
          <cell r="BU396">
            <v>17026350.420000002</v>
          </cell>
          <cell r="BV396" t="str">
            <v>Yes</v>
          </cell>
        </row>
        <row r="397">
          <cell r="A397">
            <v>387</v>
          </cell>
          <cell r="B397" t="str">
            <v>PATRIZIA PANEUROPEAN PROPERTY LIMITED PARTNERSHIP</v>
          </cell>
          <cell r="C397" t="str">
            <v>ROCKSPRING PROPERTY INVESTMENT MANAGERS LLP</v>
          </cell>
          <cell r="D397" t="str">
            <v>166 Sloane Street</v>
          </cell>
          <cell r="E397" t="str">
            <v>SW1X 9QF</v>
          </cell>
          <cell r="F397" t="str">
            <v>London</v>
          </cell>
          <cell r="G397" t="str">
            <v>United Kingdom</v>
          </cell>
          <cell r="H397" t="str">
            <v>+442077613300</v>
          </cell>
          <cell r="I397" t="str">
            <v>+442077613400</v>
          </cell>
          <cell r="J397" t="str">
            <v>http://www.rockspringpim.com</v>
          </cell>
          <cell r="K397" t="str">
            <v>Flavio Casero</v>
          </cell>
          <cell r="L397" t="str">
            <v>flavio.casero@rockspringpim.com</v>
          </cell>
          <cell r="M397" t="str">
            <v>+442077613300</v>
          </cell>
          <cell r="N397" t="str">
            <v>Kathryn Dixon</v>
          </cell>
          <cell r="O397" t="str">
            <v>kathryn.dixon@rockspringpim.com</v>
          </cell>
          <cell r="P397" t="str">
            <v>+442077613400</v>
          </cell>
          <cell r="Q397" t="str">
            <v>United Kingdom</v>
          </cell>
          <cell r="R397" t="str">
            <v>EUR</v>
          </cell>
          <cell r="S397" t="str">
            <v>IFRS</v>
          </cell>
          <cell r="T397" t="str">
            <v>Quarterly</v>
          </cell>
          <cell r="U397" t="str">
            <v>Quarterly</v>
          </cell>
          <cell r="V397" t="str">
            <v>RICS</v>
          </cell>
          <cell r="W397" t="str">
            <v>Adjusted INREV NAV</v>
          </cell>
          <cell r="Y397" t="str">
            <v>Limited Partnership</v>
          </cell>
          <cell r="Z397" t="str">
            <v>Yes</v>
          </cell>
          <cell r="AB397">
            <v>4</v>
          </cell>
          <cell r="AC397" t="str">
            <v>Non-Listed Fund</v>
          </cell>
          <cell r="AD397" t="str">
            <v>Core</v>
          </cell>
          <cell r="AE397" t="str">
            <v>infinite</v>
          </cell>
          <cell r="AF397" t="str">
            <v>Open end</v>
          </cell>
          <cell r="AG397">
            <v>9</v>
          </cell>
          <cell r="AH397">
            <v>9</v>
          </cell>
          <cell r="AM397" t="str">
            <v>&gt; 40% - ≤ 60%</v>
          </cell>
          <cell r="AN397" t="str">
            <v>Institutional</v>
          </cell>
          <cell r="AO397" t="str">
            <v>&gt; 2</v>
          </cell>
          <cell r="AP397" t="str">
            <v>≥ 50%</v>
          </cell>
          <cell r="AQ397" t="str">
            <v>Europe</v>
          </cell>
          <cell r="AR397" t="str">
            <v>multi country</v>
          </cell>
          <cell r="AS397" t="str">
            <v>Europe</v>
          </cell>
          <cell r="AU397" t="str">
            <v>multi sector</v>
          </cell>
          <cell r="AY397">
            <v>1973</v>
          </cell>
          <cell r="BE397" t="str">
            <v>≥ 60%</v>
          </cell>
          <cell r="BF397" t="str">
            <v>≤ 15%</v>
          </cell>
          <cell r="BG397" t="str">
            <v>≤ 5%</v>
          </cell>
          <cell r="BH397" t="str">
            <v>2020-12-31</v>
          </cell>
          <cell r="BI397">
            <v>720085912</v>
          </cell>
          <cell r="BJ397">
            <v>720085912</v>
          </cell>
          <cell r="BK397">
            <v>538743749</v>
          </cell>
          <cell r="BL397">
            <v>538743749</v>
          </cell>
          <cell r="BM397">
            <v>20.95</v>
          </cell>
          <cell r="BN397" t="str">
            <v>No</v>
          </cell>
          <cell r="BO397" t="str">
            <v>External</v>
          </cell>
          <cell r="BP397">
            <v>16</v>
          </cell>
          <cell r="BQ397">
            <v>12</v>
          </cell>
          <cell r="BR397">
            <v>413747299</v>
          </cell>
          <cell r="BS397">
            <v>413747299</v>
          </cell>
          <cell r="BT397">
            <v>415257621</v>
          </cell>
          <cell r="BU397">
            <v>415257621</v>
          </cell>
          <cell r="BV397" t="str">
            <v>Yes</v>
          </cell>
          <cell r="BW397" t="str">
            <v>France</v>
          </cell>
          <cell r="BX397" t="str">
            <v>Industrial / Logistics</v>
          </cell>
          <cell r="BY397">
            <v>3.3</v>
          </cell>
          <cell r="BZ397" t="str">
            <v>France</v>
          </cell>
          <cell r="CA397" t="str">
            <v>Retail</v>
          </cell>
          <cell r="CB397">
            <v>2.9</v>
          </cell>
          <cell r="CC397" t="str">
            <v>Germany</v>
          </cell>
          <cell r="CD397" t="str">
            <v>Office</v>
          </cell>
          <cell r="CE397">
            <v>18.8</v>
          </cell>
          <cell r="CF397" t="str">
            <v>Netherlands</v>
          </cell>
          <cell r="CG397" t="str">
            <v>Industrial / Logistics</v>
          </cell>
          <cell r="CH397">
            <v>8</v>
          </cell>
          <cell r="CI397" t="str">
            <v>Netherlands</v>
          </cell>
          <cell r="CJ397" t="str">
            <v>Office</v>
          </cell>
          <cell r="CK397">
            <v>20.5</v>
          </cell>
          <cell r="CL397" t="str">
            <v>Germany</v>
          </cell>
          <cell r="CM397" t="str">
            <v>Retail</v>
          </cell>
          <cell r="CN397">
            <v>17.8</v>
          </cell>
          <cell r="CO397" t="str">
            <v>Luxembourg</v>
          </cell>
          <cell r="CP397" t="str">
            <v>Office</v>
          </cell>
          <cell r="CQ397">
            <v>11.8</v>
          </cell>
        </row>
        <row r="398">
          <cell r="A398">
            <v>17750</v>
          </cell>
          <cell r="B398" t="str">
            <v>PATRIZIA SELF-STORAGE I</v>
          </cell>
          <cell r="C398" t="str">
            <v>PATRIZIA GEWERBEINVEST KVG MBH</v>
          </cell>
          <cell r="D398" t="str">
            <v>Burchardstraße 14</v>
          </cell>
          <cell r="E398">
            <v>20095</v>
          </cell>
          <cell r="F398" t="str">
            <v>Hamburg</v>
          </cell>
          <cell r="G398" t="str">
            <v>Germany</v>
          </cell>
          <cell r="H398" t="str">
            <v>+ 49 40 284067 - 0</v>
          </cell>
          <cell r="I398" t="str">
            <v>+ 49 40 284067 - 417</v>
          </cell>
          <cell r="J398" t="str">
            <v>https://www.patrizia.ag/</v>
          </cell>
          <cell r="K398" t="str">
            <v>Jan-Hendrik Jessen</v>
          </cell>
          <cell r="L398" t="str">
            <v>jan-hendrik.jessen@patrizia.ag</v>
          </cell>
          <cell r="M398" t="str">
            <v>+4940284067461</v>
          </cell>
          <cell r="N398" t="str">
            <v>Jochen Reith</v>
          </cell>
          <cell r="O398" t="str">
            <v>jochen.reith@patrizia.ag</v>
          </cell>
          <cell r="P398" t="str">
            <v>+4982150910667</v>
          </cell>
          <cell r="Q398" t="str">
            <v>Germany</v>
          </cell>
          <cell r="R398" t="str">
            <v>EUR</v>
          </cell>
          <cell r="S398" t="str">
            <v>KAGB</v>
          </cell>
          <cell r="T398" t="str">
            <v>Monthly</v>
          </cell>
          <cell r="U398" t="str">
            <v>Annually</v>
          </cell>
          <cell r="V398" t="str">
            <v>ImmoWertV</v>
          </cell>
          <cell r="W398" t="str">
            <v>KAGB</v>
          </cell>
          <cell r="X398" t="str">
            <v>Ernst &amp; Young GmbH</v>
          </cell>
          <cell r="Y398" t="str">
            <v>Spezialfonds</v>
          </cell>
          <cell r="Z398" t="str">
            <v>No</v>
          </cell>
          <cell r="AA398" t="str">
            <v>Yes</v>
          </cell>
          <cell r="AB398">
            <v>0</v>
          </cell>
          <cell r="AC398" t="str">
            <v>Non-Listed Fund</v>
          </cell>
          <cell r="AD398" t="str">
            <v>Core</v>
          </cell>
          <cell r="AE398" t="str">
            <v>infinite</v>
          </cell>
          <cell r="AF398" t="str">
            <v>Open end</v>
          </cell>
          <cell r="AK398">
            <v>4</v>
          </cell>
          <cell r="AM398" t="str">
            <v>≤ 40%</v>
          </cell>
          <cell r="AN398" t="str">
            <v>Institutional</v>
          </cell>
          <cell r="AO398" t="str">
            <v>&gt; 2</v>
          </cell>
          <cell r="AP398" t="str">
            <v>≥ 50%</v>
          </cell>
          <cell r="AQ398" t="str">
            <v>Europe</v>
          </cell>
          <cell r="AR398" t="str">
            <v>single country</v>
          </cell>
          <cell r="AT398" t="str">
            <v>Germany</v>
          </cell>
          <cell r="AU398" t="str">
            <v>single sector</v>
          </cell>
          <cell r="AV398" t="str">
            <v>Other</v>
          </cell>
          <cell r="AW398">
            <v>44000000</v>
          </cell>
          <cell r="AX398">
            <v>44000000</v>
          </cell>
          <cell r="AY398">
            <v>2012</v>
          </cell>
          <cell r="BD398" t="str">
            <v>No</v>
          </cell>
          <cell r="BH398" t="str">
            <v>2020-12-31</v>
          </cell>
          <cell r="BI398">
            <v>45503292.630000003</v>
          </cell>
          <cell r="BJ398">
            <v>45503292.630000003</v>
          </cell>
          <cell r="BK398">
            <v>45093866.020000003</v>
          </cell>
          <cell r="BL398">
            <v>45093866.020000003</v>
          </cell>
          <cell r="BM398">
            <v>0</v>
          </cell>
          <cell r="BN398" t="str">
            <v>No</v>
          </cell>
          <cell r="BO398" t="str">
            <v>External</v>
          </cell>
          <cell r="BP398">
            <v>3</v>
          </cell>
          <cell r="BQ398">
            <v>5</v>
          </cell>
          <cell r="BR398">
            <v>44100000</v>
          </cell>
          <cell r="BS398">
            <v>44100000</v>
          </cell>
          <cell r="BT398">
            <v>44040097</v>
          </cell>
          <cell r="BU398">
            <v>44040097</v>
          </cell>
          <cell r="BV398" t="str">
            <v>No</v>
          </cell>
          <cell r="BW398" t="str">
            <v>Germany</v>
          </cell>
          <cell r="BX398" t="str">
            <v>Other</v>
          </cell>
          <cell r="BY398">
            <v>100</v>
          </cell>
        </row>
        <row r="399">
          <cell r="A399">
            <v>19385</v>
          </cell>
          <cell r="B399" t="str">
            <v>PATRIZIA SOCIAL CARE FUND III</v>
          </cell>
          <cell r="C399" t="str">
            <v>PATRIZIA IMMOBILIEN KAPITALVERWALTUNGSGESELLSCHAFT MBH</v>
          </cell>
          <cell r="D399" t="str">
            <v>Burchardstraße 14</v>
          </cell>
          <cell r="E399">
            <v>20095</v>
          </cell>
          <cell r="F399" t="str">
            <v>Hamburg</v>
          </cell>
          <cell r="G399" t="str">
            <v>Germany</v>
          </cell>
          <cell r="Q399" t="str">
            <v>Germany</v>
          </cell>
          <cell r="R399" t="str">
            <v>EUR</v>
          </cell>
          <cell r="S399" t="str">
            <v>KAGB</v>
          </cell>
          <cell r="T399" t="str">
            <v>Quarterly</v>
          </cell>
          <cell r="U399" t="str">
            <v>Annually</v>
          </cell>
          <cell r="V399" t="str">
            <v>ImmoWertV</v>
          </cell>
          <cell r="W399" t="str">
            <v>KAGB NAV</v>
          </cell>
          <cell r="Y399" t="str">
            <v>Investment Fund</v>
          </cell>
          <cell r="Z399" t="str">
            <v>No</v>
          </cell>
          <cell r="AB399">
            <v>0</v>
          </cell>
          <cell r="AC399" t="str">
            <v>Non-Listed Fund</v>
          </cell>
          <cell r="AD399" t="str">
            <v>Core</v>
          </cell>
          <cell r="AE399" t="str">
            <v>infinite</v>
          </cell>
          <cell r="AF399" t="str">
            <v>Open end</v>
          </cell>
          <cell r="AM399" t="str">
            <v>&gt; 40% - ≤ 60%</v>
          </cell>
          <cell r="AN399" t="str">
            <v>Institutional</v>
          </cell>
          <cell r="AO399" t="str">
            <v>&gt; 2</v>
          </cell>
          <cell r="AP399" t="str">
            <v>≥ 50%</v>
          </cell>
          <cell r="AQ399" t="str">
            <v>Europe</v>
          </cell>
          <cell r="AR399" t="str">
            <v>multi country</v>
          </cell>
          <cell r="AS399" t="str">
            <v>Europe</v>
          </cell>
          <cell r="AU399" t="str">
            <v>single sector</v>
          </cell>
          <cell r="AV399" t="str">
            <v>Aged care</v>
          </cell>
          <cell r="AY399">
            <v>2018</v>
          </cell>
          <cell r="BH399" t="str">
            <v>2020-12-31</v>
          </cell>
          <cell r="BI399">
            <v>100205963.54000001</v>
          </cell>
          <cell r="BJ399">
            <v>100205963.54000001</v>
          </cell>
          <cell r="BK399">
            <v>56208945.979999997</v>
          </cell>
          <cell r="BL399">
            <v>56208945.979999997</v>
          </cell>
          <cell r="BM399">
            <v>49.2</v>
          </cell>
          <cell r="BN399" t="str">
            <v>No</v>
          </cell>
          <cell r="BO399" t="str">
            <v>External</v>
          </cell>
          <cell r="BP399">
            <v>30</v>
          </cell>
          <cell r="BQ399">
            <v>6</v>
          </cell>
          <cell r="BR399">
            <v>279000000</v>
          </cell>
          <cell r="BS399">
            <v>279000000</v>
          </cell>
          <cell r="BT399">
            <v>56205047.939999998</v>
          </cell>
          <cell r="BU399">
            <v>56205047.939999998</v>
          </cell>
          <cell r="BV399" t="str">
            <v>Yes</v>
          </cell>
          <cell r="BW399" t="str">
            <v>Germany</v>
          </cell>
          <cell r="BX399" t="str">
            <v>Health Care</v>
          </cell>
          <cell r="BY399">
            <v>100</v>
          </cell>
        </row>
        <row r="400">
          <cell r="A400">
            <v>572</v>
          </cell>
          <cell r="B400" t="str">
            <v>PATRIZIA TRANSEUROPEAN PROPERTY LIMITED PARTNERSHIP V</v>
          </cell>
          <cell r="C400" t="str">
            <v>ROCKSPRING PROPERTY INVESTMENT MANAGERS LLP</v>
          </cell>
          <cell r="D400" t="str">
            <v>166 Sloane Street</v>
          </cell>
          <cell r="E400" t="str">
            <v>SW1X 9QF</v>
          </cell>
          <cell r="F400" t="str">
            <v>London</v>
          </cell>
          <cell r="G400" t="str">
            <v>United Kingdom</v>
          </cell>
          <cell r="H400" t="str">
            <v>+4420 77613300</v>
          </cell>
          <cell r="I400" t="str">
            <v>+44202 77613400</v>
          </cell>
          <cell r="J400" t="str">
            <v>http://www.rockspringpim.com</v>
          </cell>
          <cell r="K400" t="str">
            <v>Charles-Nicolas Tarriere</v>
          </cell>
          <cell r="L400" t="str">
            <v>charles.tarriere@rockspringpim.com</v>
          </cell>
          <cell r="M400" t="str">
            <v>+44 2077613300</v>
          </cell>
          <cell r="N400" t="str">
            <v>Kathryn Dixon</v>
          </cell>
          <cell r="O400" t="str">
            <v>kathryn.dixon@rockspringpim.com</v>
          </cell>
          <cell r="P400" t="str">
            <v>+44202 77613400</v>
          </cell>
          <cell r="Q400" t="str">
            <v>United Kingdom</v>
          </cell>
          <cell r="R400" t="str">
            <v>EUR</v>
          </cell>
          <cell r="S400" t="str">
            <v>Local GAAP</v>
          </cell>
          <cell r="T400" t="str">
            <v>Quarterly</v>
          </cell>
          <cell r="U400" t="str">
            <v>Quarterly</v>
          </cell>
          <cell r="V400" t="str">
            <v>RICS</v>
          </cell>
          <cell r="X400" t="str">
            <v>Deloitte</v>
          </cell>
          <cell r="Y400" t="str">
            <v>Limited Partnership</v>
          </cell>
          <cell r="AA400" t="str">
            <v>Yes</v>
          </cell>
          <cell r="AB400">
            <v>2</v>
          </cell>
          <cell r="AC400" t="str">
            <v>Non-Listed Fund</v>
          </cell>
          <cell r="AD400" t="str">
            <v>Value-added</v>
          </cell>
          <cell r="AE400" t="str">
            <v>finite</v>
          </cell>
          <cell r="AF400" t="str">
            <v>Closed end</v>
          </cell>
          <cell r="AG400">
            <v>10</v>
          </cell>
          <cell r="AH400">
            <v>10</v>
          </cell>
          <cell r="AK400">
            <v>5.5</v>
          </cell>
          <cell r="AL400">
            <v>50</v>
          </cell>
          <cell r="AM400" t="str">
            <v>&gt; 40% - ≤ 60%</v>
          </cell>
          <cell r="AN400" t="str">
            <v>Institutional</v>
          </cell>
          <cell r="AO400" t="str">
            <v>&gt; 2</v>
          </cell>
          <cell r="AP400" t="str">
            <v>≥ 50%</v>
          </cell>
          <cell r="AQ400" t="str">
            <v>Europe</v>
          </cell>
          <cell r="AR400" t="str">
            <v>multi country</v>
          </cell>
          <cell r="AS400" t="str">
            <v>Europe</v>
          </cell>
          <cell r="AU400" t="str">
            <v>multi sector</v>
          </cell>
          <cell r="AW400">
            <v>350000000</v>
          </cell>
          <cell r="AX400">
            <v>700000000</v>
          </cell>
          <cell r="AY400">
            <v>2012</v>
          </cell>
          <cell r="AZ400">
            <v>2020</v>
          </cell>
          <cell r="BA400" t="str">
            <v>Yes</v>
          </cell>
          <cell r="BB400" t="str">
            <v>Yes</v>
          </cell>
          <cell r="BC400" t="str">
            <v>1+1 years</v>
          </cell>
          <cell r="BF400" t="str">
            <v>&gt; 15% - ≤ 40%</v>
          </cell>
          <cell r="BG400" t="str">
            <v>&gt; 5 - ≤ 25%</v>
          </cell>
          <cell r="BH400" t="str">
            <v>2020-12-31</v>
          </cell>
          <cell r="BI400">
            <v>47802884</v>
          </cell>
          <cell r="BJ400">
            <v>47802884</v>
          </cell>
          <cell r="BK400">
            <v>20326476</v>
          </cell>
          <cell r="BL400">
            <v>20326476</v>
          </cell>
          <cell r="BM400">
            <v>0</v>
          </cell>
          <cell r="BN400" t="str">
            <v>No</v>
          </cell>
          <cell r="BO400" t="str">
            <v>External</v>
          </cell>
          <cell r="BP400">
            <v>14</v>
          </cell>
          <cell r="BQ400">
            <v>1</v>
          </cell>
          <cell r="BR400">
            <v>352750000</v>
          </cell>
          <cell r="BS400">
            <v>352750000</v>
          </cell>
          <cell r="BT400">
            <v>352750000</v>
          </cell>
          <cell r="BU400">
            <v>352750000</v>
          </cell>
          <cell r="BV400" t="str">
            <v>No</v>
          </cell>
          <cell r="BW400" t="str">
            <v>Switzerland</v>
          </cell>
          <cell r="BX400" t="str">
            <v>Office</v>
          </cell>
          <cell r="BY400">
            <v>66.900000000000006</v>
          </cell>
        </row>
        <row r="401">
          <cell r="A401">
            <v>17670</v>
          </cell>
          <cell r="B401" t="str">
            <v>PATRIZIA TRANSEUROPEAN VI PLP</v>
          </cell>
          <cell r="C401" t="str">
            <v>ROCKSPRING PROPERTY INVESTMENT MANAGERS</v>
          </cell>
          <cell r="D401" t="str">
            <v>166 Sloane Street</v>
          </cell>
          <cell r="E401" t="str">
            <v>SW1X 9QF</v>
          </cell>
          <cell r="F401" t="str">
            <v>London</v>
          </cell>
          <cell r="G401" t="str">
            <v>United Kingdom</v>
          </cell>
          <cell r="H401" t="str">
            <v>+44 207 7613300</v>
          </cell>
          <cell r="I401" t="str">
            <v>+44 207 7613400</v>
          </cell>
          <cell r="J401" t="str">
            <v>http://www.rockspringpim.com/</v>
          </cell>
          <cell r="K401" t="str">
            <v>Charles-Nicolas Tarriere</v>
          </cell>
          <cell r="L401" t="str">
            <v>charles.tarriere@rockspringpim.com</v>
          </cell>
          <cell r="M401" t="str">
            <v>+44 207 7613300</v>
          </cell>
          <cell r="N401" t="str">
            <v>Kathryn Dixon</v>
          </cell>
          <cell r="O401" t="str">
            <v>kathryn.dixon@rockspringpim.com</v>
          </cell>
          <cell r="P401" t="str">
            <v>+44 207 7613300</v>
          </cell>
          <cell r="Q401" t="str">
            <v>United Kingdom</v>
          </cell>
          <cell r="R401" t="str">
            <v>EUR</v>
          </cell>
          <cell r="S401" t="str">
            <v>IFRS</v>
          </cell>
          <cell r="T401" t="str">
            <v>Quarterly</v>
          </cell>
          <cell r="U401" t="str">
            <v>Quarterly</v>
          </cell>
          <cell r="V401" t="str">
            <v>RICS</v>
          </cell>
          <cell r="X401" t="str">
            <v>PWC</v>
          </cell>
          <cell r="Y401" t="str">
            <v>Limited Partnership</v>
          </cell>
          <cell r="Z401" t="str">
            <v>Yes</v>
          </cell>
          <cell r="AA401" t="str">
            <v>Yes</v>
          </cell>
          <cell r="AB401">
            <v>2</v>
          </cell>
          <cell r="AC401" t="str">
            <v>Non-Listed Fund</v>
          </cell>
          <cell r="AD401" t="str">
            <v>Value-added</v>
          </cell>
          <cell r="AE401" t="str">
            <v>finite</v>
          </cell>
          <cell r="AF401" t="str">
            <v>Closed end</v>
          </cell>
          <cell r="AG401">
            <v>12</v>
          </cell>
          <cell r="AH401">
            <v>12</v>
          </cell>
          <cell r="AK401">
            <v>5.5</v>
          </cell>
          <cell r="AL401">
            <v>5.5</v>
          </cell>
          <cell r="AM401" t="str">
            <v>&gt; 40% - ≤ 60%</v>
          </cell>
          <cell r="AN401" t="str">
            <v>Institutional</v>
          </cell>
          <cell r="AO401" t="str">
            <v>&gt; 2</v>
          </cell>
          <cell r="AP401" t="str">
            <v>≥ 50%</v>
          </cell>
          <cell r="AQ401" t="str">
            <v>Europe</v>
          </cell>
          <cell r="AR401" t="str">
            <v>multi country</v>
          </cell>
          <cell r="AS401" t="str">
            <v>Western Europe</v>
          </cell>
          <cell r="AU401" t="str">
            <v>multi sector</v>
          </cell>
          <cell r="AW401">
            <v>400000000</v>
          </cell>
          <cell r="AX401">
            <v>800000000</v>
          </cell>
          <cell r="AY401">
            <v>2016</v>
          </cell>
          <cell r="AZ401">
            <v>2024</v>
          </cell>
          <cell r="BA401" t="str">
            <v>Yes</v>
          </cell>
          <cell r="BB401" t="str">
            <v>Yes</v>
          </cell>
          <cell r="BC401" t="str">
            <v>1+1 years</v>
          </cell>
          <cell r="BF401" t="str">
            <v>&gt; 15% - ≤ 40%</v>
          </cell>
          <cell r="BG401" t="str">
            <v>&gt; 5 - ≤ 25%</v>
          </cell>
          <cell r="BH401" t="str">
            <v>2020-12-31</v>
          </cell>
          <cell r="BI401">
            <v>766285482</v>
          </cell>
          <cell r="BJ401">
            <v>766285482</v>
          </cell>
          <cell r="BK401">
            <v>451321912</v>
          </cell>
          <cell r="BL401">
            <v>451321912</v>
          </cell>
          <cell r="BM401">
            <v>38.35</v>
          </cell>
          <cell r="BN401" t="str">
            <v>No</v>
          </cell>
          <cell r="BO401" t="str">
            <v>External</v>
          </cell>
          <cell r="BP401">
            <v>12</v>
          </cell>
          <cell r="BQ401">
            <v>10</v>
          </cell>
          <cell r="BR401">
            <v>429250000</v>
          </cell>
          <cell r="BS401">
            <v>429250000</v>
          </cell>
          <cell r="BT401">
            <v>429250000</v>
          </cell>
          <cell r="BU401">
            <v>429250000</v>
          </cell>
          <cell r="BV401" t="str">
            <v>No</v>
          </cell>
          <cell r="BW401" t="str">
            <v>France</v>
          </cell>
          <cell r="BX401" t="str">
            <v>Industrial / Logistics</v>
          </cell>
          <cell r="BY401">
            <v>1</v>
          </cell>
          <cell r="BZ401" t="str">
            <v>France</v>
          </cell>
          <cell r="CA401" t="str">
            <v>Retail</v>
          </cell>
          <cell r="CB401">
            <v>5.0999999999999996</v>
          </cell>
          <cell r="CC401" t="str">
            <v>Germany</v>
          </cell>
          <cell r="CD401" t="str">
            <v>Office</v>
          </cell>
          <cell r="CE401">
            <v>19.2</v>
          </cell>
          <cell r="CF401" t="str">
            <v>Germany</v>
          </cell>
          <cell r="CG401" t="str">
            <v>Retail</v>
          </cell>
          <cell r="CH401">
            <v>15.6</v>
          </cell>
          <cell r="CI401" t="str">
            <v>Portugal</v>
          </cell>
          <cell r="CJ401" t="str">
            <v>Office</v>
          </cell>
          <cell r="CK401">
            <v>5.0999999999999996</v>
          </cell>
          <cell r="CL401" t="str">
            <v>Spain</v>
          </cell>
          <cell r="CM401" t="str">
            <v>Other</v>
          </cell>
          <cell r="CN401">
            <v>3.5</v>
          </cell>
          <cell r="CO401" t="str">
            <v>Switzerland</v>
          </cell>
          <cell r="CP401" t="str">
            <v>Office</v>
          </cell>
          <cell r="CQ401">
            <v>22.6</v>
          </cell>
          <cell r="CR401" t="str">
            <v>United Kingdom</v>
          </cell>
          <cell r="CS401" t="str">
            <v>Office</v>
          </cell>
          <cell r="CT401">
            <v>10.9</v>
          </cell>
          <cell r="CU401" t="str">
            <v>United Kingdom</v>
          </cell>
          <cell r="CV401" t="str">
            <v>Residential</v>
          </cell>
          <cell r="CW401">
            <v>7.4</v>
          </cell>
        </row>
        <row r="402">
          <cell r="A402">
            <v>17669</v>
          </cell>
          <cell r="B402" t="str">
            <v>PATRIZIA UK VALUE 2 LP</v>
          </cell>
          <cell r="C402" t="str">
            <v>ROCKSPRING PROPERTY INVESTMENT MANAGERS LLP</v>
          </cell>
          <cell r="D402" t="str">
            <v>166 Sloane Street</v>
          </cell>
          <cell r="E402" t="str">
            <v>SW1X 9QF</v>
          </cell>
          <cell r="F402" t="str">
            <v>London</v>
          </cell>
          <cell r="G402" t="str">
            <v>United Kingdom</v>
          </cell>
          <cell r="H402" t="str">
            <v>+44 207 7613300</v>
          </cell>
          <cell r="I402" t="str">
            <v>+44 207 761 3400</v>
          </cell>
          <cell r="J402" t="str">
            <v>http://www.rockspringpim.com/</v>
          </cell>
          <cell r="K402" t="str">
            <v>Richard Bains</v>
          </cell>
          <cell r="L402" t="str">
            <v>richard.bains@rockspringpim.com</v>
          </cell>
          <cell r="M402" t="str">
            <v>+44 207 7613300</v>
          </cell>
          <cell r="N402" t="str">
            <v>Kathryn Dixon</v>
          </cell>
          <cell r="O402" t="str">
            <v>kathryn.dixon@rockspringpim.com</v>
          </cell>
          <cell r="P402" t="str">
            <v>+44 207 7613300</v>
          </cell>
          <cell r="Q402" t="str">
            <v>United Kingdom</v>
          </cell>
          <cell r="R402" t="str">
            <v>GBP</v>
          </cell>
          <cell r="S402" t="str">
            <v>IFRS</v>
          </cell>
          <cell r="T402" t="str">
            <v>Quarterly</v>
          </cell>
          <cell r="U402" t="str">
            <v>Quarterly</v>
          </cell>
          <cell r="V402" t="str">
            <v>RICS</v>
          </cell>
          <cell r="X402" t="str">
            <v>Deloitte</v>
          </cell>
          <cell r="Y402" t="str">
            <v>Limited Partnership</v>
          </cell>
          <cell r="Z402" t="str">
            <v>No</v>
          </cell>
          <cell r="AC402" t="str">
            <v>Non-Listed Fund</v>
          </cell>
          <cell r="AD402" t="str">
            <v>Value-added</v>
          </cell>
          <cell r="AE402" t="str">
            <v>finite</v>
          </cell>
          <cell r="AF402" t="str">
            <v>Closed end</v>
          </cell>
          <cell r="AG402">
            <v>11</v>
          </cell>
          <cell r="AI402" t="str">
            <v>Net</v>
          </cell>
          <cell r="AK402">
            <v>7</v>
          </cell>
          <cell r="AL402">
            <v>50</v>
          </cell>
          <cell r="AM402" t="str">
            <v>&gt; 40% - ≤ 60%</v>
          </cell>
          <cell r="AN402" t="str">
            <v>Institutional</v>
          </cell>
          <cell r="AO402" t="str">
            <v>&gt; 2</v>
          </cell>
          <cell r="AP402" t="str">
            <v>≥ 50%</v>
          </cell>
          <cell r="AQ402" t="str">
            <v>Europe</v>
          </cell>
          <cell r="AR402" t="str">
            <v>single country</v>
          </cell>
          <cell r="AT402" t="str">
            <v>United Kingdom</v>
          </cell>
          <cell r="AU402" t="str">
            <v>multi sector</v>
          </cell>
          <cell r="AW402">
            <v>342000000</v>
          </cell>
          <cell r="AX402">
            <v>684000000</v>
          </cell>
          <cell r="AY402">
            <v>2014</v>
          </cell>
          <cell r="AZ402">
            <v>2021</v>
          </cell>
          <cell r="BA402" t="str">
            <v>Yes</v>
          </cell>
          <cell r="BH402" t="str">
            <v>2020-12-31</v>
          </cell>
          <cell r="BI402">
            <v>283482171</v>
          </cell>
          <cell r="BJ402">
            <v>313403457.59768522</v>
          </cell>
          <cell r="BK402">
            <v>161863635</v>
          </cell>
          <cell r="BL402">
            <v>178948195.18766031</v>
          </cell>
          <cell r="BM402">
            <v>37.64</v>
          </cell>
          <cell r="BN402" t="str">
            <v>No</v>
          </cell>
          <cell r="BO402" t="str">
            <v>External</v>
          </cell>
          <cell r="BP402">
            <v>15</v>
          </cell>
          <cell r="BQ402">
            <v>22</v>
          </cell>
          <cell r="BR402">
            <v>342000000</v>
          </cell>
          <cell r="BS402">
            <v>375500444.84820002</v>
          </cell>
          <cell r="BT402">
            <v>327374367</v>
          </cell>
          <cell r="BU402">
            <v>359442165.0304032</v>
          </cell>
          <cell r="BV402" t="str">
            <v>No</v>
          </cell>
          <cell r="BW402" t="str">
            <v>United Kingdom</v>
          </cell>
          <cell r="BX402" t="str">
            <v>Office</v>
          </cell>
          <cell r="BY402">
            <v>8.6</v>
          </cell>
          <cell r="BZ402" t="str">
            <v>United Kingdom</v>
          </cell>
          <cell r="CA402" t="str">
            <v>Retail</v>
          </cell>
          <cell r="CB402">
            <v>41.8</v>
          </cell>
          <cell r="CC402" t="str">
            <v>United Kingdom</v>
          </cell>
          <cell r="CD402" t="str">
            <v>Industrial / Logistics</v>
          </cell>
          <cell r="CE402">
            <v>36.6</v>
          </cell>
          <cell r="CF402" t="str">
            <v>United Kingdom</v>
          </cell>
          <cell r="CG402" t="str">
            <v>Other</v>
          </cell>
          <cell r="CH402">
            <v>2.8</v>
          </cell>
        </row>
        <row r="403">
          <cell r="A403">
            <v>18636</v>
          </cell>
          <cell r="B403" t="str">
            <v>PATRIZIA WOHN-INVEST EUROPA I</v>
          </cell>
          <cell r="C403" t="str">
            <v>PATRIZIA AUGSBURG KVG MBH</v>
          </cell>
          <cell r="D403" t="str">
            <v>Fuggerstr. 26</v>
          </cell>
          <cell r="E403">
            <v>86150</v>
          </cell>
          <cell r="F403" t="str">
            <v>Augsburg</v>
          </cell>
          <cell r="G403" t="str">
            <v>Germany</v>
          </cell>
          <cell r="Q403" t="str">
            <v>Germany</v>
          </cell>
          <cell r="R403" t="str">
            <v>EUR</v>
          </cell>
          <cell r="T403" t="str">
            <v>Monthly</v>
          </cell>
          <cell r="U403" t="str">
            <v>Annually</v>
          </cell>
          <cell r="V403" t="str">
            <v>ImmoWertV</v>
          </cell>
          <cell r="W403" t="str">
            <v>KAGB</v>
          </cell>
          <cell r="Y403" t="str">
            <v>Spezialfonds</v>
          </cell>
          <cell r="Z403" t="str">
            <v>No</v>
          </cell>
          <cell r="AC403" t="str">
            <v>Non-Listed Fund</v>
          </cell>
          <cell r="AD403" t="str">
            <v>Core</v>
          </cell>
          <cell r="AE403" t="str">
            <v>infinite</v>
          </cell>
          <cell r="AF403" t="str">
            <v>Open end</v>
          </cell>
          <cell r="AN403" t="str">
            <v>Institutional</v>
          </cell>
          <cell r="AO403" t="str">
            <v>&gt; 2</v>
          </cell>
          <cell r="AP403" t="str">
            <v>≥ 50%</v>
          </cell>
          <cell r="AQ403" t="str">
            <v>Europe</v>
          </cell>
          <cell r="AR403" t="str">
            <v>multi country</v>
          </cell>
          <cell r="AS403" t="str">
            <v>Europe</v>
          </cell>
          <cell r="AU403" t="str">
            <v>single sector</v>
          </cell>
          <cell r="AV403" t="str">
            <v>Residential</v>
          </cell>
          <cell r="AY403">
            <v>2018</v>
          </cell>
          <cell r="BH403" t="str">
            <v>2020-12-31</v>
          </cell>
          <cell r="BI403">
            <v>159238537</v>
          </cell>
          <cell r="BJ403">
            <v>159238537</v>
          </cell>
          <cell r="BK403">
            <v>157186520</v>
          </cell>
          <cell r="BL403">
            <v>157186520</v>
          </cell>
          <cell r="BM403">
            <v>46.65</v>
          </cell>
          <cell r="BN403" t="str">
            <v>No</v>
          </cell>
          <cell r="BO403" t="str">
            <v>External</v>
          </cell>
          <cell r="BP403">
            <v>39</v>
          </cell>
          <cell r="BQ403">
            <v>8</v>
          </cell>
          <cell r="BR403">
            <v>300000000</v>
          </cell>
          <cell r="BS403">
            <v>300000000</v>
          </cell>
          <cell r="BT403">
            <v>145249643.88</v>
          </cell>
          <cell r="BU403">
            <v>145249643.88</v>
          </cell>
          <cell r="BV403" t="str">
            <v>No</v>
          </cell>
          <cell r="BW403" t="str">
            <v>Ireland</v>
          </cell>
          <cell r="BX403" t="str">
            <v>Residential</v>
          </cell>
          <cell r="BY403">
            <v>31.04</v>
          </cell>
          <cell r="BZ403" t="str">
            <v>Denmark</v>
          </cell>
          <cell r="CA403" t="str">
            <v>Residential</v>
          </cell>
          <cell r="CB403">
            <v>36.47</v>
          </cell>
          <cell r="CC403" t="str">
            <v>Netherlands</v>
          </cell>
          <cell r="CD403" t="str">
            <v>Residential</v>
          </cell>
          <cell r="CE403">
            <v>32.49</v>
          </cell>
        </row>
        <row r="404">
          <cell r="A404">
            <v>358</v>
          </cell>
          <cell r="B404" t="str">
            <v>PATRON CAPITAL L.P. III</v>
          </cell>
          <cell r="C404" t="str">
            <v>PATRON CAPITAL LTD</v>
          </cell>
          <cell r="D404" t="str">
            <v>7 Hanover Square</v>
          </cell>
          <cell r="E404" t="str">
            <v>W1K 3NB</v>
          </cell>
          <cell r="F404" t="str">
            <v>London</v>
          </cell>
          <cell r="G404" t="str">
            <v>United Kingdom</v>
          </cell>
          <cell r="H404" t="str">
            <v>+44 (0) 20 7629 9417</v>
          </cell>
          <cell r="I404" t="str">
            <v>+44 (0) 20 7629 9418</v>
          </cell>
          <cell r="J404" t="str">
            <v>http://www.patroncapital.com</v>
          </cell>
          <cell r="K404" t="str">
            <v>Shane Law</v>
          </cell>
          <cell r="L404" t="str">
            <v>shane@patroncapital.com</v>
          </cell>
          <cell r="M404" t="str">
            <v>+44 (0) 20 7629 9417</v>
          </cell>
          <cell r="N404" t="str">
            <v>Keith Breslauer</v>
          </cell>
          <cell r="O404" t="str">
            <v>keith@patroncapital.com</v>
          </cell>
          <cell r="P404" t="str">
            <v>+44 (0) 20 7629 9417</v>
          </cell>
          <cell r="Q404" t="str">
            <v>Luxembourg</v>
          </cell>
          <cell r="R404" t="str">
            <v>EUR</v>
          </cell>
          <cell r="T404" t="str">
            <v>Quarterly</v>
          </cell>
          <cell r="U404" t="str">
            <v>Quarterly</v>
          </cell>
          <cell r="X404" t="str">
            <v>Baker Tilly</v>
          </cell>
          <cell r="Y404" t="str">
            <v>Limited Partnership</v>
          </cell>
          <cell r="Z404" t="str">
            <v>No</v>
          </cell>
          <cell r="AB404">
            <v>0</v>
          </cell>
          <cell r="AC404" t="str">
            <v>Non-Listed Fund</v>
          </cell>
          <cell r="AD404" t="str">
            <v>Opportunity</v>
          </cell>
          <cell r="AE404" t="str">
            <v>finite</v>
          </cell>
          <cell r="AF404" t="str">
            <v>Closed end</v>
          </cell>
          <cell r="AG404">
            <v>20</v>
          </cell>
          <cell r="AH404">
            <v>20</v>
          </cell>
          <cell r="AJ404" t="str">
            <v>None</v>
          </cell>
          <cell r="AL404">
            <v>75</v>
          </cell>
          <cell r="AM404" t="str">
            <v>&gt; 60%</v>
          </cell>
          <cell r="AN404" t="str">
            <v>Institutional</v>
          </cell>
          <cell r="AP404" t="str">
            <v>≥ 50%</v>
          </cell>
          <cell r="AQ404" t="str">
            <v>Europe</v>
          </cell>
          <cell r="AR404" t="str">
            <v>multi country</v>
          </cell>
          <cell r="AS404" t="str">
            <v>Europe</v>
          </cell>
          <cell r="AU404" t="str">
            <v>multi sector</v>
          </cell>
          <cell r="AW404">
            <v>906080000</v>
          </cell>
          <cell r="AX404">
            <v>3624320000</v>
          </cell>
          <cell r="AY404">
            <v>2007</v>
          </cell>
          <cell r="AZ404">
            <v>2017</v>
          </cell>
          <cell r="BA404" t="str">
            <v>Yes</v>
          </cell>
          <cell r="BH404" t="str">
            <v>2009-09-30</v>
          </cell>
          <cell r="BJ404">
            <v>0</v>
          </cell>
          <cell r="BL404">
            <v>0</v>
          </cell>
          <cell r="BM404">
            <v>75</v>
          </cell>
          <cell r="BP404">
            <v>93</v>
          </cell>
          <cell r="BQ404">
            <v>57</v>
          </cell>
          <cell r="BR404">
            <v>410400000</v>
          </cell>
          <cell r="BS404">
            <v>410400000</v>
          </cell>
          <cell r="BU404">
            <v>0</v>
          </cell>
          <cell r="BV404" t="str">
            <v>No</v>
          </cell>
        </row>
        <row r="405">
          <cell r="A405">
            <v>360</v>
          </cell>
          <cell r="B405" t="str">
            <v>PATRON CAPITAL PARTNERS LP II</v>
          </cell>
          <cell r="C405" t="str">
            <v>PATRON CAPITAL</v>
          </cell>
          <cell r="D405" t="str">
            <v>7 Hanover Square</v>
          </cell>
          <cell r="E405" t="str">
            <v>W1K 3NB</v>
          </cell>
          <cell r="F405" t="str">
            <v>London</v>
          </cell>
          <cell r="G405" t="str">
            <v>United Kingdom</v>
          </cell>
          <cell r="H405" t="str">
            <v>+44 (0) 20 7629 9417</v>
          </cell>
          <cell r="I405" t="str">
            <v>+44 (0) 20 7629 9418</v>
          </cell>
          <cell r="J405" t="str">
            <v>http://www.patroncapital.com</v>
          </cell>
          <cell r="K405" t="str">
            <v>Shane Law</v>
          </cell>
          <cell r="L405" t="str">
            <v>shane@patroncapital.com</v>
          </cell>
          <cell r="M405" t="str">
            <v>+44 (0) 20 7629 9417</v>
          </cell>
          <cell r="N405" t="str">
            <v>Keith Breslauer</v>
          </cell>
          <cell r="O405" t="str">
            <v>keith@patroncapital.com</v>
          </cell>
          <cell r="P405" t="str">
            <v>+44 (0) 20 7629 9417</v>
          </cell>
          <cell r="Q405" t="str">
            <v>United Kingdom</v>
          </cell>
          <cell r="R405" t="str">
            <v>EUR</v>
          </cell>
          <cell r="T405" t="str">
            <v>Quarterly</v>
          </cell>
          <cell r="U405" t="str">
            <v>Quarterly</v>
          </cell>
          <cell r="X405" t="str">
            <v>Baker Tilly</v>
          </cell>
          <cell r="Y405" t="str">
            <v>Limited Partnership</v>
          </cell>
          <cell r="AB405">
            <v>0</v>
          </cell>
          <cell r="AC405" t="str">
            <v>Non-Listed Fund</v>
          </cell>
          <cell r="AD405" t="str">
            <v>Opportunity</v>
          </cell>
          <cell r="AE405" t="str">
            <v>finite</v>
          </cell>
          <cell r="AF405" t="str">
            <v>Closed end</v>
          </cell>
          <cell r="AG405">
            <v>20</v>
          </cell>
          <cell r="AH405">
            <v>20</v>
          </cell>
          <cell r="AJ405" t="str">
            <v>None</v>
          </cell>
          <cell r="AL405">
            <v>75</v>
          </cell>
          <cell r="AM405" t="str">
            <v>&gt; 60%</v>
          </cell>
          <cell r="AN405" t="str">
            <v>Institutional</v>
          </cell>
          <cell r="AO405" t="str">
            <v>&gt; 2</v>
          </cell>
          <cell r="AP405" t="str">
            <v>≥ 50%</v>
          </cell>
          <cell r="AQ405" t="str">
            <v>Europe</v>
          </cell>
          <cell r="AR405" t="str">
            <v>multi country</v>
          </cell>
          <cell r="AS405" t="str">
            <v>Europe</v>
          </cell>
          <cell r="AU405" t="str">
            <v>multi sector</v>
          </cell>
          <cell r="AW405">
            <v>348600000</v>
          </cell>
          <cell r="AX405">
            <v>1394400000</v>
          </cell>
          <cell r="AY405">
            <v>2004</v>
          </cell>
          <cell r="AZ405">
            <v>2011</v>
          </cell>
          <cell r="BA405" t="str">
            <v>Yes</v>
          </cell>
          <cell r="BH405" t="str">
            <v>2009-09-30</v>
          </cell>
          <cell r="BI405">
            <v>389280000</v>
          </cell>
          <cell r="BJ405">
            <v>389280000</v>
          </cell>
          <cell r="BK405">
            <v>312070000</v>
          </cell>
          <cell r="BL405">
            <v>312070000</v>
          </cell>
          <cell r="BM405">
            <v>75</v>
          </cell>
          <cell r="BP405">
            <v>45</v>
          </cell>
          <cell r="BR405">
            <v>348600000</v>
          </cell>
          <cell r="BS405">
            <v>348600000</v>
          </cell>
          <cell r="BU405">
            <v>0</v>
          </cell>
          <cell r="BV405" t="str">
            <v>No</v>
          </cell>
        </row>
        <row r="406">
          <cell r="A406">
            <v>582</v>
          </cell>
          <cell r="B406" t="str">
            <v>PBW I</v>
          </cell>
          <cell r="G406" t="str">
            <v>Netherlands</v>
          </cell>
          <cell r="Q406" t="str">
            <v>Netherlands</v>
          </cell>
          <cell r="R406" t="str">
            <v>EUR</v>
          </cell>
          <cell r="S406" t="str">
            <v>IFRS</v>
          </cell>
          <cell r="T406" t="str">
            <v>Quarterly</v>
          </cell>
          <cell r="U406" t="str">
            <v>Twice per year</v>
          </cell>
          <cell r="V406" t="str">
            <v>RICS</v>
          </cell>
          <cell r="W406" t="str">
            <v>INREV NAV</v>
          </cell>
          <cell r="X406" t="str">
            <v>Mazars</v>
          </cell>
          <cell r="Y406" t="str">
            <v>Real Estate company</v>
          </cell>
          <cell r="AB406">
            <v>0</v>
          </cell>
          <cell r="AC406" t="str">
            <v>Non-Listed Fund</v>
          </cell>
          <cell r="AD406" t="str">
            <v>Core</v>
          </cell>
          <cell r="AE406" t="str">
            <v>finite</v>
          </cell>
          <cell r="AF406" t="str">
            <v>Closed end</v>
          </cell>
          <cell r="AG406">
            <v>12.39</v>
          </cell>
          <cell r="AH406">
            <v>12.39</v>
          </cell>
          <cell r="AI406" t="str">
            <v>Net</v>
          </cell>
          <cell r="AK406">
            <v>0.24030000000000001</v>
          </cell>
          <cell r="AM406" t="str">
            <v>&gt; 40% - ≤ 60%</v>
          </cell>
          <cell r="AN406" t="str">
            <v>Institutional</v>
          </cell>
          <cell r="AO406" t="str">
            <v>&gt; 2</v>
          </cell>
          <cell r="AP406" t="str">
            <v>≥ 50%</v>
          </cell>
          <cell r="AQ406" t="str">
            <v>Europe</v>
          </cell>
          <cell r="AR406" t="str">
            <v>multi country</v>
          </cell>
          <cell r="AS406" t="str">
            <v>Central and Eastern Europe(CEE)</v>
          </cell>
          <cell r="AU406" t="str">
            <v>multi sector</v>
          </cell>
          <cell r="AW406">
            <v>240000000</v>
          </cell>
          <cell r="AX406">
            <v>480000000</v>
          </cell>
          <cell r="AY406">
            <v>2002</v>
          </cell>
          <cell r="BH406" t="str">
            <v>2020-09-30</v>
          </cell>
          <cell r="BI406">
            <v>389210455.80000001</v>
          </cell>
          <cell r="BJ406">
            <v>389210455.80000001</v>
          </cell>
          <cell r="BK406">
            <v>166629553.40000001</v>
          </cell>
          <cell r="BL406">
            <v>166629553.40000001</v>
          </cell>
          <cell r="BM406">
            <v>50</v>
          </cell>
          <cell r="BN406" t="str">
            <v>No</v>
          </cell>
          <cell r="BO406" t="str">
            <v>External</v>
          </cell>
          <cell r="BP406">
            <v>1</v>
          </cell>
          <cell r="BQ406">
            <v>4</v>
          </cell>
          <cell r="BR406">
            <v>250000000</v>
          </cell>
          <cell r="BS406">
            <v>250000000</v>
          </cell>
          <cell r="BT406">
            <v>250000000</v>
          </cell>
          <cell r="BU406">
            <v>250000000</v>
          </cell>
          <cell r="BV406" t="str">
            <v>No</v>
          </cell>
          <cell r="BW406" t="str">
            <v>Poland</v>
          </cell>
          <cell r="BX406" t="str">
            <v>Office</v>
          </cell>
          <cell r="BY406">
            <v>2</v>
          </cell>
          <cell r="BZ406" t="str">
            <v>Poland</v>
          </cell>
          <cell r="CA406" t="str">
            <v>Retail</v>
          </cell>
          <cell r="CB406">
            <v>57</v>
          </cell>
          <cell r="CC406" t="str">
            <v>Czech Republic</v>
          </cell>
          <cell r="CD406" t="str">
            <v>Retail</v>
          </cell>
          <cell r="CE406">
            <v>41</v>
          </cell>
        </row>
        <row r="407">
          <cell r="A407">
            <v>361</v>
          </cell>
          <cell r="B407" t="str">
            <v>PBW II REAL ESTATE FUND</v>
          </cell>
          <cell r="C407" t="str">
            <v>AEW EUROPE</v>
          </cell>
          <cell r="D407" t="str">
            <v>5 allee Scheffer</v>
          </cell>
          <cell r="E407" t="str">
            <v>L 2520</v>
          </cell>
          <cell r="F407" t="str">
            <v>Luxembourg</v>
          </cell>
          <cell r="G407" t="str">
            <v>Luxembourg</v>
          </cell>
          <cell r="H407" t="str">
            <v>+353 (0) 47 67 51 21</v>
          </cell>
          <cell r="I407" t="str">
            <v>+352 47 67 51 19</v>
          </cell>
          <cell r="J407" t="str">
            <v>http://www.aeweurope.com</v>
          </cell>
          <cell r="K407" t="str">
            <v>Sebastien Cappigny-Jankowski</v>
          </cell>
          <cell r="L407" t="str">
            <v>ebastien.cppigny-jankowski@aeweurope.com</v>
          </cell>
          <cell r="M407" t="str">
            <v>+333178409368</v>
          </cell>
          <cell r="N407" t="str">
            <v>Sebastien Cappigny-Jankowski</v>
          </cell>
          <cell r="O407" t="str">
            <v>sebastien.cppigny-jankowski@aeweurope.com</v>
          </cell>
          <cell r="P407" t="str">
            <v>+333178409368</v>
          </cell>
          <cell r="Q407" t="str">
            <v>Luxembourg</v>
          </cell>
          <cell r="R407" t="str">
            <v>EUR</v>
          </cell>
          <cell r="S407" t="str">
            <v>IFRS</v>
          </cell>
          <cell r="T407" t="str">
            <v>Quarterly</v>
          </cell>
          <cell r="U407" t="str">
            <v>Twice per year</v>
          </cell>
          <cell r="V407" t="str">
            <v>RICS</v>
          </cell>
          <cell r="W407" t="str">
            <v>INREV NAV</v>
          </cell>
          <cell r="X407" t="str">
            <v>Mazars</v>
          </cell>
          <cell r="Y407" t="str">
            <v>S.A. (SOPAFRI)</v>
          </cell>
          <cell r="Z407" t="str">
            <v>Yes</v>
          </cell>
          <cell r="AA407" t="str">
            <v>No</v>
          </cell>
          <cell r="AB407">
            <v>0</v>
          </cell>
          <cell r="AC407" t="str">
            <v>Non-Listed Fund</v>
          </cell>
          <cell r="AD407" t="str">
            <v>Value-added</v>
          </cell>
          <cell r="AE407" t="str">
            <v>finite</v>
          </cell>
          <cell r="AF407" t="str">
            <v>Closed end</v>
          </cell>
          <cell r="AG407">
            <v>13</v>
          </cell>
          <cell r="AI407" t="str">
            <v>Net</v>
          </cell>
          <cell r="AK407">
            <v>5</v>
          </cell>
          <cell r="AL407">
            <v>60</v>
          </cell>
          <cell r="AM407" t="str">
            <v>&gt; 40% - ≤ 60%</v>
          </cell>
          <cell r="AN407" t="str">
            <v>Institutional</v>
          </cell>
          <cell r="AO407" t="str">
            <v>&gt; 2</v>
          </cell>
          <cell r="AP407" t="str">
            <v>≥ 50%</v>
          </cell>
          <cell r="AQ407" t="str">
            <v>Europe</v>
          </cell>
          <cell r="AR407" t="str">
            <v>multi country</v>
          </cell>
          <cell r="AS407" t="str">
            <v>Central and Eastern Europe(CEE)</v>
          </cell>
          <cell r="AU407" t="str">
            <v>multi sector</v>
          </cell>
          <cell r="AW407">
            <v>377000000</v>
          </cell>
          <cell r="AX407">
            <v>940000000</v>
          </cell>
          <cell r="AY407">
            <v>2006</v>
          </cell>
          <cell r="AZ407">
            <v>2015</v>
          </cell>
          <cell r="BA407" t="str">
            <v>Yes</v>
          </cell>
          <cell r="BB407" t="str">
            <v>Yes</v>
          </cell>
          <cell r="BC407" t="str">
            <v>1 year fixed</v>
          </cell>
          <cell r="BH407" t="str">
            <v>2020-09-30</v>
          </cell>
          <cell r="BI407">
            <v>12931770</v>
          </cell>
          <cell r="BJ407">
            <v>12931770</v>
          </cell>
          <cell r="BK407">
            <v>11753309</v>
          </cell>
          <cell r="BL407">
            <v>11753309</v>
          </cell>
          <cell r="BM407">
            <v>0.9</v>
          </cell>
          <cell r="BN407" t="str">
            <v>No</v>
          </cell>
          <cell r="BO407" t="str">
            <v>External</v>
          </cell>
          <cell r="BP407">
            <v>18</v>
          </cell>
          <cell r="BQ407">
            <v>0</v>
          </cell>
          <cell r="BR407">
            <v>377401000</v>
          </cell>
          <cell r="BS407">
            <v>377401000</v>
          </cell>
          <cell r="BT407">
            <v>356475999</v>
          </cell>
          <cell r="BU407">
            <v>356475999</v>
          </cell>
          <cell r="BV407" t="str">
            <v>No</v>
          </cell>
          <cell r="BW407" t="str">
            <v>Luxembourg</v>
          </cell>
          <cell r="BX407" t="str">
            <v>Other</v>
          </cell>
          <cell r="BY407">
            <v>90.89</v>
          </cell>
        </row>
        <row r="408">
          <cell r="A408">
            <v>362</v>
          </cell>
          <cell r="B408" t="str">
            <v>PENSIONS MANAGEMENT (SWF) LTD</v>
          </cell>
          <cell r="C408" t="str">
            <v>SCOTTISH WIDOWS INVESTMENT PARTNERSHIP</v>
          </cell>
          <cell r="D408" t="str">
            <v>Edinburgh One, 69 Morrison Street</v>
          </cell>
          <cell r="E408" t="str">
            <v>EH3 8BE</v>
          </cell>
          <cell r="F408" t="str">
            <v>Edinburgh</v>
          </cell>
          <cell r="G408" t="str">
            <v>United Kingdom</v>
          </cell>
          <cell r="H408" t="str">
            <v>+44 (0) 131 655 8500</v>
          </cell>
          <cell r="I408" t="str">
            <v>+44 (0) 131 662 1553</v>
          </cell>
          <cell r="J408" t="str">
            <v>http://www.swipartnership.co.uk</v>
          </cell>
          <cell r="K408" t="str">
            <v>Gerry Ferguson</v>
          </cell>
          <cell r="L408" t="str">
            <v>gerry.ferguson@swipartnership.co.uk</v>
          </cell>
          <cell r="M408" t="str">
            <v>+44 (0) 131 655 8957</v>
          </cell>
          <cell r="N408" t="str">
            <v>Gerry Ferguson</v>
          </cell>
          <cell r="O408" t="str">
            <v>gerry.ferguson@swipartnership.co.uk</v>
          </cell>
          <cell r="P408" t="str">
            <v>+44 (0) 131 655 8957</v>
          </cell>
          <cell r="Q408" t="str">
            <v>United Kingdom</v>
          </cell>
          <cell r="R408" t="str">
            <v>GBP</v>
          </cell>
          <cell r="T408" t="str">
            <v>Annually</v>
          </cell>
          <cell r="U408" t="str">
            <v>Monthly</v>
          </cell>
          <cell r="Y408" t="str">
            <v>Managed Fund</v>
          </cell>
          <cell r="AB408">
            <v>0</v>
          </cell>
          <cell r="AC408" t="str">
            <v>Non-Listed Fund</v>
          </cell>
          <cell r="AD408" t="str">
            <v>Core</v>
          </cell>
          <cell r="AE408" t="str">
            <v>infinite</v>
          </cell>
          <cell r="AF408" t="str">
            <v>Open end</v>
          </cell>
          <cell r="AJ408" t="str">
            <v>CAPS Pooled Property Fund Median</v>
          </cell>
          <cell r="AN408" t="str">
            <v>Institutional</v>
          </cell>
          <cell r="AP408" t="str">
            <v>≥ 50%</v>
          </cell>
          <cell r="AQ408" t="str">
            <v>Europe</v>
          </cell>
          <cell r="AR408" t="str">
            <v>single country</v>
          </cell>
          <cell r="AT408" t="str">
            <v>United Kingdom</v>
          </cell>
          <cell r="AU408" t="str">
            <v>multi sector</v>
          </cell>
          <cell r="AY408">
            <v>1981</v>
          </cell>
          <cell r="BA408" t="str">
            <v>Yes</v>
          </cell>
          <cell r="BH408" t="str">
            <v>2008-06-30</v>
          </cell>
          <cell r="BI408">
            <v>78700000</v>
          </cell>
          <cell r="BJ408">
            <v>99476800</v>
          </cell>
          <cell r="BK408">
            <v>78700000</v>
          </cell>
          <cell r="BL408">
            <v>99476800</v>
          </cell>
          <cell r="BP408">
            <v>2</v>
          </cell>
          <cell r="BQ408">
            <v>2</v>
          </cell>
          <cell r="BR408">
            <v>78700000</v>
          </cell>
          <cell r="BS408">
            <v>99138390</v>
          </cell>
          <cell r="BU408">
            <v>0</v>
          </cell>
          <cell r="BV408" t="str">
            <v>No</v>
          </cell>
        </row>
        <row r="409">
          <cell r="A409">
            <v>476</v>
          </cell>
          <cell r="B409" t="str">
            <v>PGIM REAL ESTATE UK GROUND LEASE FUND</v>
          </cell>
          <cell r="C409" t="str">
            <v>PRAMERICA</v>
          </cell>
          <cell r="D409" t="str">
            <v>PO BOX 350</v>
          </cell>
          <cell r="E409" t="str">
            <v>JE4 8UJ</v>
          </cell>
          <cell r="F409" t="str">
            <v>St Helier</v>
          </cell>
          <cell r="G409" t="str">
            <v>Jersey</v>
          </cell>
          <cell r="H409" t="str">
            <v>+44 (0) 1534 701 512</v>
          </cell>
          <cell r="I409" t="str">
            <v>+44 (0) 1534 701 699</v>
          </cell>
          <cell r="J409" t="str">
            <v>http://www.pramericarei.com/pramerica/real estate/index.html</v>
          </cell>
          <cell r="K409" t="str">
            <v>Andrew Grigson</v>
          </cell>
          <cell r="L409" t="str">
            <v>andrew.grigson@pgim.com</v>
          </cell>
          <cell r="M409" t="str">
            <v>020 7766 2403</v>
          </cell>
          <cell r="N409" t="str">
            <v>Faye Crook</v>
          </cell>
          <cell r="O409" t="str">
            <v>faye.crook@pgim.com</v>
          </cell>
          <cell r="P409" t="str">
            <v>020 7766 2454</v>
          </cell>
          <cell r="Q409" t="str">
            <v>Jersey</v>
          </cell>
          <cell r="R409" t="str">
            <v>GBP</v>
          </cell>
          <cell r="S409" t="str">
            <v>Local GAAP</v>
          </cell>
          <cell r="T409" t="str">
            <v>Quarterly</v>
          </cell>
          <cell r="U409" t="str">
            <v>Monthly</v>
          </cell>
          <cell r="V409" t="str">
            <v>RICS</v>
          </cell>
          <cell r="W409" t="str">
            <v>IFRS NAV</v>
          </cell>
          <cell r="X409" t="str">
            <v>Ernst &amp; Young</v>
          </cell>
          <cell r="Y409" t="str">
            <v>Jersey Property Unit Trust</v>
          </cell>
          <cell r="Z409" t="str">
            <v>Yes</v>
          </cell>
          <cell r="AA409" t="str">
            <v>Yes</v>
          </cell>
          <cell r="AB409">
            <v>0</v>
          </cell>
          <cell r="AC409" t="str">
            <v>Non-Listed Fund</v>
          </cell>
          <cell r="AD409" t="str">
            <v>Core</v>
          </cell>
          <cell r="AE409" t="str">
            <v>infinite</v>
          </cell>
          <cell r="AF409" t="str">
            <v>Open end</v>
          </cell>
          <cell r="AG409">
            <v>4</v>
          </cell>
          <cell r="AH409">
            <v>5</v>
          </cell>
          <cell r="AI409" t="str">
            <v>Gross</v>
          </cell>
          <cell r="AJ409" t="str">
            <v>UK Treasury 1.25% Index Linked Gilt 2055 +2%p.a. over a rolling 10 year period</v>
          </cell>
          <cell r="AK409">
            <v>7</v>
          </cell>
          <cell r="AL409">
            <v>0</v>
          </cell>
          <cell r="AM409" t="str">
            <v>≤ 40%</v>
          </cell>
          <cell r="AN409" t="str">
            <v>Institutional</v>
          </cell>
          <cell r="AO409" t="str">
            <v>&gt; 2</v>
          </cell>
          <cell r="AP409" t="str">
            <v>≥ 50%</v>
          </cell>
          <cell r="AQ409" t="str">
            <v>Europe</v>
          </cell>
          <cell r="AR409" t="str">
            <v>single country</v>
          </cell>
          <cell r="AT409" t="str">
            <v>United Kingdom</v>
          </cell>
          <cell r="AU409" t="str">
            <v>multi sector</v>
          </cell>
          <cell r="AW409">
            <v>250000000</v>
          </cell>
          <cell r="AX409">
            <v>900000000</v>
          </cell>
          <cell r="AY409">
            <v>2007</v>
          </cell>
          <cell r="BA409" t="str">
            <v>No</v>
          </cell>
          <cell r="BB409" t="str">
            <v>No</v>
          </cell>
          <cell r="BE409" t="str">
            <v>≥ 60%</v>
          </cell>
          <cell r="BF409" t="str">
            <v>&gt; 40%</v>
          </cell>
          <cell r="BG409" t="str">
            <v>&gt; 25%</v>
          </cell>
          <cell r="BH409" t="str">
            <v>2020-12-31</v>
          </cell>
          <cell r="BI409">
            <v>664189654.13999999</v>
          </cell>
          <cell r="BJ409">
            <v>734294271.04284</v>
          </cell>
          <cell r="BK409">
            <v>664189654.13999999</v>
          </cell>
          <cell r="BL409">
            <v>734294271.04284</v>
          </cell>
          <cell r="BM409">
            <v>0</v>
          </cell>
          <cell r="BN409" t="str">
            <v>No</v>
          </cell>
          <cell r="BO409" t="str">
            <v>External</v>
          </cell>
          <cell r="BP409">
            <v>9</v>
          </cell>
          <cell r="BQ409">
            <v>126</v>
          </cell>
          <cell r="BR409">
            <v>505000000</v>
          </cell>
          <cell r="BS409">
            <v>554467031.13549995</v>
          </cell>
          <cell r="BT409">
            <v>394000000</v>
          </cell>
          <cell r="BU409">
            <v>432594079.73739988</v>
          </cell>
          <cell r="BV409" t="str">
            <v>Yes</v>
          </cell>
          <cell r="BW409" t="str">
            <v>United Kingdom</v>
          </cell>
          <cell r="BX409" t="str">
            <v>Other</v>
          </cell>
          <cell r="BY409">
            <v>95.26</v>
          </cell>
        </row>
        <row r="410">
          <cell r="A410">
            <v>18126</v>
          </cell>
          <cell r="B410" t="str">
            <v>PGIM REAL ESTATE UK RESIDENTIAL GROUND LEASE FUND II (“PUKRESGLF II”)</v>
          </cell>
          <cell r="C410" t="str">
            <v>PGIM LIMITED</v>
          </cell>
          <cell r="D410" t="str">
            <v>Grand Buildings,1-3 Strand</v>
          </cell>
          <cell r="E410" t="str">
            <v>WC2N 5HR</v>
          </cell>
          <cell r="F410" t="str">
            <v>London</v>
          </cell>
          <cell r="G410" t="str">
            <v>United Kingdom</v>
          </cell>
          <cell r="H410" t="str">
            <v>+44 (0)20 7766 2400</v>
          </cell>
          <cell r="K410" t="str">
            <v>Andrew Grigson</v>
          </cell>
          <cell r="L410" t="str">
            <v>andrew.grigson@pgim.com</v>
          </cell>
          <cell r="M410" t="str">
            <v>+ 44 (0)20 7766 2403</v>
          </cell>
          <cell r="N410" t="str">
            <v>Faye Crook</v>
          </cell>
          <cell r="O410" t="str">
            <v>faye.crook@pgim.com</v>
          </cell>
          <cell r="P410" t="str">
            <v>44 (0)20 7766 2454</v>
          </cell>
          <cell r="Q410" t="str">
            <v>Jersey</v>
          </cell>
          <cell r="R410" t="str">
            <v>GBP</v>
          </cell>
          <cell r="S410" t="str">
            <v>IFRS</v>
          </cell>
          <cell r="T410" t="str">
            <v>Quarterly</v>
          </cell>
          <cell r="U410" t="str">
            <v>Quarterly</v>
          </cell>
          <cell r="V410" t="str">
            <v>RICS</v>
          </cell>
          <cell r="W410" t="str">
            <v>IFRS NAV</v>
          </cell>
          <cell r="X410" t="str">
            <v>PwC</v>
          </cell>
          <cell r="Y410" t="str">
            <v>Jersey Property Unit Trust(“JPUT”)</v>
          </cell>
          <cell r="Z410" t="str">
            <v>No</v>
          </cell>
          <cell r="AA410" t="str">
            <v>No</v>
          </cell>
          <cell r="AC410" t="str">
            <v>Non-Listed Fund</v>
          </cell>
          <cell r="AD410" t="str">
            <v>Core</v>
          </cell>
          <cell r="AE410" t="str">
            <v>finite</v>
          </cell>
          <cell r="AF410" t="str">
            <v>Closed end</v>
          </cell>
          <cell r="AG410">
            <v>3</v>
          </cell>
          <cell r="AH410">
            <v>5</v>
          </cell>
          <cell r="AI410" t="str">
            <v>Net</v>
          </cell>
          <cell r="AJ410" t="str">
            <v>Over 15 year UK Index-Linked Gilt Index</v>
          </cell>
          <cell r="AL410">
            <v>0</v>
          </cell>
          <cell r="AM410" t="str">
            <v>≤ 40%</v>
          </cell>
          <cell r="AN410" t="str">
            <v>Institutional</v>
          </cell>
          <cell r="AO410" t="str">
            <v>&gt; 2</v>
          </cell>
          <cell r="AP410" t="str">
            <v>≥ 50%</v>
          </cell>
          <cell r="AQ410" t="str">
            <v>Europe</v>
          </cell>
          <cell r="AR410" t="str">
            <v>single country</v>
          </cell>
          <cell r="AT410" t="str">
            <v>United Kingdom</v>
          </cell>
          <cell r="AU410" t="str">
            <v>single sector</v>
          </cell>
          <cell r="AV410" t="str">
            <v>Other</v>
          </cell>
          <cell r="AY410">
            <v>2014</v>
          </cell>
          <cell r="BD410" t="str">
            <v>No</v>
          </cell>
          <cell r="BE410" t="str">
            <v>≥ 60%</v>
          </cell>
          <cell r="BF410" t="str">
            <v>≤ 15%</v>
          </cell>
          <cell r="BG410" t="str">
            <v>≤ 5%</v>
          </cell>
          <cell r="BH410" t="str">
            <v>2020-12-31</v>
          </cell>
          <cell r="BI410">
            <v>229351021.40000001</v>
          </cell>
          <cell r="BJ410">
            <v>253558814.1460956</v>
          </cell>
          <cell r="BK410">
            <v>229351021.40000001</v>
          </cell>
          <cell r="BL410">
            <v>253558814.1460956</v>
          </cell>
          <cell r="BM410">
            <v>0</v>
          </cell>
          <cell r="BN410" t="str">
            <v>No</v>
          </cell>
          <cell r="BO410" t="str">
            <v>External</v>
          </cell>
          <cell r="BP410">
            <v>4</v>
          </cell>
          <cell r="BQ410">
            <v>16995</v>
          </cell>
          <cell r="BR410">
            <v>224630125</v>
          </cell>
          <cell r="BS410">
            <v>246633660.42048761</v>
          </cell>
          <cell r="BT410">
            <v>224630125</v>
          </cell>
          <cell r="BU410">
            <v>246633660.42048761</v>
          </cell>
          <cell r="BV410" t="str">
            <v>No</v>
          </cell>
          <cell r="BW410" t="str">
            <v>United Kingdom</v>
          </cell>
          <cell r="BX410" t="str">
            <v>Other</v>
          </cell>
          <cell r="BY410">
            <v>97.76</v>
          </cell>
        </row>
        <row r="411">
          <cell r="A411">
            <v>17844</v>
          </cell>
          <cell r="B411" t="str">
            <v>PORTA NUOVA ISOLA</v>
          </cell>
          <cell r="C411" t="str">
            <v>COIMA SGR</v>
          </cell>
          <cell r="D411" t="str">
            <v>Via De Castillia</v>
          </cell>
          <cell r="F411">
            <v>20121</v>
          </cell>
          <cell r="G411" t="str">
            <v>Italy</v>
          </cell>
          <cell r="H411" t="str">
            <v>+39 02 66556601</v>
          </cell>
          <cell r="I411" t="str">
            <v xml:space="preserve"> 02 62690921</v>
          </cell>
          <cell r="J411" t="str">
            <v>http://www.coimasgr.com/</v>
          </cell>
          <cell r="K411" t="str">
            <v>Teresa Montanarini</v>
          </cell>
          <cell r="L411" t="str">
            <v>teresa.montanarini@coimasgr.com</v>
          </cell>
          <cell r="M411" t="str">
            <v>+39 0265506601</v>
          </cell>
          <cell r="N411" t="str">
            <v>Kelly Russell</v>
          </cell>
          <cell r="O411" t="str">
            <v>kelly.russell@coimasgr.com</v>
          </cell>
          <cell r="P411" t="str">
            <v>+39 02655006601</v>
          </cell>
          <cell r="Q411" t="str">
            <v>Italy</v>
          </cell>
          <cell r="R411" t="str">
            <v>EUR</v>
          </cell>
          <cell r="S411" t="str">
            <v>Local GAAP</v>
          </cell>
          <cell r="T411" t="str">
            <v>Twice per year</v>
          </cell>
          <cell r="U411" t="str">
            <v>Twice per year</v>
          </cell>
          <cell r="V411" t="str">
            <v>NAV</v>
          </cell>
          <cell r="X411" t="str">
            <v>Ernst&amp;Young</v>
          </cell>
          <cell r="Y411" t="str">
            <v>Real Estate Fund</v>
          </cell>
          <cell r="Z411" t="str">
            <v>No</v>
          </cell>
          <cell r="AA411" t="str">
            <v>Yes</v>
          </cell>
          <cell r="AB411">
            <v>3</v>
          </cell>
          <cell r="AC411" t="str">
            <v>Non-Listed Fund</v>
          </cell>
          <cell r="AD411" t="str">
            <v>Core</v>
          </cell>
          <cell r="AE411" t="str">
            <v>finite</v>
          </cell>
          <cell r="AF411" t="str">
            <v>Closed end</v>
          </cell>
          <cell r="AG411">
            <v>8</v>
          </cell>
          <cell r="AH411">
            <v>8</v>
          </cell>
          <cell r="AI411" t="str">
            <v>Gross</v>
          </cell>
          <cell r="AL411">
            <v>80</v>
          </cell>
          <cell r="AM411" t="str">
            <v>&gt; 60%</v>
          </cell>
          <cell r="AN411" t="str">
            <v>Institutional</v>
          </cell>
          <cell r="AO411" t="str">
            <v>≤ 2</v>
          </cell>
          <cell r="AP411" t="str">
            <v>≥ 50%</v>
          </cell>
          <cell r="AQ411" t="str">
            <v>Europe</v>
          </cell>
          <cell r="AR411" t="str">
            <v>single country</v>
          </cell>
          <cell r="AT411" t="str">
            <v>Italy</v>
          </cell>
          <cell r="AU411" t="str">
            <v>multi sector</v>
          </cell>
          <cell r="AW411">
            <v>90000000</v>
          </cell>
          <cell r="AX411">
            <v>200000000</v>
          </cell>
          <cell r="AY411">
            <v>2013</v>
          </cell>
          <cell r="AZ411">
            <v>2030</v>
          </cell>
          <cell r="BA411" t="str">
            <v>No</v>
          </cell>
          <cell r="BB411" t="str">
            <v>Yes</v>
          </cell>
          <cell r="BC411" t="str">
            <v>3 years fixed</v>
          </cell>
          <cell r="BD411" t="str">
            <v>No</v>
          </cell>
          <cell r="BH411" t="str">
            <v>2019-12-31</v>
          </cell>
          <cell r="BI411">
            <v>105257615</v>
          </cell>
          <cell r="BJ411">
            <v>105257615</v>
          </cell>
          <cell r="BK411">
            <v>102101052</v>
          </cell>
          <cell r="BL411">
            <v>102101052</v>
          </cell>
          <cell r="BM411">
            <v>0</v>
          </cell>
          <cell r="BN411" t="str">
            <v>Yes</v>
          </cell>
          <cell r="BO411" t="str">
            <v>External</v>
          </cell>
          <cell r="BP411">
            <v>1</v>
          </cell>
          <cell r="BQ411">
            <v>4</v>
          </cell>
          <cell r="BR411">
            <v>83394522</v>
          </cell>
          <cell r="BS411">
            <v>83394522</v>
          </cell>
          <cell r="BT411">
            <v>73800481</v>
          </cell>
          <cell r="BU411">
            <v>73800481</v>
          </cell>
          <cell r="BV411" t="str">
            <v>No</v>
          </cell>
          <cell r="BW411" t="str">
            <v>Italy</v>
          </cell>
          <cell r="BX411" t="str">
            <v>Residential</v>
          </cell>
          <cell r="BY411">
            <v>100</v>
          </cell>
        </row>
        <row r="412">
          <cell r="A412">
            <v>367</v>
          </cell>
          <cell r="B412" t="str">
            <v>PRADERA EUROPEAN RETAIL FUND</v>
          </cell>
          <cell r="C412" t="str">
            <v>PRADERA - AM PLC</v>
          </cell>
          <cell r="D412" t="str">
            <v>Eldon House, 2-3 Eldon Street</v>
          </cell>
          <cell r="E412" t="str">
            <v>EC2M 7LS</v>
          </cell>
          <cell r="F412" t="str">
            <v>London</v>
          </cell>
          <cell r="G412" t="str">
            <v>United Kingdom</v>
          </cell>
          <cell r="H412" t="str">
            <v>+44 (0) 20 7539 5432</v>
          </cell>
          <cell r="I412" t="str">
            <v>+44 (0) 20 7504 8524</v>
          </cell>
          <cell r="J412" t="str">
            <v>http://www.pradera.com</v>
          </cell>
          <cell r="K412" t="str">
            <v>Murray Ridgeway</v>
          </cell>
          <cell r="L412" t="str">
            <v>murray.ridgeway@pradera.com</v>
          </cell>
          <cell r="M412" t="str">
            <v>+44 2075395458</v>
          </cell>
          <cell r="N412" t="str">
            <v>Murray Ridgeway</v>
          </cell>
          <cell r="O412" t="str">
            <v>murray.ridgeway@pradera.com</v>
          </cell>
          <cell r="P412" t="str">
            <v>+44 2075395458</v>
          </cell>
          <cell r="Q412" t="str">
            <v>Luxembourg</v>
          </cell>
          <cell r="R412" t="str">
            <v>EUR</v>
          </cell>
          <cell r="S412" t="str">
            <v>Local GAAP</v>
          </cell>
          <cell r="T412" t="str">
            <v>Twice per year</v>
          </cell>
          <cell r="U412" t="str">
            <v>Twice per year</v>
          </cell>
          <cell r="V412" t="str">
            <v>RICS</v>
          </cell>
          <cell r="W412" t="str">
            <v>INREV NAV</v>
          </cell>
          <cell r="X412" t="str">
            <v>Deloitte</v>
          </cell>
          <cell r="Y412" t="str">
            <v>FCP</v>
          </cell>
          <cell r="Z412" t="str">
            <v>Yes</v>
          </cell>
          <cell r="AA412" t="str">
            <v>Yes</v>
          </cell>
          <cell r="AB412">
            <v>4</v>
          </cell>
          <cell r="AC412" t="str">
            <v>Non-Listed Fund</v>
          </cell>
          <cell r="AD412" t="str">
            <v>Value-added</v>
          </cell>
          <cell r="AE412" t="str">
            <v>finite</v>
          </cell>
          <cell r="AF412" t="str">
            <v>Closed end</v>
          </cell>
          <cell r="AG412">
            <v>11</v>
          </cell>
          <cell r="AH412">
            <v>11</v>
          </cell>
          <cell r="AI412" t="str">
            <v>Net</v>
          </cell>
          <cell r="AJ412" t="str">
            <v>None</v>
          </cell>
          <cell r="AK412">
            <v>8</v>
          </cell>
          <cell r="AL412">
            <v>50</v>
          </cell>
          <cell r="AM412" t="str">
            <v>&gt; 40% - ≤ 60%</v>
          </cell>
          <cell r="AN412" t="str">
            <v>Institutional</v>
          </cell>
          <cell r="AO412" t="str">
            <v>&gt; 2</v>
          </cell>
          <cell r="AP412" t="str">
            <v>≥ 50%</v>
          </cell>
          <cell r="AQ412" t="str">
            <v>Europe</v>
          </cell>
          <cell r="AR412" t="str">
            <v>multi country</v>
          </cell>
          <cell r="AS412" t="str">
            <v>Southern Europe</v>
          </cell>
          <cell r="AU412" t="str">
            <v>single sector</v>
          </cell>
          <cell r="AV412" t="str">
            <v>Retail</v>
          </cell>
          <cell r="AW412">
            <v>400000000</v>
          </cell>
          <cell r="AX412">
            <v>1000000000</v>
          </cell>
          <cell r="AY412">
            <v>2004</v>
          </cell>
          <cell r="AZ412">
            <v>2018</v>
          </cell>
          <cell r="BA412" t="str">
            <v>Yes</v>
          </cell>
          <cell r="BB412" t="str">
            <v>Yes</v>
          </cell>
          <cell r="BC412" t="str">
            <v>1+1 years</v>
          </cell>
          <cell r="BH412" t="str">
            <v>2020-06-30</v>
          </cell>
          <cell r="BI412">
            <v>181344429</v>
          </cell>
          <cell r="BJ412">
            <v>181344429</v>
          </cell>
          <cell r="BK412">
            <v>91496683.359999999</v>
          </cell>
          <cell r="BL412">
            <v>91496683.359999999</v>
          </cell>
          <cell r="BM412">
            <v>36</v>
          </cell>
          <cell r="BN412" t="str">
            <v>No</v>
          </cell>
          <cell r="BO412" t="str">
            <v>External</v>
          </cell>
          <cell r="BP412">
            <v>11</v>
          </cell>
          <cell r="BQ412">
            <v>5</v>
          </cell>
          <cell r="BR412">
            <v>304000000</v>
          </cell>
          <cell r="BS412">
            <v>304000000</v>
          </cell>
          <cell r="BT412">
            <v>304000000</v>
          </cell>
          <cell r="BU412">
            <v>304000000</v>
          </cell>
          <cell r="BV412" t="str">
            <v>No</v>
          </cell>
          <cell r="BW412" t="str">
            <v>Greece</v>
          </cell>
          <cell r="BX412" t="str">
            <v>Retail</v>
          </cell>
          <cell r="BY412">
            <v>38</v>
          </cell>
          <cell r="BZ412" t="str">
            <v>Italy</v>
          </cell>
          <cell r="CA412" t="str">
            <v>Retail</v>
          </cell>
          <cell r="CB412">
            <v>61</v>
          </cell>
          <cell r="CC412" t="str">
            <v>Spain</v>
          </cell>
          <cell r="CD412" t="str">
            <v>Retail</v>
          </cell>
          <cell r="CE412">
            <v>1</v>
          </cell>
        </row>
        <row r="413">
          <cell r="A413">
            <v>18442</v>
          </cell>
          <cell r="B413" t="str">
            <v xml:space="preserve">PRADERA EUROPEAN RETAIL PARKS </v>
          </cell>
          <cell r="C413" t="str">
            <v xml:space="preserve">PRADERA </v>
          </cell>
          <cell r="D413" t="str">
            <v xml:space="preserve">Eldon House, 2-3 Eldon Street </v>
          </cell>
          <cell r="E413" t="str">
            <v>EC2M 7LS</v>
          </cell>
          <cell r="F413" t="str">
            <v>London</v>
          </cell>
          <cell r="G413" t="str">
            <v>United Kingdom</v>
          </cell>
          <cell r="H413" t="str">
            <v>0044 207 539 5432</v>
          </cell>
          <cell r="J413" t="str">
            <v>http://www.pradera.com</v>
          </cell>
          <cell r="K413" t="str">
            <v xml:space="preserve">John Hopkins </v>
          </cell>
          <cell r="L413" t="str">
            <v>john.hopkins@pradera.com</v>
          </cell>
          <cell r="M413" t="str">
            <v>0044 207 539 5432</v>
          </cell>
          <cell r="N413" t="str">
            <v>john.hopkins@pradera.com</v>
          </cell>
          <cell r="O413" t="str">
            <v>john.hopkins@pradera.com</v>
          </cell>
          <cell r="P413" t="str">
            <v>0044 207 539 5432</v>
          </cell>
          <cell r="Q413" t="str">
            <v>Luxembourg</v>
          </cell>
          <cell r="R413" t="str">
            <v>EUR</v>
          </cell>
          <cell r="S413" t="str">
            <v>Local GAAP</v>
          </cell>
          <cell r="T413" t="str">
            <v>Annually</v>
          </cell>
          <cell r="U413" t="str">
            <v>Twice per year</v>
          </cell>
          <cell r="V413" t="str">
            <v>RICS</v>
          </cell>
          <cell r="W413" t="str">
            <v>Lux NAV</v>
          </cell>
          <cell r="X413" t="str">
            <v>EY</v>
          </cell>
          <cell r="Y413" t="str">
            <v>SCSp</v>
          </cell>
          <cell r="Z413" t="str">
            <v>Yes</v>
          </cell>
          <cell r="AC413" t="str">
            <v>Non-Listed Fund</v>
          </cell>
          <cell r="AD413" t="str">
            <v>Core</v>
          </cell>
          <cell r="AE413" t="str">
            <v>finite</v>
          </cell>
          <cell r="AF413" t="str">
            <v>Closed end</v>
          </cell>
          <cell r="AG413">
            <v>10</v>
          </cell>
          <cell r="AH413">
            <v>10</v>
          </cell>
          <cell r="AK413">
            <v>8</v>
          </cell>
          <cell r="AN413" t="str">
            <v>Institutional</v>
          </cell>
          <cell r="AO413" t="str">
            <v>&gt; 2</v>
          </cell>
          <cell r="AP413" t="str">
            <v>≥ 50%</v>
          </cell>
          <cell r="AQ413" t="str">
            <v>Europe</v>
          </cell>
          <cell r="AR413" t="str">
            <v>multi country</v>
          </cell>
          <cell r="AS413" t="str">
            <v>Western Europe</v>
          </cell>
          <cell r="AU413" t="str">
            <v>single sector</v>
          </cell>
          <cell r="AV413" t="str">
            <v>Retail</v>
          </cell>
          <cell r="AY413">
            <v>2017</v>
          </cell>
          <cell r="BH413" t="str">
            <v>2020-06-30</v>
          </cell>
          <cell r="BI413">
            <v>740645169</v>
          </cell>
          <cell r="BJ413">
            <v>740645169</v>
          </cell>
          <cell r="BK413">
            <v>235729585</v>
          </cell>
          <cell r="BL413">
            <v>235729585</v>
          </cell>
          <cell r="BM413">
            <v>67</v>
          </cell>
          <cell r="BN413" t="str">
            <v>No</v>
          </cell>
          <cell r="BO413" t="str">
            <v>Internal</v>
          </cell>
          <cell r="BP413">
            <v>26</v>
          </cell>
          <cell r="BQ413">
            <v>18</v>
          </cell>
          <cell r="BR413">
            <v>254300000</v>
          </cell>
          <cell r="BS413">
            <v>254300000</v>
          </cell>
          <cell r="BT413">
            <v>254300000</v>
          </cell>
          <cell r="BU413">
            <v>254300000</v>
          </cell>
          <cell r="BV413" t="str">
            <v>No</v>
          </cell>
          <cell r="BW413" t="str">
            <v>Czech Republic</v>
          </cell>
          <cell r="BX413" t="str">
            <v>Retail</v>
          </cell>
          <cell r="BY413">
            <v>9</v>
          </cell>
          <cell r="BZ413" t="str">
            <v>France</v>
          </cell>
          <cell r="CA413" t="str">
            <v>Retail</v>
          </cell>
          <cell r="CB413">
            <v>16</v>
          </cell>
          <cell r="CC413" t="str">
            <v>Poland</v>
          </cell>
          <cell r="CD413" t="str">
            <v>Retail</v>
          </cell>
          <cell r="CE413">
            <v>34</v>
          </cell>
          <cell r="CF413" t="str">
            <v>Germany</v>
          </cell>
          <cell r="CG413" t="str">
            <v>Retail</v>
          </cell>
          <cell r="CH413">
            <v>41</v>
          </cell>
        </row>
        <row r="414">
          <cell r="A414">
            <v>18128</v>
          </cell>
          <cell r="B414" t="str">
            <v>PRIME LONDON RESIDENTIAL DEVELOPMENT FUND I</v>
          </cell>
          <cell r="C414" t="str">
            <v>SAVILLS INVESTMENT MANAGEMENT</v>
          </cell>
          <cell r="D414" t="str">
            <v>33 Margaret Street</v>
          </cell>
          <cell r="E414" t="str">
            <v>W1G0JD</v>
          </cell>
          <cell r="F414" t="str">
            <v>London</v>
          </cell>
          <cell r="G414" t="str">
            <v>United Kingdom</v>
          </cell>
          <cell r="H414" t="str">
            <v>+44 (0)20 7877 4700</v>
          </cell>
          <cell r="I414" t="str">
            <v>+44 (0)20 7877 4777</v>
          </cell>
          <cell r="J414" t="str">
            <v>http://savillsim.com</v>
          </cell>
          <cell r="K414" t="str">
            <v>Patrick Carr</v>
          </cell>
          <cell r="L414" t="str">
            <v>patrick.carr@savillsim.com</v>
          </cell>
          <cell r="M414" t="str">
            <v>+44 (0)20 7409 8715</v>
          </cell>
          <cell r="N414" t="str">
            <v>Lucy Auden</v>
          </cell>
          <cell r="O414" t="str">
            <v>lucy.auden@savillsim.com</v>
          </cell>
          <cell r="P414" t="str">
            <v>+44 (0)20 7409 8758</v>
          </cell>
          <cell r="Q414" t="str">
            <v>United Kingdom</v>
          </cell>
          <cell r="R414" t="str">
            <v>GBP</v>
          </cell>
          <cell r="S414" t="str">
            <v>IFRS</v>
          </cell>
          <cell r="T414" t="str">
            <v>Quarterly</v>
          </cell>
          <cell r="U414" t="str">
            <v>Quarterly</v>
          </cell>
          <cell r="X414" t="str">
            <v>KPMG</v>
          </cell>
          <cell r="Y414" t="str">
            <v>Limited Partnership</v>
          </cell>
          <cell r="Z414" t="str">
            <v>No</v>
          </cell>
          <cell r="AA414" t="str">
            <v>No</v>
          </cell>
          <cell r="AC414" t="str">
            <v>Non-Listed Fund</v>
          </cell>
          <cell r="AD414" t="str">
            <v>Opportunity</v>
          </cell>
          <cell r="AE414" t="str">
            <v>finite</v>
          </cell>
          <cell r="AF414" t="str">
            <v>Closed end</v>
          </cell>
          <cell r="AG414">
            <v>18</v>
          </cell>
          <cell r="AH414">
            <v>20</v>
          </cell>
          <cell r="AI414" t="str">
            <v>Net</v>
          </cell>
          <cell r="AJ414" t="str">
            <v>n/a</v>
          </cell>
          <cell r="AN414" t="str">
            <v>Retail</v>
          </cell>
          <cell r="AO414" t="str">
            <v>&gt; 2</v>
          </cell>
          <cell r="AP414" t="str">
            <v>≥ 50%</v>
          </cell>
          <cell r="AQ414" t="str">
            <v>Europe</v>
          </cell>
          <cell r="AR414" t="str">
            <v>single country</v>
          </cell>
          <cell r="AT414" t="str">
            <v>United Kingdom</v>
          </cell>
          <cell r="AU414" t="str">
            <v>single sector</v>
          </cell>
          <cell r="AV414" t="str">
            <v>Development Residential</v>
          </cell>
          <cell r="AW414">
            <v>125000000</v>
          </cell>
          <cell r="AY414">
            <v>2012</v>
          </cell>
          <cell r="AZ414">
            <v>2016</v>
          </cell>
          <cell r="BA414" t="str">
            <v>Yes</v>
          </cell>
          <cell r="BB414" t="str">
            <v>Yes</v>
          </cell>
          <cell r="BC414" t="str">
            <v>1+1 years</v>
          </cell>
          <cell r="BD414" t="str">
            <v>No</v>
          </cell>
          <cell r="BF414" t="str">
            <v>&gt; 40%</v>
          </cell>
          <cell r="BG414" t="str">
            <v>&gt; 25%</v>
          </cell>
        </row>
        <row r="415">
          <cell r="A415">
            <v>618</v>
          </cell>
          <cell r="B415" t="str">
            <v>PRIME RETAIL DEUTSCHLAND</v>
          </cell>
          <cell r="C415" t="str">
            <v>QUANTUM IMMOBILIEN KAPITALVERWALTUNGSGESELLSCHAFT MBH</v>
          </cell>
          <cell r="D415" t="str">
            <v>Dornbusch 4</v>
          </cell>
          <cell r="E415">
            <v>20095</v>
          </cell>
          <cell r="F415" t="str">
            <v>Hamburg</v>
          </cell>
          <cell r="G415" t="str">
            <v>Germany</v>
          </cell>
          <cell r="H415" t="str">
            <v>+49404143300</v>
          </cell>
          <cell r="I415" t="str">
            <v>+4940414330511</v>
          </cell>
          <cell r="J415" t="str">
            <v>http://quantum.ag/</v>
          </cell>
          <cell r="N415" t="str">
            <v>Johanna Jachczik</v>
          </cell>
          <cell r="O415" t="str">
            <v>jj@quantum.ag</v>
          </cell>
          <cell r="P415" t="str">
            <v>+4940414330544</v>
          </cell>
          <cell r="Q415" t="str">
            <v>Germany</v>
          </cell>
          <cell r="R415" t="str">
            <v>EUR</v>
          </cell>
          <cell r="S415" t="str">
            <v>Local GAAP</v>
          </cell>
          <cell r="T415" t="str">
            <v>Monthly</v>
          </cell>
          <cell r="U415" t="str">
            <v>Annually</v>
          </cell>
          <cell r="W415" t="str">
            <v>INREV NAV</v>
          </cell>
          <cell r="X415" t="str">
            <v>KPMG</v>
          </cell>
          <cell r="Y415" t="str">
            <v>Spezialfonds</v>
          </cell>
          <cell r="Z415" t="str">
            <v>Yes</v>
          </cell>
          <cell r="AA415" t="str">
            <v>Yes</v>
          </cell>
          <cell r="AB415">
            <v>3</v>
          </cell>
          <cell r="AC415" t="str">
            <v>Non-Listed Fund</v>
          </cell>
          <cell r="AD415" t="str">
            <v>Core</v>
          </cell>
          <cell r="AE415" t="str">
            <v>infinite</v>
          </cell>
          <cell r="AF415" t="str">
            <v>Open end</v>
          </cell>
          <cell r="AG415">
            <v>6</v>
          </cell>
          <cell r="AH415">
            <v>6.5</v>
          </cell>
          <cell r="AK415">
            <v>5.2</v>
          </cell>
          <cell r="AL415">
            <v>50</v>
          </cell>
          <cell r="AM415" t="str">
            <v>&gt; 40% - ≤ 60%</v>
          </cell>
          <cell r="AN415" t="str">
            <v>Institutional</v>
          </cell>
          <cell r="AO415" t="str">
            <v>&gt; 2</v>
          </cell>
          <cell r="AP415" t="str">
            <v>≥ 50%</v>
          </cell>
          <cell r="AQ415" t="str">
            <v>Europe</v>
          </cell>
          <cell r="AR415" t="str">
            <v>single country</v>
          </cell>
          <cell r="AT415" t="str">
            <v>Germany</v>
          </cell>
          <cell r="AU415" t="str">
            <v>single sector</v>
          </cell>
          <cell r="AV415" t="str">
            <v>Retail</v>
          </cell>
          <cell r="AW415">
            <v>150000000</v>
          </cell>
          <cell r="AX415">
            <v>250000000</v>
          </cell>
          <cell r="AY415">
            <v>2011</v>
          </cell>
          <cell r="BB415" t="str">
            <v>No</v>
          </cell>
          <cell r="BD415" t="str">
            <v>No</v>
          </cell>
          <cell r="BH415" t="str">
            <v>2020-12-31</v>
          </cell>
          <cell r="BI415">
            <v>274340235</v>
          </cell>
          <cell r="BJ415">
            <v>274340235</v>
          </cell>
          <cell r="BK415">
            <v>148923849</v>
          </cell>
          <cell r="BL415">
            <v>148923849</v>
          </cell>
          <cell r="BM415">
            <v>46.3</v>
          </cell>
          <cell r="BN415" t="str">
            <v>No</v>
          </cell>
          <cell r="BO415" t="str">
            <v>External</v>
          </cell>
          <cell r="BP415">
            <v>4</v>
          </cell>
          <cell r="BQ415">
            <v>3</v>
          </cell>
          <cell r="BR415">
            <v>150000000</v>
          </cell>
          <cell r="BS415">
            <v>150000000</v>
          </cell>
          <cell r="BT415">
            <v>139999933</v>
          </cell>
          <cell r="BU415">
            <v>139999933</v>
          </cell>
          <cell r="BV415" t="str">
            <v>No</v>
          </cell>
          <cell r="BW415" t="str">
            <v>Germany</v>
          </cell>
          <cell r="BX415" t="str">
            <v>Retail</v>
          </cell>
          <cell r="BY415">
            <v>100</v>
          </cell>
        </row>
        <row r="416">
          <cell r="A416">
            <v>372</v>
          </cell>
          <cell r="B416" t="str">
            <v>PRIME VALUE</v>
          </cell>
          <cell r="C416" t="str">
            <v>IMORENDIMENTO SGFII, SA</v>
          </cell>
          <cell r="D416" t="str">
            <v>Praça Bom Sucesso 127, Esc 210</v>
          </cell>
          <cell r="E416" t="str">
            <v>4050 146</v>
          </cell>
          <cell r="F416" t="str">
            <v>Porto</v>
          </cell>
          <cell r="G416" t="str">
            <v>Portugal</v>
          </cell>
          <cell r="H416" t="str">
            <v>+351 22 607 5660</v>
          </cell>
          <cell r="I416" t="str">
            <v>+351 22 607 5661</v>
          </cell>
          <cell r="J416" t="str">
            <v>http://www.imorendimento.com</v>
          </cell>
          <cell r="N416" t="str">
            <v>Armando Lacerda Queiroz</v>
          </cell>
          <cell r="O416" t="str">
            <v>lqueiroz@imorendimento.pt</v>
          </cell>
          <cell r="P416" t="str">
            <v>+351 22 607 5660</v>
          </cell>
          <cell r="Q416" t="str">
            <v>Portugal</v>
          </cell>
          <cell r="R416" t="str">
            <v>EUR</v>
          </cell>
          <cell r="T416" t="str">
            <v>Annually</v>
          </cell>
          <cell r="U416" t="str">
            <v>Quarterly</v>
          </cell>
          <cell r="X416" t="str">
            <v>PriceWaterhouseCoopers</v>
          </cell>
          <cell r="Y416" t="str">
            <v>Real Estate Fund</v>
          </cell>
          <cell r="AB416">
            <v>0</v>
          </cell>
          <cell r="AC416" t="str">
            <v>Non-Listed Fund</v>
          </cell>
          <cell r="AD416" t="str">
            <v>Value-added</v>
          </cell>
          <cell r="AE416" t="str">
            <v>finite</v>
          </cell>
          <cell r="AF416" t="str">
            <v>Closed end</v>
          </cell>
          <cell r="AG416">
            <v>0</v>
          </cell>
          <cell r="AH416">
            <v>10.5</v>
          </cell>
          <cell r="AJ416" t="str">
            <v>IPD Portugal Index</v>
          </cell>
          <cell r="AM416" t="str">
            <v>&gt; 60%</v>
          </cell>
          <cell r="AN416" t="str">
            <v>Institutional and Retail</v>
          </cell>
          <cell r="AQ416" t="str">
            <v>Europe</v>
          </cell>
          <cell r="AR416" t="str">
            <v>single country</v>
          </cell>
          <cell r="AT416" t="str">
            <v>Portugal</v>
          </cell>
          <cell r="AU416" t="str">
            <v>multi sector</v>
          </cell>
          <cell r="AY416">
            <v>2006</v>
          </cell>
          <cell r="AZ416">
            <v>2016</v>
          </cell>
          <cell r="BA416" t="str">
            <v>Yes</v>
          </cell>
          <cell r="BB416" t="str">
            <v>No</v>
          </cell>
          <cell r="BH416" t="str">
            <v>2010-12-31</v>
          </cell>
          <cell r="BJ416">
            <v>0</v>
          </cell>
          <cell r="BK416">
            <v>11000000</v>
          </cell>
          <cell r="BL416">
            <v>11000000</v>
          </cell>
          <cell r="BP416">
            <v>4</v>
          </cell>
          <cell r="BS416">
            <v>0</v>
          </cell>
          <cell r="BV416" t="str">
            <v>No</v>
          </cell>
        </row>
        <row r="417">
          <cell r="A417">
            <v>17154</v>
          </cell>
          <cell r="B417" t="str">
            <v>PRIMEVEST EUROPEAN PARKING FUND II</v>
          </cell>
          <cell r="C417" t="str">
            <v>PRIMEVEST CAPITAL PARTNERS NEDERLAND B.V.</v>
          </cell>
          <cell r="D417" t="str">
            <v>Maliebaan 27</v>
          </cell>
          <cell r="E417" t="str">
            <v>3581CC</v>
          </cell>
          <cell r="F417" t="str">
            <v>Utrecht</v>
          </cell>
          <cell r="G417" t="str">
            <v>Netherlands</v>
          </cell>
          <cell r="J417" t="str">
            <v>http://www.primevestcp.com</v>
          </cell>
          <cell r="K417" t="str">
            <v>Ruud Roosen</v>
          </cell>
          <cell r="L417" t="str">
            <v>ruud.roosen@primevestcp.com</v>
          </cell>
          <cell r="M417" t="str">
            <v>+31(0)6 13 61 22 35</v>
          </cell>
          <cell r="N417" t="str">
            <v>Bart Pierik</v>
          </cell>
          <cell r="O417" t="str">
            <v>bart.pierik@primevestcp.com</v>
          </cell>
          <cell r="P417" t="str">
            <v>+31 620 39 66 15</v>
          </cell>
          <cell r="Q417" t="str">
            <v>Germany</v>
          </cell>
          <cell r="R417" t="str">
            <v>EUR</v>
          </cell>
          <cell r="S417" t="str">
            <v>Local GAAP</v>
          </cell>
          <cell r="T417" t="str">
            <v>Quarterly</v>
          </cell>
          <cell r="U417" t="str">
            <v>Annually</v>
          </cell>
          <cell r="V417" t="str">
            <v>Ertragswert</v>
          </cell>
          <cell r="W417" t="str">
            <v>Local GAAP</v>
          </cell>
          <cell r="X417" t="str">
            <v>KPMG</v>
          </cell>
          <cell r="Y417" t="str">
            <v>Spezialfonds</v>
          </cell>
          <cell r="Z417" t="str">
            <v>No</v>
          </cell>
          <cell r="AA417" t="str">
            <v>Yes</v>
          </cell>
          <cell r="AB417">
            <v>4</v>
          </cell>
          <cell r="AC417" t="str">
            <v>Non-Listed Fund</v>
          </cell>
          <cell r="AD417" t="str">
            <v>Core</v>
          </cell>
          <cell r="AE417" t="str">
            <v>finite</v>
          </cell>
          <cell r="AF417" t="str">
            <v>Closed end</v>
          </cell>
          <cell r="AG417">
            <v>7</v>
          </cell>
          <cell r="AH417">
            <v>8</v>
          </cell>
          <cell r="AI417" t="str">
            <v>Net</v>
          </cell>
          <cell r="AJ417" t="str">
            <v>NA</v>
          </cell>
          <cell r="AK417">
            <v>5</v>
          </cell>
          <cell r="AL417">
            <v>50</v>
          </cell>
          <cell r="AM417" t="str">
            <v>&gt; 40%</v>
          </cell>
          <cell r="AN417" t="str">
            <v>Institutional</v>
          </cell>
          <cell r="AO417" t="str">
            <v>&gt; 2</v>
          </cell>
          <cell r="AP417" t="str">
            <v>≥ 50%</v>
          </cell>
          <cell r="AQ417" t="str">
            <v>Europe</v>
          </cell>
          <cell r="AR417" t="str">
            <v>multi country</v>
          </cell>
          <cell r="AS417" t="str">
            <v>Europe</v>
          </cell>
          <cell r="AU417" t="str">
            <v>single sector</v>
          </cell>
          <cell r="AV417" t="str">
            <v>Parking</v>
          </cell>
          <cell r="AW417">
            <v>187000000</v>
          </cell>
          <cell r="AX417">
            <v>350000000</v>
          </cell>
          <cell r="AY417">
            <v>2012</v>
          </cell>
          <cell r="AZ417">
            <v>2022</v>
          </cell>
          <cell r="BA417" t="str">
            <v>No</v>
          </cell>
          <cell r="BB417" t="str">
            <v>No</v>
          </cell>
          <cell r="BD417" t="str">
            <v>No</v>
          </cell>
          <cell r="BE417" t="str">
            <v>≥ 60%</v>
          </cell>
          <cell r="BF417" t="str">
            <v>≤ 15%</v>
          </cell>
          <cell r="BG417" t="str">
            <v>≤ 5%</v>
          </cell>
          <cell r="BH417" t="str">
            <v>2018-09-30</v>
          </cell>
          <cell r="BI417">
            <v>324722727</v>
          </cell>
          <cell r="BJ417">
            <v>324722727</v>
          </cell>
          <cell r="BK417">
            <v>187987567</v>
          </cell>
          <cell r="BL417">
            <v>187987567</v>
          </cell>
          <cell r="BM417">
            <v>41.3</v>
          </cell>
          <cell r="BN417" t="str">
            <v>No</v>
          </cell>
          <cell r="BO417" t="str">
            <v>External</v>
          </cell>
          <cell r="BP417">
            <v>9</v>
          </cell>
          <cell r="BQ417">
            <v>13</v>
          </cell>
          <cell r="BR417">
            <v>183500000</v>
          </cell>
          <cell r="BS417">
            <v>183500000</v>
          </cell>
          <cell r="BT417">
            <v>183500000</v>
          </cell>
          <cell r="BU417">
            <v>183500000</v>
          </cell>
          <cell r="BV417" t="str">
            <v>No</v>
          </cell>
        </row>
        <row r="418">
          <cell r="A418">
            <v>17577</v>
          </cell>
          <cell r="B418" t="str">
            <v>PRIMEVEST EUROPEAN PARKING FUND III</v>
          </cell>
          <cell r="C418" t="str">
            <v>PRIMEVEST CAPITAL PARTNERS</v>
          </cell>
          <cell r="D418" t="str">
            <v>Maliebaan 27</v>
          </cell>
          <cell r="E418" t="str">
            <v>3581CC</v>
          </cell>
          <cell r="F418" t="str">
            <v>Utrecht</v>
          </cell>
          <cell r="G418" t="str">
            <v>Netherlands</v>
          </cell>
          <cell r="J418" t="str">
            <v>http://www.primevestcp.com</v>
          </cell>
          <cell r="K418" t="str">
            <v>René Zerull</v>
          </cell>
          <cell r="L418" t="str">
            <v>rene.zerull@primevestcp.com</v>
          </cell>
          <cell r="M418" t="str">
            <v>+49 173 235 7221</v>
          </cell>
          <cell r="N418" t="str">
            <v>Bart Pierik</v>
          </cell>
          <cell r="O418" t="str">
            <v>bart.pierik@primevestcp.com</v>
          </cell>
          <cell r="P418" t="str">
            <v>+31 620 39 66 15</v>
          </cell>
          <cell r="Q418" t="str">
            <v>Germany</v>
          </cell>
          <cell r="R418" t="str">
            <v>EUR</v>
          </cell>
          <cell r="S418" t="str">
            <v>Local GAAP</v>
          </cell>
          <cell r="T418" t="str">
            <v>Monthly</v>
          </cell>
          <cell r="U418" t="str">
            <v>Annually</v>
          </cell>
          <cell r="V418" t="str">
            <v>Other - mark to market</v>
          </cell>
          <cell r="W418" t="str">
            <v>INREV NAV</v>
          </cell>
          <cell r="Y418" t="str">
            <v>Spezialfonds</v>
          </cell>
          <cell r="Z418" t="str">
            <v>Yes</v>
          </cell>
          <cell r="AA418" t="str">
            <v>Yes</v>
          </cell>
          <cell r="AC418" t="str">
            <v>Non-Listed Fund</v>
          </cell>
          <cell r="AD418" t="str">
            <v>Core</v>
          </cell>
          <cell r="AE418" t="str">
            <v>infinite</v>
          </cell>
          <cell r="AF418" t="str">
            <v>Open end</v>
          </cell>
          <cell r="AG418">
            <v>6</v>
          </cell>
          <cell r="AH418">
            <v>7</v>
          </cell>
          <cell r="AI418" t="str">
            <v>Net</v>
          </cell>
          <cell r="AL418">
            <v>50</v>
          </cell>
          <cell r="AM418" t="str">
            <v>&gt; 40% - ≤ 60%</v>
          </cell>
          <cell r="AN418" t="str">
            <v>Institutional</v>
          </cell>
          <cell r="AO418" t="str">
            <v>&gt; 2</v>
          </cell>
          <cell r="AP418" t="str">
            <v>≥ 50%</v>
          </cell>
          <cell r="AQ418" t="str">
            <v>Europe</v>
          </cell>
          <cell r="AR418" t="str">
            <v>multi country</v>
          </cell>
          <cell r="AS418" t="str">
            <v>Europe</v>
          </cell>
          <cell r="AU418" t="str">
            <v>single sector</v>
          </cell>
          <cell r="AV418" t="str">
            <v>Parking</v>
          </cell>
          <cell r="AW418">
            <v>210000000</v>
          </cell>
          <cell r="AX418">
            <v>400000000</v>
          </cell>
          <cell r="AY418">
            <v>2014</v>
          </cell>
          <cell r="BD418" t="str">
            <v>No</v>
          </cell>
          <cell r="BE418" t="str">
            <v>≥ 60%</v>
          </cell>
          <cell r="BF418" t="str">
            <v>≤ 15%</v>
          </cell>
          <cell r="BG418" t="str">
            <v>≤ 5%</v>
          </cell>
          <cell r="BH418" t="str">
            <v>2018-09-30</v>
          </cell>
          <cell r="BI418">
            <v>457254480</v>
          </cell>
          <cell r="BJ418">
            <v>457254480</v>
          </cell>
          <cell r="BK418">
            <v>237034536.08000001</v>
          </cell>
          <cell r="BL418">
            <v>237034536.08000001</v>
          </cell>
          <cell r="BM418">
            <v>39.700000000000003</v>
          </cell>
          <cell r="BN418" t="str">
            <v>No</v>
          </cell>
          <cell r="BO418" t="str">
            <v>External</v>
          </cell>
          <cell r="BP418">
            <v>8</v>
          </cell>
          <cell r="BQ418">
            <v>22</v>
          </cell>
          <cell r="BR418">
            <v>220700000</v>
          </cell>
          <cell r="BS418">
            <v>220700000</v>
          </cell>
          <cell r="BT418">
            <v>220700000</v>
          </cell>
          <cell r="BU418">
            <v>220700000</v>
          </cell>
          <cell r="BW418" t="str">
            <v>Netherlands</v>
          </cell>
          <cell r="BX418" t="str">
            <v>Parking</v>
          </cell>
          <cell r="BY418">
            <v>38.5</v>
          </cell>
          <cell r="BZ418" t="str">
            <v>France</v>
          </cell>
          <cell r="CA418" t="str">
            <v>Parking</v>
          </cell>
          <cell r="CB418">
            <v>18.5</v>
          </cell>
          <cell r="CC418" t="str">
            <v>United Kingdom</v>
          </cell>
          <cell r="CD418" t="str">
            <v>Parking</v>
          </cell>
          <cell r="CE418">
            <v>17</v>
          </cell>
          <cell r="CF418" t="str">
            <v>Germany</v>
          </cell>
          <cell r="CG418" t="str">
            <v>Parking</v>
          </cell>
          <cell r="CH418">
            <v>12.7</v>
          </cell>
          <cell r="CI418" t="str">
            <v>Finland</v>
          </cell>
          <cell r="CJ418" t="str">
            <v>Parking</v>
          </cell>
          <cell r="CK418">
            <v>6.8</v>
          </cell>
          <cell r="CL418" t="str">
            <v>Spain</v>
          </cell>
          <cell r="CM418" t="str">
            <v>Parking</v>
          </cell>
          <cell r="CN418">
            <v>3.6</v>
          </cell>
          <cell r="CO418" t="str">
            <v>Ireland</v>
          </cell>
          <cell r="CP418" t="str">
            <v>Parking</v>
          </cell>
          <cell r="CQ418">
            <v>2.9</v>
          </cell>
        </row>
        <row r="419">
          <cell r="A419">
            <v>19146</v>
          </cell>
          <cell r="B419" t="str">
            <v>PRINCIPAL EUROPEAN CORE FUND</v>
          </cell>
          <cell r="C419" t="str">
            <v>PRINCIPAL REAL ESTATE EUROPE</v>
          </cell>
          <cell r="D419" t="str">
            <v>65 Grosvenor Street</v>
          </cell>
          <cell r="E419" t="str">
            <v>W1K3JH</v>
          </cell>
          <cell r="F419" t="str">
            <v>London</v>
          </cell>
          <cell r="G419" t="str">
            <v>United Kingdom</v>
          </cell>
          <cell r="K419" t="str">
            <v>Giles Smith</v>
          </cell>
          <cell r="L419" t="str">
            <v>smith.giles@principalreeurope.com</v>
          </cell>
          <cell r="M419" t="str">
            <v>+44 (0) 20 7355 8819</v>
          </cell>
          <cell r="N419" t="str">
            <v>Michelle Fang</v>
          </cell>
          <cell r="Q419" t="str">
            <v>Luxembourg</v>
          </cell>
          <cell r="R419" t="str">
            <v>EUR</v>
          </cell>
          <cell r="S419" t="str">
            <v>Luxembourg GAAP</v>
          </cell>
          <cell r="T419" t="str">
            <v>Quarterly</v>
          </cell>
          <cell r="U419" t="str">
            <v>Quarterly</v>
          </cell>
          <cell r="V419" t="str">
            <v>RICS</v>
          </cell>
          <cell r="W419" t="str">
            <v>Luxembourg GAAP</v>
          </cell>
          <cell r="X419" t="str">
            <v>EY</v>
          </cell>
          <cell r="Y419" t="str">
            <v>Spezialfonds</v>
          </cell>
          <cell r="Z419" t="str">
            <v>No</v>
          </cell>
          <cell r="AA419" t="str">
            <v>No</v>
          </cell>
          <cell r="AB419">
            <v>0</v>
          </cell>
          <cell r="AC419" t="str">
            <v>Non-Listed Fund</v>
          </cell>
          <cell r="AD419" t="str">
            <v>Core</v>
          </cell>
          <cell r="AE419" t="str">
            <v>infinite</v>
          </cell>
          <cell r="AF419" t="str">
            <v>Open end</v>
          </cell>
          <cell r="AG419">
            <v>6</v>
          </cell>
          <cell r="AH419">
            <v>8</v>
          </cell>
          <cell r="AI419" t="str">
            <v>Net</v>
          </cell>
          <cell r="AK419">
            <v>5</v>
          </cell>
          <cell r="AL419">
            <v>30</v>
          </cell>
          <cell r="AM419" t="str">
            <v>&gt; 40%</v>
          </cell>
          <cell r="AN419" t="str">
            <v>Institutional</v>
          </cell>
          <cell r="AO419" t="str">
            <v>&gt; 2</v>
          </cell>
          <cell r="AP419" t="str">
            <v>≥ 50%</v>
          </cell>
          <cell r="AQ419" t="str">
            <v>Europe</v>
          </cell>
          <cell r="AR419" t="str">
            <v>multi country</v>
          </cell>
          <cell r="AS419" t="str">
            <v>Europe</v>
          </cell>
          <cell r="AU419" t="str">
            <v>multi sector</v>
          </cell>
          <cell r="AW419">
            <v>1400000000</v>
          </cell>
          <cell r="AX419">
            <v>2000000000</v>
          </cell>
          <cell r="AY419">
            <v>2017</v>
          </cell>
          <cell r="BD419" t="str">
            <v>No</v>
          </cell>
          <cell r="BE419" t="str">
            <v>≥ 60%</v>
          </cell>
          <cell r="BF419" t="str">
            <v>≤ 15%</v>
          </cell>
          <cell r="BG419" t="str">
            <v>&gt; 5 - ≤ 25%</v>
          </cell>
          <cell r="BH419" t="str">
            <v>2020-12-31</v>
          </cell>
          <cell r="BI419">
            <v>243895644.55000001</v>
          </cell>
          <cell r="BJ419">
            <v>243895644.55000001</v>
          </cell>
          <cell r="BK419">
            <v>164938962</v>
          </cell>
          <cell r="BL419">
            <v>164938962</v>
          </cell>
          <cell r="BM419">
            <v>29.41</v>
          </cell>
          <cell r="BN419" t="str">
            <v>No</v>
          </cell>
          <cell r="BO419" t="str">
            <v>External</v>
          </cell>
          <cell r="BP419">
            <v>10</v>
          </cell>
          <cell r="BQ419">
            <v>8</v>
          </cell>
          <cell r="BR419">
            <v>203132193</v>
          </cell>
          <cell r="BS419">
            <v>203132193</v>
          </cell>
          <cell r="BT419">
            <v>163921104</v>
          </cell>
          <cell r="BU419">
            <v>163921104</v>
          </cell>
          <cell r="BV419" t="str">
            <v>No</v>
          </cell>
          <cell r="BW419" t="str">
            <v>Netherlands</v>
          </cell>
          <cell r="BX419" t="str">
            <v>Industrial / Logistics</v>
          </cell>
          <cell r="BY419">
            <v>9.35</v>
          </cell>
          <cell r="BZ419" t="str">
            <v>Spain</v>
          </cell>
          <cell r="CA419" t="str">
            <v>Office</v>
          </cell>
          <cell r="CB419">
            <v>5.08</v>
          </cell>
          <cell r="CC419" t="str">
            <v>Germany</v>
          </cell>
          <cell r="CD419" t="str">
            <v>Mixed</v>
          </cell>
          <cell r="CE419">
            <v>26.69</v>
          </cell>
          <cell r="CF419" t="str">
            <v>Italy</v>
          </cell>
          <cell r="CG419" t="str">
            <v>Office</v>
          </cell>
          <cell r="CH419">
            <v>5.41</v>
          </cell>
          <cell r="CI419" t="str">
            <v>Italy</v>
          </cell>
          <cell r="CJ419" t="str">
            <v>Industrial / Logistics</v>
          </cell>
          <cell r="CK419">
            <v>13.32</v>
          </cell>
          <cell r="CL419" t="str">
            <v>France</v>
          </cell>
          <cell r="CM419" t="str">
            <v>Office</v>
          </cell>
          <cell r="CN419">
            <v>34.89</v>
          </cell>
        </row>
        <row r="420">
          <cell r="A420">
            <v>151</v>
          </cell>
          <cell r="B420" t="str">
            <v>PRINCIPAL EUROPEAN OFFICE FUND</v>
          </cell>
          <cell r="C420" t="str">
            <v>PRINCIPAL REAL ESTATE SPEZIALFONDSGESELLSCHAFT MBH</v>
          </cell>
          <cell r="D420" t="str">
            <v>Taunusanlage 16</v>
          </cell>
          <cell r="E420">
            <v>60325</v>
          </cell>
          <cell r="F420" t="str">
            <v>Frankfurt am Main</v>
          </cell>
          <cell r="G420" t="str">
            <v>Germany</v>
          </cell>
          <cell r="H420" t="str">
            <v>+49 (0) 69 50 50 66 90</v>
          </cell>
          <cell r="I420" t="str">
            <v>+49 69 50 50 66 9-29</v>
          </cell>
          <cell r="J420" t="str">
            <v>http://www.principalreeurope.com</v>
          </cell>
          <cell r="K420" t="str">
            <v>Aleksandar Varnev</v>
          </cell>
          <cell r="L420" t="str">
            <v>Varnev.Aleksandar@PrincipalREEurope.com</v>
          </cell>
          <cell r="M420" t="str">
            <v>+49 (0) 69 50 50 66 959</v>
          </cell>
          <cell r="N420" t="str">
            <v>Frank Richter</v>
          </cell>
          <cell r="O420" t="str">
            <v>Richter.Frank@principal.com</v>
          </cell>
          <cell r="P420" t="str">
            <v>+49 (0) 69 50 50 66 90</v>
          </cell>
          <cell r="Q420" t="str">
            <v>Germany</v>
          </cell>
          <cell r="R420" t="str">
            <v>EUR</v>
          </cell>
          <cell r="T420" t="str">
            <v>Twice per year</v>
          </cell>
          <cell r="U420" t="str">
            <v>Annually</v>
          </cell>
          <cell r="W420" t="str">
            <v>German investment tax law</v>
          </cell>
          <cell r="X420" t="str">
            <v>EY</v>
          </cell>
          <cell r="Y420" t="str">
            <v>Spezialfonds</v>
          </cell>
          <cell r="Z420" t="str">
            <v>No</v>
          </cell>
          <cell r="AA420" t="str">
            <v>Yes</v>
          </cell>
          <cell r="AC420" t="str">
            <v>Non-Listed Fund</v>
          </cell>
          <cell r="AD420" t="str">
            <v>Core</v>
          </cell>
          <cell r="AE420" t="str">
            <v>infinite</v>
          </cell>
          <cell r="AF420" t="str">
            <v>Open end</v>
          </cell>
          <cell r="AG420">
            <v>4.5</v>
          </cell>
          <cell r="AH420">
            <v>4.5</v>
          </cell>
          <cell r="AI420" t="str">
            <v>Net</v>
          </cell>
          <cell r="AK420">
            <v>5</v>
          </cell>
          <cell r="AL420">
            <v>45</v>
          </cell>
          <cell r="AM420" t="str">
            <v>&gt; 40% - ≤ 60%</v>
          </cell>
          <cell r="AN420" t="str">
            <v>Institutional</v>
          </cell>
          <cell r="AO420" t="str">
            <v>&gt; 2</v>
          </cell>
          <cell r="AP420" t="str">
            <v>≥ 50%</v>
          </cell>
          <cell r="AQ420" t="str">
            <v>Europe</v>
          </cell>
          <cell r="AR420" t="str">
            <v>multi country</v>
          </cell>
          <cell r="AS420" t="str">
            <v>Europe</v>
          </cell>
          <cell r="AU420" t="str">
            <v>single sector</v>
          </cell>
          <cell r="AV420" t="str">
            <v>Office</v>
          </cell>
          <cell r="AW420">
            <v>300000000</v>
          </cell>
          <cell r="AX420">
            <v>600000000</v>
          </cell>
          <cell r="AY420">
            <v>2003</v>
          </cell>
          <cell r="BH420" t="str">
            <v>2020-12-31</v>
          </cell>
          <cell r="BI420">
            <v>355211829</v>
          </cell>
          <cell r="BJ420">
            <v>355211829</v>
          </cell>
          <cell r="BK420">
            <v>197436829</v>
          </cell>
          <cell r="BL420">
            <v>197436829</v>
          </cell>
          <cell r="BM420">
            <v>44.42</v>
          </cell>
          <cell r="BN420" t="str">
            <v>No</v>
          </cell>
          <cell r="BO420" t="str">
            <v>Internal</v>
          </cell>
          <cell r="BP420">
            <v>14</v>
          </cell>
          <cell r="BQ420">
            <v>9</v>
          </cell>
          <cell r="BR420">
            <v>256144710</v>
          </cell>
          <cell r="BS420">
            <v>256144710</v>
          </cell>
          <cell r="BT420">
            <v>203447777</v>
          </cell>
          <cell r="BU420">
            <v>203447777</v>
          </cell>
          <cell r="BV420" t="str">
            <v>Yes</v>
          </cell>
          <cell r="BW420" t="str">
            <v>France</v>
          </cell>
          <cell r="BX420" t="str">
            <v>Office</v>
          </cell>
          <cell r="BY420">
            <v>33.659999999999997</v>
          </cell>
          <cell r="BZ420" t="str">
            <v>Italy</v>
          </cell>
          <cell r="CA420" t="str">
            <v>Office</v>
          </cell>
          <cell r="CB420">
            <v>16.77</v>
          </cell>
          <cell r="CC420" t="str">
            <v>Netherlands</v>
          </cell>
          <cell r="CD420" t="str">
            <v>Office</v>
          </cell>
          <cell r="CE420">
            <v>29.76</v>
          </cell>
          <cell r="CF420" t="str">
            <v>Portugal</v>
          </cell>
          <cell r="CG420" t="str">
            <v>Office</v>
          </cell>
          <cell r="CH420">
            <v>9.84</v>
          </cell>
          <cell r="CI420" t="str">
            <v>Spain</v>
          </cell>
          <cell r="CJ420" t="str">
            <v>Office</v>
          </cell>
          <cell r="CK420">
            <v>9.9700000000000006</v>
          </cell>
        </row>
        <row r="421">
          <cell r="A421">
            <v>374</v>
          </cell>
          <cell r="B421" t="str">
            <v>PRODESPA</v>
          </cell>
          <cell r="C421" t="str">
            <v>DEKA IMMOBILIEN INVESTMENT</v>
          </cell>
          <cell r="D421" t="str">
            <v>Taunusanlage 1</v>
          </cell>
          <cell r="E421">
            <v>60329</v>
          </cell>
          <cell r="F421" t="str">
            <v>Frankfurt</v>
          </cell>
          <cell r="G421" t="str">
            <v>Germany</v>
          </cell>
          <cell r="H421" t="str">
            <v>+49 (0) 69 71 47 0</v>
          </cell>
          <cell r="I421" t="str">
            <v>+49 (0) 69 71 47 31 14</v>
          </cell>
          <cell r="J421" t="str">
            <v>http://www.deka-immobilien.de</v>
          </cell>
          <cell r="K421" t="str">
            <v>Andreas Barak</v>
          </cell>
          <cell r="L421" t="str">
            <v>andreas.barak@deka.de</v>
          </cell>
          <cell r="M421" t="str">
            <v>+49 (0) 69 71 47 77 43</v>
          </cell>
          <cell r="N421" t="str">
            <v>Michaela Graefe</v>
          </cell>
          <cell r="O421" t="str">
            <v>michaela.graefe@deka.de</v>
          </cell>
          <cell r="P421" t="str">
            <v>+49 (0) 69 71 47 35 04</v>
          </cell>
          <cell r="Q421" t="str">
            <v>Germany</v>
          </cell>
          <cell r="R421" t="str">
            <v>EUR</v>
          </cell>
          <cell r="S421" t="str">
            <v>German HGB</v>
          </cell>
          <cell r="T421" t="str">
            <v>Annually</v>
          </cell>
          <cell r="U421" t="str">
            <v>Annually</v>
          </cell>
          <cell r="V421" t="str">
            <v>ImmoWertV</v>
          </cell>
          <cell r="X421" t="str">
            <v>KPMG</v>
          </cell>
          <cell r="Y421" t="str">
            <v>Spezialfonds</v>
          </cell>
          <cell r="Z421" t="str">
            <v>No</v>
          </cell>
          <cell r="AA421" t="str">
            <v>Yes</v>
          </cell>
          <cell r="AB421">
            <v>10</v>
          </cell>
          <cell r="AC421" t="str">
            <v>Non-Listed Fund</v>
          </cell>
          <cell r="AD421" t="str">
            <v>Core</v>
          </cell>
          <cell r="AE421" t="str">
            <v>infinite</v>
          </cell>
          <cell r="AF421" t="str">
            <v>Open end</v>
          </cell>
          <cell r="AG421">
            <v>4</v>
          </cell>
          <cell r="AH421">
            <v>6</v>
          </cell>
          <cell r="AJ421" t="str">
            <v>BVI Open Real Estate</v>
          </cell>
          <cell r="AK421">
            <v>5</v>
          </cell>
          <cell r="AL421">
            <v>50</v>
          </cell>
          <cell r="AM421" t="str">
            <v>&gt; 40% - ≤ 60%</v>
          </cell>
          <cell r="AN421" t="str">
            <v>Institutional</v>
          </cell>
          <cell r="AO421" t="str">
            <v>&gt; 2</v>
          </cell>
          <cell r="AP421" t="str">
            <v>≥ 50%</v>
          </cell>
          <cell r="AQ421" t="str">
            <v>Europe</v>
          </cell>
          <cell r="AR421" t="str">
            <v>multi country</v>
          </cell>
          <cell r="AS421" t="str">
            <v>Europe</v>
          </cell>
          <cell r="AU421" t="str">
            <v>multi sector</v>
          </cell>
          <cell r="AW421">
            <v>450000000</v>
          </cell>
          <cell r="AX421">
            <v>900000000</v>
          </cell>
          <cell r="AY421">
            <v>1998</v>
          </cell>
          <cell r="BA421" t="str">
            <v>No</v>
          </cell>
          <cell r="BH421" t="str">
            <v>2020-12-31</v>
          </cell>
          <cell r="BI421">
            <v>8674360</v>
          </cell>
          <cell r="BJ421">
            <v>8674360</v>
          </cell>
          <cell r="BK421">
            <v>8638822</v>
          </cell>
          <cell r="BL421">
            <v>8638822</v>
          </cell>
          <cell r="BM421">
            <v>0</v>
          </cell>
          <cell r="BN421" t="str">
            <v>No</v>
          </cell>
          <cell r="BO421" t="str">
            <v>External</v>
          </cell>
          <cell r="BP421">
            <v>13</v>
          </cell>
          <cell r="BQ421">
            <v>0</v>
          </cell>
          <cell r="BR421">
            <v>43593151</v>
          </cell>
          <cell r="BS421">
            <v>43593151</v>
          </cell>
          <cell r="BT421">
            <v>43593151</v>
          </cell>
          <cell r="BU421">
            <v>43593151</v>
          </cell>
          <cell r="BV421" t="str">
            <v>No</v>
          </cell>
        </row>
        <row r="422">
          <cell r="A422">
            <v>375</v>
          </cell>
          <cell r="B422" t="str">
            <v>PROLOGIS EUROPEAN LOGISTICS FUND</v>
          </cell>
          <cell r="C422" t="str">
            <v>PROLOGIS MANAGEMENT SARL II</v>
          </cell>
          <cell r="D422" t="str">
            <v>34-38 Avenue de la Liberté</v>
          </cell>
          <cell r="E422" t="str">
            <v>L-193</v>
          </cell>
          <cell r="F422" t="str">
            <v>Luxembourg</v>
          </cell>
          <cell r="G422" t="str">
            <v>Luxembourg</v>
          </cell>
          <cell r="H422" t="str">
            <v>+352 2620 5740</v>
          </cell>
          <cell r="I422" t="str">
            <v>+352 2620 5744</v>
          </cell>
          <cell r="K422" t="str">
            <v>Ali Nassiri</v>
          </cell>
          <cell r="L422" t="str">
            <v>anassiri@prologis.com</v>
          </cell>
          <cell r="M422" t="str">
            <v>+31206556658</v>
          </cell>
          <cell r="N422" t="str">
            <v>Jamie Cameron</v>
          </cell>
          <cell r="O422" t="str">
            <v>jcameron@prologis.com</v>
          </cell>
          <cell r="P422" t="str">
            <v>+44 2075188710</v>
          </cell>
          <cell r="Q422" t="str">
            <v>Luxembourg</v>
          </cell>
          <cell r="R422" t="str">
            <v>EUR</v>
          </cell>
          <cell r="S422" t="str">
            <v>IFRS</v>
          </cell>
          <cell r="T422" t="str">
            <v>Quarterly</v>
          </cell>
          <cell r="U422" t="str">
            <v>Quarterly</v>
          </cell>
          <cell r="V422" t="str">
            <v>RICS</v>
          </cell>
          <cell r="W422" t="str">
            <v>IFRS NAV</v>
          </cell>
          <cell r="X422" t="str">
            <v>KPMG</v>
          </cell>
          <cell r="Y422" t="str">
            <v>FCP</v>
          </cell>
          <cell r="Z422" t="str">
            <v>Yes</v>
          </cell>
          <cell r="AA422" t="str">
            <v>Yes</v>
          </cell>
          <cell r="AB422">
            <v>5</v>
          </cell>
          <cell r="AC422" t="str">
            <v>Non-Listed Fund</v>
          </cell>
          <cell r="AD422" t="str">
            <v>Core</v>
          </cell>
          <cell r="AE422" t="str">
            <v>infinite</v>
          </cell>
          <cell r="AF422" t="str">
            <v>Open end</v>
          </cell>
          <cell r="AG422">
            <v>7</v>
          </cell>
          <cell r="AH422">
            <v>9</v>
          </cell>
          <cell r="AI422" t="str">
            <v>Net</v>
          </cell>
          <cell r="AJ422" t="str">
            <v>IPD Pan-European Industrial Benchmark</v>
          </cell>
          <cell r="AK422">
            <v>5</v>
          </cell>
          <cell r="AL422">
            <v>35</v>
          </cell>
          <cell r="AM422" t="str">
            <v>&gt; 40% - ≤ 60%</v>
          </cell>
          <cell r="AN422" t="str">
            <v>Institutional</v>
          </cell>
          <cell r="AO422" t="str">
            <v>&gt; 2</v>
          </cell>
          <cell r="AP422" t="str">
            <v>≥ 50%</v>
          </cell>
          <cell r="AQ422" t="str">
            <v>Europe</v>
          </cell>
          <cell r="AR422" t="str">
            <v>multi country</v>
          </cell>
          <cell r="AS422" t="str">
            <v>Europe</v>
          </cell>
          <cell r="AU422" t="str">
            <v>single sector</v>
          </cell>
          <cell r="AV422" t="str">
            <v>Industrial / Logistics</v>
          </cell>
          <cell r="AW422">
            <v>3000000000</v>
          </cell>
          <cell r="AX422">
            <v>4250000000</v>
          </cell>
          <cell r="AY422">
            <v>2007</v>
          </cell>
          <cell r="BA422" t="str">
            <v>No</v>
          </cell>
          <cell r="BB422" t="str">
            <v>No</v>
          </cell>
          <cell r="BD422" t="str">
            <v>No</v>
          </cell>
          <cell r="BF422" t="str">
            <v>≤ 15%</v>
          </cell>
          <cell r="BG422" t="str">
            <v>≤ 5%</v>
          </cell>
          <cell r="BH422" t="str">
            <v>2020-12-31</v>
          </cell>
          <cell r="BI422">
            <v>14089303897</v>
          </cell>
          <cell r="BJ422">
            <v>14089303897</v>
          </cell>
          <cell r="BK422">
            <v>9672282000</v>
          </cell>
          <cell r="BL422">
            <v>9672282000</v>
          </cell>
          <cell r="BM422">
            <v>19.600000000000001</v>
          </cell>
          <cell r="BN422" t="str">
            <v>Yes</v>
          </cell>
          <cell r="BO422" t="str">
            <v>External</v>
          </cell>
          <cell r="BP422">
            <v>115</v>
          </cell>
          <cell r="BQ422">
            <v>537</v>
          </cell>
          <cell r="BR422">
            <v>9118400000</v>
          </cell>
          <cell r="BS422">
            <v>9118400000</v>
          </cell>
          <cell r="BT422">
            <v>7641200000</v>
          </cell>
          <cell r="BU422">
            <v>7641200000</v>
          </cell>
          <cell r="BV422" t="str">
            <v>Yes</v>
          </cell>
          <cell r="BW422" t="str">
            <v>Sweden</v>
          </cell>
          <cell r="BX422" t="str">
            <v>Industrial / Logistics</v>
          </cell>
          <cell r="BY422">
            <v>6.6</v>
          </cell>
          <cell r="BZ422" t="str">
            <v>Netherlands</v>
          </cell>
          <cell r="CA422" t="str">
            <v>Industrial / Logistics</v>
          </cell>
          <cell r="CB422">
            <v>14.2</v>
          </cell>
          <cell r="CC422" t="str">
            <v>Czech Republic</v>
          </cell>
          <cell r="CD422" t="str">
            <v>Industrial / Logistics</v>
          </cell>
          <cell r="CE422">
            <v>5.8</v>
          </cell>
          <cell r="CF422" t="str">
            <v>Belgium</v>
          </cell>
          <cell r="CG422" t="str">
            <v>Industrial / Logistics</v>
          </cell>
          <cell r="CH422">
            <v>2.2999999999999998</v>
          </cell>
          <cell r="CI422" t="str">
            <v>France</v>
          </cell>
          <cell r="CJ422" t="str">
            <v>Industrial / Logistics</v>
          </cell>
          <cell r="CK422">
            <v>16.399999999999999</v>
          </cell>
          <cell r="CL422" t="str">
            <v>Germany</v>
          </cell>
          <cell r="CM422" t="str">
            <v>Industrial / Logistics</v>
          </cell>
          <cell r="CN422">
            <v>20.7</v>
          </cell>
          <cell r="CO422" t="str">
            <v>Hungary</v>
          </cell>
          <cell r="CP422" t="str">
            <v>Industrial / Logistics</v>
          </cell>
          <cell r="CQ422">
            <v>2.1</v>
          </cell>
          <cell r="CR422" t="str">
            <v>Italy</v>
          </cell>
          <cell r="CS422" t="str">
            <v>Industrial / Logistics</v>
          </cell>
          <cell r="CT422">
            <v>3.9</v>
          </cell>
          <cell r="CU422" t="str">
            <v>Poland</v>
          </cell>
          <cell r="CV422" t="str">
            <v>Industrial / Logistics</v>
          </cell>
          <cell r="CW422">
            <v>6.5</v>
          </cell>
          <cell r="CX422" t="str">
            <v>Slovakia</v>
          </cell>
          <cell r="CY422" t="str">
            <v>Industrial / Logistics</v>
          </cell>
          <cell r="CZ422">
            <v>2</v>
          </cell>
          <cell r="DA422" t="str">
            <v>Spain</v>
          </cell>
          <cell r="DB422" t="str">
            <v>Industrial / Logistics</v>
          </cell>
          <cell r="DC422">
            <v>4.7</v>
          </cell>
          <cell r="DD422" t="str">
            <v>United Kingdom</v>
          </cell>
          <cell r="DE422" t="str">
            <v>Industrial / Logistics</v>
          </cell>
          <cell r="DF422">
            <v>14.8</v>
          </cell>
        </row>
        <row r="423">
          <cell r="A423">
            <v>631</v>
          </cell>
          <cell r="B423" t="str">
            <v>QUERISTICS</v>
          </cell>
          <cell r="C423" t="str">
            <v>EQUITY ESTATE BV</v>
          </cell>
          <cell r="D423" t="str">
            <v>Kabelweg 37</v>
          </cell>
          <cell r="E423" t="str">
            <v>1014 BA</v>
          </cell>
          <cell r="F423" t="str">
            <v>Amsterdam</v>
          </cell>
          <cell r="G423" t="str">
            <v>Netherlands</v>
          </cell>
          <cell r="H423" t="str">
            <v>+31 (0)20 4881442</v>
          </cell>
          <cell r="I423" t="str">
            <v>+31 (0)20 6889703</v>
          </cell>
          <cell r="K423" t="str">
            <v>Enrico van Erkelens</v>
          </cell>
          <cell r="L423" t="str">
            <v>vanerkelens@equityestate.nl</v>
          </cell>
          <cell r="M423" t="str">
            <v>+31 (0)20 4881442</v>
          </cell>
          <cell r="N423" t="str">
            <v>Enrico van Erkelens</v>
          </cell>
          <cell r="O423" t="str">
            <v>vanerkelens@equityestate.nl</v>
          </cell>
          <cell r="P423" t="str">
            <v>+31 (0)20 4881442</v>
          </cell>
          <cell r="Q423" t="str">
            <v>Luxembourg</v>
          </cell>
          <cell r="R423" t="str">
            <v>EUR</v>
          </cell>
          <cell r="S423" t="str">
            <v>IFRS</v>
          </cell>
          <cell r="T423" t="str">
            <v>Quarterly</v>
          </cell>
          <cell r="U423" t="str">
            <v>Annually</v>
          </cell>
          <cell r="X423" t="str">
            <v>Deloitte</v>
          </cell>
          <cell r="Y423" t="str">
            <v>SARL</v>
          </cell>
          <cell r="Z423" t="str">
            <v>No</v>
          </cell>
          <cell r="AA423" t="str">
            <v>Yes</v>
          </cell>
          <cell r="AB423">
            <v>1</v>
          </cell>
          <cell r="AC423" t="str">
            <v>Non-Listed Fund</v>
          </cell>
          <cell r="AD423" t="str">
            <v>Value-added</v>
          </cell>
          <cell r="AE423" t="str">
            <v>finite</v>
          </cell>
          <cell r="AF423" t="str">
            <v>Closed end</v>
          </cell>
          <cell r="AG423">
            <v>12</v>
          </cell>
          <cell r="AH423">
            <v>12</v>
          </cell>
          <cell r="AK423">
            <v>9</v>
          </cell>
          <cell r="AL423">
            <v>70</v>
          </cell>
          <cell r="AN423" t="str">
            <v>Institutional</v>
          </cell>
          <cell r="AQ423" t="str">
            <v>Europe</v>
          </cell>
          <cell r="AR423" t="str">
            <v>multi country</v>
          </cell>
          <cell r="AS423" t="str">
            <v>Europe</v>
          </cell>
          <cell r="AU423" t="str">
            <v>multi sector</v>
          </cell>
          <cell r="AW423">
            <v>60000000</v>
          </cell>
          <cell r="AX423">
            <v>175000000</v>
          </cell>
          <cell r="AY423">
            <v>2005</v>
          </cell>
          <cell r="AZ423">
            <v>2014</v>
          </cell>
          <cell r="BH423" t="str">
            <v>2017-06-30</v>
          </cell>
          <cell r="BI423">
            <v>63451632</v>
          </cell>
          <cell r="BJ423">
            <v>63451632</v>
          </cell>
          <cell r="BK423">
            <v>58395000</v>
          </cell>
          <cell r="BL423">
            <v>58395000</v>
          </cell>
          <cell r="BM423">
            <v>64.8</v>
          </cell>
          <cell r="BN423" t="str">
            <v>Yes</v>
          </cell>
          <cell r="BO423" t="str">
            <v>External</v>
          </cell>
          <cell r="BQ423">
            <v>4</v>
          </cell>
          <cell r="BR423">
            <v>60000000</v>
          </cell>
          <cell r="BS423">
            <v>60000000</v>
          </cell>
          <cell r="BT423">
            <v>27000000</v>
          </cell>
          <cell r="BU423">
            <v>27000000</v>
          </cell>
          <cell r="BV423" t="str">
            <v>No</v>
          </cell>
          <cell r="BW423" t="str">
            <v>Belgium</v>
          </cell>
          <cell r="BX423" t="str">
            <v>Industrial / Logistics</v>
          </cell>
          <cell r="BY423">
            <v>34</v>
          </cell>
          <cell r="BZ423" t="str">
            <v>Germany</v>
          </cell>
          <cell r="CA423" t="str">
            <v>Industrial / Logistics</v>
          </cell>
          <cell r="CB423">
            <v>29</v>
          </cell>
          <cell r="CC423" t="str">
            <v>Netherlands</v>
          </cell>
          <cell r="CD423" t="str">
            <v>Industrial / Logistics</v>
          </cell>
          <cell r="CE423">
            <v>14</v>
          </cell>
          <cell r="CF423" t="str">
            <v>Netherlands</v>
          </cell>
          <cell r="CG423" t="str">
            <v>Office</v>
          </cell>
          <cell r="CH423">
            <v>23</v>
          </cell>
        </row>
        <row r="424">
          <cell r="A424">
            <v>19314</v>
          </cell>
          <cell r="B424" t="str">
            <v>RATHAUSCENTER LUDWIGSHAFEN</v>
          </cell>
          <cell r="C424" t="str">
            <v>DWS GRUNDBESITZ GMBH</v>
          </cell>
          <cell r="D424" t="str">
            <v>Mainzer Landstr. 11-17</v>
          </cell>
          <cell r="E424" t="str">
            <v xml:space="preserve">60329 </v>
          </cell>
          <cell r="F424" t="str">
            <v>Frankfurt am Main</v>
          </cell>
          <cell r="G424" t="str">
            <v>Germany</v>
          </cell>
          <cell r="K424" t="str">
            <v>Thomas Köhler</v>
          </cell>
          <cell r="L424" t="str">
            <v>thomas-d.koehler@dws.com</v>
          </cell>
          <cell r="M424" t="str">
            <v>+49 (69) 910 - 14934</v>
          </cell>
          <cell r="Q424" t="str">
            <v>Germany</v>
          </cell>
          <cell r="R424" t="str">
            <v>EUR</v>
          </cell>
          <cell r="S424" t="str">
            <v>HGB</v>
          </cell>
          <cell r="T424" t="str">
            <v>Annually</v>
          </cell>
          <cell r="U424" t="str">
            <v>Annually</v>
          </cell>
          <cell r="V424" t="str">
            <v>ImmoWertV</v>
          </cell>
          <cell r="W424" t="str">
            <v>KAGB</v>
          </cell>
          <cell r="X424" t="str">
            <v>BDO</v>
          </cell>
          <cell r="Y424" t="str">
            <v>Publikumsfonds</v>
          </cell>
          <cell r="Z424" t="str">
            <v>No</v>
          </cell>
          <cell r="AC424" t="str">
            <v>Non-Listed Fund</v>
          </cell>
          <cell r="AD424" t="str">
            <v>Core</v>
          </cell>
          <cell r="AE424" t="str">
            <v>finite</v>
          </cell>
          <cell r="AF424" t="str">
            <v>Closed end</v>
          </cell>
          <cell r="AN424" t="str">
            <v>Retail</v>
          </cell>
          <cell r="AO424" t="str">
            <v>&gt; 2</v>
          </cell>
          <cell r="AP424" t="str">
            <v>&lt; 50%</v>
          </cell>
          <cell r="AQ424" t="str">
            <v>Europe</v>
          </cell>
          <cell r="AR424" t="str">
            <v>single country</v>
          </cell>
          <cell r="AT424" t="str">
            <v>Germany</v>
          </cell>
          <cell r="AU424" t="str">
            <v>single sector</v>
          </cell>
          <cell r="AV424" t="str">
            <v>Retail</v>
          </cell>
          <cell r="AY424">
            <v>1979</v>
          </cell>
          <cell r="AZ424">
            <v>2024</v>
          </cell>
          <cell r="BH424" t="str">
            <v>2018-12-31</v>
          </cell>
          <cell r="BI424">
            <v>42400000</v>
          </cell>
          <cell r="BJ424">
            <v>42400000</v>
          </cell>
          <cell r="BK424">
            <v>24180000</v>
          </cell>
          <cell r="BL424">
            <v>24180000</v>
          </cell>
          <cell r="BM424">
            <v>54.31</v>
          </cell>
          <cell r="BN424" t="str">
            <v>Yes</v>
          </cell>
          <cell r="BO424" t="str">
            <v>External</v>
          </cell>
          <cell r="BP424">
            <v>0</v>
          </cell>
          <cell r="BQ424">
            <v>1</v>
          </cell>
          <cell r="BS424">
            <v>0</v>
          </cell>
          <cell r="BV424" t="str">
            <v>No</v>
          </cell>
          <cell r="BW424" t="str">
            <v>Germany</v>
          </cell>
          <cell r="BX424" t="str">
            <v>Retail</v>
          </cell>
          <cell r="BY424">
            <v>100</v>
          </cell>
        </row>
        <row r="425">
          <cell r="A425">
            <v>18174</v>
          </cell>
          <cell r="B425" t="str">
            <v>REAL ESTATE PARTNERS EUROPE L.P.</v>
          </cell>
          <cell r="C425" t="str">
            <v>KKR</v>
          </cell>
          <cell r="D425" t="str">
            <v>Stirling Square, 7 Carlton Gardens</v>
          </cell>
          <cell r="E425" t="str">
            <v>SW1Y 5AD</v>
          </cell>
          <cell r="F425" t="str">
            <v>London</v>
          </cell>
          <cell r="G425" t="str">
            <v>United Kingdom</v>
          </cell>
          <cell r="H425" t="str">
            <v>+442078399800</v>
          </cell>
          <cell r="J425" t="str">
            <v>http://www.kkr.com/</v>
          </cell>
          <cell r="K425" t="str">
            <v>Guillaume Cassou</v>
          </cell>
          <cell r="N425" t="str">
            <v>Natasha Socolof</v>
          </cell>
          <cell r="O425" t="str">
            <v>natasha.socolof@kkr.com</v>
          </cell>
          <cell r="P425">
            <v>2124010431</v>
          </cell>
          <cell r="Q425" t="str">
            <v>United Kingdom</v>
          </cell>
          <cell r="R425" t="str">
            <v>EUR</v>
          </cell>
          <cell r="S425" t="str">
            <v>US GAAP</v>
          </cell>
          <cell r="T425" t="str">
            <v>Quarterly</v>
          </cell>
          <cell r="U425" t="str">
            <v>Quarterly</v>
          </cell>
          <cell r="V425" t="str">
            <v>CBRE (independent valuation firm)</v>
          </cell>
          <cell r="W425" t="str">
            <v>US GAAP</v>
          </cell>
          <cell r="X425" t="str">
            <v>Deloitte</v>
          </cell>
          <cell r="Y425" t="str">
            <v>Limited Partnership</v>
          </cell>
          <cell r="Z425" t="str">
            <v>No</v>
          </cell>
          <cell r="AC425" t="str">
            <v>Non-Listed Fund</v>
          </cell>
          <cell r="AD425" t="str">
            <v>Value-added</v>
          </cell>
          <cell r="AE425" t="str">
            <v>finite</v>
          </cell>
          <cell r="AF425" t="str">
            <v>Closed end</v>
          </cell>
          <cell r="AG425">
            <v>15</v>
          </cell>
          <cell r="AH425">
            <v>16</v>
          </cell>
          <cell r="AI425" t="str">
            <v>Gross</v>
          </cell>
          <cell r="AL425">
            <v>60</v>
          </cell>
          <cell r="AN425" t="str">
            <v>Institutional and Retail</v>
          </cell>
          <cell r="AO425" t="str">
            <v>&gt; 2</v>
          </cell>
          <cell r="AP425" t="str">
            <v>≥ 50%</v>
          </cell>
          <cell r="AQ425" t="str">
            <v>Europe</v>
          </cell>
          <cell r="AR425" t="str">
            <v>multi country</v>
          </cell>
          <cell r="AS425" t="str">
            <v>Western Europe</v>
          </cell>
          <cell r="AU425" t="str">
            <v>multi sector</v>
          </cell>
          <cell r="AY425">
            <v>2016</v>
          </cell>
          <cell r="AZ425">
            <v>2025</v>
          </cell>
          <cell r="BA425" t="str">
            <v>Yes</v>
          </cell>
          <cell r="BB425" t="str">
            <v>Yes</v>
          </cell>
          <cell r="BC425" t="str">
            <v>1+1 years</v>
          </cell>
          <cell r="BD425" t="str">
            <v>No</v>
          </cell>
          <cell r="BE425" t="str">
            <v>&lt; 60%</v>
          </cell>
          <cell r="BF425" t="str">
            <v>≤ 15%</v>
          </cell>
          <cell r="BG425" t="str">
            <v>&gt; 25%</v>
          </cell>
          <cell r="BH425" t="str">
            <v>2020-12-31</v>
          </cell>
          <cell r="BI425">
            <v>592123433</v>
          </cell>
          <cell r="BJ425">
            <v>592123433</v>
          </cell>
          <cell r="BK425">
            <v>248546981</v>
          </cell>
          <cell r="BL425">
            <v>248546981</v>
          </cell>
          <cell r="BM425">
            <v>58.02</v>
          </cell>
          <cell r="BN425" t="str">
            <v>No</v>
          </cell>
          <cell r="BO425" t="str">
            <v>External</v>
          </cell>
          <cell r="BP425">
            <v>23</v>
          </cell>
          <cell r="BQ425">
            <v>13</v>
          </cell>
          <cell r="BR425">
            <v>136752467</v>
          </cell>
          <cell r="BS425">
            <v>136752467</v>
          </cell>
          <cell r="BT425">
            <v>111069059</v>
          </cell>
          <cell r="BU425">
            <v>111069059</v>
          </cell>
          <cell r="BW425" t="str">
            <v>Ireland</v>
          </cell>
          <cell r="BX425" t="str">
            <v>Residential</v>
          </cell>
          <cell r="BY425">
            <v>13.4</v>
          </cell>
          <cell r="BZ425" t="str">
            <v>Ireland</v>
          </cell>
          <cell r="CA425" t="str">
            <v>Industrial / Logistics</v>
          </cell>
          <cell r="CB425">
            <v>3</v>
          </cell>
          <cell r="CC425" t="str">
            <v>Belgium</v>
          </cell>
          <cell r="CD425" t="str">
            <v>Hotel</v>
          </cell>
          <cell r="CE425">
            <v>0</v>
          </cell>
          <cell r="CF425" t="str">
            <v>Spain</v>
          </cell>
          <cell r="CG425" t="str">
            <v>Hotel</v>
          </cell>
          <cell r="CH425">
            <v>10.8</v>
          </cell>
          <cell r="CI425" t="str">
            <v>Spain</v>
          </cell>
          <cell r="CJ425" t="str">
            <v>Industrial / Logistics</v>
          </cell>
          <cell r="CK425">
            <v>5.3</v>
          </cell>
          <cell r="CL425" t="str">
            <v>Spain</v>
          </cell>
          <cell r="CM425" t="str">
            <v>Residential</v>
          </cell>
          <cell r="CN425">
            <v>8</v>
          </cell>
          <cell r="CO425" t="str">
            <v>United Kingdom</v>
          </cell>
          <cell r="CP425" t="str">
            <v>Student Housing</v>
          </cell>
          <cell r="CQ425">
            <v>11</v>
          </cell>
          <cell r="CR425" t="str">
            <v>United Kingdom</v>
          </cell>
          <cell r="CS425" t="str">
            <v>Residential</v>
          </cell>
          <cell r="CT425">
            <v>1.9</v>
          </cell>
          <cell r="CU425" t="str">
            <v>United Kingdom</v>
          </cell>
          <cell r="CV425" t="str">
            <v>Retail</v>
          </cell>
          <cell r="CW425">
            <v>0.5</v>
          </cell>
          <cell r="CX425" t="str">
            <v>Italy</v>
          </cell>
          <cell r="CY425" t="str">
            <v>Industrial / Logistics</v>
          </cell>
          <cell r="CZ425">
            <v>13.4</v>
          </cell>
          <cell r="DA425" t="str">
            <v>Italy</v>
          </cell>
          <cell r="DB425" t="str">
            <v>Retail</v>
          </cell>
          <cell r="DC425">
            <v>4.0999999999999996</v>
          </cell>
          <cell r="DD425" t="str">
            <v>France</v>
          </cell>
          <cell r="DE425" t="str">
            <v>Office</v>
          </cell>
          <cell r="DF425">
            <v>6</v>
          </cell>
          <cell r="DG425" t="str">
            <v>France</v>
          </cell>
          <cell r="DH425" t="str">
            <v>Hotel</v>
          </cell>
          <cell r="DI425">
            <v>3.1</v>
          </cell>
          <cell r="DJ425" t="str">
            <v>France</v>
          </cell>
          <cell r="DK425" t="str">
            <v>Industrial / Logistics</v>
          </cell>
          <cell r="DL425">
            <v>0</v>
          </cell>
          <cell r="DM425" t="str">
            <v>Germany</v>
          </cell>
          <cell r="DN425" t="str">
            <v>Residential</v>
          </cell>
          <cell r="DO425">
            <v>5.3</v>
          </cell>
          <cell r="DP425" t="str">
            <v>Netherlands</v>
          </cell>
          <cell r="DQ425" t="str">
            <v>Student Housing</v>
          </cell>
          <cell r="DR425">
            <v>12.9</v>
          </cell>
        </row>
        <row r="426">
          <cell r="A426">
            <v>18160</v>
          </cell>
          <cell r="B426" t="str">
            <v>REAL ESTATE VALUE FUND</v>
          </cell>
          <cell r="C426" t="str">
            <v>TRIUVA KAPITALVERWALTUNGSGESELLSCHAFT MBH</v>
          </cell>
          <cell r="D426" t="str">
            <v>THE SQUAIRE 18, Am Flughafen</v>
          </cell>
          <cell r="E426">
            <v>60549</v>
          </cell>
          <cell r="F426" t="str">
            <v>Frankfurt am Main</v>
          </cell>
          <cell r="G426" t="str">
            <v>Germany</v>
          </cell>
          <cell r="N426" t="str">
            <v>Trond Conrad</v>
          </cell>
          <cell r="O426" t="str">
            <v>trond.conrad@triuva.com</v>
          </cell>
          <cell r="P426" t="str">
            <v>+49 69 643 505 1553</v>
          </cell>
          <cell r="Q426" t="str">
            <v>Germany</v>
          </cell>
          <cell r="R426" t="str">
            <v>EUR</v>
          </cell>
          <cell r="T426" t="str">
            <v>Quarterly</v>
          </cell>
          <cell r="U426" t="str">
            <v>Annually</v>
          </cell>
          <cell r="Y426" t="str">
            <v>Spezialfonds</v>
          </cell>
          <cell r="Z426" t="str">
            <v>No</v>
          </cell>
          <cell r="AC426" t="str">
            <v>Separate account</v>
          </cell>
          <cell r="AD426" t="str">
            <v>Core</v>
          </cell>
          <cell r="AE426" t="str">
            <v>infinite</v>
          </cell>
          <cell r="AF426" t="str">
            <v>Open end</v>
          </cell>
          <cell r="AM426" t="str">
            <v>&gt; 40% - ≤ 60%</v>
          </cell>
          <cell r="AN426" t="str">
            <v>Institutional</v>
          </cell>
          <cell r="AO426" t="str">
            <v>≤ 2</v>
          </cell>
          <cell r="AP426" t="str">
            <v>≥ 50%</v>
          </cell>
          <cell r="AQ426" t="str">
            <v>Europe</v>
          </cell>
          <cell r="AR426" t="str">
            <v>multi country</v>
          </cell>
          <cell r="AS426" t="str">
            <v>Western Europe</v>
          </cell>
          <cell r="AU426" t="str">
            <v>single sector</v>
          </cell>
          <cell r="AV426" t="str">
            <v>Office</v>
          </cell>
          <cell r="AY426">
            <v>2016</v>
          </cell>
          <cell r="BH426" t="str">
            <v>2020-12-31</v>
          </cell>
          <cell r="BI426">
            <v>128267657.84</v>
          </cell>
          <cell r="BJ426">
            <v>128267657.84</v>
          </cell>
          <cell r="BK426">
            <v>71702787.170000002</v>
          </cell>
          <cell r="BL426">
            <v>71702787.170000002</v>
          </cell>
          <cell r="BM426">
            <v>47.15</v>
          </cell>
          <cell r="BN426" t="str">
            <v>No</v>
          </cell>
          <cell r="BO426" t="str">
            <v>Internal</v>
          </cell>
          <cell r="BP426">
            <v>1</v>
          </cell>
          <cell r="BQ426">
            <v>4</v>
          </cell>
          <cell r="BR426">
            <v>0</v>
          </cell>
          <cell r="BS426">
            <v>0</v>
          </cell>
          <cell r="BT426">
            <v>0</v>
          </cell>
          <cell r="BV426" t="str">
            <v>No</v>
          </cell>
          <cell r="BW426" t="str">
            <v>Germany</v>
          </cell>
          <cell r="BX426" t="str">
            <v>Office</v>
          </cell>
          <cell r="BY426">
            <v>24.09</v>
          </cell>
          <cell r="BZ426" t="str">
            <v>Ireland</v>
          </cell>
          <cell r="CA426" t="str">
            <v>Office</v>
          </cell>
          <cell r="CB426">
            <v>30.92</v>
          </cell>
          <cell r="CC426" t="str">
            <v>Spain</v>
          </cell>
          <cell r="CD426" t="str">
            <v>Other</v>
          </cell>
          <cell r="CE426">
            <v>23.54</v>
          </cell>
          <cell r="CF426" t="str">
            <v>United Kingdom</v>
          </cell>
          <cell r="CG426" t="str">
            <v>Office</v>
          </cell>
          <cell r="CH426">
            <v>21.45</v>
          </cell>
        </row>
        <row r="427">
          <cell r="A427">
            <v>382</v>
          </cell>
          <cell r="B427" t="str">
            <v>REALKAPITAL EUROPEAN OPPORTUNITY II</v>
          </cell>
          <cell r="C427" t="str">
            <v>REALKAPITAL PARTNERS LUXEMBOURG S.A</v>
          </cell>
          <cell r="D427" t="str">
            <v>16 Rue Beck</v>
          </cell>
          <cell r="E427" t="str">
            <v>L-1222</v>
          </cell>
          <cell r="F427" t="str">
            <v>Luxembourg</v>
          </cell>
          <cell r="G427" t="str">
            <v>Luxembourg</v>
          </cell>
          <cell r="H427" t="str">
            <v>+352 264 7791</v>
          </cell>
          <cell r="I427" t="str">
            <v>+352 264 789 98</v>
          </cell>
          <cell r="J427" t="str">
            <v>http://www.realkapital.eu</v>
          </cell>
          <cell r="K427" t="str">
            <v>Marcus Kruus</v>
          </cell>
          <cell r="L427" t="str">
            <v>marcus.kruus@obligoim.com</v>
          </cell>
          <cell r="M427" t="str">
            <v>+352 621 228 414</v>
          </cell>
          <cell r="N427" t="str">
            <v>Stian Soebyskogen</v>
          </cell>
          <cell r="O427" t="str">
            <v>stian.sobyskogen@obligoim.com</v>
          </cell>
          <cell r="P427" t="str">
            <v>+47 984 93 676</v>
          </cell>
          <cell r="Q427" t="str">
            <v>Luxembourg</v>
          </cell>
          <cell r="R427" t="str">
            <v>EUR</v>
          </cell>
          <cell r="S427" t="str">
            <v>Local GAAP</v>
          </cell>
          <cell r="T427" t="str">
            <v>Quarterly</v>
          </cell>
          <cell r="U427" t="str">
            <v>Annually</v>
          </cell>
          <cell r="X427" t="str">
            <v>Ernst &amp; Young</v>
          </cell>
          <cell r="Y427" t="str">
            <v>SIF - FCP</v>
          </cell>
          <cell r="Z427" t="str">
            <v>Yes</v>
          </cell>
          <cell r="AA427" t="str">
            <v>Yes</v>
          </cell>
          <cell r="AB427">
            <v>2</v>
          </cell>
          <cell r="AC427" t="str">
            <v>Non-Listed Fund</v>
          </cell>
          <cell r="AD427" t="str">
            <v>Opportunity</v>
          </cell>
          <cell r="AE427" t="str">
            <v>finite</v>
          </cell>
          <cell r="AF427" t="str">
            <v>Closed end</v>
          </cell>
          <cell r="AG427">
            <v>16</v>
          </cell>
          <cell r="AI427" t="str">
            <v>Net</v>
          </cell>
          <cell r="AJ427" t="str">
            <v>Absolute return</v>
          </cell>
          <cell r="AL427">
            <v>60</v>
          </cell>
          <cell r="AM427" t="str">
            <v>&gt; 60%</v>
          </cell>
          <cell r="AN427" t="str">
            <v>Institutional and Retail</v>
          </cell>
          <cell r="AQ427" t="str">
            <v>Europe</v>
          </cell>
          <cell r="AR427" t="str">
            <v>multi country</v>
          </cell>
          <cell r="AS427" t="str">
            <v>Europe</v>
          </cell>
          <cell r="AU427" t="str">
            <v>multi sector</v>
          </cell>
          <cell r="AW427">
            <v>250000000</v>
          </cell>
          <cell r="AX427">
            <v>600000000</v>
          </cell>
          <cell r="AY427">
            <v>2008</v>
          </cell>
          <cell r="AZ427">
            <v>2017</v>
          </cell>
          <cell r="BA427" t="str">
            <v>Yes</v>
          </cell>
          <cell r="BB427" t="str">
            <v>Yes</v>
          </cell>
          <cell r="BC427" t="str">
            <v>1 year</v>
          </cell>
          <cell r="BH427" t="str">
            <v>2008-09-30</v>
          </cell>
          <cell r="BI427">
            <v>28000000</v>
          </cell>
          <cell r="BJ427">
            <v>28000000</v>
          </cell>
          <cell r="BK427">
            <v>6700000</v>
          </cell>
          <cell r="BL427">
            <v>6700000</v>
          </cell>
          <cell r="BP427">
            <v>1</v>
          </cell>
          <cell r="BQ427">
            <v>2</v>
          </cell>
          <cell r="BR427">
            <v>8000000</v>
          </cell>
          <cell r="BS427">
            <v>8000000</v>
          </cell>
          <cell r="BU427">
            <v>0</v>
          </cell>
          <cell r="BV427" t="str">
            <v>Yes</v>
          </cell>
        </row>
        <row r="428">
          <cell r="A428">
            <v>391</v>
          </cell>
          <cell r="B428" t="str">
            <v>ROCKSPRING TRANSEUROPEAN PROPERTY LP IV</v>
          </cell>
          <cell r="C428" t="str">
            <v>ROCKSPRING PROPERTY INVESTMENT MANAGERS LLP</v>
          </cell>
          <cell r="D428" t="str">
            <v>166 Sloane Street</v>
          </cell>
          <cell r="E428" t="str">
            <v>SW1X 9QF</v>
          </cell>
          <cell r="F428" t="str">
            <v>London</v>
          </cell>
          <cell r="G428" t="str">
            <v>United Kingdom</v>
          </cell>
          <cell r="H428" t="str">
            <v>+44 (0) 20 7761 3300</v>
          </cell>
          <cell r="I428" t="str">
            <v>+44 (0) 20 7761 3400</v>
          </cell>
          <cell r="J428" t="str">
            <v>http://www.rockspringpim.com</v>
          </cell>
          <cell r="K428" t="str">
            <v>Charles-Nicolas Tarriere</v>
          </cell>
          <cell r="L428" t="str">
            <v>charles.tarriere@rockspringpim.com</v>
          </cell>
          <cell r="M428" t="str">
            <v>+44 2077613300</v>
          </cell>
          <cell r="N428" t="str">
            <v>Kathryn Dixon</v>
          </cell>
          <cell r="O428" t="str">
            <v>kathryn.dixon@rockspringpim.com</v>
          </cell>
          <cell r="P428" t="str">
            <v>+44 (0) 20 7761 3400</v>
          </cell>
          <cell r="Q428" t="str">
            <v>United Kingdom</v>
          </cell>
          <cell r="R428" t="str">
            <v>EUR</v>
          </cell>
          <cell r="S428" t="str">
            <v>Local GAAP</v>
          </cell>
          <cell r="T428" t="str">
            <v>Quarterly</v>
          </cell>
          <cell r="U428" t="str">
            <v>Quarterly</v>
          </cell>
          <cell r="V428" t="str">
            <v>RICS</v>
          </cell>
          <cell r="X428" t="str">
            <v>Deloitte</v>
          </cell>
          <cell r="Y428" t="str">
            <v>Limited Partnership</v>
          </cell>
          <cell r="AA428" t="str">
            <v>Yes</v>
          </cell>
          <cell r="AB428">
            <v>2</v>
          </cell>
          <cell r="AC428" t="str">
            <v>Non-Listed Fund</v>
          </cell>
          <cell r="AD428" t="str">
            <v>Value-added</v>
          </cell>
          <cell r="AE428" t="str">
            <v>finite</v>
          </cell>
          <cell r="AF428" t="str">
            <v>Closed end</v>
          </cell>
          <cell r="AG428">
            <v>10</v>
          </cell>
          <cell r="AH428">
            <v>11</v>
          </cell>
          <cell r="AI428" t="str">
            <v>Net</v>
          </cell>
          <cell r="AM428" t="str">
            <v>&gt; 40% - ≤ 60%</v>
          </cell>
          <cell r="AN428" t="str">
            <v>Institutional</v>
          </cell>
          <cell r="AO428" t="str">
            <v>&gt; 2</v>
          </cell>
          <cell r="AP428" t="str">
            <v>≥ 50%</v>
          </cell>
          <cell r="AQ428" t="str">
            <v>Europe</v>
          </cell>
          <cell r="AR428" t="str">
            <v>multi country</v>
          </cell>
          <cell r="AS428" t="str">
            <v>Europe</v>
          </cell>
          <cell r="AU428" t="str">
            <v>multi sector</v>
          </cell>
          <cell r="AW428">
            <v>274000000</v>
          </cell>
          <cell r="AX428">
            <v>548000000</v>
          </cell>
          <cell r="AY428">
            <v>2007</v>
          </cell>
          <cell r="AZ428">
            <v>2017</v>
          </cell>
          <cell r="BA428" t="str">
            <v>Yes</v>
          </cell>
          <cell r="BB428" t="str">
            <v>Yes</v>
          </cell>
          <cell r="BC428" t="str">
            <v>1+1 years</v>
          </cell>
          <cell r="BF428" t="str">
            <v>&gt; 15% - ≤ 40%</v>
          </cell>
          <cell r="BG428" t="str">
            <v>&gt; 5 - ≤ 25%</v>
          </cell>
          <cell r="BH428" t="str">
            <v>2020-12-31</v>
          </cell>
          <cell r="BI428">
            <v>41255527</v>
          </cell>
          <cell r="BJ428">
            <v>41255527</v>
          </cell>
          <cell r="BK428">
            <v>24717343</v>
          </cell>
          <cell r="BL428">
            <v>24717343</v>
          </cell>
          <cell r="BM428">
            <v>35.200000000000003</v>
          </cell>
          <cell r="BN428" t="str">
            <v>No</v>
          </cell>
          <cell r="BO428" t="str">
            <v>External</v>
          </cell>
          <cell r="BP428">
            <v>13</v>
          </cell>
          <cell r="BQ428">
            <v>1</v>
          </cell>
          <cell r="BR428">
            <v>274000000</v>
          </cell>
          <cell r="BS428">
            <v>274000000</v>
          </cell>
          <cell r="BT428">
            <v>274000000</v>
          </cell>
          <cell r="BU428">
            <v>274000000</v>
          </cell>
          <cell r="BV428" t="str">
            <v>No</v>
          </cell>
          <cell r="BW428" t="str">
            <v>Croatia</v>
          </cell>
          <cell r="BX428" t="str">
            <v>Retail</v>
          </cell>
          <cell r="BY428">
            <v>69.3</v>
          </cell>
        </row>
        <row r="429">
          <cell r="A429">
            <v>392</v>
          </cell>
          <cell r="B429" t="str">
            <v>ROYAL LONDON PROPERTY FUND</v>
          </cell>
          <cell r="C429" t="str">
            <v>ROYAL LONDON ASSET MANAGEMENT LTD</v>
          </cell>
          <cell r="D429" t="str">
            <v>55 Gracechurch Street</v>
          </cell>
          <cell r="E429" t="str">
            <v>EC3V 0UF</v>
          </cell>
          <cell r="F429" t="str">
            <v>London</v>
          </cell>
          <cell r="G429" t="str">
            <v>United Kingdom</v>
          </cell>
          <cell r="H429" t="str">
            <v>+44 (0) 20 7506 6500</v>
          </cell>
          <cell r="I429" t="str">
            <v>+44 (0) 20 7506 6705</v>
          </cell>
          <cell r="J429" t="str">
            <v>http://www.rlam.co.uk</v>
          </cell>
          <cell r="K429" t="str">
            <v>Stephen Elliott</v>
          </cell>
          <cell r="L429" t="str">
            <v>stephen.elliott@rlam.co.uk</v>
          </cell>
          <cell r="M429" t="str">
            <v>+44 (0) 20 7506 6761</v>
          </cell>
          <cell r="N429" t="str">
            <v>Stephen Elliott</v>
          </cell>
          <cell r="O429" t="str">
            <v>stephen.elliott@rlam.co.uk</v>
          </cell>
          <cell r="P429" t="str">
            <v>+44 (0) 20 7506 6761</v>
          </cell>
          <cell r="Q429" t="str">
            <v>United Kingdom</v>
          </cell>
          <cell r="R429" t="str">
            <v>GBP</v>
          </cell>
          <cell r="S429" t="str">
            <v>Local GAAP</v>
          </cell>
          <cell r="T429" t="str">
            <v>Twice per year</v>
          </cell>
          <cell r="U429" t="str">
            <v>Monthly</v>
          </cell>
          <cell r="V429" t="str">
            <v>RICS</v>
          </cell>
          <cell r="X429" t="str">
            <v>PriceWaterhouseCoopers</v>
          </cell>
          <cell r="Y429" t="str">
            <v>Unit trust</v>
          </cell>
          <cell r="Z429" t="str">
            <v>No</v>
          </cell>
          <cell r="AA429" t="str">
            <v>No</v>
          </cell>
          <cell r="AB429">
            <v>0</v>
          </cell>
          <cell r="AC429" t="str">
            <v>Non-Listed Fund</v>
          </cell>
          <cell r="AD429" t="str">
            <v>Value-added</v>
          </cell>
          <cell r="AE429" t="str">
            <v>infinite</v>
          </cell>
          <cell r="AF429" t="str">
            <v>Open end</v>
          </cell>
          <cell r="AI429" t="str">
            <v>Net</v>
          </cell>
          <cell r="AJ429" t="str">
            <v>IPD UK Pooled Property Fund Indices Balanced Property Unit Trust Index</v>
          </cell>
          <cell r="AL429">
            <v>0</v>
          </cell>
          <cell r="AM429" t="str">
            <v>≤ 40%</v>
          </cell>
          <cell r="AN429" t="str">
            <v>Institutional</v>
          </cell>
          <cell r="AP429" t="str">
            <v>≥ 50%</v>
          </cell>
          <cell r="AQ429" t="str">
            <v>Europe</v>
          </cell>
          <cell r="AR429" t="str">
            <v>single country</v>
          </cell>
          <cell r="AT429" t="str">
            <v>United Kingdom</v>
          </cell>
          <cell r="AU429" t="str">
            <v>multi sector</v>
          </cell>
          <cell r="AW429">
            <v>215000000</v>
          </cell>
          <cell r="AY429">
            <v>1991</v>
          </cell>
          <cell r="BB429" t="str">
            <v>No</v>
          </cell>
          <cell r="BH429" t="str">
            <v>2012-06-30</v>
          </cell>
          <cell r="BI429">
            <v>215000000</v>
          </cell>
          <cell r="BJ429">
            <v>266987000</v>
          </cell>
          <cell r="BK429">
            <v>215000000</v>
          </cell>
          <cell r="BL429">
            <v>266987000</v>
          </cell>
          <cell r="BM429">
            <v>0</v>
          </cell>
          <cell r="BN429" t="str">
            <v>No</v>
          </cell>
          <cell r="BO429" t="str">
            <v>External</v>
          </cell>
          <cell r="BP429">
            <v>25</v>
          </cell>
          <cell r="BQ429">
            <v>36</v>
          </cell>
          <cell r="BR429">
            <v>215000000</v>
          </cell>
          <cell r="BS429">
            <v>258365500</v>
          </cell>
          <cell r="BU429">
            <v>0</v>
          </cell>
          <cell r="BV429" t="str">
            <v>No</v>
          </cell>
        </row>
        <row r="430">
          <cell r="A430">
            <v>616</v>
          </cell>
          <cell r="B430" t="str">
            <v>RREEF PROPERTY PENSION FUND</v>
          </cell>
          <cell r="C430" t="str">
            <v>DWS ALTERNATIVES GMBH</v>
          </cell>
          <cell r="D430" t="str">
            <v>Mainzer Landstraße 11-17</v>
          </cell>
          <cell r="E430">
            <v>60329</v>
          </cell>
          <cell r="F430" t="str">
            <v>Frankfurt</v>
          </cell>
          <cell r="G430" t="str">
            <v>Germany</v>
          </cell>
          <cell r="H430" t="str">
            <v>+496991016853</v>
          </cell>
          <cell r="I430" t="str">
            <v>+496991016909</v>
          </cell>
          <cell r="J430" t="str">
            <v>https://www.dws.de/</v>
          </cell>
          <cell r="K430" t="str">
            <v>Markus Wickenträger</v>
          </cell>
          <cell r="L430" t="str">
            <v>markus.wickentraeger@dws.com</v>
          </cell>
          <cell r="M430" t="str">
            <v>+496991016457</v>
          </cell>
          <cell r="N430" t="str">
            <v>Dr. Ulrich von Creytz</v>
          </cell>
          <cell r="O430" t="str">
            <v>ulrich-von.creytz@dwsw.com</v>
          </cell>
          <cell r="P430" t="str">
            <v>+496991016429</v>
          </cell>
          <cell r="Q430" t="str">
            <v>Germany</v>
          </cell>
          <cell r="R430" t="str">
            <v>EUR</v>
          </cell>
          <cell r="S430" t="str">
            <v>HGB</v>
          </cell>
          <cell r="T430" t="str">
            <v>Quarterly</v>
          </cell>
          <cell r="U430" t="str">
            <v>Annually</v>
          </cell>
          <cell r="V430" t="str">
            <v>ImmoWertV</v>
          </cell>
          <cell r="W430" t="str">
            <v>HGB</v>
          </cell>
          <cell r="X430" t="str">
            <v>KPMG</v>
          </cell>
          <cell r="Y430" t="str">
            <v>Spezialfonds</v>
          </cell>
          <cell r="Z430" t="str">
            <v>No</v>
          </cell>
          <cell r="AA430" t="str">
            <v>Yes</v>
          </cell>
          <cell r="AB430">
            <v>0</v>
          </cell>
          <cell r="AC430" t="str">
            <v>Non-Listed Fund</v>
          </cell>
          <cell r="AD430" t="str">
            <v>Core</v>
          </cell>
          <cell r="AE430" t="str">
            <v>infinite</v>
          </cell>
          <cell r="AF430" t="str">
            <v>Open end</v>
          </cell>
          <cell r="AI430" t="str">
            <v>Net</v>
          </cell>
          <cell r="AJ430" t="str">
            <v>MSCI SFIX</v>
          </cell>
          <cell r="AM430" t="str">
            <v>&gt; 40% - ≤ 60%</v>
          </cell>
          <cell r="AN430" t="str">
            <v>Institutional</v>
          </cell>
          <cell r="AO430" t="str">
            <v>&gt; 2</v>
          </cell>
          <cell r="AP430" t="str">
            <v>≥ 50%</v>
          </cell>
          <cell r="AQ430" t="str">
            <v>Europe</v>
          </cell>
          <cell r="AR430" t="str">
            <v>multi country</v>
          </cell>
          <cell r="AS430" t="str">
            <v>Western Europe</v>
          </cell>
          <cell r="AU430" t="str">
            <v>multi sector</v>
          </cell>
          <cell r="AY430">
            <v>2011</v>
          </cell>
          <cell r="BD430" t="str">
            <v>No</v>
          </cell>
          <cell r="BH430" t="str">
            <v>2020-12-31</v>
          </cell>
          <cell r="BI430">
            <v>1044835094.72</v>
          </cell>
          <cell r="BJ430">
            <v>1044835094.72</v>
          </cell>
          <cell r="BK430">
            <v>611526474.75</v>
          </cell>
          <cell r="BL430">
            <v>611526474.75</v>
          </cell>
          <cell r="BM430">
            <v>41.47</v>
          </cell>
          <cell r="BN430" t="str">
            <v>No</v>
          </cell>
          <cell r="BO430" t="str">
            <v>External</v>
          </cell>
          <cell r="BP430">
            <v>28</v>
          </cell>
          <cell r="BQ430">
            <v>217</v>
          </cell>
          <cell r="BR430">
            <v>645619289</v>
          </cell>
          <cell r="BS430">
            <v>645619289</v>
          </cell>
          <cell r="BT430">
            <v>563368116</v>
          </cell>
          <cell r="BU430">
            <v>563368116</v>
          </cell>
          <cell r="BV430" t="str">
            <v>Yes</v>
          </cell>
          <cell r="BW430" t="str">
            <v>Ireland</v>
          </cell>
          <cell r="BX430" t="str">
            <v>Industrial / Logistics</v>
          </cell>
          <cell r="BY430">
            <v>4.8600000000000003</v>
          </cell>
          <cell r="BZ430" t="str">
            <v>Netherlands</v>
          </cell>
          <cell r="CA430" t="str">
            <v>Residential</v>
          </cell>
          <cell r="CB430">
            <v>20.18</v>
          </cell>
          <cell r="CC430" t="str">
            <v>Germany</v>
          </cell>
          <cell r="CD430" t="str">
            <v>Residential</v>
          </cell>
          <cell r="CE430">
            <v>57.28</v>
          </cell>
          <cell r="CF430" t="str">
            <v>Germany</v>
          </cell>
          <cell r="CG430" t="str">
            <v>Retail</v>
          </cell>
          <cell r="CH430">
            <v>0.13</v>
          </cell>
          <cell r="CI430" t="str">
            <v>Germany</v>
          </cell>
          <cell r="CJ430" t="str">
            <v>Hotel</v>
          </cell>
          <cell r="CK430">
            <v>4.43</v>
          </cell>
          <cell r="CL430" t="str">
            <v>Germany</v>
          </cell>
          <cell r="CM430" t="str">
            <v>Parking</v>
          </cell>
          <cell r="CN430">
            <v>0.01</v>
          </cell>
          <cell r="CO430" t="str">
            <v>Germany</v>
          </cell>
          <cell r="CP430" t="str">
            <v>Mixed</v>
          </cell>
          <cell r="CQ430">
            <v>5.04</v>
          </cell>
          <cell r="CR430" t="str">
            <v>United Kingdom</v>
          </cell>
          <cell r="CS430" t="str">
            <v>Retail</v>
          </cell>
          <cell r="CT430">
            <v>3.5</v>
          </cell>
          <cell r="CU430" t="str">
            <v>France</v>
          </cell>
          <cell r="CV430" t="str">
            <v>Retail</v>
          </cell>
          <cell r="CW430">
            <v>4.57</v>
          </cell>
        </row>
        <row r="431">
          <cell r="A431">
            <v>409</v>
          </cell>
          <cell r="B431" t="str">
            <v>S-DOMUS-FONDS NO. 1</v>
          </cell>
          <cell r="C431" t="str">
            <v>DEKA IMMOBILIEN INVESTMENT</v>
          </cell>
          <cell r="D431" t="str">
            <v>Taunusanlage 1</v>
          </cell>
          <cell r="E431">
            <v>60329</v>
          </cell>
          <cell r="F431" t="str">
            <v>Frankfurt</v>
          </cell>
          <cell r="G431" t="str">
            <v>Germany</v>
          </cell>
          <cell r="H431" t="str">
            <v>+49 (0) 69 71 47 0</v>
          </cell>
          <cell r="I431" t="str">
            <v>+49 (0) 69 71 47 31 14</v>
          </cell>
          <cell r="J431" t="str">
            <v>http://www.deka-immobilien.de</v>
          </cell>
          <cell r="K431" t="str">
            <v>Dirk Schleif</v>
          </cell>
          <cell r="L431" t="str">
            <v>dirk.schleif@deka.de</v>
          </cell>
          <cell r="M431" t="str">
            <v>+49 (0) 69 71 47 78 96</v>
          </cell>
          <cell r="N431" t="str">
            <v>Michaela Graefe</v>
          </cell>
          <cell r="O431" t="str">
            <v>michaela.graefe@deka.de</v>
          </cell>
          <cell r="P431" t="str">
            <v>+49 (0) 69 71 47 35 04</v>
          </cell>
          <cell r="Q431" t="str">
            <v>Germany</v>
          </cell>
          <cell r="R431" t="str">
            <v>EUR</v>
          </cell>
          <cell r="S431" t="str">
            <v>German HGB</v>
          </cell>
          <cell r="T431" t="str">
            <v>Annually</v>
          </cell>
          <cell r="U431" t="str">
            <v>Annually</v>
          </cell>
          <cell r="V431" t="str">
            <v>ImmoWertV</v>
          </cell>
          <cell r="X431" t="str">
            <v>KPMG</v>
          </cell>
          <cell r="Y431" t="str">
            <v>Spezialfonds</v>
          </cell>
          <cell r="Z431" t="str">
            <v>No</v>
          </cell>
          <cell r="AA431" t="str">
            <v>Yes</v>
          </cell>
          <cell r="AB431">
            <v>11</v>
          </cell>
          <cell r="AC431" t="str">
            <v>Non-Listed Fund</v>
          </cell>
          <cell r="AD431" t="str">
            <v>Core</v>
          </cell>
          <cell r="AE431" t="str">
            <v>infinite</v>
          </cell>
          <cell r="AF431" t="str">
            <v>Open end</v>
          </cell>
          <cell r="AG431">
            <v>4.5</v>
          </cell>
          <cell r="AH431">
            <v>5.5</v>
          </cell>
          <cell r="AI431" t="str">
            <v>Net</v>
          </cell>
          <cell r="AJ431" t="str">
            <v>None</v>
          </cell>
          <cell r="AK431">
            <v>5</v>
          </cell>
          <cell r="AL431">
            <v>50</v>
          </cell>
          <cell r="AM431" t="str">
            <v>&gt; 40% - ≤ 60%</v>
          </cell>
          <cell r="AN431" t="str">
            <v>Institutional</v>
          </cell>
          <cell r="AO431" t="str">
            <v>&gt; 2</v>
          </cell>
          <cell r="AP431" t="str">
            <v>≥ 50%</v>
          </cell>
          <cell r="AQ431" t="str">
            <v>Europe</v>
          </cell>
          <cell r="AR431" t="str">
            <v>multi country</v>
          </cell>
          <cell r="AS431" t="str">
            <v>Europe</v>
          </cell>
          <cell r="AU431" t="str">
            <v>multi sector</v>
          </cell>
          <cell r="AW431">
            <v>250000000</v>
          </cell>
          <cell r="AX431">
            <v>500000000</v>
          </cell>
          <cell r="AY431">
            <v>2001</v>
          </cell>
          <cell r="BA431" t="str">
            <v>No</v>
          </cell>
          <cell r="BH431" t="str">
            <v>2020-12-31</v>
          </cell>
          <cell r="BI431">
            <v>487575929</v>
          </cell>
          <cell r="BJ431">
            <v>487575929</v>
          </cell>
          <cell r="BK431">
            <v>262545977</v>
          </cell>
          <cell r="BL431">
            <v>262545977</v>
          </cell>
          <cell r="BM431">
            <v>48.7</v>
          </cell>
          <cell r="BN431" t="str">
            <v>No</v>
          </cell>
          <cell r="BO431" t="str">
            <v>External</v>
          </cell>
          <cell r="BP431">
            <v>11</v>
          </cell>
          <cell r="BQ431">
            <v>18</v>
          </cell>
          <cell r="BR431">
            <v>253996343</v>
          </cell>
          <cell r="BS431">
            <v>253996343</v>
          </cell>
          <cell r="BT431">
            <v>253996343</v>
          </cell>
          <cell r="BU431">
            <v>253996343</v>
          </cell>
          <cell r="BV431" t="str">
            <v>No</v>
          </cell>
          <cell r="BW431" t="str">
            <v>Germany</v>
          </cell>
          <cell r="BX431" t="str">
            <v>Office</v>
          </cell>
          <cell r="BY431">
            <v>13.2</v>
          </cell>
          <cell r="BZ431" t="str">
            <v>Germany</v>
          </cell>
          <cell r="CA431" t="str">
            <v>Industrial / Logistics</v>
          </cell>
          <cell r="CB431">
            <v>2.7</v>
          </cell>
          <cell r="CC431" t="str">
            <v>United Kingdom</v>
          </cell>
          <cell r="CD431" t="str">
            <v>Office</v>
          </cell>
          <cell r="CE431">
            <v>5.3</v>
          </cell>
          <cell r="CF431" t="str">
            <v>Netherlands</v>
          </cell>
          <cell r="CG431" t="str">
            <v>Office</v>
          </cell>
          <cell r="CH431">
            <v>1.7</v>
          </cell>
          <cell r="CI431" t="str">
            <v>Belgium</v>
          </cell>
          <cell r="CJ431" t="str">
            <v>Office</v>
          </cell>
          <cell r="CK431">
            <v>8.1</v>
          </cell>
          <cell r="CL431" t="str">
            <v>France</v>
          </cell>
          <cell r="CM431" t="str">
            <v>Office</v>
          </cell>
          <cell r="CN431">
            <v>5.9</v>
          </cell>
          <cell r="CO431" t="str">
            <v>Italy</v>
          </cell>
          <cell r="CP431" t="str">
            <v>Office</v>
          </cell>
          <cell r="CQ431">
            <v>6.1</v>
          </cell>
          <cell r="CR431" t="str">
            <v>Poland</v>
          </cell>
          <cell r="CS431" t="str">
            <v>Hotel</v>
          </cell>
          <cell r="CT431">
            <v>6.4</v>
          </cell>
          <cell r="CU431" t="str">
            <v>Czech Republic</v>
          </cell>
          <cell r="CV431" t="str">
            <v>Office</v>
          </cell>
          <cell r="CW431">
            <v>8.5</v>
          </cell>
          <cell r="CX431" t="str">
            <v>Finland</v>
          </cell>
          <cell r="CY431" t="str">
            <v>Office</v>
          </cell>
          <cell r="CZ431">
            <v>8.3000000000000007</v>
          </cell>
          <cell r="DA431" t="str">
            <v>Germany</v>
          </cell>
          <cell r="DB431" t="str">
            <v>Mixed</v>
          </cell>
          <cell r="DC431">
            <v>9.4</v>
          </cell>
          <cell r="DD431" t="str">
            <v>United Kingdom</v>
          </cell>
          <cell r="DE431" t="str">
            <v>Hotel</v>
          </cell>
          <cell r="DF431">
            <v>8.6</v>
          </cell>
          <cell r="DG431" t="str">
            <v>Switzerland</v>
          </cell>
          <cell r="DH431" t="str">
            <v>Office</v>
          </cell>
          <cell r="DI431">
            <v>5.6</v>
          </cell>
          <cell r="DJ431" t="str">
            <v>Netherlands</v>
          </cell>
          <cell r="DK431" t="str">
            <v>Retail</v>
          </cell>
          <cell r="DL431">
            <v>10.199999999999999</v>
          </cell>
        </row>
        <row r="432">
          <cell r="A432">
            <v>16077</v>
          </cell>
          <cell r="B432" t="str">
            <v>SARASIN SUSTAINABLE PROPERTIES - EUROPEAN CITIES</v>
          </cell>
          <cell r="C432" t="str">
            <v>CATELLA REAL ESTATE AG</v>
          </cell>
          <cell r="D432" t="str">
            <v>Alter Hof 5</v>
          </cell>
          <cell r="E432">
            <v>80331</v>
          </cell>
          <cell r="F432" t="str">
            <v>Munich</v>
          </cell>
          <cell r="G432" t="str">
            <v>Germany</v>
          </cell>
          <cell r="H432" t="str">
            <v>+4989166511</v>
          </cell>
          <cell r="I432" t="str">
            <v>+4989166566</v>
          </cell>
          <cell r="J432" t="str">
            <v>https://catella-realestate.de</v>
          </cell>
          <cell r="K432" t="str">
            <v>Nicolas Hartel</v>
          </cell>
          <cell r="L432" t="str">
            <v>nicolas.hartel@catella.de</v>
          </cell>
          <cell r="M432" t="str">
            <v>+49 89 189 16 65 26</v>
          </cell>
          <cell r="N432" t="str">
            <v>Carolin von Miller</v>
          </cell>
          <cell r="O432" t="str">
            <v>carolin.miller@catella.de</v>
          </cell>
          <cell r="P432" t="str">
            <v>+49 89 189 16 65 37</v>
          </cell>
          <cell r="Q432" t="str">
            <v>Germany</v>
          </cell>
          <cell r="R432" t="str">
            <v>EUR</v>
          </cell>
          <cell r="T432" t="str">
            <v>Monthly</v>
          </cell>
          <cell r="U432" t="str">
            <v>Annually</v>
          </cell>
          <cell r="V432" t="str">
            <v>Other - mark to market</v>
          </cell>
          <cell r="W432" t="str">
            <v>BVI</v>
          </cell>
          <cell r="X432" t="str">
            <v>PWC</v>
          </cell>
          <cell r="Y432" t="str">
            <v>Spezialfonds</v>
          </cell>
          <cell r="Z432" t="str">
            <v>No</v>
          </cell>
          <cell r="AA432" t="str">
            <v>Yes</v>
          </cell>
          <cell r="AB432">
            <v>8</v>
          </cell>
          <cell r="AC432" t="str">
            <v>Non-Listed Fund</v>
          </cell>
          <cell r="AD432" t="str">
            <v>Core</v>
          </cell>
          <cell r="AE432" t="str">
            <v>infinite</v>
          </cell>
          <cell r="AF432" t="str">
            <v>Open end</v>
          </cell>
          <cell r="AK432">
            <v>4.5</v>
          </cell>
          <cell r="AL432">
            <v>30</v>
          </cell>
          <cell r="AN432" t="str">
            <v>Institutional</v>
          </cell>
          <cell r="AO432" t="str">
            <v>&gt; 2</v>
          </cell>
          <cell r="AP432" t="str">
            <v>≥ 50%</v>
          </cell>
          <cell r="AQ432" t="str">
            <v>Europe</v>
          </cell>
          <cell r="AR432" t="str">
            <v>multi country</v>
          </cell>
          <cell r="AS432" t="str">
            <v>Europe</v>
          </cell>
          <cell r="AU432" t="str">
            <v>multi sector</v>
          </cell>
          <cell r="AY432">
            <v>2011</v>
          </cell>
          <cell r="BH432" t="str">
            <v>2020-12-31</v>
          </cell>
          <cell r="BI432">
            <v>555766713.02999997</v>
          </cell>
          <cell r="BJ432">
            <v>555766713.02999997</v>
          </cell>
          <cell r="BK432">
            <v>469068596.16000003</v>
          </cell>
          <cell r="BL432">
            <v>469068596.16000003</v>
          </cell>
          <cell r="BM432">
            <v>27.3</v>
          </cell>
          <cell r="BN432" t="str">
            <v>No</v>
          </cell>
          <cell r="BO432" t="str">
            <v>Internal</v>
          </cell>
          <cell r="BP432">
            <v>47</v>
          </cell>
          <cell r="BQ432">
            <v>22</v>
          </cell>
          <cell r="BR432">
            <v>0</v>
          </cell>
          <cell r="BS432">
            <v>0</v>
          </cell>
          <cell r="BT432">
            <v>0</v>
          </cell>
          <cell r="BV432" t="str">
            <v>No</v>
          </cell>
          <cell r="BW432" t="str">
            <v>Germany</v>
          </cell>
          <cell r="BX432" t="str">
            <v>Other</v>
          </cell>
          <cell r="BY432">
            <v>2.7</v>
          </cell>
          <cell r="BZ432" t="str">
            <v>Germany</v>
          </cell>
          <cell r="CA432" t="str">
            <v>Retail</v>
          </cell>
          <cell r="CB432">
            <v>3</v>
          </cell>
          <cell r="CC432" t="str">
            <v>Germany</v>
          </cell>
          <cell r="CD432" t="str">
            <v>Office</v>
          </cell>
          <cell r="CE432">
            <v>24</v>
          </cell>
          <cell r="CF432" t="str">
            <v>Netherlands</v>
          </cell>
          <cell r="CG432" t="str">
            <v>Office</v>
          </cell>
          <cell r="CH432">
            <v>17.600000000000001</v>
          </cell>
          <cell r="CI432" t="str">
            <v>Netherlands</v>
          </cell>
          <cell r="CJ432" t="str">
            <v>Office</v>
          </cell>
          <cell r="CK432">
            <v>2.2000000000000002</v>
          </cell>
          <cell r="CL432" t="str">
            <v>Netherlands</v>
          </cell>
          <cell r="CM432" t="str">
            <v>Other</v>
          </cell>
          <cell r="CN432">
            <v>2</v>
          </cell>
          <cell r="CO432" t="str">
            <v>Belgium</v>
          </cell>
          <cell r="CP432" t="str">
            <v>Office</v>
          </cell>
          <cell r="CQ432">
            <v>12</v>
          </cell>
          <cell r="CR432" t="str">
            <v>Belgium</v>
          </cell>
          <cell r="CS432" t="str">
            <v>Retail</v>
          </cell>
          <cell r="CT432">
            <v>1.5</v>
          </cell>
          <cell r="CU432" t="str">
            <v>Belgium</v>
          </cell>
          <cell r="CV432" t="str">
            <v>Other</v>
          </cell>
          <cell r="CW432">
            <v>1.35</v>
          </cell>
          <cell r="CX432" t="str">
            <v>Ireland</v>
          </cell>
          <cell r="CY432" t="str">
            <v>Office</v>
          </cell>
          <cell r="CZ432">
            <v>7</v>
          </cell>
          <cell r="DA432" t="str">
            <v>Ireland</v>
          </cell>
          <cell r="DB432" t="str">
            <v>Retail</v>
          </cell>
          <cell r="DC432">
            <v>1</v>
          </cell>
          <cell r="DD432" t="str">
            <v>Ireland</v>
          </cell>
          <cell r="DE432" t="str">
            <v>Other</v>
          </cell>
          <cell r="DF432">
            <v>1</v>
          </cell>
        </row>
        <row r="433">
          <cell r="A433">
            <v>106</v>
          </cell>
          <cell r="B433" t="str">
            <v>SAVILLS IM EUROPEAN COMMERCIAL FUND</v>
          </cell>
          <cell r="C433" t="str">
            <v>SAVILLS INVESTMENT MANAGEMENT (LUXEMBOURG) S.à R. L.</v>
          </cell>
          <cell r="D433" t="str">
            <v>10 Rue C.M. Spoo</v>
          </cell>
          <cell r="E433" t="str">
            <v>L-2546</v>
          </cell>
          <cell r="F433" t="str">
            <v>Luxembourg</v>
          </cell>
          <cell r="G433" t="str">
            <v>Luxembourg</v>
          </cell>
          <cell r="H433" t="str">
            <v>+35226649339</v>
          </cell>
          <cell r="I433" t="str">
            <v>+35226649941</v>
          </cell>
          <cell r="J433" t="str">
            <v>http://www.savillsim.com</v>
          </cell>
          <cell r="K433" t="str">
            <v>Gerhard Lehner</v>
          </cell>
          <cell r="L433" t="str">
            <v>gerhard.lehner@savillsim.com</v>
          </cell>
          <cell r="M433" t="str">
            <v>+4989203020226</v>
          </cell>
          <cell r="N433" t="str">
            <v>Stefanie Volz</v>
          </cell>
          <cell r="O433" t="str">
            <v>stefanie.volz@savillsim-kvg.com</v>
          </cell>
          <cell r="P433" t="str">
            <v>+4969272991222</v>
          </cell>
          <cell r="Q433" t="str">
            <v>Luxembourg</v>
          </cell>
          <cell r="R433" t="str">
            <v>EUR</v>
          </cell>
          <cell r="S433" t="str">
            <v>IFRS</v>
          </cell>
          <cell r="T433" t="str">
            <v>Quarterly</v>
          </cell>
          <cell r="U433" t="str">
            <v>Quarterly</v>
          </cell>
          <cell r="V433" t="str">
            <v>RICS</v>
          </cell>
          <cell r="W433" t="str">
            <v>INREV NAV</v>
          </cell>
          <cell r="X433" t="str">
            <v>PriceWaterhouseCoopers</v>
          </cell>
          <cell r="Y433" t="str">
            <v>FCP</v>
          </cell>
          <cell r="Z433" t="str">
            <v>Yes</v>
          </cell>
          <cell r="AA433" t="str">
            <v>Yes</v>
          </cell>
          <cell r="AB433">
            <v>0</v>
          </cell>
          <cell r="AC433" t="str">
            <v>Non-Listed Fund</v>
          </cell>
          <cell r="AD433" t="str">
            <v>Core</v>
          </cell>
          <cell r="AE433" t="str">
            <v>infinite</v>
          </cell>
          <cell r="AF433" t="str">
            <v>Open end</v>
          </cell>
          <cell r="AG433">
            <v>7</v>
          </cell>
          <cell r="AH433">
            <v>7</v>
          </cell>
          <cell r="AI433" t="str">
            <v>Net</v>
          </cell>
          <cell r="AJ433" t="str">
            <v>None</v>
          </cell>
          <cell r="AK433">
            <v>5</v>
          </cell>
          <cell r="AL433">
            <v>50</v>
          </cell>
          <cell r="AM433" t="str">
            <v>&gt; 40% - ≤ 60%</v>
          </cell>
          <cell r="AN433" t="str">
            <v>Institutional</v>
          </cell>
          <cell r="AO433" t="str">
            <v>&gt; 2</v>
          </cell>
          <cell r="AP433" t="str">
            <v>≥ 50%</v>
          </cell>
          <cell r="AQ433" t="str">
            <v>Europe</v>
          </cell>
          <cell r="AR433" t="str">
            <v>multi country</v>
          </cell>
          <cell r="AS433" t="str">
            <v>Western Europe</v>
          </cell>
          <cell r="AU433" t="str">
            <v>multi sector</v>
          </cell>
          <cell r="AW433">
            <v>350000000</v>
          </cell>
          <cell r="AX433">
            <v>700000000</v>
          </cell>
          <cell r="AY433">
            <v>2008</v>
          </cell>
          <cell r="BE433" t="str">
            <v>≥ 60%</v>
          </cell>
          <cell r="BF433" t="str">
            <v>≤ 15%</v>
          </cell>
          <cell r="BG433" t="str">
            <v>≤ 5%</v>
          </cell>
          <cell r="BH433" t="str">
            <v>2020-09-30</v>
          </cell>
          <cell r="BI433">
            <v>895002764</v>
          </cell>
          <cell r="BJ433">
            <v>895002764</v>
          </cell>
          <cell r="BK433">
            <v>486249687</v>
          </cell>
          <cell r="BL433">
            <v>486249687</v>
          </cell>
          <cell r="BM433">
            <v>44.2</v>
          </cell>
          <cell r="BN433" t="str">
            <v>Yes</v>
          </cell>
          <cell r="BO433" t="str">
            <v>External</v>
          </cell>
          <cell r="BP433">
            <v>10</v>
          </cell>
          <cell r="BQ433">
            <v>19</v>
          </cell>
          <cell r="BR433">
            <v>509000000</v>
          </cell>
          <cell r="BS433">
            <v>509000000</v>
          </cell>
          <cell r="BT433">
            <v>474000000</v>
          </cell>
          <cell r="BU433">
            <v>474000000</v>
          </cell>
          <cell r="BV433" t="str">
            <v>Yes</v>
          </cell>
          <cell r="BW433" t="str">
            <v>Denmark</v>
          </cell>
          <cell r="BX433" t="str">
            <v>Other</v>
          </cell>
          <cell r="BY433">
            <v>1.5</v>
          </cell>
          <cell r="BZ433" t="str">
            <v>Denmark</v>
          </cell>
          <cell r="CA433" t="str">
            <v>Office</v>
          </cell>
          <cell r="CB433">
            <v>2.2000000000000002</v>
          </cell>
          <cell r="CC433" t="str">
            <v>Denmark</v>
          </cell>
          <cell r="CD433" t="str">
            <v>Retail</v>
          </cell>
          <cell r="CE433">
            <v>4.5</v>
          </cell>
          <cell r="CF433" t="str">
            <v>Finland</v>
          </cell>
          <cell r="CG433" t="str">
            <v>Other</v>
          </cell>
          <cell r="CH433">
            <v>0.4</v>
          </cell>
          <cell r="CI433" t="str">
            <v>Finland</v>
          </cell>
          <cell r="CJ433" t="str">
            <v>Office</v>
          </cell>
          <cell r="CK433">
            <v>3</v>
          </cell>
          <cell r="CL433" t="str">
            <v>Finland</v>
          </cell>
          <cell r="CM433" t="str">
            <v>Retail</v>
          </cell>
          <cell r="CN433">
            <v>5.2</v>
          </cell>
          <cell r="CO433" t="str">
            <v>Germany</v>
          </cell>
          <cell r="CP433" t="str">
            <v>Other</v>
          </cell>
          <cell r="CQ433">
            <v>1.8</v>
          </cell>
          <cell r="CR433" t="str">
            <v>Germany</v>
          </cell>
          <cell r="CS433" t="str">
            <v>Industrial / Logistics</v>
          </cell>
          <cell r="CT433">
            <v>3.7</v>
          </cell>
          <cell r="CU433" t="str">
            <v>Germany</v>
          </cell>
          <cell r="CV433" t="str">
            <v>Office</v>
          </cell>
          <cell r="CW433">
            <v>9.1</v>
          </cell>
          <cell r="CX433" t="str">
            <v>Germany</v>
          </cell>
          <cell r="CY433" t="str">
            <v>Retail</v>
          </cell>
          <cell r="CZ433">
            <v>6.8</v>
          </cell>
          <cell r="DA433" t="str">
            <v>Italy</v>
          </cell>
          <cell r="DB433" t="str">
            <v>Office</v>
          </cell>
          <cell r="DC433">
            <v>4.3</v>
          </cell>
          <cell r="DD433" t="str">
            <v>Italy</v>
          </cell>
          <cell r="DE433" t="str">
            <v>Retail</v>
          </cell>
          <cell r="DF433">
            <v>4.8</v>
          </cell>
          <cell r="DG433" t="str">
            <v>Belgium</v>
          </cell>
          <cell r="DH433" t="str">
            <v>Office</v>
          </cell>
          <cell r="DI433">
            <v>3.9</v>
          </cell>
          <cell r="DJ433" t="str">
            <v>United Kingdom</v>
          </cell>
          <cell r="DK433" t="str">
            <v>Other</v>
          </cell>
          <cell r="DL433">
            <v>0.2</v>
          </cell>
          <cell r="DM433" t="str">
            <v>United Kingdom</v>
          </cell>
          <cell r="DN433" t="str">
            <v>Office</v>
          </cell>
          <cell r="DO433">
            <v>8.1</v>
          </cell>
          <cell r="DP433" t="str">
            <v>United Kingdom</v>
          </cell>
          <cell r="DQ433" t="str">
            <v>Retail</v>
          </cell>
          <cell r="DR433">
            <v>4.5</v>
          </cell>
          <cell r="DS433" t="str">
            <v>France</v>
          </cell>
          <cell r="DT433" t="str">
            <v>Industrial / Logistics</v>
          </cell>
          <cell r="DU433">
            <v>2.5</v>
          </cell>
          <cell r="DV433" t="str">
            <v>France</v>
          </cell>
          <cell r="DW433" t="str">
            <v>Office</v>
          </cell>
          <cell r="DX433">
            <v>10.199999999999999</v>
          </cell>
          <cell r="DY433" t="str">
            <v>France</v>
          </cell>
          <cell r="DZ433" t="str">
            <v>Retail</v>
          </cell>
          <cell r="EA433">
            <v>9.4</v>
          </cell>
          <cell r="EB433" t="str">
            <v>Sweden</v>
          </cell>
          <cell r="EC433" t="str">
            <v>Other</v>
          </cell>
          <cell r="ED433">
            <v>0.1</v>
          </cell>
          <cell r="EE433" t="str">
            <v>Sweden</v>
          </cell>
          <cell r="EF433" t="str">
            <v>Retail</v>
          </cell>
          <cell r="EG433">
            <v>7.2</v>
          </cell>
        </row>
        <row r="434">
          <cell r="A434">
            <v>18125</v>
          </cell>
          <cell r="B434" t="str">
            <v>SAVILLS IM EUROPEAN LOGISTICS FUND 2</v>
          </cell>
          <cell r="C434" t="str">
            <v>SAVILLS INVESTMENT MANAGEMENT KVG GMBH</v>
          </cell>
          <cell r="D434" t="str">
            <v>Rotfeder-Ring 7</v>
          </cell>
          <cell r="E434">
            <v>60327</v>
          </cell>
          <cell r="F434" t="str">
            <v>Frankfurt am Main</v>
          </cell>
          <cell r="G434" t="str">
            <v>Germany</v>
          </cell>
          <cell r="H434" t="str">
            <v>+49 69 272 99 1000</v>
          </cell>
          <cell r="I434" t="str">
            <v>+49 69 272 99 090</v>
          </cell>
          <cell r="J434" t="str">
            <v>http://www.savillsim.de/uber-uns/savills-investment-management-kvg-gmbh.aspx</v>
          </cell>
          <cell r="K434" t="str">
            <v>Daniel Hohenthanner</v>
          </cell>
          <cell r="L434" t="str">
            <v>daniel.hohenthanner@savillsim.com</v>
          </cell>
          <cell r="M434" t="str">
            <v>+49 89 20 30 20 206</v>
          </cell>
          <cell r="N434" t="str">
            <v>Sophie Schäfer</v>
          </cell>
          <cell r="O434" t="str">
            <v>sophie.schaefer@savillsim.com</v>
          </cell>
          <cell r="P434" t="str">
            <v>+49 89 20 30 20 210</v>
          </cell>
          <cell r="Q434" t="str">
            <v>Germany</v>
          </cell>
          <cell r="R434" t="str">
            <v>EUR</v>
          </cell>
          <cell r="S434" t="str">
            <v>Local GAAP</v>
          </cell>
          <cell r="T434" t="str">
            <v>Monthly</v>
          </cell>
          <cell r="U434" t="str">
            <v>Annually</v>
          </cell>
          <cell r="V434" t="str">
            <v>ImmoWertV</v>
          </cell>
          <cell r="W434" t="str">
            <v>German Investment Act (KAGB) based on German Gaap (HGB)</v>
          </cell>
          <cell r="X434" t="str">
            <v>KPMG</v>
          </cell>
          <cell r="Y434" t="str">
            <v>Spezialfonds</v>
          </cell>
          <cell r="Z434" t="str">
            <v>No</v>
          </cell>
          <cell r="AA434" t="str">
            <v>Yes</v>
          </cell>
          <cell r="AB434">
            <v>0</v>
          </cell>
          <cell r="AC434" t="str">
            <v>Non-Listed Fund</v>
          </cell>
          <cell r="AD434" t="str">
            <v>Core</v>
          </cell>
          <cell r="AE434" t="str">
            <v>infinite</v>
          </cell>
          <cell r="AF434" t="str">
            <v>Open end</v>
          </cell>
          <cell r="AG434">
            <v>6</v>
          </cell>
          <cell r="AH434">
            <v>6.5</v>
          </cell>
          <cell r="AI434" t="str">
            <v>Net</v>
          </cell>
          <cell r="AK434">
            <v>6</v>
          </cell>
          <cell r="AL434">
            <v>50</v>
          </cell>
          <cell r="AM434" t="str">
            <v>&gt; 40% - ≤ 60%</v>
          </cell>
          <cell r="AN434" t="str">
            <v>Institutional</v>
          </cell>
          <cell r="AO434" t="str">
            <v>&gt; 2</v>
          </cell>
          <cell r="AP434" t="str">
            <v>≥ 50%</v>
          </cell>
          <cell r="AQ434" t="str">
            <v>Europe</v>
          </cell>
          <cell r="AR434" t="str">
            <v>multi country</v>
          </cell>
          <cell r="AS434" t="str">
            <v>Europe</v>
          </cell>
          <cell r="AU434" t="str">
            <v>single sector</v>
          </cell>
          <cell r="AV434" t="str">
            <v>Industrial / Logistics</v>
          </cell>
          <cell r="AW434">
            <v>250000000</v>
          </cell>
          <cell r="AX434">
            <v>500000000</v>
          </cell>
          <cell r="AY434">
            <v>2015</v>
          </cell>
          <cell r="BB434" t="str">
            <v>No</v>
          </cell>
          <cell r="BD434" t="str">
            <v>Yes</v>
          </cell>
          <cell r="BE434" t="str">
            <v>≥ 60%</v>
          </cell>
          <cell r="BF434" t="str">
            <v>≤ 15%</v>
          </cell>
          <cell r="BG434" t="str">
            <v>≤ 5%</v>
          </cell>
          <cell r="BH434" t="str">
            <v>2020-12-31</v>
          </cell>
          <cell r="BI434">
            <v>753905213.47000003</v>
          </cell>
          <cell r="BJ434">
            <v>753905213.47000003</v>
          </cell>
          <cell r="BK434">
            <v>606890574.23000002</v>
          </cell>
          <cell r="BL434">
            <v>606890574.23000002</v>
          </cell>
          <cell r="BM434">
            <v>44.13</v>
          </cell>
          <cell r="BN434" t="str">
            <v>No</v>
          </cell>
          <cell r="BO434" t="str">
            <v>External</v>
          </cell>
          <cell r="BP434">
            <v>28</v>
          </cell>
          <cell r="BQ434">
            <v>27</v>
          </cell>
          <cell r="BR434">
            <v>560000000</v>
          </cell>
          <cell r="BS434">
            <v>560000000</v>
          </cell>
          <cell r="BT434">
            <v>560000000</v>
          </cell>
          <cell r="BU434">
            <v>560000000</v>
          </cell>
          <cell r="BV434" t="str">
            <v>No</v>
          </cell>
          <cell r="BW434" t="str">
            <v>Poland</v>
          </cell>
          <cell r="BX434" t="str">
            <v>Industrial / Logistics</v>
          </cell>
          <cell r="BY434">
            <v>9</v>
          </cell>
          <cell r="BZ434" t="str">
            <v>Spain</v>
          </cell>
          <cell r="CA434" t="str">
            <v>Industrial / Logistics</v>
          </cell>
          <cell r="CB434">
            <v>6</v>
          </cell>
          <cell r="CC434" t="str">
            <v>Sweden</v>
          </cell>
          <cell r="CD434" t="str">
            <v>Industrial / Logistics</v>
          </cell>
          <cell r="CE434">
            <v>10</v>
          </cell>
          <cell r="CF434" t="str">
            <v>Netherlands</v>
          </cell>
          <cell r="CG434" t="str">
            <v>Industrial / Logistics</v>
          </cell>
          <cell r="CH434">
            <v>19</v>
          </cell>
          <cell r="CI434" t="str">
            <v>Germany</v>
          </cell>
          <cell r="CJ434" t="str">
            <v>Industrial / Logistics</v>
          </cell>
          <cell r="CK434">
            <v>32</v>
          </cell>
          <cell r="CL434" t="str">
            <v>France</v>
          </cell>
          <cell r="CM434" t="str">
            <v>Industrial / Logistics</v>
          </cell>
          <cell r="CN434">
            <v>24</v>
          </cell>
        </row>
        <row r="435">
          <cell r="A435">
            <v>598</v>
          </cell>
          <cell r="B435" t="str">
            <v>SAVILLS IM EUROPEAN OFFICE FUND</v>
          </cell>
          <cell r="C435" t="str">
            <v>SAVILLS FUND MANAGEMENT GMBH</v>
          </cell>
          <cell r="D435" t="str">
            <v>Rotfeder-Ring 7</v>
          </cell>
          <cell r="E435">
            <v>60327</v>
          </cell>
          <cell r="F435" t="str">
            <v>Frankfurt</v>
          </cell>
          <cell r="G435" t="str">
            <v>Germany</v>
          </cell>
          <cell r="H435" t="str">
            <v>+49 69 27299 1000</v>
          </cell>
          <cell r="I435" t="str">
            <v>+49 69 27299 090</v>
          </cell>
          <cell r="J435" t="str">
            <v>http://www.savillsim.de</v>
          </cell>
          <cell r="K435" t="str">
            <v>Roland M. Döhn</v>
          </cell>
          <cell r="L435" t="str">
            <v>Roland.Doehn@savillsim-kvg.com</v>
          </cell>
          <cell r="M435" t="str">
            <v>+49 69 27299 1200</v>
          </cell>
          <cell r="N435" t="str">
            <v>Kai Hagenmaier</v>
          </cell>
          <cell r="O435" t="str">
            <v>kai.hagenmaier@savillsim-kvg.com</v>
          </cell>
          <cell r="P435" t="str">
            <v>+49 69 27299 1221</v>
          </cell>
          <cell r="Q435" t="str">
            <v>Germany</v>
          </cell>
          <cell r="R435" t="str">
            <v>EUR</v>
          </cell>
          <cell r="S435" t="str">
            <v>Local GAAP</v>
          </cell>
          <cell r="T435" t="str">
            <v>Annually</v>
          </cell>
          <cell r="U435" t="str">
            <v>Annually</v>
          </cell>
          <cell r="W435" t="str">
            <v>KAGB</v>
          </cell>
          <cell r="Y435" t="str">
            <v>Spezialfonds</v>
          </cell>
          <cell r="Z435" t="str">
            <v>No</v>
          </cell>
          <cell r="AB435">
            <v>0</v>
          </cell>
          <cell r="AC435" t="str">
            <v>Non-Listed Fund</v>
          </cell>
          <cell r="AD435" t="str">
            <v>Core</v>
          </cell>
          <cell r="AE435" t="str">
            <v>infinite</v>
          </cell>
          <cell r="AF435" t="str">
            <v>Open end</v>
          </cell>
          <cell r="AG435">
            <v>7</v>
          </cell>
          <cell r="AH435">
            <v>10</v>
          </cell>
          <cell r="AI435" t="str">
            <v>Net</v>
          </cell>
          <cell r="AK435">
            <v>5</v>
          </cell>
          <cell r="AL435">
            <v>50</v>
          </cell>
          <cell r="AM435" t="str">
            <v>&gt; 40% - ≤ 60%</v>
          </cell>
          <cell r="AN435" t="str">
            <v>Institutional</v>
          </cell>
          <cell r="AO435" t="str">
            <v>&gt; 2</v>
          </cell>
          <cell r="AP435" t="str">
            <v>≥ 50%</v>
          </cell>
          <cell r="AQ435" t="str">
            <v>Europe</v>
          </cell>
          <cell r="AR435" t="str">
            <v>multi country</v>
          </cell>
          <cell r="AS435" t="str">
            <v>Europe</v>
          </cell>
          <cell r="AU435" t="str">
            <v>single sector</v>
          </cell>
          <cell r="AV435" t="str">
            <v>Office</v>
          </cell>
          <cell r="AW435">
            <v>800000000</v>
          </cell>
          <cell r="AX435">
            <v>1600000000</v>
          </cell>
          <cell r="AY435">
            <v>2009</v>
          </cell>
          <cell r="BA435" t="str">
            <v>No</v>
          </cell>
          <cell r="BB435" t="str">
            <v>No</v>
          </cell>
          <cell r="BD435" t="str">
            <v>No</v>
          </cell>
          <cell r="BH435" t="str">
            <v>2020-12-31</v>
          </cell>
          <cell r="BI435">
            <v>78667727.469999999</v>
          </cell>
          <cell r="BJ435">
            <v>78667727.469999999</v>
          </cell>
          <cell r="BK435">
            <v>52636685.240000002</v>
          </cell>
          <cell r="BL435">
            <v>52636685.240000002</v>
          </cell>
          <cell r="BM435">
            <v>21.4</v>
          </cell>
          <cell r="BN435" t="str">
            <v>No</v>
          </cell>
          <cell r="BO435" t="str">
            <v>External</v>
          </cell>
          <cell r="BP435">
            <v>5</v>
          </cell>
          <cell r="BQ435">
            <v>2</v>
          </cell>
          <cell r="BR435">
            <v>68600000</v>
          </cell>
          <cell r="BS435">
            <v>68600000</v>
          </cell>
          <cell r="BT435">
            <v>62500000</v>
          </cell>
          <cell r="BU435">
            <v>62500000</v>
          </cell>
          <cell r="BV435" t="str">
            <v>No</v>
          </cell>
          <cell r="BW435" t="str">
            <v>Germany</v>
          </cell>
          <cell r="BX435" t="str">
            <v>Office</v>
          </cell>
          <cell r="BY435">
            <v>59</v>
          </cell>
          <cell r="BZ435" t="str">
            <v>Poland</v>
          </cell>
          <cell r="CA435" t="str">
            <v>Office</v>
          </cell>
          <cell r="CB435">
            <v>41</v>
          </cell>
        </row>
        <row r="436">
          <cell r="A436">
            <v>628</v>
          </cell>
          <cell r="B436" t="str">
            <v>SAVILLS IM EUROPEAN RETAIL FUND</v>
          </cell>
          <cell r="C436" t="str">
            <v>SAVILLS INVESTMENT MANAGEMENT (LUXEMBOURG) S.à.R.L.</v>
          </cell>
          <cell r="D436" t="str">
            <v>10 Rue C. M. Spoo</v>
          </cell>
          <cell r="E436" t="str">
            <v>L-2546</v>
          </cell>
          <cell r="F436" t="str">
            <v>Luxembourg</v>
          </cell>
          <cell r="G436" t="str">
            <v>Luxembourg</v>
          </cell>
          <cell r="H436" t="str">
            <v>+352 26 64 9339</v>
          </cell>
          <cell r="I436" t="str">
            <v>+352 26 64 9941</v>
          </cell>
          <cell r="J436" t="str">
            <v>http://www.savillsim.com</v>
          </cell>
          <cell r="K436" t="str">
            <v>Thomas Guetle</v>
          </cell>
          <cell r="L436" t="str">
            <v>thomas.guetle@savillsim.com</v>
          </cell>
          <cell r="M436" t="str">
            <v>+49 (0) 89 20 30 20 230</v>
          </cell>
          <cell r="N436" t="str">
            <v>Matthias Reiss</v>
          </cell>
          <cell r="O436" t="str">
            <v>matthias.reiss@savillsim.com</v>
          </cell>
          <cell r="P436" t="str">
            <v>+49 (0) 89 20 30 20 215</v>
          </cell>
          <cell r="Q436" t="str">
            <v>Luxembourg</v>
          </cell>
          <cell r="R436" t="str">
            <v>EUR</v>
          </cell>
          <cell r="S436" t="str">
            <v>IFRS</v>
          </cell>
          <cell r="T436" t="str">
            <v>Quarterly</v>
          </cell>
          <cell r="U436" t="str">
            <v>Quarterly</v>
          </cell>
          <cell r="W436" t="str">
            <v>Mix of IFRS and INREV NAV</v>
          </cell>
          <cell r="X436" t="str">
            <v>PricewaterhouseCoopers</v>
          </cell>
          <cell r="Y436" t="str">
            <v>FCP</v>
          </cell>
          <cell r="Z436" t="str">
            <v>Yes</v>
          </cell>
          <cell r="AA436" t="str">
            <v>Yes</v>
          </cell>
          <cell r="AB436">
            <v>2</v>
          </cell>
          <cell r="AC436" t="str">
            <v>Non-Listed Fund</v>
          </cell>
          <cell r="AD436" t="str">
            <v>Core</v>
          </cell>
          <cell r="AE436" t="str">
            <v>finite</v>
          </cell>
          <cell r="AF436" t="str">
            <v>Closed end</v>
          </cell>
          <cell r="AG436">
            <v>7</v>
          </cell>
          <cell r="AH436">
            <v>7</v>
          </cell>
          <cell r="AI436" t="str">
            <v>Net</v>
          </cell>
          <cell r="AJ436" t="str">
            <v>None</v>
          </cell>
          <cell r="AK436">
            <v>5</v>
          </cell>
          <cell r="AL436">
            <v>50</v>
          </cell>
          <cell r="AM436" t="str">
            <v>&gt; 40% - ≤ 60%</v>
          </cell>
          <cell r="AN436" t="str">
            <v>Institutional</v>
          </cell>
          <cell r="AO436" t="str">
            <v>&gt; 2</v>
          </cell>
          <cell r="AP436" t="str">
            <v>≥ 50%</v>
          </cell>
          <cell r="AQ436" t="str">
            <v>Europe</v>
          </cell>
          <cell r="AR436" t="str">
            <v>multi country</v>
          </cell>
          <cell r="AS436" t="str">
            <v>Western Europe</v>
          </cell>
          <cell r="AU436" t="str">
            <v>single sector</v>
          </cell>
          <cell r="AV436" t="str">
            <v>Retail</v>
          </cell>
          <cell r="AW436">
            <v>300000000</v>
          </cell>
          <cell r="AX436">
            <v>600000000</v>
          </cell>
          <cell r="AY436">
            <v>2012</v>
          </cell>
          <cell r="AZ436">
            <v>2022</v>
          </cell>
          <cell r="BA436" t="str">
            <v>Yes</v>
          </cell>
          <cell r="BB436" t="str">
            <v>Yes</v>
          </cell>
          <cell r="BC436" t="str">
            <v>5 years</v>
          </cell>
          <cell r="BH436" t="str">
            <v>2020-09-30</v>
          </cell>
          <cell r="BI436">
            <v>609818642.10000002</v>
          </cell>
          <cell r="BJ436">
            <v>609818642.10000002</v>
          </cell>
          <cell r="BK436">
            <v>340967777</v>
          </cell>
          <cell r="BL436">
            <v>340967777</v>
          </cell>
          <cell r="BM436">
            <v>45.28</v>
          </cell>
          <cell r="BN436" t="str">
            <v>Yes</v>
          </cell>
          <cell r="BO436" t="str">
            <v>External</v>
          </cell>
          <cell r="BP436">
            <v>18</v>
          </cell>
          <cell r="BQ436">
            <v>18</v>
          </cell>
          <cell r="BR436">
            <v>379800000</v>
          </cell>
          <cell r="BS436">
            <v>379800000</v>
          </cell>
          <cell r="BT436">
            <v>350800000</v>
          </cell>
          <cell r="BU436">
            <v>350800000</v>
          </cell>
          <cell r="BV436" t="str">
            <v>No</v>
          </cell>
          <cell r="BW436" t="str">
            <v>Portugal</v>
          </cell>
          <cell r="BX436" t="str">
            <v>Retail</v>
          </cell>
          <cell r="BY436">
            <v>4.0999999999999996</v>
          </cell>
          <cell r="BZ436" t="str">
            <v>Denmark</v>
          </cell>
          <cell r="CA436" t="str">
            <v>Retail</v>
          </cell>
          <cell r="CB436">
            <v>18.899999999999999</v>
          </cell>
          <cell r="CC436" t="str">
            <v>Netherlands</v>
          </cell>
          <cell r="CD436" t="str">
            <v>Retail</v>
          </cell>
          <cell r="CE436">
            <v>17.899999999999999</v>
          </cell>
          <cell r="CF436" t="str">
            <v>Sweden</v>
          </cell>
          <cell r="CG436" t="str">
            <v>Retail</v>
          </cell>
          <cell r="CH436">
            <v>5.5</v>
          </cell>
          <cell r="CI436" t="str">
            <v>Italy</v>
          </cell>
          <cell r="CJ436" t="str">
            <v>Retail</v>
          </cell>
          <cell r="CK436">
            <v>6.6</v>
          </cell>
          <cell r="CL436" t="str">
            <v>Ireland</v>
          </cell>
          <cell r="CM436" t="str">
            <v>Retail</v>
          </cell>
          <cell r="CN436">
            <v>8.5</v>
          </cell>
          <cell r="CO436" t="str">
            <v>Spain</v>
          </cell>
          <cell r="CP436" t="str">
            <v>Retail</v>
          </cell>
          <cell r="CQ436">
            <v>10.7</v>
          </cell>
          <cell r="CR436" t="str">
            <v>France</v>
          </cell>
          <cell r="CS436" t="str">
            <v>Retail</v>
          </cell>
          <cell r="CT436">
            <v>9.5</v>
          </cell>
          <cell r="CU436" t="str">
            <v>Germany</v>
          </cell>
          <cell r="CV436" t="str">
            <v>Retail</v>
          </cell>
          <cell r="CW436">
            <v>13.4</v>
          </cell>
          <cell r="CX436" t="str">
            <v>United Kingdom</v>
          </cell>
          <cell r="CY436" t="str">
            <v>Retail</v>
          </cell>
          <cell r="CZ436">
            <v>4.9000000000000004</v>
          </cell>
        </row>
        <row r="437">
          <cell r="A437">
            <v>19272</v>
          </cell>
          <cell r="B437" t="str">
            <v xml:space="preserve">SAVILLS IM NORDIC III - RETAIL </v>
          </cell>
          <cell r="C437" t="str">
            <v>SAVILLS INVESTMENT MANAGEMENT KVG GMBH</v>
          </cell>
          <cell r="D437" t="str">
            <v>Rotfeder-Ring 7</v>
          </cell>
          <cell r="E437">
            <v>60327</v>
          </cell>
          <cell r="F437" t="str">
            <v>Frankfurt am Main</v>
          </cell>
          <cell r="G437" t="str">
            <v>Germany</v>
          </cell>
          <cell r="H437" t="str">
            <v>+4969272991000</v>
          </cell>
          <cell r="I437" t="str">
            <v>+496927299090</v>
          </cell>
          <cell r="J437" t="str">
            <v>http://www.savillsim.com</v>
          </cell>
          <cell r="K437" t="str">
            <v>Peter Broström</v>
          </cell>
          <cell r="L437" t="str">
            <v>Peter.Brostrom@savillsim.com</v>
          </cell>
          <cell r="N437" t="str">
            <v>Kai Hagenmaier</v>
          </cell>
          <cell r="O437" t="str">
            <v>kai.hagenmaier@savillim-kvg.com</v>
          </cell>
          <cell r="P437" t="str">
            <v xml:space="preserve">+4969272991221 </v>
          </cell>
          <cell r="Q437" t="str">
            <v>Germany</v>
          </cell>
          <cell r="R437" t="str">
            <v>EUR</v>
          </cell>
          <cell r="S437" t="str">
            <v>Local GAAP</v>
          </cell>
          <cell r="T437" t="str">
            <v>Monthly</v>
          </cell>
          <cell r="U437" t="str">
            <v>Annually</v>
          </cell>
          <cell r="V437" t="str">
            <v>Valuations will be carried out in accordance with the KAGB and the general fund terms</v>
          </cell>
          <cell r="W437" t="str">
            <v>The fund  reports an NAV compliant with regulations according to KAGB</v>
          </cell>
          <cell r="X437" t="str">
            <v>KPMG</v>
          </cell>
          <cell r="Y437" t="str">
            <v>Spezialfonds</v>
          </cell>
          <cell r="Z437" t="str">
            <v>No</v>
          </cell>
          <cell r="AA437" t="str">
            <v>Yes</v>
          </cell>
          <cell r="AC437" t="str">
            <v>Non-Listed Fund</v>
          </cell>
          <cell r="AD437" t="str">
            <v>Core</v>
          </cell>
          <cell r="AE437" t="str">
            <v>finite</v>
          </cell>
          <cell r="AF437" t="str">
            <v>Closed end</v>
          </cell>
          <cell r="AG437">
            <v>7</v>
          </cell>
          <cell r="AH437">
            <v>9</v>
          </cell>
          <cell r="AI437" t="str">
            <v>Net</v>
          </cell>
          <cell r="AK437">
            <v>5.5</v>
          </cell>
          <cell r="AL437">
            <v>50</v>
          </cell>
          <cell r="AM437" t="str">
            <v>≤ 40%</v>
          </cell>
          <cell r="AN437" t="str">
            <v>Institutional</v>
          </cell>
          <cell r="AO437" t="str">
            <v>&gt; 2</v>
          </cell>
          <cell r="AP437" t="str">
            <v>≥ 50%</v>
          </cell>
          <cell r="AQ437" t="str">
            <v>Europe</v>
          </cell>
          <cell r="AR437" t="str">
            <v>multi country</v>
          </cell>
          <cell r="AS437" t="str">
            <v>Nordic</v>
          </cell>
          <cell r="AU437" t="str">
            <v>multi sector</v>
          </cell>
          <cell r="AW437">
            <v>150000000</v>
          </cell>
          <cell r="AX437">
            <v>300000000</v>
          </cell>
          <cell r="AY437">
            <v>2017</v>
          </cell>
          <cell r="AZ437">
            <v>2027</v>
          </cell>
          <cell r="BA437" t="str">
            <v>No</v>
          </cell>
          <cell r="BB437" t="str">
            <v>No</v>
          </cell>
          <cell r="BD437" t="str">
            <v>No</v>
          </cell>
          <cell r="BE437" t="str">
            <v>≥ 60%</v>
          </cell>
          <cell r="BH437" t="str">
            <v>2020-12-31</v>
          </cell>
          <cell r="BI437">
            <v>96049325.909999996</v>
          </cell>
          <cell r="BJ437">
            <v>96049325.909999996</v>
          </cell>
          <cell r="BK437">
            <v>94392179.510000005</v>
          </cell>
          <cell r="BL437">
            <v>94392179.510000005</v>
          </cell>
          <cell r="BM437">
            <v>46.6</v>
          </cell>
          <cell r="BN437" t="str">
            <v>No</v>
          </cell>
          <cell r="BO437" t="str">
            <v>External</v>
          </cell>
          <cell r="BP437">
            <v>4</v>
          </cell>
          <cell r="BQ437">
            <v>6</v>
          </cell>
          <cell r="BR437">
            <v>120000000</v>
          </cell>
          <cell r="BS437">
            <v>120000000</v>
          </cell>
          <cell r="BT437">
            <v>97000445</v>
          </cell>
          <cell r="BU437">
            <v>97000445</v>
          </cell>
          <cell r="BV437" t="str">
            <v>Yes</v>
          </cell>
          <cell r="BW437" t="str">
            <v>Denmark</v>
          </cell>
          <cell r="BX437" t="str">
            <v>Office</v>
          </cell>
          <cell r="BY437">
            <v>18</v>
          </cell>
          <cell r="BZ437" t="str">
            <v>Sweden</v>
          </cell>
          <cell r="CA437" t="str">
            <v>Office</v>
          </cell>
          <cell r="CB437">
            <v>82</v>
          </cell>
        </row>
        <row r="438">
          <cell r="A438">
            <v>555</v>
          </cell>
          <cell r="B438" t="str">
            <v>SAVILLS IM UK INCOME AND GROWTH FUND</v>
          </cell>
          <cell r="C438" t="str">
            <v>CORDEA SAVILLS FUND MANAGERS (JERSEY) LIMITED</v>
          </cell>
          <cell r="D438" t="str">
            <v>3rd Floor Walker House, 28-34 Hill Street</v>
          </cell>
          <cell r="E438" t="str">
            <v>JE4 8PN</v>
          </cell>
          <cell r="F438" t="str">
            <v>St Helier</v>
          </cell>
          <cell r="G438" t="str">
            <v>Jersey</v>
          </cell>
          <cell r="H438" t="str">
            <v>+44 (0)20 7877 4700</v>
          </cell>
          <cell r="J438" t="str">
            <v>http://www.savills.com</v>
          </cell>
          <cell r="K438" t="str">
            <v>Jamie Pearson</v>
          </cell>
          <cell r="L438" t="str">
            <v>jamie.pearson@savillsim.com</v>
          </cell>
          <cell r="M438" t="str">
            <v>+44 (0)20 3107 5429</v>
          </cell>
          <cell r="N438" t="str">
            <v>Katie Joyce</v>
          </cell>
          <cell r="O438" t="str">
            <v>katie.joyce@savillsim.com</v>
          </cell>
          <cell r="P438" t="str">
            <v>+44 (0)20 7877 4777</v>
          </cell>
          <cell r="Q438" t="str">
            <v>Jersey</v>
          </cell>
          <cell r="R438" t="str">
            <v>GBP</v>
          </cell>
          <cell r="S438" t="str">
            <v>IFRS</v>
          </cell>
          <cell r="T438" t="str">
            <v>Quarterly</v>
          </cell>
          <cell r="U438" t="str">
            <v>Monthly</v>
          </cell>
          <cell r="V438" t="str">
            <v>RICS</v>
          </cell>
          <cell r="W438" t="str">
            <v>INREV NAV</v>
          </cell>
          <cell r="X438" t="str">
            <v>KPMG</v>
          </cell>
          <cell r="Y438" t="str">
            <v>Jersey Property Unit Trust</v>
          </cell>
          <cell r="Z438" t="str">
            <v>Yes</v>
          </cell>
          <cell r="AB438">
            <v>2</v>
          </cell>
          <cell r="AC438" t="str">
            <v>Non-Listed Fund</v>
          </cell>
          <cell r="AD438" t="str">
            <v>Core</v>
          </cell>
          <cell r="AE438" t="str">
            <v>infinite</v>
          </cell>
          <cell r="AF438" t="str">
            <v>Open end</v>
          </cell>
          <cell r="AJ438" t="str">
            <v>IPD UK Monthly All Property Index</v>
          </cell>
          <cell r="AK438">
            <v>5</v>
          </cell>
          <cell r="AM438" t="str">
            <v>≤ 40%</v>
          </cell>
          <cell r="AN438" t="str">
            <v>Institutional</v>
          </cell>
          <cell r="AO438" t="str">
            <v>&gt; 2</v>
          </cell>
          <cell r="AP438" t="str">
            <v>≥ 50%</v>
          </cell>
          <cell r="AQ438" t="str">
            <v>Europe</v>
          </cell>
          <cell r="AR438" t="str">
            <v>single country</v>
          </cell>
          <cell r="AT438" t="str">
            <v>United Kingdom</v>
          </cell>
          <cell r="AU438" t="str">
            <v>multi sector</v>
          </cell>
          <cell r="AX438">
            <v>500000000</v>
          </cell>
          <cell r="AY438">
            <v>2010</v>
          </cell>
          <cell r="BE438" t="str">
            <v>≥ 60%</v>
          </cell>
          <cell r="BH438" t="str">
            <v>2020-12-31</v>
          </cell>
          <cell r="BI438">
            <v>116200615</v>
          </cell>
          <cell r="BJ438">
            <v>128465484.7516934</v>
          </cell>
          <cell r="BK438">
            <v>112605000</v>
          </cell>
          <cell r="BL438">
            <v>124490355.842475</v>
          </cell>
          <cell r="BM438">
            <v>0</v>
          </cell>
          <cell r="BN438" t="str">
            <v>Yes</v>
          </cell>
          <cell r="BO438" t="str">
            <v>External</v>
          </cell>
          <cell r="BP438">
            <v>13</v>
          </cell>
          <cell r="BQ438">
            <v>21</v>
          </cell>
          <cell r="BR438">
            <v>104599181</v>
          </cell>
          <cell r="BS438">
            <v>114845143.2639105</v>
          </cell>
          <cell r="BT438">
            <v>104599181</v>
          </cell>
          <cell r="BU438">
            <v>114845143.2639105</v>
          </cell>
          <cell r="BV438" t="str">
            <v>Yes</v>
          </cell>
          <cell r="BW438" t="str">
            <v>United Kingdom</v>
          </cell>
          <cell r="BX438" t="str">
            <v>Industrial / Logistics</v>
          </cell>
          <cell r="BY438">
            <v>51.6</v>
          </cell>
          <cell r="BZ438" t="str">
            <v>United Kingdom</v>
          </cell>
          <cell r="CA438" t="str">
            <v>Other</v>
          </cell>
          <cell r="CB438">
            <v>7.8</v>
          </cell>
          <cell r="CC438" t="str">
            <v>United Kingdom</v>
          </cell>
          <cell r="CD438" t="str">
            <v>Retail</v>
          </cell>
          <cell r="CE438">
            <v>31.5</v>
          </cell>
          <cell r="CF438" t="str">
            <v>United Kingdom</v>
          </cell>
          <cell r="CG438" t="str">
            <v>Office</v>
          </cell>
          <cell r="CH438">
            <v>7</v>
          </cell>
        </row>
        <row r="439">
          <cell r="A439">
            <v>399</v>
          </cell>
          <cell r="B439" t="str">
            <v>SCARLATTI</v>
          </cell>
          <cell r="C439" t="str">
            <v>GENERALI IMMOBILIARE ITALIA SGR</v>
          </cell>
          <cell r="D439" t="str">
            <v>Corso Italia, 6</v>
          </cell>
          <cell r="E439">
            <v>20122</v>
          </cell>
          <cell r="F439" t="str">
            <v>Milan</v>
          </cell>
          <cell r="G439" t="str">
            <v>Italy</v>
          </cell>
          <cell r="H439" t="str">
            <v>+39 02 72 504 264</v>
          </cell>
          <cell r="I439" t="str">
            <v>+39 02 801 433</v>
          </cell>
          <cell r="K439" t="str">
            <v>Benedetto Giustiniani</v>
          </cell>
          <cell r="L439" t="str">
            <v>benedetto.giustiniani@gii.generali.com</v>
          </cell>
          <cell r="M439" t="str">
            <v>+39 02 72 504 264</v>
          </cell>
          <cell r="N439" t="str">
            <v>Giuseppe Cerami</v>
          </cell>
          <cell r="O439" t="str">
            <v>giuseppe.cerami@gii.generali.com</v>
          </cell>
          <cell r="P439" t="str">
            <v>+39 02 72 504 264</v>
          </cell>
          <cell r="Q439" t="str">
            <v>Italy</v>
          </cell>
          <cell r="R439" t="str">
            <v>EUR</v>
          </cell>
          <cell r="S439" t="str">
            <v>Local GAAP</v>
          </cell>
          <cell r="T439" t="str">
            <v>Twice per year</v>
          </cell>
          <cell r="U439" t="str">
            <v>Twice per year</v>
          </cell>
          <cell r="X439" t="str">
            <v>Ernst &amp; Young</v>
          </cell>
          <cell r="Y439" t="str">
            <v>Closed Ended Fund</v>
          </cell>
          <cell r="Z439" t="str">
            <v>No</v>
          </cell>
          <cell r="AA439" t="str">
            <v>Yes</v>
          </cell>
          <cell r="AB439">
            <v>1</v>
          </cell>
          <cell r="AC439" t="str">
            <v>Non-Listed Fund</v>
          </cell>
          <cell r="AD439" t="str">
            <v>Core</v>
          </cell>
          <cell r="AE439" t="str">
            <v>finite</v>
          </cell>
          <cell r="AF439" t="str">
            <v>Closed end</v>
          </cell>
          <cell r="AG439">
            <v>9</v>
          </cell>
          <cell r="AH439">
            <v>9</v>
          </cell>
          <cell r="AI439" t="str">
            <v>Net</v>
          </cell>
          <cell r="AJ439" t="str">
            <v>Absolute return</v>
          </cell>
          <cell r="AK439">
            <v>5.5</v>
          </cell>
          <cell r="AL439">
            <v>50</v>
          </cell>
          <cell r="AM439" t="str">
            <v>&gt; 40% - ≤ 60%</v>
          </cell>
          <cell r="AN439" t="str">
            <v>Institutional</v>
          </cell>
          <cell r="AO439" t="str">
            <v>&gt; 2</v>
          </cell>
          <cell r="AP439" t="str">
            <v>≥ 50%</v>
          </cell>
          <cell r="AQ439" t="str">
            <v>Europe</v>
          </cell>
          <cell r="AR439" t="str">
            <v>single country</v>
          </cell>
          <cell r="AT439" t="str">
            <v>Italy</v>
          </cell>
          <cell r="AU439" t="str">
            <v>multi sector</v>
          </cell>
          <cell r="AW439">
            <v>650000000</v>
          </cell>
          <cell r="AX439">
            <v>1300000000</v>
          </cell>
          <cell r="AY439">
            <v>2006</v>
          </cell>
          <cell r="AZ439">
            <v>2019</v>
          </cell>
          <cell r="BA439" t="str">
            <v>Yes</v>
          </cell>
          <cell r="BB439" t="str">
            <v>Yes</v>
          </cell>
          <cell r="BC439">
            <v>19</v>
          </cell>
          <cell r="BH439" t="str">
            <v>2018-12-31</v>
          </cell>
          <cell r="BI439">
            <v>773925716</v>
          </cell>
          <cell r="BJ439">
            <v>773925716</v>
          </cell>
          <cell r="BK439">
            <v>365681276</v>
          </cell>
          <cell r="BL439">
            <v>365681276</v>
          </cell>
          <cell r="BM439">
            <v>52.7</v>
          </cell>
          <cell r="BS439">
            <v>0</v>
          </cell>
          <cell r="BW439" t="str">
            <v>Italy</v>
          </cell>
          <cell r="BX439" t="str">
            <v>Industrial / Logistics</v>
          </cell>
          <cell r="BY439">
            <v>1.7</v>
          </cell>
          <cell r="BZ439" t="str">
            <v>Italy</v>
          </cell>
          <cell r="CA439" t="str">
            <v>Residential</v>
          </cell>
          <cell r="CB439">
            <v>0.3</v>
          </cell>
          <cell r="CC439" t="str">
            <v>Italy</v>
          </cell>
          <cell r="CD439" t="str">
            <v>Office</v>
          </cell>
          <cell r="CE439">
            <v>98</v>
          </cell>
        </row>
        <row r="440">
          <cell r="A440">
            <v>407</v>
          </cell>
          <cell r="B440" t="str">
            <v>SCHRODER NORDIC REAL ESTATE FUND</v>
          </cell>
          <cell r="C440" t="str">
            <v>SCHRODER REAL ESTATE KAPITVERWALTUNGSGESELLSCHAFT MBH</v>
          </cell>
          <cell r="D440" t="str">
            <v>Taunustor 1</v>
          </cell>
          <cell r="E440">
            <v>60310</v>
          </cell>
          <cell r="F440" t="str">
            <v>Frankfurt</v>
          </cell>
          <cell r="G440" t="str">
            <v>Germany</v>
          </cell>
          <cell r="H440" t="str">
            <v>+49 (0) 69 97 57 17 700</v>
          </cell>
          <cell r="I440" t="str">
            <v>+49 (0) 69 97 57 17 798</v>
          </cell>
          <cell r="J440" t="str">
            <v>http://www.schroders.com</v>
          </cell>
          <cell r="N440" t="str">
            <v>Klaus Gehlenborg</v>
          </cell>
          <cell r="O440" t="str">
            <v>klaus.gehlenborg@schroders.com</v>
          </cell>
          <cell r="P440" t="str">
            <v>+49 (0) 69 97 57 17 804</v>
          </cell>
          <cell r="Q440" t="str">
            <v>Germany</v>
          </cell>
          <cell r="R440" t="str">
            <v>EUR</v>
          </cell>
          <cell r="T440" t="str">
            <v>Monthly</v>
          </cell>
          <cell r="U440" t="str">
            <v>Quarterly</v>
          </cell>
          <cell r="V440" t="str">
            <v>RICS</v>
          </cell>
          <cell r="W440" t="str">
            <v>IFRS NAV</v>
          </cell>
          <cell r="X440" t="str">
            <v>KPMG</v>
          </cell>
          <cell r="Y440" t="str">
            <v>Spezialfonds</v>
          </cell>
          <cell r="AB440">
            <v>0</v>
          </cell>
          <cell r="AC440" t="str">
            <v>Non-Listed Fund</v>
          </cell>
          <cell r="AD440" t="str">
            <v>Core</v>
          </cell>
          <cell r="AE440" t="str">
            <v>infinite</v>
          </cell>
          <cell r="AF440" t="str">
            <v>Open end</v>
          </cell>
          <cell r="AG440">
            <v>8.5</v>
          </cell>
          <cell r="AH440">
            <v>8.5</v>
          </cell>
          <cell r="AI440" t="str">
            <v>Net</v>
          </cell>
          <cell r="AJ440" t="str">
            <v>None</v>
          </cell>
          <cell r="AK440">
            <v>5</v>
          </cell>
          <cell r="AL440">
            <v>45</v>
          </cell>
          <cell r="AM440" t="str">
            <v>&gt; 40% - ≤ 60%</v>
          </cell>
          <cell r="AN440" t="str">
            <v>Institutional</v>
          </cell>
          <cell r="AO440" t="str">
            <v>&gt; 2</v>
          </cell>
          <cell r="AP440" t="str">
            <v>≥ 50%</v>
          </cell>
          <cell r="AQ440" t="str">
            <v>Europe</v>
          </cell>
          <cell r="AR440" t="str">
            <v>multi country</v>
          </cell>
          <cell r="AS440" t="str">
            <v>Nordic</v>
          </cell>
          <cell r="AU440" t="str">
            <v>multi sector</v>
          </cell>
          <cell r="AW440">
            <v>250000000</v>
          </cell>
          <cell r="AX440">
            <v>500000000</v>
          </cell>
          <cell r="AY440">
            <v>2005</v>
          </cell>
          <cell r="BH440" t="str">
            <v>2019-06-30</v>
          </cell>
          <cell r="BI440">
            <v>612317377</v>
          </cell>
          <cell r="BJ440">
            <v>612317377</v>
          </cell>
          <cell r="BK440">
            <v>399093606</v>
          </cell>
          <cell r="BL440">
            <v>399093606</v>
          </cell>
          <cell r="BM440">
            <v>35.1</v>
          </cell>
          <cell r="BN440" t="str">
            <v>No</v>
          </cell>
          <cell r="BO440" t="str">
            <v>External</v>
          </cell>
          <cell r="BP440">
            <v>10</v>
          </cell>
          <cell r="BQ440">
            <v>25</v>
          </cell>
          <cell r="BR440">
            <v>350708677</v>
          </cell>
          <cell r="BS440">
            <v>350708677</v>
          </cell>
          <cell r="BT440">
            <v>350708677</v>
          </cell>
          <cell r="BU440">
            <v>350708677</v>
          </cell>
          <cell r="BW440" t="str">
            <v>Finland</v>
          </cell>
          <cell r="BX440" t="str">
            <v>Office</v>
          </cell>
          <cell r="BY440">
            <v>77</v>
          </cell>
          <cell r="BZ440" t="str">
            <v>Sweden</v>
          </cell>
          <cell r="CA440" t="str">
            <v>Retail</v>
          </cell>
          <cell r="CB440">
            <v>22</v>
          </cell>
        </row>
        <row r="441">
          <cell r="A441">
            <v>403</v>
          </cell>
          <cell r="B441" t="str">
            <v>SCHRODER UK PROPERTY FUND</v>
          </cell>
          <cell r="C441" t="str">
            <v>SCHRODER PROPERTY INVESTMENT MANAGEMENT LIMITED</v>
          </cell>
          <cell r="D441" t="str">
            <v>31 Gresham Street</v>
          </cell>
          <cell r="E441" t="str">
            <v>EC2V 7QA</v>
          </cell>
          <cell r="F441" t="str">
            <v>London</v>
          </cell>
          <cell r="G441" t="str">
            <v>United Kingdom</v>
          </cell>
          <cell r="H441" t="str">
            <v>+44 (0) 20 7658 6000</v>
          </cell>
          <cell r="I441" t="str">
            <v>+44 (0) 20 7658 3960</v>
          </cell>
          <cell r="J441" t="str">
            <v>http://www.schroderproperty.com</v>
          </cell>
          <cell r="K441" t="str">
            <v>James Lass</v>
          </cell>
          <cell r="L441" t="str">
            <v>James.Lass@schroders.com</v>
          </cell>
          <cell r="M441" t="str">
            <v>+44 (0)20 7658 3980</v>
          </cell>
          <cell r="N441" t="str">
            <v>Alice Wilcox</v>
          </cell>
          <cell r="O441" t="str">
            <v>alice.wilcox@schroders.com</v>
          </cell>
          <cell r="P441" t="str">
            <v>+44 (0) 20 7658 3552</v>
          </cell>
          <cell r="Q441" t="str">
            <v>United Kingdom</v>
          </cell>
          <cell r="R441" t="str">
            <v>GBP</v>
          </cell>
          <cell r="S441" t="str">
            <v>Local GAAP</v>
          </cell>
          <cell r="T441" t="str">
            <v>Twice per year</v>
          </cell>
          <cell r="U441" t="str">
            <v>Monthly</v>
          </cell>
          <cell r="V441" t="str">
            <v>RICS</v>
          </cell>
          <cell r="W441" t="str">
            <v>INREV NAV</v>
          </cell>
          <cell r="X441" t="str">
            <v>PriceWaterhouseCoopers</v>
          </cell>
          <cell r="Y441" t="str">
            <v>Property Unit Trust</v>
          </cell>
          <cell r="Z441" t="str">
            <v>No</v>
          </cell>
          <cell r="AA441" t="str">
            <v>Yes</v>
          </cell>
          <cell r="AB441">
            <v>4</v>
          </cell>
          <cell r="AC441" t="str">
            <v>Non-Listed Fund</v>
          </cell>
          <cell r="AD441" t="str">
            <v>Core</v>
          </cell>
          <cell r="AE441" t="str">
            <v>finite</v>
          </cell>
          <cell r="AF441" t="str">
            <v>Open end</v>
          </cell>
          <cell r="AJ441" t="str">
            <v>IPD UK Pooled Property Fund Indices All Balanced Funds Index Median</v>
          </cell>
          <cell r="AL441">
            <v>25</v>
          </cell>
          <cell r="AM441" t="str">
            <v>≤ 40%</v>
          </cell>
          <cell r="AN441" t="str">
            <v>Institutional</v>
          </cell>
          <cell r="AO441" t="str">
            <v>&gt; 2</v>
          </cell>
          <cell r="AP441" t="str">
            <v>≥ 50%</v>
          </cell>
          <cell r="AQ441" t="str">
            <v>Europe</v>
          </cell>
          <cell r="AR441" t="str">
            <v>single country</v>
          </cell>
          <cell r="AT441" t="str">
            <v>United Kingdom</v>
          </cell>
          <cell r="AU441" t="str">
            <v>multi sector</v>
          </cell>
          <cell r="AY441">
            <v>1971</v>
          </cell>
          <cell r="AZ441">
            <v>2071</v>
          </cell>
          <cell r="BA441" t="str">
            <v>No</v>
          </cell>
          <cell r="BH441" t="str">
            <v>2020-12-31</v>
          </cell>
          <cell r="BI441">
            <v>2261833641.27</v>
          </cell>
          <cell r="BJ441">
            <v>2500568135.1466031</v>
          </cell>
          <cell r="BK441">
            <v>2217353566.1799998</v>
          </cell>
          <cell r="BL441">
            <v>2451393228.3853221</v>
          </cell>
          <cell r="BM441">
            <v>0.4</v>
          </cell>
          <cell r="BN441" t="str">
            <v>No</v>
          </cell>
          <cell r="BO441" t="str">
            <v>External</v>
          </cell>
          <cell r="BP441">
            <v>194</v>
          </cell>
          <cell r="BQ441">
            <v>53</v>
          </cell>
          <cell r="BR441">
            <v>0</v>
          </cell>
          <cell r="BS441">
            <v>0</v>
          </cell>
          <cell r="BT441">
            <v>0</v>
          </cell>
          <cell r="BV441" t="str">
            <v>Yes</v>
          </cell>
          <cell r="BW441" t="str">
            <v>United Kingdom</v>
          </cell>
          <cell r="BX441" t="str">
            <v>Other</v>
          </cell>
          <cell r="BY441">
            <v>10.5</v>
          </cell>
          <cell r="BZ441" t="str">
            <v>United Kingdom</v>
          </cell>
          <cell r="CA441" t="str">
            <v>Industrial / Logistics</v>
          </cell>
          <cell r="CB441">
            <v>21.6</v>
          </cell>
          <cell r="CC441" t="str">
            <v>United Kingdom</v>
          </cell>
          <cell r="CD441" t="str">
            <v>Retail</v>
          </cell>
          <cell r="CE441">
            <v>12.1</v>
          </cell>
          <cell r="CF441" t="str">
            <v>United Kingdom</v>
          </cell>
          <cell r="CG441" t="str">
            <v>Office</v>
          </cell>
          <cell r="CH441">
            <v>45.5</v>
          </cell>
        </row>
        <row r="442">
          <cell r="A442">
            <v>17847</v>
          </cell>
          <cell r="B442" t="str">
            <v xml:space="preserve">SHOPPING PROPERTY FUND 1				</v>
          </cell>
          <cell r="C442" t="str">
            <v>BNP PARIBAS REIM FRANCE</v>
          </cell>
          <cell r="D442" t="str">
            <v>167 quai de la bataille de Stalingrad</v>
          </cell>
          <cell r="E442">
            <v>92130</v>
          </cell>
          <cell r="F442" t="str">
            <v>Issy Les Moulineaux</v>
          </cell>
          <cell r="G442" t="str">
            <v>France</v>
          </cell>
          <cell r="O442" t="str">
            <v>REIM.relations-investisseurs@realestate.bnpparibas</v>
          </cell>
          <cell r="Q442" t="str">
            <v>France</v>
          </cell>
          <cell r="R442" t="str">
            <v>EUR</v>
          </cell>
          <cell r="S442" t="str">
            <v>French Accounting</v>
          </cell>
          <cell r="T442" t="str">
            <v>Quarterly</v>
          </cell>
          <cell r="U442" t="str">
            <v>Quarterly</v>
          </cell>
          <cell r="V442" t="str">
            <v>Other - mark to market</v>
          </cell>
          <cell r="W442" t="str">
            <v>French GAAP</v>
          </cell>
          <cell r="Y442" t="str">
            <v>OPCI</v>
          </cell>
          <cell r="Z442" t="str">
            <v>Yes</v>
          </cell>
          <cell r="AC442" t="str">
            <v>Non-Listed Fund</v>
          </cell>
          <cell r="AD442" t="str">
            <v>Core</v>
          </cell>
          <cell r="AE442" t="str">
            <v>finite</v>
          </cell>
          <cell r="AF442" t="str">
            <v>Closed end</v>
          </cell>
          <cell r="AM442" t="str">
            <v>&gt; 60%</v>
          </cell>
          <cell r="AN442" t="str">
            <v>Institutional</v>
          </cell>
          <cell r="AO442" t="str">
            <v>&gt; 2</v>
          </cell>
          <cell r="AP442" t="str">
            <v>≥ 50%</v>
          </cell>
          <cell r="AQ442" t="str">
            <v>Europe</v>
          </cell>
          <cell r="AR442" t="str">
            <v>single country</v>
          </cell>
          <cell r="AT442" t="str">
            <v>France</v>
          </cell>
          <cell r="AU442" t="str">
            <v>single sector</v>
          </cell>
          <cell r="AV442" t="str">
            <v>Retail</v>
          </cell>
          <cell r="AY442">
            <v>2010</v>
          </cell>
          <cell r="AZ442">
            <v>2020</v>
          </cell>
          <cell r="BH442" t="str">
            <v>2020-12-31</v>
          </cell>
          <cell r="BI442">
            <v>35631808</v>
          </cell>
          <cell r="BJ442">
            <v>35631808</v>
          </cell>
          <cell r="BK442">
            <v>25675342</v>
          </cell>
          <cell r="BL442">
            <v>25675342</v>
          </cell>
          <cell r="BM442">
            <v>0</v>
          </cell>
          <cell r="BN442" t="str">
            <v>Yes</v>
          </cell>
          <cell r="BO442" t="str">
            <v>External</v>
          </cell>
          <cell r="BP442">
            <v>30</v>
          </cell>
          <cell r="BQ442">
            <v>6</v>
          </cell>
          <cell r="BR442">
            <v>311881733</v>
          </cell>
          <cell r="BS442">
            <v>311881733</v>
          </cell>
          <cell r="BT442">
            <v>311881733</v>
          </cell>
          <cell r="BU442">
            <v>311881733</v>
          </cell>
          <cell r="BV442" t="str">
            <v>No</v>
          </cell>
          <cell r="BW442" t="str">
            <v>France</v>
          </cell>
          <cell r="BX442" t="str">
            <v>Retail</v>
          </cell>
          <cell r="BY442">
            <v>41</v>
          </cell>
        </row>
        <row r="443">
          <cell r="A443">
            <v>17848</v>
          </cell>
          <cell r="B443" t="str">
            <v xml:space="preserve">SHOPPING PROPERTY FUND 2				</v>
          </cell>
          <cell r="C443" t="str">
            <v>BNP PARIBAS REIM FRANCE</v>
          </cell>
          <cell r="D443" t="str">
            <v>167 quai de la bataille de Stalingrad</v>
          </cell>
          <cell r="E443">
            <v>92130</v>
          </cell>
          <cell r="F443" t="str">
            <v>Issy Les Moulineaux</v>
          </cell>
          <cell r="G443" t="str">
            <v>France</v>
          </cell>
          <cell r="O443" t="str">
            <v>REIM.relations-investisseurs@realestate.bnpparibas</v>
          </cell>
          <cell r="Q443" t="str">
            <v>France</v>
          </cell>
          <cell r="R443" t="str">
            <v>EUR</v>
          </cell>
          <cell r="S443" t="str">
            <v>French Accounting</v>
          </cell>
          <cell r="T443" t="str">
            <v>Quarterly</v>
          </cell>
          <cell r="U443" t="str">
            <v>Quarterly</v>
          </cell>
          <cell r="V443" t="str">
            <v>Other - mark to market</v>
          </cell>
          <cell r="W443" t="str">
            <v>French GAAP</v>
          </cell>
          <cell r="Y443" t="str">
            <v>OPCI</v>
          </cell>
          <cell r="Z443" t="str">
            <v>Yes</v>
          </cell>
          <cell r="AC443" t="str">
            <v>Non-Listed Fund</v>
          </cell>
          <cell r="AD443" t="str">
            <v>Core</v>
          </cell>
          <cell r="AE443" t="str">
            <v>finite</v>
          </cell>
          <cell r="AF443" t="str">
            <v>Closed end</v>
          </cell>
          <cell r="AM443" t="str">
            <v>&gt; 40% - ≤ 60%</v>
          </cell>
          <cell r="AN443" t="str">
            <v>Institutional</v>
          </cell>
          <cell r="AO443" t="str">
            <v>&gt; 2</v>
          </cell>
          <cell r="AP443" t="str">
            <v>≥ 50%</v>
          </cell>
          <cell r="AQ443" t="str">
            <v>Europe</v>
          </cell>
          <cell r="AR443" t="str">
            <v>single country</v>
          </cell>
          <cell r="AT443" t="str">
            <v>France</v>
          </cell>
          <cell r="AU443" t="str">
            <v>single sector</v>
          </cell>
          <cell r="AV443" t="str">
            <v>Retail</v>
          </cell>
          <cell r="AY443">
            <v>2013</v>
          </cell>
          <cell r="AZ443">
            <v>2023</v>
          </cell>
          <cell r="BH443" t="str">
            <v>2020-12-31</v>
          </cell>
          <cell r="BI443">
            <v>422864939</v>
          </cell>
          <cell r="BJ443">
            <v>422864939</v>
          </cell>
          <cell r="BK443">
            <v>220818303</v>
          </cell>
          <cell r="BL443">
            <v>220818303</v>
          </cell>
          <cell r="BM443">
            <v>45.9</v>
          </cell>
          <cell r="BN443" t="str">
            <v>Yes</v>
          </cell>
          <cell r="BO443" t="str">
            <v>External</v>
          </cell>
          <cell r="BP443">
            <v>31</v>
          </cell>
          <cell r="BQ443">
            <v>34</v>
          </cell>
          <cell r="BR443">
            <v>288538462</v>
          </cell>
          <cell r="BS443">
            <v>288538462</v>
          </cell>
          <cell r="BT443">
            <v>288538462</v>
          </cell>
          <cell r="BU443">
            <v>288538462</v>
          </cell>
          <cell r="BV443" t="str">
            <v>No</v>
          </cell>
          <cell r="BW443" t="str">
            <v>France</v>
          </cell>
          <cell r="BX443" t="str">
            <v>Retail</v>
          </cell>
          <cell r="BY443">
            <v>94.4</v>
          </cell>
        </row>
        <row r="444">
          <cell r="A444">
            <v>414</v>
          </cell>
          <cell r="B444" t="str">
            <v>SHOPPINGCENTERD</v>
          </cell>
          <cell r="C444" t="str">
            <v>PRINCIPAL REAL ESTATE SPEZIALFONDSGESELLSCHAFT MBH</v>
          </cell>
          <cell r="D444" t="str">
            <v>Taunusanlage 16</v>
          </cell>
          <cell r="E444">
            <v>60325</v>
          </cell>
          <cell r="F444" t="str">
            <v>Frankfurt am Main</v>
          </cell>
          <cell r="G444" t="str">
            <v>Germany</v>
          </cell>
          <cell r="H444" t="str">
            <v>+49 (0) 69 50 50 66 90</v>
          </cell>
          <cell r="I444" t="str">
            <v>+49 69 50 50 66 9-29</v>
          </cell>
          <cell r="J444" t="str">
            <v>http://www.principalreeurope.com</v>
          </cell>
          <cell r="K444" t="str">
            <v xml:space="preserve">Alexandru Gavriliu </v>
          </cell>
          <cell r="L444" t="str">
            <v>Gavriliu.Alexandru@principalREeurope.com</v>
          </cell>
          <cell r="M444" t="str">
            <v xml:space="preserve">+49 69 50 50 66 979 </v>
          </cell>
          <cell r="N444" t="str">
            <v>Frank Richter</v>
          </cell>
          <cell r="O444" t="str">
            <v>Richter.Frank@principal.com</v>
          </cell>
          <cell r="P444" t="str">
            <v>+49 (0) 69 50 50 66 90</v>
          </cell>
          <cell r="Q444" t="str">
            <v>Germany</v>
          </cell>
          <cell r="R444" t="str">
            <v>EUR</v>
          </cell>
          <cell r="T444" t="str">
            <v>Monthly</v>
          </cell>
          <cell r="U444" t="str">
            <v>Annually</v>
          </cell>
          <cell r="W444" t="str">
            <v>German investment tax law</v>
          </cell>
          <cell r="X444" t="str">
            <v>EY</v>
          </cell>
          <cell r="Y444" t="str">
            <v>Spezialfonds</v>
          </cell>
          <cell r="Z444" t="str">
            <v>No</v>
          </cell>
          <cell r="AA444" t="str">
            <v>No</v>
          </cell>
          <cell r="AB444">
            <v>0</v>
          </cell>
          <cell r="AC444" t="str">
            <v>Non-Listed Fund</v>
          </cell>
          <cell r="AD444" t="str">
            <v>Core</v>
          </cell>
          <cell r="AE444" t="str">
            <v>infinite</v>
          </cell>
          <cell r="AF444" t="str">
            <v>Open end</v>
          </cell>
          <cell r="AI444" t="str">
            <v>Net</v>
          </cell>
          <cell r="AJ444" t="str">
            <v>Cash return of 6%</v>
          </cell>
          <cell r="AK444">
            <v>6</v>
          </cell>
          <cell r="AL444">
            <v>50</v>
          </cell>
          <cell r="AM444" t="str">
            <v>&gt; 40% - ≤ 60%</v>
          </cell>
          <cell r="AN444" t="str">
            <v>Institutional</v>
          </cell>
          <cell r="AO444" t="str">
            <v>&gt; 2</v>
          </cell>
          <cell r="AP444" t="str">
            <v>≥ 50%</v>
          </cell>
          <cell r="AQ444" t="str">
            <v>Europe</v>
          </cell>
          <cell r="AR444" t="str">
            <v>single country</v>
          </cell>
          <cell r="AT444" t="str">
            <v>Germany</v>
          </cell>
          <cell r="AU444" t="str">
            <v>single sector</v>
          </cell>
          <cell r="AV444" t="str">
            <v>Retail</v>
          </cell>
          <cell r="AW444">
            <v>175000000</v>
          </cell>
          <cell r="AX444">
            <v>500000000</v>
          </cell>
          <cell r="AY444">
            <v>2005</v>
          </cell>
          <cell r="BH444" t="str">
            <v>2020-12-31</v>
          </cell>
          <cell r="BI444">
            <v>361726451.47000003</v>
          </cell>
          <cell r="BJ444">
            <v>361726451.47000003</v>
          </cell>
          <cell r="BK444">
            <v>219766451.47</v>
          </cell>
          <cell r="BL444">
            <v>219766451.47</v>
          </cell>
          <cell r="BM444">
            <v>39.25</v>
          </cell>
          <cell r="BN444" t="str">
            <v>No</v>
          </cell>
          <cell r="BO444" t="str">
            <v>Internal</v>
          </cell>
          <cell r="BP444">
            <v>7</v>
          </cell>
          <cell r="BQ444">
            <v>5</v>
          </cell>
          <cell r="BR444">
            <v>194000000</v>
          </cell>
          <cell r="BS444">
            <v>194000000</v>
          </cell>
          <cell r="BT444">
            <v>193400107</v>
          </cell>
          <cell r="BU444">
            <v>193400107</v>
          </cell>
          <cell r="BV444" t="str">
            <v>No</v>
          </cell>
          <cell r="BW444" t="str">
            <v>Germany</v>
          </cell>
          <cell r="BX444" t="str">
            <v>Retail</v>
          </cell>
          <cell r="BY444">
            <v>100</v>
          </cell>
        </row>
        <row r="445">
          <cell r="A445">
            <v>415</v>
          </cell>
          <cell r="B445" t="str">
            <v>SIERRA EUROPEAN RETAIL REAL ESTATE ASSETS HOLDINGS BV</v>
          </cell>
          <cell r="C445" t="str">
            <v>SONAE SIERRA</v>
          </cell>
          <cell r="D445" t="str">
            <v>Lugar do Espido via Norte</v>
          </cell>
          <cell r="E445" t="str">
            <v>4471-909</v>
          </cell>
          <cell r="F445" t="str">
            <v>Maia</v>
          </cell>
          <cell r="G445" t="str">
            <v>Portugal</v>
          </cell>
          <cell r="H445" t="str">
            <v>+351 22 010 4549</v>
          </cell>
          <cell r="I445" t="str">
            <v>+351 22 010 4452</v>
          </cell>
          <cell r="J445" t="str">
            <v>http://www.sonaesierra.com</v>
          </cell>
          <cell r="K445" t="str">
            <v>Pedro Caupers</v>
          </cell>
          <cell r="L445" t="str">
            <v>p.caupers@sonaesierra.com</v>
          </cell>
          <cell r="M445" t="str">
            <v>+351 21 751 5033</v>
          </cell>
          <cell r="N445" t="str">
            <v>Joao Lelis</v>
          </cell>
          <cell r="O445" t="str">
            <v>jclelis@sonaesierra.com</v>
          </cell>
          <cell r="P445" t="str">
            <v>+351 22 010 4452</v>
          </cell>
          <cell r="Q445" t="str">
            <v>Netherlands</v>
          </cell>
          <cell r="R445" t="str">
            <v>EUR</v>
          </cell>
          <cell r="S445" t="str">
            <v>IFRS</v>
          </cell>
          <cell r="T445" t="str">
            <v>Quarterly</v>
          </cell>
          <cell r="U445" t="str">
            <v>Quarterly</v>
          </cell>
          <cell r="V445" t="str">
            <v>RICS</v>
          </cell>
          <cell r="W445" t="str">
            <v>INREV NAV</v>
          </cell>
          <cell r="X445" t="str">
            <v>Deloitte &amp; Touche</v>
          </cell>
          <cell r="Y445" t="str">
            <v>BV</v>
          </cell>
          <cell r="Z445" t="str">
            <v>Yes</v>
          </cell>
          <cell r="AA445" t="str">
            <v>No</v>
          </cell>
          <cell r="AB445">
            <v>0</v>
          </cell>
          <cell r="AC445" t="str">
            <v>Non-Listed Fund</v>
          </cell>
          <cell r="AD445" t="str">
            <v>Core</v>
          </cell>
          <cell r="AE445" t="str">
            <v>finite</v>
          </cell>
          <cell r="AF445" t="str">
            <v>Closed end</v>
          </cell>
          <cell r="AG445">
            <v>11</v>
          </cell>
          <cell r="AH445">
            <v>13</v>
          </cell>
          <cell r="AI445" t="str">
            <v>Net</v>
          </cell>
          <cell r="AJ445" t="str">
            <v>None</v>
          </cell>
          <cell r="AK445">
            <v>6</v>
          </cell>
          <cell r="AL445">
            <v>50</v>
          </cell>
          <cell r="AM445" t="str">
            <v>&gt; 40% - ≤ 60%</v>
          </cell>
          <cell r="AN445" t="str">
            <v>Institutional</v>
          </cell>
          <cell r="AO445" t="str">
            <v>&gt; 2</v>
          </cell>
          <cell r="AP445" t="str">
            <v>≥ 50%</v>
          </cell>
          <cell r="AQ445" t="str">
            <v>Europe</v>
          </cell>
          <cell r="AR445" t="str">
            <v>multi country</v>
          </cell>
          <cell r="AS445" t="str">
            <v>Western Europe</v>
          </cell>
          <cell r="AU445" t="str">
            <v>single sector</v>
          </cell>
          <cell r="AV445" t="str">
            <v>Retail</v>
          </cell>
          <cell r="AW445">
            <v>1080000000</v>
          </cell>
          <cell r="AY445">
            <v>2003</v>
          </cell>
          <cell r="AZ445">
            <v>2013</v>
          </cell>
          <cell r="BA445" t="str">
            <v>No</v>
          </cell>
          <cell r="BH445" t="str">
            <v>2020-12-31</v>
          </cell>
          <cell r="BI445">
            <v>1822857000</v>
          </cell>
          <cell r="BJ445">
            <v>1822857000</v>
          </cell>
          <cell r="BK445">
            <v>1092231000</v>
          </cell>
          <cell r="BL445">
            <v>1092231000</v>
          </cell>
          <cell r="BM445">
            <v>35.9</v>
          </cell>
          <cell r="BN445" t="str">
            <v>Yes</v>
          </cell>
          <cell r="BO445" t="str">
            <v>External</v>
          </cell>
          <cell r="BP445">
            <v>4</v>
          </cell>
          <cell r="BQ445">
            <v>6</v>
          </cell>
          <cell r="BR445">
            <v>0</v>
          </cell>
          <cell r="BS445">
            <v>0</v>
          </cell>
          <cell r="BT445">
            <v>0</v>
          </cell>
          <cell r="BV445" t="str">
            <v>No</v>
          </cell>
          <cell r="BW445" t="str">
            <v>Portugal</v>
          </cell>
          <cell r="BX445" t="str">
            <v>Retail</v>
          </cell>
          <cell r="BY445">
            <v>81.5</v>
          </cell>
          <cell r="BZ445" t="str">
            <v>Spain</v>
          </cell>
          <cell r="CA445" t="str">
            <v>Retail</v>
          </cell>
          <cell r="CB445">
            <v>13.4</v>
          </cell>
          <cell r="CC445" t="str">
            <v>Portugal</v>
          </cell>
          <cell r="CD445" t="str">
            <v>Development Retail</v>
          </cell>
          <cell r="CE445">
            <v>0.5</v>
          </cell>
          <cell r="CF445" t="str">
            <v>Spain</v>
          </cell>
          <cell r="CG445" t="str">
            <v>Development Retail</v>
          </cell>
          <cell r="CH445">
            <v>0.2</v>
          </cell>
        </row>
        <row r="446">
          <cell r="A446">
            <v>19558</v>
          </cell>
          <cell r="B446" t="str">
            <v>SIERRA RETAIL VENTURES</v>
          </cell>
          <cell r="C446" t="str">
            <v>SONAE SIERRA</v>
          </cell>
          <cell r="D446" t="str">
            <v>Lugar do Espido Via Norte</v>
          </cell>
          <cell r="E446" t="str">
            <v>4471-909</v>
          </cell>
          <cell r="F446" t="str">
            <v>Maia</v>
          </cell>
          <cell r="G446" t="str">
            <v>Portugal</v>
          </cell>
          <cell r="H446" t="str">
            <v>+351220104549</v>
          </cell>
          <cell r="I446" t="str">
            <v>+351220104452</v>
          </cell>
          <cell r="J446" t="str">
            <v>http://www.sonaesierra.com</v>
          </cell>
          <cell r="K446" t="str">
            <v>Pedro Caupers</v>
          </cell>
          <cell r="L446" t="str">
            <v>p.caupers@sonaesierra.com</v>
          </cell>
          <cell r="M446" t="str">
            <v>+351217515033</v>
          </cell>
          <cell r="N446" t="str">
            <v>Joao Lelis</v>
          </cell>
          <cell r="O446" t="str">
            <v>jclelis@sonaesierra.com</v>
          </cell>
          <cell r="P446" t="str">
            <v>+351220104452</v>
          </cell>
          <cell r="Q446" t="str">
            <v>Netherlands</v>
          </cell>
          <cell r="R446" t="str">
            <v>EUR</v>
          </cell>
          <cell r="S446" t="str">
            <v>IFRS</v>
          </cell>
          <cell r="T446" t="str">
            <v>Quarterly</v>
          </cell>
          <cell r="U446" t="str">
            <v>Twice per year</v>
          </cell>
          <cell r="V446" t="str">
            <v>RICS</v>
          </cell>
          <cell r="W446" t="str">
            <v>INREV NAV</v>
          </cell>
          <cell r="Y446" t="str">
            <v>BV</v>
          </cell>
          <cell r="Z446" t="str">
            <v>Yes</v>
          </cell>
          <cell r="AB446">
            <v>0</v>
          </cell>
          <cell r="AC446" t="str">
            <v>Non-Listed Fund</v>
          </cell>
          <cell r="AD446" t="str">
            <v>Value-added</v>
          </cell>
          <cell r="AE446" t="str">
            <v>finite</v>
          </cell>
          <cell r="AF446" t="str">
            <v>Closed end</v>
          </cell>
          <cell r="AI446" t="str">
            <v>Net</v>
          </cell>
          <cell r="AM446" t="str">
            <v>&gt; 40% - ≤ 60%</v>
          </cell>
          <cell r="AN446" t="str">
            <v>Institutional</v>
          </cell>
          <cell r="AO446" t="str">
            <v>≤ 2</v>
          </cell>
          <cell r="AP446" t="str">
            <v>&lt; 50%</v>
          </cell>
          <cell r="AQ446" t="str">
            <v>Europe</v>
          </cell>
          <cell r="AR446" t="str">
            <v>single country</v>
          </cell>
          <cell r="AT446" t="str">
            <v>Portugal</v>
          </cell>
          <cell r="AU446" t="str">
            <v>single sector</v>
          </cell>
          <cell r="AV446" t="str">
            <v>Retail</v>
          </cell>
          <cell r="AY446">
            <v>2020</v>
          </cell>
          <cell r="BE446" t="str">
            <v>&lt; 60%</v>
          </cell>
          <cell r="BF446" t="str">
            <v>≤ 15%</v>
          </cell>
          <cell r="BG446" t="str">
            <v>≤ 5%</v>
          </cell>
          <cell r="BH446" t="str">
            <v>2020-12-31</v>
          </cell>
          <cell r="BI446">
            <v>252314000</v>
          </cell>
          <cell r="BJ446">
            <v>252314000</v>
          </cell>
          <cell r="BK446">
            <v>152282000</v>
          </cell>
          <cell r="BL446">
            <v>152282000</v>
          </cell>
          <cell r="BM446">
            <v>30</v>
          </cell>
          <cell r="BN446" t="str">
            <v>Yes</v>
          </cell>
          <cell r="BO446" t="str">
            <v>External</v>
          </cell>
          <cell r="BP446">
            <v>2</v>
          </cell>
          <cell r="BQ446">
            <v>5</v>
          </cell>
          <cell r="BR446">
            <v>0</v>
          </cell>
          <cell r="BS446">
            <v>0</v>
          </cell>
          <cell r="BT446">
            <v>0</v>
          </cell>
          <cell r="BV446" t="str">
            <v>No</v>
          </cell>
          <cell r="BW446" t="str">
            <v>Portugal</v>
          </cell>
          <cell r="BX446" t="str">
            <v>Retail</v>
          </cell>
          <cell r="BY446">
            <v>85.3</v>
          </cell>
        </row>
        <row r="447">
          <cell r="A447">
            <v>416</v>
          </cell>
          <cell r="B447" t="str">
            <v>SII</v>
          </cell>
          <cell r="C447" t="str">
            <v>IMORENDIMENTO SGFII, SA</v>
          </cell>
          <cell r="D447" t="str">
            <v>Praça Bom Sucesso 127, Esc 210</v>
          </cell>
          <cell r="E447" t="str">
            <v>4050 146</v>
          </cell>
          <cell r="F447" t="str">
            <v>Porto</v>
          </cell>
          <cell r="G447" t="str">
            <v>Portugal</v>
          </cell>
          <cell r="H447" t="str">
            <v>+351 22 607 5660</v>
          </cell>
          <cell r="I447" t="str">
            <v>+351 22 607 5661</v>
          </cell>
          <cell r="J447" t="str">
            <v>http://www.imorendimento.com</v>
          </cell>
          <cell r="N447" t="str">
            <v>Armando Lacerda Queiroz</v>
          </cell>
          <cell r="O447" t="str">
            <v>lqueiroz@imorendimento.pt</v>
          </cell>
          <cell r="P447" t="str">
            <v>+351 22 607 5660</v>
          </cell>
          <cell r="Q447" t="str">
            <v>Portugal</v>
          </cell>
          <cell r="R447" t="str">
            <v>EUR</v>
          </cell>
          <cell r="S447" t="str">
            <v>Local GAAP</v>
          </cell>
          <cell r="T447" t="str">
            <v>Annually</v>
          </cell>
          <cell r="U447" t="str">
            <v>Quarterly</v>
          </cell>
          <cell r="Y447" t="str">
            <v>SPV</v>
          </cell>
          <cell r="AB447">
            <v>0</v>
          </cell>
          <cell r="AC447" t="str">
            <v>Non-Listed Fund</v>
          </cell>
          <cell r="AD447" t="str">
            <v>Value-added</v>
          </cell>
          <cell r="AE447" t="str">
            <v>infinite</v>
          </cell>
          <cell r="AF447" t="str">
            <v>Open end</v>
          </cell>
          <cell r="AG447">
            <v>0</v>
          </cell>
          <cell r="AH447">
            <v>22</v>
          </cell>
          <cell r="AN447" t="str">
            <v>Institutional</v>
          </cell>
          <cell r="AQ447" t="str">
            <v>Europe</v>
          </cell>
          <cell r="AR447" t="str">
            <v>single country</v>
          </cell>
          <cell r="AT447" t="str">
            <v>Portugal</v>
          </cell>
          <cell r="AU447" t="str">
            <v>multi sector</v>
          </cell>
          <cell r="AY447">
            <v>2005</v>
          </cell>
          <cell r="BH447" t="str">
            <v>2010-12-31</v>
          </cell>
          <cell r="BI447">
            <v>20000000</v>
          </cell>
          <cell r="BJ447">
            <v>20000000</v>
          </cell>
          <cell r="BK447">
            <v>14000000</v>
          </cell>
          <cell r="BL447">
            <v>14000000</v>
          </cell>
          <cell r="BQ447">
            <v>4</v>
          </cell>
          <cell r="BR447">
            <v>20000000</v>
          </cell>
          <cell r="BS447">
            <v>20000000</v>
          </cell>
          <cell r="BU447">
            <v>0</v>
          </cell>
          <cell r="BV447" t="str">
            <v>No</v>
          </cell>
        </row>
        <row r="448">
          <cell r="A448">
            <v>417</v>
          </cell>
          <cell r="B448" t="str">
            <v>SIREO IMMOBILIENFONDS NO. 1</v>
          </cell>
          <cell r="C448" t="str">
            <v>CORPUS SIREO</v>
          </cell>
          <cell r="D448" t="str">
            <v>Jahnstraße 64</v>
          </cell>
          <cell r="E448">
            <v>63150</v>
          </cell>
          <cell r="F448" t="str">
            <v>Heusenstamm</v>
          </cell>
          <cell r="G448" t="str">
            <v>Germany</v>
          </cell>
          <cell r="H448" t="str">
            <v>+49 (0) 6104 664 0</v>
          </cell>
          <cell r="I448" t="str">
            <v>+49 (0) 6104 664 599</v>
          </cell>
          <cell r="J448" t="str">
            <v>http://www.corpussireo.com</v>
          </cell>
          <cell r="K448" t="str">
            <v>Franziska Feitzinger</v>
          </cell>
          <cell r="L448" t="str">
            <v>franziska.feitzinger@swisslife-fm.com</v>
          </cell>
          <cell r="M448" t="str">
            <v>+352 267585-500</v>
          </cell>
          <cell r="N448" t="str">
            <v>Timo Ollinger</v>
          </cell>
          <cell r="O448" t="str">
            <v>timo.ollinger@swisslife-fm.com</v>
          </cell>
          <cell r="P448" t="str">
            <v>+352 267585-404</v>
          </cell>
          <cell r="Q448" t="str">
            <v>Germany</v>
          </cell>
          <cell r="R448" t="str">
            <v>EUR</v>
          </cell>
          <cell r="S448" t="str">
            <v>Local GAAP</v>
          </cell>
          <cell r="T448" t="str">
            <v>Twice per year</v>
          </cell>
          <cell r="U448" t="str">
            <v>Quarterly</v>
          </cell>
          <cell r="W448" t="str">
            <v>German GAAP</v>
          </cell>
          <cell r="X448" t="str">
            <v>PriceWaterhouseCoopers</v>
          </cell>
          <cell r="Y448" t="str">
            <v>Closed Ended Fund / German KG</v>
          </cell>
          <cell r="AB448">
            <v>0</v>
          </cell>
          <cell r="AC448" t="str">
            <v>Non-Listed Fund</v>
          </cell>
          <cell r="AD448" t="str">
            <v>Core</v>
          </cell>
          <cell r="AE448" t="str">
            <v>finite</v>
          </cell>
          <cell r="AF448" t="str">
            <v>Closed end</v>
          </cell>
          <cell r="AG448">
            <v>7</v>
          </cell>
          <cell r="AH448">
            <v>9</v>
          </cell>
          <cell r="AJ448" t="str">
            <v>DIX/IPD Germany Index</v>
          </cell>
          <cell r="AK448">
            <v>9</v>
          </cell>
          <cell r="AL448">
            <v>50</v>
          </cell>
          <cell r="AM448" t="str">
            <v>&gt; 40% - ≤ 60%</v>
          </cell>
          <cell r="AN448" t="str">
            <v>Institutional</v>
          </cell>
          <cell r="AO448" t="str">
            <v>&gt; 2</v>
          </cell>
          <cell r="AP448" t="str">
            <v>≥ 50%</v>
          </cell>
          <cell r="AQ448" t="str">
            <v>Europe</v>
          </cell>
          <cell r="AR448" t="str">
            <v>single country</v>
          </cell>
          <cell r="AT448" t="str">
            <v>Germany</v>
          </cell>
          <cell r="AU448" t="str">
            <v>single sector</v>
          </cell>
          <cell r="AV448" t="str">
            <v>Office</v>
          </cell>
          <cell r="AW448">
            <v>274300000</v>
          </cell>
          <cell r="AX448">
            <v>525000000</v>
          </cell>
          <cell r="AY448">
            <v>2002</v>
          </cell>
          <cell r="AZ448">
            <v>2017</v>
          </cell>
          <cell r="BH448" t="str">
            <v>2020-06-30</v>
          </cell>
          <cell r="BI448">
            <v>250834435</v>
          </cell>
          <cell r="BJ448">
            <v>250834435</v>
          </cell>
          <cell r="BK448">
            <v>176746958</v>
          </cell>
          <cell r="BL448">
            <v>176746958</v>
          </cell>
          <cell r="BM448">
            <v>29</v>
          </cell>
          <cell r="BN448" t="str">
            <v>No</v>
          </cell>
          <cell r="BO448" t="str">
            <v>Internal</v>
          </cell>
          <cell r="BP448">
            <v>1</v>
          </cell>
          <cell r="BQ448">
            <v>11</v>
          </cell>
          <cell r="BR448">
            <v>274329500</v>
          </cell>
          <cell r="BS448">
            <v>274329500</v>
          </cell>
          <cell r="BT448">
            <v>274329500</v>
          </cell>
          <cell r="BU448">
            <v>274329500</v>
          </cell>
          <cell r="BV448" t="str">
            <v>No</v>
          </cell>
          <cell r="BW448" t="str">
            <v>Germany</v>
          </cell>
          <cell r="BX448" t="str">
            <v>Office</v>
          </cell>
          <cell r="BY448">
            <v>100</v>
          </cell>
        </row>
        <row r="449">
          <cell r="A449">
            <v>419</v>
          </cell>
          <cell r="B449" t="str">
            <v>SIREO IMMOBILIENFONDS NO. 5</v>
          </cell>
          <cell r="C449" t="str">
            <v>SWISS LIFE FUND MANAGEMENT (LUX) S.A.</v>
          </cell>
          <cell r="D449" t="str">
            <v>4a rue Albert Borschette</v>
          </cell>
          <cell r="E449">
            <v>1246</v>
          </cell>
          <cell r="F449" t="str">
            <v>Luxembourg</v>
          </cell>
          <cell r="G449" t="str">
            <v>Luxembourg</v>
          </cell>
          <cell r="H449" t="str">
            <v>+352 267585-0</v>
          </cell>
          <cell r="I449" t="str">
            <v>+352 267585-199</v>
          </cell>
          <cell r="J449" t="str">
            <v>http://www.swisslife-am.com</v>
          </cell>
          <cell r="K449" t="str">
            <v>Christian Höttermann</v>
          </cell>
          <cell r="L449" t="str">
            <v>christian.hoettermann@corpussireo.com</v>
          </cell>
          <cell r="M449" t="str">
            <v>+352 245 280</v>
          </cell>
          <cell r="N449" t="str">
            <v>Nicole Jacquey</v>
          </cell>
          <cell r="O449" t="str">
            <v>nicole.jacquey@swisslife-fm.com</v>
          </cell>
          <cell r="P449" t="str">
            <v>+352 267585-402</v>
          </cell>
          <cell r="Q449" t="str">
            <v>Luxembourg</v>
          </cell>
          <cell r="R449" t="str">
            <v>EUR</v>
          </cell>
          <cell r="S449" t="str">
            <v>Local GAAP</v>
          </cell>
          <cell r="T449" t="str">
            <v>Monthly</v>
          </cell>
          <cell r="U449" t="str">
            <v>Annually</v>
          </cell>
          <cell r="V449" t="str">
            <v>ImmoWertV</v>
          </cell>
          <cell r="W449" t="str">
            <v>Fund-GAAP</v>
          </cell>
          <cell r="X449" t="str">
            <v>Deloitte S.A.</v>
          </cell>
          <cell r="Y449" t="str">
            <v>SICAV</v>
          </cell>
          <cell r="Z449" t="str">
            <v>No</v>
          </cell>
          <cell r="AA449" t="str">
            <v>Yes</v>
          </cell>
          <cell r="AB449">
            <v>0</v>
          </cell>
          <cell r="AC449" t="str">
            <v>Non-Listed Fund</v>
          </cell>
          <cell r="AD449" t="str">
            <v>Core</v>
          </cell>
          <cell r="AE449" t="str">
            <v>finite</v>
          </cell>
          <cell r="AF449" t="str">
            <v>Closed end</v>
          </cell>
          <cell r="AG449">
            <v>7.5</v>
          </cell>
          <cell r="AH449">
            <v>7.5</v>
          </cell>
          <cell r="AI449" t="str">
            <v>Net</v>
          </cell>
          <cell r="AK449">
            <v>7.5</v>
          </cell>
          <cell r="AL449">
            <v>60</v>
          </cell>
          <cell r="AM449" t="str">
            <v>&gt; 40% - ≤ 60%</v>
          </cell>
          <cell r="AN449" t="str">
            <v>Institutional</v>
          </cell>
          <cell r="AO449" t="str">
            <v>&gt; 2</v>
          </cell>
          <cell r="AP449" t="str">
            <v>≥ 50%</v>
          </cell>
          <cell r="AQ449" t="str">
            <v>Europe</v>
          </cell>
          <cell r="AR449" t="str">
            <v>single country</v>
          </cell>
          <cell r="AT449" t="str">
            <v>Germany</v>
          </cell>
          <cell r="AU449" t="str">
            <v>single sector</v>
          </cell>
          <cell r="AV449" t="str">
            <v>Health Care</v>
          </cell>
          <cell r="AW449">
            <v>300000000</v>
          </cell>
          <cell r="AX449">
            <v>700000000</v>
          </cell>
          <cell r="AY449">
            <v>2006</v>
          </cell>
          <cell r="AZ449">
            <v>2017</v>
          </cell>
          <cell r="BH449" t="str">
            <v>2020-06-30</v>
          </cell>
          <cell r="BI449">
            <v>4905332</v>
          </cell>
          <cell r="BJ449">
            <v>4905332</v>
          </cell>
          <cell r="BK449">
            <v>3024136</v>
          </cell>
          <cell r="BL449">
            <v>3024136</v>
          </cell>
          <cell r="BM449">
            <v>0</v>
          </cell>
          <cell r="BN449" t="str">
            <v>No</v>
          </cell>
          <cell r="BO449" t="str">
            <v>Internal</v>
          </cell>
          <cell r="BP449">
            <v>8</v>
          </cell>
          <cell r="BQ449">
            <v>0</v>
          </cell>
          <cell r="BR449">
            <v>280000000</v>
          </cell>
          <cell r="BS449">
            <v>280000000</v>
          </cell>
          <cell r="BT449">
            <v>208700649</v>
          </cell>
          <cell r="BU449">
            <v>208700649</v>
          </cell>
          <cell r="BV449" t="str">
            <v>No</v>
          </cell>
          <cell r="BW449" t="str">
            <v>Germany</v>
          </cell>
          <cell r="BX449" t="str">
            <v>Health Care</v>
          </cell>
          <cell r="BY449">
            <v>100</v>
          </cell>
        </row>
        <row r="450">
          <cell r="A450">
            <v>17699</v>
          </cell>
          <cell r="B450" t="str">
            <v>SIRIUS FUND I GROCERY SCSP</v>
          </cell>
          <cell r="C450" t="str">
            <v>LUXEMBOURG INVESTMENT SOLUTIONS</v>
          </cell>
          <cell r="D450" t="str">
            <v>15, rue Edward Steichen</v>
          </cell>
          <cell r="E450" t="str">
            <v>L-2540 Luxembourg</v>
          </cell>
          <cell r="F450" t="str">
            <v>Luxembourg</v>
          </cell>
          <cell r="G450" t="str">
            <v>Luxembourg</v>
          </cell>
          <cell r="J450" t="str">
            <v>http://www.sirius.fi/</v>
          </cell>
          <cell r="N450" t="str">
            <v>Patrick Gylling</v>
          </cell>
          <cell r="O450" t="str">
            <v>patrick.gylling@sirius.fi</v>
          </cell>
          <cell r="P450" t="str">
            <v>+358405426397</v>
          </cell>
          <cell r="Q450" t="str">
            <v>Luxembourg</v>
          </cell>
          <cell r="R450" t="str">
            <v>EUR</v>
          </cell>
          <cell r="S450" t="str">
            <v>Local GAAP</v>
          </cell>
          <cell r="T450" t="str">
            <v>Quarterly</v>
          </cell>
          <cell r="U450" t="str">
            <v>Quarterly</v>
          </cell>
          <cell r="W450" t="str">
            <v>INREV NAV</v>
          </cell>
          <cell r="X450" t="str">
            <v>KPMG</v>
          </cell>
          <cell r="Y450" t="str">
            <v>SCSp</v>
          </cell>
          <cell r="Z450" t="str">
            <v>Yes</v>
          </cell>
          <cell r="AA450" t="str">
            <v>Yes</v>
          </cell>
          <cell r="AB450">
            <v>1</v>
          </cell>
          <cell r="AC450" t="str">
            <v>Non-Listed Fund</v>
          </cell>
          <cell r="AD450" t="str">
            <v>Value-added</v>
          </cell>
          <cell r="AE450" t="str">
            <v>finite</v>
          </cell>
          <cell r="AF450" t="str">
            <v>Closed end</v>
          </cell>
          <cell r="AG450">
            <v>20</v>
          </cell>
          <cell r="AI450" t="str">
            <v>Gross</v>
          </cell>
          <cell r="AL450">
            <v>60</v>
          </cell>
          <cell r="AM450" t="str">
            <v>&gt; 60%</v>
          </cell>
          <cell r="AN450" t="str">
            <v>Institutional and Retail</v>
          </cell>
          <cell r="AO450" t="str">
            <v>&gt; 2</v>
          </cell>
          <cell r="AP450" t="str">
            <v>≥ 50%</v>
          </cell>
          <cell r="AQ450" t="str">
            <v>Europe</v>
          </cell>
          <cell r="AR450" t="str">
            <v>single country</v>
          </cell>
          <cell r="AT450" t="str">
            <v>Finland</v>
          </cell>
          <cell r="AU450" t="str">
            <v>single sector</v>
          </cell>
          <cell r="AV450" t="str">
            <v>Other</v>
          </cell>
          <cell r="AW450">
            <v>100000000</v>
          </cell>
          <cell r="AX450">
            <v>250000000</v>
          </cell>
          <cell r="AY450">
            <v>2015</v>
          </cell>
          <cell r="AZ450">
            <v>2022</v>
          </cell>
          <cell r="BA450" t="str">
            <v>Yes</v>
          </cell>
          <cell r="BB450" t="str">
            <v>No</v>
          </cell>
          <cell r="BH450" t="str">
            <v>2020-12-31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 t="str">
            <v>No</v>
          </cell>
          <cell r="BO450" t="str">
            <v>External</v>
          </cell>
          <cell r="BP450">
            <v>4</v>
          </cell>
          <cell r="BQ450">
            <v>0</v>
          </cell>
          <cell r="BR450">
            <v>100000000</v>
          </cell>
          <cell r="BS450">
            <v>100000000</v>
          </cell>
          <cell r="BT450">
            <v>95310912</v>
          </cell>
          <cell r="BU450">
            <v>95310912</v>
          </cell>
          <cell r="BV450" t="str">
            <v>No</v>
          </cell>
          <cell r="BW450" t="str">
            <v>Finland</v>
          </cell>
          <cell r="BX450" t="str">
            <v>Retail</v>
          </cell>
          <cell r="BY450">
            <v>0</v>
          </cell>
        </row>
        <row r="451">
          <cell r="A451">
            <v>18228</v>
          </cell>
          <cell r="B451" t="str">
            <v>SIRIUS FUND II SCSP</v>
          </cell>
          <cell r="C451" t="str">
            <v>LUXEMBOURG INVESTMENT SOLUTIONS S.A.</v>
          </cell>
          <cell r="D451" t="str">
            <v>14, rue Edward Steichen</v>
          </cell>
          <cell r="E451" t="str">
            <v>L-2540 Luxembourg</v>
          </cell>
          <cell r="F451" t="str">
            <v>Luxembourg</v>
          </cell>
          <cell r="G451" t="str">
            <v>Luxembourg</v>
          </cell>
          <cell r="J451" t="str">
            <v>http://www.sirius.fi</v>
          </cell>
          <cell r="N451" t="str">
            <v>Patrick Gylling</v>
          </cell>
          <cell r="O451" t="str">
            <v>patrick.gylling@sirius.fi</v>
          </cell>
          <cell r="P451" t="str">
            <v>+358405426397</v>
          </cell>
          <cell r="Q451" t="str">
            <v>Luxembourg</v>
          </cell>
          <cell r="R451" t="str">
            <v>EUR</v>
          </cell>
          <cell r="S451" t="str">
            <v>Local GAAP</v>
          </cell>
          <cell r="T451" t="str">
            <v>Quarterly</v>
          </cell>
          <cell r="U451" t="str">
            <v>Quarterly</v>
          </cell>
          <cell r="W451" t="str">
            <v>INREV NAV</v>
          </cell>
          <cell r="X451" t="str">
            <v>KPMG</v>
          </cell>
          <cell r="Y451" t="str">
            <v>SCSp</v>
          </cell>
          <cell r="Z451" t="str">
            <v>Yes</v>
          </cell>
          <cell r="AA451" t="str">
            <v>Yes</v>
          </cell>
          <cell r="AB451">
            <v>1</v>
          </cell>
          <cell r="AC451" t="str">
            <v>Non-Listed Fund</v>
          </cell>
          <cell r="AD451" t="str">
            <v>Value-added</v>
          </cell>
          <cell r="AE451" t="str">
            <v>finite</v>
          </cell>
          <cell r="AF451" t="str">
            <v>Closed end</v>
          </cell>
          <cell r="AG451">
            <v>20</v>
          </cell>
          <cell r="AI451" t="str">
            <v>Gross</v>
          </cell>
          <cell r="AL451">
            <v>60</v>
          </cell>
          <cell r="AM451" t="str">
            <v>&gt; 60%</v>
          </cell>
          <cell r="AN451" t="str">
            <v>Institutional</v>
          </cell>
          <cell r="AO451" t="str">
            <v>&gt; 2</v>
          </cell>
          <cell r="AP451" t="str">
            <v>≥ 50%</v>
          </cell>
          <cell r="AQ451" t="str">
            <v>Europe</v>
          </cell>
          <cell r="AR451" t="str">
            <v>single country</v>
          </cell>
          <cell r="AT451" t="str">
            <v>Finland</v>
          </cell>
          <cell r="AU451" t="str">
            <v>single sector</v>
          </cell>
          <cell r="AV451" t="str">
            <v>Other</v>
          </cell>
          <cell r="AW451">
            <v>135000000</v>
          </cell>
          <cell r="AX451">
            <v>350000000</v>
          </cell>
          <cell r="AY451">
            <v>2016</v>
          </cell>
          <cell r="AZ451">
            <v>2023</v>
          </cell>
          <cell r="BA451" t="str">
            <v>Yes</v>
          </cell>
          <cell r="BB451" t="str">
            <v>No</v>
          </cell>
          <cell r="BH451" t="str">
            <v>2020-12-31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 t="str">
            <v>No</v>
          </cell>
          <cell r="BO451" t="str">
            <v>External</v>
          </cell>
          <cell r="BP451">
            <v>7</v>
          </cell>
          <cell r="BQ451">
            <v>0</v>
          </cell>
          <cell r="BR451">
            <v>135010000</v>
          </cell>
          <cell r="BS451">
            <v>135010000</v>
          </cell>
          <cell r="BT451">
            <v>132200000</v>
          </cell>
          <cell r="BU451">
            <v>132200000</v>
          </cell>
          <cell r="BV451" t="str">
            <v>No</v>
          </cell>
          <cell r="BW451" t="str">
            <v>Finland</v>
          </cell>
          <cell r="BX451" t="str">
            <v>Retail</v>
          </cell>
          <cell r="BY451">
            <v>0</v>
          </cell>
        </row>
        <row r="452">
          <cell r="A452">
            <v>18596</v>
          </cell>
          <cell r="B452" t="str">
            <v>SIRIUS FUND III SCSP</v>
          </cell>
          <cell r="C452" t="str">
            <v>LUXEMBOURG INVESTMENT SOLUTIONS</v>
          </cell>
          <cell r="D452" t="str">
            <v>14, rue Edward Steichen</v>
          </cell>
          <cell r="E452" t="str">
            <v>L-2540 Luxembourg</v>
          </cell>
          <cell r="F452" t="str">
            <v>Luxembourg</v>
          </cell>
          <cell r="G452" t="str">
            <v>Luxembourg</v>
          </cell>
          <cell r="J452" t="str">
            <v>http://www.sirius.fi</v>
          </cell>
          <cell r="N452" t="str">
            <v>Patrick Gylling</v>
          </cell>
          <cell r="O452" t="str">
            <v>patrick.gylling@sirius.fi</v>
          </cell>
          <cell r="P452" t="str">
            <v>+358405426397</v>
          </cell>
          <cell r="Q452" t="str">
            <v>Luxembourg</v>
          </cell>
          <cell r="R452" t="str">
            <v>EUR</v>
          </cell>
          <cell r="S452" t="str">
            <v>IFRS</v>
          </cell>
          <cell r="T452" t="str">
            <v>Quarterly</v>
          </cell>
          <cell r="U452" t="str">
            <v>Quarterly</v>
          </cell>
          <cell r="W452" t="str">
            <v>INREV NAV</v>
          </cell>
          <cell r="X452" t="str">
            <v>KPMG</v>
          </cell>
          <cell r="Y452" t="str">
            <v>SCSp</v>
          </cell>
          <cell r="Z452" t="str">
            <v>Yes</v>
          </cell>
          <cell r="AA452" t="str">
            <v>Yes</v>
          </cell>
          <cell r="AB452">
            <v>1</v>
          </cell>
          <cell r="AC452" t="str">
            <v>Non-Listed Fund</v>
          </cell>
          <cell r="AD452" t="str">
            <v>Value-added</v>
          </cell>
          <cell r="AE452" t="str">
            <v>finite</v>
          </cell>
          <cell r="AF452" t="str">
            <v>Closed end</v>
          </cell>
          <cell r="AG452">
            <v>20</v>
          </cell>
          <cell r="AI452" t="str">
            <v>Gross</v>
          </cell>
          <cell r="AL452">
            <v>55</v>
          </cell>
          <cell r="AM452" t="str">
            <v>&gt; 60%</v>
          </cell>
          <cell r="AN452" t="str">
            <v>Institutional</v>
          </cell>
          <cell r="AO452" t="str">
            <v>&gt; 2</v>
          </cell>
          <cell r="AP452" t="str">
            <v>≥ 50%</v>
          </cell>
          <cell r="AQ452" t="str">
            <v>Europe</v>
          </cell>
          <cell r="AR452" t="str">
            <v>single country</v>
          </cell>
          <cell r="AT452" t="str">
            <v>Finland</v>
          </cell>
          <cell r="AU452" t="str">
            <v>single sector</v>
          </cell>
          <cell r="AV452" t="str">
            <v>Office</v>
          </cell>
          <cell r="AW452">
            <v>35000000</v>
          </cell>
          <cell r="AX452">
            <v>100000000</v>
          </cell>
          <cell r="AY452">
            <v>2018</v>
          </cell>
          <cell r="AZ452">
            <v>2025</v>
          </cell>
          <cell r="BA452" t="str">
            <v>Yes</v>
          </cell>
          <cell r="BB452" t="str">
            <v>No</v>
          </cell>
          <cell r="BH452" t="str">
            <v>2020-12-31</v>
          </cell>
          <cell r="BI452">
            <v>30200000</v>
          </cell>
          <cell r="BJ452">
            <v>30200000</v>
          </cell>
          <cell r="BK452">
            <v>20550000</v>
          </cell>
          <cell r="BL452">
            <v>20550000</v>
          </cell>
          <cell r="BM452">
            <v>36</v>
          </cell>
          <cell r="BN452" t="str">
            <v>Yes</v>
          </cell>
          <cell r="BO452" t="str">
            <v>External</v>
          </cell>
          <cell r="BP452">
            <v>2</v>
          </cell>
          <cell r="BQ452">
            <v>2</v>
          </cell>
          <cell r="BR452">
            <v>35000000</v>
          </cell>
          <cell r="BS452">
            <v>35000000</v>
          </cell>
          <cell r="BT452">
            <v>30100000</v>
          </cell>
          <cell r="BU452">
            <v>30100000</v>
          </cell>
          <cell r="BV452" t="str">
            <v>No</v>
          </cell>
          <cell r="BW452" t="str">
            <v>Finland</v>
          </cell>
          <cell r="BX452" t="str">
            <v>Office</v>
          </cell>
          <cell r="BY452">
            <v>100</v>
          </cell>
        </row>
        <row r="453">
          <cell r="A453">
            <v>17497</v>
          </cell>
          <cell r="B453" t="str">
            <v>SOUTH EAST OFFICE FUND</v>
          </cell>
          <cell r="C453" t="str">
            <v xml:space="preserve">AEW UK </v>
          </cell>
          <cell r="D453" t="str">
            <v>33 Jermyn Street</v>
          </cell>
          <cell r="E453" t="str">
            <v>SW1Y 6DN</v>
          </cell>
          <cell r="F453" t="str">
            <v>London</v>
          </cell>
          <cell r="G453" t="str">
            <v>United Kingdom</v>
          </cell>
          <cell r="H453" t="str">
            <v>+44 (0)20 7016 4800</v>
          </cell>
          <cell r="I453" t="str">
            <v>+44 (0)20 7016 4700</v>
          </cell>
          <cell r="K453" t="str">
            <v>Nick Winsley</v>
          </cell>
          <cell r="L453" t="str">
            <v>nick.winsley@aeweurope.com</v>
          </cell>
          <cell r="M453" t="str">
            <v>+44 (0)20 7016 4841</v>
          </cell>
          <cell r="N453" t="str">
            <v>Dana Eisner</v>
          </cell>
          <cell r="O453" t="str">
            <v>dana.eisner@aeweurope.com</v>
          </cell>
          <cell r="P453" t="str">
            <v>+44 (0)20 7016 4883</v>
          </cell>
          <cell r="Q453" t="str">
            <v>United Kingdom</v>
          </cell>
          <cell r="R453" t="str">
            <v>GBP</v>
          </cell>
          <cell r="S453" t="str">
            <v>IFRS</v>
          </cell>
          <cell r="T453" t="str">
            <v>Quarterly</v>
          </cell>
          <cell r="U453" t="str">
            <v>Annually</v>
          </cell>
          <cell r="V453" t="str">
            <v>RICS</v>
          </cell>
          <cell r="Y453" t="str">
            <v>Limited Partnership</v>
          </cell>
          <cell r="AC453" t="str">
            <v>Non-Listed Fund</v>
          </cell>
          <cell r="AD453" t="str">
            <v>Value-added</v>
          </cell>
          <cell r="AE453" t="str">
            <v>finite</v>
          </cell>
          <cell r="AF453" t="str">
            <v>Closed end</v>
          </cell>
          <cell r="AG453">
            <v>12</v>
          </cell>
          <cell r="AH453">
            <v>20</v>
          </cell>
          <cell r="AI453" t="str">
            <v>Net</v>
          </cell>
          <cell r="AM453" t="str">
            <v>&gt; 40% - ≤ 60%</v>
          </cell>
          <cell r="AN453" t="str">
            <v>Institutional</v>
          </cell>
          <cell r="AO453" t="str">
            <v>&gt; 2</v>
          </cell>
          <cell r="AP453" t="str">
            <v>≥ 50%</v>
          </cell>
          <cell r="AQ453" t="str">
            <v>Europe</v>
          </cell>
          <cell r="AR453" t="str">
            <v>single country</v>
          </cell>
          <cell r="AT453" t="str">
            <v>United Kingdom</v>
          </cell>
          <cell r="AU453" t="str">
            <v>single sector</v>
          </cell>
          <cell r="AV453" t="str">
            <v>Office</v>
          </cell>
          <cell r="AW453">
            <v>100000000</v>
          </cell>
          <cell r="AY453">
            <v>2014</v>
          </cell>
          <cell r="AZ453">
            <v>2019</v>
          </cell>
          <cell r="BH453" t="str">
            <v>2017-12-31</v>
          </cell>
          <cell r="BI453">
            <v>130130906.64</v>
          </cell>
          <cell r="BJ453">
            <v>146589072.21661371</v>
          </cell>
          <cell r="BK453">
            <v>93886766.180000007</v>
          </cell>
          <cell r="BL453">
            <v>105760993.3189685</v>
          </cell>
          <cell r="BM453">
            <v>26.25</v>
          </cell>
          <cell r="BS453">
            <v>0</v>
          </cell>
          <cell r="BW453" t="str">
            <v>United Kingdom</v>
          </cell>
          <cell r="BX453" t="str">
            <v>Office</v>
          </cell>
          <cell r="BY453">
            <v>100</v>
          </cell>
        </row>
        <row r="454">
          <cell r="A454">
            <v>421</v>
          </cell>
          <cell r="B454" t="str">
            <v>SPF - SIERRA PORTUGAL REAL ESTATE</v>
          </cell>
          <cell r="C454" t="str">
            <v>SONAE SIERRA</v>
          </cell>
          <cell r="D454" t="str">
            <v>Lugar do Espido via Norte</v>
          </cell>
          <cell r="E454" t="str">
            <v>4471-909</v>
          </cell>
          <cell r="F454" t="str">
            <v>Maia</v>
          </cell>
          <cell r="G454" t="str">
            <v>Portugal</v>
          </cell>
          <cell r="H454" t="str">
            <v>+351 22 010 4549</v>
          </cell>
          <cell r="I454" t="str">
            <v>+351 22 010 4452</v>
          </cell>
          <cell r="J454" t="str">
            <v>http://www.sonaesierra.com</v>
          </cell>
          <cell r="K454" t="str">
            <v>Pedro Caupers</v>
          </cell>
          <cell r="L454" t="str">
            <v>p.caupers@sonaesierra.com</v>
          </cell>
          <cell r="M454" t="str">
            <v>+351 21 751 5033</v>
          </cell>
          <cell r="N454" t="str">
            <v>Joao Lelis</v>
          </cell>
          <cell r="O454" t="str">
            <v>jclelis@sonaesierra.com</v>
          </cell>
          <cell r="P454" t="str">
            <v>+351 22 010 4452</v>
          </cell>
          <cell r="Q454" t="str">
            <v>Luxembourg</v>
          </cell>
          <cell r="R454" t="str">
            <v>EUR</v>
          </cell>
          <cell r="S454" t="str">
            <v>IFRS</v>
          </cell>
          <cell r="T454" t="str">
            <v>Quarterly</v>
          </cell>
          <cell r="U454" t="str">
            <v>Quarterly</v>
          </cell>
          <cell r="V454" t="str">
            <v>RICS</v>
          </cell>
          <cell r="W454" t="str">
            <v>INREV NAV</v>
          </cell>
          <cell r="X454" t="str">
            <v>Deloitte &amp; Touche</v>
          </cell>
          <cell r="Y454" t="str">
            <v>SCA</v>
          </cell>
          <cell r="Z454" t="str">
            <v>Yes</v>
          </cell>
          <cell r="AA454" t="str">
            <v>No</v>
          </cell>
          <cell r="AB454">
            <v>0</v>
          </cell>
          <cell r="AC454" t="str">
            <v>Non-Listed Fund</v>
          </cell>
          <cell r="AD454" t="str">
            <v>Core</v>
          </cell>
          <cell r="AE454" t="str">
            <v>finite</v>
          </cell>
          <cell r="AF454" t="str">
            <v>Closed end</v>
          </cell>
          <cell r="AG454">
            <v>8</v>
          </cell>
          <cell r="AH454">
            <v>11</v>
          </cell>
          <cell r="AI454" t="str">
            <v>Net</v>
          </cell>
          <cell r="AJ454" t="str">
            <v>None</v>
          </cell>
          <cell r="AK454">
            <v>6</v>
          </cell>
          <cell r="AL454">
            <v>50</v>
          </cell>
          <cell r="AM454" t="str">
            <v>&gt; 40% - ≤ 60%</v>
          </cell>
          <cell r="AN454" t="str">
            <v>Institutional</v>
          </cell>
          <cell r="AO454" t="str">
            <v>&gt; 2</v>
          </cell>
          <cell r="AP454" t="str">
            <v>≥ 50%</v>
          </cell>
          <cell r="AQ454" t="str">
            <v>Europe</v>
          </cell>
          <cell r="AR454" t="str">
            <v>single country</v>
          </cell>
          <cell r="AT454" t="str">
            <v>Portugal</v>
          </cell>
          <cell r="AU454" t="str">
            <v>single sector</v>
          </cell>
          <cell r="AV454" t="str">
            <v>Retail</v>
          </cell>
          <cell r="AW454">
            <v>300000000</v>
          </cell>
          <cell r="AY454">
            <v>2008</v>
          </cell>
          <cell r="AZ454">
            <v>2018</v>
          </cell>
          <cell r="BA454" t="str">
            <v>No</v>
          </cell>
          <cell r="BH454" t="str">
            <v>2020-12-31</v>
          </cell>
          <cell r="BI454">
            <v>150823000</v>
          </cell>
          <cell r="BJ454">
            <v>150823000</v>
          </cell>
          <cell r="BK454">
            <v>94370000</v>
          </cell>
          <cell r="BL454">
            <v>94370000</v>
          </cell>
          <cell r="BM454">
            <v>27.3</v>
          </cell>
          <cell r="BN454" t="str">
            <v>Yes</v>
          </cell>
          <cell r="BO454" t="str">
            <v>External</v>
          </cell>
          <cell r="BP454">
            <v>4</v>
          </cell>
          <cell r="BQ454">
            <v>2</v>
          </cell>
          <cell r="BR454">
            <v>0</v>
          </cell>
          <cell r="BS454">
            <v>0</v>
          </cell>
          <cell r="BT454">
            <v>0</v>
          </cell>
          <cell r="BV454" t="str">
            <v>No</v>
          </cell>
          <cell r="BW454" t="str">
            <v>Portugal</v>
          </cell>
          <cell r="BX454" t="str">
            <v>Retail</v>
          </cell>
          <cell r="BY454">
            <v>87</v>
          </cell>
        </row>
        <row r="455">
          <cell r="A455">
            <v>16085</v>
          </cell>
          <cell r="B455" t="str">
            <v>STADTE UND WOHNEN</v>
          </cell>
          <cell r="C455" t="str">
            <v>ABERDEEN ASSET MANAGEMENT DEUTSCHLAND AG</v>
          </cell>
          <cell r="D455" t="str">
            <v>Bettinastrasse 53-55</v>
          </cell>
          <cell r="E455">
            <v>60325</v>
          </cell>
          <cell r="F455" t="str">
            <v>Frankfurt am Main</v>
          </cell>
          <cell r="G455" t="str">
            <v>Germany</v>
          </cell>
          <cell r="H455" t="str">
            <v>+49697680720</v>
          </cell>
          <cell r="I455" t="str">
            <v>+4969768072256</v>
          </cell>
          <cell r="J455" t="str">
            <v>https://www.aberdeenstandard.com</v>
          </cell>
          <cell r="K455" t="str">
            <v>Mihaela Ruhl</v>
          </cell>
          <cell r="L455" t="str">
            <v>mihaela.ruhl@aberdeen-asset.com</v>
          </cell>
          <cell r="M455" t="str">
            <v>+4969768072203</v>
          </cell>
          <cell r="N455" t="str">
            <v>Robert Bauer</v>
          </cell>
          <cell r="O455" t="str">
            <v>info.germany@aberdeen-asset.com</v>
          </cell>
          <cell r="P455" t="str">
            <v>+49697680720</v>
          </cell>
          <cell r="Q455" t="str">
            <v>Germany</v>
          </cell>
          <cell r="R455" t="str">
            <v>EUR</v>
          </cell>
          <cell r="S455" t="str">
            <v>Local GAAP</v>
          </cell>
          <cell r="T455" t="str">
            <v>Quarterly</v>
          </cell>
          <cell r="U455" t="str">
            <v>Annually</v>
          </cell>
          <cell r="V455" t="str">
            <v>ImmoWertV</v>
          </cell>
          <cell r="W455" t="str">
            <v>KARBV</v>
          </cell>
          <cell r="X455" t="str">
            <v>KPMG AG</v>
          </cell>
          <cell r="Y455" t="str">
            <v>Spezialfonds</v>
          </cell>
          <cell r="Z455" t="str">
            <v>No</v>
          </cell>
          <cell r="AA455" t="str">
            <v>Yes</v>
          </cell>
          <cell r="AC455" t="str">
            <v>Non-Listed Fund</v>
          </cell>
          <cell r="AD455" t="str">
            <v>Core</v>
          </cell>
          <cell r="AE455" t="str">
            <v>infinite</v>
          </cell>
          <cell r="AF455" t="str">
            <v>Open end</v>
          </cell>
          <cell r="AH455">
            <v>5.7</v>
          </cell>
          <cell r="AI455" t="str">
            <v>Net</v>
          </cell>
          <cell r="AK455">
            <v>4</v>
          </cell>
          <cell r="AL455">
            <v>30</v>
          </cell>
          <cell r="AM455" t="str">
            <v>≤ 40%</v>
          </cell>
          <cell r="AN455" t="str">
            <v>Institutional</v>
          </cell>
          <cell r="AO455" t="str">
            <v>&gt; 2</v>
          </cell>
          <cell r="AP455" t="str">
            <v>≥ 50%</v>
          </cell>
          <cell r="AQ455" t="str">
            <v>Europe</v>
          </cell>
          <cell r="AR455" t="str">
            <v>single country</v>
          </cell>
          <cell r="AT455" t="str">
            <v>Germany</v>
          </cell>
          <cell r="AU455" t="str">
            <v>single sector</v>
          </cell>
          <cell r="AV455" t="str">
            <v>Residential</v>
          </cell>
          <cell r="AW455">
            <v>540000000</v>
          </cell>
          <cell r="AX455">
            <v>900000000</v>
          </cell>
          <cell r="AY455">
            <v>2012</v>
          </cell>
          <cell r="BB455" t="str">
            <v>No</v>
          </cell>
          <cell r="BD455" t="str">
            <v>No</v>
          </cell>
          <cell r="BE455" t="str">
            <v>≥ 60%</v>
          </cell>
          <cell r="BF455" t="str">
            <v>≤ 15%</v>
          </cell>
          <cell r="BG455" t="str">
            <v>≤ 5%</v>
          </cell>
          <cell r="BH455" t="str">
            <v>2020-12-31</v>
          </cell>
          <cell r="BI455">
            <v>702667992</v>
          </cell>
          <cell r="BJ455">
            <v>702667992</v>
          </cell>
          <cell r="BK455">
            <v>544953505.95000005</v>
          </cell>
          <cell r="BL455">
            <v>544953505.95000005</v>
          </cell>
          <cell r="BM455">
            <v>20.2</v>
          </cell>
          <cell r="BN455" t="str">
            <v>No</v>
          </cell>
          <cell r="BO455" t="str">
            <v>External</v>
          </cell>
          <cell r="BP455">
            <v>14</v>
          </cell>
          <cell r="BQ455">
            <v>16</v>
          </cell>
          <cell r="BR455">
            <v>465331951.13</v>
          </cell>
          <cell r="BS455">
            <v>465331951.13</v>
          </cell>
          <cell r="BT455">
            <v>465331951.13</v>
          </cell>
          <cell r="BU455">
            <v>465331951.13</v>
          </cell>
          <cell r="BV455" t="str">
            <v>No</v>
          </cell>
          <cell r="BW455" t="str">
            <v>Germany</v>
          </cell>
          <cell r="BX455" t="str">
            <v>Residential</v>
          </cell>
          <cell r="BY455">
            <v>74.599999999999994</v>
          </cell>
          <cell r="BZ455" t="str">
            <v>Germany</v>
          </cell>
          <cell r="CA455" t="str">
            <v>Development Residential</v>
          </cell>
          <cell r="CB455">
            <v>9.1999999999999993</v>
          </cell>
        </row>
        <row r="456">
          <cell r="A456">
            <v>428</v>
          </cell>
          <cell r="B456" t="str">
            <v>STANDARD LIFE INVESTMENTS POOLED PROPERTY PENSION FUND</v>
          </cell>
          <cell r="C456" t="str">
            <v>ABERDEEN STANDARD INVESTMENTS</v>
          </cell>
          <cell r="D456" t="str">
            <v>1 George Street</v>
          </cell>
          <cell r="E456" t="str">
            <v>EH2 2LL</v>
          </cell>
          <cell r="F456" t="str">
            <v>Edinburgh</v>
          </cell>
          <cell r="G456" t="str">
            <v>United Kingdom</v>
          </cell>
          <cell r="H456" t="str">
            <v>+44 (0) 131 225 2345</v>
          </cell>
          <cell r="I456" t="str">
            <v>+44 (0) 131 245 2547</v>
          </cell>
          <cell r="J456" t="str">
            <v>http://www.aberdeenstandard.com</v>
          </cell>
          <cell r="K456" t="str">
            <v>David Stewart</v>
          </cell>
          <cell r="L456" t="str">
            <v>david.a.stewart@aberdeenstandard.com</v>
          </cell>
          <cell r="M456" t="str">
            <v xml:space="preserve">+441312452813 </v>
          </cell>
          <cell r="N456" t="str">
            <v>Robert Mattews</v>
          </cell>
          <cell r="O456" t="str">
            <v>robert.matthews@aberdeen-asset.com</v>
          </cell>
          <cell r="P456" t="str">
            <v xml:space="preserve">+44 2076 18 1582 </v>
          </cell>
          <cell r="Q456" t="str">
            <v>United Kingdom</v>
          </cell>
          <cell r="R456" t="str">
            <v>GBP</v>
          </cell>
          <cell r="S456" t="str">
            <v>Local GAAP</v>
          </cell>
          <cell r="T456" t="str">
            <v>Quarterly</v>
          </cell>
          <cell r="U456" t="str">
            <v>Quarterly</v>
          </cell>
          <cell r="V456" t="str">
            <v>RICS</v>
          </cell>
          <cell r="W456" t="str">
            <v>INREV NAV</v>
          </cell>
          <cell r="X456" t="str">
            <v>PriceWaterhouseCoopers</v>
          </cell>
          <cell r="Y456" t="str">
            <v>Insurance linked pooled fund</v>
          </cell>
          <cell r="Z456" t="str">
            <v>No</v>
          </cell>
          <cell r="AA456" t="str">
            <v>No</v>
          </cell>
          <cell r="AB456">
            <v>0</v>
          </cell>
          <cell r="AC456" t="str">
            <v>Non-Listed Fund</v>
          </cell>
          <cell r="AD456" t="str">
            <v>Core</v>
          </cell>
          <cell r="AE456" t="str">
            <v>infinite</v>
          </cell>
          <cell r="AF456" t="str">
            <v>Open end</v>
          </cell>
          <cell r="AJ456" t="str">
            <v>IPD UK PPF Index-All Balanced Fund Weighted Average</v>
          </cell>
          <cell r="AN456" t="str">
            <v>Institutional</v>
          </cell>
          <cell r="AO456" t="str">
            <v>&gt; 2</v>
          </cell>
          <cell r="AP456" t="str">
            <v>≥ 50%</v>
          </cell>
          <cell r="AQ456" t="str">
            <v>Europe</v>
          </cell>
          <cell r="AR456" t="str">
            <v>single country</v>
          </cell>
          <cell r="AT456" t="str">
            <v>United Kingdom</v>
          </cell>
          <cell r="AU456" t="str">
            <v>multi sector</v>
          </cell>
          <cell r="AY456">
            <v>1984</v>
          </cell>
          <cell r="BA456" t="str">
            <v>No</v>
          </cell>
          <cell r="BH456" t="str">
            <v>2020-12-31</v>
          </cell>
          <cell r="BI456">
            <v>2467394263</v>
          </cell>
          <cell r="BJ456">
            <v>2727825494.4678421</v>
          </cell>
          <cell r="BK456">
            <v>2467394263</v>
          </cell>
          <cell r="BL456">
            <v>2727825494.4678421</v>
          </cell>
          <cell r="BM456">
            <v>0</v>
          </cell>
          <cell r="BN456" t="str">
            <v>No</v>
          </cell>
          <cell r="BO456" t="str">
            <v>External</v>
          </cell>
          <cell r="BP456">
            <v>129</v>
          </cell>
          <cell r="BQ456">
            <v>50</v>
          </cell>
          <cell r="BR456">
            <v>2467394263</v>
          </cell>
          <cell r="BS456">
            <v>2709086676.5274749</v>
          </cell>
          <cell r="BT456">
            <v>2467394263</v>
          </cell>
          <cell r="BU456">
            <v>2709086676.5274749</v>
          </cell>
          <cell r="BV456" t="str">
            <v>Yes</v>
          </cell>
          <cell r="BW456" t="str">
            <v>United Kingdom</v>
          </cell>
          <cell r="BX456" t="str">
            <v>Other</v>
          </cell>
          <cell r="BY456">
            <v>7.42</v>
          </cell>
          <cell r="BZ456" t="str">
            <v>United Kingdom</v>
          </cell>
          <cell r="CA456" t="str">
            <v>Retail</v>
          </cell>
          <cell r="CB456">
            <v>16.8</v>
          </cell>
          <cell r="CC456" t="str">
            <v>United Kingdom</v>
          </cell>
          <cell r="CD456" t="str">
            <v>Office</v>
          </cell>
          <cell r="CE456">
            <v>17.12</v>
          </cell>
          <cell r="CF456" t="str">
            <v>United Kingdom</v>
          </cell>
          <cell r="CG456" t="str">
            <v>Industrial / Logistics</v>
          </cell>
          <cell r="CH456">
            <v>41.01</v>
          </cell>
        </row>
        <row r="457">
          <cell r="A457">
            <v>429</v>
          </cell>
          <cell r="B457" t="str">
            <v>STANDARD LIFE UK RETAIL PARK TRUST</v>
          </cell>
          <cell r="C457" t="str">
            <v>ABERDEEN STANDARD INVESTMENTS</v>
          </cell>
          <cell r="D457" t="str">
            <v>1 George Street</v>
          </cell>
          <cell r="E457" t="str">
            <v>EH2 2LL</v>
          </cell>
          <cell r="F457" t="str">
            <v>Edinburgh</v>
          </cell>
          <cell r="G457" t="str">
            <v>United Kingdom</v>
          </cell>
          <cell r="H457" t="str">
            <v>+44 (0) 131 225 2345</v>
          </cell>
          <cell r="I457" t="str">
            <v>+44 (0) 131 245 2547</v>
          </cell>
          <cell r="J457" t="str">
            <v>http://www.aberdeenstandard.com</v>
          </cell>
          <cell r="K457" t="str">
            <v>Sandy Pringle</v>
          </cell>
          <cell r="L457" t="str">
            <v>sandy.pringle@aberdeen-asset.com</v>
          </cell>
          <cell r="N457" t="str">
            <v>Robert Mattews</v>
          </cell>
          <cell r="O457" t="str">
            <v>robert.matthews@aberdeen-asset.com</v>
          </cell>
          <cell r="P457" t="str">
            <v xml:space="preserve">+44 2076 18 1582 </v>
          </cell>
          <cell r="Q457" t="str">
            <v>Jersey</v>
          </cell>
          <cell r="R457" t="str">
            <v>GBP</v>
          </cell>
          <cell r="S457" t="str">
            <v>IFRS</v>
          </cell>
          <cell r="T457" t="str">
            <v>Monthly</v>
          </cell>
          <cell r="U457" t="str">
            <v>Monthly</v>
          </cell>
          <cell r="V457" t="str">
            <v>RICS</v>
          </cell>
          <cell r="W457" t="str">
            <v>IFRS NAV</v>
          </cell>
          <cell r="X457" t="str">
            <v>PriceWaterhouseCoopers</v>
          </cell>
          <cell r="Y457" t="str">
            <v>Jersey Property Unit Trust</v>
          </cell>
          <cell r="Z457" t="str">
            <v>Yes</v>
          </cell>
          <cell r="AA457" t="str">
            <v>No</v>
          </cell>
          <cell r="AB457">
            <v>0</v>
          </cell>
          <cell r="AC457" t="str">
            <v>Non-Listed Fund</v>
          </cell>
          <cell r="AD457" t="str">
            <v>Core</v>
          </cell>
          <cell r="AE457" t="str">
            <v>finite</v>
          </cell>
          <cell r="AF457" t="str">
            <v>Closed end</v>
          </cell>
          <cell r="AJ457" t="str">
            <v>IPD Universe (Retail Warehouse sub-sector)</v>
          </cell>
          <cell r="AL457">
            <v>0</v>
          </cell>
          <cell r="AM457" t="str">
            <v>≤ 40%</v>
          </cell>
          <cell r="AN457" t="str">
            <v>Institutional</v>
          </cell>
          <cell r="AO457" t="str">
            <v>&gt; 2</v>
          </cell>
          <cell r="AP457" t="str">
            <v>≥ 50%</v>
          </cell>
          <cell r="AQ457" t="str">
            <v>Europe</v>
          </cell>
          <cell r="AR457" t="str">
            <v>single country</v>
          </cell>
          <cell r="AT457" t="str">
            <v>United Kingdom</v>
          </cell>
          <cell r="AU457" t="str">
            <v>single sector</v>
          </cell>
          <cell r="AV457" t="str">
            <v>Retail</v>
          </cell>
          <cell r="AY457">
            <v>2005</v>
          </cell>
          <cell r="AZ457">
            <v>2020</v>
          </cell>
          <cell r="BA457" t="str">
            <v>Yes</v>
          </cell>
          <cell r="BB457" t="str">
            <v>Yes</v>
          </cell>
          <cell r="BC457" t="str">
            <v>2 years</v>
          </cell>
          <cell r="BH457" t="str">
            <v>2020-12-31</v>
          </cell>
          <cell r="BI457">
            <v>132901866.27</v>
          </cell>
          <cell r="BJ457">
            <v>146929537.9786095</v>
          </cell>
          <cell r="BK457">
            <v>130764104.98999999</v>
          </cell>
          <cell r="BL457">
            <v>144566137.93017951</v>
          </cell>
          <cell r="BM457">
            <v>0</v>
          </cell>
          <cell r="BN457" t="str">
            <v>No</v>
          </cell>
          <cell r="BO457" t="str">
            <v>External</v>
          </cell>
          <cell r="BP457">
            <v>43</v>
          </cell>
          <cell r="BQ457">
            <v>3</v>
          </cell>
          <cell r="BR457">
            <v>345322610</v>
          </cell>
          <cell r="BS457">
            <v>379148519.50626159</v>
          </cell>
          <cell r="BT457">
            <v>130764104.98999999</v>
          </cell>
          <cell r="BU457">
            <v>143573039.74830911</v>
          </cell>
          <cell r="BV457" t="str">
            <v>No</v>
          </cell>
          <cell r="BW457" t="str">
            <v>United Kingdom</v>
          </cell>
          <cell r="BX457" t="str">
            <v>Retail</v>
          </cell>
          <cell r="BY457">
            <v>95.77</v>
          </cell>
        </row>
        <row r="458">
          <cell r="A458">
            <v>430</v>
          </cell>
          <cell r="B458" t="str">
            <v>STANDARD LIFE UK SHOPPING CENTRE TRUST</v>
          </cell>
          <cell r="C458" t="str">
            <v>ABERDEEN STANDARD INVESTMENTS</v>
          </cell>
          <cell r="D458" t="str">
            <v>1 George Street</v>
          </cell>
          <cell r="E458" t="str">
            <v>EH2 2LL</v>
          </cell>
          <cell r="F458" t="str">
            <v>Edinburgh</v>
          </cell>
          <cell r="G458" t="str">
            <v>United Kingdom</v>
          </cell>
          <cell r="H458" t="str">
            <v>+44 (0) 131 225 2345</v>
          </cell>
          <cell r="I458" t="str">
            <v>+44 (0) 131 245 2547</v>
          </cell>
          <cell r="J458" t="str">
            <v>http://www.aberdeenstandard.com</v>
          </cell>
          <cell r="K458" t="str">
            <v>Ed Jenkins</v>
          </cell>
          <cell r="L458" t="str">
            <v>ed.jenkins@aberdeenstandard.com</v>
          </cell>
          <cell r="M458" t="str">
            <v>+44 (0) 131 245 8098</v>
          </cell>
          <cell r="N458" t="str">
            <v>Robert Mattews</v>
          </cell>
          <cell r="O458" t="str">
            <v>robert.matthews@aberdeen-asset.com</v>
          </cell>
          <cell r="P458" t="str">
            <v xml:space="preserve">+44 2076 18 1582 </v>
          </cell>
          <cell r="Q458" t="str">
            <v>Jersey</v>
          </cell>
          <cell r="R458" t="str">
            <v>GBP</v>
          </cell>
          <cell r="S458" t="str">
            <v>IFRS</v>
          </cell>
          <cell r="T458" t="str">
            <v>Monthly</v>
          </cell>
          <cell r="U458" t="str">
            <v>Monthly</v>
          </cell>
          <cell r="V458" t="str">
            <v>RICS</v>
          </cell>
          <cell r="W458" t="str">
            <v>IFRS NAV</v>
          </cell>
          <cell r="X458" t="str">
            <v>PriceWaterhouseCoopers</v>
          </cell>
          <cell r="Y458" t="str">
            <v>Jersey Property Unit Trust</v>
          </cell>
          <cell r="Z458" t="str">
            <v>Yes</v>
          </cell>
          <cell r="AA458" t="str">
            <v>No</v>
          </cell>
          <cell r="AB458">
            <v>0</v>
          </cell>
          <cell r="AC458" t="str">
            <v>Non-Listed Fund</v>
          </cell>
          <cell r="AD458" t="str">
            <v>Core</v>
          </cell>
          <cell r="AE458" t="str">
            <v>finite</v>
          </cell>
          <cell r="AF458" t="str">
            <v>Closed end</v>
          </cell>
          <cell r="AJ458" t="str">
            <v>IPD Universe (Shopping Centre sub-sector)</v>
          </cell>
          <cell r="AL458">
            <v>0</v>
          </cell>
          <cell r="AM458" t="str">
            <v>≤ 40%</v>
          </cell>
          <cell r="AN458" t="str">
            <v>Institutional</v>
          </cell>
          <cell r="AO458" t="str">
            <v>&gt; 2</v>
          </cell>
          <cell r="AP458" t="str">
            <v>≥ 50%</v>
          </cell>
          <cell r="AQ458" t="str">
            <v>Europe</v>
          </cell>
          <cell r="AR458" t="str">
            <v>single country</v>
          </cell>
          <cell r="AT458" t="str">
            <v>United Kingdom</v>
          </cell>
          <cell r="AU458" t="str">
            <v>single sector</v>
          </cell>
          <cell r="AV458" t="str">
            <v>Retail</v>
          </cell>
          <cell r="AY458">
            <v>2005</v>
          </cell>
          <cell r="AZ458">
            <v>2025</v>
          </cell>
          <cell r="BA458" t="str">
            <v>Yes</v>
          </cell>
          <cell r="BB458" t="str">
            <v>Yes</v>
          </cell>
          <cell r="BC458" t="str">
            <v>2 years</v>
          </cell>
          <cell r="BH458" t="str">
            <v>2020-12-31</v>
          </cell>
          <cell r="BI458">
            <v>812837188</v>
          </cell>
          <cell r="BJ458">
            <v>898631417.57574487</v>
          </cell>
          <cell r="BK458">
            <v>796059100</v>
          </cell>
          <cell r="BL458">
            <v>880082417.57151449</v>
          </cell>
          <cell r="BM458">
            <v>0</v>
          </cell>
          <cell r="BN458" t="str">
            <v>No</v>
          </cell>
          <cell r="BO458" t="str">
            <v>External</v>
          </cell>
          <cell r="BP458">
            <v>48</v>
          </cell>
          <cell r="BQ458">
            <v>4</v>
          </cell>
          <cell r="BR458">
            <v>949425200</v>
          </cell>
          <cell r="BS458">
            <v>1042425686.988571</v>
          </cell>
          <cell r="BT458">
            <v>949425200</v>
          </cell>
          <cell r="BU458">
            <v>1042425686.988571</v>
          </cell>
          <cell r="BV458" t="str">
            <v>No</v>
          </cell>
          <cell r="BW458" t="str">
            <v>United Kingdom</v>
          </cell>
          <cell r="BX458" t="str">
            <v>Retail</v>
          </cell>
          <cell r="BY458">
            <v>86.46</v>
          </cell>
        </row>
        <row r="459">
          <cell r="A459">
            <v>19668</v>
          </cell>
          <cell r="B459" t="str">
            <v>STORAG ETZEL GMBH &amp; GESCHL. INVKG</v>
          </cell>
          <cell r="C459" t="str">
            <v>PATRIZIA FRANKFURT KAPITALVERWALTUNGSGESELLSCHAFT MBH</v>
          </cell>
          <cell r="D459" t="str">
            <v>The Squaire 18</v>
          </cell>
          <cell r="E459">
            <v>60549</v>
          </cell>
          <cell r="F459" t="str">
            <v>Frankfurt am Main</v>
          </cell>
          <cell r="G459" t="str">
            <v>Germany</v>
          </cell>
          <cell r="Q459" t="str">
            <v>Germany</v>
          </cell>
          <cell r="R459" t="str">
            <v>EUR</v>
          </cell>
          <cell r="S459" t="str">
            <v>German Investment Law</v>
          </cell>
          <cell r="T459" t="str">
            <v>Annually</v>
          </cell>
          <cell r="U459" t="str">
            <v>Annually</v>
          </cell>
          <cell r="V459" t="str">
            <v>ImmoWertV</v>
          </cell>
          <cell r="W459" t="str">
            <v>Other</v>
          </cell>
          <cell r="Y459" t="str">
            <v>Limited Partnership</v>
          </cell>
          <cell r="Z459" t="str">
            <v>No</v>
          </cell>
          <cell r="AB459">
            <v>0</v>
          </cell>
          <cell r="AC459" t="str">
            <v>Joint Venture</v>
          </cell>
          <cell r="AD459" t="str">
            <v>Core</v>
          </cell>
          <cell r="AE459" t="str">
            <v>infinite</v>
          </cell>
          <cell r="AF459" t="str">
            <v>Closed end</v>
          </cell>
          <cell r="AN459" t="str">
            <v>Institutional</v>
          </cell>
          <cell r="AO459" t="str">
            <v>&gt; 2</v>
          </cell>
          <cell r="AP459" t="str">
            <v>≥ 50%</v>
          </cell>
          <cell r="AQ459" t="str">
            <v>Europe</v>
          </cell>
          <cell r="AR459" t="str">
            <v>single country</v>
          </cell>
          <cell r="AT459" t="str">
            <v>Germany</v>
          </cell>
          <cell r="AU459" t="str">
            <v>single sector</v>
          </cell>
          <cell r="AV459" t="str">
            <v>Other</v>
          </cell>
          <cell r="AY459">
            <v>2020</v>
          </cell>
          <cell r="BH459" t="str">
            <v>2020-12-31</v>
          </cell>
          <cell r="BI459">
            <v>20825619.289999999</v>
          </cell>
          <cell r="BJ459">
            <v>20825619.289999999</v>
          </cell>
          <cell r="BK459">
            <v>20825619.289999999</v>
          </cell>
          <cell r="BL459">
            <v>20825619.289999999</v>
          </cell>
          <cell r="BM459">
            <v>0</v>
          </cell>
          <cell r="BN459" t="str">
            <v>No</v>
          </cell>
          <cell r="BO459" t="str">
            <v>Internal</v>
          </cell>
          <cell r="BP459">
            <v>32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V459" t="str">
            <v>No</v>
          </cell>
          <cell r="BW459" t="str">
            <v>Germany</v>
          </cell>
          <cell r="BX459" t="str">
            <v>Other</v>
          </cell>
          <cell r="BY459">
            <v>100</v>
          </cell>
        </row>
        <row r="460">
          <cell r="A460">
            <v>17747</v>
          </cell>
          <cell r="B460" t="str">
            <v>SV-DOMUS-FONDS</v>
          </cell>
          <cell r="C460" t="str">
            <v>DEKA IMMOBILIEN INVESTMENT GMBH</v>
          </cell>
          <cell r="D460" t="str">
            <v>Taunusanlage 1</v>
          </cell>
          <cell r="E460">
            <v>60329</v>
          </cell>
          <cell r="F460" t="str">
            <v>Frankfurt am Main</v>
          </cell>
          <cell r="G460" t="str">
            <v>Germany</v>
          </cell>
          <cell r="J460" t="str">
            <v>http://www.deka-immobilien.de</v>
          </cell>
          <cell r="K460" t="str">
            <v xml:space="preserve">Vanessa Heißenberg </v>
          </cell>
          <cell r="L460" t="str">
            <v>Vanessa.Heissenberg@deka.de</v>
          </cell>
          <cell r="M460">
            <v>496971479374</v>
          </cell>
          <cell r="N460" t="str">
            <v>Michaela Graefe</v>
          </cell>
          <cell r="O460" t="str">
            <v>michaela.graefe@deka.de</v>
          </cell>
          <cell r="P460">
            <v>496971473504</v>
          </cell>
          <cell r="Q460" t="str">
            <v>Germany</v>
          </cell>
          <cell r="R460" t="str">
            <v>EUR</v>
          </cell>
          <cell r="S460" t="str">
            <v>Local GAAP</v>
          </cell>
          <cell r="T460" t="str">
            <v>Annually</v>
          </cell>
          <cell r="U460" t="str">
            <v>Annually</v>
          </cell>
          <cell r="V460" t="str">
            <v>ImmoWertV</v>
          </cell>
          <cell r="X460" t="str">
            <v>KPMG</v>
          </cell>
          <cell r="Y460" t="str">
            <v>Spezialfonds</v>
          </cell>
          <cell r="Z460" t="str">
            <v>No</v>
          </cell>
          <cell r="AA460" t="str">
            <v>Yes</v>
          </cell>
          <cell r="AB460">
            <v>3</v>
          </cell>
          <cell r="AC460" t="str">
            <v>Non-Listed Fund</v>
          </cell>
          <cell r="AD460" t="str">
            <v>Core</v>
          </cell>
          <cell r="AE460" t="str">
            <v>infinite</v>
          </cell>
          <cell r="AF460" t="str">
            <v>Open end</v>
          </cell>
          <cell r="AL460">
            <v>0</v>
          </cell>
          <cell r="AM460" t="str">
            <v>≤ 40%</v>
          </cell>
          <cell r="AN460" t="str">
            <v>Institutional</v>
          </cell>
          <cell r="AO460" t="str">
            <v>≤ 2</v>
          </cell>
          <cell r="AP460" t="str">
            <v>≥ 50%</v>
          </cell>
          <cell r="AQ460" t="str">
            <v>Europe</v>
          </cell>
          <cell r="AR460" t="str">
            <v>single country</v>
          </cell>
          <cell r="AT460" t="str">
            <v>Germany</v>
          </cell>
          <cell r="AU460" t="str">
            <v>multi sector</v>
          </cell>
          <cell r="AW460">
            <v>83886822</v>
          </cell>
          <cell r="AX460">
            <v>0</v>
          </cell>
          <cell r="AY460">
            <v>2002</v>
          </cell>
          <cell r="BD460" t="str">
            <v>No</v>
          </cell>
          <cell r="BH460" t="str">
            <v>2020-12-31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 t="str">
            <v>No</v>
          </cell>
          <cell r="BO460" t="str">
            <v>External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V460" t="str">
            <v>No</v>
          </cell>
        </row>
        <row r="461">
          <cell r="A461">
            <v>432</v>
          </cell>
          <cell r="B461" t="str">
            <v>SVEAFASTIGHETER FUND II</v>
          </cell>
          <cell r="C461" t="str">
            <v>SVEAFASTIGHETER</v>
          </cell>
          <cell r="D461" t="str">
            <v>Norrlandsgatan 15</v>
          </cell>
          <cell r="E461">
            <v>11143</v>
          </cell>
          <cell r="F461" t="str">
            <v>Stockholm</v>
          </cell>
          <cell r="G461" t="str">
            <v>Sweden</v>
          </cell>
          <cell r="H461" t="str">
            <v>+46 (0) 8 54 50 75 00</v>
          </cell>
          <cell r="I461" t="str">
            <v>+46 (0) 8 54 50 75 10</v>
          </cell>
          <cell r="J461" t="str">
            <v>http://www.sveafastigheter.se</v>
          </cell>
          <cell r="K461" t="str">
            <v>Anna Åkerlund</v>
          </cell>
          <cell r="L461" t="str">
            <v>anna.akerlund@sveafastigheter.se</v>
          </cell>
          <cell r="M461" t="str">
            <v>+46 (0) 8 54 50 75 12</v>
          </cell>
          <cell r="N461" t="str">
            <v>Anna Åkerlund</v>
          </cell>
          <cell r="O461" t="str">
            <v>anna.akerlund@sveafastigheter.se</v>
          </cell>
          <cell r="P461" t="str">
            <v>+46 (0) 8 54 50 75 12</v>
          </cell>
          <cell r="Q461" t="str">
            <v>Sweden</v>
          </cell>
          <cell r="R461" t="str">
            <v>SEK</v>
          </cell>
          <cell r="S461" t="str">
            <v>Local GAAP</v>
          </cell>
          <cell r="T461" t="str">
            <v>Quarterly</v>
          </cell>
          <cell r="U461" t="str">
            <v>Annually</v>
          </cell>
          <cell r="X461" t="str">
            <v>KPMG</v>
          </cell>
          <cell r="Z461" t="str">
            <v>No</v>
          </cell>
          <cell r="AA461" t="str">
            <v>Yes</v>
          </cell>
          <cell r="AB461">
            <v>3</v>
          </cell>
          <cell r="AC461" t="str">
            <v>Non-Listed Fund</v>
          </cell>
          <cell r="AD461" t="str">
            <v>Opportunity</v>
          </cell>
          <cell r="AE461" t="str">
            <v>finite</v>
          </cell>
          <cell r="AF461" t="str">
            <v>Closed end</v>
          </cell>
          <cell r="AG461">
            <v>18</v>
          </cell>
          <cell r="AH461">
            <v>18</v>
          </cell>
          <cell r="AI461" t="str">
            <v>Net</v>
          </cell>
          <cell r="AJ461" t="str">
            <v>None</v>
          </cell>
          <cell r="AL461">
            <v>85</v>
          </cell>
          <cell r="AM461" t="str">
            <v>&gt; 60%</v>
          </cell>
          <cell r="AN461" t="str">
            <v>Institutional</v>
          </cell>
          <cell r="AP461" t="str">
            <v>≥ 50%</v>
          </cell>
          <cell r="AQ461" t="str">
            <v>Europe</v>
          </cell>
          <cell r="AR461" t="str">
            <v>multi country</v>
          </cell>
          <cell r="AS461" t="str">
            <v>Europe</v>
          </cell>
          <cell r="AU461" t="str">
            <v>multi sector</v>
          </cell>
          <cell r="AW461">
            <v>1358940000</v>
          </cell>
          <cell r="AX461">
            <v>11324470000</v>
          </cell>
          <cell r="AY461">
            <v>2006</v>
          </cell>
          <cell r="AZ461">
            <v>2020</v>
          </cell>
          <cell r="BA461" t="str">
            <v>Yes</v>
          </cell>
          <cell r="BB461" t="str">
            <v>No</v>
          </cell>
          <cell r="BH461" t="str">
            <v>2018-06-30</v>
          </cell>
          <cell r="BI461">
            <v>15916236</v>
          </cell>
          <cell r="BJ461">
            <v>1524308.1399435119</v>
          </cell>
          <cell r="BK461">
            <v>13098702</v>
          </cell>
          <cell r="BL461">
            <v>1254471.0999066839</v>
          </cell>
          <cell r="BM461">
            <v>0</v>
          </cell>
          <cell r="BN461" t="str">
            <v>No</v>
          </cell>
          <cell r="BO461" t="str">
            <v>External</v>
          </cell>
          <cell r="BP461">
            <v>10</v>
          </cell>
          <cell r="BQ461">
            <v>15</v>
          </cell>
          <cell r="BR461">
            <v>1200000000</v>
          </cell>
          <cell r="BS461">
            <v>116941397.76000001</v>
          </cell>
          <cell r="BT461">
            <v>1161600000</v>
          </cell>
          <cell r="BU461">
            <v>113199273.03168</v>
          </cell>
          <cell r="BV461" t="str">
            <v>No</v>
          </cell>
        </row>
        <row r="462">
          <cell r="A462">
            <v>548</v>
          </cell>
          <cell r="B462" t="str">
            <v>SVEAFASTIGHETER FUND III</v>
          </cell>
          <cell r="C462" t="str">
            <v>SVEAFASTIGHETER</v>
          </cell>
          <cell r="D462" t="str">
            <v>Norrlandsgatan 15</v>
          </cell>
          <cell r="E462">
            <v>11143</v>
          </cell>
          <cell r="F462" t="str">
            <v>Stockholm</v>
          </cell>
          <cell r="G462" t="str">
            <v>Sweden</v>
          </cell>
          <cell r="H462" t="str">
            <v>+46854507500</v>
          </cell>
          <cell r="I462" t="str">
            <v>+46854507510</v>
          </cell>
          <cell r="J462" t="str">
            <v>http://www.sveafastigheter.se</v>
          </cell>
          <cell r="K462" t="str">
            <v>David Brandemark</v>
          </cell>
          <cell r="L462" t="str">
            <v>david.brandemark@sveafastigheter.se</v>
          </cell>
          <cell r="N462" t="str">
            <v xml:space="preserve">Anna Åkerlund </v>
          </cell>
          <cell r="O462" t="str">
            <v>anna.akerlund@sveafastigheter.se</v>
          </cell>
          <cell r="P462" t="str">
            <v>+46854507512</v>
          </cell>
          <cell r="Q462" t="str">
            <v>Sweden</v>
          </cell>
          <cell r="R462" t="str">
            <v>EUR</v>
          </cell>
          <cell r="S462" t="str">
            <v>Local GAAP</v>
          </cell>
          <cell r="T462" t="str">
            <v>Quarterly</v>
          </cell>
          <cell r="U462" t="str">
            <v>Quarterly</v>
          </cell>
          <cell r="X462" t="str">
            <v>KPMG</v>
          </cell>
          <cell r="Y462" t="str">
            <v>AB</v>
          </cell>
          <cell r="Z462" t="str">
            <v>Yes</v>
          </cell>
          <cell r="AA462" t="str">
            <v>Yes</v>
          </cell>
          <cell r="AB462">
            <v>3</v>
          </cell>
          <cell r="AC462" t="str">
            <v>Non-Listed Fund</v>
          </cell>
          <cell r="AD462" t="str">
            <v>Opportunity</v>
          </cell>
          <cell r="AE462" t="str">
            <v>finite</v>
          </cell>
          <cell r="AF462" t="str">
            <v>Closed end</v>
          </cell>
          <cell r="AG462">
            <v>20</v>
          </cell>
          <cell r="AI462" t="str">
            <v>Gross</v>
          </cell>
          <cell r="AJ462" t="str">
            <v>None</v>
          </cell>
          <cell r="AL462">
            <v>60</v>
          </cell>
          <cell r="AM462" t="str">
            <v>&gt; 60%</v>
          </cell>
          <cell r="AN462" t="str">
            <v>Institutional</v>
          </cell>
          <cell r="AO462" t="str">
            <v>&gt; 2</v>
          </cell>
          <cell r="AP462" t="str">
            <v>≥ 50%</v>
          </cell>
          <cell r="AQ462" t="str">
            <v>Europe</v>
          </cell>
          <cell r="AR462" t="str">
            <v>multi country</v>
          </cell>
          <cell r="AS462" t="str">
            <v>Nordic</v>
          </cell>
          <cell r="AU462" t="str">
            <v>multi sector</v>
          </cell>
          <cell r="AW462">
            <v>400000000</v>
          </cell>
          <cell r="AX462">
            <v>1000000000</v>
          </cell>
          <cell r="AY462">
            <v>2010</v>
          </cell>
          <cell r="AZ462">
            <v>2017</v>
          </cell>
          <cell r="BA462" t="str">
            <v>Yes</v>
          </cell>
          <cell r="BB462" t="str">
            <v>Yes</v>
          </cell>
          <cell r="BC462" t="str">
            <v>1+1 years</v>
          </cell>
          <cell r="BH462" t="str">
            <v>2018-06-30</v>
          </cell>
          <cell r="BI462">
            <v>16961650</v>
          </cell>
          <cell r="BJ462">
            <v>16961650</v>
          </cell>
          <cell r="BK462">
            <v>16961650</v>
          </cell>
          <cell r="BL462">
            <v>16961650</v>
          </cell>
          <cell r="BM462">
            <v>0</v>
          </cell>
          <cell r="BN462" t="str">
            <v>No</v>
          </cell>
          <cell r="BO462" t="str">
            <v>External</v>
          </cell>
          <cell r="BQ462">
            <v>2</v>
          </cell>
          <cell r="BR462">
            <v>316860000</v>
          </cell>
          <cell r="BS462">
            <v>316860000</v>
          </cell>
          <cell r="BT462">
            <v>232823422</v>
          </cell>
          <cell r="BU462">
            <v>232823422</v>
          </cell>
          <cell r="BV462" t="str">
            <v>No</v>
          </cell>
        </row>
        <row r="463">
          <cell r="A463">
            <v>17866</v>
          </cell>
          <cell r="B463" t="str">
            <v xml:space="preserve">SVI-FONDS				</v>
          </cell>
          <cell r="C463" t="str">
            <v xml:space="preserve">HANSAINVEST HANSEATISCHE INVESTMENT-GMBH				</v>
          </cell>
          <cell r="D463" t="str">
            <v xml:space="preserve">Kapstadtring 8				</v>
          </cell>
          <cell r="E463" t="str">
            <v xml:space="preserve">22297				</v>
          </cell>
          <cell r="F463" t="str">
            <v xml:space="preserve">Hamburg				</v>
          </cell>
          <cell r="G463" t="str">
            <v>Germany</v>
          </cell>
          <cell r="Q463" t="str">
            <v>Germany</v>
          </cell>
          <cell r="R463" t="str">
            <v>EUR</v>
          </cell>
          <cell r="T463" t="str">
            <v>Quarterly</v>
          </cell>
          <cell r="U463" t="str">
            <v>Quarterly</v>
          </cell>
          <cell r="Y463" t="str">
            <v>Spezialfonds</v>
          </cell>
          <cell r="AC463" t="str">
            <v>Non-Listed Fund</v>
          </cell>
          <cell r="AD463" t="str">
            <v>Core</v>
          </cell>
          <cell r="AE463" t="str">
            <v>infinite</v>
          </cell>
          <cell r="AF463" t="str">
            <v>Open end</v>
          </cell>
          <cell r="AN463" t="str">
            <v>Institutional</v>
          </cell>
          <cell r="AO463" t="str">
            <v>&gt; 2</v>
          </cell>
          <cell r="AP463" t="str">
            <v>≥ 50%</v>
          </cell>
          <cell r="AQ463" t="str">
            <v>Global</v>
          </cell>
          <cell r="AR463" t="str">
            <v>multi country</v>
          </cell>
          <cell r="AU463" t="str">
            <v>multi sector</v>
          </cell>
          <cell r="AY463">
            <v>1998</v>
          </cell>
          <cell r="BH463" t="str">
            <v>2020-12-31</v>
          </cell>
          <cell r="BI463">
            <v>203240908</v>
          </cell>
          <cell r="BJ463">
            <v>203240908</v>
          </cell>
          <cell r="BK463">
            <v>182783849.97999999</v>
          </cell>
          <cell r="BL463">
            <v>182783849.97999999</v>
          </cell>
          <cell r="BM463">
            <v>10.1</v>
          </cell>
          <cell r="BN463" t="str">
            <v>No</v>
          </cell>
          <cell r="BS463">
            <v>0</v>
          </cell>
          <cell r="BV463" t="str">
            <v>No</v>
          </cell>
        </row>
        <row r="464">
          <cell r="A464">
            <v>17504</v>
          </cell>
          <cell r="B464" t="str">
            <v>TARGETSELECT HOTEL</v>
          </cell>
          <cell r="C464" t="str">
            <v>WESTINVEST GESELLSCHAFT FüR INVESTMENTFONDS MBH</v>
          </cell>
          <cell r="D464" t="str">
            <v>Hans-Böckler-Straße 33</v>
          </cell>
          <cell r="E464">
            <v>40476</v>
          </cell>
          <cell r="F464" t="str">
            <v>Düsseldorf</v>
          </cell>
          <cell r="G464" t="str">
            <v>Germany</v>
          </cell>
          <cell r="J464" t="str">
            <v>http://www.westinvest.de/</v>
          </cell>
          <cell r="N464" t="str">
            <v>Michaela Graefe</v>
          </cell>
          <cell r="O464" t="str">
            <v>michaela.graefe@deka.de</v>
          </cell>
          <cell r="P464" t="str">
            <v>+496971473504</v>
          </cell>
          <cell r="Q464" t="str">
            <v>Germany</v>
          </cell>
          <cell r="R464" t="str">
            <v>EUR</v>
          </cell>
          <cell r="S464" t="str">
            <v>Local GAAP</v>
          </cell>
          <cell r="T464" t="str">
            <v>Annually</v>
          </cell>
          <cell r="U464" t="str">
            <v>Quarterly</v>
          </cell>
          <cell r="Y464" t="str">
            <v>Spezialfonds</v>
          </cell>
          <cell r="AC464" t="str">
            <v>Non-Listed Fund</v>
          </cell>
          <cell r="AD464" t="str">
            <v>Core</v>
          </cell>
          <cell r="AE464" t="str">
            <v>infinite</v>
          </cell>
          <cell r="AF464" t="str">
            <v>Open end</v>
          </cell>
          <cell r="AK464">
            <v>4.5</v>
          </cell>
          <cell r="AM464" t="str">
            <v>&gt; 40% - ≤ 60%</v>
          </cell>
          <cell r="AN464" t="str">
            <v>Institutional</v>
          </cell>
          <cell r="AO464" t="str">
            <v>&gt; 2</v>
          </cell>
          <cell r="AP464" t="str">
            <v>≥ 50%</v>
          </cell>
          <cell r="AQ464" t="str">
            <v>Europe</v>
          </cell>
          <cell r="AR464" t="str">
            <v>multi country</v>
          </cell>
          <cell r="AS464" t="str">
            <v>Europe</v>
          </cell>
          <cell r="AU464" t="str">
            <v>single sector</v>
          </cell>
          <cell r="AV464" t="str">
            <v>Hotel</v>
          </cell>
          <cell r="AW464">
            <v>500000000</v>
          </cell>
          <cell r="AX464">
            <v>1000000000</v>
          </cell>
          <cell r="AY464">
            <v>2009</v>
          </cell>
          <cell r="BH464" t="str">
            <v>2020-12-31</v>
          </cell>
          <cell r="BI464">
            <v>849994404</v>
          </cell>
          <cell r="BJ464">
            <v>849994404</v>
          </cell>
          <cell r="BK464">
            <v>621710549</v>
          </cell>
          <cell r="BL464">
            <v>621710549</v>
          </cell>
          <cell r="BM464">
            <v>38.5</v>
          </cell>
          <cell r="BN464" t="str">
            <v>No</v>
          </cell>
          <cell r="BO464" t="str">
            <v>External</v>
          </cell>
          <cell r="BP464">
            <v>78</v>
          </cell>
          <cell r="BQ464">
            <v>18</v>
          </cell>
          <cell r="BR464">
            <v>618847522</v>
          </cell>
          <cell r="BS464">
            <v>618847522</v>
          </cell>
          <cell r="BT464">
            <v>618847522</v>
          </cell>
          <cell r="BU464">
            <v>618847522</v>
          </cell>
          <cell r="BV464" t="str">
            <v>No</v>
          </cell>
          <cell r="BW464" t="str">
            <v>United Kingdom</v>
          </cell>
          <cell r="BX464" t="str">
            <v>Hotel</v>
          </cell>
          <cell r="BY464">
            <v>14.8</v>
          </cell>
          <cell r="BZ464" t="str">
            <v>Germany</v>
          </cell>
          <cell r="CA464" t="str">
            <v>Hotel</v>
          </cell>
          <cell r="CB464">
            <v>37.4</v>
          </cell>
          <cell r="CC464" t="str">
            <v>Austria</v>
          </cell>
          <cell r="CD464" t="str">
            <v>Hotel</v>
          </cell>
          <cell r="CE464">
            <v>9.3000000000000007</v>
          </cell>
          <cell r="CF464" t="str">
            <v>Netherlands</v>
          </cell>
          <cell r="CG464" t="str">
            <v>Hotel</v>
          </cell>
          <cell r="CH464">
            <v>22.5</v>
          </cell>
          <cell r="CI464" t="str">
            <v>Italy</v>
          </cell>
          <cell r="CJ464" t="str">
            <v>Hotel</v>
          </cell>
          <cell r="CK464">
            <v>13.5</v>
          </cell>
          <cell r="CL464" t="str">
            <v>Ireland</v>
          </cell>
          <cell r="CM464" t="str">
            <v>Hotel</v>
          </cell>
          <cell r="CN464">
            <v>2.5</v>
          </cell>
        </row>
        <row r="465">
          <cell r="A465">
            <v>17505</v>
          </cell>
          <cell r="B465" t="str">
            <v>TARGETSELECT LOGISTICS</v>
          </cell>
          <cell r="C465" t="str">
            <v>WESTINVEST GESELLSCHAFT FüR INVESTMENTFONDS MBH</v>
          </cell>
          <cell r="D465" t="str">
            <v>Hans-Böckler-Straße 33</v>
          </cell>
          <cell r="E465">
            <v>40476</v>
          </cell>
          <cell r="F465" t="str">
            <v>Düsseldorf</v>
          </cell>
          <cell r="G465" t="str">
            <v>Germany</v>
          </cell>
          <cell r="N465" t="str">
            <v>Michaela Graefe</v>
          </cell>
          <cell r="O465" t="str">
            <v>michaela.graefe@deka.de</v>
          </cell>
          <cell r="P465" t="str">
            <v>+496971473504</v>
          </cell>
          <cell r="Q465" t="str">
            <v>Germany</v>
          </cell>
          <cell r="R465" t="str">
            <v>EUR</v>
          </cell>
          <cell r="S465" t="str">
            <v>Local GAAP</v>
          </cell>
          <cell r="T465" t="str">
            <v>Annually</v>
          </cell>
          <cell r="U465" t="str">
            <v>Quarterly</v>
          </cell>
          <cell r="Y465" t="str">
            <v>Spezialfonds</v>
          </cell>
          <cell r="AC465" t="str">
            <v>Non-Listed Fund</v>
          </cell>
          <cell r="AD465" t="str">
            <v>Core</v>
          </cell>
          <cell r="AE465" t="str">
            <v>infinite</v>
          </cell>
          <cell r="AF465" t="str">
            <v>Open end</v>
          </cell>
          <cell r="AK465">
            <v>4.5</v>
          </cell>
          <cell r="AM465" t="str">
            <v>&gt; 40% - ≤ 60%</v>
          </cell>
          <cell r="AN465" t="str">
            <v>Institutional</v>
          </cell>
          <cell r="AO465" t="str">
            <v>&gt; 2</v>
          </cell>
          <cell r="AP465" t="str">
            <v>≥ 50%</v>
          </cell>
          <cell r="AQ465" t="str">
            <v>Europe</v>
          </cell>
          <cell r="AR465" t="str">
            <v>multi country</v>
          </cell>
          <cell r="AS465" t="str">
            <v>Europe</v>
          </cell>
          <cell r="AU465" t="str">
            <v>single sector</v>
          </cell>
          <cell r="AV465" t="str">
            <v>Industrial / Logistics</v>
          </cell>
          <cell r="AW465">
            <v>500000000</v>
          </cell>
          <cell r="AX465">
            <v>1000000000</v>
          </cell>
          <cell r="AY465">
            <v>2009</v>
          </cell>
          <cell r="BH465" t="str">
            <v>2020-12-31</v>
          </cell>
          <cell r="BI465">
            <v>959064674</v>
          </cell>
          <cell r="BJ465">
            <v>959064674</v>
          </cell>
          <cell r="BK465">
            <v>727067330</v>
          </cell>
          <cell r="BL465">
            <v>727067330</v>
          </cell>
          <cell r="BM465">
            <v>32.1</v>
          </cell>
          <cell r="BN465" t="str">
            <v>No</v>
          </cell>
          <cell r="BO465" t="str">
            <v>External</v>
          </cell>
          <cell r="BP465">
            <v>98</v>
          </cell>
          <cell r="BQ465">
            <v>24</v>
          </cell>
          <cell r="BR465">
            <v>727067320</v>
          </cell>
          <cell r="BS465">
            <v>727067320</v>
          </cell>
          <cell r="BT465">
            <v>727067320</v>
          </cell>
          <cell r="BU465">
            <v>727067320</v>
          </cell>
          <cell r="BV465" t="str">
            <v>No</v>
          </cell>
          <cell r="BW465" t="str">
            <v>Germany</v>
          </cell>
          <cell r="BX465" t="str">
            <v>Other</v>
          </cell>
          <cell r="BY465">
            <v>0.5</v>
          </cell>
          <cell r="BZ465" t="str">
            <v>Austria</v>
          </cell>
          <cell r="CA465" t="str">
            <v>Industrial / Logistics</v>
          </cell>
          <cell r="CB465">
            <v>9.6999999999999993</v>
          </cell>
          <cell r="CC465" t="str">
            <v>Germany</v>
          </cell>
          <cell r="CD465" t="str">
            <v>Industrial / Logistics</v>
          </cell>
          <cell r="CE465">
            <v>40.4</v>
          </cell>
          <cell r="CF465" t="str">
            <v>Netherlands</v>
          </cell>
          <cell r="CG465" t="str">
            <v>Industrial / Logistics</v>
          </cell>
          <cell r="CH465">
            <v>31.1</v>
          </cell>
          <cell r="CI465" t="str">
            <v>France</v>
          </cell>
          <cell r="CJ465" t="str">
            <v>Industrial / Logistics</v>
          </cell>
          <cell r="CK465">
            <v>7.4</v>
          </cell>
          <cell r="CL465" t="str">
            <v>Czech Republic</v>
          </cell>
          <cell r="CM465" t="str">
            <v>Industrial / Logistics</v>
          </cell>
          <cell r="CN465">
            <v>10.9</v>
          </cell>
        </row>
        <row r="466">
          <cell r="A466">
            <v>17507</v>
          </cell>
          <cell r="B466" t="str">
            <v>TARGETSELECT SHOPPING</v>
          </cell>
          <cell r="C466" t="str">
            <v>WESTINVEST GESELLSCHAFT FüR INVESTMENTFONDS MBH</v>
          </cell>
          <cell r="D466" t="str">
            <v>Hans-Böckler-Straße 33</v>
          </cell>
          <cell r="E466">
            <v>40476</v>
          </cell>
          <cell r="F466" t="str">
            <v>Düsseldorf</v>
          </cell>
          <cell r="G466" t="str">
            <v>Germany</v>
          </cell>
          <cell r="N466" t="str">
            <v>Michaela Graefe</v>
          </cell>
          <cell r="O466" t="str">
            <v>michaela.graefe@deka.de</v>
          </cell>
          <cell r="P466" t="str">
            <v>+496971473504</v>
          </cell>
          <cell r="Q466" t="str">
            <v>Germany</v>
          </cell>
          <cell r="R466" t="str">
            <v>EUR</v>
          </cell>
          <cell r="S466" t="str">
            <v>Local GAAP</v>
          </cell>
          <cell r="T466" t="str">
            <v>Annually</v>
          </cell>
          <cell r="U466" t="str">
            <v>Quarterly</v>
          </cell>
          <cell r="Y466" t="str">
            <v>Spezialfonds</v>
          </cell>
          <cell r="AC466" t="str">
            <v>Non-Listed Fund</v>
          </cell>
          <cell r="AD466" t="str">
            <v>Core</v>
          </cell>
          <cell r="AE466" t="str">
            <v>infinite</v>
          </cell>
          <cell r="AF466" t="str">
            <v>Open end</v>
          </cell>
          <cell r="AK466">
            <v>4.5</v>
          </cell>
          <cell r="AM466" t="str">
            <v>&gt; 40% - ≤ 60%</v>
          </cell>
          <cell r="AN466" t="str">
            <v>Institutional</v>
          </cell>
          <cell r="AO466" t="str">
            <v>&gt; 2</v>
          </cell>
          <cell r="AP466" t="str">
            <v>≥ 50%</v>
          </cell>
          <cell r="AQ466" t="str">
            <v>Europe</v>
          </cell>
          <cell r="AR466" t="str">
            <v>multi country</v>
          </cell>
          <cell r="AS466" t="str">
            <v>Europe</v>
          </cell>
          <cell r="AU466" t="str">
            <v>single sector</v>
          </cell>
          <cell r="AV466" t="str">
            <v>Retail</v>
          </cell>
          <cell r="AW466">
            <v>500000000</v>
          </cell>
          <cell r="AX466">
            <v>1000000000</v>
          </cell>
          <cell r="AY466">
            <v>2009</v>
          </cell>
          <cell r="BH466" t="str">
            <v>2020-12-31</v>
          </cell>
          <cell r="BI466">
            <v>974305669</v>
          </cell>
          <cell r="BJ466">
            <v>974305669</v>
          </cell>
          <cell r="BK466">
            <v>677474648</v>
          </cell>
          <cell r="BL466">
            <v>677474648</v>
          </cell>
          <cell r="BM466">
            <v>43.6</v>
          </cell>
          <cell r="BN466" t="str">
            <v>No</v>
          </cell>
          <cell r="BO466" t="str">
            <v>External</v>
          </cell>
          <cell r="BP466">
            <v>87</v>
          </cell>
          <cell r="BQ466">
            <v>17</v>
          </cell>
          <cell r="BR466">
            <v>718568343</v>
          </cell>
          <cell r="BS466">
            <v>718568343</v>
          </cell>
          <cell r="BT466">
            <v>718568343</v>
          </cell>
          <cell r="BU466">
            <v>718568343</v>
          </cell>
          <cell r="BV466" t="str">
            <v>No</v>
          </cell>
          <cell r="BW466" t="str">
            <v>Belgium</v>
          </cell>
          <cell r="BX466" t="str">
            <v>Retail</v>
          </cell>
          <cell r="BY466">
            <v>3.9</v>
          </cell>
          <cell r="BZ466" t="str">
            <v>Norway</v>
          </cell>
          <cell r="CA466" t="str">
            <v>Retail</v>
          </cell>
          <cell r="CB466">
            <v>5</v>
          </cell>
          <cell r="CC466" t="str">
            <v>Germany</v>
          </cell>
          <cell r="CD466" t="str">
            <v>Retail</v>
          </cell>
          <cell r="CE466">
            <v>61.3</v>
          </cell>
          <cell r="CF466" t="str">
            <v>Netherlands</v>
          </cell>
          <cell r="CG466" t="str">
            <v>Retail</v>
          </cell>
          <cell r="CH466">
            <v>3.6</v>
          </cell>
          <cell r="CI466" t="str">
            <v>France</v>
          </cell>
          <cell r="CJ466" t="str">
            <v>Retail</v>
          </cell>
          <cell r="CK466">
            <v>7.6</v>
          </cell>
          <cell r="CL466" t="str">
            <v>Lithuania</v>
          </cell>
          <cell r="CM466" t="str">
            <v>Retail</v>
          </cell>
          <cell r="CN466">
            <v>3.1</v>
          </cell>
          <cell r="CO466" t="str">
            <v>Sweden</v>
          </cell>
          <cell r="CP466" t="str">
            <v>Retail</v>
          </cell>
          <cell r="CQ466">
            <v>15.5</v>
          </cell>
        </row>
        <row r="467">
          <cell r="A467">
            <v>17850</v>
          </cell>
          <cell r="B467" t="str">
            <v>TECHNICAL PROPERTY FUND 2</v>
          </cell>
          <cell r="G467" t="str">
            <v>France</v>
          </cell>
          <cell r="Q467" t="str">
            <v>France</v>
          </cell>
          <cell r="R467" t="str">
            <v>EUR</v>
          </cell>
          <cell r="T467" t="str">
            <v>Quarterly</v>
          </cell>
          <cell r="U467" t="str">
            <v>Quarterly</v>
          </cell>
          <cell r="V467" t="str">
            <v>Other - mark to market</v>
          </cell>
          <cell r="W467" t="str">
            <v>French GAAP</v>
          </cell>
          <cell r="Y467" t="str">
            <v>OPCI</v>
          </cell>
          <cell r="AC467" t="str">
            <v>Non-Listed Fund</v>
          </cell>
          <cell r="AD467" t="str">
            <v>Core</v>
          </cell>
          <cell r="AE467" t="str">
            <v>finite</v>
          </cell>
          <cell r="AF467" t="str">
            <v>Closed end</v>
          </cell>
          <cell r="AN467" t="str">
            <v>Institutional</v>
          </cell>
          <cell r="AO467" t="str">
            <v>&gt; 2</v>
          </cell>
          <cell r="AP467" t="str">
            <v>≥ 50%</v>
          </cell>
          <cell r="AQ467" t="str">
            <v>Europe</v>
          </cell>
          <cell r="AR467" t="str">
            <v>single country</v>
          </cell>
          <cell r="AT467" t="str">
            <v>France</v>
          </cell>
          <cell r="AU467" t="str">
            <v>single sector</v>
          </cell>
          <cell r="AV467" t="str">
            <v>Industrial / Logistics</v>
          </cell>
          <cell r="AY467">
            <v>2008</v>
          </cell>
          <cell r="BH467" t="str">
            <v>2020-12-31</v>
          </cell>
          <cell r="BI467">
            <v>330361736</v>
          </cell>
          <cell r="BJ467">
            <v>330361736</v>
          </cell>
          <cell r="BK467">
            <v>247164857</v>
          </cell>
          <cell r="BL467">
            <v>247164857</v>
          </cell>
          <cell r="BM467">
            <v>25</v>
          </cell>
          <cell r="BN467" t="str">
            <v>Yes</v>
          </cell>
          <cell r="BO467" t="str">
            <v>External</v>
          </cell>
          <cell r="BP467">
            <v>15</v>
          </cell>
          <cell r="BQ467">
            <v>11</v>
          </cell>
          <cell r="BR467">
            <v>248907631</v>
          </cell>
          <cell r="BS467">
            <v>248907631</v>
          </cell>
          <cell r="BT467">
            <v>248907631</v>
          </cell>
          <cell r="BU467">
            <v>248907631</v>
          </cell>
          <cell r="BV467" t="str">
            <v>No</v>
          </cell>
          <cell r="BW467" t="str">
            <v>France</v>
          </cell>
          <cell r="BX467" t="str">
            <v>Industrial / Logistics</v>
          </cell>
          <cell r="BY467">
            <v>98.4</v>
          </cell>
        </row>
        <row r="468">
          <cell r="A468">
            <v>443</v>
          </cell>
          <cell r="B468" t="str">
            <v>THE CHARITIES PROPERTY FUND</v>
          </cell>
          <cell r="C468" t="str">
            <v>SAVILLS INVESTMENT MANAGEMENT (UK) LIMITED</v>
          </cell>
          <cell r="D468" t="str">
            <v>33 Margaret Street</v>
          </cell>
          <cell r="E468" t="str">
            <v>W1G 0JD</v>
          </cell>
          <cell r="F468" t="str">
            <v>London</v>
          </cell>
          <cell r="G468" t="str">
            <v>United Kingdom</v>
          </cell>
          <cell r="H468">
            <v>2031075439</v>
          </cell>
          <cell r="I468">
            <v>8454091281</v>
          </cell>
          <cell r="J468" t="str">
            <v>http://www.savillsim.com</v>
          </cell>
          <cell r="K468" t="str">
            <v>Harry de Ferry Foster</v>
          </cell>
          <cell r="L468" t="str">
            <v>harry.deferryfoster@savillsim.com</v>
          </cell>
          <cell r="M468" t="str">
            <v>+44 (0) 20 7409 8715</v>
          </cell>
          <cell r="N468" t="str">
            <v>Amy Joslin</v>
          </cell>
          <cell r="O468" t="str">
            <v>amy.joslin@savillsim.com</v>
          </cell>
          <cell r="P468">
            <v>2031075439</v>
          </cell>
          <cell r="Q468" t="str">
            <v>United Kingdom</v>
          </cell>
          <cell r="R468" t="str">
            <v>GBP</v>
          </cell>
          <cell r="S468" t="str">
            <v>Local GAAP</v>
          </cell>
          <cell r="T468" t="str">
            <v>Twice per year</v>
          </cell>
          <cell r="U468" t="str">
            <v>Quarterly</v>
          </cell>
          <cell r="V468" t="str">
            <v>RICS</v>
          </cell>
          <cell r="X468" t="str">
            <v>KPMG</v>
          </cell>
          <cell r="Y468" t="str">
            <v>Common Investment Fund</v>
          </cell>
          <cell r="Z468" t="str">
            <v>No</v>
          </cell>
          <cell r="AA468" t="str">
            <v>Yes</v>
          </cell>
          <cell r="AB468">
            <v>0</v>
          </cell>
          <cell r="AC468" t="str">
            <v>Non-Listed Fund</v>
          </cell>
          <cell r="AD468" t="str">
            <v>Core</v>
          </cell>
          <cell r="AE468" t="str">
            <v>infinite</v>
          </cell>
          <cell r="AF468" t="str">
            <v>Open end</v>
          </cell>
          <cell r="AG468">
            <v>8</v>
          </cell>
          <cell r="AH468">
            <v>8</v>
          </cell>
          <cell r="AJ468" t="str">
            <v>Absolute return of 8% pa</v>
          </cell>
          <cell r="AK468">
            <v>6</v>
          </cell>
          <cell r="AN468" t="str">
            <v>Institutional</v>
          </cell>
          <cell r="AO468" t="str">
            <v>&gt; 2</v>
          </cell>
          <cell r="AP468" t="str">
            <v>≥ 50%</v>
          </cell>
          <cell r="AQ468" t="str">
            <v>Europe</v>
          </cell>
          <cell r="AR468" t="str">
            <v>single country</v>
          </cell>
          <cell r="AT468" t="str">
            <v>United Kingdom</v>
          </cell>
          <cell r="AU468" t="str">
            <v>multi sector</v>
          </cell>
          <cell r="AY468">
            <v>2000</v>
          </cell>
          <cell r="BD468" t="str">
            <v>No</v>
          </cell>
          <cell r="BH468" t="str">
            <v>2020-12-31</v>
          </cell>
          <cell r="BI468">
            <v>1187779915</v>
          </cell>
          <cell r="BJ468">
            <v>1313149010.0874269</v>
          </cell>
          <cell r="BK468">
            <v>1186654124</v>
          </cell>
          <cell r="BL468">
            <v>1311904392.8662181</v>
          </cell>
          <cell r="BM468">
            <v>0</v>
          </cell>
          <cell r="BN468" t="str">
            <v>Yes</v>
          </cell>
          <cell r="BO468" t="str">
            <v>External</v>
          </cell>
          <cell r="BP468">
            <v>1693</v>
          </cell>
          <cell r="BQ468">
            <v>119</v>
          </cell>
          <cell r="BR468">
            <v>959309740</v>
          </cell>
          <cell r="BS468">
            <v>1053278462.331027</v>
          </cell>
          <cell r="BT468">
            <v>1017309740</v>
          </cell>
          <cell r="BU468">
            <v>1116959824.3228271</v>
          </cell>
          <cell r="BV468" t="str">
            <v>Yes</v>
          </cell>
          <cell r="BW468" t="str">
            <v>United Kingdom</v>
          </cell>
          <cell r="BX468" t="str">
            <v>Office</v>
          </cell>
          <cell r="BY468">
            <v>20.3</v>
          </cell>
          <cell r="BZ468" t="str">
            <v>United Kingdom</v>
          </cell>
          <cell r="CA468" t="str">
            <v>Retail</v>
          </cell>
          <cell r="CB468">
            <v>20.2</v>
          </cell>
          <cell r="CC468" t="str">
            <v>United Kingdom</v>
          </cell>
          <cell r="CD468" t="str">
            <v>Industrial / Logistics</v>
          </cell>
          <cell r="CE468">
            <v>29.1</v>
          </cell>
          <cell r="CF468" t="str">
            <v>United Kingdom</v>
          </cell>
          <cell r="CG468" t="str">
            <v>Other</v>
          </cell>
          <cell r="CH468">
            <v>23.7</v>
          </cell>
        </row>
        <row r="469">
          <cell r="A469">
            <v>448</v>
          </cell>
          <cell r="B469" t="str">
            <v>THE LEISURE FUND LP</v>
          </cell>
          <cell r="C469" t="str">
            <v>LEGAL &amp; GENERAL PROPERTY LTD</v>
          </cell>
          <cell r="D469" t="str">
            <v>1 Coleman Street</v>
          </cell>
          <cell r="E469" t="str">
            <v>EC2R 5AA</v>
          </cell>
          <cell r="F469" t="str">
            <v>London</v>
          </cell>
          <cell r="G469" t="str">
            <v>United Kingdom</v>
          </cell>
          <cell r="H469" t="str">
            <v>+44 (0) 20 3124 2770</v>
          </cell>
          <cell r="I469" t="str">
            <v>+44 (0) 20 3124 2542</v>
          </cell>
          <cell r="J469" t="str">
            <v>http://www.lgim.co.uk</v>
          </cell>
          <cell r="K469" t="str">
            <v>Andrew Ferguson</v>
          </cell>
          <cell r="N469" t="str">
            <v>Callum Fraser</v>
          </cell>
          <cell r="O469" t="str">
            <v>callum.fraser@lgim.co.uk</v>
          </cell>
          <cell r="P469" t="str">
            <v>+44 (0) 20 3124 2542</v>
          </cell>
          <cell r="Q469" t="str">
            <v>United Kingdom</v>
          </cell>
          <cell r="R469" t="str">
            <v>GBP</v>
          </cell>
          <cell r="S469" t="str">
            <v>Local GAAP</v>
          </cell>
          <cell r="T469" t="str">
            <v>Quarterly</v>
          </cell>
          <cell r="U469" t="str">
            <v>Quarterly</v>
          </cell>
          <cell r="V469" t="str">
            <v>RICS</v>
          </cell>
          <cell r="W469" t="str">
            <v>IFRS NAV</v>
          </cell>
          <cell r="X469" t="str">
            <v>PriceWaterhouseCoopers</v>
          </cell>
          <cell r="Y469" t="str">
            <v>Limited Partnership</v>
          </cell>
          <cell r="Z469" t="str">
            <v>No</v>
          </cell>
          <cell r="AA469" t="str">
            <v>No</v>
          </cell>
          <cell r="AB469">
            <v>0</v>
          </cell>
          <cell r="AC469" t="str">
            <v>Non-Listed Fund</v>
          </cell>
          <cell r="AD469" t="str">
            <v>Value-added</v>
          </cell>
          <cell r="AE469" t="str">
            <v>finite</v>
          </cell>
          <cell r="AF469" t="str">
            <v>Closed end</v>
          </cell>
          <cell r="AJ469" t="str">
            <v>IPD UK Leisure Annual Index</v>
          </cell>
          <cell r="AK469">
            <v>7</v>
          </cell>
          <cell r="AL469">
            <v>20</v>
          </cell>
          <cell r="AM469" t="str">
            <v>&gt; 40% - ≤ 60%</v>
          </cell>
          <cell r="AN469" t="str">
            <v>Institutional</v>
          </cell>
          <cell r="AO469" t="str">
            <v>&gt; 2</v>
          </cell>
          <cell r="AP469" t="str">
            <v>≥ 50%</v>
          </cell>
          <cell r="AQ469" t="str">
            <v>Europe</v>
          </cell>
          <cell r="AR469" t="str">
            <v>single country</v>
          </cell>
          <cell r="AT469" t="str">
            <v>United Kingdom</v>
          </cell>
          <cell r="AU469" t="str">
            <v>single sector</v>
          </cell>
          <cell r="AV469" t="str">
            <v>Leisure</v>
          </cell>
          <cell r="AY469">
            <v>2005</v>
          </cell>
          <cell r="AZ469">
            <v>2014</v>
          </cell>
          <cell r="BA469" t="str">
            <v>Yes</v>
          </cell>
          <cell r="BB469" t="str">
            <v>Yes</v>
          </cell>
          <cell r="BH469" t="str">
            <v>2020-12-31</v>
          </cell>
          <cell r="BI469">
            <v>474649295.74000001</v>
          </cell>
          <cell r="BJ469">
            <v>524748099.34774429</v>
          </cell>
          <cell r="BK469">
            <v>296035987</v>
          </cell>
          <cell r="BL469">
            <v>327282317.51528168</v>
          </cell>
          <cell r="BM469">
            <v>36.909999999999997</v>
          </cell>
          <cell r="BN469" t="str">
            <v>No</v>
          </cell>
          <cell r="BO469" t="str">
            <v>External</v>
          </cell>
          <cell r="BP469">
            <v>35</v>
          </cell>
          <cell r="BQ469">
            <v>18</v>
          </cell>
          <cell r="BR469">
            <v>0</v>
          </cell>
          <cell r="BS469">
            <v>0</v>
          </cell>
          <cell r="BT469">
            <v>0</v>
          </cell>
          <cell r="BV469" t="str">
            <v>No</v>
          </cell>
          <cell r="BW469" t="str">
            <v>United Kingdom</v>
          </cell>
          <cell r="BX469" t="str">
            <v>Leisure</v>
          </cell>
          <cell r="BY469">
            <v>99.2</v>
          </cell>
        </row>
        <row r="470">
          <cell r="A470">
            <v>450</v>
          </cell>
          <cell r="B470" t="str">
            <v>THE LENDLEASE RETAIL LP</v>
          </cell>
          <cell r="C470" t="str">
            <v>LEND LEASE REAL ESTATE INVESTMENTS</v>
          </cell>
          <cell r="D470" t="str">
            <v>20 Triton Street, Regent's Place</v>
          </cell>
          <cell r="E470" t="str">
            <v>NW1 3BF</v>
          </cell>
          <cell r="F470" t="str">
            <v>London</v>
          </cell>
          <cell r="G470" t="str">
            <v>United Kingdom</v>
          </cell>
          <cell r="H470" t="str">
            <v>+44 (0) 20 3420900</v>
          </cell>
          <cell r="J470" t="str">
            <v>http://www.lendlease.com</v>
          </cell>
          <cell r="K470" t="str">
            <v>Jenny Harbord</v>
          </cell>
          <cell r="L470" t="str">
            <v>jenny.harbord@lendlease.com</v>
          </cell>
          <cell r="M470" t="str">
            <v>07830 164437</v>
          </cell>
          <cell r="N470" t="str">
            <v>Piers Cartwright-Taylor</v>
          </cell>
          <cell r="O470" t="str">
            <v>piers.cartwright-taylor@lendlease.com</v>
          </cell>
          <cell r="P470">
            <v>7775663466</v>
          </cell>
          <cell r="Q470" t="str">
            <v>United Kingdom</v>
          </cell>
          <cell r="R470" t="str">
            <v>GBP</v>
          </cell>
          <cell r="S470" t="str">
            <v>Local GAAP</v>
          </cell>
          <cell r="T470" t="str">
            <v>Quarterly</v>
          </cell>
          <cell r="U470" t="str">
            <v>Monthly</v>
          </cell>
          <cell r="V470" t="str">
            <v>RICS</v>
          </cell>
          <cell r="W470" t="str">
            <v>INREV NAV</v>
          </cell>
          <cell r="X470" t="str">
            <v>KPMG</v>
          </cell>
          <cell r="Y470" t="str">
            <v>Limited Partnership</v>
          </cell>
          <cell r="Z470" t="str">
            <v>Yes</v>
          </cell>
          <cell r="AA470" t="str">
            <v>Yes</v>
          </cell>
          <cell r="AB470">
            <v>0</v>
          </cell>
          <cell r="AC470" t="str">
            <v>Non-Listed Fund</v>
          </cell>
          <cell r="AD470" t="str">
            <v>Core</v>
          </cell>
          <cell r="AE470" t="str">
            <v>finite</v>
          </cell>
          <cell r="AF470" t="str">
            <v>Closed end</v>
          </cell>
          <cell r="AJ470" t="str">
            <v>IPD UK All Shopping Centre Annual Index</v>
          </cell>
          <cell r="AL470">
            <v>0</v>
          </cell>
          <cell r="AM470" t="str">
            <v>≤ 40%</v>
          </cell>
          <cell r="AN470" t="str">
            <v>Institutional</v>
          </cell>
          <cell r="AO470" t="str">
            <v>&gt; 2</v>
          </cell>
          <cell r="AP470" t="str">
            <v>≥ 50%</v>
          </cell>
          <cell r="AQ470" t="str">
            <v>Europe</v>
          </cell>
          <cell r="AR470" t="str">
            <v>single country</v>
          </cell>
          <cell r="AT470" t="str">
            <v>United Kingdom</v>
          </cell>
          <cell r="AU470" t="str">
            <v>single sector</v>
          </cell>
          <cell r="AV470" t="str">
            <v>Retail</v>
          </cell>
          <cell r="AW470">
            <v>690450000</v>
          </cell>
          <cell r="AX470">
            <v>922640000</v>
          </cell>
          <cell r="AY470">
            <v>1999</v>
          </cell>
          <cell r="AZ470">
            <v>2017</v>
          </cell>
          <cell r="BA470" t="str">
            <v>Yes</v>
          </cell>
          <cell r="BB470" t="str">
            <v>No</v>
          </cell>
          <cell r="BH470" t="str">
            <v>2019-09-30</v>
          </cell>
          <cell r="BI470">
            <v>631550000</v>
          </cell>
          <cell r="BJ470">
            <v>709719351.97907996</v>
          </cell>
          <cell r="BK470">
            <v>630720259</v>
          </cell>
          <cell r="BL470">
            <v>708786910.77120972</v>
          </cell>
          <cell r="BM470">
            <v>0</v>
          </cell>
          <cell r="BN470" t="str">
            <v>No</v>
          </cell>
          <cell r="BO470" t="str">
            <v>External</v>
          </cell>
          <cell r="BP470">
            <v>61</v>
          </cell>
          <cell r="BQ470">
            <v>2</v>
          </cell>
          <cell r="BR470">
            <v>0</v>
          </cell>
          <cell r="BS470">
            <v>0</v>
          </cell>
          <cell r="BV470" t="str">
            <v>No</v>
          </cell>
          <cell r="BW470" t="str">
            <v>United Kingdom</v>
          </cell>
          <cell r="BX470" t="str">
            <v>Retail</v>
          </cell>
          <cell r="BY470">
            <v>98.7</v>
          </cell>
        </row>
        <row r="471">
          <cell r="A471">
            <v>455</v>
          </cell>
          <cell r="B471" t="str">
            <v>THE PROPERTY INCOME TRUST FOR CHARITIES</v>
          </cell>
          <cell r="C471" t="str">
            <v>MAYFAIR CAPITAL</v>
          </cell>
          <cell r="D471" t="str">
            <v>2 Cavendish Square</v>
          </cell>
          <cell r="E471" t="str">
            <v>W1G 0PU</v>
          </cell>
          <cell r="F471" t="str">
            <v>London</v>
          </cell>
          <cell r="G471" t="str">
            <v>United Kingdom</v>
          </cell>
          <cell r="H471" t="str">
            <v>+44 (0) 20 7495 1929</v>
          </cell>
          <cell r="I471" t="str">
            <v>+44 (0) 20 7317 3680</v>
          </cell>
          <cell r="J471" t="str">
            <v>http://www.mayfaircapital.co.uk</v>
          </cell>
          <cell r="K471" t="str">
            <v>James Lloyd</v>
          </cell>
          <cell r="L471" t="str">
            <v>jlloyd@mayfaircapital.co.uk</v>
          </cell>
          <cell r="M471" t="str">
            <v>+44 (0) 20 7371 3684</v>
          </cell>
          <cell r="N471" t="str">
            <v>James Thornton</v>
          </cell>
          <cell r="O471" t="str">
            <v>jthornton@mayfair.co.uk</v>
          </cell>
          <cell r="P471" t="str">
            <v>+44 (0) 20 7495 1929</v>
          </cell>
          <cell r="Q471" t="str">
            <v>United Kingdom</v>
          </cell>
          <cell r="R471" t="str">
            <v>GBP</v>
          </cell>
          <cell r="S471" t="str">
            <v>Local GAAP</v>
          </cell>
          <cell r="T471" t="str">
            <v>Quarterly</v>
          </cell>
          <cell r="U471" t="str">
            <v>Monthly</v>
          </cell>
          <cell r="V471" t="str">
            <v>RICS</v>
          </cell>
          <cell r="W471" t="str">
            <v>GAAP</v>
          </cell>
          <cell r="X471" t="str">
            <v>KPMG</v>
          </cell>
          <cell r="Y471" t="str">
            <v>Managed Fund</v>
          </cell>
          <cell r="Z471" t="str">
            <v>No</v>
          </cell>
          <cell r="AA471" t="str">
            <v>Yes</v>
          </cell>
          <cell r="AB471">
            <v>5</v>
          </cell>
          <cell r="AC471" t="str">
            <v>Non-Listed Fund</v>
          </cell>
          <cell r="AD471" t="str">
            <v>Core</v>
          </cell>
          <cell r="AE471" t="str">
            <v>infinite</v>
          </cell>
          <cell r="AF471" t="str">
            <v>Open end</v>
          </cell>
          <cell r="AG471">
            <v>6</v>
          </cell>
          <cell r="AH471">
            <v>6</v>
          </cell>
          <cell r="AJ471" t="str">
            <v>Absolute return</v>
          </cell>
          <cell r="AK471">
            <v>6</v>
          </cell>
          <cell r="AL471">
            <v>20</v>
          </cell>
          <cell r="AM471" t="str">
            <v>&gt; 40% - ≤ 60%</v>
          </cell>
          <cell r="AN471" t="str">
            <v>Institutional</v>
          </cell>
          <cell r="AO471" t="str">
            <v>&gt; 2</v>
          </cell>
          <cell r="AP471" t="str">
            <v>≥ 50%</v>
          </cell>
          <cell r="AQ471" t="str">
            <v>Europe</v>
          </cell>
          <cell r="AR471" t="str">
            <v>single country</v>
          </cell>
          <cell r="AT471" t="str">
            <v>United Kingdom</v>
          </cell>
          <cell r="AU471" t="str">
            <v>multi sector</v>
          </cell>
          <cell r="AX471">
            <v>1000000000</v>
          </cell>
          <cell r="AY471">
            <v>2005</v>
          </cell>
          <cell r="BH471" t="str">
            <v>2020-12-31</v>
          </cell>
          <cell r="BI471">
            <v>644800169</v>
          </cell>
          <cell r="BJ471">
            <v>712858243.29379702</v>
          </cell>
          <cell r="BK471">
            <v>568257815.41999996</v>
          </cell>
          <cell r="BL471">
            <v>628236913.5642581</v>
          </cell>
          <cell r="BM471">
            <v>11.71</v>
          </cell>
          <cell r="BN471" t="str">
            <v>No</v>
          </cell>
          <cell r="BO471" t="str">
            <v>External</v>
          </cell>
          <cell r="BP471">
            <v>1349</v>
          </cell>
          <cell r="BQ471">
            <v>55</v>
          </cell>
          <cell r="BR471">
            <v>573223417.70000005</v>
          </cell>
          <cell r="BS471">
            <v>629373240.77121508</v>
          </cell>
          <cell r="BT471">
            <v>573223417.70000005</v>
          </cell>
          <cell r="BU471">
            <v>629373240.77121508</v>
          </cell>
          <cell r="BV471" t="str">
            <v>No</v>
          </cell>
          <cell r="BW471" t="str">
            <v>United Kingdom</v>
          </cell>
          <cell r="BX471" t="str">
            <v>Health Care</v>
          </cell>
          <cell r="BY471">
            <v>1.4</v>
          </cell>
          <cell r="BZ471" t="str">
            <v>United Kingdom</v>
          </cell>
          <cell r="CA471" t="str">
            <v>Student Housing</v>
          </cell>
          <cell r="CB471">
            <v>3.28</v>
          </cell>
          <cell r="CC471" t="str">
            <v>United Kingdom</v>
          </cell>
          <cell r="CD471" t="str">
            <v>Hotel</v>
          </cell>
          <cell r="CE471">
            <v>4.54</v>
          </cell>
          <cell r="CF471" t="str">
            <v>United Kingdom</v>
          </cell>
          <cell r="CG471" t="str">
            <v>Retail</v>
          </cell>
          <cell r="CH471">
            <v>13.53</v>
          </cell>
          <cell r="CI471" t="str">
            <v>United Kingdom</v>
          </cell>
          <cell r="CJ471" t="str">
            <v>Office</v>
          </cell>
          <cell r="CK471">
            <v>29.85</v>
          </cell>
          <cell r="CL471" t="str">
            <v>United Kingdom</v>
          </cell>
          <cell r="CM471" t="str">
            <v>Industrial / Logistics</v>
          </cell>
          <cell r="CN471">
            <v>38.25</v>
          </cell>
        </row>
        <row r="472">
          <cell r="A472">
            <v>456</v>
          </cell>
          <cell r="B472" t="str">
            <v>THE QUERCUS HEALTHCARE PROPERTY PARTNERSHIP</v>
          </cell>
          <cell r="C472" t="str">
            <v>AVIVA INVESTORS</v>
          </cell>
          <cell r="D472" t="str">
            <v>1 Poultry</v>
          </cell>
          <cell r="E472" t="str">
            <v>EC2R 8EJ</v>
          </cell>
          <cell r="F472" t="str">
            <v>London</v>
          </cell>
          <cell r="G472" t="str">
            <v>United Kingdom</v>
          </cell>
          <cell r="H472" t="str">
            <v>+44 (0) 20 7809 6000</v>
          </cell>
          <cell r="I472" t="str">
            <v>+44 (0) 20 7809 6816</v>
          </cell>
          <cell r="J472" t="str">
            <v>http://www.avivainvestors.com</v>
          </cell>
          <cell r="K472" t="str">
            <v>James Allum</v>
          </cell>
          <cell r="L472" t="str">
            <v>james.allum@avivainvestors.com</v>
          </cell>
          <cell r="M472" t="str">
            <v>+44 (0) 20 7809 8288</v>
          </cell>
          <cell r="N472" t="str">
            <v>James Allum</v>
          </cell>
          <cell r="O472" t="str">
            <v>james.allum@avivainvestors.com</v>
          </cell>
          <cell r="P472" t="str">
            <v>+44 (0) 20 7809 6816</v>
          </cell>
          <cell r="Q472" t="str">
            <v>United Kingdom</v>
          </cell>
          <cell r="R472" t="str">
            <v>GBP</v>
          </cell>
          <cell r="S472" t="str">
            <v>Local GAAP</v>
          </cell>
          <cell r="T472" t="str">
            <v>Quarterly</v>
          </cell>
          <cell r="U472" t="str">
            <v>Monthly</v>
          </cell>
          <cell r="V472" t="str">
            <v>RICS</v>
          </cell>
          <cell r="X472" t="str">
            <v>KPMG</v>
          </cell>
          <cell r="Y472" t="str">
            <v>Jersey Property Unit Trust</v>
          </cell>
          <cell r="Z472" t="str">
            <v>No</v>
          </cell>
          <cell r="AA472" t="str">
            <v>No</v>
          </cell>
          <cell r="AB472">
            <v>0</v>
          </cell>
          <cell r="AC472" t="str">
            <v>Non-Listed Fund</v>
          </cell>
          <cell r="AD472" t="str">
            <v>Core</v>
          </cell>
          <cell r="AE472" t="str">
            <v>finite</v>
          </cell>
          <cell r="AF472" t="str">
            <v>Closed end</v>
          </cell>
          <cell r="AG472">
            <v>10</v>
          </cell>
          <cell r="AH472">
            <v>12</v>
          </cell>
          <cell r="AI472" t="str">
            <v>Net</v>
          </cell>
          <cell r="AJ472" t="str">
            <v>IPD All Property Index</v>
          </cell>
          <cell r="AL472">
            <v>40</v>
          </cell>
          <cell r="AM472" t="str">
            <v>&gt; 40% - ≤ 60%</v>
          </cell>
          <cell r="AN472" t="str">
            <v>Institutional</v>
          </cell>
          <cell r="AO472" t="str">
            <v>&gt; 2</v>
          </cell>
          <cell r="AP472" t="str">
            <v>≥ 50%</v>
          </cell>
          <cell r="AQ472" t="str">
            <v>Europe</v>
          </cell>
          <cell r="AR472" t="str">
            <v>single country</v>
          </cell>
          <cell r="AT472" t="str">
            <v>United Kingdom</v>
          </cell>
          <cell r="AU472" t="str">
            <v>single sector</v>
          </cell>
          <cell r="AV472" t="str">
            <v>Health Care</v>
          </cell>
          <cell r="AX472">
            <v>1000000000</v>
          </cell>
          <cell r="AY472">
            <v>1998</v>
          </cell>
          <cell r="AZ472">
            <v>2013</v>
          </cell>
          <cell r="BA472" t="str">
            <v>Yes</v>
          </cell>
          <cell r="BB472" t="str">
            <v>Yes</v>
          </cell>
          <cell r="BC472" t="str">
            <v>5 yearly extension until final terminatino of 2028</v>
          </cell>
          <cell r="BH472" t="str">
            <v>2014-06-30</v>
          </cell>
          <cell r="BI472">
            <v>510579859</v>
          </cell>
          <cell r="BJ472">
            <v>637816359.8628</v>
          </cell>
          <cell r="BK472">
            <v>256139056</v>
          </cell>
          <cell r="BL472">
            <v>319968908.75520003</v>
          </cell>
          <cell r="BM472">
            <v>53.4</v>
          </cell>
          <cell r="BN472" t="str">
            <v>No</v>
          </cell>
          <cell r="BO472" t="str">
            <v>External</v>
          </cell>
          <cell r="BP472">
            <v>53</v>
          </cell>
          <cell r="BQ472">
            <v>182</v>
          </cell>
          <cell r="BS472">
            <v>0</v>
          </cell>
          <cell r="BV472" t="str">
            <v>No</v>
          </cell>
          <cell r="BW472" t="str">
            <v>United Kingdom</v>
          </cell>
          <cell r="BX472" t="str">
            <v>Health Care</v>
          </cell>
          <cell r="BY472">
            <v>100</v>
          </cell>
        </row>
        <row r="473">
          <cell r="A473">
            <v>458</v>
          </cell>
          <cell r="B473" t="str">
            <v>THE ROCKSPRING GERMAN RETAIL BOX FUND LP</v>
          </cell>
          <cell r="C473" t="str">
            <v>ROCKSPRING PROPERTY INVESTMENT MANAGERS LLP</v>
          </cell>
          <cell r="D473" t="str">
            <v>166 Sloane Street</v>
          </cell>
          <cell r="E473" t="str">
            <v>SW1X 9QF</v>
          </cell>
          <cell r="F473" t="str">
            <v>London</v>
          </cell>
          <cell r="G473" t="str">
            <v>United Kingdom</v>
          </cell>
          <cell r="H473" t="str">
            <v>+44 (0) 20 7761 3300</v>
          </cell>
          <cell r="I473" t="str">
            <v>+44 (0) 20 7761 3400</v>
          </cell>
          <cell r="J473" t="str">
            <v>http://www.rockspringpim.com</v>
          </cell>
          <cell r="K473" t="str">
            <v>Rockspring / Prime Management</v>
          </cell>
          <cell r="L473" t="str">
            <v>martin.trodden@rockspringpim.com</v>
          </cell>
          <cell r="M473" t="str">
            <v>+442077613300</v>
          </cell>
          <cell r="N473" t="str">
            <v>Kathryn Dixon</v>
          </cell>
          <cell r="O473" t="str">
            <v>kathryn.dixon@rockspringpim.com</v>
          </cell>
          <cell r="P473" t="str">
            <v>+44 (0) 20 7761 3400</v>
          </cell>
          <cell r="Q473" t="str">
            <v>United Kingdom</v>
          </cell>
          <cell r="R473" t="str">
            <v>EUR</v>
          </cell>
          <cell r="T473" t="str">
            <v>Quarterly</v>
          </cell>
          <cell r="U473" t="str">
            <v>Quarterly</v>
          </cell>
          <cell r="V473" t="str">
            <v>RICS</v>
          </cell>
          <cell r="X473" t="str">
            <v>PWC</v>
          </cell>
          <cell r="Y473" t="str">
            <v>Limited Partnership</v>
          </cell>
          <cell r="AA473" t="str">
            <v>Yes</v>
          </cell>
          <cell r="AB473">
            <v>2</v>
          </cell>
          <cell r="AC473" t="str">
            <v>Non-Listed Fund</v>
          </cell>
          <cell r="AD473" t="str">
            <v>Value-added</v>
          </cell>
          <cell r="AE473" t="str">
            <v>finite</v>
          </cell>
          <cell r="AF473" t="str">
            <v>Closed end</v>
          </cell>
          <cell r="AG473">
            <v>11</v>
          </cell>
          <cell r="AH473">
            <v>11</v>
          </cell>
          <cell r="AJ473" t="str">
            <v>IPD</v>
          </cell>
          <cell r="AK473">
            <v>8.5</v>
          </cell>
          <cell r="AL473">
            <v>50</v>
          </cell>
          <cell r="AM473" t="str">
            <v>&gt; 60%</v>
          </cell>
          <cell r="AN473" t="str">
            <v>Institutional</v>
          </cell>
          <cell r="AO473" t="str">
            <v>&gt; 2</v>
          </cell>
          <cell r="AP473" t="str">
            <v>≥ 50%</v>
          </cell>
          <cell r="AQ473" t="str">
            <v>Europe</v>
          </cell>
          <cell r="AR473" t="str">
            <v>single country</v>
          </cell>
          <cell r="AT473" t="str">
            <v>Germany</v>
          </cell>
          <cell r="AU473" t="str">
            <v>single sector</v>
          </cell>
          <cell r="AV473" t="str">
            <v>Retail</v>
          </cell>
          <cell r="AY473">
            <v>2005</v>
          </cell>
          <cell r="AZ473">
            <v>2020</v>
          </cell>
          <cell r="BA473" t="str">
            <v>Yes</v>
          </cell>
          <cell r="BB473" t="str">
            <v>Yes</v>
          </cell>
          <cell r="BC473" t="str">
            <v>3 years fixed</v>
          </cell>
          <cell r="BD473" t="str">
            <v>No</v>
          </cell>
          <cell r="BH473" t="str">
            <v>2020-12-31</v>
          </cell>
          <cell r="BI473">
            <v>598477304</v>
          </cell>
          <cell r="BJ473">
            <v>598477304</v>
          </cell>
          <cell r="BK473">
            <v>330314025</v>
          </cell>
          <cell r="BL473">
            <v>330314025</v>
          </cell>
          <cell r="BM473">
            <v>43.11</v>
          </cell>
          <cell r="BN473" t="str">
            <v>No</v>
          </cell>
          <cell r="BO473" t="str">
            <v>External</v>
          </cell>
          <cell r="BP473">
            <v>10</v>
          </cell>
          <cell r="BQ473">
            <v>26</v>
          </cell>
          <cell r="BR473">
            <v>352422254</v>
          </cell>
          <cell r="BS473">
            <v>352422254</v>
          </cell>
          <cell r="BT473">
            <v>491928944</v>
          </cell>
          <cell r="BU473">
            <v>491928944</v>
          </cell>
          <cell r="BV473" t="str">
            <v>No</v>
          </cell>
          <cell r="BW473" t="str">
            <v>Germany</v>
          </cell>
          <cell r="BX473" t="str">
            <v>Retail</v>
          </cell>
          <cell r="BY473">
            <v>94.69</v>
          </cell>
        </row>
        <row r="474">
          <cell r="A474">
            <v>461</v>
          </cell>
          <cell r="B474" t="str">
            <v>THE X-LEISURE UNIT TRUST</v>
          </cell>
          <cell r="C474" t="str">
            <v>HERMES REAL ESTATE INVESTMENT MANAGEMENT LTD</v>
          </cell>
          <cell r="D474" t="str">
            <v>Lloyds Chambers, 1 Portsoken Street</v>
          </cell>
          <cell r="E474" t="str">
            <v>E1 8HZ</v>
          </cell>
          <cell r="F474" t="str">
            <v>London</v>
          </cell>
          <cell r="G474" t="str">
            <v>United Kingdom</v>
          </cell>
          <cell r="H474" t="str">
            <v>+44 (0) 20 7702 0888</v>
          </cell>
          <cell r="I474" t="str">
            <v>+44 (0) 20 7702 9453</v>
          </cell>
          <cell r="J474" t="str">
            <v>http://www.hermes.co.uk</v>
          </cell>
          <cell r="K474" t="str">
            <v>Susannah Bourke</v>
          </cell>
          <cell r="L474" t="str">
            <v>s.bourke@hermes.co.uk</v>
          </cell>
          <cell r="M474" t="str">
            <v>+44 (0) 20 7702 0888</v>
          </cell>
          <cell r="N474" t="str">
            <v>Susannah Bourke</v>
          </cell>
          <cell r="O474" t="str">
            <v>s.bourke@hermes.co.uk</v>
          </cell>
          <cell r="P474" t="str">
            <v>+44 (0) 20 7702 9453</v>
          </cell>
          <cell r="Q474" t="str">
            <v>Jersey</v>
          </cell>
          <cell r="R474" t="str">
            <v>GBP</v>
          </cell>
          <cell r="S474" t="str">
            <v>Local GAAP</v>
          </cell>
          <cell r="T474" t="str">
            <v>Quarterly</v>
          </cell>
          <cell r="U474" t="str">
            <v>Quarterly</v>
          </cell>
          <cell r="V474" t="str">
            <v>RICS</v>
          </cell>
          <cell r="X474" t="str">
            <v>KPMG</v>
          </cell>
          <cell r="Y474" t="str">
            <v>Jersey Property Unit Trust</v>
          </cell>
          <cell r="AB474">
            <v>0</v>
          </cell>
          <cell r="AC474" t="str">
            <v>Non-Listed Fund</v>
          </cell>
          <cell r="AD474" t="str">
            <v>Core</v>
          </cell>
          <cell r="AE474" t="str">
            <v>finite</v>
          </cell>
          <cell r="AF474" t="str">
            <v>Open end</v>
          </cell>
          <cell r="AG474">
            <v>12</v>
          </cell>
          <cell r="AH474">
            <v>12</v>
          </cell>
          <cell r="AJ474" t="str">
            <v>Absolute return of 12% p.a.</v>
          </cell>
          <cell r="AK474">
            <v>4</v>
          </cell>
          <cell r="AL474">
            <v>50</v>
          </cell>
          <cell r="AM474" t="str">
            <v>&gt; 60%</v>
          </cell>
          <cell r="AN474" t="str">
            <v>Institutional</v>
          </cell>
          <cell r="AO474" t="str">
            <v>&gt; 2</v>
          </cell>
          <cell r="AP474" t="str">
            <v>≥ 50%</v>
          </cell>
          <cell r="AQ474" t="str">
            <v>Europe</v>
          </cell>
          <cell r="AR474" t="str">
            <v>single country</v>
          </cell>
          <cell r="AT474" t="str">
            <v>United Kingdom</v>
          </cell>
          <cell r="AU474" t="str">
            <v>multi sector</v>
          </cell>
          <cell r="AW474">
            <v>1026510000</v>
          </cell>
          <cell r="AX474">
            <v>1466440000</v>
          </cell>
          <cell r="AY474">
            <v>2004</v>
          </cell>
          <cell r="AZ474">
            <v>2019</v>
          </cell>
          <cell r="BA474" t="str">
            <v>Yes</v>
          </cell>
          <cell r="BB474" t="str">
            <v>Yes</v>
          </cell>
          <cell r="BC474" t="str">
            <v>5 years</v>
          </cell>
          <cell r="BH474" t="str">
            <v>2012-09-30</v>
          </cell>
          <cell r="BI474">
            <v>585663000</v>
          </cell>
          <cell r="BJ474">
            <v>736354089.89999998</v>
          </cell>
          <cell r="BK474">
            <v>286253000</v>
          </cell>
          <cell r="BL474">
            <v>359905896.89999998</v>
          </cell>
          <cell r="BM474">
            <v>59</v>
          </cell>
          <cell r="BS474">
            <v>0</v>
          </cell>
          <cell r="BW474" t="str">
            <v>United Kingdom</v>
          </cell>
          <cell r="BX474" t="str">
            <v>Leisure</v>
          </cell>
          <cell r="BY474">
            <v>100</v>
          </cell>
        </row>
        <row r="475">
          <cell r="A475">
            <v>18453</v>
          </cell>
          <cell r="B475" t="str">
            <v>THI</v>
          </cell>
          <cell r="C475" t="str">
            <v>MAN GLOBAL PRIVATE MARKETS</v>
          </cell>
          <cell r="D475" t="str">
            <v>2 Swan Lane</v>
          </cell>
          <cell r="E475" t="str">
            <v>EC4R 3AD</v>
          </cell>
          <cell r="F475" t="str">
            <v>London</v>
          </cell>
          <cell r="G475" t="str">
            <v>United Kingdom</v>
          </cell>
          <cell r="J475" t="str">
            <v>https://www.man.com/gpm-aalto</v>
          </cell>
          <cell r="K475" t="str">
            <v>Travis Masters</v>
          </cell>
          <cell r="L475" t="str">
            <v>Travis.Masters@man.com</v>
          </cell>
          <cell r="M475" t="str">
            <v>+1 (980) 321-7561</v>
          </cell>
          <cell r="N475" t="str">
            <v>Jonathan Shaw</v>
          </cell>
          <cell r="O475" t="str">
            <v>Jonathan.Shaw@Man.com</v>
          </cell>
          <cell r="P475">
            <v>2071142911</v>
          </cell>
          <cell r="Q475" t="str">
            <v>United Kingdom</v>
          </cell>
          <cell r="R475" t="str">
            <v>USD</v>
          </cell>
          <cell r="S475" t="str">
            <v>US GAAP</v>
          </cell>
          <cell r="T475" t="str">
            <v>Annually</v>
          </cell>
          <cell r="U475" t="str">
            <v>Annually</v>
          </cell>
          <cell r="V475" t="str">
            <v>CoreLogic: Automated Valuation Estimate or Broker Price Option; otherwise RedBell Valuation Risk Review ; or valued at cost if in development</v>
          </cell>
          <cell r="W475" t="str">
            <v>CoreLogic (Automated Valuation Model): PASS</v>
          </cell>
          <cell r="X475" t="str">
            <v>Grant Thornton</v>
          </cell>
          <cell r="Y475" t="str">
            <v>Real Estate Fund</v>
          </cell>
          <cell r="Z475" t="str">
            <v>No</v>
          </cell>
          <cell r="AA475" t="str">
            <v>Yes</v>
          </cell>
          <cell r="AC475" t="str">
            <v>Separate account</v>
          </cell>
          <cell r="AD475" t="str">
            <v>Core</v>
          </cell>
          <cell r="AE475" t="str">
            <v>infinite</v>
          </cell>
          <cell r="AF475" t="str">
            <v>Closed end</v>
          </cell>
          <cell r="AG475">
            <v>7</v>
          </cell>
          <cell r="AH475">
            <v>9</v>
          </cell>
          <cell r="AI475" t="str">
            <v>Gross</v>
          </cell>
          <cell r="AJ475" t="str">
            <v>None</v>
          </cell>
          <cell r="AL475">
            <v>0</v>
          </cell>
          <cell r="AM475" t="str">
            <v>≤ 40%</v>
          </cell>
          <cell r="AN475" t="str">
            <v>Institutional</v>
          </cell>
          <cell r="AO475" t="str">
            <v>≤ 2</v>
          </cell>
          <cell r="AP475" t="str">
            <v>≥ 50%</v>
          </cell>
          <cell r="AQ475" t="str">
            <v>North America</v>
          </cell>
          <cell r="AR475" t="str">
            <v>single country</v>
          </cell>
          <cell r="AT475" t="str">
            <v>United States of America</v>
          </cell>
          <cell r="AU475" t="str">
            <v>single sector</v>
          </cell>
          <cell r="AV475" t="str">
            <v>Residential</v>
          </cell>
          <cell r="AW475">
            <v>201000000</v>
          </cell>
          <cell r="AY475">
            <v>2014</v>
          </cell>
          <cell r="BA475" t="str">
            <v>No</v>
          </cell>
          <cell r="BD475" t="str">
            <v>No</v>
          </cell>
          <cell r="BF475" t="str">
            <v>≤ 15%</v>
          </cell>
        </row>
        <row r="476">
          <cell r="A476">
            <v>462</v>
          </cell>
          <cell r="B476" t="str">
            <v>THREADNEEDLE PENSION PROPERTY FUND</v>
          </cell>
          <cell r="C476" t="str">
            <v>THREADNEEDLE ASSET MANAGEMENT LTD</v>
          </cell>
          <cell r="D476" t="str">
            <v>Cannon Place, 78 Cannon Street</v>
          </cell>
          <cell r="E476" t="str">
            <v>EC4N 6AG</v>
          </cell>
          <cell r="F476" t="str">
            <v>London</v>
          </cell>
          <cell r="G476" t="str">
            <v>United Kingdom</v>
          </cell>
          <cell r="H476" t="str">
            <v>+442074645000</v>
          </cell>
          <cell r="I476" t="str">
            <v>+44709190</v>
          </cell>
          <cell r="J476" t="str">
            <v>http://www.columbiathreadneedle.com</v>
          </cell>
          <cell r="K476" t="str">
            <v>Robin Jones</v>
          </cell>
          <cell r="P476" t="str">
            <v>+44709190</v>
          </cell>
          <cell r="Q476" t="str">
            <v>United Kingdom</v>
          </cell>
          <cell r="R476" t="str">
            <v>GBP</v>
          </cell>
          <cell r="S476" t="str">
            <v>Local GAAP</v>
          </cell>
          <cell r="T476" t="str">
            <v>Annually</v>
          </cell>
          <cell r="U476" t="str">
            <v>Monthly</v>
          </cell>
          <cell r="V476" t="str">
            <v>RICS</v>
          </cell>
          <cell r="Y476" t="str">
            <v>Unit-linked life and pension fund</v>
          </cell>
          <cell r="AA476" t="str">
            <v>No</v>
          </cell>
          <cell r="AB476">
            <v>0</v>
          </cell>
          <cell r="AC476" t="str">
            <v>Non-Listed Fund</v>
          </cell>
          <cell r="AD476" t="str">
            <v>Core</v>
          </cell>
          <cell r="AE476" t="str">
            <v>infinite</v>
          </cell>
          <cell r="AF476" t="str">
            <v>Open end</v>
          </cell>
          <cell r="AJ476" t="str">
            <v>AREF/MSCI All Balanced Property Fund IndexAREF/MSCI All Balanced Property Fund Index</v>
          </cell>
          <cell r="AN476" t="str">
            <v>Institutional</v>
          </cell>
          <cell r="AO476" t="str">
            <v>&gt; 2</v>
          </cell>
          <cell r="AP476" t="str">
            <v>≥ 50%</v>
          </cell>
          <cell r="AQ476" t="str">
            <v>Europe</v>
          </cell>
          <cell r="AR476" t="str">
            <v>single country</v>
          </cell>
          <cell r="AT476" t="str">
            <v>United Kingdom</v>
          </cell>
          <cell r="AU476" t="str">
            <v>multi sector</v>
          </cell>
          <cell r="AX476">
            <v>2591800000</v>
          </cell>
          <cell r="AY476">
            <v>1979</v>
          </cell>
          <cell r="BA476" t="str">
            <v>Yes</v>
          </cell>
          <cell r="BH476" t="str">
            <v>2020-12-31</v>
          </cell>
          <cell r="BI476">
            <v>1952743190.73</v>
          </cell>
          <cell r="BJ476">
            <v>2158853467.278964</v>
          </cell>
          <cell r="BK476">
            <v>1952743190.73</v>
          </cell>
          <cell r="BL476">
            <v>2158853467.278964</v>
          </cell>
          <cell r="BN476" t="str">
            <v>No</v>
          </cell>
          <cell r="BO476" t="str">
            <v>External</v>
          </cell>
          <cell r="BP476">
            <v>56</v>
          </cell>
          <cell r="BQ476">
            <v>267</v>
          </cell>
          <cell r="BS476">
            <v>0</v>
          </cell>
          <cell r="BW476" t="str">
            <v>United Kingdom</v>
          </cell>
          <cell r="BX476" t="str">
            <v>Other</v>
          </cell>
          <cell r="BY476">
            <v>6.69</v>
          </cell>
          <cell r="BZ476" t="str">
            <v>United Kingdom</v>
          </cell>
          <cell r="CA476" t="str">
            <v>Industrial / Logistics</v>
          </cell>
          <cell r="CB476">
            <v>41.02</v>
          </cell>
          <cell r="CC476" t="str">
            <v>United Kingdom</v>
          </cell>
          <cell r="CD476" t="str">
            <v>Office</v>
          </cell>
          <cell r="CE476">
            <v>33.49</v>
          </cell>
          <cell r="CF476" t="str">
            <v>United Kingdom</v>
          </cell>
          <cell r="CG476" t="str">
            <v>Retail</v>
          </cell>
          <cell r="CH476">
            <v>18.77</v>
          </cell>
        </row>
        <row r="477">
          <cell r="A477">
            <v>463</v>
          </cell>
          <cell r="B477" t="str">
            <v>THREADNEEDLE PROPERTY UNIT TRUST</v>
          </cell>
          <cell r="C477" t="str">
            <v>THREADNEEDLE ASSET MANAGEMENT (CHANNEL ISLANDS) LTD</v>
          </cell>
          <cell r="D477" t="str">
            <v>BNP House, Anley Street</v>
          </cell>
          <cell r="E477" t="str">
            <v>JE2 3QE</v>
          </cell>
          <cell r="F477" t="str">
            <v>St. Helier</v>
          </cell>
          <cell r="G477" t="str">
            <v>Jersey</v>
          </cell>
          <cell r="H477" t="str">
            <v>+44709100</v>
          </cell>
          <cell r="I477" t="str">
            <v>+44709190</v>
          </cell>
          <cell r="J477" t="str">
            <v>http://www.columbiathreadneedle.com</v>
          </cell>
          <cell r="K477" t="str">
            <v>James Coke</v>
          </cell>
          <cell r="N477" t="str">
            <v>Barbara Cullen</v>
          </cell>
          <cell r="O477" t="str">
            <v>barbara.cullen@bnpparibas.com</v>
          </cell>
          <cell r="P477" t="str">
            <v>+44709190</v>
          </cell>
          <cell r="Q477" t="str">
            <v>Jersey</v>
          </cell>
          <cell r="R477" t="str">
            <v>GBP</v>
          </cell>
          <cell r="T477" t="str">
            <v>Annually</v>
          </cell>
          <cell r="U477" t="str">
            <v>Monthly</v>
          </cell>
          <cell r="V477" t="str">
            <v>RICS</v>
          </cell>
          <cell r="X477" t="str">
            <v>PriceWaterhouseCoopers</v>
          </cell>
          <cell r="Y477" t="str">
            <v>Property Unit Trust</v>
          </cell>
          <cell r="AA477" t="str">
            <v>Yes</v>
          </cell>
          <cell r="AB477">
            <v>0</v>
          </cell>
          <cell r="AC477" t="str">
            <v>Non-Listed Fund</v>
          </cell>
          <cell r="AD477" t="str">
            <v>Core</v>
          </cell>
          <cell r="AE477" t="str">
            <v>infinite</v>
          </cell>
          <cell r="AF477" t="str">
            <v>Open end</v>
          </cell>
          <cell r="AJ477" t="str">
            <v>AREF/MSCI All Balanced Property Fund Index</v>
          </cell>
          <cell r="AM477" t="str">
            <v>≤ 40%</v>
          </cell>
          <cell r="AN477" t="str">
            <v>Institutional</v>
          </cell>
          <cell r="AO477" t="str">
            <v>&gt; 2</v>
          </cell>
          <cell r="AP477" t="str">
            <v>≥ 50%</v>
          </cell>
          <cell r="AQ477" t="str">
            <v>Europe</v>
          </cell>
          <cell r="AR477" t="str">
            <v>single country</v>
          </cell>
          <cell r="AT477" t="str">
            <v>United Kingdom</v>
          </cell>
          <cell r="AU477" t="str">
            <v>multi sector</v>
          </cell>
          <cell r="AX477">
            <v>2591800000</v>
          </cell>
          <cell r="AY477">
            <v>1967</v>
          </cell>
          <cell r="BH477" t="str">
            <v>2020-12-31</v>
          </cell>
          <cell r="BI477">
            <v>1427200000</v>
          </cell>
          <cell r="BJ477">
            <v>1577839668.3840001</v>
          </cell>
          <cell r="BK477">
            <v>1427200000</v>
          </cell>
          <cell r="BL477">
            <v>1577839668.3840001</v>
          </cell>
          <cell r="BN477" t="str">
            <v>No</v>
          </cell>
          <cell r="BO477" t="str">
            <v>External</v>
          </cell>
          <cell r="BQ477">
            <v>199</v>
          </cell>
          <cell r="BS477">
            <v>0</v>
          </cell>
          <cell r="BW477" t="str">
            <v>United Kingdom</v>
          </cell>
          <cell r="BX477" t="str">
            <v>Other</v>
          </cell>
          <cell r="BY477">
            <v>6.4</v>
          </cell>
          <cell r="BZ477" t="str">
            <v>United Kingdom</v>
          </cell>
          <cell r="CA477" t="str">
            <v>Industrial / Logistics</v>
          </cell>
          <cell r="CB477">
            <v>39.799999999999997</v>
          </cell>
          <cell r="CC477" t="str">
            <v>United Kingdom</v>
          </cell>
          <cell r="CD477" t="str">
            <v>Office</v>
          </cell>
          <cell r="CE477">
            <v>33.200000000000003</v>
          </cell>
          <cell r="CF477" t="str">
            <v>United Kingdom</v>
          </cell>
          <cell r="CG477" t="str">
            <v>Retail</v>
          </cell>
          <cell r="CH477">
            <v>20.6</v>
          </cell>
        </row>
        <row r="478">
          <cell r="A478">
            <v>466</v>
          </cell>
          <cell r="B478" t="str">
            <v>TISHMAN SPEYER EUROPEAN CORE FUND FCP-SIF</v>
          </cell>
          <cell r="C478" t="str">
            <v>TISHMAN SPEYER</v>
          </cell>
          <cell r="D478" t="str">
            <v>10 Bressenden Place</v>
          </cell>
          <cell r="E478" t="str">
            <v>SW1E 5DR</v>
          </cell>
          <cell r="F478" t="str">
            <v>London</v>
          </cell>
          <cell r="G478" t="str">
            <v>United Kingdom</v>
          </cell>
          <cell r="H478" t="str">
            <v>+442073332400</v>
          </cell>
          <cell r="I478" t="str">
            <v>+442073332500</v>
          </cell>
          <cell r="J478" t="str">
            <v>http://www.tishmanspeyer.com</v>
          </cell>
          <cell r="K478" t="str">
            <v>David Pinguelo</v>
          </cell>
          <cell r="L478" t="str">
            <v>DPinguelo@TishmanSpeyer.com</v>
          </cell>
          <cell r="M478" t="str">
            <v>+442073332591</v>
          </cell>
          <cell r="N478" t="str">
            <v>Michelle Doran</v>
          </cell>
          <cell r="O478" t="str">
            <v>mdoran@tishmanspeyer.com</v>
          </cell>
          <cell r="P478" t="str">
            <v>+442073332420</v>
          </cell>
          <cell r="Q478" t="str">
            <v>Luxembourg</v>
          </cell>
          <cell r="R478" t="str">
            <v>EUR</v>
          </cell>
          <cell r="S478" t="str">
            <v>IFRS</v>
          </cell>
          <cell r="T478" t="str">
            <v>Quarterly</v>
          </cell>
          <cell r="U478" t="str">
            <v>Quarterly</v>
          </cell>
          <cell r="W478" t="str">
            <v>IFRS NAV + Adjustments</v>
          </cell>
          <cell r="X478" t="str">
            <v>KPMG</v>
          </cell>
          <cell r="Y478" t="str">
            <v>Lux FCP-FIS</v>
          </cell>
          <cell r="Z478" t="str">
            <v>Yes</v>
          </cell>
          <cell r="AA478" t="str">
            <v>Yes</v>
          </cell>
          <cell r="AB478">
            <v>0</v>
          </cell>
          <cell r="AC478" t="str">
            <v>Non-Listed Fund</v>
          </cell>
          <cell r="AD478" t="str">
            <v>Core</v>
          </cell>
          <cell r="AE478" t="str">
            <v>infinite</v>
          </cell>
          <cell r="AF478" t="str">
            <v>Open end</v>
          </cell>
          <cell r="AG478">
            <v>8</v>
          </cell>
          <cell r="AH478">
            <v>10</v>
          </cell>
          <cell r="AI478" t="str">
            <v>Net</v>
          </cell>
          <cell r="AJ478" t="str">
            <v>None</v>
          </cell>
          <cell r="AK478">
            <v>4</v>
          </cell>
          <cell r="AL478">
            <v>40</v>
          </cell>
          <cell r="AM478" t="str">
            <v>&gt; 40% - ≤ 60%</v>
          </cell>
          <cell r="AN478" t="str">
            <v>Institutional</v>
          </cell>
          <cell r="AO478" t="str">
            <v>&gt; 2</v>
          </cell>
          <cell r="AP478" t="str">
            <v>≥ 50%</v>
          </cell>
          <cell r="AQ478" t="str">
            <v>Europe</v>
          </cell>
          <cell r="AR478" t="str">
            <v>multi country</v>
          </cell>
          <cell r="AS478" t="str">
            <v>Europe</v>
          </cell>
          <cell r="AU478" t="str">
            <v>single sector</v>
          </cell>
          <cell r="AV478" t="str">
            <v>Office</v>
          </cell>
          <cell r="AW478">
            <v>2000000000</v>
          </cell>
          <cell r="AX478">
            <v>4000000000</v>
          </cell>
          <cell r="AY478">
            <v>2007</v>
          </cell>
          <cell r="BA478" t="str">
            <v>Yes</v>
          </cell>
          <cell r="BB478" t="str">
            <v>No</v>
          </cell>
          <cell r="BD478" t="str">
            <v>No</v>
          </cell>
          <cell r="BE478" t="str">
            <v>&lt; 60%</v>
          </cell>
          <cell r="BH478" t="str">
            <v>2020-12-31</v>
          </cell>
          <cell r="BI478">
            <v>988395001</v>
          </cell>
          <cell r="BJ478">
            <v>988395001</v>
          </cell>
          <cell r="BK478">
            <v>629180682</v>
          </cell>
          <cell r="BL478">
            <v>629180682</v>
          </cell>
          <cell r="BM478">
            <v>34.5</v>
          </cell>
          <cell r="BN478" t="str">
            <v>No</v>
          </cell>
          <cell r="BO478" t="str">
            <v>External</v>
          </cell>
          <cell r="BP478">
            <v>15</v>
          </cell>
          <cell r="BQ478">
            <v>5</v>
          </cell>
          <cell r="BR478">
            <v>652644000</v>
          </cell>
          <cell r="BS478">
            <v>652644000</v>
          </cell>
          <cell r="BT478">
            <v>645144000</v>
          </cell>
          <cell r="BU478">
            <v>645144000</v>
          </cell>
          <cell r="BW478" t="str">
            <v>United Kingdom</v>
          </cell>
          <cell r="BX478" t="str">
            <v>Office</v>
          </cell>
          <cell r="BY478">
            <v>13.5</v>
          </cell>
          <cell r="BZ478" t="str">
            <v>Germany</v>
          </cell>
          <cell r="CA478" t="str">
            <v>Office</v>
          </cell>
          <cell r="CB478">
            <v>70.3</v>
          </cell>
        </row>
        <row r="479">
          <cell r="A479">
            <v>467</v>
          </cell>
          <cell r="B479" t="str">
            <v>TISHMAN SPEYER EUROPEAN REAL ESTATE VENTURE VI LP</v>
          </cell>
          <cell r="C479" t="str">
            <v>TISHMAN SPEYER</v>
          </cell>
          <cell r="D479" t="str">
            <v>61 Aldwych</v>
          </cell>
          <cell r="E479" t="str">
            <v>WC2B 4AE</v>
          </cell>
          <cell r="F479" t="str">
            <v>London</v>
          </cell>
          <cell r="G479" t="str">
            <v>United Kingdom</v>
          </cell>
          <cell r="H479" t="str">
            <v>+44 (0) 207333 2400</v>
          </cell>
          <cell r="I479" t="str">
            <v>+44 (0) 207333 2500</v>
          </cell>
          <cell r="J479" t="str">
            <v>http://www.tishmanspeyer.com</v>
          </cell>
          <cell r="K479" t="str">
            <v>Ioanna Paschalidou</v>
          </cell>
          <cell r="L479" t="str">
            <v>IPaschalidou@tishmanspeyer.com</v>
          </cell>
          <cell r="M479" t="str">
            <v>+44 (20) 7333-2432</v>
          </cell>
          <cell r="N479" t="str">
            <v>Matthias Huenlein</v>
          </cell>
          <cell r="O479" t="str">
            <v>mhuenlein@tishmanspeyer.com</v>
          </cell>
          <cell r="P479" t="str">
            <v>+44 (0) 207333 2500</v>
          </cell>
          <cell r="Q479" t="str">
            <v>United Kingdom</v>
          </cell>
          <cell r="R479" t="str">
            <v>EUR</v>
          </cell>
          <cell r="S479" t="str">
            <v>IFRS</v>
          </cell>
          <cell r="T479" t="str">
            <v>Quarterly</v>
          </cell>
          <cell r="U479" t="str">
            <v>Annually</v>
          </cell>
          <cell r="V479" t="str">
            <v>RICS</v>
          </cell>
          <cell r="X479" t="str">
            <v>KPMG</v>
          </cell>
          <cell r="Y479" t="str">
            <v>Limited Partnership</v>
          </cell>
          <cell r="Z479" t="str">
            <v>No</v>
          </cell>
          <cell r="AA479" t="str">
            <v>Yes</v>
          </cell>
          <cell r="AB479">
            <v>5</v>
          </cell>
          <cell r="AC479" t="str">
            <v>Non-Listed Fund</v>
          </cell>
          <cell r="AD479" t="str">
            <v>Value-added</v>
          </cell>
          <cell r="AE479" t="str">
            <v>finite</v>
          </cell>
          <cell r="AF479" t="str">
            <v>Closed end</v>
          </cell>
          <cell r="AG479">
            <v>14</v>
          </cell>
          <cell r="AH479">
            <v>18</v>
          </cell>
          <cell r="AI479" t="str">
            <v>Gross</v>
          </cell>
          <cell r="AJ479" t="str">
            <v>None</v>
          </cell>
          <cell r="AL479">
            <v>75</v>
          </cell>
          <cell r="AM479" t="str">
            <v>&gt; 60%</v>
          </cell>
          <cell r="AN479" t="str">
            <v>Institutional</v>
          </cell>
          <cell r="AO479" t="str">
            <v>&gt; 2</v>
          </cell>
          <cell r="AP479" t="str">
            <v>≥ 50%</v>
          </cell>
          <cell r="AQ479" t="str">
            <v>Europe</v>
          </cell>
          <cell r="AR479" t="str">
            <v>multi country</v>
          </cell>
          <cell r="AS479" t="str">
            <v>Europe</v>
          </cell>
          <cell r="AU479" t="str">
            <v>multi sector</v>
          </cell>
          <cell r="AW479">
            <v>1000000000</v>
          </cell>
          <cell r="AX479">
            <v>3000000000</v>
          </cell>
          <cell r="AY479">
            <v>2006</v>
          </cell>
          <cell r="AZ479">
            <v>2014</v>
          </cell>
          <cell r="BA479" t="str">
            <v>Yes</v>
          </cell>
          <cell r="BB479" t="str">
            <v>Yes</v>
          </cell>
          <cell r="BC479" t="str">
            <v>3 years</v>
          </cell>
          <cell r="BH479" t="str">
            <v>2020-12-31</v>
          </cell>
          <cell r="BI479">
            <v>8653588</v>
          </cell>
          <cell r="BJ479">
            <v>8653588</v>
          </cell>
          <cell r="BK479">
            <v>8653588</v>
          </cell>
          <cell r="BL479">
            <v>8653588</v>
          </cell>
          <cell r="BM479">
            <v>0</v>
          </cell>
          <cell r="BN479" t="str">
            <v>Yes</v>
          </cell>
          <cell r="BO479" t="str">
            <v>Internal</v>
          </cell>
          <cell r="BP479">
            <v>0</v>
          </cell>
          <cell r="BQ479">
            <v>0</v>
          </cell>
          <cell r="BR479">
            <v>1000109665</v>
          </cell>
          <cell r="BS479">
            <v>1000109665</v>
          </cell>
          <cell r="BT479">
            <v>958000000</v>
          </cell>
          <cell r="BU479">
            <v>958000000</v>
          </cell>
          <cell r="BV479" t="str">
            <v>No</v>
          </cell>
        </row>
        <row r="480">
          <cell r="A480">
            <v>17726</v>
          </cell>
          <cell r="B480" t="str">
            <v>TISHMAN SPEYER EUROPEAN REAL ESTATE VENTURE VII LP</v>
          </cell>
          <cell r="C480" t="str">
            <v>TISHMAN SPEYER EUROPE SARL</v>
          </cell>
          <cell r="G480" t="str">
            <v>United Kingdom</v>
          </cell>
          <cell r="Q480" t="str">
            <v>United Kingdom</v>
          </cell>
          <cell r="R480" t="str">
            <v>EUR</v>
          </cell>
          <cell r="S480" t="str">
            <v>IFRS</v>
          </cell>
          <cell r="T480" t="str">
            <v>Quarterly</v>
          </cell>
          <cell r="U480" t="str">
            <v>Annually</v>
          </cell>
          <cell r="V480" t="str">
            <v>RICS</v>
          </cell>
          <cell r="W480" t="str">
            <v>IFRS NAV</v>
          </cell>
          <cell r="X480" t="str">
            <v>KPMG</v>
          </cell>
          <cell r="Y480" t="str">
            <v>Limited Partnership</v>
          </cell>
          <cell r="Z480" t="str">
            <v>Yes</v>
          </cell>
          <cell r="AC480" t="str">
            <v>Non-Listed Fund</v>
          </cell>
          <cell r="AD480" t="str">
            <v>Value-added</v>
          </cell>
          <cell r="AE480" t="str">
            <v>finite</v>
          </cell>
          <cell r="AF480" t="str">
            <v>Closed end</v>
          </cell>
          <cell r="AG480">
            <v>14</v>
          </cell>
          <cell r="AH480">
            <v>16</v>
          </cell>
          <cell r="AI480" t="str">
            <v>Gross</v>
          </cell>
          <cell r="AM480" t="str">
            <v>&gt; 60%</v>
          </cell>
          <cell r="AN480" t="str">
            <v>Institutional</v>
          </cell>
          <cell r="AO480" t="str">
            <v>&gt; 2</v>
          </cell>
          <cell r="AP480" t="str">
            <v>≥ 50%</v>
          </cell>
          <cell r="AQ480" t="str">
            <v>Europe</v>
          </cell>
          <cell r="AR480" t="str">
            <v>multi country</v>
          </cell>
          <cell r="AS480" t="str">
            <v>Western Europe</v>
          </cell>
          <cell r="AU480" t="str">
            <v>single sector</v>
          </cell>
          <cell r="AV480" t="str">
            <v>Office</v>
          </cell>
          <cell r="AW480">
            <v>500000000</v>
          </cell>
          <cell r="AY480">
            <v>2015</v>
          </cell>
          <cell r="AZ480">
            <v>2023</v>
          </cell>
          <cell r="BA480" t="str">
            <v>Yes</v>
          </cell>
          <cell r="BB480" t="str">
            <v>Yes</v>
          </cell>
          <cell r="BC480" t="str">
            <v>1+1+1 years</v>
          </cell>
          <cell r="BD480" t="str">
            <v>No</v>
          </cell>
          <cell r="BH480" t="str">
            <v>2020-12-31</v>
          </cell>
          <cell r="BI480">
            <v>63165262</v>
          </cell>
          <cell r="BJ480">
            <v>63165262</v>
          </cell>
          <cell r="BK480">
            <v>26189450</v>
          </cell>
          <cell r="BL480">
            <v>26189450</v>
          </cell>
          <cell r="BM480">
            <v>0</v>
          </cell>
          <cell r="BN480" t="str">
            <v>Yes</v>
          </cell>
          <cell r="BO480" t="str">
            <v>Internal</v>
          </cell>
          <cell r="BP480">
            <v>0</v>
          </cell>
          <cell r="BQ480">
            <v>0</v>
          </cell>
          <cell r="BR480">
            <v>484800000</v>
          </cell>
          <cell r="BS480">
            <v>484800000</v>
          </cell>
          <cell r="BT480">
            <v>458100000</v>
          </cell>
          <cell r="BU480">
            <v>458100000</v>
          </cell>
          <cell r="BV480" t="str">
            <v>No</v>
          </cell>
        </row>
        <row r="481">
          <cell r="A481">
            <v>19265</v>
          </cell>
          <cell r="B481" t="str">
            <v>TISHMAN SPEYER EUROPEAN REAL ESTATE VENTURE VIII</v>
          </cell>
          <cell r="C481" t="str">
            <v>TISHMAN SPEYER</v>
          </cell>
          <cell r="D481" t="str">
            <v>34-38, Avenue de la Liberte</v>
          </cell>
          <cell r="F481" t="str">
            <v>Luxembourg</v>
          </cell>
          <cell r="G481" t="str">
            <v>Luxembourg</v>
          </cell>
          <cell r="Q481" t="str">
            <v>Luxembourg</v>
          </cell>
          <cell r="R481" t="str">
            <v>EUR</v>
          </cell>
          <cell r="S481" t="str">
            <v>IFRS</v>
          </cell>
          <cell r="T481" t="str">
            <v>Quarterly</v>
          </cell>
          <cell r="U481" t="str">
            <v>Quarterly</v>
          </cell>
          <cell r="V481" t="str">
            <v>RICS</v>
          </cell>
          <cell r="Y481" t="str">
            <v>Limited Partnership</v>
          </cell>
          <cell r="Z481" t="str">
            <v>No</v>
          </cell>
          <cell r="AC481" t="str">
            <v>Non-Listed Fund</v>
          </cell>
          <cell r="AD481" t="str">
            <v>Value-added</v>
          </cell>
          <cell r="AE481" t="str">
            <v>finite</v>
          </cell>
          <cell r="AF481" t="str">
            <v>Closed end</v>
          </cell>
          <cell r="AG481">
            <v>11</v>
          </cell>
          <cell r="AH481">
            <v>13</v>
          </cell>
          <cell r="AI481" t="str">
            <v>Net</v>
          </cell>
          <cell r="AM481" t="str">
            <v>&gt; 60%</v>
          </cell>
          <cell r="AN481" t="str">
            <v>Institutional</v>
          </cell>
          <cell r="AO481" t="str">
            <v>&gt; 2</v>
          </cell>
          <cell r="AP481" t="str">
            <v>≥ 50%</v>
          </cell>
          <cell r="AQ481" t="str">
            <v>Europe</v>
          </cell>
          <cell r="AR481" t="str">
            <v>multi country</v>
          </cell>
          <cell r="AS481" t="str">
            <v>Western Europe</v>
          </cell>
          <cell r="AU481" t="str">
            <v>multi sector</v>
          </cell>
          <cell r="AY481">
            <v>2017</v>
          </cell>
          <cell r="BA481" t="str">
            <v>Yes</v>
          </cell>
          <cell r="BG481" t="str">
            <v>&gt; 25%</v>
          </cell>
          <cell r="BH481" t="str">
            <v>2020-12-31</v>
          </cell>
          <cell r="BI481">
            <v>480782768</v>
          </cell>
          <cell r="BJ481">
            <v>480782768</v>
          </cell>
          <cell r="BK481">
            <v>132295017</v>
          </cell>
          <cell r="BL481">
            <v>132295017</v>
          </cell>
          <cell r="BM481">
            <v>60</v>
          </cell>
          <cell r="BN481" t="str">
            <v>Yes</v>
          </cell>
          <cell r="BO481" t="str">
            <v>Internal</v>
          </cell>
          <cell r="BP481">
            <v>0</v>
          </cell>
          <cell r="BQ481">
            <v>6</v>
          </cell>
          <cell r="BR481">
            <v>750247983</v>
          </cell>
          <cell r="BS481">
            <v>750247983</v>
          </cell>
          <cell r="BT481">
            <v>160525020</v>
          </cell>
          <cell r="BU481">
            <v>160525020</v>
          </cell>
          <cell r="BV481" t="str">
            <v>No</v>
          </cell>
          <cell r="BW481" t="str">
            <v>France</v>
          </cell>
          <cell r="BX481" t="str">
            <v>Office</v>
          </cell>
          <cell r="BY481">
            <v>87</v>
          </cell>
          <cell r="BZ481" t="str">
            <v>Germany</v>
          </cell>
          <cell r="CA481" t="str">
            <v>Office</v>
          </cell>
          <cell r="CB481">
            <v>8</v>
          </cell>
          <cell r="CC481" t="str">
            <v>Spain</v>
          </cell>
          <cell r="CD481" t="str">
            <v>Office</v>
          </cell>
          <cell r="CE481">
            <v>5</v>
          </cell>
        </row>
        <row r="482">
          <cell r="A482">
            <v>19582</v>
          </cell>
          <cell r="B482" t="str">
            <v xml:space="preserve">TRANSEUROPEAN PROPERTY VII </v>
          </cell>
          <cell r="C482" t="str">
            <v>PATRIZIA PROPERTY INVESTMENT MANAGERS LLP</v>
          </cell>
          <cell r="D482" t="str">
            <v>166 Sloane Street</v>
          </cell>
          <cell r="E482" t="str">
            <v>SW1X 9QF</v>
          </cell>
          <cell r="F482" t="str">
            <v>London</v>
          </cell>
          <cell r="G482" t="str">
            <v>United Kingdom</v>
          </cell>
          <cell r="H482" t="str">
            <v>+442077613300</v>
          </cell>
          <cell r="K482" t="str">
            <v>Charles Tarriere</v>
          </cell>
          <cell r="L482" t="str">
            <v>Charles.Tarriere@patrizia.ag</v>
          </cell>
          <cell r="M482" t="str">
            <v>+442077613385</v>
          </cell>
          <cell r="Q482" t="str">
            <v>United Kingdom</v>
          </cell>
          <cell r="R482" t="str">
            <v>EUR</v>
          </cell>
          <cell r="S482" t="str">
            <v>IFRS</v>
          </cell>
          <cell r="T482" t="str">
            <v>Quarterly</v>
          </cell>
          <cell r="U482" t="str">
            <v>Quarterly</v>
          </cell>
          <cell r="V482" t="str">
            <v>RICS</v>
          </cell>
          <cell r="W482" t="str">
            <v>INREV NAV</v>
          </cell>
          <cell r="Y482" t="str">
            <v>Limited Partnership</v>
          </cell>
          <cell r="Z482" t="str">
            <v>Yes</v>
          </cell>
          <cell r="AB482">
            <v>0</v>
          </cell>
          <cell r="AC482" t="str">
            <v>Non-Listed Fund</v>
          </cell>
          <cell r="AD482" t="str">
            <v>Value-added</v>
          </cell>
          <cell r="AE482" t="str">
            <v>finite</v>
          </cell>
          <cell r="AF482" t="str">
            <v>Closed end</v>
          </cell>
          <cell r="AI482" t="str">
            <v>Net</v>
          </cell>
          <cell r="AM482" t="str">
            <v>&gt; 40% - ≤ 60%</v>
          </cell>
          <cell r="AN482" t="str">
            <v>Institutional</v>
          </cell>
          <cell r="AO482" t="str">
            <v>&gt; 2</v>
          </cell>
          <cell r="AP482" t="str">
            <v>≥ 50%</v>
          </cell>
          <cell r="AQ482" t="str">
            <v>Europe</v>
          </cell>
          <cell r="AR482" t="str">
            <v>multi country</v>
          </cell>
          <cell r="AS482" t="str">
            <v>Europe</v>
          </cell>
          <cell r="AU482" t="str">
            <v>multi sector</v>
          </cell>
          <cell r="AY482">
            <v>2018</v>
          </cell>
          <cell r="BD482" t="str">
            <v>No</v>
          </cell>
          <cell r="BH482" t="str">
            <v>2020-12-31</v>
          </cell>
          <cell r="BI482">
            <v>624276442</v>
          </cell>
          <cell r="BJ482">
            <v>624276442</v>
          </cell>
          <cell r="BK482">
            <v>323014074</v>
          </cell>
          <cell r="BL482">
            <v>323014074</v>
          </cell>
          <cell r="BM482">
            <v>43.68</v>
          </cell>
          <cell r="BN482" t="str">
            <v>No</v>
          </cell>
          <cell r="BO482" t="str">
            <v>External</v>
          </cell>
          <cell r="BP482">
            <v>13</v>
          </cell>
          <cell r="BQ482">
            <v>13</v>
          </cell>
          <cell r="BR482">
            <v>735280000</v>
          </cell>
          <cell r="BS482">
            <v>735280000</v>
          </cell>
          <cell r="BT482">
            <v>253714929</v>
          </cell>
          <cell r="BU482">
            <v>253714929</v>
          </cell>
          <cell r="BV482" t="str">
            <v>No</v>
          </cell>
          <cell r="BW482" t="str">
            <v>Denmark</v>
          </cell>
          <cell r="BX482" t="str">
            <v>Office</v>
          </cell>
          <cell r="BY482">
            <v>2.7</v>
          </cell>
          <cell r="BZ482" t="str">
            <v>United Kingdom</v>
          </cell>
          <cell r="CA482" t="str">
            <v>Office</v>
          </cell>
          <cell r="CB482">
            <v>12.4</v>
          </cell>
          <cell r="CC482" t="str">
            <v>Germany</v>
          </cell>
          <cell r="CD482" t="str">
            <v>Office</v>
          </cell>
          <cell r="CE482">
            <v>20.399999999999999</v>
          </cell>
          <cell r="CF482" t="str">
            <v>United Kingdom</v>
          </cell>
          <cell r="CG482" t="str">
            <v>Retail</v>
          </cell>
          <cell r="CH482">
            <v>10.1</v>
          </cell>
          <cell r="CI482" t="str">
            <v>France</v>
          </cell>
          <cell r="CJ482" t="str">
            <v>Industrial / Logistics</v>
          </cell>
          <cell r="CK482">
            <v>14</v>
          </cell>
          <cell r="CL482" t="str">
            <v>France</v>
          </cell>
          <cell r="CM482" t="str">
            <v>Office</v>
          </cell>
          <cell r="CN482">
            <v>7.3</v>
          </cell>
          <cell r="CO482" t="str">
            <v>Spain</v>
          </cell>
          <cell r="CP482" t="str">
            <v>Office</v>
          </cell>
          <cell r="CQ482">
            <v>8.9</v>
          </cell>
          <cell r="CR482" t="str">
            <v>Spain</v>
          </cell>
          <cell r="CS482" t="str">
            <v>Industrial / Logistics</v>
          </cell>
          <cell r="CT482">
            <v>7.3</v>
          </cell>
        </row>
        <row r="483">
          <cell r="A483">
            <v>18590</v>
          </cell>
          <cell r="B483" t="str">
            <v>TREVIAN FINLAND PROPERTIES I</v>
          </cell>
          <cell r="C483" t="str">
            <v>TREVIAN FUNDS AIFM</v>
          </cell>
          <cell r="D483" t="str">
            <v>Pohjoisesplanadi 35 E</v>
          </cell>
          <cell r="E483">
            <v>100</v>
          </cell>
          <cell r="F483" t="str">
            <v>Helsinki</v>
          </cell>
          <cell r="G483" t="str">
            <v>Finland</v>
          </cell>
          <cell r="H483" t="str">
            <v>+358105813850</v>
          </cell>
          <cell r="J483" t="str">
            <v>https://trevian.fi/</v>
          </cell>
          <cell r="K483" t="str">
            <v>Risto Aro</v>
          </cell>
          <cell r="L483" t="str">
            <v>risto.aro@trevianrahastot.fi</v>
          </cell>
          <cell r="N483" t="str">
            <v>Jussipekka Aumo</v>
          </cell>
          <cell r="O483" t="str">
            <v>jussipekka.aumo@trevianrahastot.fi</v>
          </cell>
          <cell r="P483" t="str">
            <v>+358504280668</v>
          </cell>
          <cell r="Q483" t="str">
            <v>Finland</v>
          </cell>
          <cell r="R483" t="str">
            <v>EUR</v>
          </cell>
          <cell r="S483" t="str">
            <v>Local GAAP</v>
          </cell>
          <cell r="T483" t="str">
            <v>Quarterly</v>
          </cell>
          <cell r="U483" t="str">
            <v>Quarterly</v>
          </cell>
          <cell r="V483" t="str">
            <v>RICS</v>
          </cell>
          <cell r="X483" t="str">
            <v>KPMG</v>
          </cell>
          <cell r="Y483" t="str">
            <v>Real Estate Fund</v>
          </cell>
          <cell r="AC483" t="str">
            <v>Non-Listed Fund</v>
          </cell>
          <cell r="AD483" t="str">
            <v>Value-added</v>
          </cell>
          <cell r="AE483" t="str">
            <v>infinite</v>
          </cell>
          <cell r="AF483" t="str">
            <v>Open end</v>
          </cell>
          <cell r="AL483">
            <v>45</v>
          </cell>
          <cell r="AM483" t="str">
            <v>&gt; 40% - ≤ 60%</v>
          </cell>
          <cell r="AN483" t="str">
            <v>Institutional</v>
          </cell>
          <cell r="AO483" t="str">
            <v>&gt; 2</v>
          </cell>
          <cell r="AP483" t="str">
            <v>≥ 50%</v>
          </cell>
          <cell r="AQ483" t="str">
            <v>Europe</v>
          </cell>
          <cell r="AR483" t="str">
            <v>single country</v>
          </cell>
          <cell r="AT483" t="str">
            <v>Finland</v>
          </cell>
          <cell r="AU483" t="str">
            <v>multi sector</v>
          </cell>
          <cell r="AW483">
            <v>500000000</v>
          </cell>
          <cell r="AX483">
            <v>800000000</v>
          </cell>
          <cell r="AY483">
            <v>2017</v>
          </cell>
          <cell r="BE483" t="str">
            <v>≥ 60%</v>
          </cell>
          <cell r="BF483" t="str">
            <v>≤ 15%</v>
          </cell>
          <cell r="BG483" t="str">
            <v>&gt; 5 - ≤ 25%</v>
          </cell>
          <cell r="BH483" t="str">
            <v>2019-09-30</v>
          </cell>
          <cell r="BI483">
            <v>254404222.38999999</v>
          </cell>
          <cell r="BJ483">
            <v>254404222.38999999</v>
          </cell>
          <cell r="BK483">
            <v>169217988.84999999</v>
          </cell>
          <cell r="BL483">
            <v>169217988.84999999</v>
          </cell>
          <cell r="BM483">
            <v>31.3</v>
          </cell>
          <cell r="BN483" t="str">
            <v>Yes</v>
          </cell>
          <cell r="BO483" t="str">
            <v>External</v>
          </cell>
          <cell r="BS483">
            <v>0</v>
          </cell>
          <cell r="BW483" t="str">
            <v>Finland</v>
          </cell>
          <cell r="BX483" t="str">
            <v>Mixed</v>
          </cell>
          <cell r="BY483">
            <v>97.3</v>
          </cell>
        </row>
        <row r="484">
          <cell r="A484">
            <v>478</v>
          </cell>
          <cell r="B484" t="str">
            <v>TRITON PROPERTY FUND LP</v>
          </cell>
          <cell r="C484" t="str">
            <v>UBS ASSET MANAGEMENT FUNDS LTD</v>
          </cell>
          <cell r="D484" t="str">
            <v>5 Broadgate</v>
          </cell>
          <cell r="E484" t="str">
            <v>EC2M 2QS</v>
          </cell>
          <cell r="F484" t="str">
            <v>London</v>
          </cell>
          <cell r="G484" t="str">
            <v>United Kingdom</v>
          </cell>
          <cell r="H484" t="str">
            <v>+44 (0) 20 7567 8000</v>
          </cell>
          <cell r="J484" t="str">
            <v>http://www.ubs.com</v>
          </cell>
          <cell r="K484" t="str">
            <v>Jonathan Hollick</v>
          </cell>
          <cell r="L484" t="str">
            <v>jonathan.hollick@ubs.com</v>
          </cell>
          <cell r="M484" t="str">
            <v>+44 20 79015988</v>
          </cell>
          <cell r="N484" t="str">
            <v>Eoin Bastible</v>
          </cell>
          <cell r="O484" t="str">
            <v>eoin.bastible@ubs.com</v>
          </cell>
          <cell r="P484" t="str">
            <v>+44 20 79015204</v>
          </cell>
          <cell r="Q484" t="str">
            <v>United Kingdom</v>
          </cell>
          <cell r="R484" t="str">
            <v>GBP</v>
          </cell>
          <cell r="S484" t="str">
            <v>IFRS</v>
          </cell>
          <cell r="T484" t="str">
            <v>Annually</v>
          </cell>
          <cell r="U484" t="str">
            <v>Monthly</v>
          </cell>
          <cell r="V484" t="str">
            <v>RICS</v>
          </cell>
          <cell r="W484" t="str">
            <v>IFRS NAV</v>
          </cell>
          <cell r="X484" t="str">
            <v>Ernst &amp; Young</v>
          </cell>
          <cell r="Y484" t="str">
            <v>Limited Partnership</v>
          </cell>
          <cell r="Z484" t="str">
            <v>No</v>
          </cell>
          <cell r="AA484" t="str">
            <v>Yes</v>
          </cell>
          <cell r="AB484">
            <v>3</v>
          </cell>
          <cell r="AC484" t="str">
            <v>Non-Listed Fund</v>
          </cell>
          <cell r="AD484" t="str">
            <v>Core</v>
          </cell>
          <cell r="AE484" t="str">
            <v>finite</v>
          </cell>
          <cell r="AF484" t="str">
            <v>Open end</v>
          </cell>
          <cell r="AJ484" t="str">
            <v>MSCI/AREF UK Quarterly Property Fund Indices All Balanced Funds Index Weighted Average</v>
          </cell>
          <cell r="AL484">
            <v>10</v>
          </cell>
          <cell r="AM484" t="str">
            <v>≤ 40%</v>
          </cell>
          <cell r="AN484" t="str">
            <v>Institutional</v>
          </cell>
          <cell r="AO484" t="str">
            <v>&gt; 2</v>
          </cell>
          <cell r="AP484" t="str">
            <v>≥ 50%</v>
          </cell>
          <cell r="AQ484" t="str">
            <v>Europe</v>
          </cell>
          <cell r="AR484" t="str">
            <v>single country</v>
          </cell>
          <cell r="AT484" t="str">
            <v>United Kingdom</v>
          </cell>
          <cell r="AU484" t="str">
            <v>multi sector</v>
          </cell>
          <cell r="AY484">
            <v>1994</v>
          </cell>
          <cell r="AZ484">
            <v>2070</v>
          </cell>
          <cell r="BA484" t="str">
            <v>No</v>
          </cell>
          <cell r="BB484" t="str">
            <v>No</v>
          </cell>
          <cell r="BD484" t="str">
            <v>Yes</v>
          </cell>
          <cell r="BG484" t="str">
            <v>&gt; 5 - ≤ 25%</v>
          </cell>
          <cell r="BH484" t="str">
            <v>2020-12-31</v>
          </cell>
          <cell r="BI484">
            <v>939381744.47000003</v>
          </cell>
          <cell r="BJ484">
            <v>1038532637.45833</v>
          </cell>
          <cell r="BK484">
            <v>883622233.47000003</v>
          </cell>
          <cell r="BL484">
            <v>976887760.53463721</v>
          </cell>
          <cell r="BM484">
            <v>5.9357669370000004</v>
          </cell>
          <cell r="BN484" t="str">
            <v>No</v>
          </cell>
          <cell r="BO484" t="str">
            <v>External</v>
          </cell>
          <cell r="BP484">
            <v>55</v>
          </cell>
          <cell r="BQ484">
            <v>29</v>
          </cell>
          <cell r="BS484">
            <v>0</v>
          </cell>
          <cell r="BV484" t="str">
            <v>Yes</v>
          </cell>
          <cell r="BW484" t="str">
            <v>United Kingdom</v>
          </cell>
          <cell r="BX484" t="str">
            <v>Leisure</v>
          </cell>
          <cell r="BY484">
            <v>2.48</v>
          </cell>
          <cell r="BZ484" t="str">
            <v>United Kingdom</v>
          </cell>
          <cell r="CA484" t="str">
            <v>Student Housing</v>
          </cell>
          <cell r="CB484">
            <v>9.99</v>
          </cell>
          <cell r="CC484" t="str">
            <v>United Kingdom</v>
          </cell>
          <cell r="CD484" t="str">
            <v>Industrial / Logistics</v>
          </cell>
          <cell r="CE484">
            <v>43.62</v>
          </cell>
          <cell r="CF484" t="str">
            <v>United Kingdom</v>
          </cell>
          <cell r="CG484" t="str">
            <v>Retail</v>
          </cell>
          <cell r="CH484">
            <v>20.190000000000001</v>
          </cell>
          <cell r="CI484" t="str">
            <v>United Kingdom</v>
          </cell>
          <cell r="CJ484" t="str">
            <v>Office</v>
          </cell>
          <cell r="CK484">
            <v>23.44</v>
          </cell>
        </row>
        <row r="485">
          <cell r="A485">
            <v>18390</v>
          </cell>
          <cell r="B485" t="str">
            <v>TRIUVA GARBE LOGISTIK EUROPA</v>
          </cell>
          <cell r="G485" t="str">
            <v>Germany</v>
          </cell>
          <cell r="Q485" t="str">
            <v>Germany</v>
          </cell>
          <cell r="R485" t="str">
            <v>EUR</v>
          </cell>
          <cell r="T485" t="str">
            <v>Quarterly</v>
          </cell>
          <cell r="U485" t="str">
            <v>Quarterly</v>
          </cell>
          <cell r="W485" t="str">
            <v>German Special Fund Investment Law GAAP</v>
          </cell>
          <cell r="Y485" t="str">
            <v>Spezialfonds</v>
          </cell>
          <cell r="AC485" t="str">
            <v>Non-Listed Fund</v>
          </cell>
          <cell r="AD485" t="str">
            <v>Core</v>
          </cell>
          <cell r="AE485" t="str">
            <v>infinite</v>
          </cell>
          <cell r="AF485" t="str">
            <v>Open end</v>
          </cell>
          <cell r="AM485" t="str">
            <v>≤ 40%</v>
          </cell>
          <cell r="AN485" t="str">
            <v>Institutional</v>
          </cell>
          <cell r="AO485" t="str">
            <v>&gt; 2</v>
          </cell>
          <cell r="AP485" t="str">
            <v>≥ 50%</v>
          </cell>
          <cell r="AQ485" t="str">
            <v>Europe</v>
          </cell>
          <cell r="AR485" t="str">
            <v>multi country</v>
          </cell>
          <cell r="AS485" t="str">
            <v>Europe</v>
          </cell>
          <cell r="AU485" t="str">
            <v>single sector</v>
          </cell>
          <cell r="AV485" t="str">
            <v>Industrial / Logistics</v>
          </cell>
          <cell r="AY485">
            <v>2017</v>
          </cell>
          <cell r="BH485" t="str">
            <v>2020-12-31</v>
          </cell>
          <cell r="BI485">
            <v>208732687.12</v>
          </cell>
          <cell r="BJ485">
            <v>208732687.12</v>
          </cell>
          <cell r="BK485">
            <v>208732687.12</v>
          </cell>
          <cell r="BL485">
            <v>208732687.12</v>
          </cell>
          <cell r="BM485">
            <v>0</v>
          </cell>
          <cell r="BN485" t="str">
            <v>No</v>
          </cell>
          <cell r="BO485" t="str">
            <v>Internal</v>
          </cell>
          <cell r="BP485">
            <v>5</v>
          </cell>
          <cell r="BQ485">
            <v>9</v>
          </cell>
          <cell r="BR485">
            <v>0</v>
          </cell>
          <cell r="BS485">
            <v>0</v>
          </cell>
          <cell r="BT485">
            <v>0</v>
          </cell>
          <cell r="BV485" t="str">
            <v>No</v>
          </cell>
          <cell r="BW485" t="str">
            <v>France</v>
          </cell>
          <cell r="BX485" t="str">
            <v>Industrial / Logistics</v>
          </cell>
          <cell r="BY485">
            <v>27.62</v>
          </cell>
          <cell r="BZ485" t="str">
            <v>Netherlands</v>
          </cell>
          <cell r="CA485" t="str">
            <v>Industrial / Logistics</v>
          </cell>
          <cell r="CB485">
            <v>34.1</v>
          </cell>
          <cell r="CC485" t="str">
            <v>Germany</v>
          </cell>
          <cell r="CD485" t="str">
            <v>Industrial / Logistics</v>
          </cell>
          <cell r="CE485">
            <v>38.28</v>
          </cell>
        </row>
        <row r="486">
          <cell r="A486">
            <v>471</v>
          </cell>
          <cell r="B486" t="str">
            <v>UBS (D) 3 SECTOR REAL ESTATE EUROPE</v>
          </cell>
          <cell r="C486" t="str">
            <v>UBS REAL ESTATE GMBH ON BEHALF OF CACEIS BANK DEUTSCHLAND GMBH</v>
          </cell>
          <cell r="D486" t="str">
            <v>Theatinerstrasse 16</v>
          </cell>
          <cell r="E486">
            <v>80333</v>
          </cell>
          <cell r="F486" t="str">
            <v>Munich</v>
          </cell>
          <cell r="G486" t="str">
            <v>Germany</v>
          </cell>
          <cell r="H486" t="str">
            <v>+49892060950</v>
          </cell>
          <cell r="I486" t="str">
            <v>+4989206095200</v>
          </cell>
          <cell r="J486" t="str">
            <v>http://www.3-sector-real-estate-europe.de</v>
          </cell>
          <cell r="K486" t="str">
            <v>Anita Koch</v>
          </cell>
          <cell r="L486" t="str">
            <v>anita.koch@ubs.com</v>
          </cell>
          <cell r="M486" t="str">
            <v>+4989206095107</v>
          </cell>
          <cell r="N486" t="str">
            <v>Hubert Kirchberger</v>
          </cell>
          <cell r="O486" t="str">
            <v>anita.koch@ubs.com</v>
          </cell>
          <cell r="P486" t="str">
            <v>+4989206095280</v>
          </cell>
          <cell r="Q486" t="str">
            <v>Germany</v>
          </cell>
          <cell r="R486" t="str">
            <v>EUR</v>
          </cell>
          <cell r="T486" t="str">
            <v>Twice per year</v>
          </cell>
          <cell r="U486" t="str">
            <v>Annually</v>
          </cell>
          <cell r="W486" t="str">
            <v>KAGB</v>
          </cell>
          <cell r="X486" t="str">
            <v>Ernst &amp; Young GmbH</v>
          </cell>
          <cell r="Y486" t="str">
            <v>Publikumsfonds</v>
          </cell>
          <cell r="Z486" t="str">
            <v>No</v>
          </cell>
          <cell r="AB486">
            <v>0</v>
          </cell>
          <cell r="AC486" t="str">
            <v>Non-Listed Fund</v>
          </cell>
          <cell r="AD486" t="str">
            <v>Core</v>
          </cell>
          <cell r="AE486" t="str">
            <v>infinite</v>
          </cell>
          <cell r="AF486" t="str">
            <v>Open end</v>
          </cell>
          <cell r="AG486">
            <v>4</v>
          </cell>
          <cell r="AH486">
            <v>6</v>
          </cell>
          <cell r="AI486" t="str">
            <v>Net</v>
          </cell>
          <cell r="AK486">
            <v>4</v>
          </cell>
          <cell r="AL486">
            <v>0</v>
          </cell>
          <cell r="AN486" t="str">
            <v>Institutional and Retail</v>
          </cell>
          <cell r="AO486" t="str">
            <v>&gt; 2</v>
          </cell>
          <cell r="AP486" t="str">
            <v>≥ 50%</v>
          </cell>
          <cell r="AQ486" t="str">
            <v>Europe</v>
          </cell>
          <cell r="AR486" t="str">
            <v>multi country</v>
          </cell>
          <cell r="AS486" t="str">
            <v>Europe</v>
          </cell>
          <cell r="AU486" t="str">
            <v>multi sector</v>
          </cell>
          <cell r="AW486">
            <v>0</v>
          </cell>
          <cell r="AX486">
            <v>0</v>
          </cell>
          <cell r="AY486">
            <v>2003</v>
          </cell>
          <cell r="BH486" t="str">
            <v>2020-12-31</v>
          </cell>
          <cell r="BI486">
            <v>15163173</v>
          </cell>
          <cell r="BJ486">
            <v>15163173</v>
          </cell>
          <cell r="BK486">
            <v>14422481</v>
          </cell>
          <cell r="BL486">
            <v>14422481</v>
          </cell>
          <cell r="BM486">
            <v>0</v>
          </cell>
          <cell r="BN486" t="str">
            <v>No</v>
          </cell>
          <cell r="BO486" t="str">
            <v>External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V486" t="str">
            <v>No</v>
          </cell>
        </row>
        <row r="487">
          <cell r="A487">
            <v>613</v>
          </cell>
          <cell r="B487" t="str">
            <v>UBS (D) CORE OPPORTUNITIES EUROPE</v>
          </cell>
          <cell r="C487" t="str">
            <v>UBS REAL ESTATE GMBH</v>
          </cell>
          <cell r="D487" t="str">
            <v>Theatinerstr. 16</v>
          </cell>
          <cell r="E487" t="str">
            <v>D-80333</v>
          </cell>
          <cell r="F487" t="str">
            <v>Munich</v>
          </cell>
          <cell r="G487" t="str">
            <v>Germany</v>
          </cell>
          <cell r="H487" t="str">
            <v>+49-89-20 60 95 0</v>
          </cell>
          <cell r="I487" t="str">
            <v>+49-89-20 60 95-200</v>
          </cell>
          <cell r="J487" t="str">
            <v>http://www.ubs.com</v>
          </cell>
          <cell r="K487" t="str">
            <v>Anna Dorothea Koestler</v>
          </cell>
          <cell r="L487" t="str">
            <v>anna.dorothea.koestler@ubs.com</v>
          </cell>
          <cell r="M487" t="str">
            <v>+49-89-20 60 95-146</v>
          </cell>
          <cell r="N487" t="str">
            <v>Anna Dorothea Koestler</v>
          </cell>
          <cell r="O487" t="str">
            <v>anna-dorothea.koestler@ubs.com</v>
          </cell>
          <cell r="P487" t="str">
            <v>+49-89-20 60 95-200</v>
          </cell>
          <cell r="Q487" t="str">
            <v>Germany</v>
          </cell>
          <cell r="R487" t="str">
            <v>EUR</v>
          </cell>
          <cell r="T487" t="str">
            <v>Monthly</v>
          </cell>
          <cell r="U487" t="str">
            <v>Annually</v>
          </cell>
          <cell r="W487" t="str">
            <v>KAGB</v>
          </cell>
          <cell r="X487" t="str">
            <v>Ernst &amp; Young</v>
          </cell>
          <cell r="Y487" t="str">
            <v>Spezialfonds</v>
          </cell>
          <cell r="Z487" t="str">
            <v>No</v>
          </cell>
          <cell r="AB487">
            <v>0</v>
          </cell>
          <cell r="AC487" t="str">
            <v>Non-Listed Fund</v>
          </cell>
          <cell r="AD487" t="str">
            <v>Core</v>
          </cell>
          <cell r="AE487" t="str">
            <v>infinite</v>
          </cell>
          <cell r="AF487" t="str">
            <v>Open end</v>
          </cell>
          <cell r="AG487">
            <v>5</v>
          </cell>
          <cell r="AJ487" t="str">
            <v>IPD SFIX</v>
          </cell>
          <cell r="AK487">
            <v>4.5</v>
          </cell>
          <cell r="AL487">
            <v>40</v>
          </cell>
          <cell r="AM487" t="str">
            <v>&gt; 40% - ≤ 60%</v>
          </cell>
          <cell r="AN487" t="str">
            <v>Institutional</v>
          </cell>
          <cell r="AO487" t="str">
            <v>&gt; 2</v>
          </cell>
          <cell r="AP487" t="str">
            <v>≥ 50%</v>
          </cell>
          <cell r="AQ487" t="str">
            <v>Europe</v>
          </cell>
          <cell r="AR487" t="str">
            <v>multi country</v>
          </cell>
          <cell r="AS487" t="str">
            <v>Europe</v>
          </cell>
          <cell r="AU487" t="str">
            <v>multi sector</v>
          </cell>
          <cell r="AY487">
            <v>2011</v>
          </cell>
          <cell r="BH487" t="str">
            <v>2020-12-31</v>
          </cell>
          <cell r="BI487">
            <v>283201903</v>
          </cell>
          <cell r="BJ487">
            <v>283201903</v>
          </cell>
          <cell r="BK487">
            <v>167265861</v>
          </cell>
          <cell r="BL487">
            <v>167265861</v>
          </cell>
          <cell r="BM487">
            <v>41.7</v>
          </cell>
          <cell r="BN487" t="str">
            <v>No</v>
          </cell>
          <cell r="BO487" t="str">
            <v>External</v>
          </cell>
          <cell r="BP487">
            <v>0</v>
          </cell>
          <cell r="BQ487">
            <v>6</v>
          </cell>
          <cell r="BR487">
            <v>0</v>
          </cell>
          <cell r="BS487">
            <v>0</v>
          </cell>
          <cell r="BT487">
            <v>0</v>
          </cell>
          <cell r="BV487" t="str">
            <v>No</v>
          </cell>
          <cell r="BW487" t="str">
            <v>Spain</v>
          </cell>
          <cell r="BX487" t="str">
            <v>Office</v>
          </cell>
          <cell r="BY487">
            <v>39</v>
          </cell>
          <cell r="BZ487" t="str">
            <v>Spain</v>
          </cell>
          <cell r="CA487" t="str">
            <v>Retail</v>
          </cell>
          <cell r="CB487">
            <v>7</v>
          </cell>
          <cell r="CC487" t="str">
            <v>France</v>
          </cell>
          <cell r="CD487" t="str">
            <v>Retail</v>
          </cell>
          <cell r="CE487">
            <v>13</v>
          </cell>
          <cell r="CF487" t="str">
            <v>Germany</v>
          </cell>
          <cell r="CG487" t="str">
            <v>Office</v>
          </cell>
          <cell r="CH487">
            <v>27</v>
          </cell>
          <cell r="CI487" t="str">
            <v>United Kingdom</v>
          </cell>
          <cell r="CJ487" t="str">
            <v>Office</v>
          </cell>
          <cell r="CK487">
            <v>14</v>
          </cell>
        </row>
        <row r="488">
          <cell r="A488">
            <v>472</v>
          </cell>
          <cell r="B488" t="str">
            <v>UBS (D) EUROINVEST IMMOBILIEN I-DIST</v>
          </cell>
          <cell r="C488" t="str">
            <v>UBS REAL ESTATE GMBH</v>
          </cell>
          <cell r="D488" t="str">
            <v>Theatinerstrasse 16</v>
          </cell>
          <cell r="E488">
            <v>80333</v>
          </cell>
          <cell r="F488" t="str">
            <v>Munich</v>
          </cell>
          <cell r="G488" t="str">
            <v>Germany</v>
          </cell>
          <cell r="H488" t="str">
            <v>+49 (0) 89 206 095 0</v>
          </cell>
          <cell r="I488" t="str">
            <v>+49 (0) 89 206 095 200</v>
          </cell>
          <cell r="J488" t="str">
            <v>http://www.ubs.com</v>
          </cell>
          <cell r="K488" t="str">
            <v>Alexander Isak</v>
          </cell>
          <cell r="L488" t="str">
            <v>alexander.isak@ubs.com</v>
          </cell>
          <cell r="M488" t="str">
            <v>+49 (0) 89 20 60 95 124</v>
          </cell>
          <cell r="N488" t="str">
            <v>Hubert Kirchberger</v>
          </cell>
          <cell r="O488" t="str">
            <v>hubert.kirchberger@ubs.com</v>
          </cell>
          <cell r="P488" t="str">
            <v>+49 (0) 89 206 095 280</v>
          </cell>
          <cell r="Q488" t="str">
            <v>Germany</v>
          </cell>
          <cell r="R488" t="str">
            <v>EUR</v>
          </cell>
          <cell r="T488" t="str">
            <v>Twice per year</v>
          </cell>
          <cell r="U488" t="str">
            <v>Quarterly</v>
          </cell>
          <cell r="V488" t="str">
            <v>ImmoWertV</v>
          </cell>
          <cell r="W488" t="str">
            <v>KAGB</v>
          </cell>
          <cell r="X488" t="str">
            <v>Ernst &amp; Young GmbH</v>
          </cell>
          <cell r="Y488" t="str">
            <v>Publikumsfonds</v>
          </cell>
          <cell r="Z488" t="str">
            <v>No</v>
          </cell>
          <cell r="AB488">
            <v>0</v>
          </cell>
          <cell r="AC488" t="str">
            <v>Non-Listed Fund</v>
          </cell>
          <cell r="AD488" t="str">
            <v>Core</v>
          </cell>
          <cell r="AE488" t="str">
            <v>infinite</v>
          </cell>
          <cell r="AF488" t="str">
            <v>Open end</v>
          </cell>
          <cell r="AG488">
            <v>3</v>
          </cell>
          <cell r="AH488">
            <v>5</v>
          </cell>
          <cell r="AI488" t="str">
            <v>Net</v>
          </cell>
          <cell r="AK488">
            <v>2</v>
          </cell>
          <cell r="AL488">
            <v>30</v>
          </cell>
          <cell r="AM488" t="str">
            <v>≤ 40%</v>
          </cell>
          <cell r="AN488" t="str">
            <v>Institutional</v>
          </cell>
          <cell r="AO488" t="str">
            <v>&gt; 2</v>
          </cell>
          <cell r="AP488" t="str">
            <v>≥ 50%</v>
          </cell>
          <cell r="AQ488" t="str">
            <v>Europe</v>
          </cell>
          <cell r="AR488" t="str">
            <v>multi country</v>
          </cell>
          <cell r="AS488" t="str">
            <v>Europe</v>
          </cell>
          <cell r="AU488" t="str">
            <v>single sector</v>
          </cell>
          <cell r="AV488" t="str">
            <v>Office</v>
          </cell>
          <cell r="AW488">
            <v>800000000</v>
          </cell>
          <cell r="AX488">
            <v>100000000</v>
          </cell>
          <cell r="AY488">
            <v>1999</v>
          </cell>
          <cell r="BH488" t="str">
            <v>2020-12-31</v>
          </cell>
          <cell r="BI488">
            <v>841234994</v>
          </cell>
          <cell r="BJ488">
            <v>841234994</v>
          </cell>
          <cell r="BK488">
            <v>563050900</v>
          </cell>
          <cell r="BL488">
            <v>563050900</v>
          </cell>
          <cell r="BM488">
            <v>29.7</v>
          </cell>
          <cell r="BN488" t="str">
            <v>No</v>
          </cell>
          <cell r="BO488" t="str">
            <v>External</v>
          </cell>
          <cell r="BP488">
            <v>0</v>
          </cell>
          <cell r="BQ488">
            <v>13</v>
          </cell>
          <cell r="BR488">
            <v>0</v>
          </cell>
          <cell r="BS488">
            <v>0</v>
          </cell>
          <cell r="BT488">
            <v>0</v>
          </cell>
          <cell r="BV488" t="str">
            <v>Yes</v>
          </cell>
          <cell r="BW488" t="str">
            <v>Slovakia</v>
          </cell>
          <cell r="BX488" t="str">
            <v>Office</v>
          </cell>
          <cell r="BY488">
            <v>5</v>
          </cell>
          <cell r="BZ488" t="str">
            <v>Italy</v>
          </cell>
          <cell r="CA488" t="str">
            <v>Office</v>
          </cell>
          <cell r="CB488">
            <v>15</v>
          </cell>
          <cell r="CC488" t="str">
            <v>Luxembourg</v>
          </cell>
          <cell r="CD488" t="str">
            <v>Office</v>
          </cell>
          <cell r="CE488">
            <v>16</v>
          </cell>
          <cell r="CF488" t="str">
            <v>Belgium</v>
          </cell>
          <cell r="CG488" t="str">
            <v>Office</v>
          </cell>
          <cell r="CH488">
            <v>15</v>
          </cell>
          <cell r="CI488" t="str">
            <v>Spain</v>
          </cell>
          <cell r="CJ488" t="str">
            <v>Office</v>
          </cell>
          <cell r="CK488">
            <v>19</v>
          </cell>
          <cell r="CL488" t="str">
            <v>France</v>
          </cell>
          <cell r="CM488" t="str">
            <v>Office</v>
          </cell>
          <cell r="CN488">
            <v>30</v>
          </cell>
        </row>
        <row r="489">
          <cell r="A489">
            <v>19270</v>
          </cell>
          <cell r="B489" t="str">
            <v>UBS (D) EUROINVEST IMMOBILIEN P-DIST</v>
          </cell>
          <cell r="C489" t="str">
            <v>UBS REAL ESTATE GMBH</v>
          </cell>
          <cell r="D489" t="str">
            <v>Theatinerstraßsse 16</v>
          </cell>
          <cell r="E489">
            <v>80333</v>
          </cell>
          <cell r="F489" t="str">
            <v>Munich</v>
          </cell>
          <cell r="G489" t="str">
            <v>Germany</v>
          </cell>
          <cell r="H489" t="str">
            <v>+49 (0) 89 206 095 0</v>
          </cell>
          <cell r="I489" t="str">
            <v>+49 (0) 89 206 095 200</v>
          </cell>
          <cell r="J489" t="str">
            <v>http://www.ubs.com/immobilienfonds-deutschland</v>
          </cell>
          <cell r="K489" t="str">
            <v>Alexander Isak</v>
          </cell>
          <cell r="L489" t="str">
            <v>alexander.isak@ubs.com</v>
          </cell>
          <cell r="M489" t="str">
            <v>+49 (0) 89 206 095 124</v>
          </cell>
          <cell r="N489" t="str">
            <v>Anita Koch</v>
          </cell>
          <cell r="O489" t="str">
            <v>anita.koch@ubs.com</v>
          </cell>
          <cell r="P489" t="str">
            <v>+49 (0) 89 206 095 107</v>
          </cell>
          <cell r="Q489" t="str">
            <v>Germany</v>
          </cell>
          <cell r="R489" t="str">
            <v>EUR</v>
          </cell>
          <cell r="S489" t="str">
            <v>KAGB</v>
          </cell>
          <cell r="T489" t="str">
            <v>Twice per year</v>
          </cell>
          <cell r="U489" t="str">
            <v>Quarterly</v>
          </cell>
          <cell r="V489" t="str">
            <v>ImmoWertV</v>
          </cell>
          <cell r="X489" t="str">
            <v>Ernst &amp; Young GmbH</v>
          </cell>
          <cell r="Y489" t="str">
            <v>Publikumsfonds</v>
          </cell>
          <cell r="Z489" t="str">
            <v>No</v>
          </cell>
          <cell r="AC489" t="str">
            <v>Non-Listed Fund</v>
          </cell>
          <cell r="AD489" t="str">
            <v>Core</v>
          </cell>
          <cell r="AE489" t="str">
            <v>infinite</v>
          </cell>
          <cell r="AF489" t="str">
            <v>Open end</v>
          </cell>
          <cell r="AG489">
            <v>3</v>
          </cell>
          <cell r="AH489">
            <v>5</v>
          </cell>
          <cell r="AI489" t="str">
            <v>Net</v>
          </cell>
          <cell r="AK489">
            <v>2</v>
          </cell>
          <cell r="AL489">
            <v>30</v>
          </cell>
          <cell r="AM489" t="str">
            <v>≤ 40%</v>
          </cell>
          <cell r="AN489" t="str">
            <v>Retail</v>
          </cell>
          <cell r="AO489" t="str">
            <v>&gt; 2</v>
          </cell>
          <cell r="AP489" t="str">
            <v>&lt; 50%</v>
          </cell>
          <cell r="AQ489" t="str">
            <v>Europe</v>
          </cell>
          <cell r="AR489" t="str">
            <v>multi country</v>
          </cell>
          <cell r="AS489" t="str">
            <v>Europe</v>
          </cell>
          <cell r="AU489" t="str">
            <v>single sector</v>
          </cell>
          <cell r="AV489" t="str">
            <v>Office</v>
          </cell>
          <cell r="AW489">
            <v>800000000</v>
          </cell>
          <cell r="AX489">
            <v>1000000000</v>
          </cell>
          <cell r="AY489">
            <v>2019</v>
          </cell>
          <cell r="BH489" t="str">
            <v>2020-12-31</v>
          </cell>
          <cell r="BI489">
            <v>12088765</v>
          </cell>
          <cell r="BJ489">
            <v>12088765</v>
          </cell>
          <cell r="BK489">
            <v>8088043</v>
          </cell>
          <cell r="BL489">
            <v>8088043</v>
          </cell>
          <cell r="BM489">
            <v>29.7</v>
          </cell>
          <cell r="BN489" t="str">
            <v>No</v>
          </cell>
          <cell r="BO489" t="str">
            <v>External</v>
          </cell>
          <cell r="BP489">
            <v>0</v>
          </cell>
          <cell r="BQ489">
            <v>13</v>
          </cell>
          <cell r="BR489">
            <v>8088043</v>
          </cell>
          <cell r="BS489">
            <v>8088043</v>
          </cell>
          <cell r="BT489">
            <v>8088043</v>
          </cell>
          <cell r="BU489">
            <v>8088043</v>
          </cell>
          <cell r="BV489" t="str">
            <v>Yes</v>
          </cell>
          <cell r="BW489" t="str">
            <v>Slovakia</v>
          </cell>
          <cell r="BX489" t="str">
            <v>Office</v>
          </cell>
          <cell r="BY489">
            <v>5</v>
          </cell>
          <cell r="BZ489" t="str">
            <v>Italy</v>
          </cell>
          <cell r="CA489" t="str">
            <v>Office</v>
          </cell>
          <cell r="CB489">
            <v>15</v>
          </cell>
          <cell r="CC489" t="str">
            <v>Luxembourg</v>
          </cell>
          <cell r="CD489" t="str">
            <v>Office</v>
          </cell>
          <cell r="CE489">
            <v>16</v>
          </cell>
          <cell r="CF489" t="str">
            <v>Belgium</v>
          </cell>
          <cell r="CG489" t="str">
            <v>Office</v>
          </cell>
          <cell r="CH489">
            <v>15</v>
          </cell>
          <cell r="CI489" t="str">
            <v>Spain</v>
          </cell>
          <cell r="CJ489" t="str">
            <v>Office</v>
          </cell>
          <cell r="CK489">
            <v>19</v>
          </cell>
          <cell r="CL489" t="str">
            <v>France</v>
          </cell>
          <cell r="CM489" t="str">
            <v>Office</v>
          </cell>
          <cell r="CN489">
            <v>30</v>
          </cell>
        </row>
        <row r="490">
          <cell r="A490">
            <v>19269</v>
          </cell>
          <cell r="B490" t="str">
            <v>UBS (D) EUROINVEST IMMOBILIEN Q-DIST</v>
          </cell>
          <cell r="C490" t="str">
            <v>UBS REAL ESTATE GMBH</v>
          </cell>
          <cell r="D490" t="str">
            <v>Theatinerstrasse 16</v>
          </cell>
          <cell r="E490">
            <v>80333</v>
          </cell>
          <cell r="F490" t="str">
            <v>Munich</v>
          </cell>
          <cell r="G490" t="str">
            <v>Germany</v>
          </cell>
          <cell r="H490" t="str">
            <v>+49 (0) 89 206 095 0</v>
          </cell>
          <cell r="I490" t="str">
            <v>+49 (0) 89 206 095 200</v>
          </cell>
          <cell r="J490" t="str">
            <v>http://www.ubs.com/immobilienfonds-deutschland</v>
          </cell>
          <cell r="K490" t="str">
            <v>Alexander Isak</v>
          </cell>
          <cell r="L490" t="str">
            <v>alexander.isak@ubs.com</v>
          </cell>
          <cell r="M490" t="str">
            <v>+49 (0) 89 206 095 124</v>
          </cell>
          <cell r="N490" t="str">
            <v>Anita Koch</v>
          </cell>
          <cell r="O490" t="str">
            <v>anita.koch@ubs.com</v>
          </cell>
          <cell r="P490" t="str">
            <v>+49 (0) 89 206 095 107</v>
          </cell>
          <cell r="Q490" t="str">
            <v>Germany</v>
          </cell>
          <cell r="R490" t="str">
            <v>EUR</v>
          </cell>
          <cell r="S490" t="str">
            <v>KAGB</v>
          </cell>
          <cell r="T490" t="str">
            <v>Twice per year</v>
          </cell>
          <cell r="U490" t="str">
            <v>Quarterly</v>
          </cell>
          <cell r="V490" t="str">
            <v>ImmoWertV</v>
          </cell>
          <cell r="X490" t="str">
            <v>Ernst &amp; Young GmbH</v>
          </cell>
          <cell r="Y490" t="str">
            <v>Publikumsfonds</v>
          </cell>
          <cell r="Z490" t="str">
            <v>No</v>
          </cell>
          <cell r="AC490" t="str">
            <v>Non-Listed Fund</v>
          </cell>
          <cell r="AD490" t="str">
            <v>Core</v>
          </cell>
          <cell r="AE490" t="str">
            <v>infinite</v>
          </cell>
          <cell r="AF490" t="str">
            <v>Open end</v>
          </cell>
          <cell r="AG490">
            <v>3</v>
          </cell>
          <cell r="AH490">
            <v>5</v>
          </cell>
          <cell r="AI490" t="str">
            <v>Net</v>
          </cell>
          <cell r="AK490">
            <v>2</v>
          </cell>
          <cell r="AL490">
            <v>30</v>
          </cell>
          <cell r="AM490" t="str">
            <v>≤ 40%</v>
          </cell>
          <cell r="AN490" t="str">
            <v>Retail</v>
          </cell>
          <cell r="AO490" t="str">
            <v>&gt; 2</v>
          </cell>
          <cell r="AP490" t="str">
            <v>&lt; 50%</v>
          </cell>
          <cell r="AQ490" t="str">
            <v>Europe</v>
          </cell>
          <cell r="AR490" t="str">
            <v>multi country</v>
          </cell>
          <cell r="AS490" t="str">
            <v>Europe</v>
          </cell>
          <cell r="AU490" t="str">
            <v>single sector</v>
          </cell>
          <cell r="AV490" t="str">
            <v>Office</v>
          </cell>
          <cell r="AW490">
            <v>800000000</v>
          </cell>
          <cell r="AX490">
            <v>1000000000</v>
          </cell>
          <cell r="AY490">
            <v>2019</v>
          </cell>
          <cell r="BH490" t="str">
            <v>2020-12-31</v>
          </cell>
          <cell r="BI490">
            <v>6155079</v>
          </cell>
          <cell r="BJ490">
            <v>6155079</v>
          </cell>
          <cell r="BK490">
            <v>4119698</v>
          </cell>
          <cell r="BL490">
            <v>4119698</v>
          </cell>
          <cell r="BM490">
            <v>29.7</v>
          </cell>
          <cell r="BN490" t="str">
            <v>No</v>
          </cell>
          <cell r="BO490" t="str">
            <v>External</v>
          </cell>
          <cell r="BP490">
            <v>0</v>
          </cell>
          <cell r="BQ490">
            <v>13</v>
          </cell>
          <cell r="BR490">
            <v>4119698</v>
          </cell>
          <cell r="BS490">
            <v>4119698</v>
          </cell>
          <cell r="BT490">
            <v>4119698</v>
          </cell>
          <cell r="BU490">
            <v>4119698</v>
          </cell>
          <cell r="BV490" t="str">
            <v>Yes</v>
          </cell>
          <cell r="BW490" t="str">
            <v>Slovakia</v>
          </cell>
          <cell r="BX490" t="str">
            <v>Office</v>
          </cell>
          <cell r="BY490">
            <v>5</v>
          </cell>
          <cell r="BZ490" t="str">
            <v>Italy</v>
          </cell>
          <cell r="CA490" t="str">
            <v>Office</v>
          </cell>
          <cell r="CB490">
            <v>15</v>
          </cell>
          <cell r="CC490" t="str">
            <v>Luxembourg</v>
          </cell>
          <cell r="CD490" t="str">
            <v>Office</v>
          </cell>
          <cell r="CE490">
            <v>16</v>
          </cell>
          <cell r="CF490" t="str">
            <v>Belgium</v>
          </cell>
          <cell r="CG490" t="str">
            <v>Office</v>
          </cell>
          <cell r="CH490">
            <v>15</v>
          </cell>
          <cell r="CI490" t="str">
            <v>Spain</v>
          </cell>
          <cell r="CJ490" t="str">
            <v>Office</v>
          </cell>
          <cell r="CK490">
            <v>19</v>
          </cell>
          <cell r="CL490" t="str">
            <v>France</v>
          </cell>
          <cell r="CM490" t="str">
            <v>Office</v>
          </cell>
          <cell r="CN490">
            <v>30</v>
          </cell>
        </row>
        <row r="491">
          <cell r="A491">
            <v>16071</v>
          </cell>
          <cell r="B491" t="str">
            <v>UBS (D) GERMAN LOGISTICS PROPERTY FUND 2</v>
          </cell>
          <cell r="C491" t="str">
            <v>UBS REAL ESTATE GMBH</v>
          </cell>
          <cell r="D491" t="str">
            <v>Theatinerstr. 16</v>
          </cell>
          <cell r="E491" t="str">
            <v>D-80333</v>
          </cell>
          <cell r="F491" t="str">
            <v>München</v>
          </cell>
          <cell r="G491" t="str">
            <v>Germany</v>
          </cell>
          <cell r="H491" t="str">
            <v>+49(0)892060950</v>
          </cell>
          <cell r="I491" t="str">
            <v>+49(0)206095200</v>
          </cell>
          <cell r="J491" t="str">
            <v>http://www.ubs.com/immobilienfonds-deutschland</v>
          </cell>
          <cell r="K491" t="str">
            <v>Andreas Langer</v>
          </cell>
          <cell r="L491" t="str">
            <v>andreas.langer@ubs.com</v>
          </cell>
          <cell r="M491" t="str">
            <v>+49(0)89206095111</v>
          </cell>
          <cell r="N491" t="str">
            <v>Andreas Langer</v>
          </cell>
          <cell r="O491" t="str">
            <v>andreas.langer@ubs.com</v>
          </cell>
          <cell r="P491" t="str">
            <v>+49(0)89206095 111</v>
          </cell>
          <cell r="Q491" t="str">
            <v>Germany</v>
          </cell>
          <cell r="R491" t="str">
            <v>EUR</v>
          </cell>
          <cell r="S491" t="str">
            <v>Local GAAP</v>
          </cell>
          <cell r="T491" t="str">
            <v>Monthly</v>
          </cell>
          <cell r="U491" t="str">
            <v>Annually</v>
          </cell>
          <cell r="W491" t="str">
            <v>KAGB</v>
          </cell>
          <cell r="X491" t="str">
            <v>Ernst &amp; Young GmbH</v>
          </cell>
          <cell r="Y491" t="str">
            <v>Spezialfonds</v>
          </cell>
          <cell r="Z491" t="str">
            <v>No</v>
          </cell>
          <cell r="AA491" t="str">
            <v>Yes</v>
          </cell>
          <cell r="AB491">
            <v>5</v>
          </cell>
          <cell r="AC491" t="str">
            <v>Non-Listed Fund</v>
          </cell>
          <cell r="AD491" t="str">
            <v>Core</v>
          </cell>
          <cell r="AE491" t="str">
            <v>infinite</v>
          </cell>
          <cell r="AF491" t="str">
            <v>Open end</v>
          </cell>
          <cell r="AG491">
            <v>7</v>
          </cell>
          <cell r="AH491">
            <v>7</v>
          </cell>
          <cell r="AI491" t="str">
            <v>Net</v>
          </cell>
          <cell r="AJ491" t="str">
            <v>IPD SFIX</v>
          </cell>
          <cell r="AK491">
            <v>7</v>
          </cell>
          <cell r="AL491">
            <v>49</v>
          </cell>
          <cell r="AM491" t="str">
            <v>&gt; 40%</v>
          </cell>
          <cell r="AN491" t="str">
            <v>Institutional</v>
          </cell>
          <cell r="AO491" t="str">
            <v>&gt; 2</v>
          </cell>
          <cell r="AP491" t="str">
            <v>≥ 50%</v>
          </cell>
          <cell r="AQ491" t="str">
            <v>Europe</v>
          </cell>
          <cell r="AR491" t="str">
            <v>single country</v>
          </cell>
          <cell r="AT491" t="str">
            <v>Germany</v>
          </cell>
          <cell r="AU491" t="str">
            <v>single sector</v>
          </cell>
          <cell r="AV491" t="str">
            <v>Industrial / Logistics</v>
          </cell>
          <cell r="AW491">
            <v>150000000</v>
          </cell>
          <cell r="AX491">
            <v>300000000</v>
          </cell>
          <cell r="AY491">
            <v>2012</v>
          </cell>
          <cell r="BH491" t="str">
            <v>2020-12-31</v>
          </cell>
          <cell r="BI491">
            <v>233543591</v>
          </cell>
          <cell r="BJ491">
            <v>233543591</v>
          </cell>
          <cell r="BK491">
            <v>141104071</v>
          </cell>
          <cell r="BL491">
            <v>141104071</v>
          </cell>
          <cell r="BM491">
            <v>40.200000000000003</v>
          </cell>
          <cell r="BN491" t="str">
            <v>No</v>
          </cell>
          <cell r="BO491" t="str">
            <v>External</v>
          </cell>
          <cell r="BP491">
            <v>0</v>
          </cell>
          <cell r="BQ491">
            <v>10</v>
          </cell>
          <cell r="BR491">
            <v>0</v>
          </cell>
          <cell r="BS491">
            <v>0</v>
          </cell>
          <cell r="BT491">
            <v>0</v>
          </cell>
          <cell r="BV491" t="str">
            <v>No</v>
          </cell>
          <cell r="BW491" t="str">
            <v>Germany</v>
          </cell>
          <cell r="BX491" t="str">
            <v>Industrial / Logistics</v>
          </cell>
          <cell r="BY491">
            <v>100</v>
          </cell>
        </row>
        <row r="492">
          <cell r="A492">
            <v>474</v>
          </cell>
          <cell r="B492" t="str">
            <v>UBS (LUX) REAL ESTATE - EURO CORE FUND - EURO ZONE</v>
          </cell>
          <cell r="C492" t="str">
            <v>UBS ASSET MANAGEMENT (UK) LTD</v>
          </cell>
          <cell r="D492" t="str">
            <v>5 Broadgate</v>
          </cell>
          <cell r="E492" t="str">
            <v>EC2M 2QS</v>
          </cell>
          <cell r="F492" t="str">
            <v>London</v>
          </cell>
          <cell r="G492" t="str">
            <v>United Kingdom</v>
          </cell>
          <cell r="H492" t="str">
            <v>+44 (0) 20 7567 8000</v>
          </cell>
          <cell r="J492" t="str">
            <v>http://www.ubs.com</v>
          </cell>
          <cell r="K492" t="str">
            <v>Mark Gifford</v>
          </cell>
          <cell r="L492" t="str">
            <v>mark.gifford@ubs.com</v>
          </cell>
          <cell r="M492" t="str">
            <v>+44 (0) 20 7901 5343</v>
          </cell>
          <cell r="N492" t="str">
            <v>Eoin Bastible</v>
          </cell>
          <cell r="O492" t="str">
            <v>eoin.bastible@ubs.com</v>
          </cell>
          <cell r="P492" t="str">
            <v>+44 20 7901 5204</v>
          </cell>
          <cell r="Q492" t="str">
            <v>Luxembourg</v>
          </cell>
          <cell r="R492" t="str">
            <v>EUR</v>
          </cell>
          <cell r="S492" t="str">
            <v>Local GAAP</v>
          </cell>
          <cell r="T492" t="str">
            <v>Quarterly</v>
          </cell>
          <cell r="U492" t="str">
            <v>Quarterly</v>
          </cell>
          <cell r="V492" t="str">
            <v>RICS</v>
          </cell>
          <cell r="W492" t="str">
            <v>IFRS NAV</v>
          </cell>
          <cell r="X492" t="str">
            <v>PriceWaterhouseCoopers</v>
          </cell>
          <cell r="Y492" t="str">
            <v>FCP</v>
          </cell>
          <cell r="Z492" t="str">
            <v>No</v>
          </cell>
          <cell r="AA492" t="str">
            <v>No</v>
          </cell>
          <cell r="AB492">
            <v>0</v>
          </cell>
          <cell r="AC492" t="str">
            <v>Non-Listed Fund</v>
          </cell>
          <cell r="AD492" t="str">
            <v>Core</v>
          </cell>
          <cell r="AE492" t="str">
            <v>infinite</v>
          </cell>
          <cell r="AF492" t="str">
            <v>Open end</v>
          </cell>
          <cell r="AM492" t="str">
            <v>≤ 40%</v>
          </cell>
          <cell r="AN492" t="str">
            <v>Institutional</v>
          </cell>
          <cell r="AO492" t="str">
            <v>&gt; 2</v>
          </cell>
          <cell r="AP492" t="str">
            <v>≥ 50%</v>
          </cell>
          <cell r="AQ492" t="str">
            <v>Europe</v>
          </cell>
          <cell r="AR492" t="str">
            <v>multi country</v>
          </cell>
          <cell r="AS492" t="str">
            <v>Europe</v>
          </cell>
          <cell r="AU492" t="str">
            <v>multi sector</v>
          </cell>
          <cell r="AY492">
            <v>2005</v>
          </cell>
          <cell r="BA492" t="str">
            <v>Yes</v>
          </cell>
          <cell r="BD492" t="str">
            <v>No</v>
          </cell>
          <cell r="BH492" t="str">
            <v>2019-09-30</v>
          </cell>
          <cell r="BI492">
            <v>57098000</v>
          </cell>
          <cell r="BJ492">
            <v>57098000</v>
          </cell>
          <cell r="BK492">
            <v>53850000</v>
          </cell>
          <cell r="BL492">
            <v>53850000</v>
          </cell>
          <cell r="BM492">
            <v>0</v>
          </cell>
          <cell r="BN492" t="str">
            <v>No</v>
          </cell>
          <cell r="BO492" t="str">
            <v>External</v>
          </cell>
          <cell r="BP492">
            <v>47</v>
          </cell>
          <cell r="BQ492">
            <v>2</v>
          </cell>
          <cell r="BS492">
            <v>0</v>
          </cell>
          <cell r="BW492" t="str">
            <v>Finland</v>
          </cell>
          <cell r="BX492" t="str">
            <v>Industrial / Logistics</v>
          </cell>
          <cell r="BY492">
            <v>100</v>
          </cell>
        </row>
        <row r="493">
          <cell r="A493">
            <v>19666</v>
          </cell>
          <cell r="B493" t="str">
            <v>UII GARBE LOGISTICS REAL ESTATE FUND</v>
          </cell>
          <cell r="C493" t="str">
            <v>UNION INVESTMENT REAL ESTATE GMBH</v>
          </cell>
          <cell r="D493" t="str">
            <v>Valentinskamp 70, EMPORIO</v>
          </cell>
          <cell r="E493">
            <v>201355</v>
          </cell>
          <cell r="F493" t="str">
            <v>Hamburg</v>
          </cell>
          <cell r="G493" t="str">
            <v>Germany</v>
          </cell>
          <cell r="K493" t="str">
            <v>Marco Jüngling</v>
          </cell>
          <cell r="L493" t="str">
            <v>Marco.Juengling@union-investment.de</v>
          </cell>
          <cell r="M493" t="str">
            <v>+4940349194126</v>
          </cell>
          <cell r="Q493" t="str">
            <v>Germany</v>
          </cell>
          <cell r="R493" t="str">
            <v>EUR</v>
          </cell>
          <cell r="S493" t="str">
            <v>IFRS</v>
          </cell>
          <cell r="T493" t="str">
            <v>Quarterly</v>
          </cell>
          <cell r="U493" t="str">
            <v>Quarterly</v>
          </cell>
          <cell r="V493" t="str">
            <v>ImmoWertV</v>
          </cell>
          <cell r="W493" t="str">
            <v>InvRBV</v>
          </cell>
          <cell r="Y493" t="str">
            <v>Spezialfonds</v>
          </cell>
          <cell r="Z493" t="str">
            <v>No</v>
          </cell>
          <cell r="AB493">
            <v>0</v>
          </cell>
          <cell r="AC493" t="str">
            <v>Non-Listed Fund</v>
          </cell>
          <cell r="AD493" t="str">
            <v>Core</v>
          </cell>
          <cell r="AE493" t="str">
            <v>infinite</v>
          </cell>
          <cell r="AF493" t="str">
            <v>Open end</v>
          </cell>
          <cell r="AN493" t="str">
            <v>Institutional</v>
          </cell>
          <cell r="AO493" t="str">
            <v>&gt; 2</v>
          </cell>
          <cell r="AP493" t="str">
            <v>≥ 50%</v>
          </cell>
          <cell r="AQ493" t="str">
            <v>Europe</v>
          </cell>
          <cell r="AR493" t="str">
            <v>multi country</v>
          </cell>
          <cell r="AS493" t="str">
            <v>Europe</v>
          </cell>
          <cell r="AU493" t="str">
            <v>multi sector</v>
          </cell>
          <cell r="AY493">
            <v>2020</v>
          </cell>
          <cell r="BH493" t="str">
            <v>2020-12-31</v>
          </cell>
          <cell r="BI493">
            <v>50526327.850000001</v>
          </cell>
          <cell r="BJ493">
            <v>50526327.850000001</v>
          </cell>
          <cell r="BK493">
            <v>42263285.170000002</v>
          </cell>
          <cell r="BL493">
            <v>42263285.170000002</v>
          </cell>
          <cell r="BM493">
            <v>36.6</v>
          </cell>
          <cell r="BN493" t="str">
            <v>Yes</v>
          </cell>
          <cell r="BO493" t="str">
            <v>External</v>
          </cell>
          <cell r="BP493">
            <v>5</v>
          </cell>
          <cell r="BQ493">
            <v>2</v>
          </cell>
          <cell r="BR493">
            <v>97500000</v>
          </cell>
          <cell r="BS493">
            <v>97500000</v>
          </cell>
          <cell r="BT493">
            <v>42300986</v>
          </cell>
          <cell r="BU493">
            <v>42300986</v>
          </cell>
          <cell r="BV493" t="str">
            <v>No</v>
          </cell>
          <cell r="BW493" t="str">
            <v>Germany</v>
          </cell>
          <cell r="BX493" t="str">
            <v>Industrial / Logistics</v>
          </cell>
          <cell r="BY493">
            <v>100</v>
          </cell>
        </row>
        <row r="494">
          <cell r="A494">
            <v>19665</v>
          </cell>
          <cell r="B494" t="str">
            <v>UII GARBE LOGISTIK FONDS</v>
          </cell>
          <cell r="C494" t="str">
            <v>UNION INVESTMENT REAL ESTATE GMBH</v>
          </cell>
          <cell r="D494" t="str">
            <v>Valentinskamp 70, EMPORIO</v>
          </cell>
          <cell r="E494">
            <v>201355</v>
          </cell>
          <cell r="F494" t="str">
            <v>Hamburg</v>
          </cell>
          <cell r="G494" t="str">
            <v>Germany</v>
          </cell>
          <cell r="K494" t="str">
            <v>Marco Jüngling</v>
          </cell>
          <cell r="L494" t="str">
            <v>Marco.Juengling@union-investment.de</v>
          </cell>
          <cell r="M494" t="str">
            <v>+4940349194126</v>
          </cell>
          <cell r="Q494" t="str">
            <v>Germany</v>
          </cell>
          <cell r="R494" t="str">
            <v>EUR</v>
          </cell>
          <cell r="S494" t="str">
            <v>IFRS</v>
          </cell>
          <cell r="T494" t="str">
            <v>Quarterly</v>
          </cell>
          <cell r="U494" t="str">
            <v>Quarterly</v>
          </cell>
          <cell r="V494" t="str">
            <v>ImmoWertV</v>
          </cell>
          <cell r="W494" t="str">
            <v>InvRBV</v>
          </cell>
          <cell r="Y494" t="str">
            <v>Spezialfonds</v>
          </cell>
          <cell r="Z494" t="str">
            <v>No</v>
          </cell>
          <cell r="AB494">
            <v>0</v>
          </cell>
          <cell r="AC494" t="str">
            <v>Non-Listed Fund</v>
          </cell>
          <cell r="AD494" t="str">
            <v>Core</v>
          </cell>
          <cell r="AE494" t="str">
            <v>infinite</v>
          </cell>
          <cell r="AF494" t="str">
            <v>Open end</v>
          </cell>
          <cell r="AN494" t="str">
            <v>Institutional</v>
          </cell>
          <cell r="AO494" t="str">
            <v>&gt; 2</v>
          </cell>
          <cell r="AP494" t="str">
            <v>≥ 50%</v>
          </cell>
          <cell r="AQ494" t="str">
            <v>Europe</v>
          </cell>
          <cell r="AR494" t="str">
            <v>single country</v>
          </cell>
          <cell r="AT494" t="str">
            <v>Germany</v>
          </cell>
          <cell r="AU494" t="str">
            <v>multi sector</v>
          </cell>
          <cell r="AY494">
            <v>2020</v>
          </cell>
          <cell r="BD494" t="str">
            <v>No</v>
          </cell>
          <cell r="BH494" t="str">
            <v>2020-12-31</v>
          </cell>
          <cell r="BI494">
            <v>81544553.569999993</v>
          </cell>
          <cell r="BJ494">
            <v>81544553.569999993</v>
          </cell>
          <cell r="BK494">
            <v>119962399.2</v>
          </cell>
          <cell r="BL494">
            <v>119962399.2</v>
          </cell>
          <cell r="BM494">
            <v>17.600000000000001</v>
          </cell>
          <cell r="BN494" t="str">
            <v>Yes</v>
          </cell>
          <cell r="BO494" t="str">
            <v>External</v>
          </cell>
          <cell r="BP494">
            <v>67</v>
          </cell>
          <cell r="BQ494">
            <v>1</v>
          </cell>
          <cell r="BR494">
            <v>291500000</v>
          </cell>
          <cell r="BS494">
            <v>291500000</v>
          </cell>
          <cell r="BT494">
            <v>120002500</v>
          </cell>
          <cell r="BU494">
            <v>120002500</v>
          </cell>
          <cell r="BV494" t="str">
            <v>No</v>
          </cell>
          <cell r="BW494" t="str">
            <v>Germany</v>
          </cell>
          <cell r="BX494" t="str">
            <v>Industrial / Logistics</v>
          </cell>
          <cell r="BY494">
            <v>100</v>
          </cell>
        </row>
        <row r="495">
          <cell r="A495">
            <v>18275</v>
          </cell>
          <cell r="B495" t="str">
            <v>UII GERMAN M</v>
          </cell>
          <cell r="C495" t="str">
            <v>UNION INVESTMENT REAL ESTATE GMBH</v>
          </cell>
          <cell r="D495" t="str">
            <v>Valentinskamp 70, EMPORIO</v>
          </cell>
          <cell r="E495">
            <v>201355</v>
          </cell>
          <cell r="F495" t="str">
            <v>Hamburg</v>
          </cell>
          <cell r="G495" t="str">
            <v>Germany</v>
          </cell>
          <cell r="K495" t="str">
            <v>Matthias Bulir</v>
          </cell>
          <cell r="L495" t="str">
            <v>Matthias.Bulir@union-investment.de</v>
          </cell>
          <cell r="M495" t="str">
            <v>+4940349194732</v>
          </cell>
          <cell r="Q495" t="str">
            <v>Germany</v>
          </cell>
          <cell r="R495" t="str">
            <v>EUR</v>
          </cell>
          <cell r="S495" t="str">
            <v>IFRS</v>
          </cell>
          <cell r="T495" t="str">
            <v>Quarterly</v>
          </cell>
          <cell r="U495" t="str">
            <v>Annually</v>
          </cell>
          <cell r="V495" t="str">
            <v>ImmoWertV</v>
          </cell>
          <cell r="W495" t="str">
            <v>InvRBV</v>
          </cell>
          <cell r="X495" t="str">
            <v>KPMG</v>
          </cell>
          <cell r="Y495" t="str">
            <v>Spezialfonds</v>
          </cell>
          <cell r="Z495" t="str">
            <v>No</v>
          </cell>
          <cell r="AA495" t="str">
            <v>No</v>
          </cell>
          <cell r="AC495" t="str">
            <v>Non-Listed Fund</v>
          </cell>
          <cell r="AD495" t="str">
            <v>Core</v>
          </cell>
          <cell r="AE495" t="str">
            <v>infinite</v>
          </cell>
          <cell r="AF495" t="str">
            <v>Open end</v>
          </cell>
          <cell r="AN495" t="str">
            <v>Institutional</v>
          </cell>
          <cell r="AO495" t="str">
            <v>&gt; 2</v>
          </cell>
          <cell r="AP495" t="str">
            <v>≥ 50%</v>
          </cell>
          <cell r="AQ495" t="str">
            <v>Europe</v>
          </cell>
          <cell r="AR495" t="str">
            <v>single country</v>
          </cell>
          <cell r="AT495" t="str">
            <v>Germany</v>
          </cell>
          <cell r="AU495" t="str">
            <v>multi sector</v>
          </cell>
          <cell r="AY495">
            <v>2016</v>
          </cell>
          <cell r="BD495" t="str">
            <v>No</v>
          </cell>
          <cell r="BH495" t="str">
            <v>2020-12-31</v>
          </cell>
          <cell r="BI495">
            <v>446806816.69999999</v>
          </cell>
          <cell r="BJ495">
            <v>446806816.69999999</v>
          </cell>
          <cell r="BK495">
            <v>360180827.80000001</v>
          </cell>
          <cell r="BL495">
            <v>360180827.80000001</v>
          </cell>
          <cell r="BM495">
            <v>15.2</v>
          </cell>
          <cell r="BN495" t="str">
            <v>Yes</v>
          </cell>
          <cell r="BO495" t="str">
            <v>External</v>
          </cell>
          <cell r="BP495">
            <v>89</v>
          </cell>
          <cell r="BQ495">
            <v>19</v>
          </cell>
          <cell r="BR495">
            <v>392700000</v>
          </cell>
          <cell r="BS495">
            <v>392700000</v>
          </cell>
          <cell r="BT495">
            <v>356842708</v>
          </cell>
          <cell r="BU495">
            <v>356842708</v>
          </cell>
          <cell r="BV495" t="str">
            <v>No</v>
          </cell>
          <cell r="BW495" t="str">
            <v>Germany</v>
          </cell>
          <cell r="BX495" t="str">
            <v>Retail</v>
          </cell>
          <cell r="BY495">
            <v>10.1</v>
          </cell>
          <cell r="BZ495" t="str">
            <v>Germany</v>
          </cell>
          <cell r="CA495" t="str">
            <v>Office</v>
          </cell>
          <cell r="CB495">
            <v>89.9</v>
          </cell>
        </row>
        <row r="496">
          <cell r="A496">
            <v>19660</v>
          </cell>
          <cell r="B496" t="str">
            <v>UII GERMAN PRIME SELECT</v>
          </cell>
          <cell r="C496" t="str">
            <v>UNION INVESTMENT REAL ESTATE GMBH</v>
          </cell>
          <cell r="D496" t="str">
            <v>Valentinskamp 70, EMPORIO</v>
          </cell>
          <cell r="E496">
            <v>201355</v>
          </cell>
          <cell r="F496" t="str">
            <v>Hamburg</v>
          </cell>
          <cell r="G496" t="str">
            <v>Germany</v>
          </cell>
          <cell r="K496" t="str">
            <v>Matthias Bulir</v>
          </cell>
          <cell r="L496" t="str">
            <v>Matthias.Bulir@union-investment.de</v>
          </cell>
          <cell r="M496" t="str">
            <v>+4940349194732</v>
          </cell>
          <cell r="Q496" t="str">
            <v>Germany</v>
          </cell>
          <cell r="R496" t="str">
            <v>EUR</v>
          </cell>
          <cell r="S496" t="str">
            <v>IFRS</v>
          </cell>
          <cell r="T496" t="str">
            <v>Quarterly</v>
          </cell>
          <cell r="U496" t="str">
            <v>Quarterly</v>
          </cell>
          <cell r="V496" t="str">
            <v>ImmoWertV</v>
          </cell>
          <cell r="W496" t="str">
            <v>InvRBV</v>
          </cell>
          <cell r="X496" t="str">
            <v>KPMG</v>
          </cell>
          <cell r="Y496" t="str">
            <v>Spezialfonds</v>
          </cell>
          <cell r="Z496" t="str">
            <v>No</v>
          </cell>
          <cell r="AA496" t="str">
            <v>No</v>
          </cell>
          <cell r="AB496">
            <v>0</v>
          </cell>
          <cell r="AC496" t="str">
            <v>Non-Listed Fund</v>
          </cell>
          <cell r="AD496" t="str">
            <v>Core</v>
          </cell>
          <cell r="AE496" t="str">
            <v>infinite</v>
          </cell>
          <cell r="AF496" t="str">
            <v>Open end</v>
          </cell>
          <cell r="AN496" t="str">
            <v>Institutional</v>
          </cell>
          <cell r="AO496" t="str">
            <v>&gt; 2</v>
          </cell>
          <cell r="AP496" t="str">
            <v>≥ 50%</v>
          </cell>
          <cell r="AQ496" t="str">
            <v>Europe</v>
          </cell>
          <cell r="AR496" t="str">
            <v>single country</v>
          </cell>
          <cell r="AT496" t="str">
            <v>Germany</v>
          </cell>
          <cell r="AU496" t="str">
            <v>multi sector</v>
          </cell>
          <cell r="AY496">
            <v>2020</v>
          </cell>
          <cell r="BH496" t="str">
            <v>2020-12-31</v>
          </cell>
          <cell r="BI496">
            <v>471522106.80000001</v>
          </cell>
          <cell r="BJ496">
            <v>471522106.80000001</v>
          </cell>
          <cell r="BK496">
            <v>416916472.89999998</v>
          </cell>
          <cell r="BL496">
            <v>416916472.89999998</v>
          </cell>
          <cell r="BM496">
            <v>9.5</v>
          </cell>
          <cell r="BN496" t="str">
            <v>Yes</v>
          </cell>
          <cell r="BO496" t="str">
            <v>External</v>
          </cell>
          <cell r="BP496">
            <v>199</v>
          </cell>
          <cell r="BQ496">
            <v>6</v>
          </cell>
          <cell r="BR496">
            <v>831800000</v>
          </cell>
          <cell r="BS496">
            <v>831800000</v>
          </cell>
          <cell r="BT496">
            <v>417001300</v>
          </cell>
          <cell r="BU496">
            <v>417001300</v>
          </cell>
          <cell r="BV496" t="str">
            <v>No</v>
          </cell>
          <cell r="BW496" t="str">
            <v>Germany</v>
          </cell>
          <cell r="BX496" t="str">
            <v>Office</v>
          </cell>
          <cell r="BY496">
            <v>100</v>
          </cell>
        </row>
        <row r="497">
          <cell r="A497">
            <v>17530</v>
          </cell>
          <cell r="B497" t="str">
            <v>UII HOTEL NR.1</v>
          </cell>
          <cell r="C497" t="str">
            <v>UNION INVESTMENT INSTITUTIONAL PROPERTY GMBH</v>
          </cell>
          <cell r="D497" t="str">
            <v>Valentinskamp 70</v>
          </cell>
          <cell r="E497">
            <v>20355</v>
          </cell>
          <cell r="F497" t="str">
            <v>Hamburg</v>
          </cell>
          <cell r="G497" t="str">
            <v>Germany</v>
          </cell>
          <cell r="H497" t="str">
            <v>+4940349190</v>
          </cell>
          <cell r="I497" t="str">
            <v>+494034919190</v>
          </cell>
          <cell r="J497" t="str">
            <v>http://institutional.union-investment.de/startseite-institutionelle-kunden/asset-klassen/immobilien.html</v>
          </cell>
          <cell r="K497" t="str">
            <v>Jens Völker</v>
          </cell>
          <cell r="L497" t="str">
            <v>jens.voelker@union-investment.de</v>
          </cell>
          <cell r="M497" t="str">
            <v>+4940349194165</v>
          </cell>
          <cell r="N497" t="str">
            <v>Jörn Stobbe</v>
          </cell>
          <cell r="O497" t="str">
            <v>Joern.Stobbe@union-investment.de</v>
          </cell>
          <cell r="P497" t="str">
            <v>+4940349194455</v>
          </cell>
          <cell r="Q497" t="str">
            <v>Germany</v>
          </cell>
          <cell r="R497" t="str">
            <v>EUR</v>
          </cell>
          <cell r="S497" t="str">
            <v>German Trade Law / Investment Law</v>
          </cell>
          <cell r="T497" t="str">
            <v>Quarterly</v>
          </cell>
          <cell r="U497" t="str">
            <v>Annually</v>
          </cell>
          <cell r="V497" t="str">
            <v>ImmoWertV</v>
          </cell>
          <cell r="W497" t="str">
            <v>InvRBV - German Investment Law {no INREV-based calculation method}</v>
          </cell>
          <cell r="X497" t="str">
            <v>KPMG</v>
          </cell>
          <cell r="Y497" t="str">
            <v>Spezialfonds</v>
          </cell>
          <cell r="Z497" t="str">
            <v>No</v>
          </cell>
          <cell r="AA497" t="str">
            <v>No</v>
          </cell>
          <cell r="AC497" t="str">
            <v>Non-Listed Fund</v>
          </cell>
          <cell r="AD497" t="str">
            <v>Core</v>
          </cell>
          <cell r="AE497" t="str">
            <v>finite</v>
          </cell>
          <cell r="AF497" t="str">
            <v>Closed end</v>
          </cell>
          <cell r="AG497">
            <v>6</v>
          </cell>
          <cell r="AH497">
            <v>7</v>
          </cell>
          <cell r="AI497" t="str">
            <v>Net</v>
          </cell>
          <cell r="AK497">
            <v>5</v>
          </cell>
          <cell r="AL497">
            <v>40</v>
          </cell>
          <cell r="AM497" t="str">
            <v>&gt; 40% - ≤ 60%</v>
          </cell>
          <cell r="AN497" t="str">
            <v>Institutional</v>
          </cell>
          <cell r="AO497" t="str">
            <v>&gt; 2</v>
          </cell>
          <cell r="AP497" t="str">
            <v>≥ 50%</v>
          </cell>
          <cell r="AQ497" t="str">
            <v>Europe</v>
          </cell>
          <cell r="AR497" t="str">
            <v>multi country</v>
          </cell>
          <cell r="AS497" t="str">
            <v>Europe</v>
          </cell>
          <cell r="AU497" t="str">
            <v>single sector</v>
          </cell>
          <cell r="AV497" t="str">
            <v>Hotel</v>
          </cell>
          <cell r="AW497">
            <v>300000000</v>
          </cell>
          <cell r="AX497">
            <v>420000000</v>
          </cell>
          <cell r="AY497">
            <v>2013</v>
          </cell>
          <cell r="AZ497">
            <v>2023</v>
          </cell>
          <cell r="BA497" t="str">
            <v>No</v>
          </cell>
          <cell r="BB497" t="str">
            <v>No</v>
          </cell>
          <cell r="BD497" t="str">
            <v>No</v>
          </cell>
          <cell r="BE497" t="str">
            <v>≥ 60%</v>
          </cell>
          <cell r="BF497" t="str">
            <v>≤ 15%</v>
          </cell>
          <cell r="BG497" t="str">
            <v>&gt; 5 - ≤ 25%</v>
          </cell>
          <cell r="BH497" t="str">
            <v>2020-12-31</v>
          </cell>
          <cell r="BI497">
            <v>498358186.39999998</v>
          </cell>
          <cell r="BJ497">
            <v>498358186.39999998</v>
          </cell>
          <cell r="BK497">
            <v>351392503.10000002</v>
          </cell>
          <cell r="BL497">
            <v>351392503.10000002</v>
          </cell>
          <cell r="BM497">
            <v>32.6</v>
          </cell>
          <cell r="BN497" t="str">
            <v>Yes</v>
          </cell>
          <cell r="BO497" t="str">
            <v>External</v>
          </cell>
          <cell r="BP497">
            <v>28</v>
          </cell>
          <cell r="BQ497">
            <v>12</v>
          </cell>
          <cell r="BR497">
            <v>312000000</v>
          </cell>
          <cell r="BS497">
            <v>312000000</v>
          </cell>
          <cell r="BT497">
            <v>312000000</v>
          </cell>
          <cell r="BU497">
            <v>312000000</v>
          </cell>
          <cell r="BV497" t="str">
            <v>No</v>
          </cell>
          <cell r="BW497" t="str">
            <v>Germany</v>
          </cell>
          <cell r="BX497" t="str">
            <v>Hotel</v>
          </cell>
          <cell r="BY497">
            <v>79.3</v>
          </cell>
          <cell r="BZ497" t="str">
            <v>Poland</v>
          </cell>
          <cell r="CA497" t="str">
            <v>Hotel</v>
          </cell>
          <cell r="CB497">
            <v>13.1</v>
          </cell>
          <cell r="CC497" t="str">
            <v>Austria</v>
          </cell>
          <cell r="CD497" t="str">
            <v>Hotel</v>
          </cell>
          <cell r="CE497">
            <v>7.6</v>
          </cell>
        </row>
        <row r="498">
          <cell r="A498">
            <v>16689</v>
          </cell>
          <cell r="B498" t="str">
            <v>UII SHOPPING NR.1</v>
          </cell>
          <cell r="C498" t="str">
            <v>UNION INVESTMENT INSTITUTIONAL PROPERTY GMBH</v>
          </cell>
          <cell r="D498" t="str">
            <v>Valentinskamp 70</v>
          </cell>
          <cell r="E498">
            <v>20355</v>
          </cell>
          <cell r="F498" t="str">
            <v>Hamburg</v>
          </cell>
          <cell r="G498" t="str">
            <v>Germany</v>
          </cell>
          <cell r="H498" t="str">
            <v>+4940349190</v>
          </cell>
          <cell r="I498" t="str">
            <v>+494034919190</v>
          </cell>
          <cell r="J498" t="str">
            <v>http://www.realestate.union-investment.com</v>
          </cell>
          <cell r="K498" t="str">
            <v>Jens Voelker</v>
          </cell>
          <cell r="L498" t="str">
            <v>jens.voelker@union-investment.de</v>
          </cell>
          <cell r="M498" t="str">
            <v>+4940349194165</v>
          </cell>
          <cell r="N498" t="str">
            <v>Jörn Stobbe</v>
          </cell>
          <cell r="O498" t="str">
            <v>Joern.Stobbe@union-investment.de</v>
          </cell>
          <cell r="P498" t="str">
            <v>+4940349194455</v>
          </cell>
          <cell r="Q498" t="str">
            <v>Germany</v>
          </cell>
          <cell r="R498" t="str">
            <v>EUR</v>
          </cell>
          <cell r="S498" t="str">
            <v>German Trade Law / Investment Law</v>
          </cell>
          <cell r="T498" t="str">
            <v>Quarterly</v>
          </cell>
          <cell r="U498" t="str">
            <v>Annually</v>
          </cell>
          <cell r="V498" t="str">
            <v>ImmoWertV</v>
          </cell>
          <cell r="W498" t="str">
            <v>InvRBV - German Investment Law {no INREV-based calculation method}</v>
          </cell>
          <cell r="X498" t="str">
            <v>KPMG</v>
          </cell>
          <cell r="Y498" t="str">
            <v>Spezialfonds</v>
          </cell>
          <cell r="Z498" t="str">
            <v>No</v>
          </cell>
          <cell r="AA498" t="str">
            <v>No</v>
          </cell>
          <cell r="AC498" t="str">
            <v>Non-Listed Fund</v>
          </cell>
          <cell r="AD498" t="str">
            <v>Core</v>
          </cell>
          <cell r="AE498" t="str">
            <v>infinite</v>
          </cell>
          <cell r="AF498" t="str">
            <v>Open end</v>
          </cell>
          <cell r="AG498">
            <v>7</v>
          </cell>
          <cell r="AH498">
            <v>7</v>
          </cell>
          <cell r="AI498" t="str">
            <v>Net</v>
          </cell>
          <cell r="AK498">
            <v>5</v>
          </cell>
          <cell r="AL498">
            <v>40</v>
          </cell>
          <cell r="AM498" t="str">
            <v>≤ 40%</v>
          </cell>
          <cell r="AN498" t="str">
            <v>Institutional</v>
          </cell>
          <cell r="AO498" t="str">
            <v>&gt; 2</v>
          </cell>
          <cell r="AP498" t="str">
            <v>≥ 50%</v>
          </cell>
          <cell r="AQ498" t="str">
            <v>Europe</v>
          </cell>
          <cell r="AR498" t="str">
            <v>multi country</v>
          </cell>
          <cell r="AS498" t="str">
            <v>Europe</v>
          </cell>
          <cell r="AU498" t="str">
            <v>single sector</v>
          </cell>
          <cell r="AV498" t="str">
            <v>Retail</v>
          </cell>
          <cell r="AW498">
            <v>500</v>
          </cell>
          <cell r="AX498">
            <v>850</v>
          </cell>
          <cell r="AY498">
            <v>2011</v>
          </cell>
          <cell r="BD498" t="str">
            <v>No</v>
          </cell>
          <cell r="BE498" t="str">
            <v>&lt; 60%</v>
          </cell>
          <cell r="BF498" t="str">
            <v>≤ 15%</v>
          </cell>
          <cell r="BG498" t="str">
            <v>≤ 5%</v>
          </cell>
          <cell r="BH498" t="str">
            <v>2020-12-31</v>
          </cell>
          <cell r="BI498">
            <v>457686024.30000001</v>
          </cell>
          <cell r="BJ498">
            <v>457686024.30000001</v>
          </cell>
          <cell r="BK498">
            <v>322974743</v>
          </cell>
          <cell r="BL498">
            <v>322974743</v>
          </cell>
          <cell r="BM498">
            <v>29.5</v>
          </cell>
          <cell r="BN498" t="str">
            <v>Yes</v>
          </cell>
          <cell r="BO498" t="str">
            <v>External</v>
          </cell>
          <cell r="BP498">
            <v>22</v>
          </cell>
          <cell r="BQ498">
            <v>7</v>
          </cell>
          <cell r="BR498">
            <v>358667008</v>
          </cell>
          <cell r="BS498">
            <v>358667008</v>
          </cell>
          <cell r="BT498">
            <v>358667008</v>
          </cell>
          <cell r="BU498">
            <v>358667008</v>
          </cell>
          <cell r="BV498" t="str">
            <v>No</v>
          </cell>
          <cell r="BW498" t="str">
            <v>Poland</v>
          </cell>
          <cell r="BX498" t="str">
            <v>Retail</v>
          </cell>
          <cell r="BY498">
            <v>43.7</v>
          </cell>
          <cell r="BZ498" t="str">
            <v>Netherlands</v>
          </cell>
          <cell r="CA498" t="str">
            <v>Retail</v>
          </cell>
          <cell r="CB498">
            <v>27.6</v>
          </cell>
          <cell r="CC498" t="str">
            <v>Belgium</v>
          </cell>
          <cell r="CD498" t="str">
            <v>Retail</v>
          </cell>
          <cell r="CE498">
            <v>6.3</v>
          </cell>
          <cell r="CF498" t="str">
            <v>France</v>
          </cell>
          <cell r="CG498" t="str">
            <v>Retail</v>
          </cell>
          <cell r="CH498">
            <v>9.9</v>
          </cell>
          <cell r="CI498" t="str">
            <v>Germany</v>
          </cell>
          <cell r="CJ498" t="str">
            <v>Retail</v>
          </cell>
          <cell r="CK498">
            <v>12.5</v>
          </cell>
        </row>
        <row r="499">
          <cell r="A499">
            <v>16307</v>
          </cell>
          <cell r="B499" t="str">
            <v>UK LONG LEASE PROPERTY FUND</v>
          </cell>
          <cell r="C499" t="str">
            <v>AXA REAL ESTATE INVESTMENT MANAGERS UK LTD</v>
          </cell>
          <cell r="D499" t="str">
            <v>155 Bishopsgate</v>
          </cell>
          <cell r="E499" t="str">
            <v>EC2M 3XJ</v>
          </cell>
          <cell r="F499" t="str">
            <v>LONDON</v>
          </cell>
          <cell r="G499" t="str">
            <v>United Kingdom</v>
          </cell>
          <cell r="J499" t="str">
            <v>https://realassets.axa-im.com</v>
          </cell>
          <cell r="K499" t="str">
            <v>Ian Pollard</v>
          </cell>
          <cell r="L499" t="str">
            <v>ian.pollard@axa-im.com</v>
          </cell>
          <cell r="M499" t="str">
            <v>+44 20 7003 2852</v>
          </cell>
          <cell r="N499" t="str">
            <v>Jamie-Lee Chambers</v>
          </cell>
          <cell r="O499" t="str">
            <v>jamie-lee.chambers@axa-im.com</v>
          </cell>
          <cell r="P499" t="str">
            <v>+44 20 7003 2845</v>
          </cell>
          <cell r="Q499" t="str">
            <v>Jersey</v>
          </cell>
          <cell r="R499" t="str">
            <v>GBP</v>
          </cell>
          <cell r="S499" t="str">
            <v>Local GAAP</v>
          </cell>
          <cell r="T499" t="str">
            <v>Annually</v>
          </cell>
          <cell r="U499" t="str">
            <v>Quarterly</v>
          </cell>
          <cell r="V499" t="str">
            <v>RICS</v>
          </cell>
          <cell r="W499" t="str">
            <v>UK GAAP</v>
          </cell>
          <cell r="X499" t="str">
            <v>PricewaterhouseCoopers</v>
          </cell>
          <cell r="Y499" t="str">
            <v>Unit trust</v>
          </cell>
          <cell r="Z499" t="str">
            <v>Yes</v>
          </cell>
          <cell r="AA499" t="str">
            <v>No</v>
          </cell>
          <cell r="AB499">
            <v>0</v>
          </cell>
          <cell r="AC499" t="str">
            <v>Non-Listed Fund</v>
          </cell>
          <cell r="AD499" t="str">
            <v>Core</v>
          </cell>
          <cell r="AE499" t="str">
            <v>infinite</v>
          </cell>
          <cell r="AF499" t="str">
            <v>Open end</v>
          </cell>
          <cell r="AG499">
            <v>6</v>
          </cell>
          <cell r="AH499">
            <v>6</v>
          </cell>
          <cell r="AI499" t="str">
            <v>Gross</v>
          </cell>
          <cell r="AJ499" t="str">
            <v>UK 10-YearGilt GBP Total Return Index  +1.5% p.a. on a rolling 5-yr basis</v>
          </cell>
          <cell r="AK499">
            <v>4.5</v>
          </cell>
          <cell r="AL499">
            <v>0</v>
          </cell>
          <cell r="AM499" t="str">
            <v>≤ 40%</v>
          </cell>
          <cell r="AN499" t="str">
            <v>Institutional</v>
          </cell>
          <cell r="AO499" t="str">
            <v>&gt; 2</v>
          </cell>
          <cell r="AP499" t="str">
            <v>≥ 50%</v>
          </cell>
          <cell r="AQ499" t="str">
            <v>Europe</v>
          </cell>
          <cell r="AR499" t="str">
            <v>single country</v>
          </cell>
          <cell r="AT499" t="str">
            <v>United Kingdom</v>
          </cell>
          <cell r="AU499" t="str">
            <v>multi sector</v>
          </cell>
          <cell r="AW499">
            <v>1000000000</v>
          </cell>
          <cell r="AX499">
            <v>1000000000</v>
          </cell>
          <cell r="AY499">
            <v>2012</v>
          </cell>
          <cell r="BB499" t="str">
            <v>No</v>
          </cell>
          <cell r="BD499" t="str">
            <v>No</v>
          </cell>
          <cell r="BG499" t="str">
            <v>&gt; 5 - ≤ 25%</v>
          </cell>
          <cell r="BH499" t="str">
            <v>2020-12-31</v>
          </cell>
          <cell r="BI499">
            <v>435749790</v>
          </cell>
          <cell r="BJ499">
            <v>481742785.98093998</v>
          </cell>
          <cell r="BK499">
            <v>428866559</v>
          </cell>
          <cell r="BL499">
            <v>474133036.17821407</v>
          </cell>
          <cell r="BM499">
            <v>0</v>
          </cell>
          <cell r="BN499" t="str">
            <v>No</v>
          </cell>
          <cell r="BO499" t="str">
            <v>External</v>
          </cell>
          <cell r="BP499">
            <v>6</v>
          </cell>
          <cell r="BQ499">
            <v>36</v>
          </cell>
          <cell r="BR499">
            <v>430450729</v>
          </cell>
          <cell r="BS499">
            <v>472615322.29453802</v>
          </cell>
          <cell r="BT499">
            <v>393224647</v>
          </cell>
          <cell r="BU499">
            <v>431742777.40870303</v>
          </cell>
          <cell r="BV499" t="str">
            <v>No</v>
          </cell>
          <cell r="BW499" t="str">
            <v>United Kingdom</v>
          </cell>
          <cell r="BX499" t="str">
            <v>Mixed</v>
          </cell>
          <cell r="BY499">
            <v>100</v>
          </cell>
        </row>
        <row r="500">
          <cell r="A500">
            <v>17350</v>
          </cell>
          <cell r="B500" t="str">
            <v>UK PENSION PROPERTY PORTFOLIO LP</v>
          </cell>
          <cell r="C500" t="str">
            <v>FIRST PROPERTY GROUP</v>
          </cell>
          <cell r="D500" t="str">
            <v>35 Old Queen Street</v>
          </cell>
          <cell r="E500" t="str">
            <v>SW1H 9JA</v>
          </cell>
          <cell r="F500" t="str">
            <v>London</v>
          </cell>
          <cell r="G500" t="str">
            <v>United Kingdom</v>
          </cell>
          <cell r="H500" t="str">
            <v>+44 20 7340 0270</v>
          </cell>
          <cell r="J500" t="str">
            <v>http://www.fprop.com</v>
          </cell>
          <cell r="N500" t="str">
            <v>Jeremy Barkes</v>
          </cell>
          <cell r="O500" t="str">
            <v>jeremy.barkes@fprop.com</v>
          </cell>
          <cell r="P500" t="str">
            <v>+44 20 7340 0270</v>
          </cell>
          <cell r="Q500" t="str">
            <v>United Kingdom</v>
          </cell>
          <cell r="R500" t="str">
            <v>GBP</v>
          </cell>
          <cell r="S500" t="str">
            <v>IFRS</v>
          </cell>
          <cell r="T500" t="str">
            <v>Quarterly</v>
          </cell>
          <cell r="U500" t="str">
            <v>Quarterly</v>
          </cell>
          <cell r="V500" t="str">
            <v>RICS</v>
          </cell>
          <cell r="X500" t="str">
            <v>Moore Stephens</v>
          </cell>
          <cell r="Y500" t="str">
            <v>Limited Partnership</v>
          </cell>
          <cell r="Z500" t="str">
            <v>Yes</v>
          </cell>
          <cell r="AA500" t="str">
            <v>No</v>
          </cell>
          <cell r="AC500" t="str">
            <v>Non-Listed Fund</v>
          </cell>
          <cell r="AD500" t="str">
            <v>Core</v>
          </cell>
          <cell r="AE500" t="str">
            <v>finite</v>
          </cell>
          <cell r="AF500" t="str">
            <v>Closed end</v>
          </cell>
          <cell r="AG500">
            <v>7</v>
          </cell>
          <cell r="AI500" t="str">
            <v>Net</v>
          </cell>
          <cell r="AK500">
            <v>6</v>
          </cell>
          <cell r="AL500">
            <v>0</v>
          </cell>
          <cell r="AN500" t="str">
            <v>Institutional</v>
          </cell>
          <cell r="AO500" t="str">
            <v>&gt; 2</v>
          </cell>
          <cell r="AP500" t="str">
            <v>≥ 50%</v>
          </cell>
          <cell r="AQ500" t="str">
            <v>Europe</v>
          </cell>
          <cell r="AR500" t="str">
            <v>single country</v>
          </cell>
          <cell r="AT500" t="str">
            <v>United Kingdom</v>
          </cell>
          <cell r="AU500" t="str">
            <v>multi sector</v>
          </cell>
          <cell r="AY500">
            <v>2010</v>
          </cell>
          <cell r="AZ500">
            <v>2017</v>
          </cell>
          <cell r="BA500" t="str">
            <v>Yes</v>
          </cell>
          <cell r="BD500" t="str">
            <v>Yes</v>
          </cell>
          <cell r="BE500" t="str">
            <v>≥ 60%</v>
          </cell>
          <cell r="BF500" t="str">
            <v>≤ 15%</v>
          </cell>
          <cell r="BG500" t="str">
            <v>≤ 5%</v>
          </cell>
          <cell r="BH500" t="str">
            <v>2014-03-31</v>
          </cell>
          <cell r="BJ500">
            <v>0</v>
          </cell>
          <cell r="BL500">
            <v>0</v>
          </cell>
          <cell r="BS500">
            <v>0</v>
          </cell>
        </row>
        <row r="501">
          <cell r="A501">
            <v>233</v>
          </cell>
          <cell r="B501" t="str">
            <v>UK PROPERTY FUND</v>
          </cell>
          <cell r="C501" t="str">
            <v>HENDERSON GLOBAL INVESTORS</v>
          </cell>
          <cell r="D501" t="str">
            <v>Bishopsgate 201</v>
          </cell>
          <cell r="E501" t="str">
            <v>EC2M 3AE</v>
          </cell>
          <cell r="F501" t="str">
            <v>London</v>
          </cell>
          <cell r="G501" t="str">
            <v>United Kingdom</v>
          </cell>
          <cell r="H501" t="str">
            <v>+44 (0) 20 7818 1818</v>
          </cell>
          <cell r="I501" t="str">
            <v>+44 (0) 20 7818 1819</v>
          </cell>
          <cell r="J501" t="str">
            <v>http://www.henderson.com/property</v>
          </cell>
          <cell r="K501" t="str">
            <v>Cameron Fraser</v>
          </cell>
          <cell r="L501" t="str">
            <v>cameron.fraser@henderson.com</v>
          </cell>
          <cell r="M501" t="str">
            <v>+44 (0) 20 7818 3099</v>
          </cell>
          <cell r="N501" t="str">
            <v>Daniel McAllister</v>
          </cell>
          <cell r="O501" t="str">
            <v>daniel.mcallister@henderson.com</v>
          </cell>
          <cell r="P501" t="str">
            <v>+44 (0) 20 7818 1819</v>
          </cell>
          <cell r="Q501" t="str">
            <v>Jersey</v>
          </cell>
          <cell r="R501" t="str">
            <v>GBP</v>
          </cell>
          <cell r="S501" t="str">
            <v>Local GAAP</v>
          </cell>
          <cell r="T501" t="str">
            <v>Twice per year</v>
          </cell>
          <cell r="U501" t="str">
            <v>Monthly</v>
          </cell>
          <cell r="V501" t="str">
            <v>RICS</v>
          </cell>
          <cell r="W501" t="str">
            <v>IFRS NAV</v>
          </cell>
          <cell r="X501" t="str">
            <v>KPMG</v>
          </cell>
          <cell r="Y501" t="str">
            <v>Property Unit Trust</v>
          </cell>
          <cell r="AA501" t="str">
            <v>Yes</v>
          </cell>
          <cell r="AB501">
            <v>3</v>
          </cell>
          <cell r="AC501" t="str">
            <v>Non-Listed Fund</v>
          </cell>
          <cell r="AD501" t="str">
            <v>Core</v>
          </cell>
          <cell r="AE501" t="str">
            <v>infinite</v>
          </cell>
          <cell r="AF501" t="str">
            <v>Open end</v>
          </cell>
          <cell r="AJ501" t="str">
            <v>IPD UK Pooled Property Fund Indices All Balanced Funds Index</v>
          </cell>
          <cell r="AM501" t="str">
            <v>≤ 40%</v>
          </cell>
          <cell r="AN501" t="str">
            <v>Institutional</v>
          </cell>
          <cell r="AO501" t="str">
            <v>&gt; 2</v>
          </cell>
          <cell r="AP501" t="str">
            <v>≥ 50%</v>
          </cell>
          <cell r="AQ501" t="str">
            <v>Europe</v>
          </cell>
          <cell r="AR501" t="str">
            <v>single country</v>
          </cell>
          <cell r="AT501" t="str">
            <v>United Kingdom</v>
          </cell>
          <cell r="AU501" t="str">
            <v>multi sector</v>
          </cell>
          <cell r="AY501">
            <v>1994</v>
          </cell>
          <cell r="BH501" t="str">
            <v>2020-12-31</v>
          </cell>
          <cell r="BI501">
            <v>165579980</v>
          </cell>
          <cell r="BJ501">
            <v>183056797.03911811</v>
          </cell>
          <cell r="BK501">
            <v>162283695</v>
          </cell>
          <cell r="BL501">
            <v>179412592.140506</v>
          </cell>
          <cell r="BM501">
            <v>0</v>
          </cell>
          <cell r="BN501" t="str">
            <v>No</v>
          </cell>
          <cell r="BO501" t="str">
            <v>External</v>
          </cell>
          <cell r="BP501">
            <v>27</v>
          </cell>
          <cell r="BQ501">
            <v>19</v>
          </cell>
          <cell r="BR501">
            <v>0</v>
          </cell>
          <cell r="BS501">
            <v>0</v>
          </cell>
          <cell r="BT501">
            <v>0</v>
          </cell>
          <cell r="BV501" t="str">
            <v>Yes</v>
          </cell>
          <cell r="BW501" t="str">
            <v>United Kingdom</v>
          </cell>
          <cell r="BX501" t="str">
            <v>Office</v>
          </cell>
          <cell r="BY501">
            <v>27</v>
          </cell>
          <cell r="BZ501" t="str">
            <v>United Kingdom</v>
          </cell>
          <cell r="CA501" t="str">
            <v>Retail</v>
          </cell>
          <cell r="CB501">
            <v>21</v>
          </cell>
          <cell r="CC501" t="str">
            <v>United Kingdom</v>
          </cell>
          <cell r="CD501" t="str">
            <v>Industrial / Logistics</v>
          </cell>
          <cell r="CE501">
            <v>49</v>
          </cell>
        </row>
        <row r="502">
          <cell r="A502">
            <v>17492</v>
          </cell>
          <cell r="B502" t="str">
            <v>UK PROPERTY INCOME FUND II</v>
          </cell>
          <cell r="C502" t="str">
            <v>LEGAL &amp; GENERAL PROPERTY</v>
          </cell>
          <cell r="D502" t="str">
            <v>One Coleman Street</v>
          </cell>
          <cell r="E502" t="str">
            <v>EC2R 5AA</v>
          </cell>
          <cell r="F502" t="str">
            <v>London</v>
          </cell>
          <cell r="G502" t="str">
            <v>United Kingdom</v>
          </cell>
          <cell r="Q502" t="str">
            <v>United Kingdom</v>
          </cell>
          <cell r="R502" t="str">
            <v>GBP</v>
          </cell>
          <cell r="S502" t="str">
            <v>Local GAAP</v>
          </cell>
          <cell r="T502" t="str">
            <v>Quarterly</v>
          </cell>
          <cell r="U502" t="str">
            <v>Quarterly</v>
          </cell>
          <cell r="V502" t="str">
            <v>RICS</v>
          </cell>
          <cell r="W502" t="str">
            <v>INREV NAV</v>
          </cell>
          <cell r="Y502" t="str">
            <v>Limited Partnership</v>
          </cell>
          <cell r="Z502" t="str">
            <v>No</v>
          </cell>
          <cell r="AC502" t="str">
            <v>Non-Listed Fund</v>
          </cell>
          <cell r="AD502" t="str">
            <v>Core</v>
          </cell>
          <cell r="AE502" t="str">
            <v>finite</v>
          </cell>
          <cell r="AF502" t="str">
            <v>Closed end</v>
          </cell>
          <cell r="AG502">
            <v>8</v>
          </cell>
          <cell r="AH502">
            <v>14</v>
          </cell>
          <cell r="AI502" t="str">
            <v>Net</v>
          </cell>
          <cell r="AJ502" t="str">
            <v>All IPD Quarterly and Monthly Funds</v>
          </cell>
          <cell r="AM502" t="str">
            <v>&gt; 40%</v>
          </cell>
          <cell r="AN502" t="str">
            <v>Institutional</v>
          </cell>
          <cell r="AO502" t="str">
            <v>&gt; 2</v>
          </cell>
          <cell r="AP502" t="str">
            <v>≥ 50%</v>
          </cell>
          <cell r="AQ502" t="str">
            <v>Europe</v>
          </cell>
          <cell r="AR502" t="str">
            <v>single country</v>
          </cell>
          <cell r="AT502" t="str">
            <v>United Kingdom</v>
          </cell>
          <cell r="AU502" t="str">
            <v>multi sector</v>
          </cell>
          <cell r="AW502">
            <v>500000000</v>
          </cell>
          <cell r="AX502">
            <v>750000000</v>
          </cell>
          <cell r="AY502">
            <v>2014</v>
          </cell>
          <cell r="AZ502">
            <v>2021</v>
          </cell>
          <cell r="BA502" t="str">
            <v>Yes</v>
          </cell>
          <cell r="BB502" t="str">
            <v>No</v>
          </cell>
          <cell r="BD502" t="str">
            <v>No</v>
          </cell>
          <cell r="BE502" t="str">
            <v>≥ 60%</v>
          </cell>
          <cell r="BF502" t="str">
            <v>≤ 15%</v>
          </cell>
          <cell r="BG502" t="str">
            <v>≤ 5%</v>
          </cell>
          <cell r="BH502" t="str">
            <v>2020-12-31</v>
          </cell>
          <cell r="BI502">
            <v>213578784</v>
          </cell>
          <cell r="BJ502">
            <v>236121831.3624005</v>
          </cell>
          <cell r="BK502">
            <v>130697347</v>
          </cell>
          <cell r="BL502">
            <v>144492333.69475099</v>
          </cell>
          <cell r="BM502">
            <v>33.79</v>
          </cell>
          <cell r="BN502" t="str">
            <v>No</v>
          </cell>
          <cell r="BO502" t="str">
            <v>External</v>
          </cell>
          <cell r="BP502">
            <v>15</v>
          </cell>
          <cell r="BQ502">
            <v>4</v>
          </cell>
          <cell r="BR502">
            <v>403500000</v>
          </cell>
          <cell r="BS502">
            <v>443024647.64985001</v>
          </cell>
          <cell r="BT502">
            <v>360627374</v>
          </cell>
          <cell r="BU502">
            <v>395952454.27321112</v>
          </cell>
          <cell r="BV502" t="str">
            <v>No</v>
          </cell>
          <cell r="BW502" t="str">
            <v>United Kingdom</v>
          </cell>
          <cell r="BX502" t="str">
            <v>Retail</v>
          </cell>
          <cell r="BY502">
            <v>72.67</v>
          </cell>
          <cell r="BZ502" t="str">
            <v>United Kingdom</v>
          </cell>
          <cell r="CA502" t="str">
            <v>Office</v>
          </cell>
          <cell r="CB502">
            <v>27.33</v>
          </cell>
        </row>
        <row r="503">
          <cell r="A503">
            <v>234</v>
          </cell>
          <cell r="B503" t="str">
            <v>UK RETAIL WAREHOUSE FUND</v>
          </cell>
          <cell r="C503" t="str">
            <v>HENDERSON GLOBAL INVESTORS</v>
          </cell>
          <cell r="D503" t="str">
            <v>201 Bishopsgate</v>
          </cell>
          <cell r="E503" t="str">
            <v>EC2M 2AE</v>
          </cell>
          <cell r="F503" t="str">
            <v>London</v>
          </cell>
          <cell r="G503" t="str">
            <v>United Kingdom</v>
          </cell>
          <cell r="H503" t="str">
            <v>+44 (0) 20 7818 1818</v>
          </cell>
          <cell r="I503" t="str">
            <v>+44 (0) 20 7818 1819</v>
          </cell>
          <cell r="J503" t="str">
            <v>http://www.henderson.com</v>
          </cell>
          <cell r="K503" t="str">
            <v>Michael Neal</v>
          </cell>
          <cell r="L503" t="str">
            <v>michael.neal@henderson.com</v>
          </cell>
          <cell r="M503" t="str">
            <v>+44 (0) 20 7818 4442</v>
          </cell>
          <cell r="N503" t="str">
            <v>Roger Hodgson</v>
          </cell>
          <cell r="O503" t="str">
            <v>roger.hodgson@henderson.com</v>
          </cell>
          <cell r="P503" t="str">
            <v>+44 (0) 20 7818 1819</v>
          </cell>
          <cell r="Q503" t="str">
            <v>Jersey</v>
          </cell>
          <cell r="R503" t="str">
            <v>GBP</v>
          </cell>
          <cell r="T503" t="str">
            <v>Twice per year</v>
          </cell>
          <cell r="U503" t="str">
            <v>Monthly</v>
          </cell>
          <cell r="V503" t="str">
            <v>RICS</v>
          </cell>
          <cell r="W503" t="str">
            <v>IFRS NAV</v>
          </cell>
          <cell r="X503" t="str">
            <v>KPMG</v>
          </cell>
          <cell r="Y503" t="str">
            <v>Property Unit Trust</v>
          </cell>
          <cell r="Z503" t="str">
            <v>No</v>
          </cell>
          <cell r="AB503">
            <v>0</v>
          </cell>
          <cell r="AC503" t="str">
            <v>Non-Listed Fund</v>
          </cell>
          <cell r="AD503" t="str">
            <v>Core</v>
          </cell>
          <cell r="AE503" t="str">
            <v>finite</v>
          </cell>
          <cell r="AF503" t="str">
            <v>Closed end</v>
          </cell>
          <cell r="AJ503" t="str">
            <v>IPD UK Retail Warehouse Annual Universe</v>
          </cell>
          <cell r="AM503" t="str">
            <v>&gt; 40% - ≤ 60%</v>
          </cell>
          <cell r="AN503" t="str">
            <v>Institutional</v>
          </cell>
          <cell r="AO503" t="str">
            <v>&gt; 2</v>
          </cell>
          <cell r="AP503" t="str">
            <v>≥ 50%</v>
          </cell>
          <cell r="AQ503" t="str">
            <v>Europe</v>
          </cell>
          <cell r="AR503" t="str">
            <v>single country</v>
          </cell>
          <cell r="AT503" t="str">
            <v>United Kingdom</v>
          </cell>
          <cell r="AU503" t="str">
            <v>single sector</v>
          </cell>
          <cell r="AV503" t="str">
            <v>Retail</v>
          </cell>
          <cell r="AY503">
            <v>2001</v>
          </cell>
          <cell r="AZ503">
            <v>2015</v>
          </cell>
          <cell r="BA503" t="str">
            <v>Yes</v>
          </cell>
          <cell r="BB503" t="str">
            <v>Yes</v>
          </cell>
          <cell r="BC503" t="str">
            <v>Length as the manager may determine with the approval of unit holders years</v>
          </cell>
          <cell r="BH503" t="str">
            <v>2020-12-31</v>
          </cell>
          <cell r="BI503">
            <v>616323164</v>
          </cell>
          <cell r="BJ503">
            <v>681375516.18773663</v>
          </cell>
          <cell r="BK503">
            <v>241323164</v>
          </cell>
          <cell r="BL503">
            <v>266794605.5627366</v>
          </cell>
          <cell r="BM503">
            <v>61</v>
          </cell>
          <cell r="BN503" t="str">
            <v>No</v>
          </cell>
          <cell r="BO503" t="str">
            <v>External</v>
          </cell>
          <cell r="BP503">
            <v>56</v>
          </cell>
          <cell r="BQ503">
            <v>13</v>
          </cell>
          <cell r="BR503">
            <v>0</v>
          </cell>
          <cell r="BS503">
            <v>0</v>
          </cell>
          <cell r="BT503">
            <v>0</v>
          </cell>
          <cell r="BV503" t="str">
            <v>No</v>
          </cell>
          <cell r="BW503" t="str">
            <v>United Kingdom</v>
          </cell>
          <cell r="BX503" t="str">
            <v>Retail</v>
          </cell>
          <cell r="BY503">
            <v>98</v>
          </cell>
        </row>
        <row r="504">
          <cell r="A504">
            <v>236</v>
          </cell>
          <cell r="B504" t="str">
            <v>UK SHOPPING CENTRE FUND</v>
          </cell>
          <cell r="C504" t="str">
            <v>HENDERSON GLOBAL INVESTORS</v>
          </cell>
          <cell r="D504" t="str">
            <v>201 Bishopsgate</v>
          </cell>
          <cell r="E504" t="str">
            <v>EC2M 2AE</v>
          </cell>
          <cell r="F504" t="str">
            <v>London</v>
          </cell>
          <cell r="G504" t="str">
            <v>United Kingdom</v>
          </cell>
          <cell r="H504" t="str">
            <v>+44 (0) 20 7818 1818</v>
          </cell>
          <cell r="I504" t="str">
            <v>+44 (0) 20 7818 1819</v>
          </cell>
          <cell r="J504" t="str">
            <v>http://www.henderson.com/property</v>
          </cell>
          <cell r="K504" t="str">
            <v>Myles White</v>
          </cell>
          <cell r="L504" t="str">
            <v>myles.white@henderson.com</v>
          </cell>
          <cell r="M504" t="str">
            <v>+44 (0) 20 7818 5640</v>
          </cell>
          <cell r="N504" t="str">
            <v>Roger Hodgson</v>
          </cell>
          <cell r="O504" t="str">
            <v>roger.hodgson@henderson.com</v>
          </cell>
          <cell r="P504" t="str">
            <v>+44 (0) 20 7818 1819</v>
          </cell>
          <cell r="Q504" t="str">
            <v>Jersey</v>
          </cell>
          <cell r="R504" t="str">
            <v>GBP</v>
          </cell>
          <cell r="S504" t="str">
            <v>Local GAAP</v>
          </cell>
          <cell r="T504" t="str">
            <v>Twice per year</v>
          </cell>
          <cell r="U504" t="str">
            <v>Monthly</v>
          </cell>
          <cell r="V504" t="str">
            <v>RICS</v>
          </cell>
          <cell r="W504" t="str">
            <v>IFRS NAV</v>
          </cell>
          <cell r="X504" t="str">
            <v>KPMG</v>
          </cell>
          <cell r="Y504" t="str">
            <v>Property Unit Trust</v>
          </cell>
          <cell r="AB504">
            <v>0</v>
          </cell>
          <cell r="AC504" t="str">
            <v>Non-Listed Fund</v>
          </cell>
          <cell r="AD504" t="str">
            <v>Core</v>
          </cell>
          <cell r="AE504" t="str">
            <v>finite</v>
          </cell>
          <cell r="AF504" t="str">
            <v>Closed end</v>
          </cell>
          <cell r="AJ504" t="str">
            <v>IPD UK All Shopping Centre Annual Index</v>
          </cell>
          <cell r="AN504" t="str">
            <v>Institutional</v>
          </cell>
          <cell r="AO504" t="str">
            <v>&gt; 2</v>
          </cell>
          <cell r="AP504" t="str">
            <v>≥ 50%</v>
          </cell>
          <cell r="AQ504" t="str">
            <v>Europe</v>
          </cell>
          <cell r="AR504" t="str">
            <v>single country</v>
          </cell>
          <cell r="AT504" t="str">
            <v>United Kingdom</v>
          </cell>
          <cell r="AU504" t="str">
            <v>single sector</v>
          </cell>
          <cell r="AV504" t="str">
            <v>Retail</v>
          </cell>
          <cell r="AY504">
            <v>2004</v>
          </cell>
          <cell r="AZ504">
            <v>2014</v>
          </cell>
          <cell r="BA504" t="str">
            <v>Yes</v>
          </cell>
          <cell r="BB504" t="str">
            <v>Yes</v>
          </cell>
          <cell r="BC504" t="str">
            <v>31-dec-21</v>
          </cell>
          <cell r="BH504" t="str">
            <v>2020-12-31</v>
          </cell>
          <cell r="BI504">
            <v>425683088</v>
          </cell>
          <cell r="BJ504">
            <v>470613552.69520527</v>
          </cell>
          <cell r="BK504">
            <v>185225774</v>
          </cell>
          <cell r="BL504">
            <v>204776186.81637451</v>
          </cell>
          <cell r="BM504">
            <v>55</v>
          </cell>
          <cell r="BN504" t="str">
            <v>No</v>
          </cell>
          <cell r="BO504" t="str">
            <v>External</v>
          </cell>
          <cell r="BP504">
            <v>35</v>
          </cell>
          <cell r="BQ504">
            <v>3</v>
          </cell>
          <cell r="BR504">
            <v>0</v>
          </cell>
          <cell r="BS504">
            <v>0</v>
          </cell>
          <cell r="BT504">
            <v>0</v>
          </cell>
          <cell r="BV504" t="str">
            <v>No</v>
          </cell>
          <cell r="BW504" t="str">
            <v>United Kingdom</v>
          </cell>
          <cell r="BX504" t="str">
            <v>Retail</v>
          </cell>
          <cell r="BY504">
            <v>93</v>
          </cell>
        </row>
        <row r="505">
          <cell r="A505">
            <v>482</v>
          </cell>
          <cell r="B505" t="str">
            <v>UNIIMMO: DEUTSCHLAND</v>
          </cell>
          <cell r="C505" t="str">
            <v>UNION INVESTMENT REAL ESTATE GMBH</v>
          </cell>
          <cell r="D505" t="str">
            <v>Valentinskamp 70</v>
          </cell>
          <cell r="E505">
            <v>20355</v>
          </cell>
          <cell r="F505" t="str">
            <v>Hamburg</v>
          </cell>
          <cell r="G505" t="str">
            <v>Germany</v>
          </cell>
          <cell r="H505" t="str">
            <v>+4940349190</v>
          </cell>
          <cell r="I505" t="str">
            <v>+494034919190</v>
          </cell>
          <cell r="J505" t="str">
            <v>http://www.realestate.union-investment.com</v>
          </cell>
          <cell r="K505" t="str">
            <v>Thomas Röhrs</v>
          </cell>
          <cell r="L505" t="str">
            <v>thomas.roehrs@union-investment.de</v>
          </cell>
          <cell r="M505" t="str">
            <v>+4940349194164</v>
          </cell>
          <cell r="N505" t="str">
            <v>Jörn Stobbe</v>
          </cell>
          <cell r="O505" t="str">
            <v>Joern.Stobbe@union-investment.de</v>
          </cell>
          <cell r="P505" t="str">
            <v>+4940349194455</v>
          </cell>
          <cell r="Q505" t="str">
            <v>Germany</v>
          </cell>
          <cell r="R505" t="str">
            <v>EUR</v>
          </cell>
          <cell r="S505" t="str">
            <v>German Trade Law / Investment Law</v>
          </cell>
          <cell r="T505" t="str">
            <v>Quarterly</v>
          </cell>
          <cell r="U505" t="str">
            <v>Quarterly</v>
          </cell>
          <cell r="V505" t="str">
            <v>ImmoWertV</v>
          </cell>
          <cell r="W505" t="str">
            <v>InvRBV - German Investment Law {no INREV-based calculation method}</v>
          </cell>
          <cell r="X505" t="str">
            <v>KPMG</v>
          </cell>
          <cell r="Y505" t="str">
            <v>Publikumsfonds</v>
          </cell>
          <cell r="Z505" t="str">
            <v>No</v>
          </cell>
          <cell r="AA505" t="str">
            <v>No</v>
          </cell>
          <cell r="AB505">
            <v>0</v>
          </cell>
          <cell r="AC505" t="str">
            <v>Non-Listed Fund</v>
          </cell>
          <cell r="AD505" t="str">
            <v>Core</v>
          </cell>
          <cell r="AE505" t="str">
            <v>infinite</v>
          </cell>
          <cell r="AF505" t="str">
            <v>Open end</v>
          </cell>
          <cell r="AJ505" t="str">
            <v>BVI Open Real Estate</v>
          </cell>
          <cell r="AL505">
            <v>20</v>
          </cell>
          <cell r="AM505" t="str">
            <v>&gt; 40% - ≤ 60%</v>
          </cell>
          <cell r="AN505" t="str">
            <v>Institutional and Retail</v>
          </cell>
          <cell r="AO505" t="str">
            <v>&gt; 2</v>
          </cell>
          <cell r="AP505" t="str">
            <v>&lt; 50%</v>
          </cell>
          <cell r="AQ505" t="str">
            <v>Europe</v>
          </cell>
          <cell r="AR505" t="str">
            <v>multi country</v>
          </cell>
          <cell r="AS505" t="str">
            <v>Europe</v>
          </cell>
          <cell r="AU505" t="str">
            <v>multi sector</v>
          </cell>
          <cell r="AY505">
            <v>1966</v>
          </cell>
          <cell r="BD505" t="str">
            <v>No</v>
          </cell>
          <cell r="BG505" t="str">
            <v>&gt; 5 - ≤ 25%</v>
          </cell>
          <cell r="BH505" t="str">
            <v>2020-12-31</v>
          </cell>
          <cell r="BI505">
            <v>14469062259</v>
          </cell>
          <cell r="BJ505">
            <v>14469062259</v>
          </cell>
          <cell r="BK505">
            <v>14050630131.889999</v>
          </cell>
          <cell r="BL505">
            <v>14050630131.889999</v>
          </cell>
          <cell r="BM505">
            <v>1.9</v>
          </cell>
          <cell r="BN505" t="str">
            <v>Yes</v>
          </cell>
          <cell r="BO505" t="str">
            <v>External</v>
          </cell>
          <cell r="BP505">
            <v>0</v>
          </cell>
          <cell r="BQ505">
            <v>78</v>
          </cell>
          <cell r="BR505">
            <v>0</v>
          </cell>
          <cell r="BS505">
            <v>0</v>
          </cell>
          <cell r="BT505">
            <v>0</v>
          </cell>
          <cell r="BV505" t="str">
            <v>No</v>
          </cell>
          <cell r="BW505" t="str">
            <v>Finland</v>
          </cell>
          <cell r="BX505" t="str">
            <v>Retail</v>
          </cell>
          <cell r="BY505">
            <v>1.3</v>
          </cell>
          <cell r="BZ505" t="str">
            <v>Spain</v>
          </cell>
          <cell r="CA505" t="str">
            <v>Retail</v>
          </cell>
          <cell r="CB505">
            <v>2.1</v>
          </cell>
          <cell r="CC505" t="str">
            <v>Germany</v>
          </cell>
          <cell r="CD505" t="str">
            <v>Office</v>
          </cell>
          <cell r="CE505">
            <v>21.7</v>
          </cell>
          <cell r="CF505" t="str">
            <v>France</v>
          </cell>
          <cell r="CG505" t="str">
            <v>Office</v>
          </cell>
          <cell r="CH505">
            <v>11.6</v>
          </cell>
          <cell r="CI505" t="str">
            <v>Germany</v>
          </cell>
          <cell r="CJ505" t="str">
            <v>Hotel</v>
          </cell>
          <cell r="CK505">
            <v>9.5</v>
          </cell>
          <cell r="CL505" t="str">
            <v>Czech Republic</v>
          </cell>
          <cell r="CM505" t="str">
            <v>Retail</v>
          </cell>
          <cell r="CN505">
            <v>5.4</v>
          </cell>
          <cell r="CO505" t="str">
            <v>Poland</v>
          </cell>
          <cell r="CP505" t="str">
            <v>Retail</v>
          </cell>
          <cell r="CQ505">
            <v>4.2</v>
          </cell>
          <cell r="CR505" t="str">
            <v>United Kingdom</v>
          </cell>
          <cell r="CS505" t="str">
            <v>Office</v>
          </cell>
          <cell r="CT505">
            <v>3.9</v>
          </cell>
          <cell r="CU505" t="str">
            <v>Finland</v>
          </cell>
          <cell r="CV505" t="str">
            <v>Office</v>
          </cell>
          <cell r="CW505">
            <v>1.4</v>
          </cell>
          <cell r="CX505" t="str">
            <v>Austria</v>
          </cell>
          <cell r="CY505" t="str">
            <v>Office</v>
          </cell>
          <cell r="CZ505">
            <v>2.5</v>
          </cell>
          <cell r="DA505" t="str">
            <v>Germany</v>
          </cell>
          <cell r="DB505" t="str">
            <v>Industrial / Logistics</v>
          </cell>
          <cell r="DC505">
            <v>2</v>
          </cell>
          <cell r="DD505" t="str">
            <v>Netherlands</v>
          </cell>
          <cell r="DE505" t="str">
            <v>Office</v>
          </cell>
          <cell r="DF505">
            <v>2.1</v>
          </cell>
          <cell r="DG505" t="str">
            <v>Sweden</v>
          </cell>
          <cell r="DH505" t="str">
            <v>Office</v>
          </cell>
          <cell r="DI505">
            <v>2.1</v>
          </cell>
          <cell r="DJ505" t="str">
            <v>Poland</v>
          </cell>
          <cell r="DK505" t="str">
            <v>Office</v>
          </cell>
          <cell r="DL505">
            <v>1.5</v>
          </cell>
          <cell r="DM505" t="str">
            <v>Ireland</v>
          </cell>
          <cell r="DN505" t="str">
            <v>Office</v>
          </cell>
          <cell r="DO505">
            <v>2</v>
          </cell>
          <cell r="DP505" t="str">
            <v>France</v>
          </cell>
          <cell r="DQ505" t="str">
            <v>Hotel</v>
          </cell>
          <cell r="DR505">
            <v>1.1000000000000001</v>
          </cell>
          <cell r="DS505" t="str">
            <v>Luxembourg</v>
          </cell>
          <cell r="DT505" t="str">
            <v>Office</v>
          </cell>
          <cell r="DU505">
            <v>1.3</v>
          </cell>
          <cell r="DV505" t="str">
            <v>Belgium</v>
          </cell>
          <cell r="DW505" t="str">
            <v>Hotel</v>
          </cell>
          <cell r="DX505">
            <v>0.6</v>
          </cell>
          <cell r="DY505" t="str">
            <v>Netherlands</v>
          </cell>
          <cell r="DZ505" t="str">
            <v>Hotel</v>
          </cell>
          <cell r="EA505">
            <v>0.5</v>
          </cell>
          <cell r="EB505" t="str">
            <v>Poland</v>
          </cell>
          <cell r="EC505" t="str">
            <v>Hotel</v>
          </cell>
          <cell r="ED505">
            <v>0.4</v>
          </cell>
          <cell r="EE505" t="str">
            <v>United Kingdom</v>
          </cell>
          <cell r="EF505" t="str">
            <v>Hotel</v>
          </cell>
          <cell r="EG505">
            <v>0.3</v>
          </cell>
          <cell r="EH505" t="str">
            <v>Germany</v>
          </cell>
          <cell r="EI505" t="str">
            <v>Retail</v>
          </cell>
          <cell r="EJ505">
            <v>22.5</v>
          </cell>
        </row>
        <row r="506">
          <cell r="A506">
            <v>483</v>
          </cell>
          <cell r="B506" t="str">
            <v>UNIIMMO: EUROPA</v>
          </cell>
          <cell r="C506" t="str">
            <v>UNION INVESTMENT REAL ESTATE AG</v>
          </cell>
          <cell r="D506" t="str">
            <v>Valentinskamp 70</v>
          </cell>
          <cell r="E506">
            <v>20355</v>
          </cell>
          <cell r="F506" t="str">
            <v>Hamburg</v>
          </cell>
          <cell r="G506" t="str">
            <v>Germany</v>
          </cell>
          <cell r="H506" t="str">
            <v>+4940349190</v>
          </cell>
          <cell r="I506" t="str">
            <v>+494034919190</v>
          </cell>
          <cell r="J506" t="str">
            <v>http://www.realestate.union-investment.com</v>
          </cell>
          <cell r="K506" t="str">
            <v>Björn Thiemann</v>
          </cell>
          <cell r="L506" t="str">
            <v>Bjoern.Thiemann@union-investment.de</v>
          </cell>
          <cell r="M506" t="str">
            <v>+4940349194422</v>
          </cell>
          <cell r="N506" t="str">
            <v>Jörn Stobbe</v>
          </cell>
          <cell r="O506" t="str">
            <v>Joern.Stobbe@union-investment.de</v>
          </cell>
          <cell r="P506" t="str">
            <v>+4940349194455</v>
          </cell>
          <cell r="Q506" t="str">
            <v>Germany</v>
          </cell>
          <cell r="R506" t="str">
            <v>EUR</v>
          </cell>
          <cell r="S506" t="str">
            <v>German Trade Law / Investment Law</v>
          </cell>
          <cell r="T506" t="str">
            <v>Quarterly</v>
          </cell>
          <cell r="U506" t="str">
            <v>Quarterly</v>
          </cell>
          <cell r="V506" t="str">
            <v>ImmoWertV</v>
          </cell>
          <cell r="W506" t="str">
            <v>InvRBV - German Investment Law {no INREV-based calculation method}</v>
          </cell>
          <cell r="X506" t="str">
            <v>KPMG</v>
          </cell>
          <cell r="Y506" t="str">
            <v>Publikumsfonds</v>
          </cell>
          <cell r="Z506" t="str">
            <v>No</v>
          </cell>
          <cell r="AA506" t="str">
            <v>No</v>
          </cell>
          <cell r="AB506">
            <v>0</v>
          </cell>
          <cell r="AC506" t="str">
            <v>Non-Listed Fund</v>
          </cell>
          <cell r="AD506" t="str">
            <v>Core</v>
          </cell>
          <cell r="AE506" t="str">
            <v>infinite</v>
          </cell>
          <cell r="AF506" t="str">
            <v>Open end</v>
          </cell>
          <cell r="AJ506" t="str">
            <v>BVI Open Real Estate</v>
          </cell>
          <cell r="AM506" t="str">
            <v>&gt; 40% - ≤ 60%</v>
          </cell>
          <cell r="AN506" t="str">
            <v>Institutional and Retail</v>
          </cell>
          <cell r="AO506" t="str">
            <v>&gt; 2</v>
          </cell>
          <cell r="AP506" t="str">
            <v>&lt; 50%</v>
          </cell>
          <cell r="AQ506" t="str">
            <v>Europe</v>
          </cell>
          <cell r="AR506" t="str">
            <v>multi country</v>
          </cell>
          <cell r="AS506" t="str">
            <v>Europe</v>
          </cell>
          <cell r="AU506" t="str">
            <v>multi sector</v>
          </cell>
          <cell r="AY506">
            <v>1985</v>
          </cell>
          <cell r="BG506" t="str">
            <v>&gt; 5 - ≤ 25%</v>
          </cell>
          <cell r="BH506" t="str">
            <v>2020-12-31</v>
          </cell>
          <cell r="BI506">
            <v>15569482412</v>
          </cell>
          <cell r="BJ506">
            <v>15569482412</v>
          </cell>
          <cell r="BK506">
            <v>13451877845</v>
          </cell>
          <cell r="BL506">
            <v>13451877845</v>
          </cell>
          <cell r="BM506">
            <v>13.7</v>
          </cell>
          <cell r="BN506" t="str">
            <v>Yes</v>
          </cell>
          <cell r="BO506" t="str">
            <v>External</v>
          </cell>
          <cell r="BP506">
            <v>0</v>
          </cell>
          <cell r="BQ506">
            <v>95</v>
          </cell>
          <cell r="BR506">
            <v>0</v>
          </cell>
          <cell r="BS506">
            <v>0</v>
          </cell>
          <cell r="BT506">
            <v>0</v>
          </cell>
          <cell r="BV506" t="str">
            <v>No</v>
          </cell>
          <cell r="BW506" t="str">
            <v>Netherlands</v>
          </cell>
          <cell r="BX506" t="str">
            <v>Residential</v>
          </cell>
          <cell r="BY506">
            <v>0.4</v>
          </cell>
          <cell r="BZ506" t="str">
            <v>Netherlands</v>
          </cell>
          <cell r="CA506" t="str">
            <v>Hotel</v>
          </cell>
          <cell r="CB506">
            <v>1.3</v>
          </cell>
          <cell r="CC506" t="str">
            <v>Australia</v>
          </cell>
          <cell r="CD506" t="str">
            <v>Office</v>
          </cell>
          <cell r="CE506">
            <v>1</v>
          </cell>
          <cell r="CF506" t="str">
            <v>Netherlands</v>
          </cell>
          <cell r="CG506" t="str">
            <v>Industrial / Logistics</v>
          </cell>
          <cell r="CH506">
            <v>0.7</v>
          </cell>
          <cell r="CI506" t="str">
            <v>France</v>
          </cell>
          <cell r="CJ506" t="str">
            <v>Industrial / Logistics</v>
          </cell>
          <cell r="CK506">
            <v>1</v>
          </cell>
          <cell r="CL506" t="str">
            <v>United States of America</v>
          </cell>
          <cell r="CM506" t="str">
            <v>Office</v>
          </cell>
          <cell r="CN506">
            <v>23</v>
          </cell>
          <cell r="CO506" t="str">
            <v>Germany</v>
          </cell>
          <cell r="CP506" t="str">
            <v>Retail</v>
          </cell>
          <cell r="CQ506">
            <v>17</v>
          </cell>
          <cell r="CR506" t="str">
            <v>France</v>
          </cell>
          <cell r="CS506" t="str">
            <v>Office</v>
          </cell>
          <cell r="CT506">
            <v>7.6</v>
          </cell>
          <cell r="CU506" t="str">
            <v>United Kingdom</v>
          </cell>
          <cell r="CV506" t="str">
            <v>Office</v>
          </cell>
          <cell r="CW506">
            <v>7.5</v>
          </cell>
          <cell r="CX506" t="str">
            <v>United States of America</v>
          </cell>
          <cell r="CY506" t="str">
            <v>Hotel</v>
          </cell>
          <cell r="CZ506">
            <v>3.2</v>
          </cell>
          <cell r="DA506" t="str">
            <v>Netherlands</v>
          </cell>
          <cell r="DB506" t="str">
            <v>Office</v>
          </cell>
          <cell r="DC506">
            <v>3.5</v>
          </cell>
          <cell r="DD506" t="str">
            <v>Ireland</v>
          </cell>
          <cell r="DE506" t="str">
            <v>Office</v>
          </cell>
          <cell r="DF506">
            <v>3.4</v>
          </cell>
          <cell r="DG506" t="str">
            <v>Poland</v>
          </cell>
          <cell r="DH506" t="str">
            <v>Retail</v>
          </cell>
          <cell r="DI506">
            <v>2.8</v>
          </cell>
          <cell r="DJ506" t="str">
            <v>Germany</v>
          </cell>
          <cell r="DK506" t="str">
            <v>Office</v>
          </cell>
          <cell r="DL506">
            <v>3.2</v>
          </cell>
          <cell r="DM506" t="str">
            <v>Belgium</v>
          </cell>
          <cell r="DN506" t="str">
            <v>Retail</v>
          </cell>
          <cell r="DO506">
            <v>2.6</v>
          </cell>
          <cell r="DP506" t="str">
            <v>Italy</v>
          </cell>
          <cell r="DQ506" t="str">
            <v>Retail</v>
          </cell>
          <cell r="DR506">
            <v>2.2000000000000002</v>
          </cell>
          <cell r="DS506" t="str">
            <v>Austria</v>
          </cell>
          <cell r="DT506" t="str">
            <v>Office</v>
          </cell>
          <cell r="DU506">
            <v>2.1</v>
          </cell>
          <cell r="DV506" t="str">
            <v>Germany</v>
          </cell>
          <cell r="DW506" t="str">
            <v>Hotel</v>
          </cell>
          <cell r="DX506">
            <v>2</v>
          </cell>
          <cell r="DY506" t="str">
            <v>Japan</v>
          </cell>
          <cell r="DZ506" t="str">
            <v>Retail</v>
          </cell>
          <cell r="EA506">
            <v>1.1000000000000001</v>
          </cell>
          <cell r="EB506" t="str">
            <v>Turkey</v>
          </cell>
          <cell r="EC506" t="str">
            <v>Retail</v>
          </cell>
          <cell r="ED506">
            <v>0.9</v>
          </cell>
          <cell r="EE506" t="str">
            <v>Japan</v>
          </cell>
          <cell r="EF506" t="str">
            <v>Office</v>
          </cell>
          <cell r="EG506">
            <v>1.1000000000000001</v>
          </cell>
          <cell r="EH506" t="str">
            <v>Germany</v>
          </cell>
          <cell r="EI506" t="str">
            <v>Industrial / Logistics</v>
          </cell>
          <cell r="EJ506">
            <v>4.0999999999999996</v>
          </cell>
          <cell r="EK506" t="str">
            <v>Luxembourg</v>
          </cell>
          <cell r="EL506" t="str">
            <v>Office</v>
          </cell>
          <cell r="EM506">
            <v>1.1000000000000001</v>
          </cell>
          <cell r="EN506" t="str">
            <v>Switzerland</v>
          </cell>
          <cell r="EO506" t="str">
            <v>Office</v>
          </cell>
          <cell r="EP506">
            <v>0.9</v>
          </cell>
          <cell r="EQ506" t="str">
            <v>Sweden</v>
          </cell>
          <cell r="ER506" t="str">
            <v>Office</v>
          </cell>
          <cell r="ES506">
            <v>0.9</v>
          </cell>
          <cell r="ET506" t="str">
            <v>Finland</v>
          </cell>
          <cell r="EU506" t="str">
            <v>Office</v>
          </cell>
        </row>
        <row r="507">
          <cell r="A507">
            <v>484</v>
          </cell>
          <cell r="B507" t="str">
            <v>UNIIMMO: GLOBAL</v>
          </cell>
          <cell r="C507" t="str">
            <v>UNION INVESTMENT REAL ESTATE GMBH</v>
          </cell>
          <cell r="D507" t="str">
            <v>Valentinskamp 70</v>
          </cell>
          <cell r="E507">
            <v>20355</v>
          </cell>
          <cell r="F507" t="str">
            <v>Hamburg</v>
          </cell>
          <cell r="G507" t="str">
            <v>Germany</v>
          </cell>
          <cell r="H507" t="str">
            <v>+4940349190</v>
          </cell>
          <cell r="I507" t="str">
            <v>+494034919190</v>
          </cell>
          <cell r="J507" t="str">
            <v>http://www.realestate.union-investment.com</v>
          </cell>
          <cell r="K507" t="str">
            <v>Björn Thiemann</v>
          </cell>
          <cell r="L507" t="str">
            <v>Bjoern.Thiemann@union-investment.de</v>
          </cell>
          <cell r="M507" t="str">
            <v>+4940349194422</v>
          </cell>
          <cell r="N507" t="str">
            <v>Jörn Stobbe</v>
          </cell>
          <cell r="O507" t="str">
            <v>Joern.Stobbe@union-investment.de</v>
          </cell>
          <cell r="P507" t="str">
            <v>+4940349194455</v>
          </cell>
          <cell r="Q507" t="str">
            <v>Germany</v>
          </cell>
          <cell r="R507" t="str">
            <v>EUR</v>
          </cell>
          <cell r="S507" t="str">
            <v>German Trade Law / Investment Law</v>
          </cell>
          <cell r="T507" t="str">
            <v>Quarterly</v>
          </cell>
          <cell r="U507" t="str">
            <v>Quarterly</v>
          </cell>
          <cell r="V507" t="str">
            <v>ImmoWertV</v>
          </cell>
          <cell r="W507" t="str">
            <v>InvRBV - German Investment Law {no INREV-based calculation method}</v>
          </cell>
          <cell r="X507" t="str">
            <v>KPMG</v>
          </cell>
          <cell r="Y507" t="str">
            <v>Publikumsfonds</v>
          </cell>
          <cell r="Z507" t="str">
            <v>No</v>
          </cell>
          <cell r="AA507" t="str">
            <v>No</v>
          </cell>
          <cell r="AB507">
            <v>0</v>
          </cell>
          <cell r="AC507" t="str">
            <v>Non-Listed Fund</v>
          </cell>
          <cell r="AD507" t="str">
            <v>Core</v>
          </cell>
          <cell r="AE507" t="str">
            <v>infinite</v>
          </cell>
          <cell r="AF507" t="str">
            <v>Open end</v>
          </cell>
          <cell r="AJ507" t="str">
            <v>BVI Open Real Estate</v>
          </cell>
          <cell r="AM507" t="str">
            <v>≤ 40%</v>
          </cell>
          <cell r="AN507" t="str">
            <v>Institutional and Retail</v>
          </cell>
          <cell r="AO507" t="str">
            <v>&gt; 2</v>
          </cell>
          <cell r="AP507" t="str">
            <v>&lt; 50%</v>
          </cell>
          <cell r="AQ507" t="str">
            <v>Global</v>
          </cell>
          <cell r="AR507" t="str">
            <v>multi country</v>
          </cell>
          <cell r="AU507" t="str">
            <v>multi sector</v>
          </cell>
          <cell r="AY507">
            <v>2004</v>
          </cell>
          <cell r="BG507" t="str">
            <v>&gt; 5 - ≤ 25%</v>
          </cell>
          <cell r="BH507" t="str">
            <v>2020-12-31</v>
          </cell>
          <cell r="BI507">
            <v>4540719039</v>
          </cell>
          <cell r="BJ507">
            <v>4540719039</v>
          </cell>
          <cell r="BK507">
            <v>3848940252</v>
          </cell>
          <cell r="BL507">
            <v>3848940252</v>
          </cell>
          <cell r="BM507">
            <v>17.7</v>
          </cell>
          <cell r="BN507" t="str">
            <v>Yes</v>
          </cell>
          <cell r="BO507" t="str">
            <v>External</v>
          </cell>
          <cell r="BP507">
            <v>0</v>
          </cell>
          <cell r="BQ507">
            <v>44</v>
          </cell>
          <cell r="BR507">
            <v>0</v>
          </cell>
          <cell r="BS507">
            <v>0</v>
          </cell>
          <cell r="BT507">
            <v>0</v>
          </cell>
          <cell r="BV507" t="str">
            <v>No</v>
          </cell>
          <cell r="BW507" t="str">
            <v>Mexico</v>
          </cell>
          <cell r="BX507" t="str">
            <v>Office</v>
          </cell>
          <cell r="BY507">
            <v>8.5</v>
          </cell>
          <cell r="BZ507" t="str">
            <v>Germany</v>
          </cell>
          <cell r="CA507" t="str">
            <v>Retail</v>
          </cell>
          <cell r="CB507">
            <v>7.4</v>
          </cell>
          <cell r="CC507" t="str">
            <v>Singapore</v>
          </cell>
          <cell r="CD507" t="str">
            <v>Office</v>
          </cell>
          <cell r="CE507">
            <v>5.0999999999999996</v>
          </cell>
          <cell r="CF507" t="str">
            <v>United Kingdom</v>
          </cell>
          <cell r="CG507" t="str">
            <v>Office</v>
          </cell>
          <cell r="CH507">
            <v>5</v>
          </cell>
          <cell r="CI507" t="str">
            <v>United States of America</v>
          </cell>
          <cell r="CJ507" t="str">
            <v>Retail</v>
          </cell>
          <cell r="CK507">
            <v>3.9</v>
          </cell>
          <cell r="CL507" t="str">
            <v>Switzerland</v>
          </cell>
          <cell r="CM507" t="str">
            <v>Office</v>
          </cell>
          <cell r="CN507">
            <v>4.3</v>
          </cell>
          <cell r="CO507" t="str">
            <v>Australia</v>
          </cell>
          <cell r="CP507" t="str">
            <v>Office</v>
          </cell>
          <cell r="CQ507">
            <v>3.5</v>
          </cell>
          <cell r="CR507" t="str">
            <v>United Kingdom</v>
          </cell>
          <cell r="CS507" t="str">
            <v>Hotel</v>
          </cell>
          <cell r="CT507">
            <v>2.9</v>
          </cell>
          <cell r="CU507" t="str">
            <v>Germany</v>
          </cell>
          <cell r="CV507" t="str">
            <v>Office</v>
          </cell>
          <cell r="CW507">
            <v>2.9</v>
          </cell>
          <cell r="CX507" t="str">
            <v>Poland</v>
          </cell>
          <cell r="CY507" t="str">
            <v>Retail</v>
          </cell>
          <cell r="CZ507">
            <v>1.8</v>
          </cell>
          <cell r="DA507" t="str">
            <v>Japan</v>
          </cell>
          <cell r="DB507" t="str">
            <v>Retail</v>
          </cell>
          <cell r="DC507">
            <v>1.9</v>
          </cell>
          <cell r="DD507" t="str">
            <v>Portugal</v>
          </cell>
          <cell r="DE507" t="str">
            <v>Office</v>
          </cell>
          <cell r="DF507">
            <v>2</v>
          </cell>
          <cell r="DG507" t="str">
            <v>Poland</v>
          </cell>
          <cell r="DH507" t="str">
            <v>Office</v>
          </cell>
          <cell r="DI507">
            <v>1.9</v>
          </cell>
          <cell r="DJ507" t="str">
            <v>Sweden</v>
          </cell>
          <cell r="DK507" t="str">
            <v>Office</v>
          </cell>
          <cell r="DL507">
            <v>1.9</v>
          </cell>
          <cell r="DM507" t="str">
            <v>Germany</v>
          </cell>
          <cell r="DN507" t="str">
            <v>Hotel</v>
          </cell>
          <cell r="DO507">
            <v>1.7</v>
          </cell>
          <cell r="DP507" t="str">
            <v>Germany</v>
          </cell>
          <cell r="DQ507" t="str">
            <v>Industrial / Logistics</v>
          </cell>
          <cell r="DR507">
            <v>5.8</v>
          </cell>
          <cell r="DS507" t="str">
            <v>Austria</v>
          </cell>
          <cell r="DT507" t="str">
            <v>Office</v>
          </cell>
          <cell r="DU507">
            <v>1</v>
          </cell>
          <cell r="DV507" t="str">
            <v>United States of America</v>
          </cell>
          <cell r="DW507" t="str">
            <v>Hotel</v>
          </cell>
          <cell r="DX507">
            <v>11.4</v>
          </cell>
          <cell r="DY507" t="str">
            <v>United States of America</v>
          </cell>
          <cell r="DZ507" t="str">
            <v>Office</v>
          </cell>
          <cell r="EA507">
            <v>20</v>
          </cell>
          <cell r="EB507" t="str">
            <v>Turkey</v>
          </cell>
          <cell r="EC507" t="str">
            <v>Retail</v>
          </cell>
          <cell r="ED507">
            <v>5.0999999999999996</v>
          </cell>
          <cell r="EE507" t="str">
            <v>Netherlands</v>
          </cell>
          <cell r="EF507" t="str">
            <v>Industrial / Logistics</v>
          </cell>
          <cell r="EG507">
            <v>2</v>
          </cell>
        </row>
        <row r="508">
          <cell r="A508">
            <v>255</v>
          </cell>
          <cell r="B508" t="str">
            <v>UNIINSTITUTIONAL EUROPEAN REAL ESTATE</v>
          </cell>
          <cell r="C508" t="str">
            <v>UNION INVESTMENT INSTITUTIONAL GMBH</v>
          </cell>
          <cell r="D508" t="str">
            <v>P.O Box 30 11 99</v>
          </cell>
          <cell r="E508">
            <v>20304</v>
          </cell>
          <cell r="F508" t="str">
            <v>Hamburg</v>
          </cell>
          <cell r="G508" t="str">
            <v>Germany</v>
          </cell>
          <cell r="H508" t="str">
            <v>+4940349190</v>
          </cell>
          <cell r="I508" t="str">
            <v>+494034919190</v>
          </cell>
          <cell r="J508" t="str">
            <v>http://www.union-investment.de</v>
          </cell>
          <cell r="K508" t="str">
            <v>Carsten Thiel</v>
          </cell>
          <cell r="L508" t="str">
            <v>carsten.thiel@union-investment.de</v>
          </cell>
          <cell r="M508" t="str">
            <v>+4940349194341</v>
          </cell>
          <cell r="N508" t="str">
            <v>Jörn Stobbe</v>
          </cell>
          <cell r="O508" t="str">
            <v>Joern.Stobbe@union-investment.de</v>
          </cell>
          <cell r="P508" t="str">
            <v>+4940349194455</v>
          </cell>
          <cell r="Q508" t="str">
            <v>Germany</v>
          </cell>
          <cell r="R508" t="str">
            <v>EUR</v>
          </cell>
          <cell r="S508" t="str">
            <v>German Trade Law / Investment Law</v>
          </cell>
          <cell r="T508" t="str">
            <v>Quarterly</v>
          </cell>
          <cell r="U508" t="str">
            <v>Annually</v>
          </cell>
          <cell r="V508" t="str">
            <v>ImmoWertV</v>
          </cell>
          <cell r="W508" t="str">
            <v>InvRBV - German Investment Law {no INREV-based calculation method}</v>
          </cell>
          <cell r="X508" t="str">
            <v>KPMG</v>
          </cell>
          <cell r="Y508" t="str">
            <v>Publikumsfonds</v>
          </cell>
          <cell r="Z508" t="str">
            <v>No</v>
          </cell>
          <cell r="AA508" t="str">
            <v>No</v>
          </cell>
          <cell r="AB508">
            <v>0</v>
          </cell>
          <cell r="AC508" t="str">
            <v>Non-Listed Fund</v>
          </cell>
          <cell r="AD508" t="str">
            <v>Core</v>
          </cell>
          <cell r="AE508" t="str">
            <v>infinite</v>
          </cell>
          <cell r="AF508" t="str">
            <v>Open end</v>
          </cell>
          <cell r="AL508">
            <v>50</v>
          </cell>
          <cell r="AM508" t="str">
            <v>≤ 40%</v>
          </cell>
          <cell r="AN508" t="str">
            <v>Institutional</v>
          </cell>
          <cell r="AO508" t="str">
            <v>&gt; 2</v>
          </cell>
          <cell r="AP508" t="str">
            <v>≥ 50%</v>
          </cell>
          <cell r="AQ508" t="str">
            <v>Europe</v>
          </cell>
          <cell r="AR508" t="str">
            <v>multi country</v>
          </cell>
          <cell r="AS508" t="str">
            <v>Europe</v>
          </cell>
          <cell r="AU508" t="str">
            <v>multi sector</v>
          </cell>
          <cell r="AY508">
            <v>2004</v>
          </cell>
          <cell r="BG508" t="str">
            <v>&gt; 25%</v>
          </cell>
          <cell r="BH508" t="str">
            <v>2020-12-31</v>
          </cell>
          <cell r="BI508">
            <v>3765729735.4099998</v>
          </cell>
          <cell r="BJ508">
            <v>3765729735.4099998</v>
          </cell>
          <cell r="BK508">
            <v>3475265220</v>
          </cell>
          <cell r="BL508">
            <v>3475265220</v>
          </cell>
          <cell r="BM508">
            <v>6.4</v>
          </cell>
          <cell r="BN508" t="str">
            <v>Yes</v>
          </cell>
          <cell r="BO508" t="str">
            <v>External</v>
          </cell>
          <cell r="BP508">
            <v>2050</v>
          </cell>
          <cell r="BQ508">
            <v>55</v>
          </cell>
          <cell r="BR508">
            <v>0</v>
          </cell>
          <cell r="BS508">
            <v>0</v>
          </cell>
          <cell r="BT508">
            <v>0</v>
          </cell>
          <cell r="BV508" t="str">
            <v>No</v>
          </cell>
          <cell r="BW508" t="str">
            <v>Germany</v>
          </cell>
          <cell r="BX508" t="str">
            <v>Office</v>
          </cell>
          <cell r="BY508">
            <v>15.3</v>
          </cell>
          <cell r="BZ508" t="str">
            <v>Germany</v>
          </cell>
          <cell r="CA508" t="str">
            <v>Retail</v>
          </cell>
          <cell r="CB508">
            <v>8.4</v>
          </cell>
          <cell r="CC508" t="str">
            <v>France</v>
          </cell>
          <cell r="CD508" t="str">
            <v>Office</v>
          </cell>
          <cell r="CE508">
            <v>8.9</v>
          </cell>
          <cell r="CF508" t="str">
            <v>Poland</v>
          </cell>
          <cell r="CG508" t="str">
            <v>Retail</v>
          </cell>
          <cell r="CH508">
            <v>7.5</v>
          </cell>
          <cell r="CI508" t="str">
            <v>Germany</v>
          </cell>
          <cell r="CJ508" t="str">
            <v>Industrial / Logistics</v>
          </cell>
          <cell r="CK508">
            <v>7</v>
          </cell>
          <cell r="CL508" t="str">
            <v>Netherlands</v>
          </cell>
          <cell r="CM508" t="str">
            <v>Office</v>
          </cell>
          <cell r="CN508">
            <v>6.4</v>
          </cell>
          <cell r="CO508" t="str">
            <v>Sweden</v>
          </cell>
          <cell r="CP508" t="str">
            <v>Office</v>
          </cell>
          <cell r="CQ508">
            <v>5.9</v>
          </cell>
          <cell r="CR508" t="str">
            <v>Luxembourg</v>
          </cell>
          <cell r="CS508" t="str">
            <v>Office</v>
          </cell>
          <cell r="CT508">
            <v>4.4000000000000004</v>
          </cell>
          <cell r="CU508" t="str">
            <v>United Kingdom</v>
          </cell>
          <cell r="CV508" t="str">
            <v>Office</v>
          </cell>
          <cell r="CW508">
            <v>5.7</v>
          </cell>
          <cell r="CX508" t="str">
            <v>Poland</v>
          </cell>
          <cell r="CY508" t="str">
            <v>Hotel</v>
          </cell>
          <cell r="CZ508">
            <v>0.6</v>
          </cell>
          <cell r="DA508" t="str">
            <v>Denmark</v>
          </cell>
          <cell r="DB508" t="str">
            <v>Retail</v>
          </cell>
          <cell r="DC508">
            <v>0.8</v>
          </cell>
          <cell r="DD508" t="str">
            <v>Belgium</v>
          </cell>
          <cell r="DE508" t="str">
            <v>Hotel</v>
          </cell>
          <cell r="DF508">
            <v>1.6</v>
          </cell>
          <cell r="DG508" t="str">
            <v>Austria</v>
          </cell>
          <cell r="DH508" t="str">
            <v>Retail</v>
          </cell>
          <cell r="DI508">
            <v>1.7</v>
          </cell>
          <cell r="DJ508" t="str">
            <v>Poland</v>
          </cell>
          <cell r="DK508" t="str">
            <v>Office</v>
          </cell>
          <cell r="DL508">
            <v>1.6</v>
          </cell>
          <cell r="DM508" t="str">
            <v>United Kingdom</v>
          </cell>
          <cell r="DN508" t="str">
            <v>Hotel</v>
          </cell>
          <cell r="DO508">
            <v>1.9</v>
          </cell>
          <cell r="DP508" t="str">
            <v>Germany</v>
          </cell>
          <cell r="DQ508" t="str">
            <v>Hotel</v>
          </cell>
          <cell r="DR508">
            <v>4.7</v>
          </cell>
          <cell r="DS508" t="str">
            <v>Italy</v>
          </cell>
          <cell r="DT508" t="str">
            <v>Retail</v>
          </cell>
          <cell r="DU508">
            <v>4.3</v>
          </cell>
          <cell r="DV508" t="str">
            <v>Netherlands</v>
          </cell>
          <cell r="DW508" t="str">
            <v>Hotel</v>
          </cell>
          <cell r="DX508">
            <v>2.8</v>
          </cell>
          <cell r="DY508" t="str">
            <v>Finland</v>
          </cell>
          <cell r="DZ508" t="str">
            <v>Office</v>
          </cell>
          <cell r="EA508">
            <v>2.4</v>
          </cell>
          <cell r="EB508" t="str">
            <v>Spain</v>
          </cell>
          <cell r="EC508" t="str">
            <v>Office</v>
          </cell>
          <cell r="ED508">
            <v>2.1</v>
          </cell>
          <cell r="EE508" t="str">
            <v>Switzerland</v>
          </cell>
          <cell r="EF508" t="str">
            <v>Industrial / Logistics</v>
          </cell>
          <cell r="EG508">
            <v>1.6</v>
          </cell>
          <cell r="EH508" t="str">
            <v>Spain</v>
          </cell>
          <cell r="EI508" t="str">
            <v>Retail</v>
          </cell>
          <cell r="EJ508">
            <v>0.8</v>
          </cell>
          <cell r="EK508" t="str">
            <v>Ireland</v>
          </cell>
          <cell r="EL508" t="str">
            <v>Office</v>
          </cell>
          <cell r="EM508">
            <v>0.8</v>
          </cell>
          <cell r="EN508" t="str">
            <v>Belgium</v>
          </cell>
          <cell r="EO508" t="str">
            <v>Office</v>
          </cell>
          <cell r="EP508">
            <v>0.4</v>
          </cell>
          <cell r="EQ508" t="str">
            <v>Turkey</v>
          </cell>
          <cell r="ER508" t="str">
            <v>Retail</v>
          </cell>
          <cell r="ES508">
            <v>0.6</v>
          </cell>
          <cell r="ET508" t="str">
            <v>Netherlands</v>
          </cell>
          <cell r="EU508" t="str">
            <v>Industrial / Logistics</v>
          </cell>
        </row>
        <row r="509">
          <cell r="A509">
            <v>16688</v>
          </cell>
          <cell r="B509" t="str">
            <v>UNIINSTITUTIONAL GERMAN REAL ESTATE</v>
          </cell>
          <cell r="C509" t="str">
            <v>UNION INVESTMENT REAL ESTATE GMBH</v>
          </cell>
          <cell r="D509" t="str">
            <v>Valentinskamp 70</v>
          </cell>
          <cell r="E509">
            <v>20355</v>
          </cell>
          <cell r="F509" t="str">
            <v>Hamburg</v>
          </cell>
          <cell r="G509" t="str">
            <v>Germany</v>
          </cell>
          <cell r="H509" t="str">
            <v>+4940349190</v>
          </cell>
          <cell r="I509" t="str">
            <v>+494034919190</v>
          </cell>
          <cell r="J509" t="str">
            <v>http://www.realestate.union-investment.com</v>
          </cell>
          <cell r="K509" t="str">
            <v>Matthias Bulir</v>
          </cell>
          <cell r="L509" t="str">
            <v>matthias.bulir@union-investment.de</v>
          </cell>
          <cell r="M509" t="str">
            <v>+4940349194732</v>
          </cell>
          <cell r="N509" t="str">
            <v>Jörn Stobbe</v>
          </cell>
          <cell r="O509" t="str">
            <v>Joern.Stobbe@union-investment.de</v>
          </cell>
          <cell r="P509" t="str">
            <v>+4940349194455</v>
          </cell>
          <cell r="Q509" t="str">
            <v>Germany</v>
          </cell>
          <cell r="R509" t="str">
            <v>EUR</v>
          </cell>
          <cell r="S509" t="str">
            <v>German Trade Law / Investment Law</v>
          </cell>
          <cell r="T509" t="str">
            <v>Quarterly</v>
          </cell>
          <cell r="U509" t="str">
            <v>Quarterly</v>
          </cell>
          <cell r="V509" t="str">
            <v>ImmoWertV</v>
          </cell>
          <cell r="W509" t="str">
            <v>InvRBV - German Investment Law {no INREV-based calculation method}</v>
          </cell>
          <cell r="X509" t="str">
            <v>E&amp;Y</v>
          </cell>
          <cell r="Y509" t="str">
            <v>Publikumsfonds</v>
          </cell>
          <cell r="Z509" t="str">
            <v>No</v>
          </cell>
          <cell r="AA509" t="str">
            <v>No</v>
          </cell>
          <cell r="AC509" t="str">
            <v>Non-Listed Fund</v>
          </cell>
          <cell r="AD509" t="str">
            <v>Core</v>
          </cell>
          <cell r="AE509" t="str">
            <v>infinite</v>
          </cell>
          <cell r="AF509" t="str">
            <v>Open end</v>
          </cell>
          <cell r="AM509" t="str">
            <v>≤ 40%</v>
          </cell>
          <cell r="AN509" t="str">
            <v>Institutional</v>
          </cell>
          <cell r="AO509" t="str">
            <v>&gt; 2</v>
          </cell>
          <cell r="AP509" t="str">
            <v>≥ 50%</v>
          </cell>
          <cell r="AQ509" t="str">
            <v>Europe</v>
          </cell>
          <cell r="AR509" t="str">
            <v>single country</v>
          </cell>
          <cell r="AT509" t="str">
            <v>Germany</v>
          </cell>
          <cell r="AU509" t="str">
            <v>multi sector</v>
          </cell>
          <cell r="AY509">
            <v>2012</v>
          </cell>
          <cell r="BD509" t="str">
            <v>No</v>
          </cell>
          <cell r="BH509" t="str">
            <v>2020-12-31</v>
          </cell>
          <cell r="BI509">
            <v>701881853</v>
          </cell>
          <cell r="BJ509">
            <v>701881853</v>
          </cell>
          <cell r="BK509">
            <v>683129615.29999995</v>
          </cell>
          <cell r="BL509">
            <v>683129615.29999995</v>
          </cell>
          <cell r="BM509">
            <v>0</v>
          </cell>
          <cell r="BN509" t="str">
            <v>Yes</v>
          </cell>
          <cell r="BO509" t="str">
            <v>External</v>
          </cell>
          <cell r="BP509">
            <v>544</v>
          </cell>
          <cell r="BQ509">
            <v>17</v>
          </cell>
          <cell r="BR509">
            <v>0</v>
          </cell>
          <cell r="BS509">
            <v>0</v>
          </cell>
          <cell r="BT509">
            <v>0</v>
          </cell>
          <cell r="BV509" t="str">
            <v>No</v>
          </cell>
          <cell r="BW509" t="str">
            <v>Germany</v>
          </cell>
          <cell r="BX509" t="str">
            <v>Retail</v>
          </cell>
          <cell r="BY509">
            <v>18.600000000000001</v>
          </cell>
          <cell r="BZ509" t="str">
            <v>Germany</v>
          </cell>
          <cell r="CA509" t="str">
            <v>Office</v>
          </cell>
          <cell r="CB509">
            <v>53.8</v>
          </cell>
          <cell r="CC509" t="str">
            <v>Germany</v>
          </cell>
          <cell r="CD509" t="str">
            <v>Industrial / Logistics</v>
          </cell>
          <cell r="CE509">
            <v>6</v>
          </cell>
          <cell r="CF509" t="str">
            <v>Germany</v>
          </cell>
          <cell r="CG509" t="str">
            <v>Residential</v>
          </cell>
          <cell r="CH509">
            <v>4.7</v>
          </cell>
          <cell r="CI509" t="str">
            <v>Germany</v>
          </cell>
          <cell r="CJ509" t="str">
            <v>Hotel</v>
          </cell>
          <cell r="CK509">
            <v>16.899999999999999</v>
          </cell>
        </row>
        <row r="510">
          <cell r="A510">
            <v>636</v>
          </cell>
          <cell r="B510" t="str">
            <v>UNITE UK STUDENT ACCOMMODATION FUND</v>
          </cell>
          <cell r="C510" t="str">
            <v>UNITE INTEGRATED SOLUTIONS PLC</v>
          </cell>
          <cell r="D510" t="str">
            <v>South Quay House, Temple Back</v>
          </cell>
          <cell r="E510" t="str">
            <v>BS1 6FL</v>
          </cell>
          <cell r="F510" t="str">
            <v>Bristol</v>
          </cell>
          <cell r="G510" t="str">
            <v>United Kingdom</v>
          </cell>
          <cell r="H510" t="str">
            <v>0117 302 7000</v>
          </cell>
          <cell r="J510" t="str">
            <v>http://www.unite-group.co.uk</v>
          </cell>
          <cell r="K510" t="str">
            <v>James Watts</v>
          </cell>
          <cell r="L510" t="str">
            <v>james.watts@unitestudents.com</v>
          </cell>
          <cell r="M510" t="str">
            <v>0117 302 7190</v>
          </cell>
          <cell r="N510" t="str">
            <v>James Watts</v>
          </cell>
          <cell r="O510" t="str">
            <v>james.watts@unitestudents.com</v>
          </cell>
          <cell r="P510" t="str">
            <v>0117 302 7190</v>
          </cell>
          <cell r="Q510" t="str">
            <v>Jersey</v>
          </cell>
          <cell r="R510" t="str">
            <v>GBP</v>
          </cell>
          <cell r="S510" t="str">
            <v>UK GAAP</v>
          </cell>
          <cell r="T510" t="str">
            <v>Quarterly</v>
          </cell>
          <cell r="U510" t="str">
            <v>Quarterly</v>
          </cell>
          <cell r="V510" t="str">
            <v>RICS</v>
          </cell>
          <cell r="W510" t="str">
            <v>INREV NAV</v>
          </cell>
          <cell r="X510" t="str">
            <v>Deloitte</v>
          </cell>
          <cell r="Y510" t="str">
            <v>Unit trust</v>
          </cell>
          <cell r="Z510" t="str">
            <v>No</v>
          </cell>
          <cell r="AA510" t="str">
            <v>Yes</v>
          </cell>
          <cell r="AB510">
            <v>4</v>
          </cell>
          <cell r="AC510" t="str">
            <v>Non-Listed Fund</v>
          </cell>
          <cell r="AD510" t="str">
            <v>Value-added</v>
          </cell>
          <cell r="AE510" t="str">
            <v>infinite</v>
          </cell>
          <cell r="AF510" t="str">
            <v>Open end</v>
          </cell>
          <cell r="AJ510" t="str">
            <v>IPD Specialist PPFI</v>
          </cell>
          <cell r="AK510">
            <v>6</v>
          </cell>
          <cell r="AL510">
            <v>40</v>
          </cell>
          <cell r="AM510" t="str">
            <v>&gt; 60%</v>
          </cell>
          <cell r="AN510" t="str">
            <v>Institutional</v>
          </cell>
          <cell r="AO510" t="str">
            <v>&gt; 2</v>
          </cell>
          <cell r="AP510" t="str">
            <v>≥ 50%</v>
          </cell>
          <cell r="AQ510" t="str">
            <v>Europe</v>
          </cell>
          <cell r="AR510" t="str">
            <v>single country</v>
          </cell>
          <cell r="AT510" t="str">
            <v>United Kingdom</v>
          </cell>
          <cell r="AU510" t="str">
            <v>single sector</v>
          </cell>
          <cell r="AV510" t="str">
            <v>Student Housing</v>
          </cell>
          <cell r="AY510">
            <v>2006</v>
          </cell>
          <cell r="BD510" t="str">
            <v>No</v>
          </cell>
          <cell r="BF510" t="str">
            <v>≤ 15%</v>
          </cell>
          <cell r="BG510" t="str">
            <v>≤ 5%</v>
          </cell>
          <cell r="BH510" t="str">
            <v>2020-12-31</v>
          </cell>
          <cell r="BI510">
            <v>2798270000</v>
          </cell>
          <cell r="BJ510">
            <v>3093624866.06565</v>
          </cell>
          <cell r="BK510">
            <v>1835632238</v>
          </cell>
          <cell r="BL510">
            <v>2029381559.4737251</v>
          </cell>
          <cell r="BM510">
            <v>32.520000000000003</v>
          </cell>
          <cell r="BN510" t="str">
            <v>No</v>
          </cell>
          <cell r="BO510" t="str">
            <v>External</v>
          </cell>
          <cell r="BP510">
            <v>86</v>
          </cell>
          <cell r="BQ510">
            <v>79</v>
          </cell>
          <cell r="BR510">
            <v>1411621952</v>
          </cell>
          <cell r="BS510">
            <v>1549896698.6359191</v>
          </cell>
          <cell r="BT510">
            <v>1411621952</v>
          </cell>
          <cell r="BU510">
            <v>1549896698.6359191</v>
          </cell>
          <cell r="BV510" t="str">
            <v>No</v>
          </cell>
          <cell r="BW510" t="str">
            <v>United Kingdom</v>
          </cell>
          <cell r="BX510" t="str">
            <v>Student Housing</v>
          </cell>
          <cell r="BY510">
            <v>97.58</v>
          </cell>
        </row>
        <row r="511">
          <cell r="A511">
            <v>18276</v>
          </cell>
          <cell r="B511" t="str">
            <v>URBAN CAMPUS NR. 1</v>
          </cell>
          <cell r="C511" t="str">
            <v>UNION INVESTMENT INSTITUTIONAL PROPERTY</v>
          </cell>
          <cell r="D511" t="str">
            <v>Valentinskamp 70</v>
          </cell>
          <cell r="E511">
            <v>20355</v>
          </cell>
          <cell r="F511" t="str">
            <v>Hamburg</v>
          </cell>
          <cell r="G511" t="str">
            <v>Germany</v>
          </cell>
          <cell r="K511" t="str">
            <v>Hubertus Bäumer</v>
          </cell>
          <cell r="L511" t="str">
            <v>Hubertus.Baeumer@union-investment.de</v>
          </cell>
          <cell r="M511" t="str">
            <v>+4940349194152</v>
          </cell>
          <cell r="Q511" t="str">
            <v>Germany</v>
          </cell>
          <cell r="R511" t="str">
            <v>EUR</v>
          </cell>
          <cell r="S511" t="str">
            <v>IFRS</v>
          </cell>
          <cell r="T511" t="str">
            <v>Quarterly</v>
          </cell>
          <cell r="U511" t="str">
            <v>Annually</v>
          </cell>
          <cell r="V511" t="str">
            <v>ImmoWertV</v>
          </cell>
          <cell r="W511" t="str">
            <v>InvRBV</v>
          </cell>
          <cell r="X511" t="str">
            <v>KPMG</v>
          </cell>
          <cell r="Y511" t="str">
            <v>Spezialfonds</v>
          </cell>
          <cell r="Z511" t="str">
            <v>No</v>
          </cell>
          <cell r="AA511" t="str">
            <v>No</v>
          </cell>
          <cell r="AC511" t="str">
            <v>Non-Listed Fund</v>
          </cell>
          <cell r="AD511" t="str">
            <v>Core</v>
          </cell>
          <cell r="AE511" t="str">
            <v>infinite</v>
          </cell>
          <cell r="AF511" t="str">
            <v>Open end</v>
          </cell>
          <cell r="AN511" t="str">
            <v>Institutional</v>
          </cell>
          <cell r="AO511" t="str">
            <v>&gt; 2</v>
          </cell>
          <cell r="AP511" t="str">
            <v>≥ 50%</v>
          </cell>
          <cell r="AQ511" t="str">
            <v>Europe</v>
          </cell>
          <cell r="AR511" t="str">
            <v>multi country</v>
          </cell>
          <cell r="AS511" t="str">
            <v>Europe</v>
          </cell>
          <cell r="AU511" t="str">
            <v>multi sector</v>
          </cell>
          <cell r="AY511">
            <v>2016</v>
          </cell>
          <cell r="BD511" t="str">
            <v>No</v>
          </cell>
          <cell r="BH511" t="str">
            <v>2020-12-31</v>
          </cell>
          <cell r="BI511">
            <v>312685541.39999998</v>
          </cell>
          <cell r="BJ511">
            <v>312685541.39999998</v>
          </cell>
          <cell r="BK511">
            <v>180227051.69999999</v>
          </cell>
          <cell r="BL511">
            <v>180227051.69999999</v>
          </cell>
          <cell r="BM511">
            <v>43.4</v>
          </cell>
          <cell r="BN511" t="str">
            <v>Yes</v>
          </cell>
          <cell r="BO511" t="str">
            <v>External</v>
          </cell>
          <cell r="BP511">
            <v>46</v>
          </cell>
          <cell r="BQ511">
            <v>5</v>
          </cell>
          <cell r="BR511">
            <v>179025000</v>
          </cell>
          <cell r="BS511">
            <v>179025000</v>
          </cell>
          <cell r="BT511">
            <v>179025000</v>
          </cell>
          <cell r="BU511">
            <v>179025000</v>
          </cell>
          <cell r="BV511" t="str">
            <v>No</v>
          </cell>
          <cell r="BW511" t="str">
            <v>Germany</v>
          </cell>
          <cell r="BX511" t="str">
            <v>Office</v>
          </cell>
          <cell r="BY511">
            <v>100</v>
          </cell>
        </row>
        <row r="512">
          <cell r="A512">
            <v>18388</v>
          </cell>
          <cell r="B512" t="str">
            <v>URBAN LIVING NR. 1</v>
          </cell>
          <cell r="C512" t="str">
            <v>UNION INVESTMENT INSTITUTIONAL PROPERTY</v>
          </cell>
          <cell r="D512" t="str">
            <v>Valentinskamp 70</v>
          </cell>
          <cell r="E512">
            <v>20355</v>
          </cell>
          <cell r="F512" t="str">
            <v>Hamburg</v>
          </cell>
          <cell r="G512" t="str">
            <v>Germany</v>
          </cell>
          <cell r="K512" t="str">
            <v>Hubertus Bäumer</v>
          </cell>
          <cell r="L512" t="str">
            <v>Hubertus.Baeumer@union-investment.de</v>
          </cell>
          <cell r="M512" t="str">
            <v>+4940349194152</v>
          </cell>
          <cell r="Q512" t="str">
            <v>Germany</v>
          </cell>
          <cell r="R512" t="str">
            <v>EUR</v>
          </cell>
          <cell r="S512" t="str">
            <v>IFRS</v>
          </cell>
          <cell r="T512" t="str">
            <v>Quarterly</v>
          </cell>
          <cell r="U512" t="str">
            <v>Annually</v>
          </cell>
          <cell r="V512" t="str">
            <v>ImmoWertV</v>
          </cell>
          <cell r="W512" t="str">
            <v>InvRBV</v>
          </cell>
          <cell r="X512" t="str">
            <v>KPMG</v>
          </cell>
          <cell r="Y512" t="str">
            <v>Spezialfonds</v>
          </cell>
          <cell r="Z512" t="str">
            <v>No</v>
          </cell>
          <cell r="AA512" t="str">
            <v>No</v>
          </cell>
          <cell r="AC512" t="str">
            <v>Non-Listed Fund</v>
          </cell>
          <cell r="AD512" t="str">
            <v>Core</v>
          </cell>
          <cell r="AE512" t="str">
            <v>infinite</v>
          </cell>
          <cell r="AF512" t="str">
            <v>Open end</v>
          </cell>
          <cell r="AN512" t="str">
            <v>Institutional</v>
          </cell>
          <cell r="AO512" t="str">
            <v>&gt; 2</v>
          </cell>
          <cell r="AP512" t="str">
            <v>≥ 50%</v>
          </cell>
          <cell r="AQ512" t="str">
            <v>Europe</v>
          </cell>
          <cell r="AR512" t="str">
            <v>multi country</v>
          </cell>
          <cell r="AS512" t="str">
            <v>Europe</v>
          </cell>
          <cell r="AU512" t="str">
            <v>single sector</v>
          </cell>
          <cell r="AV512" t="str">
            <v>Residential</v>
          </cell>
          <cell r="AY512">
            <v>2017</v>
          </cell>
          <cell r="BH512" t="str">
            <v>2020-12-31</v>
          </cell>
          <cell r="BI512">
            <v>146929033.5</v>
          </cell>
          <cell r="BJ512">
            <v>146929033.5</v>
          </cell>
          <cell r="BK512">
            <v>100098104.09999999</v>
          </cell>
          <cell r="BL512">
            <v>100098104.09999999</v>
          </cell>
          <cell r="BM512">
            <v>41.9</v>
          </cell>
          <cell r="BN512" t="str">
            <v>Yes</v>
          </cell>
          <cell r="BO512" t="str">
            <v>External</v>
          </cell>
          <cell r="BP512">
            <v>18</v>
          </cell>
          <cell r="BQ512">
            <v>6</v>
          </cell>
          <cell r="BR512">
            <v>132500000</v>
          </cell>
          <cell r="BS512">
            <v>132500000</v>
          </cell>
          <cell r="BT512">
            <v>101247694</v>
          </cell>
          <cell r="BU512">
            <v>101247694</v>
          </cell>
          <cell r="BV512" t="str">
            <v>No</v>
          </cell>
          <cell r="BW512" t="str">
            <v>Austria</v>
          </cell>
          <cell r="BX512" t="str">
            <v>Residential</v>
          </cell>
          <cell r="BY512">
            <v>36.799999999999997</v>
          </cell>
          <cell r="BZ512" t="str">
            <v>Germany</v>
          </cell>
          <cell r="CA512" t="str">
            <v>Residential</v>
          </cell>
          <cell r="CB512">
            <v>63.2</v>
          </cell>
        </row>
        <row r="513">
          <cell r="A513">
            <v>487</v>
          </cell>
          <cell r="B513" t="str">
            <v>VA-DOMUS-FONDS</v>
          </cell>
          <cell r="C513" t="str">
            <v>DEKA IMMOBILIEN INVESTMENT</v>
          </cell>
          <cell r="D513" t="str">
            <v>Taunusanlage 1</v>
          </cell>
          <cell r="E513">
            <v>60329</v>
          </cell>
          <cell r="F513" t="str">
            <v>Frankfurt</v>
          </cell>
          <cell r="G513" t="str">
            <v>Germany</v>
          </cell>
          <cell r="H513" t="str">
            <v>+49 (0) 69 7147 0</v>
          </cell>
          <cell r="I513" t="str">
            <v>+49 (0) 69 7147 3114</v>
          </cell>
          <cell r="J513" t="str">
            <v>http://www.deka-immobilien.de</v>
          </cell>
          <cell r="K513" t="str">
            <v>Andreas Barak</v>
          </cell>
          <cell r="L513" t="str">
            <v>andreas.barak@deka.de</v>
          </cell>
          <cell r="M513" t="str">
            <v>+49 (0) 69 7147 77 43</v>
          </cell>
          <cell r="N513" t="str">
            <v>Michaela Graefe</v>
          </cell>
          <cell r="O513" t="str">
            <v>michaela.graefe@deka.de</v>
          </cell>
          <cell r="P513" t="str">
            <v>+49 (0) 69 7147 35 04</v>
          </cell>
          <cell r="Q513" t="str">
            <v>Germany</v>
          </cell>
          <cell r="R513" t="str">
            <v>EUR</v>
          </cell>
          <cell r="S513" t="str">
            <v>German HGB</v>
          </cell>
          <cell r="T513" t="str">
            <v>Annually</v>
          </cell>
          <cell r="U513" t="str">
            <v>Annually</v>
          </cell>
          <cell r="V513" t="str">
            <v>ImmoWertV</v>
          </cell>
          <cell r="X513" t="str">
            <v>KPMG</v>
          </cell>
          <cell r="Y513" t="str">
            <v>Spezialfonds</v>
          </cell>
          <cell r="Z513" t="str">
            <v>No</v>
          </cell>
          <cell r="AA513" t="str">
            <v>Yes</v>
          </cell>
          <cell r="AB513">
            <v>3</v>
          </cell>
          <cell r="AC513" t="str">
            <v>Non-Listed Fund</v>
          </cell>
          <cell r="AD513" t="str">
            <v>Core</v>
          </cell>
          <cell r="AE513" t="str">
            <v>infinite</v>
          </cell>
          <cell r="AF513" t="str">
            <v>Open end</v>
          </cell>
          <cell r="AG513">
            <v>5</v>
          </cell>
          <cell r="AH513">
            <v>6</v>
          </cell>
          <cell r="AJ513" t="str">
            <v>BVI Open Real Estate</v>
          </cell>
          <cell r="AK513">
            <v>5</v>
          </cell>
          <cell r="AL513">
            <v>50</v>
          </cell>
          <cell r="AM513" t="str">
            <v>&gt; 40% - ≤ 60%</v>
          </cell>
          <cell r="AN513" t="str">
            <v>Institutional</v>
          </cell>
          <cell r="AO513" t="str">
            <v>&gt; 2</v>
          </cell>
          <cell r="AP513" t="str">
            <v>≥ 50%</v>
          </cell>
          <cell r="AQ513" t="str">
            <v>Europe</v>
          </cell>
          <cell r="AR513" t="str">
            <v>multi country</v>
          </cell>
          <cell r="AS513" t="str">
            <v>Europe</v>
          </cell>
          <cell r="AU513" t="str">
            <v>multi sector</v>
          </cell>
          <cell r="AX513">
            <v>500500000</v>
          </cell>
          <cell r="AY513">
            <v>1996</v>
          </cell>
          <cell r="BA513" t="str">
            <v>No</v>
          </cell>
          <cell r="BH513" t="str">
            <v>2020-12-31</v>
          </cell>
          <cell r="BI513">
            <v>353027036</v>
          </cell>
          <cell r="BJ513">
            <v>353027036</v>
          </cell>
          <cell r="BK513">
            <v>244630246</v>
          </cell>
          <cell r="BL513">
            <v>244630246</v>
          </cell>
          <cell r="BM513">
            <v>46.3</v>
          </cell>
          <cell r="BN513" t="str">
            <v>No</v>
          </cell>
          <cell r="BO513" t="str">
            <v>External</v>
          </cell>
          <cell r="BP513">
            <v>1</v>
          </cell>
          <cell r="BQ513">
            <v>16</v>
          </cell>
          <cell r="BR513">
            <v>361927093</v>
          </cell>
          <cell r="BS513">
            <v>361927093</v>
          </cell>
          <cell r="BT513">
            <v>263453583</v>
          </cell>
          <cell r="BU513">
            <v>263453583</v>
          </cell>
          <cell r="BV513" t="str">
            <v>No</v>
          </cell>
          <cell r="BW513" t="str">
            <v>Germany</v>
          </cell>
          <cell r="BX513" t="str">
            <v>Office</v>
          </cell>
          <cell r="BY513">
            <v>11.5</v>
          </cell>
          <cell r="BZ513" t="str">
            <v>Germany</v>
          </cell>
          <cell r="CA513" t="str">
            <v>Retail</v>
          </cell>
          <cell r="CB513">
            <v>8.9</v>
          </cell>
          <cell r="CC513" t="str">
            <v>Germany</v>
          </cell>
          <cell r="CD513" t="str">
            <v>Hotel</v>
          </cell>
          <cell r="CE513">
            <v>4.5</v>
          </cell>
          <cell r="CF513" t="str">
            <v>Germany</v>
          </cell>
          <cell r="CG513" t="str">
            <v>Industrial / Logistics</v>
          </cell>
          <cell r="CH513">
            <v>6.5</v>
          </cell>
          <cell r="CI513" t="str">
            <v>Portugal</v>
          </cell>
          <cell r="CJ513" t="str">
            <v>Office</v>
          </cell>
          <cell r="CK513">
            <v>5.9</v>
          </cell>
          <cell r="CL513" t="str">
            <v>France</v>
          </cell>
          <cell r="CM513" t="str">
            <v>Office</v>
          </cell>
          <cell r="CN513">
            <v>14.7</v>
          </cell>
          <cell r="CO513" t="str">
            <v>France</v>
          </cell>
          <cell r="CP513" t="str">
            <v>Retail</v>
          </cell>
          <cell r="CQ513">
            <v>25.4</v>
          </cell>
          <cell r="CR513" t="str">
            <v>Netherlands</v>
          </cell>
          <cell r="CS513" t="str">
            <v>Office</v>
          </cell>
          <cell r="CT513">
            <v>8</v>
          </cell>
          <cell r="CU513" t="str">
            <v>Netherlands</v>
          </cell>
          <cell r="CV513" t="str">
            <v>Hotel</v>
          </cell>
          <cell r="CW513">
            <v>9.6</v>
          </cell>
          <cell r="CX513" t="str">
            <v>Italy</v>
          </cell>
          <cell r="CY513" t="str">
            <v>Office</v>
          </cell>
          <cell r="CZ513">
            <v>5</v>
          </cell>
        </row>
        <row r="514">
          <cell r="A514">
            <v>18158</v>
          </cell>
          <cell r="B514" t="str">
            <v>VBV EUROPEAN PRIME PROPERTY</v>
          </cell>
          <cell r="C514" t="str">
            <v>TRIUVA KAPITALVERWALTUNGSGESELLSCHAFT MBH</v>
          </cell>
          <cell r="D514" t="str">
            <v>THE SQUAIRE 18, Am Flughafen</v>
          </cell>
          <cell r="E514">
            <v>60549</v>
          </cell>
          <cell r="F514" t="str">
            <v>Frankfurt am Main</v>
          </cell>
          <cell r="G514" t="str">
            <v>Germany</v>
          </cell>
          <cell r="N514" t="str">
            <v>Trond Conrad</v>
          </cell>
          <cell r="O514" t="str">
            <v>trond.conrad@triuva.com</v>
          </cell>
          <cell r="P514" t="str">
            <v>+49696435051553</v>
          </cell>
          <cell r="Q514" t="str">
            <v>Luxembourg</v>
          </cell>
          <cell r="R514" t="str">
            <v>EUR</v>
          </cell>
          <cell r="T514" t="str">
            <v>Quarterly</v>
          </cell>
          <cell r="U514" t="str">
            <v>Annually</v>
          </cell>
          <cell r="Y514" t="str">
            <v>FCP</v>
          </cell>
          <cell r="Z514" t="str">
            <v>No</v>
          </cell>
          <cell r="AC514" t="str">
            <v>Separate account</v>
          </cell>
          <cell r="AD514" t="str">
            <v>Core</v>
          </cell>
          <cell r="AE514" t="str">
            <v>infinite</v>
          </cell>
          <cell r="AF514" t="str">
            <v>Open end</v>
          </cell>
          <cell r="AM514" t="str">
            <v>&gt; 40% - ≤ 60%</v>
          </cell>
          <cell r="AN514" t="str">
            <v>Institutional</v>
          </cell>
          <cell r="AO514" t="str">
            <v>≤ 2</v>
          </cell>
          <cell r="AP514" t="str">
            <v>≥ 50%</v>
          </cell>
          <cell r="AQ514" t="str">
            <v>Europe</v>
          </cell>
          <cell r="AR514" t="str">
            <v>multi country</v>
          </cell>
          <cell r="AS514" t="str">
            <v>Europe</v>
          </cell>
          <cell r="AU514" t="str">
            <v>multi sector</v>
          </cell>
          <cell r="AY514">
            <v>2016</v>
          </cell>
          <cell r="BH514" t="str">
            <v>2020-12-31</v>
          </cell>
          <cell r="BI514">
            <v>71047092.739999995</v>
          </cell>
          <cell r="BJ514">
            <v>71047092.739999995</v>
          </cell>
          <cell r="BK514">
            <v>49863417.740000002</v>
          </cell>
          <cell r="BL514">
            <v>49863417.740000002</v>
          </cell>
          <cell r="BM514">
            <v>47.63</v>
          </cell>
          <cell r="BN514" t="str">
            <v>No</v>
          </cell>
          <cell r="BO514" t="str">
            <v>Internal</v>
          </cell>
          <cell r="BP514">
            <v>1</v>
          </cell>
          <cell r="BQ514">
            <v>2</v>
          </cell>
          <cell r="BR514">
            <v>0</v>
          </cell>
          <cell r="BS514">
            <v>0</v>
          </cell>
          <cell r="BT514">
            <v>0</v>
          </cell>
          <cell r="BV514" t="str">
            <v>No</v>
          </cell>
          <cell r="BW514" t="str">
            <v>Germany</v>
          </cell>
          <cell r="BX514" t="str">
            <v>Office</v>
          </cell>
          <cell r="BY514">
            <v>59.88</v>
          </cell>
          <cell r="BZ514" t="str">
            <v>Italy</v>
          </cell>
          <cell r="CA514" t="str">
            <v>Office</v>
          </cell>
          <cell r="CB514">
            <v>40.119999999999997</v>
          </cell>
        </row>
        <row r="515">
          <cell r="A515">
            <v>19655</v>
          </cell>
          <cell r="B515" t="str">
            <v>VELVET HOTEL FUND</v>
          </cell>
          <cell r="C515" t="str">
            <v>OTT VENTURES</v>
          </cell>
          <cell r="D515" t="str">
            <v>Husova 5</v>
          </cell>
          <cell r="E515">
            <v>11000</v>
          </cell>
          <cell r="F515" t="str">
            <v>Prague</v>
          </cell>
          <cell r="G515" t="str">
            <v>Czech Republic</v>
          </cell>
          <cell r="J515" t="str">
            <v>https://www.velvetsicav.com/</v>
          </cell>
          <cell r="K515" t="str">
            <v>Nicolas Horky</v>
          </cell>
          <cell r="L515" t="str">
            <v>n.horky@ottventures.cz</v>
          </cell>
          <cell r="N515" t="str">
            <v>Nicolas Horky</v>
          </cell>
          <cell r="O515" t="str">
            <v>n.horky@ottventures.cz</v>
          </cell>
          <cell r="Q515" t="str">
            <v>Czech Republic</v>
          </cell>
          <cell r="R515" t="str">
            <v>EUR</v>
          </cell>
          <cell r="S515" t="str">
            <v>IFRS</v>
          </cell>
          <cell r="T515" t="str">
            <v>Quarterly</v>
          </cell>
          <cell r="U515" t="str">
            <v>Annually</v>
          </cell>
          <cell r="V515" t="str">
            <v>cash flow</v>
          </cell>
          <cell r="W515" t="str">
            <v>IFRS NAV</v>
          </cell>
          <cell r="Y515" t="str">
            <v>Real Estate Fund</v>
          </cell>
          <cell r="Z515" t="str">
            <v>No</v>
          </cell>
          <cell r="AA515" t="str">
            <v>Yes</v>
          </cell>
          <cell r="AB515">
            <v>4</v>
          </cell>
          <cell r="AC515" t="str">
            <v>Non-Listed Fund</v>
          </cell>
          <cell r="AD515" t="str">
            <v>Value-added</v>
          </cell>
          <cell r="AE515" t="str">
            <v>finite</v>
          </cell>
          <cell r="AF515" t="str">
            <v>Closed end</v>
          </cell>
          <cell r="AG515">
            <v>12</v>
          </cell>
          <cell r="AH515">
            <v>12</v>
          </cell>
          <cell r="AI515" t="str">
            <v>Net</v>
          </cell>
          <cell r="AK515">
            <v>5</v>
          </cell>
          <cell r="AM515" t="str">
            <v>&gt; 40% - ≤ 60%</v>
          </cell>
          <cell r="AN515" t="str">
            <v>Institutional</v>
          </cell>
          <cell r="AO515" t="str">
            <v>&gt; 2</v>
          </cell>
          <cell r="AP515" t="str">
            <v>≥ 50%</v>
          </cell>
          <cell r="AQ515" t="str">
            <v>Europe</v>
          </cell>
          <cell r="AR515" t="str">
            <v>multi country</v>
          </cell>
          <cell r="AS515" t="str">
            <v>Central and Eastern Europe(CEE)</v>
          </cell>
          <cell r="AU515" t="str">
            <v>single sector</v>
          </cell>
          <cell r="AV515" t="str">
            <v>Hotel</v>
          </cell>
          <cell r="AW515">
            <v>250000000</v>
          </cell>
          <cell r="AX515">
            <v>500000000</v>
          </cell>
          <cell r="AY515">
            <v>2021</v>
          </cell>
          <cell r="BD515" t="str">
            <v>No</v>
          </cell>
          <cell r="BE515" t="str">
            <v>≥ 60%</v>
          </cell>
          <cell r="BF515" t="str">
            <v>≤ 15%</v>
          </cell>
          <cell r="BG515" t="str">
            <v>&gt; 5 - ≤ 25%</v>
          </cell>
        </row>
        <row r="516">
          <cell r="A516">
            <v>579</v>
          </cell>
          <cell r="B516" t="str">
            <v>VENTI M</v>
          </cell>
          <cell r="C516" t="str">
            <v>BNP PARIBAS REIM</v>
          </cell>
          <cell r="D516" t="str">
            <v>Via Carlo Bo, 11</v>
          </cell>
          <cell r="E516">
            <v>20143</v>
          </cell>
          <cell r="F516" t="str">
            <v>Milan</v>
          </cell>
          <cell r="G516" t="str">
            <v>Italy</v>
          </cell>
          <cell r="H516" t="str">
            <v>+39 02 5833 14 1</v>
          </cell>
          <cell r="I516" t="str">
            <v>+39 02 5833 14 39</v>
          </cell>
          <cell r="J516" t="str">
            <v>http://www.reim.bnpparibas.it</v>
          </cell>
          <cell r="K516" t="str">
            <v>Claudia Imparato</v>
          </cell>
          <cell r="L516" t="str">
            <v>claudia.imparato@bnpparibas.com</v>
          </cell>
          <cell r="M516" t="str">
            <v>+39 02 5833 14 33</v>
          </cell>
          <cell r="P516" t="str">
            <v>+39 02 5833 14 33</v>
          </cell>
          <cell r="Q516" t="str">
            <v>Italy</v>
          </cell>
          <cell r="R516" t="str">
            <v>EUR</v>
          </cell>
          <cell r="S516" t="str">
            <v>Local GAAP</v>
          </cell>
          <cell r="T516" t="str">
            <v>Twice per year</v>
          </cell>
          <cell r="U516" t="str">
            <v>Twice per year</v>
          </cell>
          <cell r="V516" t="str">
            <v>RICS</v>
          </cell>
          <cell r="X516" t="str">
            <v>Mazard &amp; Guarard</v>
          </cell>
          <cell r="Y516" t="str">
            <v>Closed Ended Fund</v>
          </cell>
          <cell r="Z516" t="str">
            <v>No</v>
          </cell>
          <cell r="AB516">
            <v>0</v>
          </cell>
          <cell r="AC516" t="str">
            <v>Non-Listed Fund</v>
          </cell>
          <cell r="AD516" t="str">
            <v>Core</v>
          </cell>
          <cell r="AE516" t="str">
            <v>finite</v>
          </cell>
          <cell r="AF516" t="str">
            <v>Closed end</v>
          </cell>
          <cell r="AJ516" t="str">
            <v>None</v>
          </cell>
          <cell r="AN516" t="str">
            <v>Institutional</v>
          </cell>
          <cell r="AO516" t="str">
            <v>&gt; 2</v>
          </cell>
          <cell r="AP516" t="str">
            <v>≥ 50%</v>
          </cell>
          <cell r="AQ516" t="str">
            <v>Europe</v>
          </cell>
          <cell r="AR516" t="str">
            <v>single country</v>
          </cell>
          <cell r="AT516" t="str">
            <v>Italy</v>
          </cell>
          <cell r="AU516" t="str">
            <v>single sector</v>
          </cell>
          <cell r="AV516" t="str">
            <v>Retail</v>
          </cell>
          <cell r="AY516">
            <v>2010</v>
          </cell>
          <cell r="AZ516">
            <v>2022</v>
          </cell>
          <cell r="BA516" t="str">
            <v>Yes</v>
          </cell>
          <cell r="BB516" t="str">
            <v>Yes</v>
          </cell>
          <cell r="BC516" t="str">
            <v>3 years</v>
          </cell>
          <cell r="BH516" t="str">
            <v>2018-12-31</v>
          </cell>
          <cell r="BI516">
            <v>186139490</v>
          </cell>
          <cell r="BJ516">
            <v>186139490</v>
          </cell>
          <cell r="BK516">
            <v>94399087</v>
          </cell>
          <cell r="BL516">
            <v>94399087</v>
          </cell>
          <cell r="BM516">
            <v>49</v>
          </cell>
          <cell r="BN516" t="str">
            <v>No</v>
          </cell>
          <cell r="BO516" t="str">
            <v>External</v>
          </cell>
          <cell r="BP516">
            <v>6</v>
          </cell>
          <cell r="BQ516">
            <v>10</v>
          </cell>
          <cell r="BR516">
            <v>110500000</v>
          </cell>
          <cell r="BS516">
            <v>110500000</v>
          </cell>
          <cell r="BT516">
            <v>110500000</v>
          </cell>
          <cell r="BU516">
            <v>110500000</v>
          </cell>
          <cell r="BV516" t="str">
            <v>No</v>
          </cell>
          <cell r="BW516" t="str">
            <v>Italy</v>
          </cell>
          <cell r="BX516" t="str">
            <v>Retail</v>
          </cell>
          <cell r="BY516">
            <v>98</v>
          </cell>
        </row>
        <row r="517">
          <cell r="A517">
            <v>626</v>
          </cell>
          <cell r="B517" t="str">
            <v>VESTEDA RESIDENTIAL FUND</v>
          </cell>
          <cell r="C517" t="str">
            <v>VESTEDA INVESTMENT MANAGEMENT BV</v>
          </cell>
          <cell r="D517" t="str">
            <v>P.O. Box 75675</v>
          </cell>
          <cell r="E517" t="str">
            <v>1070 AR</v>
          </cell>
          <cell r="F517" t="str">
            <v>Amsterdam</v>
          </cell>
          <cell r="G517" t="str">
            <v>Netherlands</v>
          </cell>
          <cell r="H517" t="str">
            <v>+31884561666</v>
          </cell>
          <cell r="J517" t="str">
            <v>https://www.vesteda.com</v>
          </cell>
          <cell r="K517" t="str">
            <v>Gertjan van der Baan</v>
          </cell>
          <cell r="L517" t="str">
            <v>g.vanderbaan@vesteda.com</v>
          </cell>
          <cell r="M517" t="str">
            <v>+31884562230</v>
          </cell>
          <cell r="N517" t="str">
            <v>Ronald Beemsterboer</v>
          </cell>
          <cell r="O517" t="str">
            <v>r.beemsterboer@vesteda.com</v>
          </cell>
          <cell r="P517" t="str">
            <v>+31884562922</v>
          </cell>
          <cell r="Q517" t="str">
            <v>Netherlands</v>
          </cell>
          <cell r="R517" t="str">
            <v>EUR</v>
          </cell>
          <cell r="S517" t="str">
            <v>IFRS</v>
          </cell>
          <cell r="T517" t="str">
            <v>Quarterly</v>
          </cell>
          <cell r="U517" t="str">
            <v>Quarterly</v>
          </cell>
          <cell r="V517" t="str">
            <v xml:space="preserve">IPD, RICS, recommendations PTA , IFRS, AIFMD </v>
          </cell>
          <cell r="W517" t="str">
            <v>INREV NAV</v>
          </cell>
          <cell r="X517" t="str">
            <v>Deloitte</v>
          </cell>
          <cell r="Y517" t="str">
            <v>FGR (Fonds voor Gemene Rekening)</v>
          </cell>
          <cell r="Z517" t="str">
            <v>Yes</v>
          </cell>
          <cell r="AA517" t="str">
            <v>Yes</v>
          </cell>
          <cell r="AB517">
            <v>5</v>
          </cell>
          <cell r="AC517" t="str">
            <v>Non-Listed Fund</v>
          </cell>
          <cell r="AD517" t="str">
            <v>Core</v>
          </cell>
          <cell r="AE517" t="str">
            <v>infinite</v>
          </cell>
          <cell r="AF517" t="str">
            <v>Open end</v>
          </cell>
          <cell r="AG517">
            <v>4</v>
          </cell>
          <cell r="AH517">
            <v>5</v>
          </cell>
          <cell r="AI517" t="str">
            <v>Net</v>
          </cell>
          <cell r="AJ517" t="str">
            <v>IPD Netherlands Residential Benchmark</v>
          </cell>
          <cell r="AK517">
            <v>4.5</v>
          </cell>
          <cell r="AL517">
            <v>30</v>
          </cell>
          <cell r="AM517" t="str">
            <v>≤ 40%</v>
          </cell>
          <cell r="AN517" t="str">
            <v>Institutional</v>
          </cell>
          <cell r="AO517" t="str">
            <v>&gt; 2</v>
          </cell>
          <cell r="AP517" t="str">
            <v>≥ 50%</v>
          </cell>
          <cell r="AQ517" t="str">
            <v>Europe</v>
          </cell>
          <cell r="AR517" t="str">
            <v>single country</v>
          </cell>
          <cell r="AT517" t="str">
            <v>Netherlands</v>
          </cell>
          <cell r="AU517" t="str">
            <v>single sector</v>
          </cell>
          <cell r="AV517" t="str">
            <v>Residential</v>
          </cell>
          <cell r="AY517">
            <v>2001</v>
          </cell>
          <cell r="BB517" t="str">
            <v>No</v>
          </cell>
          <cell r="BD517" t="str">
            <v>No</v>
          </cell>
          <cell r="BE517" t="str">
            <v>≥ 60%</v>
          </cell>
          <cell r="BF517" t="str">
            <v>≤ 15%</v>
          </cell>
          <cell r="BG517" t="str">
            <v>≤ 5%</v>
          </cell>
          <cell r="BH517" t="str">
            <v>2020-12-31</v>
          </cell>
          <cell r="BI517">
            <v>8464709771</v>
          </cell>
          <cell r="BJ517">
            <v>8464709771</v>
          </cell>
          <cell r="BK517">
            <v>6175731768</v>
          </cell>
          <cell r="BL517">
            <v>6175731768</v>
          </cell>
          <cell r="BM517">
            <v>22.66</v>
          </cell>
          <cell r="BN517" t="str">
            <v>No</v>
          </cell>
          <cell r="BO517" t="str">
            <v>External</v>
          </cell>
          <cell r="BP517">
            <v>19</v>
          </cell>
          <cell r="BQ517">
            <v>492</v>
          </cell>
          <cell r="BR517">
            <v>0</v>
          </cell>
          <cell r="BS517">
            <v>0</v>
          </cell>
          <cell r="BT517">
            <v>349423247</v>
          </cell>
          <cell r="BV517" t="str">
            <v>No</v>
          </cell>
          <cell r="BW517" t="str">
            <v>Netherlands</v>
          </cell>
          <cell r="BX517" t="str">
            <v>Residential</v>
          </cell>
          <cell r="BY517">
            <v>97.22</v>
          </cell>
        </row>
        <row r="518">
          <cell r="A518">
            <v>490</v>
          </cell>
          <cell r="B518" t="str">
            <v>VISION OFFICES FUND</v>
          </cell>
          <cell r="C518" t="str">
            <v>NORFIN</v>
          </cell>
          <cell r="D518" t="str">
            <v>Avenida da Republica 35-4º</v>
          </cell>
          <cell r="E518" t="str">
            <v>1050-186</v>
          </cell>
          <cell r="F518" t="str">
            <v>Lisbon</v>
          </cell>
          <cell r="G518" t="str">
            <v>Portugal</v>
          </cell>
          <cell r="H518" t="str">
            <v>+351 21 318 25 20</v>
          </cell>
          <cell r="I518" t="str">
            <v>+351 21 318 25 29</v>
          </cell>
          <cell r="J518" t="str">
            <v>http://www.norfin.eu</v>
          </cell>
          <cell r="K518" t="str">
            <v>Nuno Ravara</v>
          </cell>
          <cell r="L518" t="str">
            <v>nravara@norfin.pt</v>
          </cell>
          <cell r="M518" t="str">
            <v>+351 21 318 25 20</v>
          </cell>
          <cell r="N518" t="str">
            <v>Nuno Ravara</v>
          </cell>
          <cell r="O518" t="str">
            <v>nravara@norfin.pt</v>
          </cell>
          <cell r="P518" t="str">
            <v>+351 21 318 25 29</v>
          </cell>
          <cell r="Q518" t="str">
            <v>Portugal</v>
          </cell>
          <cell r="R518" t="str">
            <v>EUR</v>
          </cell>
          <cell r="S518" t="str">
            <v>Local GAAP</v>
          </cell>
          <cell r="T518" t="str">
            <v>Monthly</v>
          </cell>
          <cell r="U518" t="str">
            <v>Annually</v>
          </cell>
          <cell r="V518" t="str">
            <v>RICS</v>
          </cell>
          <cell r="X518" t="str">
            <v>Deloitte</v>
          </cell>
          <cell r="Y518" t="str">
            <v>FII</v>
          </cell>
          <cell r="Z518" t="str">
            <v>No</v>
          </cell>
          <cell r="AA518" t="str">
            <v>No</v>
          </cell>
          <cell r="AB518">
            <v>0</v>
          </cell>
          <cell r="AC518" t="str">
            <v>Non-Listed Fund</v>
          </cell>
          <cell r="AD518" t="str">
            <v>Core</v>
          </cell>
          <cell r="AE518" t="str">
            <v>finite</v>
          </cell>
          <cell r="AF518" t="str">
            <v>Closed end</v>
          </cell>
          <cell r="AG518">
            <v>9</v>
          </cell>
          <cell r="AH518">
            <v>10</v>
          </cell>
          <cell r="AI518" t="str">
            <v>Net</v>
          </cell>
          <cell r="AJ518" t="str">
            <v>IPD Portugal Index</v>
          </cell>
          <cell r="AK518">
            <v>4</v>
          </cell>
          <cell r="AL518">
            <v>30</v>
          </cell>
          <cell r="AM518" t="str">
            <v>≤ 40%</v>
          </cell>
          <cell r="AN518" t="str">
            <v>Institutional</v>
          </cell>
          <cell r="AO518" t="str">
            <v>&gt; 2</v>
          </cell>
          <cell r="AP518" t="str">
            <v>≥ 50%</v>
          </cell>
          <cell r="AQ518" t="str">
            <v>Europe</v>
          </cell>
          <cell r="AR518" t="str">
            <v>single country</v>
          </cell>
          <cell r="AT518" t="str">
            <v>Portugal</v>
          </cell>
          <cell r="AU518" t="str">
            <v>single sector</v>
          </cell>
          <cell r="AV518" t="str">
            <v>Office</v>
          </cell>
          <cell r="AW518">
            <v>180000000</v>
          </cell>
          <cell r="AX518">
            <v>180000000</v>
          </cell>
          <cell r="AY518">
            <v>1999</v>
          </cell>
          <cell r="AZ518">
            <v>2009</v>
          </cell>
          <cell r="BA518" t="str">
            <v>Yes</v>
          </cell>
          <cell r="BB518" t="str">
            <v>Yes</v>
          </cell>
          <cell r="BC518" t="str">
            <v>5 years</v>
          </cell>
          <cell r="BH518" t="str">
            <v>2018-09-30</v>
          </cell>
          <cell r="BI518">
            <v>80748195.519999996</v>
          </cell>
          <cell r="BJ518">
            <v>80748195.519999996</v>
          </cell>
          <cell r="BK518">
            <v>68443088.549999997</v>
          </cell>
          <cell r="BL518">
            <v>68443088.549999997</v>
          </cell>
          <cell r="BM518">
            <v>13.53</v>
          </cell>
          <cell r="BN518" t="str">
            <v>No</v>
          </cell>
          <cell r="BO518" t="str">
            <v>External</v>
          </cell>
          <cell r="BQ518">
            <v>7</v>
          </cell>
          <cell r="BR518">
            <v>140000000</v>
          </cell>
          <cell r="BS518">
            <v>140000000</v>
          </cell>
          <cell r="BT518">
            <v>140000000</v>
          </cell>
          <cell r="BU518">
            <v>140000000</v>
          </cell>
          <cell r="BV518" t="str">
            <v>No</v>
          </cell>
          <cell r="BW518" t="str">
            <v>Portugal</v>
          </cell>
          <cell r="BX518" t="str">
            <v>Office</v>
          </cell>
          <cell r="BY518">
            <v>100</v>
          </cell>
        </row>
        <row r="519">
          <cell r="A519">
            <v>17742</v>
          </cell>
          <cell r="B519" t="str">
            <v>WERTFONDS S</v>
          </cell>
          <cell r="C519" t="str">
            <v>ABERDEEN ASSET MANAGEMENT DEUTSCHLAND AG</v>
          </cell>
          <cell r="D519" t="str">
            <v>Bettinastr. 55-57</v>
          </cell>
          <cell r="E519">
            <v>60325</v>
          </cell>
          <cell r="F519" t="str">
            <v>Frankfurt am Main</v>
          </cell>
          <cell r="G519" t="str">
            <v>Germany</v>
          </cell>
          <cell r="H519" t="str">
            <v>+4969768072500</v>
          </cell>
          <cell r="I519" t="str">
            <v>+4969768072257</v>
          </cell>
          <cell r="J519" t="str">
            <v>http://www.aberdeen-asset.com</v>
          </cell>
          <cell r="K519" t="str">
            <v>Martin Wanick</v>
          </cell>
          <cell r="L519" t="str">
            <v>martin.wanick@aberdeen-asset.com</v>
          </cell>
          <cell r="N519" t="str">
            <v>Martin Wanick</v>
          </cell>
          <cell r="O519" t="str">
            <v>martin.wanick@aberdeen-asset.com</v>
          </cell>
          <cell r="Q519" t="str">
            <v>Germany</v>
          </cell>
          <cell r="R519" t="str">
            <v>EUR</v>
          </cell>
          <cell r="S519" t="str">
            <v>KARBV</v>
          </cell>
          <cell r="T519" t="str">
            <v>Quarterly</v>
          </cell>
          <cell r="U519" t="str">
            <v>Annually</v>
          </cell>
          <cell r="V519" t="str">
            <v>ImmoWertV</v>
          </cell>
          <cell r="W519" t="str">
            <v>KARBV</v>
          </cell>
          <cell r="X519" t="str">
            <v>KPMG</v>
          </cell>
          <cell r="Y519" t="str">
            <v>Spezialfonds</v>
          </cell>
          <cell r="Z519" t="str">
            <v>No</v>
          </cell>
          <cell r="AC519" t="str">
            <v>Non-Listed Fund</v>
          </cell>
          <cell r="AD519" t="str">
            <v>Core</v>
          </cell>
          <cell r="AE519" t="str">
            <v>infinite</v>
          </cell>
          <cell r="AF519" t="str">
            <v>Open end</v>
          </cell>
          <cell r="AG519">
            <v>4.5</v>
          </cell>
          <cell r="AH519">
            <v>5</v>
          </cell>
          <cell r="AK519">
            <v>4</v>
          </cell>
          <cell r="AL519">
            <v>40</v>
          </cell>
          <cell r="AM519" t="str">
            <v>&gt; 40% - ≤ 60%</v>
          </cell>
          <cell r="AN519" t="str">
            <v>Institutional</v>
          </cell>
          <cell r="AO519" t="str">
            <v>&gt; 2</v>
          </cell>
          <cell r="AP519" t="str">
            <v>≥ 50%</v>
          </cell>
          <cell r="AQ519" t="str">
            <v>Europe</v>
          </cell>
          <cell r="AR519" t="str">
            <v>single country</v>
          </cell>
          <cell r="AT519" t="str">
            <v>Germany</v>
          </cell>
          <cell r="AU519" t="str">
            <v>multi sector</v>
          </cell>
          <cell r="AW519">
            <v>200000000</v>
          </cell>
          <cell r="AX519">
            <v>500000000</v>
          </cell>
          <cell r="AY519">
            <v>2010</v>
          </cell>
          <cell r="BD519" t="str">
            <v>No</v>
          </cell>
          <cell r="BH519" t="str">
            <v>2020-12-31</v>
          </cell>
          <cell r="BI519">
            <v>453310765.58999997</v>
          </cell>
          <cell r="BJ519">
            <v>453310765.58999997</v>
          </cell>
          <cell r="BK519">
            <v>275649342.52999997</v>
          </cell>
          <cell r="BL519">
            <v>275649342.52999997</v>
          </cell>
          <cell r="BM519">
            <v>33.5</v>
          </cell>
          <cell r="BN519" t="str">
            <v>No</v>
          </cell>
          <cell r="BO519" t="str">
            <v>External</v>
          </cell>
          <cell r="BP519">
            <v>16</v>
          </cell>
          <cell r="BQ519">
            <v>34</v>
          </cell>
          <cell r="BR519">
            <v>259781004.06</v>
          </cell>
          <cell r="BS519">
            <v>259781004.06</v>
          </cell>
          <cell r="BT519">
            <v>259781004.06</v>
          </cell>
          <cell r="BU519">
            <v>259781004.06</v>
          </cell>
          <cell r="BV519" t="str">
            <v>No</v>
          </cell>
          <cell r="BW519" t="str">
            <v>Germany</v>
          </cell>
          <cell r="BX519" t="str">
            <v>Retail</v>
          </cell>
          <cell r="BY519">
            <v>52.8</v>
          </cell>
          <cell r="BZ519" t="str">
            <v>Germany</v>
          </cell>
          <cell r="CA519" t="str">
            <v>Office</v>
          </cell>
          <cell r="CB519">
            <v>17.8</v>
          </cell>
          <cell r="CC519" t="str">
            <v>Germany</v>
          </cell>
          <cell r="CD519" t="str">
            <v>Health Care</v>
          </cell>
          <cell r="CE519">
            <v>2.8</v>
          </cell>
          <cell r="CF519" t="str">
            <v>Germany</v>
          </cell>
          <cell r="CG519" t="str">
            <v>Residential</v>
          </cell>
          <cell r="CH519">
            <v>17.7</v>
          </cell>
        </row>
        <row r="520">
          <cell r="A520">
            <v>498</v>
          </cell>
          <cell r="B520" t="str">
            <v>WEST END OF LONDON PROPERTY UNIT TRUST</v>
          </cell>
          <cell r="C520" t="str">
            <v>SCHRODER PROPERTY MANAGERS (JERSEY) LTD</v>
          </cell>
          <cell r="D520" t="str">
            <v>2-6 Church Street</v>
          </cell>
          <cell r="E520" t="str">
            <v>JE4 9WB</v>
          </cell>
          <cell r="F520" t="str">
            <v>St Helier</v>
          </cell>
          <cell r="H520" t="str">
            <v>+44 (0) 1534 756 650</v>
          </cell>
          <cell r="I520" t="str">
            <v>+44 (0) 1534 756 601</v>
          </cell>
          <cell r="J520" t="str">
            <v>http://www.schroderproperty.com</v>
          </cell>
          <cell r="K520" t="str">
            <v>Nick Montgomery</v>
          </cell>
          <cell r="L520" t="str">
            <v>nick.montgomery@schroders.com</v>
          </cell>
          <cell r="M520" t="str">
            <v>+44 (0) 20 7658 4146</v>
          </cell>
          <cell r="N520" t="str">
            <v>John Harding</v>
          </cell>
          <cell r="O520" t="str">
            <v>john.harding@schroders.com</v>
          </cell>
          <cell r="P520" t="str">
            <v>+44 (0) 1534 756 601</v>
          </cell>
          <cell r="Q520" t="str">
            <v>Jersey</v>
          </cell>
          <cell r="R520" t="str">
            <v>GBP</v>
          </cell>
          <cell r="T520" t="str">
            <v>Twice per year</v>
          </cell>
          <cell r="U520" t="str">
            <v>Monthly</v>
          </cell>
          <cell r="V520" t="str">
            <v>RICS</v>
          </cell>
          <cell r="W520" t="str">
            <v>INREV NAV</v>
          </cell>
          <cell r="X520" t="str">
            <v>PriceWaterhouseCoopers</v>
          </cell>
          <cell r="Y520" t="str">
            <v>Property Unit Trust</v>
          </cell>
          <cell r="Z520" t="str">
            <v>Yes</v>
          </cell>
          <cell r="AA520" t="str">
            <v>No</v>
          </cell>
          <cell r="AB520">
            <v>0</v>
          </cell>
          <cell r="AC520" t="str">
            <v>Non-Listed Fund</v>
          </cell>
          <cell r="AD520" t="str">
            <v>Value-added</v>
          </cell>
          <cell r="AE520" t="str">
            <v>finite</v>
          </cell>
          <cell r="AF520" t="str">
            <v>Open end</v>
          </cell>
          <cell r="AJ520" t="str">
            <v>IPD Central and Inner London benchmark</v>
          </cell>
          <cell r="AM520" t="str">
            <v>&gt; 40% - ≤ 60%</v>
          </cell>
          <cell r="AN520" t="str">
            <v>Institutional</v>
          </cell>
          <cell r="AO520" t="str">
            <v>&gt; 2</v>
          </cell>
          <cell r="AP520" t="str">
            <v>≥ 50%</v>
          </cell>
          <cell r="AQ520" t="str">
            <v>Europe</v>
          </cell>
          <cell r="AR520" t="str">
            <v>single country</v>
          </cell>
          <cell r="AT520" t="str">
            <v>United Kingdom</v>
          </cell>
          <cell r="AU520" t="str">
            <v>single sector</v>
          </cell>
          <cell r="AV520" t="str">
            <v>Office</v>
          </cell>
          <cell r="AY520">
            <v>2001</v>
          </cell>
          <cell r="AZ520">
            <v>2021</v>
          </cell>
          <cell r="BA520" t="str">
            <v>Yes</v>
          </cell>
          <cell r="BB520" t="str">
            <v>Yes</v>
          </cell>
          <cell r="BC520" t="str">
            <v>10 years</v>
          </cell>
          <cell r="BH520" t="str">
            <v>2020-06-30</v>
          </cell>
          <cell r="BI520">
            <v>1076390530</v>
          </cell>
          <cell r="BJ520">
            <v>1179432225.9385891</v>
          </cell>
          <cell r="BK520">
            <v>724602741</v>
          </cell>
          <cell r="BL520">
            <v>793968174.11505187</v>
          </cell>
          <cell r="BM520">
            <v>33.299999999999997</v>
          </cell>
          <cell r="BN520" t="str">
            <v>No</v>
          </cell>
          <cell r="BO520" t="str">
            <v>External</v>
          </cell>
          <cell r="BP520">
            <v>47</v>
          </cell>
          <cell r="BQ520">
            <v>9</v>
          </cell>
          <cell r="BR520">
            <v>0</v>
          </cell>
          <cell r="BS520">
            <v>0</v>
          </cell>
          <cell r="BT520">
            <v>0</v>
          </cell>
          <cell r="BV520" t="str">
            <v>Yes</v>
          </cell>
          <cell r="BW520" t="str">
            <v>United Kingdom</v>
          </cell>
          <cell r="BX520" t="str">
            <v>Office</v>
          </cell>
          <cell r="BY520">
            <v>91.8</v>
          </cell>
        </row>
        <row r="521">
          <cell r="A521">
            <v>18159</v>
          </cell>
          <cell r="B521" t="str">
            <v>WESTEND OTTENSEN GMBH &amp; CO. INVESTMENT KG</v>
          </cell>
          <cell r="C521" t="str">
            <v>TRIUVA KAPITALVERWALTUNGSGESELLSCHAFT MBH</v>
          </cell>
          <cell r="D521" t="str">
            <v>THE SQUAIRE 18, Am Flughafen</v>
          </cell>
          <cell r="E521">
            <v>60549</v>
          </cell>
          <cell r="F521" t="str">
            <v>Frankfurt am Main</v>
          </cell>
          <cell r="G521" t="str">
            <v>Germany</v>
          </cell>
          <cell r="N521" t="str">
            <v>Trond Conrad</v>
          </cell>
          <cell r="O521" t="str">
            <v>trond.conrad@triuva.com</v>
          </cell>
          <cell r="P521" t="str">
            <v>+49 69 643 505 1553</v>
          </cell>
          <cell r="Q521" t="str">
            <v>Germany</v>
          </cell>
          <cell r="R521" t="str">
            <v>EUR</v>
          </cell>
          <cell r="S521" t="str">
            <v>Local GAAP</v>
          </cell>
          <cell r="T521" t="str">
            <v>Quarterly</v>
          </cell>
          <cell r="U521" t="str">
            <v>Annually</v>
          </cell>
          <cell r="Y521" t="str">
            <v>Spezialfonds</v>
          </cell>
          <cell r="Z521" t="str">
            <v>No</v>
          </cell>
          <cell r="AC521" t="str">
            <v>Separate account</v>
          </cell>
          <cell r="AD521" t="str">
            <v>Core</v>
          </cell>
          <cell r="AE521" t="str">
            <v>infinite</v>
          </cell>
          <cell r="AF521" t="str">
            <v>Open end</v>
          </cell>
          <cell r="AM521" t="str">
            <v>&gt; 40% - ≤ 60%</v>
          </cell>
          <cell r="AN521" t="str">
            <v>Institutional</v>
          </cell>
          <cell r="AO521" t="str">
            <v>≤ 2</v>
          </cell>
          <cell r="AP521" t="str">
            <v>≥ 50%</v>
          </cell>
          <cell r="AQ521" t="str">
            <v>Europe</v>
          </cell>
          <cell r="AR521" t="str">
            <v>single country</v>
          </cell>
          <cell r="AT521" t="str">
            <v>Germany</v>
          </cell>
          <cell r="AU521" t="str">
            <v>single sector</v>
          </cell>
          <cell r="AV521" t="str">
            <v>Office</v>
          </cell>
          <cell r="AY521">
            <v>2016</v>
          </cell>
          <cell r="BH521" t="str">
            <v>2018-06-30</v>
          </cell>
          <cell r="BI521">
            <v>172165991.22</v>
          </cell>
          <cell r="BJ521">
            <v>172165991.22</v>
          </cell>
          <cell r="BK521">
            <v>100612404.22</v>
          </cell>
          <cell r="BL521">
            <v>100612404.22</v>
          </cell>
          <cell r="BM521">
            <v>46.7</v>
          </cell>
          <cell r="BP521">
            <v>1</v>
          </cell>
          <cell r="BQ521">
            <v>2</v>
          </cell>
          <cell r="BS521">
            <v>0</v>
          </cell>
          <cell r="BW521" t="str">
            <v>Germany</v>
          </cell>
          <cell r="BX521" t="str">
            <v>Office</v>
          </cell>
          <cell r="BY521">
            <v>100</v>
          </cell>
        </row>
        <row r="522">
          <cell r="A522">
            <v>17830</v>
          </cell>
          <cell r="B522" t="str">
            <v>WESTINVEST IMMOVALUE</v>
          </cell>
          <cell r="C522" t="str">
            <v>WESTINVEST GESELLSCHAFT FüR INVESTMENTFONDS MBH</v>
          </cell>
          <cell r="D522" t="str">
            <v>Hans-Böckler-Straße</v>
          </cell>
          <cell r="E522">
            <v>40476</v>
          </cell>
          <cell r="F522" t="str">
            <v>Düsseldorf</v>
          </cell>
          <cell r="G522" t="str">
            <v>Germany</v>
          </cell>
          <cell r="J522" t="str">
            <v>http://www.westinvest.de</v>
          </cell>
          <cell r="K522" t="str">
            <v>Peter Holtgreve</v>
          </cell>
          <cell r="L522" t="str">
            <v>p.holtgreve@westinvest.de</v>
          </cell>
          <cell r="M522">
            <v>4921187309</v>
          </cell>
          <cell r="N522" t="str">
            <v>Michaela Graefe</v>
          </cell>
          <cell r="O522" t="str">
            <v>michaela.graefe@deka.de</v>
          </cell>
          <cell r="P522">
            <v>49693643</v>
          </cell>
          <cell r="Q522" t="str">
            <v>Germany</v>
          </cell>
          <cell r="R522" t="str">
            <v>EUR</v>
          </cell>
          <cell r="S522" t="str">
            <v>Local GAAP</v>
          </cell>
          <cell r="T522" t="str">
            <v>Twice per year</v>
          </cell>
          <cell r="U522" t="str">
            <v>Quarterly</v>
          </cell>
          <cell r="V522" t="str">
            <v>ImmoWertV</v>
          </cell>
          <cell r="Y522" t="str">
            <v>Publikumsfonds</v>
          </cell>
          <cell r="Z522" t="str">
            <v>No</v>
          </cell>
          <cell r="AC522" t="str">
            <v>Non-Listed Fund</v>
          </cell>
          <cell r="AD522" t="str">
            <v>Core</v>
          </cell>
          <cell r="AE522" t="str">
            <v>infinite</v>
          </cell>
          <cell r="AF522" t="str">
            <v>Open end</v>
          </cell>
          <cell r="AL522">
            <v>30</v>
          </cell>
          <cell r="AM522" t="str">
            <v>≤ 40%</v>
          </cell>
          <cell r="AN522" t="str">
            <v>Institutional</v>
          </cell>
          <cell r="AO522" t="str">
            <v>&gt; 2</v>
          </cell>
          <cell r="AP522" t="str">
            <v>≥ 50%</v>
          </cell>
          <cell r="AQ522" t="str">
            <v>Europe</v>
          </cell>
          <cell r="AR522" t="str">
            <v>multi country</v>
          </cell>
          <cell r="AS522" t="str">
            <v>Europe</v>
          </cell>
          <cell r="AU522" t="str">
            <v>single sector</v>
          </cell>
          <cell r="AV522" t="str">
            <v>Office</v>
          </cell>
          <cell r="AY522">
            <v>2003</v>
          </cell>
          <cell r="BD522" t="str">
            <v>No</v>
          </cell>
          <cell r="BH522" t="str">
            <v>2020-12-31</v>
          </cell>
          <cell r="BI522">
            <v>4522850663</v>
          </cell>
          <cell r="BJ522">
            <v>4522850663</v>
          </cell>
          <cell r="BK522">
            <v>3706713273</v>
          </cell>
          <cell r="BL522">
            <v>3706713273</v>
          </cell>
          <cell r="BM522">
            <v>24.6</v>
          </cell>
          <cell r="BN522" t="str">
            <v>No</v>
          </cell>
          <cell r="BO522" t="str">
            <v>External</v>
          </cell>
          <cell r="BP522">
            <v>196</v>
          </cell>
          <cell r="BQ522">
            <v>47</v>
          </cell>
          <cell r="BR522">
            <v>3626892336</v>
          </cell>
          <cell r="BS522">
            <v>3626892336</v>
          </cell>
          <cell r="BT522">
            <v>3626892336</v>
          </cell>
          <cell r="BU522">
            <v>3626892336</v>
          </cell>
          <cell r="BV522" t="str">
            <v>No</v>
          </cell>
          <cell r="BW522" t="str">
            <v>Italy</v>
          </cell>
          <cell r="BX522" t="str">
            <v>Office</v>
          </cell>
          <cell r="BY522">
            <v>2.5</v>
          </cell>
          <cell r="BZ522" t="str">
            <v>France</v>
          </cell>
          <cell r="CA522" t="str">
            <v>Mixed</v>
          </cell>
          <cell r="CB522">
            <v>3.9</v>
          </cell>
          <cell r="CC522" t="str">
            <v>Luxembourg</v>
          </cell>
          <cell r="CD522" t="str">
            <v>Mixed</v>
          </cell>
          <cell r="CE522">
            <v>0.7</v>
          </cell>
          <cell r="CF522" t="str">
            <v>Finland</v>
          </cell>
          <cell r="CG522" t="str">
            <v>Mixed</v>
          </cell>
          <cell r="CH522">
            <v>1.3</v>
          </cell>
          <cell r="CI522" t="str">
            <v>Germany</v>
          </cell>
          <cell r="CJ522" t="str">
            <v>Mixed</v>
          </cell>
          <cell r="CK522">
            <v>0.9</v>
          </cell>
          <cell r="CL522" t="str">
            <v>Portugal</v>
          </cell>
          <cell r="CM522" t="str">
            <v>Office</v>
          </cell>
          <cell r="CN522">
            <v>4.3</v>
          </cell>
          <cell r="CO522" t="str">
            <v>Sweden</v>
          </cell>
          <cell r="CP522" t="str">
            <v>Hotel</v>
          </cell>
          <cell r="CQ522">
            <v>1.1000000000000001</v>
          </cell>
          <cell r="CR522" t="str">
            <v>Sweden</v>
          </cell>
          <cell r="CS522" t="str">
            <v>Office</v>
          </cell>
          <cell r="CT522">
            <v>1.5</v>
          </cell>
          <cell r="CU522" t="str">
            <v>Luxembourg</v>
          </cell>
          <cell r="CV522" t="str">
            <v>Office</v>
          </cell>
          <cell r="CW522">
            <v>2.1</v>
          </cell>
          <cell r="CX522" t="str">
            <v>Finland</v>
          </cell>
          <cell r="CY522" t="str">
            <v>Office</v>
          </cell>
          <cell r="CZ522">
            <v>2.2999999999999998</v>
          </cell>
          <cell r="DA522" t="str">
            <v>Denmark</v>
          </cell>
          <cell r="DB522" t="str">
            <v>Office</v>
          </cell>
          <cell r="DC522">
            <v>1.1000000000000001</v>
          </cell>
          <cell r="DD522" t="str">
            <v>Germany</v>
          </cell>
          <cell r="DE522" t="str">
            <v>Office</v>
          </cell>
          <cell r="DF522">
            <v>33.6</v>
          </cell>
          <cell r="DG522" t="str">
            <v>United Kingdom</v>
          </cell>
          <cell r="DH522" t="str">
            <v>Office</v>
          </cell>
          <cell r="DI522">
            <v>17.2</v>
          </cell>
          <cell r="DJ522" t="str">
            <v>Netherlands</v>
          </cell>
          <cell r="DK522" t="str">
            <v>Office</v>
          </cell>
          <cell r="DL522">
            <v>7</v>
          </cell>
          <cell r="DM522" t="str">
            <v>Netherlands</v>
          </cell>
          <cell r="DN522" t="str">
            <v>Industrial / Logistics</v>
          </cell>
          <cell r="DO522">
            <v>0.7</v>
          </cell>
          <cell r="DP522" t="str">
            <v>Belgium</v>
          </cell>
          <cell r="DQ522" t="str">
            <v>Office</v>
          </cell>
          <cell r="DR522">
            <v>3.1</v>
          </cell>
          <cell r="DS522" t="str">
            <v>Austria</v>
          </cell>
          <cell r="DT522" t="str">
            <v>Office</v>
          </cell>
          <cell r="DU522">
            <v>4.5999999999999996</v>
          </cell>
          <cell r="DV522" t="str">
            <v>France</v>
          </cell>
          <cell r="DW522" t="str">
            <v>Office</v>
          </cell>
          <cell r="DX522">
            <v>9.9</v>
          </cell>
          <cell r="DY522" t="str">
            <v>Poland</v>
          </cell>
          <cell r="DZ522" t="str">
            <v>Office</v>
          </cell>
          <cell r="EA522">
            <v>0.9</v>
          </cell>
          <cell r="EB522" t="str">
            <v>Norway</v>
          </cell>
          <cell r="EC522" t="str">
            <v>Office</v>
          </cell>
          <cell r="ED522">
            <v>1.3</v>
          </cell>
        </row>
        <row r="523">
          <cell r="A523">
            <v>18452</v>
          </cell>
          <cell r="B523" t="str">
            <v>WGH</v>
          </cell>
          <cell r="C523" t="str">
            <v>MAN GLOBAL PRIVATE MARKETS</v>
          </cell>
          <cell r="D523" t="str">
            <v>2 Swan Lane</v>
          </cell>
          <cell r="E523" t="str">
            <v>EC4R 3AD</v>
          </cell>
          <cell r="F523" t="str">
            <v>London</v>
          </cell>
          <cell r="G523" t="str">
            <v>United Kingdom</v>
          </cell>
          <cell r="J523" t="str">
            <v>https://www.man.com/gpm-aalto</v>
          </cell>
          <cell r="K523" t="str">
            <v>Travis Masters</v>
          </cell>
          <cell r="L523" t="str">
            <v>Travis.Masters@man.com</v>
          </cell>
          <cell r="M523" t="str">
            <v>+1 (980) 321-7561</v>
          </cell>
          <cell r="N523" t="str">
            <v>Jonathan Shaw</v>
          </cell>
          <cell r="O523" t="str">
            <v>Jonathan.Shaw@Man.com</v>
          </cell>
          <cell r="P523">
            <v>2071142911</v>
          </cell>
          <cell r="Q523" t="str">
            <v>United States of America</v>
          </cell>
          <cell r="R523" t="str">
            <v>USD</v>
          </cell>
          <cell r="S523" t="str">
            <v>US GAAP</v>
          </cell>
          <cell r="T523" t="str">
            <v>Annually</v>
          </cell>
          <cell r="U523" t="str">
            <v>Annually</v>
          </cell>
          <cell r="V523" t="str">
            <v>CoreLogic: Automated Valuation Estimate or Broker Price Option; otherwise RedBell Valuation Risk Review ; or valued at cost if in development</v>
          </cell>
          <cell r="W523" t="str">
            <v>CoreLogic (Automated Valuation Model): PASS</v>
          </cell>
          <cell r="X523" t="str">
            <v>Grant Thornton</v>
          </cell>
          <cell r="Y523" t="str">
            <v>Real Estate Fund</v>
          </cell>
          <cell r="Z523" t="str">
            <v>No</v>
          </cell>
          <cell r="AA523" t="str">
            <v>Yes</v>
          </cell>
          <cell r="AC523" t="str">
            <v>Separate account</v>
          </cell>
          <cell r="AD523" t="str">
            <v>Core</v>
          </cell>
          <cell r="AE523" t="str">
            <v>infinite</v>
          </cell>
          <cell r="AF523" t="str">
            <v>Closed end</v>
          </cell>
          <cell r="AG523">
            <v>7</v>
          </cell>
          <cell r="AH523">
            <v>9</v>
          </cell>
          <cell r="AI523" t="str">
            <v>Gross</v>
          </cell>
          <cell r="AJ523" t="str">
            <v>None</v>
          </cell>
          <cell r="AL523">
            <v>0</v>
          </cell>
          <cell r="AM523" t="str">
            <v>≤ 40%</v>
          </cell>
          <cell r="AN523" t="str">
            <v>Institutional</v>
          </cell>
          <cell r="AO523" t="str">
            <v>≤ 2</v>
          </cell>
          <cell r="AP523" t="str">
            <v>≥ 50%</v>
          </cell>
          <cell r="AQ523" t="str">
            <v>North America</v>
          </cell>
          <cell r="AR523" t="str">
            <v>single country</v>
          </cell>
          <cell r="AT523" t="str">
            <v>United States of America</v>
          </cell>
          <cell r="AU523" t="str">
            <v>single sector</v>
          </cell>
          <cell r="AV523" t="str">
            <v>Residential</v>
          </cell>
          <cell r="AW523">
            <v>488000000</v>
          </cell>
          <cell r="AY523">
            <v>2013</v>
          </cell>
          <cell r="BA523" t="str">
            <v>No</v>
          </cell>
          <cell r="BF523" t="str">
            <v>≤ 15%</v>
          </cell>
        </row>
        <row r="524">
          <cell r="A524">
            <v>18382</v>
          </cell>
          <cell r="B524" t="str">
            <v>WHITE STONE V</v>
          </cell>
          <cell r="C524" t="str">
            <v>LBO FRANCE GESTION</v>
          </cell>
          <cell r="D524" t="str">
            <v>148 rue de l'Universite</v>
          </cell>
          <cell r="E524">
            <v>75007</v>
          </cell>
          <cell r="F524" t="str">
            <v>Paris</v>
          </cell>
          <cell r="G524" t="str">
            <v>France</v>
          </cell>
          <cell r="H524" t="str">
            <v xml:space="preserve">+33 1 40 62 77 67 </v>
          </cell>
          <cell r="J524" t="str">
            <v>http://www.lbofrance.com/en/</v>
          </cell>
          <cell r="N524" t="str">
            <v>Sophie Chateau</v>
          </cell>
          <cell r="O524" t="str">
            <v>investorrelation@lbofrance.com</v>
          </cell>
          <cell r="P524" t="str">
            <v xml:space="preserve">+33 1 40 62 77 67 </v>
          </cell>
          <cell r="Q524" t="str">
            <v>France</v>
          </cell>
          <cell r="R524" t="str">
            <v>EUR</v>
          </cell>
          <cell r="S524" t="str">
            <v>Local GAAP</v>
          </cell>
          <cell r="T524" t="str">
            <v>Twice per year</v>
          </cell>
          <cell r="U524" t="str">
            <v>Twice per year</v>
          </cell>
          <cell r="V524" t="str">
            <v>Other - mark to market</v>
          </cell>
          <cell r="W524" t="str">
            <v>INREV NAV</v>
          </cell>
          <cell r="X524" t="str">
            <v>Mazars</v>
          </cell>
          <cell r="Y524" t="str">
            <v>FPCI</v>
          </cell>
          <cell r="Z524" t="str">
            <v>No</v>
          </cell>
          <cell r="AC524" t="str">
            <v>Non-Listed Fund</v>
          </cell>
          <cell r="AD524" t="str">
            <v>Value-added</v>
          </cell>
          <cell r="AE524" t="str">
            <v>finite</v>
          </cell>
          <cell r="AF524" t="str">
            <v>Closed end</v>
          </cell>
          <cell r="AG524">
            <v>15</v>
          </cell>
          <cell r="AH524">
            <v>20</v>
          </cell>
          <cell r="AN524" t="str">
            <v>Institutional</v>
          </cell>
          <cell r="AO524" t="str">
            <v>&gt; 2</v>
          </cell>
          <cell r="AP524" t="str">
            <v>≥ 50%</v>
          </cell>
          <cell r="AQ524" t="str">
            <v>Europe</v>
          </cell>
          <cell r="AR524" t="str">
            <v>single country</v>
          </cell>
          <cell r="AT524" t="str">
            <v>France</v>
          </cell>
          <cell r="AU524" t="str">
            <v>multi sector</v>
          </cell>
          <cell r="AY524">
            <v>2009</v>
          </cell>
          <cell r="BA524" t="str">
            <v>Yes</v>
          </cell>
          <cell r="BH524" t="str">
            <v>2018-12-31</v>
          </cell>
          <cell r="BI524">
            <v>44640000</v>
          </cell>
          <cell r="BJ524">
            <v>44640000</v>
          </cell>
          <cell r="BK524">
            <v>33400000</v>
          </cell>
          <cell r="BL524">
            <v>33400000</v>
          </cell>
          <cell r="BM524">
            <v>25</v>
          </cell>
          <cell r="BN524" t="str">
            <v>Yes</v>
          </cell>
          <cell r="BO524" t="str">
            <v>External</v>
          </cell>
          <cell r="BP524">
            <v>13</v>
          </cell>
          <cell r="BQ524">
            <v>2</v>
          </cell>
          <cell r="BR524">
            <v>53800000</v>
          </cell>
          <cell r="BS524">
            <v>53800000</v>
          </cell>
          <cell r="BT524">
            <v>53800000</v>
          </cell>
          <cell r="BU524">
            <v>53800000</v>
          </cell>
          <cell r="BV524" t="str">
            <v>No</v>
          </cell>
          <cell r="BW524" t="str">
            <v>France</v>
          </cell>
          <cell r="BX524" t="str">
            <v>Office</v>
          </cell>
          <cell r="BY524">
            <v>38</v>
          </cell>
          <cell r="BZ524" t="str">
            <v>France</v>
          </cell>
          <cell r="CA524" t="str">
            <v>Other</v>
          </cell>
          <cell r="CB524">
            <v>62</v>
          </cell>
        </row>
        <row r="525">
          <cell r="A525">
            <v>18379</v>
          </cell>
          <cell r="B525" t="str">
            <v>WHITE STONE VI</v>
          </cell>
          <cell r="C525" t="str">
            <v>LBO FRANCE GESTION</v>
          </cell>
          <cell r="D525" t="str">
            <v>148 rue de l'Universite</v>
          </cell>
          <cell r="E525">
            <v>75007</v>
          </cell>
          <cell r="F525" t="str">
            <v>Paris</v>
          </cell>
          <cell r="G525" t="str">
            <v>France</v>
          </cell>
          <cell r="H525" t="str">
            <v>+33140627767</v>
          </cell>
          <cell r="N525" t="str">
            <v>Sophie Chateau</v>
          </cell>
          <cell r="O525" t="str">
            <v>IRTeam@lbofrance.com</v>
          </cell>
          <cell r="P525" t="str">
            <v xml:space="preserve">+33 1 40 62 77 67 </v>
          </cell>
          <cell r="Q525" t="str">
            <v>France</v>
          </cell>
          <cell r="R525" t="str">
            <v>EUR</v>
          </cell>
          <cell r="S525" t="str">
            <v>Local GAAP</v>
          </cell>
          <cell r="T525" t="str">
            <v>Quarterly</v>
          </cell>
          <cell r="U525" t="str">
            <v>Twice per year</v>
          </cell>
          <cell r="V525" t="str">
            <v>Other - mark to market</v>
          </cell>
          <cell r="W525" t="str">
            <v>INREV NAV</v>
          </cell>
          <cell r="X525" t="str">
            <v>Mazars</v>
          </cell>
          <cell r="Y525" t="str">
            <v>FPCI</v>
          </cell>
          <cell r="Z525" t="str">
            <v>Yes</v>
          </cell>
          <cell r="AA525" t="str">
            <v>Yes</v>
          </cell>
          <cell r="AC525" t="str">
            <v>Non-Listed Fund</v>
          </cell>
          <cell r="AD525" t="str">
            <v>Value-added</v>
          </cell>
          <cell r="AE525" t="str">
            <v>finite</v>
          </cell>
          <cell r="AF525" t="str">
            <v>Closed end</v>
          </cell>
          <cell r="AG525">
            <v>15</v>
          </cell>
          <cell r="AH525">
            <v>20</v>
          </cell>
          <cell r="AN525" t="str">
            <v>Institutional</v>
          </cell>
          <cell r="AO525" t="str">
            <v>&gt; 2</v>
          </cell>
          <cell r="AP525" t="str">
            <v>≥ 50%</v>
          </cell>
          <cell r="AQ525" t="str">
            <v>Europe</v>
          </cell>
          <cell r="AR525" t="str">
            <v>single country</v>
          </cell>
          <cell r="AT525" t="str">
            <v>France</v>
          </cell>
          <cell r="AU525" t="str">
            <v>multi sector</v>
          </cell>
          <cell r="AY525">
            <v>2014</v>
          </cell>
          <cell r="BH525" t="str">
            <v>2018-12-31</v>
          </cell>
          <cell r="BI525">
            <v>56350000</v>
          </cell>
          <cell r="BJ525">
            <v>56350000</v>
          </cell>
          <cell r="BK525">
            <v>34600000</v>
          </cell>
          <cell r="BL525">
            <v>34600000</v>
          </cell>
          <cell r="BM525">
            <v>39</v>
          </cell>
          <cell r="BN525" t="str">
            <v>Yes</v>
          </cell>
          <cell r="BO525" t="str">
            <v>External</v>
          </cell>
          <cell r="BP525">
            <v>13</v>
          </cell>
          <cell r="BQ525">
            <v>2</v>
          </cell>
          <cell r="BR525">
            <v>130000000</v>
          </cell>
          <cell r="BS525">
            <v>130000000</v>
          </cell>
          <cell r="BT525">
            <v>75800000</v>
          </cell>
          <cell r="BU525">
            <v>75800000</v>
          </cell>
          <cell r="BV525" t="str">
            <v>No</v>
          </cell>
          <cell r="BW525" t="str">
            <v>France</v>
          </cell>
          <cell r="BX525" t="str">
            <v>Office</v>
          </cell>
          <cell r="BY525">
            <v>100</v>
          </cell>
        </row>
        <row r="526">
          <cell r="A526">
            <v>17717</v>
          </cell>
          <cell r="B526" t="str">
            <v>ZURICH AST IMMOBILIEN EUROPA DIREKT</v>
          </cell>
          <cell r="C526" t="str">
            <v>SCHRODERS INVESTMENT MANAGEMENT (SWITZERLAND) AG</v>
          </cell>
          <cell r="D526" t="str">
            <v>Central 2</v>
          </cell>
          <cell r="E526">
            <v>8021</v>
          </cell>
          <cell r="F526" t="str">
            <v>Zurich</v>
          </cell>
          <cell r="G526" t="str">
            <v>Switzerland</v>
          </cell>
          <cell r="H526" t="str">
            <v>+41 44 250 1111</v>
          </cell>
          <cell r="I526" t="str">
            <v>+41 44 2501312</v>
          </cell>
          <cell r="K526" t="str">
            <v>Tony Smedley</v>
          </cell>
          <cell r="L526" t="str">
            <v>tony.smedley@schroders.com</v>
          </cell>
          <cell r="M526" t="str">
            <v>+442076582699</v>
          </cell>
          <cell r="N526" t="str">
            <v>Robert Varley</v>
          </cell>
          <cell r="O526" t="str">
            <v>robert.varley@schroders.com</v>
          </cell>
          <cell r="P526" t="str">
            <v xml:space="preserve">+41 (0)44 250 1225 </v>
          </cell>
          <cell r="Q526" t="str">
            <v>Switzerland</v>
          </cell>
          <cell r="R526" t="str">
            <v>EUR</v>
          </cell>
          <cell r="S526" t="str">
            <v>IFRS</v>
          </cell>
          <cell r="T526" t="str">
            <v>Quarterly</v>
          </cell>
          <cell r="U526" t="str">
            <v>Quarterly</v>
          </cell>
          <cell r="V526" t="str">
            <v>RICS</v>
          </cell>
          <cell r="W526" t="str">
            <v>IFRS NAV</v>
          </cell>
          <cell r="X526" t="str">
            <v>Schroders</v>
          </cell>
          <cell r="Y526" t="str">
            <v>Investment Group ("Investitionsgruppe einer Anlagestiftung")</v>
          </cell>
          <cell r="Z526" t="str">
            <v>No</v>
          </cell>
          <cell r="AA526" t="str">
            <v>Yes</v>
          </cell>
          <cell r="AB526">
            <v>4</v>
          </cell>
          <cell r="AC526" t="str">
            <v>Non-Listed Fund</v>
          </cell>
          <cell r="AD526" t="str">
            <v>Core</v>
          </cell>
          <cell r="AE526" t="str">
            <v>infinite</v>
          </cell>
          <cell r="AF526" t="str">
            <v>Open end</v>
          </cell>
          <cell r="AK526">
            <v>4.5</v>
          </cell>
          <cell r="AL526">
            <v>25</v>
          </cell>
          <cell r="AM526" t="str">
            <v>≤ 40%</v>
          </cell>
          <cell r="AN526" t="str">
            <v>Institutional</v>
          </cell>
          <cell r="AO526" t="str">
            <v>&gt; 2</v>
          </cell>
          <cell r="AP526" t="str">
            <v>≥ 50%</v>
          </cell>
          <cell r="AQ526" t="str">
            <v>Europe</v>
          </cell>
          <cell r="AR526" t="str">
            <v>multi country</v>
          </cell>
          <cell r="AS526" t="str">
            <v>Western Europe</v>
          </cell>
          <cell r="AU526" t="str">
            <v>multi sector</v>
          </cell>
          <cell r="AW526">
            <v>800000000</v>
          </cell>
          <cell r="AX526">
            <v>1000000000</v>
          </cell>
          <cell r="AY526">
            <v>2014</v>
          </cell>
          <cell r="BD526" t="str">
            <v>No</v>
          </cell>
          <cell r="BE526" t="str">
            <v>≥ 60%</v>
          </cell>
          <cell r="BF526" t="str">
            <v>≤ 15%</v>
          </cell>
          <cell r="BH526" t="str">
            <v>2020-12-31</v>
          </cell>
          <cell r="BI526">
            <v>1292226000</v>
          </cell>
          <cell r="BJ526">
            <v>1292226000</v>
          </cell>
          <cell r="BK526">
            <v>970199000</v>
          </cell>
          <cell r="BL526">
            <v>970199000</v>
          </cell>
          <cell r="BM526">
            <v>22</v>
          </cell>
          <cell r="BN526" t="str">
            <v>No</v>
          </cell>
          <cell r="BO526" t="str">
            <v>External</v>
          </cell>
          <cell r="BP526">
            <v>42</v>
          </cell>
          <cell r="BQ526">
            <v>35</v>
          </cell>
          <cell r="BR526">
            <v>711900000</v>
          </cell>
          <cell r="BS526">
            <v>711900000</v>
          </cell>
          <cell r="BT526">
            <v>711900000</v>
          </cell>
          <cell r="BU526">
            <v>711900000</v>
          </cell>
          <cell r="BV526" t="str">
            <v>Yes</v>
          </cell>
          <cell r="BW526" t="str">
            <v>Finland</v>
          </cell>
          <cell r="BX526" t="str">
            <v>Mixed</v>
          </cell>
          <cell r="BY526">
            <v>2.1</v>
          </cell>
          <cell r="BZ526" t="str">
            <v>Belgium</v>
          </cell>
          <cell r="CA526" t="str">
            <v>Mixed</v>
          </cell>
          <cell r="CB526">
            <v>3</v>
          </cell>
          <cell r="CC526" t="str">
            <v>Sweden</v>
          </cell>
          <cell r="CD526" t="str">
            <v>Mixed</v>
          </cell>
          <cell r="CE526">
            <v>4.2</v>
          </cell>
          <cell r="CF526" t="str">
            <v>Spain</v>
          </cell>
          <cell r="CG526" t="str">
            <v>Mixed</v>
          </cell>
          <cell r="CH526">
            <v>4.0999999999999996</v>
          </cell>
          <cell r="CI526" t="str">
            <v>Netherlands</v>
          </cell>
          <cell r="CJ526" t="str">
            <v>Mixed</v>
          </cell>
          <cell r="CK526">
            <v>5.2</v>
          </cell>
          <cell r="CL526" t="str">
            <v>Denmark</v>
          </cell>
          <cell r="CM526" t="str">
            <v>Mixed</v>
          </cell>
          <cell r="CN526">
            <v>6.7</v>
          </cell>
          <cell r="CO526" t="str">
            <v>United Kingdom</v>
          </cell>
          <cell r="CP526" t="str">
            <v>Mixed</v>
          </cell>
          <cell r="CQ526">
            <v>15.6</v>
          </cell>
          <cell r="CR526" t="str">
            <v>France</v>
          </cell>
          <cell r="CS526" t="str">
            <v>Mixed</v>
          </cell>
          <cell r="CT526">
            <v>25.6</v>
          </cell>
          <cell r="CU526" t="str">
            <v>Germany</v>
          </cell>
          <cell r="CV526" t="str">
            <v>Mixed</v>
          </cell>
          <cell r="CW526">
            <v>33.5</v>
          </cell>
        </row>
      </sheetData>
      <sheetData sheetId="29">
        <row r="3">
          <cell r="J3" t="str">
            <v>PGIM Real Estate</v>
          </cell>
          <cell r="K3" t="str">
            <v>Pan-European Real Estate Fund II</v>
          </cell>
          <cell r="L3" t="str">
            <v>Open end</v>
          </cell>
          <cell r="M3" t="str">
            <v>Yes</v>
          </cell>
          <cell r="P3">
            <v>63</v>
          </cell>
          <cell r="Q3">
            <v>11</v>
          </cell>
          <cell r="R3">
            <v>52</v>
          </cell>
          <cell r="Y3">
            <v>63</v>
          </cell>
          <cell r="AD3">
            <v>72</v>
          </cell>
          <cell r="AF3">
            <v>28</v>
          </cell>
          <cell r="AH3" t="str">
            <v>Increase</v>
          </cell>
          <cell r="AI3" t="str">
            <v>Yes</v>
          </cell>
        </row>
        <row r="4">
          <cell r="J4" t="str">
            <v>PGIM Real Estate</v>
          </cell>
          <cell r="K4" t="str">
            <v>European Value Partners II</v>
          </cell>
          <cell r="L4" t="str">
            <v>Open end</v>
          </cell>
          <cell r="M4" t="str">
            <v>Yes</v>
          </cell>
          <cell r="P4">
            <v>133</v>
          </cell>
          <cell r="Q4">
            <v>28</v>
          </cell>
          <cell r="R4">
            <v>98</v>
          </cell>
          <cell r="W4">
            <v>6</v>
          </cell>
          <cell r="X4">
            <v>1</v>
          </cell>
          <cell r="Y4">
            <v>49</v>
          </cell>
          <cell r="AA4">
            <v>78</v>
          </cell>
          <cell r="AB4">
            <v>6</v>
          </cell>
          <cell r="AD4">
            <v>16</v>
          </cell>
          <cell r="AF4">
            <v>84</v>
          </cell>
          <cell r="AH4" t="str">
            <v>Increase</v>
          </cell>
          <cell r="AI4" t="str">
            <v>Yes</v>
          </cell>
        </row>
        <row r="5">
          <cell r="J5" t="str">
            <v>PGIM Real Estate</v>
          </cell>
          <cell r="K5" t="str">
            <v>PGIM Real Estate UK Affordable Housing Fund</v>
          </cell>
          <cell r="L5" t="str">
            <v>Open end</v>
          </cell>
          <cell r="M5" t="str">
            <v>Yes</v>
          </cell>
          <cell r="P5">
            <v>185</v>
          </cell>
          <cell r="Q5">
            <v>185</v>
          </cell>
          <cell r="Y5">
            <v>185</v>
          </cell>
          <cell r="AF5">
            <v>100</v>
          </cell>
          <cell r="AH5" t="str">
            <v>Increase</v>
          </cell>
          <cell r="AI5" t="str">
            <v>Yes</v>
          </cell>
        </row>
        <row r="6">
          <cell r="J6" t="str">
            <v>PGIM Real Estate</v>
          </cell>
          <cell r="K6" t="str">
            <v>Eurocore</v>
          </cell>
          <cell r="L6" t="str">
            <v>Open end</v>
          </cell>
          <cell r="M6" t="str">
            <v>Yes</v>
          </cell>
          <cell r="P6">
            <v>319</v>
          </cell>
          <cell r="Q6">
            <v>274</v>
          </cell>
          <cell r="R6">
            <v>11</v>
          </cell>
          <cell r="X6">
            <v>34</v>
          </cell>
          <cell r="Y6">
            <v>319</v>
          </cell>
          <cell r="AF6">
            <v>100</v>
          </cell>
          <cell r="AH6" t="str">
            <v>Increase</v>
          </cell>
          <cell r="AI6" t="str">
            <v>Yes</v>
          </cell>
        </row>
        <row r="7">
          <cell r="J7" t="str">
            <v>CBRE GI</v>
          </cell>
          <cell r="K7" t="str">
            <v>Strategic Partners U.S. Value 9, L.P.</v>
          </cell>
          <cell r="L7" t="str">
            <v>Closed end</v>
          </cell>
          <cell r="M7" t="str">
            <v>Yes</v>
          </cell>
          <cell r="P7">
            <v>530</v>
          </cell>
          <cell r="Q7">
            <v>368</v>
          </cell>
          <cell r="S7">
            <v>150</v>
          </cell>
          <cell r="X7">
            <v>13</v>
          </cell>
          <cell r="Y7">
            <v>150</v>
          </cell>
          <cell r="AA7">
            <v>380</v>
          </cell>
          <cell r="AF7">
            <v>100</v>
          </cell>
          <cell r="AH7" t="str">
            <v>Increase</v>
          </cell>
          <cell r="AI7" t="str">
            <v>Yes</v>
          </cell>
        </row>
        <row r="8">
          <cell r="J8" t="str">
            <v>CBRE GI</v>
          </cell>
          <cell r="K8" t="str">
            <v>US Core Partners</v>
          </cell>
          <cell r="L8" t="str">
            <v>Open end</v>
          </cell>
          <cell r="M8" t="str">
            <v>Yes</v>
          </cell>
          <cell r="P8">
            <v>838</v>
          </cell>
          <cell r="Q8">
            <v>365</v>
          </cell>
          <cell r="R8">
            <v>298</v>
          </cell>
          <cell r="S8">
            <v>70</v>
          </cell>
          <cell r="U8">
            <v>2</v>
          </cell>
          <cell r="V8">
            <v>77</v>
          </cell>
          <cell r="X8">
            <v>26</v>
          </cell>
          <cell r="Y8">
            <v>532</v>
          </cell>
          <cell r="Z8">
            <v>90</v>
          </cell>
          <cell r="AA8">
            <v>216</v>
          </cell>
          <cell r="AF8">
            <v>100</v>
          </cell>
          <cell r="AH8" t="str">
            <v>Increase</v>
          </cell>
          <cell r="AI8" t="str">
            <v>Yes</v>
          </cell>
        </row>
        <row r="9">
          <cell r="J9" t="str">
            <v>CBRE GI</v>
          </cell>
          <cell r="K9" t="str">
            <v>Asia Value Partners V SCSp SICAV-RAIF</v>
          </cell>
          <cell r="L9" t="str">
            <v>Closed end</v>
          </cell>
          <cell r="M9" t="str">
            <v>Yes</v>
          </cell>
          <cell r="P9">
            <v>136</v>
          </cell>
          <cell r="Q9">
            <v>30</v>
          </cell>
          <cell r="R9">
            <v>81</v>
          </cell>
          <cell r="X9">
            <v>25</v>
          </cell>
          <cell r="Y9">
            <v>106</v>
          </cell>
          <cell r="AC9">
            <v>30</v>
          </cell>
          <cell r="AF9">
            <v>100</v>
          </cell>
          <cell r="AH9" t="str">
            <v>Increase</v>
          </cell>
          <cell r="AI9" t="str">
            <v>Yes</v>
          </cell>
        </row>
        <row r="10">
          <cell r="J10" t="str">
            <v>CBRE GI</v>
          </cell>
          <cell r="K10" t="str">
            <v>Dutch Residential Fund</v>
          </cell>
          <cell r="L10" t="str">
            <v>Open end</v>
          </cell>
          <cell r="M10" t="str">
            <v>Yes</v>
          </cell>
          <cell r="P10">
            <v>602</v>
          </cell>
          <cell r="Q10">
            <v>602</v>
          </cell>
          <cell r="Y10">
            <v>602</v>
          </cell>
          <cell r="AF10">
            <v>100</v>
          </cell>
          <cell r="AH10" t="str">
            <v>Increase</v>
          </cell>
          <cell r="AI10" t="str">
            <v>Yes</v>
          </cell>
        </row>
        <row r="11">
          <cell r="J11" t="str">
            <v>CBRE GI</v>
          </cell>
          <cell r="K11" t="str">
            <v>Europe Value Partners 2</v>
          </cell>
          <cell r="L11" t="str">
            <v>Closed end</v>
          </cell>
          <cell r="M11" t="str">
            <v>Yes</v>
          </cell>
          <cell r="P11">
            <v>4</v>
          </cell>
          <cell r="Q11">
            <v>2</v>
          </cell>
          <cell r="R11">
            <v>2</v>
          </cell>
          <cell r="Z11">
            <v>3</v>
          </cell>
          <cell r="AA11">
            <v>1</v>
          </cell>
          <cell r="AF11">
            <v>100</v>
          </cell>
          <cell r="AH11" t="str">
            <v>Increase</v>
          </cell>
          <cell r="AI11" t="str">
            <v>Yes</v>
          </cell>
        </row>
        <row r="12">
          <cell r="J12" t="str">
            <v>CBRE GI</v>
          </cell>
          <cell r="K12" t="str">
            <v>European Industrial Fund</v>
          </cell>
          <cell r="L12" t="str">
            <v>Open end</v>
          </cell>
          <cell r="M12" t="str">
            <v>Yes</v>
          </cell>
          <cell r="P12">
            <v>122</v>
          </cell>
          <cell r="Q12">
            <v>32</v>
          </cell>
          <cell r="R12">
            <v>90</v>
          </cell>
          <cell r="Y12">
            <v>122</v>
          </cell>
          <cell r="AF12">
            <v>100</v>
          </cell>
          <cell r="AH12" t="str">
            <v>Increase</v>
          </cell>
          <cell r="AI12" t="str">
            <v>Yes</v>
          </cell>
        </row>
        <row r="13">
          <cell r="J13" t="str">
            <v>CBRE GI</v>
          </cell>
          <cell r="K13" t="str">
            <v>Pan-European Core Fund (PEC)</v>
          </cell>
          <cell r="L13" t="str">
            <v>Open end</v>
          </cell>
          <cell r="M13" t="str">
            <v>Yes</v>
          </cell>
          <cell r="P13">
            <v>417</v>
          </cell>
          <cell r="Q13">
            <v>404</v>
          </cell>
          <cell r="R13">
            <v>13</v>
          </cell>
          <cell r="Y13">
            <v>384</v>
          </cell>
          <cell r="Z13">
            <v>33</v>
          </cell>
          <cell r="AF13">
            <v>100</v>
          </cell>
          <cell r="AH13" t="str">
            <v>Increase</v>
          </cell>
          <cell r="AI13" t="str">
            <v>Yes</v>
          </cell>
        </row>
        <row r="14">
          <cell r="J14" t="str">
            <v>CBRE GI</v>
          </cell>
          <cell r="K14" t="str">
            <v>UK Long Income Fund</v>
          </cell>
          <cell r="L14" t="str">
            <v>Open end</v>
          </cell>
          <cell r="M14" t="str">
            <v>Yes</v>
          </cell>
          <cell r="P14">
            <v>82</v>
          </cell>
          <cell r="Q14">
            <v>82</v>
          </cell>
          <cell r="Y14">
            <v>82</v>
          </cell>
          <cell r="AF14">
            <v>100</v>
          </cell>
          <cell r="AH14" t="str">
            <v>Increase</v>
          </cell>
          <cell r="AI14" t="str">
            <v>Yes</v>
          </cell>
        </row>
        <row r="15">
          <cell r="J15" t="str">
            <v>CBRE GI</v>
          </cell>
          <cell r="K15" t="str">
            <v>Caledon Global Infrastructure Fund (CGIF)</v>
          </cell>
          <cell r="L15" t="str">
            <v>Open end</v>
          </cell>
          <cell r="M15" t="str">
            <v>Yes</v>
          </cell>
          <cell r="P15">
            <v>78</v>
          </cell>
          <cell r="Q15">
            <v>60</v>
          </cell>
          <cell r="X15">
            <v>18</v>
          </cell>
          <cell r="Y15">
            <v>5</v>
          </cell>
          <cell r="Z15">
            <v>7</v>
          </cell>
          <cell r="AA15">
            <v>66</v>
          </cell>
          <cell r="AF15">
            <v>100</v>
          </cell>
          <cell r="AH15" t="str">
            <v>Increase</v>
          </cell>
          <cell r="AI15" t="str">
            <v>Yes</v>
          </cell>
        </row>
        <row r="16">
          <cell r="J16" t="str">
            <v>DWS Alternatives GmbH</v>
          </cell>
          <cell r="K16" t="str">
            <v>Transatlantik fonds</v>
          </cell>
          <cell r="L16" t="str">
            <v>Open end</v>
          </cell>
          <cell r="M16" t="str">
            <v>Yes</v>
          </cell>
          <cell r="P16">
            <v>250</v>
          </cell>
          <cell r="R16">
            <v>250</v>
          </cell>
          <cell r="Y16">
            <v>250</v>
          </cell>
          <cell r="AF16">
            <v>100</v>
          </cell>
          <cell r="AH16" t="str">
            <v>Increase</v>
          </cell>
          <cell r="AI16" t="str">
            <v>No</v>
          </cell>
        </row>
        <row r="17">
          <cell r="J17" t="str">
            <v>Invesco Real Estate</v>
          </cell>
          <cell r="K17" t="str">
            <v>Invesco Real Estate - European Value-Add Fund II</v>
          </cell>
          <cell r="L17" t="str">
            <v>Closed end</v>
          </cell>
          <cell r="M17" t="str">
            <v>Yes</v>
          </cell>
          <cell r="P17">
            <v>132</v>
          </cell>
          <cell r="Q17">
            <v>125</v>
          </cell>
          <cell r="U17">
            <v>5</v>
          </cell>
          <cell r="X17">
            <v>2</v>
          </cell>
          <cell r="Y17">
            <v>132</v>
          </cell>
          <cell r="AF17">
            <v>100</v>
          </cell>
          <cell r="AH17" t="str">
            <v>No change</v>
          </cell>
          <cell r="AI17" t="str">
            <v>Yes</v>
          </cell>
        </row>
        <row r="18">
          <cell r="J18" t="str">
            <v>Hearthstone Investment Management Ltd</v>
          </cell>
          <cell r="K18" t="str">
            <v>Hearthstone Residential Fund 2</v>
          </cell>
          <cell r="L18" t="str">
            <v>Closed end</v>
          </cell>
          <cell r="M18" t="str">
            <v>Yes</v>
          </cell>
          <cell r="P18">
            <v>97</v>
          </cell>
          <cell r="Q18">
            <v>97</v>
          </cell>
          <cell r="Y18">
            <v>97</v>
          </cell>
          <cell r="AF18">
            <v>100</v>
          </cell>
          <cell r="AH18" t="str">
            <v>Increase</v>
          </cell>
          <cell r="AI18" t="str">
            <v>Yes</v>
          </cell>
        </row>
        <row r="19">
          <cell r="J19" t="str">
            <v>Bouwinvest</v>
          </cell>
          <cell r="K19" t="str">
            <v>Hotel Fund</v>
          </cell>
          <cell r="M19" t="str">
            <v>No</v>
          </cell>
          <cell r="N19" t="str">
            <v>Other (please specify)</v>
          </cell>
          <cell r="O19" t="str">
            <v>Because the fund is closed ended.</v>
          </cell>
          <cell r="AH19" t="str">
            <v>Decrease</v>
          </cell>
          <cell r="AI19" t="str">
            <v>Yes</v>
          </cell>
        </row>
        <row r="20">
          <cell r="J20" t="str">
            <v>Bouwinvest</v>
          </cell>
          <cell r="K20" t="str">
            <v>Healthcare Fund</v>
          </cell>
          <cell r="M20" t="str">
            <v>No</v>
          </cell>
          <cell r="N20" t="str">
            <v>Other (please specify)</v>
          </cell>
          <cell r="O20" t="str">
            <v>Because the Fund is closed ended.</v>
          </cell>
          <cell r="AH20" t="str">
            <v>Increase</v>
          </cell>
          <cell r="AI20" t="str">
            <v>Yes</v>
          </cell>
        </row>
        <row r="21">
          <cell r="J21" t="str">
            <v>Bouwinvest</v>
          </cell>
          <cell r="K21" t="str">
            <v>Office Fund</v>
          </cell>
          <cell r="L21" t="str">
            <v>Open end</v>
          </cell>
          <cell r="M21" t="str">
            <v>Yes</v>
          </cell>
          <cell r="P21">
            <v>47</v>
          </cell>
          <cell r="Q21">
            <v>45</v>
          </cell>
          <cell r="R21">
            <v>2</v>
          </cell>
          <cell r="Y21">
            <v>47</v>
          </cell>
          <cell r="AF21">
            <v>100</v>
          </cell>
          <cell r="AH21" t="str">
            <v>Increase</v>
          </cell>
          <cell r="AI21" t="str">
            <v>Yes</v>
          </cell>
        </row>
        <row r="22">
          <cell r="J22" t="str">
            <v>Bouwinvest</v>
          </cell>
          <cell r="K22" t="str">
            <v>Retail Fund</v>
          </cell>
          <cell r="L22" t="str">
            <v>Open end</v>
          </cell>
          <cell r="M22" t="str">
            <v>Yes</v>
          </cell>
          <cell r="P22">
            <v>78</v>
          </cell>
          <cell r="Q22">
            <v>78</v>
          </cell>
          <cell r="Y22">
            <v>78</v>
          </cell>
          <cell r="AF22">
            <v>100</v>
          </cell>
          <cell r="AH22" t="str">
            <v>Decrease</v>
          </cell>
          <cell r="AI22" t="str">
            <v>Yes</v>
          </cell>
        </row>
        <row r="23">
          <cell r="J23" t="str">
            <v>Bouwinvest</v>
          </cell>
          <cell r="K23" t="str">
            <v>Residential Fund</v>
          </cell>
          <cell r="L23" t="str">
            <v>Open end</v>
          </cell>
          <cell r="M23" t="str">
            <v>Yes</v>
          </cell>
          <cell r="P23">
            <v>100</v>
          </cell>
          <cell r="Q23">
            <v>100</v>
          </cell>
          <cell r="Y23">
            <v>100</v>
          </cell>
          <cell r="AF23">
            <v>100</v>
          </cell>
          <cell r="AH23" t="str">
            <v>Increase</v>
          </cell>
          <cell r="AI23" t="str">
            <v>Yes</v>
          </cell>
        </row>
        <row r="24">
          <cell r="J24" t="str">
            <v>Bouwinvest</v>
          </cell>
          <cell r="K24" t="str">
            <v>Europe</v>
          </cell>
          <cell r="L24" t="str">
            <v>Open end</v>
          </cell>
          <cell r="M24" t="str">
            <v>Yes</v>
          </cell>
          <cell r="P24">
            <v>120</v>
          </cell>
          <cell r="Q24">
            <v>120</v>
          </cell>
          <cell r="Y24">
            <v>120</v>
          </cell>
          <cell r="AF24">
            <v>100</v>
          </cell>
          <cell r="AH24" t="str">
            <v>Increase</v>
          </cell>
          <cell r="AI24" t="str">
            <v>Yes</v>
          </cell>
        </row>
        <row r="25">
          <cell r="J25" t="str">
            <v>Bouwinvest</v>
          </cell>
          <cell r="K25" t="str">
            <v>APAC</v>
          </cell>
          <cell r="L25" t="str">
            <v>Open end</v>
          </cell>
          <cell r="M25" t="str">
            <v>Yes</v>
          </cell>
          <cell r="P25">
            <v>257</v>
          </cell>
          <cell r="Q25">
            <v>257</v>
          </cell>
          <cell r="Y25">
            <v>257</v>
          </cell>
          <cell r="AF25">
            <v>100</v>
          </cell>
          <cell r="AH25" t="str">
            <v>Increase</v>
          </cell>
          <cell r="AI25" t="str">
            <v>Yes</v>
          </cell>
        </row>
        <row r="26">
          <cell r="J26" t="str">
            <v>Bouwinvest</v>
          </cell>
          <cell r="K26" t="str">
            <v>North America</v>
          </cell>
          <cell r="L26" t="str">
            <v>Open end</v>
          </cell>
          <cell r="M26" t="str">
            <v>Yes</v>
          </cell>
          <cell r="P26">
            <v>268</v>
          </cell>
          <cell r="Q26">
            <v>268</v>
          </cell>
          <cell r="Y26">
            <v>268</v>
          </cell>
          <cell r="AF26">
            <v>100</v>
          </cell>
          <cell r="AH26" t="str">
            <v>Increase</v>
          </cell>
          <cell r="AI26" t="str">
            <v>Yes</v>
          </cell>
        </row>
        <row r="27">
          <cell r="J27" t="str">
            <v>AXA Investment Managers Deutschland GmbH</v>
          </cell>
          <cell r="K27" t="str">
            <v>ImmoWert</v>
          </cell>
          <cell r="L27" t="str">
            <v>Closed end</v>
          </cell>
          <cell r="M27" t="str">
            <v>No</v>
          </cell>
          <cell r="N27" t="str">
            <v>Other (please specify)</v>
          </cell>
          <cell r="O27" t="str">
            <v>We didn't have to raise capital. Extra cash on bank account.</v>
          </cell>
          <cell r="AH27" t="str">
            <v>Increase</v>
          </cell>
          <cell r="AI27" t="str">
            <v>No</v>
          </cell>
        </row>
        <row r="28">
          <cell r="J28" t="str">
            <v>Genesta Nordic Real Estate Fund II FCP-SIF</v>
          </cell>
          <cell r="K28" t="str">
            <v>Genesta Nordic Real Estate Fund II FCP-SIF</v>
          </cell>
          <cell r="L28" t="str">
            <v>Closed end</v>
          </cell>
          <cell r="M28" t="str">
            <v>No</v>
          </cell>
          <cell r="N28" t="str">
            <v>Other (please specify)</v>
          </cell>
          <cell r="O28" t="str">
            <v>No capital raising needed</v>
          </cell>
          <cell r="AH28" t="str">
            <v>Increase</v>
          </cell>
          <cell r="AI28" t="str">
            <v>No</v>
          </cell>
        </row>
        <row r="29">
          <cell r="J29" t="str">
            <v>Genesta Nordic Real Estate Fund II FCP-SIF</v>
          </cell>
          <cell r="K29" t="str">
            <v>Genesta Nordic Real Estate Fund II FCP-SIF</v>
          </cell>
          <cell r="L29" t="str">
            <v>Closed end</v>
          </cell>
          <cell r="M29" t="str">
            <v>No</v>
          </cell>
          <cell r="N29" t="str">
            <v>Other (please specify)</v>
          </cell>
          <cell r="O29" t="str">
            <v>No capital raising required</v>
          </cell>
          <cell r="AH29" t="str">
            <v>Increase</v>
          </cell>
          <cell r="AI29" t="str">
            <v>No</v>
          </cell>
        </row>
        <row r="30">
          <cell r="J30" t="str">
            <v>Hearthstone Investment Management</v>
          </cell>
          <cell r="K30" t="str">
            <v>Hearthstone Residential Fund 2</v>
          </cell>
          <cell r="L30" t="str">
            <v>Closed end</v>
          </cell>
          <cell r="M30" t="str">
            <v>Yes</v>
          </cell>
          <cell r="P30">
            <v>97</v>
          </cell>
          <cell r="Q30">
            <v>97</v>
          </cell>
          <cell r="Y30">
            <v>97</v>
          </cell>
          <cell r="AF30">
            <v>100</v>
          </cell>
          <cell r="AH30" t="str">
            <v>Increase</v>
          </cell>
          <cell r="AI30" t="str">
            <v>Yes</v>
          </cell>
        </row>
        <row r="31">
          <cell r="J31" t="str">
            <v>Prologis</v>
          </cell>
          <cell r="K31" t="str">
            <v>Prologis Targeted U.S. Logistics Fund, L.P.</v>
          </cell>
          <cell r="L31" t="str">
            <v>Open end</v>
          </cell>
          <cell r="M31" t="str">
            <v>Yes</v>
          </cell>
          <cell r="P31">
            <v>896</v>
          </cell>
          <cell r="Q31">
            <v>393</v>
          </cell>
          <cell r="R31">
            <v>171</v>
          </cell>
          <cell r="U31">
            <v>138</v>
          </cell>
          <cell r="V31">
            <v>48</v>
          </cell>
          <cell r="X31">
            <v>146</v>
          </cell>
          <cell r="Y31">
            <v>248</v>
          </cell>
          <cell r="Z31">
            <v>173</v>
          </cell>
          <cell r="AA31">
            <v>475</v>
          </cell>
          <cell r="AF31">
            <v>100</v>
          </cell>
          <cell r="AH31" t="str">
            <v>Increase</v>
          </cell>
          <cell r="AI31" t="str">
            <v>Yes</v>
          </cell>
        </row>
        <row r="32">
          <cell r="J32" t="str">
            <v>Prologis</v>
          </cell>
          <cell r="K32" t="str">
            <v>Prologis China Core Logistics Fund, LP</v>
          </cell>
          <cell r="L32" t="str">
            <v>Open end</v>
          </cell>
          <cell r="M32" t="str">
            <v>Yes</v>
          </cell>
          <cell r="P32">
            <v>81</v>
          </cell>
          <cell r="Q32">
            <v>21</v>
          </cell>
          <cell r="R32">
            <v>60</v>
          </cell>
          <cell r="Y32">
            <v>21</v>
          </cell>
          <cell r="Z32">
            <v>60</v>
          </cell>
          <cell r="AF32">
            <v>100</v>
          </cell>
          <cell r="AH32" t="str">
            <v>Increase</v>
          </cell>
          <cell r="AI32" t="str">
            <v>Yes</v>
          </cell>
        </row>
        <row r="33">
          <cell r="J33" t="str">
            <v>Prologis</v>
          </cell>
          <cell r="K33" t="str">
            <v>Prologis European Logistics Fund, FCP-FIS</v>
          </cell>
          <cell r="L33" t="str">
            <v>Open end</v>
          </cell>
          <cell r="M33" t="str">
            <v>Yes</v>
          </cell>
          <cell r="P33">
            <v>1151</v>
          </cell>
          <cell r="Q33">
            <v>196</v>
          </cell>
          <cell r="R33">
            <v>185</v>
          </cell>
          <cell r="S33">
            <v>3</v>
          </cell>
          <cell r="U33">
            <v>279</v>
          </cell>
          <cell r="V33">
            <v>200</v>
          </cell>
          <cell r="X33">
            <v>288</v>
          </cell>
          <cell r="Y33">
            <v>822</v>
          </cell>
          <cell r="Z33">
            <v>329</v>
          </cell>
          <cell r="AF33">
            <v>100</v>
          </cell>
          <cell r="AH33" t="str">
            <v>Increase</v>
          </cell>
          <cell r="AI33" t="str">
            <v>Yes</v>
          </cell>
        </row>
        <row r="35">
          <cell r="J35" t="str">
            <v>Harbert Management Corporation ("HMC")</v>
          </cell>
          <cell r="K35" t="str">
            <v>Harbert United States Real Estate Fund VII, LP</v>
          </cell>
          <cell r="L35" t="str">
            <v>Closed end</v>
          </cell>
          <cell r="M35" t="str">
            <v>Yes</v>
          </cell>
        </row>
        <row r="36">
          <cell r="J36" t="str">
            <v>Invesco Real Estate</v>
          </cell>
          <cell r="K36" t="str">
            <v xml:space="preserve">Invesco Real Estate - European Fund </v>
          </cell>
          <cell r="L36" t="str">
            <v>Open end</v>
          </cell>
          <cell r="M36" t="str">
            <v>Yes</v>
          </cell>
          <cell r="P36">
            <v>127</v>
          </cell>
          <cell r="Q36">
            <v>42</v>
          </cell>
          <cell r="R36">
            <v>51</v>
          </cell>
          <cell r="X36">
            <v>33</v>
          </cell>
          <cell r="Y36">
            <v>110</v>
          </cell>
          <cell r="Z36">
            <v>17</v>
          </cell>
          <cell r="AF36">
            <v>100</v>
          </cell>
          <cell r="AH36" t="str">
            <v>No change</v>
          </cell>
          <cell r="AI36" t="str">
            <v>Yes</v>
          </cell>
        </row>
        <row r="37">
          <cell r="J37" t="str">
            <v>Heitman</v>
          </cell>
          <cell r="K37" t="str">
            <v>Heitman US Open-End Core Fund</v>
          </cell>
          <cell r="L37" t="str">
            <v>Open end</v>
          </cell>
          <cell r="M37" t="str">
            <v>Yes</v>
          </cell>
          <cell r="P37">
            <v>193</v>
          </cell>
          <cell r="S37">
            <v>80</v>
          </cell>
          <cell r="T37">
            <v>113</v>
          </cell>
          <cell r="Z37">
            <v>140</v>
          </cell>
          <cell r="AA37">
            <v>53</v>
          </cell>
          <cell r="AD37">
            <v>75</v>
          </cell>
          <cell r="AF37">
            <v>25</v>
          </cell>
          <cell r="AH37" t="str">
            <v>Increase</v>
          </cell>
          <cell r="AI37" t="str">
            <v>Yes</v>
          </cell>
        </row>
        <row r="38">
          <cell r="J38" t="str">
            <v>Heitman</v>
          </cell>
          <cell r="K38" t="str">
            <v>Heitman Closed End Debt Fund</v>
          </cell>
          <cell r="L38" t="str">
            <v>Closed end</v>
          </cell>
          <cell r="M38" t="str">
            <v>Yes</v>
          </cell>
          <cell r="P38">
            <v>300</v>
          </cell>
          <cell r="T38">
            <v>300</v>
          </cell>
          <cell r="Z38">
            <v>200</v>
          </cell>
          <cell r="AA38">
            <v>100</v>
          </cell>
          <cell r="AF38">
            <v>100</v>
          </cell>
          <cell r="AH38" t="str">
            <v>Increase</v>
          </cell>
          <cell r="AI38" t="str">
            <v>Yes</v>
          </cell>
        </row>
        <row r="40">
          <cell r="J40" t="str">
            <v>LaSalle Investment Management</v>
          </cell>
          <cell r="K40" t="str">
            <v>Encore+</v>
          </cell>
          <cell r="L40" t="str">
            <v>Open end</v>
          </cell>
          <cell r="M40" t="str">
            <v>Yes</v>
          </cell>
          <cell r="P40">
            <v>836</v>
          </cell>
          <cell r="Q40">
            <v>316</v>
          </cell>
          <cell r="R40">
            <v>370</v>
          </cell>
          <cell r="V40">
            <v>65</v>
          </cell>
          <cell r="X40">
            <v>85</v>
          </cell>
          <cell r="Y40">
            <v>720</v>
          </cell>
          <cell r="Z40">
            <v>116</v>
          </cell>
          <cell r="AF40">
            <v>100</v>
          </cell>
          <cell r="AH40" t="str">
            <v>No change</v>
          </cell>
          <cell r="AI40" t="str">
            <v>Yes</v>
          </cell>
        </row>
        <row r="41">
          <cell r="J41" t="str">
            <v>Invesco Real Estate</v>
          </cell>
          <cell r="K41" t="str">
            <v>Invesco Real Estate - European Living Fund</v>
          </cell>
          <cell r="L41" t="str">
            <v>Open end</v>
          </cell>
          <cell r="M41" t="str">
            <v>Yes</v>
          </cell>
          <cell r="P41">
            <v>138</v>
          </cell>
          <cell r="Q41">
            <v>98</v>
          </cell>
          <cell r="X41">
            <v>40</v>
          </cell>
          <cell r="Y41">
            <v>138</v>
          </cell>
          <cell r="AF41">
            <v>100</v>
          </cell>
          <cell r="AH41" t="str">
            <v>No change</v>
          </cell>
          <cell r="AI41" t="str">
            <v>Yes</v>
          </cell>
        </row>
        <row r="42">
          <cell r="J42" t="str">
            <v>Invesco Real Estate</v>
          </cell>
          <cell r="K42" t="str">
            <v>Invesco Real Estate - European Hotel Fund</v>
          </cell>
          <cell r="L42" t="str">
            <v>Open end</v>
          </cell>
          <cell r="M42" t="str">
            <v>No</v>
          </cell>
          <cell r="N42" t="str">
            <v>Other (please specify)</v>
          </cell>
          <cell r="O42" t="str">
            <v>Impact of COVID-19 on Hotel Sector</v>
          </cell>
          <cell r="AH42" t="str">
            <v>No change</v>
          </cell>
          <cell r="AI42" t="str">
            <v>Yes</v>
          </cell>
        </row>
        <row r="43">
          <cell r="J43" t="str">
            <v>Savills Investment Management</v>
          </cell>
          <cell r="K43" t="str">
            <v>Savills IM Asia Pacific Income and Growth Fund</v>
          </cell>
          <cell r="L43" t="str">
            <v>Closed end</v>
          </cell>
          <cell r="M43" t="str">
            <v>Yes</v>
          </cell>
          <cell r="P43">
            <v>97</v>
          </cell>
          <cell r="Q43">
            <v>95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</v>
          </cell>
          <cell r="Y43">
            <v>97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100</v>
          </cell>
          <cell r="AG43">
            <v>0</v>
          </cell>
          <cell r="AH43" t="str">
            <v>Increase</v>
          </cell>
          <cell r="AI43" t="str">
            <v>Yes</v>
          </cell>
        </row>
        <row r="44">
          <cell r="J44" t="str">
            <v>Savills Investment Management</v>
          </cell>
          <cell r="K44" t="str">
            <v>Savills IM European Commercial Fund</v>
          </cell>
          <cell r="L44" t="str">
            <v>Open end</v>
          </cell>
          <cell r="M44" t="str">
            <v>Yes</v>
          </cell>
          <cell r="P44">
            <v>35</v>
          </cell>
          <cell r="Q44">
            <v>0</v>
          </cell>
          <cell r="R44">
            <v>35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35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100</v>
          </cell>
          <cell r="AG44">
            <v>0</v>
          </cell>
          <cell r="AH44" t="str">
            <v>Increase</v>
          </cell>
          <cell r="AI44" t="str">
            <v>Yes</v>
          </cell>
        </row>
        <row r="45">
          <cell r="J45" t="str">
            <v>Savills Investment Management</v>
          </cell>
          <cell r="K45" t="str">
            <v>Savills IM European Logistics Fund 3</v>
          </cell>
          <cell r="L45" t="str">
            <v>Open end</v>
          </cell>
          <cell r="M45" t="str">
            <v>Yes</v>
          </cell>
          <cell r="P45">
            <v>224</v>
          </cell>
          <cell r="Q45">
            <v>18</v>
          </cell>
          <cell r="R45">
            <v>160</v>
          </cell>
          <cell r="S45">
            <v>0</v>
          </cell>
          <cell r="T45">
            <v>0</v>
          </cell>
          <cell r="U45">
            <v>0</v>
          </cell>
          <cell r="V45">
            <v>10</v>
          </cell>
          <cell r="W45">
            <v>0</v>
          </cell>
          <cell r="X45">
            <v>36</v>
          </cell>
          <cell r="Y45">
            <v>224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100</v>
          </cell>
          <cell r="AG45">
            <v>0</v>
          </cell>
          <cell r="AH45" t="str">
            <v>Increase</v>
          </cell>
          <cell r="AI45" t="str">
            <v>Yes</v>
          </cell>
        </row>
        <row r="46">
          <cell r="J46" t="str">
            <v xml:space="preserve">Goodman </v>
          </cell>
          <cell r="K46" t="str">
            <v>GEP</v>
          </cell>
          <cell r="L46" t="str">
            <v>Open end</v>
          </cell>
          <cell r="M46" t="str">
            <v>No</v>
          </cell>
          <cell r="N46" t="str">
            <v>Other (please specify)</v>
          </cell>
          <cell r="O46" t="str">
            <v>N/A</v>
          </cell>
          <cell r="AH46" t="str">
            <v>Increase</v>
          </cell>
          <cell r="AI46" t="str">
            <v>No</v>
          </cell>
        </row>
        <row r="47">
          <cell r="J47" t="str">
            <v>Savills Investment Management SGR SpA</v>
          </cell>
          <cell r="K47" t="str">
            <v>Boccaccio - Fondo comune di investimento immobiliare di tipo chiuso</v>
          </cell>
          <cell r="L47" t="str">
            <v>Closed end</v>
          </cell>
          <cell r="M47" t="str">
            <v>No</v>
          </cell>
          <cell r="N47" t="str">
            <v>Other (please specify)</v>
          </cell>
          <cell r="O47" t="str">
            <v>End of the subscription/capital raising period</v>
          </cell>
          <cell r="AH47" t="str">
            <v>Increase</v>
          </cell>
          <cell r="AI47" t="str">
            <v>No</v>
          </cell>
        </row>
        <row r="48">
          <cell r="J48" t="str">
            <v>Goodman</v>
          </cell>
          <cell r="K48" t="str">
            <v>Goodman European Partnership</v>
          </cell>
          <cell r="L48" t="str">
            <v>Open end</v>
          </cell>
          <cell r="M48" t="str">
            <v>No</v>
          </cell>
          <cell r="N48" t="str">
            <v>Other (please specify)</v>
          </cell>
          <cell r="O48" t="str">
            <v>Sufficient liquidity and remaining outstanding capital commitment.</v>
          </cell>
          <cell r="AH48" t="str">
            <v>Increase</v>
          </cell>
          <cell r="AI48" t="str">
            <v>No</v>
          </cell>
        </row>
        <row r="49">
          <cell r="J49" t="str">
            <v>Lendlease</v>
          </cell>
          <cell r="K49" t="str">
            <v>Australian Prime Property Commercial</v>
          </cell>
          <cell r="L49" t="str">
            <v>Open end</v>
          </cell>
          <cell r="M49" t="str">
            <v>No</v>
          </cell>
          <cell r="N49" t="str">
            <v>Other (please specify)</v>
          </cell>
          <cell r="O49" t="str">
            <v>New equity not required</v>
          </cell>
          <cell r="AH49" t="str">
            <v>No change</v>
          </cell>
          <cell r="AI49" t="str">
            <v>No</v>
          </cell>
        </row>
        <row r="50">
          <cell r="J50" t="str">
            <v>Lendlease</v>
          </cell>
          <cell r="K50" t="str">
            <v>Australian Prime Property Fund Industrial</v>
          </cell>
          <cell r="L50" t="str">
            <v>Open end</v>
          </cell>
          <cell r="M50" t="str">
            <v>No</v>
          </cell>
          <cell r="N50" t="str">
            <v>Other (please specify)</v>
          </cell>
          <cell r="O50" t="str">
            <v>New equity not required</v>
          </cell>
          <cell r="AH50" t="str">
            <v>No change</v>
          </cell>
          <cell r="AI50" t="str">
            <v>No</v>
          </cell>
        </row>
        <row r="51">
          <cell r="J51" t="str">
            <v>Lendlease</v>
          </cell>
          <cell r="K51" t="str">
            <v>Australian Prime Property Fund Retail</v>
          </cell>
          <cell r="L51" t="str">
            <v>Open end</v>
          </cell>
          <cell r="M51" t="str">
            <v>No</v>
          </cell>
          <cell r="N51" t="str">
            <v>Other (please specify)</v>
          </cell>
          <cell r="O51" t="str">
            <v>New equity not required</v>
          </cell>
          <cell r="AH51" t="str">
            <v>No change</v>
          </cell>
          <cell r="AI51" t="str">
            <v>No</v>
          </cell>
        </row>
        <row r="52">
          <cell r="J52" t="str">
            <v>Heitman</v>
          </cell>
          <cell r="K52" t="str">
            <v xml:space="preserve">Heitman US Closed-End Value Fund </v>
          </cell>
          <cell r="L52" t="str">
            <v>Closed end</v>
          </cell>
          <cell r="M52" t="str">
            <v>Yes</v>
          </cell>
          <cell r="P52">
            <v>577</v>
          </cell>
          <cell r="Q52">
            <v>372</v>
          </cell>
          <cell r="U52">
            <v>5</v>
          </cell>
          <cell r="V52">
            <v>200</v>
          </cell>
          <cell r="Z52">
            <v>300</v>
          </cell>
          <cell r="AA52">
            <v>277</v>
          </cell>
          <cell r="AD52">
            <v>75</v>
          </cell>
          <cell r="AF52">
            <v>25</v>
          </cell>
          <cell r="AH52" t="str">
            <v>Increase</v>
          </cell>
          <cell r="AI52" t="str">
            <v>Yes</v>
          </cell>
        </row>
        <row r="53">
          <cell r="J53" t="str">
            <v>Heitman</v>
          </cell>
          <cell r="K53" t="str">
            <v>Heitman Global Open-End Core Fund</v>
          </cell>
          <cell r="L53" t="str">
            <v>Open end</v>
          </cell>
          <cell r="M53" t="str">
            <v>Yes</v>
          </cell>
          <cell r="P53">
            <v>262</v>
          </cell>
          <cell r="V53">
            <v>262</v>
          </cell>
          <cell r="Z53">
            <v>262</v>
          </cell>
          <cell r="AF53">
            <v>100</v>
          </cell>
          <cell r="AH53" t="str">
            <v>Increase</v>
          </cell>
          <cell r="AI53" t="str">
            <v>Yes</v>
          </cell>
        </row>
        <row r="54">
          <cell r="J54" t="str">
            <v>LaSalle Investment Management</v>
          </cell>
          <cell r="K54" t="str">
            <v>Encore+</v>
          </cell>
          <cell r="L54" t="str">
            <v>Open end</v>
          </cell>
          <cell r="M54" t="str">
            <v>Yes</v>
          </cell>
          <cell r="P54">
            <v>836</v>
          </cell>
          <cell r="Q54">
            <v>315</v>
          </cell>
          <cell r="R54">
            <v>371</v>
          </cell>
          <cell r="V54">
            <v>65</v>
          </cell>
          <cell r="X54">
            <v>85</v>
          </cell>
          <cell r="Y54">
            <v>720</v>
          </cell>
          <cell r="Z54">
            <v>116</v>
          </cell>
          <cell r="AF54">
            <v>100</v>
          </cell>
        </row>
        <row r="55">
          <cell r="J55" t="str">
            <v>Vesteda</v>
          </cell>
          <cell r="K55" t="str">
            <v>Vesteda Residential Fund</v>
          </cell>
          <cell r="L55" t="str">
            <v>Open end</v>
          </cell>
          <cell r="M55" t="str">
            <v>No</v>
          </cell>
          <cell r="N55" t="str">
            <v>Other (please specify)</v>
          </cell>
          <cell r="O55" t="str">
            <v>Not necessary. Enough equity and debt facilities available.</v>
          </cell>
          <cell r="AH55" t="str">
            <v>No change</v>
          </cell>
          <cell r="AI55" t="str">
            <v>Yes</v>
          </cell>
        </row>
        <row r="56">
          <cell r="J56" t="str">
            <v>M&amp;G Plc</v>
          </cell>
          <cell r="K56" t="str">
            <v>M&amp;G European Secured Property Income Fund</v>
          </cell>
          <cell r="L56" t="str">
            <v>Open end</v>
          </cell>
          <cell r="M56" t="str">
            <v>Yes</v>
          </cell>
          <cell r="P56">
            <v>33</v>
          </cell>
          <cell r="Q56">
            <v>33</v>
          </cell>
          <cell r="Y56">
            <v>33</v>
          </cell>
          <cell r="AG56">
            <v>100</v>
          </cell>
          <cell r="AH56" t="str">
            <v>Increase</v>
          </cell>
          <cell r="AI56" t="str">
            <v>No</v>
          </cell>
        </row>
        <row r="57">
          <cell r="J57" t="str">
            <v>M&amp;G Plc</v>
          </cell>
          <cell r="K57" t="str">
            <v>M&amp;G Secured Lease Income Fund</v>
          </cell>
          <cell r="L57" t="str">
            <v>Open end</v>
          </cell>
          <cell r="M57" t="str">
            <v>Yes</v>
          </cell>
          <cell r="P57">
            <v>90</v>
          </cell>
          <cell r="Q57">
            <v>90</v>
          </cell>
          <cell r="Y57">
            <v>90</v>
          </cell>
          <cell r="AG57">
            <v>100</v>
          </cell>
          <cell r="AH57" t="str">
            <v>Increase</v>
          </cell>
          <cell r="AI57" t="str">
            <v>No</v>
          </cell>
        </row>
        <row r="58">
          <cell r="J58" t="str">
            <v>M&amp;G Plc</v>
          </cell>
          <cell r="K58" t="str">
            <v>M&amp;G Secured Property Income Fund</v>
          </cell>
          <cell r="L58" t="str">
            <v>Open end</v>
          </cell>
          <cell r="M58" t="str">
            <v>Yes</v>
          </cell>
          <cell r="P58">
            <v>15</v>
          </cell>
          <cell r="Q58">
            <v>15</v>
          </cell>
          <cell r="Y58">
            <v>15</v>
          </cell>
          <cell r="AG58">
            <v>100</v>
          </cell>
          <cell r="AH58" t="str">
            <v>Increase</v>
          </cell>
          <cell r="AI58" t="str">
            <v>No</v>
          </cell>
        </row>
        <row r="59">
          <cell r="J59" t="str">
            <v>CBRE Global Investors</v>
          </cell>
          <cell r="K59" t="str">
            <v>NN Direct Real Estate Engine</v>
          </cell>
          <cell r="L59" t="str">
            <v>Open end</v>
          </cell>
          <cell r="M59" t="str">
            <v>No</v>
          </cell>
          <cell r="N59" t="str">
            <v>Other (please specify)</v>
          </cell>
          <cell r="O59" t="str">
            <v>New investments sourced out of disposals</v>
          </cell>
          <cell r="AH59" t="str">
            <v>No change</v>
          </cell>
          <cell r="AI59" t="str">
            <v>No</v>
          </cell>
        </row>
        <row r="60">
          <cell r="J60" t="str">
            <v>CBRE Global Investors</v>
          </cell>
          <cell r="K60" t="str">
            <v>CBRE Dutch Residential Fund</v>
          </cell>
          <cell r="L60" t="str">
            <v>Open end</v>
          </cell>
          <cell r="M60" t="str">
            <v>Yes</v>
          </cell>
          <cell r="P60">
            <v>80</v>
          </cell>
          <cell r="Q60">
            <v>80</v>
          </cell>
          <cell r="Y60">
            <v>80</v>
          </cell>
          <cell r="AD60">
            <v>100</v>
          </cell>
        </row>
        <row r="61">
          <cell r="J61" t="str">
            <v>Areim AB</v>
          </cell>
          <cell r="K61" t="str">
            <v>Areim Fastigheter 4 (D) AB</v>
          </cell>
          <cell r="L61" t="str">
            <v>Closed end</v>
          </cell>
          <cell r="M61" t="str">
            <v>No</v>
          </cell>
          <cell r="N61" t="str">
            <v>Other (please specify)</v>
          </cell>
          <cell r="O61" t="str">
            <v>No capital raised in 2020, final closing was in December 2019.</v>
          </cell>
          <cell r="AH61" t="str">
            <v>Increase</v>
          </cell>
          <cell r="AI61" t="str">
            <v>Yes</v>
          </cell>
        </row>
        <row r="62">
          <cell r="J62" t="str">
            <v>Areim AB</v>
          </cell>
          <cell r="K62" t="str">
            <v>Areim Fastigheter 4 (EQ) AB</v>
          </cell>
          <cell r="L62" t="str">
            <v>Closed end</v>
          </cell>
          <cell r="M62" t="str">
            <v>No</v>
          </cell>
          <cell r="N62" t="str">
            <v>Other (please specify)</v>
          </cell>
          <cell r="O62" t="str">
            <v>No capital raised in 2020, final closing was in December 2019.</v>
          </cell>
          <cell r="AH62" t="str">
            <v>Increase</v>
          </cell>
          <cell r="AI62" t="str">
            <v>Yes</v>
          </cell>
        </row>
        <row r="64">
          <cell r="J64" t="str">
            <v>Union Investment Real Estate GmbH</v>
          </cell>
          <cell r="K64" t="str">
            <v>Real Estate Funds</v>
          </cell>
          <cell r="L64" t="str">
            <v>Open end</v>
          </cell>
          <cell r="M64" t="str">
            <v>Yes</v>
          </cell>
          <cell r="P64">
            <v>783</v>
          </cell>
          <cell r="Q64">
            <v>9</v>
          </cell>
          <cell r="R64">
            <v>43</v>
          </cell>
          <cell r="S64">
            <v>0</v>
          </cell>
          <cell r="T64">
            <v>0</v>
          </cell>
          <cell r="U64">
            <v>1</v>
          </cell>
          <cell r="V64">
            <v>316</v>
          </cell>
          <cell r="W64">
            <v>0</v>
          </cell>
          <cell r="X64">
            <v>408</v>
          </cell>
          <cell r="Y64">
            <v>777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100</v>
          </cell>
          <cell r="AG64">
            <v>0</v>
          </cell>
          <cell r="AH64" t="str">
            <v>Increase</v>
          </cell>
          <cell r="AI64" t="str">
            <v>Yes</v>
          </cell>
        </row>
        <row r="65">
          <cell r="J65" t="str">
            <v>Quantum Immobilien Kapitalverwaltungsgesellschaft</v>
          </cell>
          <cell r="K65" t="str">
            <v>Habitare</v>
          </cell>
          <cell r="L65" t="str">
            <v>Open end</v>
          </cell>
          <cell r="M65" t="str">
            <v>No</v>
          </cell>
        </row>
        <row r="66">
          <cell r="J66" t="str">
            <v>AEW UK Investment Management LLP</v>
          </cell>
          <cell r="K66" t="str">
            <v>AEW UK Urban Real Estate Fund</v>
          </cell>
          <cell r="AH66" t="str">
            <v>Increase</v>
          </cell>
          <cell r="AI66" t="str">
            <v>No</v>
          </cell>
        </row>
        <row r="67">
          <cell r="J67" t="str">
            <v>AEW UK Investment Management LLP</v>
          </cell>
          <cell r="K67" t="str">
            <v>AEW UK Real Return Fund</v>
          </cell>
          <cell r="P67">
            <v>10</v>
          </cell>
          <cell r="Q67">
            <v>10</v>
          </cell>
          <cell r="Y67">
            <v>10</v>
          </cell>
          <cell r="AF67">
            <v>100</v>
          </cell>
          <cell r="AH67" t="str">
            <v>Increase</v>
          </cell>
          <cell r="AI67" t="str">
            <v>No</v>
          </cell>
        </row>
        <row r="68">
          <cell r="J68" t="str">
            <v>AEW UK Investment Management LLP</v>
          </cell>
          <cell r="K68" t="str">
            <v>AEW UK Core Property Fund</v>
          </cell>
          <cell r="L68" t="str">
            <v>Open end</v>
          </cell>
          <cell r="M68" t="str">
            <v>Yes</v>
          </cell>
          <cell r="P68">
            <v>5</v>
          </cell>
          <cell r="Q68">
            <v>5</v>
          </cell>
          <cell r="Y68">
            <v>5</v>
          </cell>
          <cell r="AF68">
            <v>100</v>
          </cell>
          <cell r="AH68" t="str">
            <v>Increase</v>
          </cell>
          <cell r="AI68" t="str">
            <v>No</v>
          </cell>
        </row>
        <row r="69">
          <cell r="J69" t="str">
            <v>BlackRock Investment Management (UK) Limited</v>
          </cell>
          <cell r="K69" t="str">
            <v>BlackRock UK Property Fund</v>
          </cell>
          <cell r="L69" t="str">
            <v>Open end</v>
          </cell>
          <cell r="M69" t="str">
            <v>No</v>
          </cell>
          <cell r="N69" t="str">
            <v>Other (please specify)</v>
          </cell>
          <cell r="O69" t="str">
            <v>The Fund is most actively traded in the secondary market.</v>
          </cell>
          <cell r="AH69" t="str">
            <v>Increase</v>
          </cell>
          <cell r="AI69" t="str">
            <v>Yes</v>
          </cell>
        </row>
        <row r="70">
          <cell r="J70" t="str">
            <v>BlackRock Investment Management (UK) Limited</v>
          </cell>
          <cell r="K70" t="str">
            <v>BlackRock UK Property Fund</v>
          </cell>
          <cell r="L70" t="str">
            <v>Open end</v>
          </cell>
          <cell r="M70" t="str">
            <v>No</v>
          </cell>
          <cell r="N70" t="str">
            <v>Other (please specify)</v>
          </cell>
          <cell r="O70" t="str">
            <v>The Fund is most actively traded in the secondary market.</v>
          </cell>
          <cell r="AH70" t="str">
            <v>Increase</v>
          </cell>
          <cell r="AI70" t="str">
            <v>No</v>
          </cell>
        </row>
        <row r="71">
          <cell r="J71" t="str">
            <v>BlackRock Investment Management (UK) Limited</v>
          </cell>
          <cell r="K71" t="str">
            <v>BlackRock UK Long Lease Property Fund</v>
          </cell>
          <cell r="AH71" t="str">
            <v>Increase</v>
          </cell>
          <cell r="AI71" t="str">
            <v>Yes</v>
          </cell>
        </row>
        <row r="72">
          <cell r="J72" t="str">
            <v>Hahn Group</v>
          </cell>
          <cell r="K72" t="str">
            <v>HAHN German Mixed-Used Fund II</v>
          </cell>
          <cell r="L72" t="str">
            <v>Closed end</v>
          </cell>
          <cell r="M72" t="str">
            <v>Yes</v>
          </cell>
          <cell r="P72">
            <v>63</v>
          </cell>
          <cell r="Q72">
            <v>23</v>
          </cell>
          <cell r="R72">
            <v>40</v>
          </cell>
          <cell r="Y72">
            <v>100</v>
          </cell>
          <cell r="AF72">
            <v>100</v>
          </cell>
          <cell r="AH72" t="str">
            <v>No change</v>
          </cell>
          <cell r="AI72" t="str">
            <v>Yes</v>
          </cell>
        </row>
        <row r="73">
          <cell r="J73" t="str">
            <v>Hahn Group</v>
          </cell>
          <cell r="K73" t="str">
            <v>Hahn German Retail Fund IV</v>
          </cell>
          <cell r="P73">
            <v>100</v>
          </cell>
          <cell r="Q73">
            <v>100</v>
          </cell>
          <cell r="Y73">
            <v>100</v>
          </cell>
          <cell r="AF73">
            <v>100</v>
          </cell>
          <cell r="AH73" t="str">
            <v>No change</v>
          </cell>
          <cell r="AI73" t="str">
            <v>Yes</v>
          </cell>
        </row>
        <row r="74">
          <cell r="J74" t="str">
            <v>Hahn Group</v>
          </cell>
          <cell r="K74" t="str">
            <v>HAHN German Retail Fund II</v>
          </cell>
          <cell r="L74" t="str">
            <v>Open end</v>
          </cell>
          <cell r="M74" t="str">
            <v>Yes</v>
          </cell>
          <cell r="P74">
            <v>8</v>
          </cell>
          <cell r="Q74">
            <v>8</v>
          </cell>
          <cell r="Y74">
            <v>100</v>
          </cell>
          <cell r="AE74">
            <v>100</v>
          </cell>
          <cell r="AH74" t="str">
            <v>No change</v>
          </cell>
          <cell r="AI74" t="str">
            <v>Yes</v>
          </cell>
        </row>
        <row r="75">
          <cell r="J75" t="str">
            <v>Hahn Group</v>
          </cell>
          <cell r="K75" t="str">
            <v>HAHN Individual 2</v>
          </cell>
          <cell r="L75" t="str">
            <v>Open end</v>
          </cell>
          <cell r="M75" t="str">
            <v>Yes</v>
          </cell>
          <cell r="P75">
            <v>200</v>
          </cell>
          <cell r="R75">
            <v>200</v>
          </cell>
          <cell r="Y75">
            <v>200</v>
          </cell>
          <cell r="AF75">
            <v>100</v>
          </cell>
          <cell r="AH75" t="str">
            <v>No change</v>
          </cell>
          <cell r="AI75" t="str">
            <v>Yes</v>
          </cell>
        </row>
        <row r="76">
          <cell r="J76" t="str">
            <v>Stam Europe</v>
          </cell>
          <cell r="K76" t="str">
            <v>Opera</v>
          </cell>
          <cell r="L76" t="str">
            <v>Closed end</v>
          </cell>
          <cell r="M76" t="str">
            <v>No</v>
          </cell>
          <cell r="N76" t="str">
            <v>Other (please specify)</v>
          </cell>
          <cell r="O76" t="str">
            <v>Scarcity of investment opportunity</v>
          </cell>
          <cell r="AH76" t="str">
            <v>Increase</v>
          </cell>
          <cell r="AI76" t="str">
            <v>Yes</v>
          </cell>
        </row>
        <row r="77">
          <cell r="J77" t="str">
            <v>Savills Investment Management</v>
          </cell>
          <cell r="K77" t="str">
            <v>Savills IM European Food Retail Fund</v>
          </cell>
          <cell r="L77" t="str">
            <v>Open end</v>
          </cell>
          <cell r="M77" t="str">
            <v>Yes</v>
          </cell>
          <cell r="P77">
            <v>109</v>
          </cell>
          <cell r="Q77">
            <v>30</v>
          </cell>
          <cell r="R77">
            <v>62</v>
          </cell>
          <cell r="X77">
            <v>17</v>
          </cell>
          <cell r="Y77">
            <v>109</v>
          </cell>
          <cell r="AF77">
            <v>100</v>
          </cell>
          <cell r="AH77" t="str">
            <v>Increase</v>
          </cell>
          <cell r="AI77" t="str">
            <v>Yes</v>
          </cell>
        </row>
        <row r="78">
          <cell r="J78" t="str">
            <v>Savills Investment Management</v>
          </cell>
          <cell r="K78" t="str">
            <v>Savills IM European Retail Fund</v>
          </cell>
          <cell r="L78" t="str">
            <v>Closed end</v>
          </cell>
          <cell r="M78" t="str">
            <v>No</v>
          </cell>
          <cell r="N78" t="str">
            <v>Other (please specify)</v>
          </cell>
          <cell r="O78" t="str">
            <v>The Fund is closed to new investors</v>
          </cell>
          <cell r="AH78" t="str">
            <v>Increase</v>
          </cell>
          <cell r="AI78" t="str">
            <v>Yes</v>
          </cell>
        </row>
        <row r="79">
          <cell r="J79" t="str">
            <v>Savills Investment Management</v>
          </cell>
          <cell r="K79" t="str">
            <v>Savills IM European Logistics Fund 2</v>
          </cell>
          <cell r="L79" t="str">
            <v>Open end</v>
          </cell>
          <cell r="M79" t="str">
            <v>No</v>
          </cell>
          <cell r="N79" t="str">
            <v>Other (please specify)</v>
          </cell>
          <cell r="O79" t="str">
            <v>The Fund is closed to new investors</v>
          </cell>
          <cell r="AH79" t="str">
            <v>Increase</v>
          </cell>
          <cell r="AI79" t="str">
            <v>Yes</v>
          </cell>
        </row>
        <row r="80">
          <cell r="J80" t="str">
            <v>BC Partners</v>
          </cell>
          <cell r="K80" t="str">
            <v>BC Partners European Real Estate I</v>
          </cell>
          <cell r="L80" t="str">
            <v>Closed end</v>
          </cell>
          <cell r="M80" t="str">
            <v>Yes</v>
          </cell>
          <cell r="P80">
            <v>129</v>
          </cell>
          <cell r="R80">
            <v>15</v>
          </cell>
          <cell r="S80">
            <v>110</v>
          </cell>
          <cell r="W80">
            <v>4</v>
          </cell>
          <cell r="Y80">
            <v>19</v>
          </cell>
          <cell r="Z80">
            <v>110</v>
          </cell>
          <cell r="AF80">
            <v>100</v>
          </cell>
          <cell r="AH80" t="str">
            <v>Increase</v>
          </cell>
          <cell r="AI80" t="str">
            <v>Yes</v>
          </cell>
        </row>
        <row r="81">
          <cell r="J81" t="str">
            <v>AEW</v>
          </cell>
          <cell r="K81" t="str">
            <v>SELF III</v>
          </cell>
          <cell r="L81" t="str">
            <v>Closed end</v>
          </cell>
          <cell r="M81" t="str">
            <v>Yes</v>
          </cell>
          <cell r="P81">
            <v>75</v>
          </cell>
          <cell r="R81">
            <v>10</v>
          </cell>
          <cell r="S81">
            <v>65</v>
          </cell>
          <cell r="Y81">
            <v>75</v>
          </cell>
          <cell r="AF81">
            <v>100</v>
          </cell>
          <cell r="AH81" t="str">
            <v>Increase</v>
          </cell>
          <cell r="AI81" t="str">
            <v>Yes</v>
          </cell>
        </row>
        <row r="82">
          <cell r="J82" t="str">
            <v>AEW</v>
          </cell>
          <cell r="K82" t="str">
            <v>EUROCORE</v>
          </cell>
          <cell r="L82" t="str">
            <v>Open end</v>
          </cell>
          <cell r="M82" t="str">
            <v>Yes</v>
          </cell>
          <cell r="P82">
            <v>410</v>
          </cell>
          <cell r="Q82">
            <v>350</v>
          </cell>
          <cell r="R82">
            <v>5</v>
          </cell>
          <cell r="X82">
            <v>55</v>
          </cell>
          <cell r="Y82">
            <v>405</v>
          </cell>
          <cell r="Z82">
            <v>5</v>
          </cell>
          <cell r="AF82">
            <v>93</v>
          </cell>
          <cell r="AG82">
            <v>7</v>
          </cell>
          <cell r="AH82" t="str">
            <v>Increase</v>
          </cell>
          <cell r="AI82" t="str">
            <v>Yes</v>
          </cell>
        </row>
        <row r="83">
          <cell r="J83" t="str">
            <v>Genesta</v>
          </cell>
          <cell r="K83" t="str">
            <v>Genesta Nordic Real Estate Fund II FCP-SIF</v>
          </cell>
          <cell r="L83" t="str">
            <v>Closed end</v>
          </cell>
          <cell r="M83" t="str">
            <v>No</v>
          </cell>
        </row>
        <row r="84">
          <cell r="J84" t="str">
            <v>Optimum Asset Management S.A.</v>
          </cell>
          <cell r="K84" t="str">
            <v>German Real Estate Fund IV</v>
          </cell>
          <cell r="L84" t="str">
            <v>Closed end</v>
          </cell>
          <cell r="M84" t="str">
            <v>Yes</v>
          </cell>
          <cell r="P84">
            <v>50</v>
          </cell>
          <cell r="Q84">
            <v>10</v>
          </cell>
          <cell r="V84">
            <v>40</v>
          </cell>
          <cell r="Y84">
            <v>50</v>
          </cell>
          <cell r="AF84">
            <v>100</v>
          </cell>
          <cell r="AH84" t="str">
            <v>Increase</v>
          </cell>
          <cell r="AI84" t="str">
            <v>Yes</v>
          </cell>
        </row>
        <row r="85">
          <cell r="J85" t="str">
            <v>Optimum Asset Management S.A.</v>
          </cell>
          <cell r="K85" t="str">
            <v>Optimum Evolution Fund SIF - Property III</v>
          </cell>
          <cell r="L85" t="str">
            <v>Closed end</v>
          </cell>
          <cell r="M85" t="str">
            <v>No</v>
          </cell>
          <cell r="N85" t="str">
            <v>Corporate governance framework</v>
          </cell>
          <cell r="AH85" t="str">
            <v>Increase</v>
          </cell>
          <cell r="AI85" t="str">
            <v>Yes</v>
          </cell>
        </row>
        <row r="86">
          <cell r="J86" t="str">
            <v>Optimum Asset Management S.A.</v>
          </cell>
          <cell r="K86" t="str">
            <v>Optimum Evolution Fund SIF - Property II</v>
          </cell>
          <cell r="L86" t="str">
            <v>Closed end</v>
          </cell>
          <cell r="M86" t="str">
            <v>No</v>
          </cell>
          <cell r="N86" t="str">
            <v>Corporate governance framework</v>
          </cell>
          <cell r="AH86" t="str">
            <v>Increase</v>
          </cell>
          <cell r="AI86" t="str">
            <v>Yes</v>
          </cell>
        </row>
        <row r="87">
          <cell r="J87" t="str">
            <v>Areim AB</v>
          </cell>
          <cell r="K87" t="str">
            <v>Areim Fund III</v>
          </cell>
          <cell r="L87" t="str">
            <v>Closed end</v>
          </cell>
          <cell r="M87" t="str">
            <v>Yes</v>
          </cell>
          <cell r="P87">
            <v>4</v>
          </cell>
          <cell r="Q87">
            <v>1</v>
          </cell>
          <cell r="R87">
            <v>1</v>
          </cell>
          <cell r="T87">
            <v>2</v>
          </cell>
          <cell r="Y87">
            <v>3</v>
          </cell>
          <cell r="Z87">
            <v>1</v>
          </cell>
          <cell r="AF87">
            <v>100</v>
          </cell>
          <cell r="AH87" t="str">
            <v>Increase</v>
          </cell>
          <cell r="AI87" t="str">
            <v>No</v>
          </cell>
        </row>
        <row r="88">
          <cell r="J88" t="str">
            <v xml:space="preserve">Invesco Real Estate </v>
          </cell>
          <cell r="K88" t="str">
            <v xml:space="preserve">Invesco Real Estate - European Fund </v>
          </cell>
          <cell r="L88" t="str">
            <v>Open end</v>
          </cell>
          <cell r="M88" t="str">
            <v>Yes</v>
          </cell>
        </row>
        <row r="89">
          <cell r="J89" t="str">
            <v>ICG plc</v>
          </cell>
          <cell r="K89" t="str">
            <v>ICG European Sales and Leaseback Fund I</v>
          </cell>
          <cell r="L89" t="str">
            <v>Closed end</v>
          </cell>
          <cell r="M89" t="str">
            <v>Yes</v>
          </cell>
          <cell r="P89">
            <v>415</v>
          </cell>
          <cell r="Q89">
            <v>361</v>
          </cell>
          <cell r="R89">
            <v>54</v>
          </cell>
          <cell r="Y89">
            <v>128</v>
          </cell>
          <cell r="AA89">
            <v>287</v>
          </cell>
          <cell r="AF89">
            <v>100</v>
          </cell>
          <cell r="AH89" t="str">
            <v>Increase</v>
          </cell>
          <cell r="AI89" t="str">
            <v>Yes</v>
          </cell>
        </row>
        <row r="90">
          <cell r="J90" t="str">
            <v>DNB REIM</v>
          </cell>
          <cell r="K90" t="str">
            <v>DNB Scandinavian Property Fund</v>
          </cell>
          <cell r="L90" t="str">
            <v>Open end</v>
          </cell>
          <cell r="M90" t="str">
            <v>No</v>
          </cell>
          <cell r="N90" t="str">
            <v>Other (please specify)</v>
          </cell>
          <cell r="O90" t="str">
            <v>Covid 19</v>
          </cell>
          <cell r="AH90" t="str">
            <v>Increase</v>
          </cell>
          <cell r="AI90" t="str">
            <v>Yes</v>
          </cell>
        </row>
        <row r="91">
          <cell r="J91" t="str">
            <v>DNB REIM</v>
          </cell>
          <cell r="K91" t="str">
            <v>DNB Scandinavian Property Fund</v>
          </cell>
          <cell r="L91" t="str">
            <v>Open end</v>
          </cell>
          <cell r="M91" t="str">
            <v>Yes</v>
          </cell>
        </row>
        <row r="92">
          <cell r="J92" t="str">
            <v>Harbert Management Corporation ("HMC")</v>
          </cell>
          <cell r="K92" t="str">
            <v>Harbert European Real Estate Fund V</v>
          </cell>
          <cell r="L92" t="str">
            <v>Closed end</v>
          </cell>
          <cell r="M92" t="str">
            <v>No</v>
          </cell>
          <cell r="N92" t="str">
            <v>Other (please specify)</v>
          </cell>
          <cell r="O92" t="str">
            <v>The fund isn't raising capital anymore</v>
          </cell>
        </row>
        <row r="93">
          <cell r="J93" t="str">
            <v>GLP Management</v>
          </cell>
          <cell r="K93" t="str">
            <v>GLP Europe Income Partners II SCSp</v>
          </cell>
          <cell r="L93" t="str">
            <v>Closed end</v>
          </cell>
          <cell r="M93" t="str">
            <v>Yes</v>
          </cell>
          <cell r="P93">
            <v>1382</v>
          </cell>
          <cell r="Q93">
            <v>961</v>
          </cell>
          <cell r="R93">
            <v>171</v>
          </cell>
          <cell r="S93">
            <v>250</v>
          </cell>
          <cell r="Y93">
            <v>478</v>
          </cell>
          <cell r="Z93">
            <v>904</v>
          </cell>
          <cell r="AD93">
            <v>27</v>
          </cell>
          <cell r="AF93">
            <v>73</v>
          </cell>
          <cell r="AH93" t="str">
            <v>Increase</v>
          </cell>
          <cell r="AI93" t="str">
            <v>Yes</v>
          </cell>
        </row>
        <row r="94">
          <cell r="J94" t="str">
            <v>Harbert Management Corporation ("HMC")</v>
          </cell>
          <cell r="K94" t="str">
            <v>Harbert European Real Estate Fund V</v>
          </cell>
          <cell r="L94" t="str">
            <v>Closed end</v>
          </cell>
          <cell r="M94" t="str">
            <v>No</v>
          </cell>
        </row>
        <row r="95">
          <cell r="J95" t="str">
            <v>Optimum Asset Management S.A.</v>
          </cell>
          <cell r="K95" t="str">
            <v>Optimum Evolution Fund SIF - Property II</v>
          </cell>
          <cell r="L95" t="str">
            <v>Closed end</v>
          </cell>
          <cell r="M95" t="str">
            <v>No</v>
          </cell>
          <cell r="N95" t="str">
            <v>Corporate governance framework</v>
          </cell>
        </row>
        <row r="96">
          <cell r="J96" t="str">
            <v>Invesco Real Estate</v>
          </cell>
          <cell r="K96" t="str">
            <v>Invesco Real Estate - Global Direct Real Estate Fund</v>
          </cell>
          <cell r="L96" t="str">
            <v>Open end</v>
          </cell>
          <cell r="M96" t="str">
            <v>Yes</v>
          </cell>
          <cell r="P96">
            <v>30</v>
          </cell>
          <cell r="V96">
            <v>30</v>
          </cell>
          <cell r="Y96">
            <v>30</v>
          </cell>
          <cell r="AG96">
            <v>100</v>
          </cell>
          <cell r="AH96" t="str">
            <v>Increase</v>
          </cell>
          <cell r="AI96" t="str">
            <v>Yes</v>
          </cell>
        </row>
        <row r="97">
          <cell r="J97" t="str">
            <v>Invesco Real Estate</v>
          </cell>
          <cell r="K97" t="str">
            <v>Invesco Real Estate - UK Residential Fund FCP-RAIF</v>
          </cell>
          <cell r="L97" t="str">
            <v>Open end</v>
          </cell>
          <cell r="M97" t="str">
            <v>Yes</v>
          </cell>
          <cell r="P97">
            <v>6150000</v>
          </cell>
          <cell r="Q97">
            <v>4500000</v>
          </cell>
          <cell r="V97">
            <v>1650000</v>
          </cell>
          <cell r="Y97">
            <v>6150000</v>
          </cell>
          <cell r="AF97">
            <v>100</v>
          </cell>
          <cell r="AH97" t="str">
            <v>Increase</v>
          </cell>
          <cell r="AI97" t="str">
            <v>Yes</v>
          </cell>
        </row>
        <row r="98">
          <cell r="J98" t="str">
            <v>Frogmore</v>
          </cell>
          <cell r="K98" t="str">
            <v>Frogmore Real Estate Partners IV</v>
          </cell>
          <cell r="L98" t="str">
            <v>Closed end</v>
          </cell>
          <cell r="M98" t="str">
            <v>Yes</v>
          </cell>
          <cell r="P98">
            <v>10</v>
          </cell>
          <cell r="U98">
            <v>10</v>
          </cell>
          <cell r="AA98">
            <v>10</v>
          </cell>
          <cell r="AF98">
            <v>100</v>
          </cell>
          <cell r="AH98" t="str">
            <v>Increase</v>
          </cell>
          <cell r="AI98" t="str">
            <v>Yes</v>
          </cell>
        </row>
        <row r="99">
          <cell r="J99" t="str">
            <v>Frogmore</v>
          </cell>
          <cell r="K99" t="str">
            <v>Frogmore Real Estate Partners IV</v>
          </cell>
          <cell r="L99" t="str">
            <v>Closed end</v>
          </cell>
          <cell r="M99" t="str">
            <v>Yes</v>
          </cell>
        </row>
        <row r="100">
          <cell r="J100" t="str">
            <v>Altera Vastgoed</v>
          </cell>
          <cell r="K100" t="str">
            <v>Altera Retail</v>
          </cell>
          <cell r="L100" t="str">
            <v>Open end</v>
          </cell>
          <cell r="M100" t="str">
            <v>Yes</v>
          </cell>
          <cell r="P100">
            <v>38</v>
          </cell>
          <cell r="Q100">
            <v>3</v>
          </cell>
          <cell r="V100">
            <v>35</v>
          </cell>
          <cell r="AD100">
            <v>90</v>
          </cell>
          <cell r="AF100">
            <v>10</v>
          </cell>
          <cell r="AH100" t="str">
            <v>Increase</v>
          </cell>
          <cell r="AI100" t="str">
            <v>Yes</v>
          </cell>
        </row>
        <row r="101">
          <cell r="J101" t="str">
            <v>Altera Vastgoed</v>
          </cell>
          <cell r="K101" t="str">
            <v>Altera Residential</v>
          </cell>
          <cell r="L101" t="str">
            <v>Open end</v>
          </cell>
          <cell r="M101" t="str">
            <v>Yes</v>
          </cell>
          <cell r="P101">
            <v>209</v>
          </cell>
          <cell r="Q101">
            <v>186810000</v>
          </cell>
          <cell r="R101">
            <v>970000</v>
          </cell>
          <cell r="S101">
            <v>1300000</v>
          </cell>
          <cell r="V101">
            <v>20000000</v>
          </cell>
          <cell r="Y101">
            <v>209080000</v>
          </cell>
          <cell r="AF101">
            <v>100</v>
          </cell>
          <cell r="AH101" t="str">
            <v>Increase</v>
          </cell>
          <cell r="AI101" t="str">
            <v>Yes</v>
          </cell>
        </row>
        <row r="102">
          <cell r="J102" t="str">
            <v>Union Investment Real Estate GmbH</v>
          </cell>
          <cell r="K102" t="str">
            <v>Real Estate Funds</v>
          </cell>
          <cell r="L102" t="str">
            <v>Open end</v>
          </cell>
          <cell r="M102" t="str">
            <v>Yes</v>
          </cell>
        </row>
        <row r="103">
          <cell r="J103" t="str">
            <v>CapMan Real Estate</v>
          </cell>
          <cell r="K103" t="str">
            <v>CapMan Nordic Real Estate III FCP-RAIF</v>
          </cell>
          <cell r="L103" t="str">
            <v>Closed end</v>
          </cell>
          <cell r="M103" t="str">
            <v>Yes</v>
          </cell>
          <cell r="P103">
            <v>550</v>
          </cell>
          <cell r="Q103">
            <v>327</v>
          </cell>
          <cell r="R103">
            <v>50</v>
          </cell>
          <cell r="S103">
            <v>0</v>
          </cell>
          <cell r="T103">
            <v>0</v>
          </cell>
          <cell r="U103">
            <v>60</v>
          </cell>
          <cell r="V103">
            <v>41</v>
          </cell>
          <cell r="W103">
            <v>10</v>
          </cell>
          <cell r="X103">
            <v>62</v>
          </cell>
          <cell r="Y103">
            <v>204</v>
          </cell>
          <cell r="Z103">
            <v>51</v>
          </cell>
          <cell r="AA103">
            <v>295</v>
          </cell>
          <cell r="AD103">
            <v>15</v>
          </cell>
          <cell r="AF103">
            <v>85</v>
          </cell>
          <cell r="AH103" t="str">
            <v>Increase</v>
          </cell>
          <cell r="AI103" t="str">
            <v>Yes</v>
          </cell>
        </row>
        <row r="104">
          <cell r="J104" t="str">
            <v>sonae sierra</v>
          </cell>
          <cell r="K104" t="str">
            <v>sierra retail ventures</v>
          </cell>
          <cell r="L104" t="str">
            <v>Closed end</v>
          </cell>
          <cell r="M104" t="str">
            <v>No</v>
          </cell>
          <cell r="N104" t="str">
            <v>Other (please specify)</v>
          </cell>
          <cell r="O104" t="str">
            <v>investments monetizing stage</v>
          </cell>
          <cell r="AH104" t="str">
            <v>Decrease</v>
          </cell>
          <cell r="AI104" t="str">
            <v>Yes</v>
          </cell>
        </row>
        <row r="105">
          <cell r="J105" t="str">
            <v>sonae sierra</v>
          </cell>
          <cell r="K105" t="str">
            <v>iberia coop</v>
          </cell>
          <cell r="L105" t="str">
            <v>Closed end</v>
          </cell>
          <cell r="M105" t="str">
            <v>No</v>
          </cell>
          <cell r="N105" t="str">
            <v>Other (please specify)</v>
          </cell>
          <cell r="O105" t="str">
            <v>investment period has elapsed</v>
          </cell>
          <cell r="AH105" t="str">
            <v>Decrease</v>
          </cell>
          <cell r="AI105" t="str">
            <v>Yes</v>
          </cell>
        </row>
        <row r="106">
          <cell r="J106" t="str">
            <v>sonae sierra</v>
          </cell>
          <cell r="K106" t="str">
            <v>sierra portugal fund</v>
          </cell>
          <cell r="L106" t="str">
            <v>Closed end</v>
          </cell>
          <cell r="M106" t="str">
            <v>No</v>
          </cell>
          <cell r="N106" t="str">
            <v>Other (please specify)</v>
          </cell>
          <cell r="O106" t="str">
            <v>investments monetizing stage</v>
          </cell>
          <cell r="AH106" t="str">
            <v>Decrease</v>
          </cell>
          <cell r="AI106" t="str">
            <v>Yes</v>
          </cell>
        </row>
        <row r="107">
          <cell r="J107" t="str">
            <v>sonae sierra</v>
          </cell>
          <cell r="K107" t="str">
            <v>sierra prime</v>
          </cell>
          <cell r="L107" t="str">
            <v>Closed end</v>
          </cell>
          <cell r="M107" t="str">
            <v>Yes</v>
          </cell>
          <cell r="P107">
            <v>520</v>
          </cell>
          <cell r="Q107">
            <v>260</v>
          </cell>
          <cell r="R107">
            <v>260</v>
          </cell>
          <cell r="Y107">
            <v>520</v>
          </cell>
          <cell r="AD107">
            <v>100</v>
          </cell>
          <cell r="AH107" t="str">
            <v>No change</v>
          </cell>
          <cell r="AI107" t="str">
            <v>Yes</v>
          </cell>
        </row>
        <row r="108">
          <cell r="J108" t="str">
            <v>Amvest Management B.V.</v>
          </cell>
          <cell r="K108" t="str">
            <v>Amvest Living and Care Fund</v>
          </cell>
          <cell r="L108" t="str">
            <v>Open end</v>
          </cell>
          <cell r="M108" t="str">
            <v>No</v>
          </cell>
          <cell r="N108" t="str">
            <v>Other (please specify)</v>
          </cell>
          <cell r="O108" t="str">
            <v>Sufficient capital for coming periods</v>
          </cell>
          <cell r="AH108" t="str">
            <v>Increase</v>
          </cell>
          <cell r="AI108" t="str">
            <v>No</v>
          </cell>
        </row>
        <row r="109">
          <cell r="J109" t="str">
            <v>Amvest Management B.V.</v>
          </cell>
          <cell r="K109" t="str">
            <v>Amvest Residential Core Fund</v>
          </cell>
          <cell r="L109" t="str">
            <v>Open end</v>
          </cell>
          <cell r="M109" t="str">
            <v>No</v>
          </cell>
          <cell r="N109" t="str">
            <v>Other (please specify)</v>
          </cell>
          <cell r="O109" t="str">
            <v>Sufficient capital for coming periods and capital raising expires in 3 years after signing</v>
          </cell>
          <cell r="AH109" t="str">
            <v>Increase</v>
          </cell>
          <cell r="AI109" t="str">
            <v>No</v>
          </cell>
        </row>
        <row r="110">
          <cell r="J110" t="str">
            <v>Aberdeen Standard Investments Deutschland AG</v>
          </cell>
          <cell r="K110" t="str">
            <v>Aberdeen Standard German Urbanisation Property Fund</v>
          </cell>
          <cell r="L110" t="str">
            <v>Open end</v>
          </cell>
          <cell r="M110" t="str">
            <v>Yes</v>
          </cell>
          <cell r="P110">
            <v>1</v>
          </cell>
          <cell r="X110">
            <v>1</v>
          </cell>
          <cell r="Y110">
            <v>1</v>
          </cell>
          <cell r="AF110">
            <v>100</v>
          </cell>
          <cell r="AH110" t="str">
            <v>Increase</v>
          </cell>
          <cell r="AI110" t="str">
            <v>No</v>
          </cell>
        </row>
        <row r="111">
          <cell r="J111" t="str">
            <v>Niam AB</v>
          </cell>
          <cell r="K111" t="str">
            <v>Niam Core-Plus III</v>
          </cell>
          <cell r="L111" t="str">
            <v>Closed end</v>
          </cell>
          <cell r="M111" t="str">
            <v>No</v>
          </cell>
          <cell r="N111" t="str">
            <v>Other (please specify)</v>
          </cell>
          <cell r="O111" t="str">
            <v>Expected first close Q1 2021</v>
          </cell>
          <cell r="AH111" t="str">
            <v>Increase</v>
          </cell>
          <cell r="AI111" t="str">
            <v>Yes</v>
          </cell>
        </row>
        <row r="112">
          <cell r="J112" t="str">
            <v>AXA Investment Managers Deutschland GmbH</v>
          </cell>
          <cell r="K112" t="str">
            <v>AXA Real Invest HPK</v>
          </cell>
          <cell r="L112" t="str">
            <v>Open end</v>
          </cell>
          <cell r="M112" t="str">
            <v>Yes</v>
          </cell>
          <cell r="P112">
            <v>68</v>
          </cell>
          <cell r="Q112">
            <v>68</v>
          </cell>
          <cell r="Y112">
            <v>68</v>
          </cell>
          <cell r="AF112">
            <v>100</v>
          </cell>
          <cell r="AH112" t="str">
            <v>No change</v>
          </cell>
          <cell r="AI112" t="str">
            <v>No</v>
          </cell>
        </row>
        <row r="113">
          <cell r="J113" t="str">
            <v>Pro</v>
          </cell>
          <cell r="K113" t="str">
            <v>s</v>
          </cell>
          <cell r="L113" t="str">
            <v>Open end</v>
          </cell>
          <cell r="M113" t="str">
            <v>Yes</v>
          </cell>
        </row>
        <row r="114">
          <cell r="J114" t="str">
            <v>Moorfield</v>
          </cell>
          <cell r="K114" t="str">
            <v>MRIF</v>
          </cell>
          <cell r="L114" t="str">
            <v>Open end</v>
          </cell>
          <cell r="M114" t="str">
            <v>No</v>
          </cell>
        </row>
        <row r="115">
          <cell r="J115" t="str">
            <v>Heitman</v>
          </cell>
          <cell r="K115" t="str">
            <v>Heitman Value Partners V</v>
          </cell>
          <cell r="L115" t="str">
            <v>Closed end</v>
          </cell>
          <cell r="M115" t="str">
            <v>Yes</v>
          </cell>
        </row>
        <row r="116">
          <cell r="J116" t="str">
            <v>Invesco</v>
          </cell>
          <cell r="K116" t="str">
            <v>European Hotel Fund</v>
          </cell>
          <cell r="L116" t="str">
            <v>Open end</v>
          </cell>
          <cell r="M116" t="str">
            <v>Yes</v>
          </cell>
          <cell r="P116">
            <v>5339993</v>
          </cell>
          <cell r="Q116">
            <v>5000000</v>
          </cell>
          <cell r="X116">
            <v>339993</v>
          </cell>
          <cell r="Y116">
            <v>5339993</v>
          </cell>
          <cell r="AF116">
            <v>100</v>
          </cell>
          <cell r="AH116" t="str">
            <v>Increase</v>
          </cell>
          <cell r="AI116" t="str">
            <v>Yes</v>
          </cell>
        </row>
        <row r="117">
          <cell r="J117" t="str">
            <v>Sirius Capital Partners</v>
          </cell>
          <cell r="K117" t="str">
            <v>Sirius Fund III SCSp</v>
          </cell>
          <cell r="L117" t="str">
            <v>Closed end</v>
          </cell>
          <cell r="M117" t="str">
            <v>No</v>
          </cell>
          <cell r="N117" t="str">
            <v>Other (please specify)</v>
          </cell>
          <cell r="O117" t="str">
            <v>Fund was closed 2018</v>
          </cell>
          <cell r="AH117" t="str">
            <v>Increase</v>
          </cell>
          <cell r="AI117" t="str">
            <v>Yes</v>
          </cell>
        </row>
        <row r="118">
          <cell r="J118" t="str">
            <v>Coima Sgr</v>
          </cell>
          <cell r="K118" t="str">
            <v>COIMA CORE FUND VII</v>
          </cell>
          <cell r="L118" t="str">
            <v>Closed end</v>
          </cell>
          <cell r="M118" t="str">
            <v>No</v>
          </cell>
          <cell r="N118" t="str">
            <v>Other (please specify)</v>
          </cell>
          <cell r="O118" t="str">
            <v>the fund regulation did not provide for additional capital calls</v>
          </cell>
          <cell r="AH118" t="str">
            <v>Increase</v>
          </cell>
          <cell r="AI118" t="str">
            <v>No</v>
          </cell>
        </row>
        <row r="119">
          <cell r="J119" t="str">
            <v>Aberdeen Standard Investments</v>
          </cell>
          <cell r="K119" t="str">
            <v>Long Lease Property</v>
          </cell>
          <cell r="L119" t="str">
            <v>Open end</v>
          </cell>
          <cell r="M119" t="str">
            <v>Yes</v>
          </cell>
        </row>
        <row r="120">
          <cell r="J120" t="str">
            <v>Areim AB</v>
          </cell>
          <cell r="K120" t="str">
            <v>Areim Fastigheter 2 AB</v>
          </cell>
          <cell r="L120" t="str">
            <v>Closed end</v>
          </cell>
          <cell r="M120" t="str">
            <v>No</v>
          </cell>
        </row>
        <row r="121">
          <cell r="J121" t="str">
            <v>DNB Real Estate Investment Management</v>
          </cell>
          <cell r="K121" t="str">
            <v>DNB Scandinavian Property Fund</v>
          </cell>
          <cell r="L121" t="str">
            <v>Open end</v>
          </cell>
          <cell r="M121" t="str">
            <v>Yes</v>
          </cell>
          <cell r="P121">
            <v>726</v>
          </cell>
          <cell r="Q121">
            <v>303</v>
          </cell>
          <cell r="R121">
            <v>256</v>
          </cell>
          <cell r="S121">
            <v>0</v>
          </cell>
          <cell r="T121">
            <v>0</v>
          </cell>
          <cell r="U121">
            <v>57</v>
          </cell>
          <cell r="V121">
            <v>0</v>
          </cell>
          <cell r="W121">
            <v>1</v>
          </cell>
          <cell r="X121">
            <v>142</v>
          </cell>
          <cell r="Y121">
            <v>726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100</v>
          </cell>
          <cell r="AG121">
            <v>0</v>
          </cell>
        </row>
        <row r="122">
          <cell r="J122" t="str">
            <v>Northern Horizon</v>
          </cell>
          <cell r="K122" t="str">
            <v xml:space="preserve">Northern Horizon Aged Care IV </v>
          </cell>
          <cell r="L122" t="str">
            <v>Closed end</v>
          </cell>
          <cell r="M122" t="str">
            <v>Yes</v>
          </cell>
          <cell r="P122">
            <v>24</v>
          </cell>
          <cell r="Q122">
            <v>10</v>
          </cell>
          <cell r="W122">
            <v>14</v>
          </cell>
          <cell r="Y122">
            <v>24</v>
          </cell>
          <cell r="AD122">
            <v>4</v>
          </cell>
          <cell r="AE122">
            <v>96</v>
          </cell>
          <cell r="AH122" t="str">
            <v>Increase</v>
          </cell>
          <cell r="AI122" t="str">
            <v>No</v>
          </cell>
        </row>
      </sheetData>
      <sheetData sheetId="30"/>
      <sheetData sheetId="31">
        <row r="1">
          <cell r="K1" t="str">
            <v>From</v>
          </cell>
          <cell r="L1" t="str">
            <v>To</v>
          </cell>
          <cell r="M1" t="str">
            <v>Rate</v>
          </cell>
        </row>
        <row r="2">
          <cell r="K2" t="str">
            <v>AUD</v>
          </cell>
          <cell r="L2" t="str">
            <v>EUR</v>
          </cell>
          <cell r="M2">
            <v>0.62855520009999999</v>
          </cell>
          <cell r="N2">
            <v>44196</v>
          </cell>
        </row>
        <row r="3">
          <cell r="K3" t="str">
            <v>CAD</v>
          </cell>
          <cell r="L3" t="str">
            <v>EUR</v>
          </cell>
          <cell r="M3">
            <v>0.63999565120000002</v>
          </cell>
          <cell r="N3">
            <v>44196</v>
          </cell>
        </row>
        <row r="4">
          <cell r="K4" t="str">
            <v>CHF</v>
          </cell>
          <cell r="L4" t="str">
            <v>EUR</v>
          </cell>
          <cell r="M4">
            <v>0.92402414590000004</v>
          </cell>
          <cell r="N4">
            <v>44196</v>
          </cell>
        </row>
        <row r="5">
          <cell r="F5" t="str">
            <v>CNY</v>
          </cell>
          <cell r="G5" t="str">
            <v>USD</v>
          </cell>
          <cell r="H5">
            <v>0.1531944804</v>
          </cell>
          <cell r="K5" t="str">
            <v>CNY</v>
          </cell>
          <cell r="L5" t="str">
            <v>EUR</v>
          </cell>
          <cell r="M5">
            <v>0.1249167499</v>
          </cell>
          <cell r="N5">
            <v>44196</v>
          </cell>
        </row>
        <row r="6">
          <cell r="F6" t="str">
            <v>DKK</v>
          </cell>
          <cell r="G6" t="str">
            <v>USD</v>
          </cell>
          <cell r="H6">
            <v>0.1648511647</v>
          </cell>
          <cell r="K6" t="str">
            <v>DKK</v>
          </cell>
          <cell r="L6" t="str">
            <v>EUR</v>
          </cell>
          <cell r="M6">
            <v>0.13440421490000001</v>
          </cell>
          <cell r="N6">
            <v>44196</v>
          </cell>
        </row>
        <row r="7">
          <cell r="F7" t="str">
            <v>EUR</v>
          </cell>
          <cell r="G7" t="str">
            <v>USD</v>
          </cell>
          <cell r="H7">
            <v>1.2265563783</v>
          </cell>
          <cell r="K7" t="str">
            <v>EUR</v>
          </cell>
          <cell r="L7" t="str">
            <v>EUR</v>
          </cell>
          <cell r="M7">
            <v>1</v>
          </cell>
          <cell r="N7">
            <v>44196</v>
          </cell>
        </row>
        <row r="8">
          <cell r="F8" t="str">
            <v>GBP</v>
          </cell>
          <cell r="G8" t="str">
            <v>USD</v>
          </cell>
          <cell r="H8">
            <v>1.3651159634000001</v>
          </cell>
          <cell r="K8" t="str">
            <v>GBP</v>
          </cell>
          <cell r="L8" t="str">
            <v>EUR</v>
          </cell>
          <cell r="M8">
            <v>1.1130927885999999</v>
          </cell>
          <cell r="N8">
            <v>44196</v>
          </cell>
        </row>
        <row r="9">
          <cell r="F9" t="str">
            <v>HKD</v>
          </cell>
          <cell r="G9" t="str">
            <v>USD</v>
          </cell>
          <cell r="H9">
            <v>0.1289908977</v>
          </cell>
          <cell r="K9" t="str">
            <v>HKD</v>
          </cell>
          <cell r="L9" t="str">
            <v>EUR</v>
          </cell>
          <cell r="M9">
            <v>0.1051611682</v>
          </cell>
          <cell r="N9">
            <v>44196</v>
          </cell>
        </row>
        <row r="10">
          <cell r="F10" t="str">
            <v>IDR</v>
          </cell>
          <cell r="G10" t="str">
            <v>USD</v>
          </cell>
          <cell r="H10">
            <v>7.1862500000000005E-5</v>
          </cell>
          <cell r="K10" t="str">
            <v>IDR</v>
          </cell>
          <cell r="L10" t="str">
            <v>EUR</v>
          </cell>
          <cell r="M10">
            <v>5.8597600000000003E-5</v>
          </cell>
          <cell r="N10">
            <v>44196</v>
          </cell>
        </row>
        <row r="11">
          <cell r="F11" t="str">
            <v>INR</v>
          </cell>
          <cell r="G11" t="str">
            <v>USD</v>
          </cell>
          <cell r="H11">
            <v>1.37063323E-2</v>
          </cell>
          <cell r="K11" t="str">
            <v>INR</v>
          </cell>
          <cell r="L11" t="str">
            <v>EUR</v>
          </cell>
          <cell r="M11">
            <v>1.11763196E-2</v>
          </cell>
          <cell r="N11">
            <v>44196</v>
          </cell>
        </row>
        <row r="12">
          <cell r="F12" t="str">
            <v>JPY</v>
          </cell>
          <cell r="G12" t="str">
            <v>USD</v>
          </cell>
          <cell r="H12">
            <v>9.6937823999999999E-3</v>
          </cell>
          <cell r="K12" t="str">
            <v>JPY</v>
          </cell>
          <cell r="L12" t="str">
            <v>EUR</v>
          </cell>
          <cell r="M12">
            <v>7.9041188999999998E-3</v>
          </cell>
          <cell r="N12">
            <v>44196</v>
          </cell>
        </row>
        <row r="13">
          <cell r="F13" t="str">
            <v>KRW</v>
          </cell>
          <cell r="G13" t="str">
            <v>USD</v>
          </cell>
          <cell r="H13">
            <v>9.2072680000000002E-4</v>
          </cell>
          <cell r="K13" t="str">
            <v>KRW</v>
          </cell>
          <cell r="L13" t="str">
            <v>EUR</v>
          </cell>
          <cell r="M13">
            <v>7.5077249999999998E-4</v>
          </cell>
          <cell r="N13">
            <v>44196</v>
          </cell>
        </row>
        <row r="14">
          <cell r="F14" t="str">
            <v>LKR</v>
          </cell>
          <cell r="G14" t="str">
            <v>USD</v>
          </cell>
          <cell r="H14">
            <v>5.4393560000000002E-3</v>
          </cell>
          <cell r="K14" t="str">
            <v>LKR</v>
          </cell>
          <cell r="L14" t="str">
            <v>EUR</v>
          </cell>
          <cell r="M14">
            <v>4.4353207999999998E-3</v>
          </cell>
          <cell r="N14">
            <v>44196</v>
          </cell>
        </row>
        <row r="15">
          <cell r="F15" t="str">
            <v>MYR</v>
          </cell>
          <cell r="G15" t="str">
            <v>USD</v>
          </cell>
          <cell r="H15">
            <v>0.24832201230000001</v>
          </cell>
          <cell r="K15" t="str">
            <v>MYR</v>
          </cell>
          <cell r="L15" t="str">
            <v>EUR</v>
          </cell>
          <cell r="M15">
            <v>0.20248496299999999</v>
          </cell>
          <cell r="N15">
            <v>44196</v>
          </cell>
        </row>
        <row r="16">
          <cell r="F16" t="str">
            <v>NOK</v>
          </cell>
          <cell r="G16" t="str">
            <v>USD</v>
          </cell>
          <cell r="H16">
            <v>0.1170215245</v>
          </cell>
          <cell r="K16" t="str">
            <v>NOK</v>
          </cell>
          <cell r="L16" t="str">
            <v>EUR</v>
          </cell>
          <cell r="M16">
            <v>9.5415699000000007E-2</v>
          </cell>
          <cell r="N16">
            <v>44196</v>
          </cell>
        </row>
        <row r="17">
          <cell r="F17" t="str">
            <v>NZD</v>
          </cell>
          <cell r="G17" t="str">
            <v>USD</v>
          </cell>
          <cell r="H17">
            <v>0.72144768309999996</v>
          </cell>
          <cell r="K17" t="str">
            <v>NZD</v>
          </cell>
          <cell r="L17" t="str">
            <v>EUR</v>
          </cell>
          <cell r="M17">
            <v>0.58827772079999996</v>
          </cell>
          <cell r="N17">
            <v>44196</v>
          </cell>
        </row>
        <row r="18">
          <cell r="F18" t="str">
            <v>PHP</v>
          </cell>
          <cell r="G18" t="str">
            <v>USD</v>
          </cell>
          <cell r="H18">
            <v>2.08388194E-2</v>
          </cell>
          <cell r="K18" t="str">
            <v>PHP</v>
          </cell>
          <cell r="L18" t="str">
            <v>EUR</v>
          </cell>
          <cell r="M18">
            <v>1.69922414E-2</v>
          </cell>
          <cell r="N18">
            <v>44196</v>
          </cell>
        </row>
        <row r="19">
          <cell r="F19" t="str">
            <v>PKR</v>
          </cell>
          <cell r="G19" t="str">
            <v>USD</v>
          </cell>
          <cell r="H19">
            <v>6.2592161000000002E-3</v>
          </cell>
          <cell r="K19" t="str">
            <v>PKR</v>
          </cell>
          <cell r="L19" t="str">
            <v>EUR</v>
          </cell>
          <cell r="M19">
            <v>5.1038452999999998E-3</v>
          </cell>
          <cell r="N19">
            <v>44196</v>
          </cell>
        </row>
        <row r="20">
          <cell r="F20" t="str">
            <v>SEK</v>
          </cell>
          <cell r="G20" t="str">
            <v>USD</v>
          </cell>
          <cell r="H20">
            <v>0.12202052670000001</v>
          </cell>
          <cell r="K20" t="str">
            <v>SEK</v>
          </cell>
          <cell r="L20" t="str">
            <v>EUR</v>
          </cell>
          <cell r="M20">
            <v>9.9491122000000001E-2</v>
          </cell>
          <cell r="N20">
            <v>44196</v>
          </cell>
        </row>
        <row r="21">
          <cell r="F21" t="str">
            <v>SGD</v>
          </cell>
          <cell r="G21" t="str">
            <v>USD</v>
          </cell>
          <cell r="H21">
            <v>0.75660650839999999</v>
          </cell>
          <cell r="K21" t="str">
            <v>SGD</v>
          </cell>
          <cell r="L21" t="str">
            <v>EUR</v>
          </cell>
          <cell r="M21">
            <v>0.61694667910000001</v>
          </cell>
          <cell r="N21">
            <v>44196</v>
          </cell>
        </row>
        <row r="22">
          <cell r="F22" t="str">
            <v>THB</v>
          </cell>
          <cell r="G22" t="str">
            <v>USD</v>
          </cell>
          <cell r="H22">
            <v>3.3418002400000001E-2</v>
          </cell>
          <cell r="K22" t="str">
            <v>THB</v>
          </cell>
          <cell r="L22" t="str">
            <v>EUR</v>
          </cell>
          <cell r="M22">
            <v>2.7249468999999998E-2</v>
          </cell>
          <cell r="N22">
            <v>44196</v>
          </cell>
        </row>
        <row r="23">
          <cell r="F23" t="str">
            <v>TWD</v>
          </cell>
          <cell r="G23" t="str">
            <v>USD</v>
          </cell>
          <cell r="H23">
            <v>3.5616024500000003E-2</v>
          </cell>
          <cell r="K23" t="str">
            <v>TWD</v>
          </cell>
          <cell r="L23" t="str">
            <v>EUR</v>
          </cell>
          <cell r="M23">
            <v>2.9041764500000001E-2</v>
          </cell>
          <cell r="N23">
            <v>44196</v>
          </cell>
        </row>
        <row r="24">
          <cell r="F24" t="str">
            <v>USD</v>
          </cell>
          <cell r="G24" t="str">
            <v>USD</v>
          </cell>
          <cell r="H24">
            <v>1</v>
          </cell>
          <cell r="K24" t="str">
            <v>USD</v>
          </cell>
          <cell r="L24" t="str">
            <v>EUR</v>
          </cell>
          <cell r="M24">
            <v>0.81541286290000004</v>
          </cell>
          <cell r="N24">
            <v>44196</v>
          </cell>
        </row>
        <row r="25">
          <cell r="F25" t="str">
            <v>VND</v>
          </cell>
          <cell r="G25" t="str">
            <v>USD</v>
          </cell>
          <cell r="H25">
            <v>4.3390799999999998E-5</v>
          </cell>
          <cell r="K25" t="str">
            <v>VND</v>
          </cell>
          <cell r="L25" t="str">
            <v>EUR</v>
          </cell>
          <cell r="M25">
            <v>3.53814E-5</v>
          </cell>
          <cell r="N25">
            <v>44196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TableofContents"/>
      <sheetName val="Figure(35x)"/>
      <sheetName val="Figure(36x)"/>
      <sheetName val="Figure(37x)"/>
      <sheetName val="Figure(34)"/>
      <sheetName val="Figure(40)"/>
      <sheetName val="Figure(41)"/>
      <sheetName val="Figure(42)"/>
      <sheetName val="Figure(43)"/>
      <sheetName val="Figure(35)"/>
      <sheetName val="Figure(36)"/>
      <sheetName val="Figure(37)"/>
      <sheetName val="Figure(38)"/>
      <sheetName val="Figure(39)"/>
      <sheetName val="Figure(44)"/>
      <sheetName val="Figure(45)"/>
      <sheetName val="Figure(46)"/>
      <sheetName val="Figure(47)"/>
      <sheetName val="Figure(48)"/>
      <sheetName val="Figure(49)"/>
      <sheetName val="Sheet1"/>
      <sheetName val="DebtFundUniverse"/>
      <sheetName val="DFsmonkeyCompl"/>
      <sheetName val="DFanalysis"/>
      <sheetName val="FundOfFundsUniverse"/>
      <sheetName val="FoFsmonkeyCompl"/>
      <sheetName val="FoFsanalysis"/>
      <sheetName val="VehiclesUniverse"/>
      <sheetName val="NLFsmonkeyCompl"/>
      <sheetName val="NLFsanalysis"/>
      <sheetName val="Xrate31.12.20"/>
      <sheetName val="CapitalRaising2021-SurveyMonk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B1" t="str">
            <v>Vehicle Name</v>
          </cell>
          <cell r="C1" t="str">
            <v>Vehicle Manager Company</v>
          </cell>
          <cell r="D1" t="str">
            <v>Business Address</v>
          </cell>
          <cell r="E1" t="str">
            <v>Postcode</v>
          </cell>
          <cell r="F1" t="str">
            <v>City</v>
          </cell>
          <cell r="G1" t="str">
            <v>Country</v>
          </cell>
          <cell r="H1" t="str">
            <v>Switchboard</v>
          </cell>
          <cell r="I1" t="str">
            <v>Fax Number</v>
          </cell>
          <cell r="J1" t="str">
            <v>Company Website</v>
          </cell>
          <cell r="K1" t="str">
            <v>Vehicle Manager Name</v>
          </cell>
          <cell r="L1" t="str">
            <v>Vehicle Manager Email</v>
          </cell>
          <cell r="M1" t="str">
            <v>Vehicle Manager Telephone</v>
          </cell>
          <cell r="N1" t="str">
            <v>Investor Client Relations Name</v>
          </cell>
          <cell r="O1" t="str">
            <v>Investor Client Relations Email</v>
          </cell>
          <cell r="P1" t="str">
            <v>Investor Client Relations Telephone</v>
          </cell>
          <cell r="Q1" t="str">
            <v>Vehicle Domicile</v>
          </cell>
          <cell r="R1" t="str">
            <v>Currency of Reporting</v>
          </cell>
          <cell r="S1" t="str">
            <v>Accounting Standards</v>
          </cell>
          <cell r="T1" t="str">
            <v>Financial Reporting Frequency</v>
          </cell>
          <cell r="U1" t="str">
            <v>Frequency of External Property Valuations</v>
          </cell>
          <cell r="V1" t="str">
            <v>Valuation approach applied to properties</v>
          </cell>
          <cell r="W1" t="str">
            <v>What NAV calculation method has been used for the figures in this database?</v>
          </cell>
          <cell r="X1" t="str">
            <v>Name of Vehicle Auditor</v>
          </cell>
          <cell r="Y1" t="str">
            <v>Legal vehicle structure</v>
          </cell>
          <cell r="Z1" t="str">
            <v>Does your fund report an INREV NAV to investors?</v>
          </cell>
          <cell r="AA1" t="str">
            <v>Is there a Non-Executive Body</v>
          </cell>
          <cell r="AB1" t="str">
            <v>Number of Independents</v>
          </cell>
          <cell r="AC1" t="str">
            <v>Vehicle Type</v>
          </cell>
          <cell r="AD1" t="str">
            <v>Manager Defined Style</v>
          </cell>
          <cell r="AE1" t="str">
            <v>Finite/Infinite structure</v>
          </cell>
          <cell r="AF1" t="str">
            <v>Vehicle Structure</v>
          </cell>
          <cell r="AG1" t="str">
            <v>Target IRR - From (%)</v>
          </cell>
          <cell r="AH1" t="str">
            <v>Target IRR - To (%)</v>
          </cell>
          <cell r="AI1" t="str">
            <v>Basis for IRR Calculation</v>
          </cell>
          <cell r="AJ1" t="str">
            <v>Performance Benchmark</v>
          </cell>
          <cell r="AK1" t="str">
            <v>Target Distribution Yield (%)</v>
          </cell>
          <cell r="AL1" t="str">
            <v>Target Gearing Level as a % of GAV</v>
          </cell>
          <cell r="AM1" t="str">
            <v>Maximum LTV (%)</v>
          </cell>
          <cell r="AN1" t="str">
            <v>Target Investors</v>
          </cell>
          <cell r="AO1" t="str">
            <v>Target Number of Investors</v>
          </cell>
          <cell r="AP1" t="str">
            <v>Total value of loans provided since vehicle launch</v>
          </cell>
          <cell r="AQ1" t="str">
            <v>Number of loans in portfolio</v>
          </cell>
          <cell r="AR1" t="str">
            <v>Target loan LTV</v>
          </cell>
          <cell r="AS1" t="str">
            <v>Maximum loan LTV</v>
          </cell>
          <cell r="AT1" t="str">
            <v>Target number of loans</v>
          </cell>
          <cell r="AU1" t="str">
            <v>Target average loan size</v>
          </cell>
          <cell r="AV1" t="str">
            <v>Investment period</v>
          </cell>
          <cell r="AW1" t="str">
            <v>Loan generation strategy</v>
          </cell>
          <cell r="AX1" t="str">
            <v>Loan valuation method</v>
          </cell>
          <cell r="AY1" t="str">
            <v>Loan strategy</v>
          </cell>
          <cell r="AZ1" t="str">
            <v>Fund life</v>
          </cell>
          <cell r="BA1" t="str">
            <v>Target Proportion of Institutional Holdings</v>
          </cell>
          <cell r="BB1" t="str">
            <v>Target Regional Strategy</v>
          </cell>
          <cell r="BC1" t="str">
            <v>Multi country/Single country</v>
          </cell>
          <cell r="BD1" t="str">
            <v>Target Region (Multi-Country Funds)</v>
          </cell>
          <cell r="BE1" t="str">
            <v>Target Country (Single-Country Funds)</v>
          </cell>
          <cell r="BF1" t="str">
            <v>Multi sector/Single sector strategy</v>
          </cell>
          <cell r="BG1" t="str">
            <v>Target Sector</v>
          </cell>
          <cell r="BH1" t="str">
            <v>Target Equity</v>
          </cell>
          <cell r="BI1" t="str">
            <v>Target Gross Assets Value</v>
          </cell>
          <cell r="BJ1" t="str">
            <v>Year of first closing</v>
          </cell>
          <cell r="BK1" t="str">
            <v>Planned Termination year</v>
          </cell>
          <cell r="BL1" t="str">
            <v>Provision to Extend Termination Date</v>
          </cell>
          <cell r="BM1" t="str">
            <v>Fixed Extension Period Set</v>
          </cell>
          <cell r="BN1" t="str">
            <v>Length of Extension Period</v>
          </cell>
          <cell r="BO1" t="str">
            <v>Does Manager Actively Facilitate Secondary Trading</v>
          </cell>
          <cell r="BP1" t="str">
            <v>Target return derived from income</v>
          </cell>
          <cell r="BQ1" t="str">
            <v>Target percentage of non-income producing investments</v>
          </cell>
          <cell r="BR1" t="str">
            <v>Target percentage (re)development  exposure</v>
          </cell>
          <cell r="BS1" t="str">
            <v>Reporting date</v>
          </cell>
          <cell r="BT1" t="str">
            <v>Gross Asset Value of the Vehicle (reporting currency)</v>
          </cell>
          <cell r="BU1" t="str">
            <v>Gross Asset Value of the Vehicle (EUR)</v>
          </cell>
          <cell r="BV1" t="str">
            <v>Net Asset Value of the Vehicle (reporting currency)</v>
          </cell>
          <cell r="BW1" t="str">
            <v>Net Asset Value of the Vehicle (EUR)</v>
          </cell>
          <cell r="BX1" t="str">
            <v>Gearing as a % of GAV</v>
          </cell>
          <cell r="BY1" t="str">
            <v>Are figures audited by external auditor</v>
          </cell>
          <cell r="BZ1" t="str">
            <v>Are Figures based on external/internal valuations.</v>
          </cell>
          <cell r="CA1" t="str">
            <v>Number of institutional investors</v>
          </cell>
          <cell r="CB1" t="str">
            <v>Number of properties in portfolio</v>
          </cell>
          <cell r="CC1" t="str">
            <v>Total equity commited (reporting currency</v>
          </cell>
          <cell r="CD1" t="str">
            <v>Total equity commited (local currency)</v>
          </cell>
          <cell r="CE1" t="str">
            <v>Total equity invested (reporting currency)</v>
          </cell>
          <cell r="CF1" t="str">
            <v>Total equity invested (local currency)</v>
          </cell>
          <cell r="CG1" t="str">
            <v>Open for investment/raising capital</v>
          </cell>
          <cell r="CH1" t="str">
            <v>Allocation 1 Country</v>
          </cell>
          <cell r="CI1" t="str">
            <v>Allocation 1 Sector</v>
          </cell>
          <cell r="CJ1" t="str">
            <v>Allocation 1 Value</v>
          </cell>
          <cell r="CK1" t="str">
            <v>Allocation 2 Country</v>
          </cell>
          <cell r="CL1" t="str">
            <v>Allocation 2 Sector</v>
          </cell>
          <cell r="CM1" t="str">
            <v>Allocation 2 Value</v>
          </cell>
          <cell r="CN1" t="str">
            <v>Allocation 3 Country</v>
          </cell>
          <cell r="CO1" t="str">
            <v>Allocation 3 Sector</v>
          </cell>
          <cell r="CP1" t="str">
            <v>Allocation 3 Value</v>
          </cell>
          <cell r="CQ1" t="str">
            <v>Allocation 4 Country</v>
          </cell>
          <cell r="CR1" t="str">
            <v>Allocation 4 Sector</v>
          </cell>
          <cell r="CS1" t="str">
            <v>Allocation 4 Value</v>
          </cell>
          <cell r="CT1" t="str">
            <v>Allocation 5 Country</v>
          </cell>
          <cell r="CU1" t="str">
            <v>Allocation 5 Sector</v>
          </cell>
          <cell r="CV1" t="str">
            <v>Allocation 5 Value</v>
          </cell>
          <cell r="CW1" t="str">
            <v>Allocation 6 Country</v>
          </cell>
          <cell r="CX1" t="str">
            <v>Allocation 6 Sector</v>
          </cell>
          <cell r="CY1" t="str">
            <v>Allocation 6 Value</v>
          </cell>
          <cell r="CZ1" t="str">
            <v>Allocation 7 Country</v>
          </cell>
          <cell r="DA1" t="str">
            <v>Allocation 7 Sector</v>
          </cell>
          <cell r="DB1" t="str">
            <v>Allocation 7 Value</v>
          </cell>
          <cell r="DC1" t="str">
            <v>Allocation 8 Country</v>
          </cell>
          <cell r="DD1" t="str">
            <v>Allocation 8 Sector</v>
          </cell>
          <cell r="DE1" t="str">
            <v>Allocation 8 Value</v>
          </cell>
          <cell r="DF1" t="str">
            <v>Allocation 9 Country</v>
          </cell>
          <cell r="DG1" t="str">
            <v>Allocation 9 Sector</v>
          </cell>
          <cell r="DH1" t="str">
            <v>Allocation 9 Value</v>
          </cell>
          <cell r="DI1" t="str">
            <v>Allocation 10 Country</v>
          </cell>
          <cell r="DJ1" t="str">
            <v>Allocation 10 Sector</v>
          </cell>
          <cell r="DK1" t="str">
            <v>Allocation 10 Value</v>
          </cell>
          <cell r="DL1" t="str">
            <v>Allocation 11 Country</v>
          </cell>
          <cell r="DM1" t="str">
            <v>Allocation 11 Sector</v>
          </cell>
          <cell r="DN1" t="str">
            <v>Allocation 11 Value</v>
          </cell>
          <cell r="DO1" t="str">
            <v>Allocation 12 Country</v>
          </cell>
          <cell r="DP1" t="str">
            <v>Allocation 12 Sector</v>
          </cell>
          <cell r="DQ1" t="str">
            <v>Allocation 12 Value</v>
          </cell>
          <cell r="DR1" t="str">
            <v>Allocation 13 Country</v>
          </cell>
          <cell r="DS1" t="str">
            <v>Allocation 13 Sector</v>
          </cell>
          <cell r="DT1" t="str">
            <v>Allocation 13 Value</v>
          </cell>
          <cell r="DU1" t="str">
            <v>Allocation 14 Country</v>
          </cell>
          <cell r="DV1" t="str">
            <v>Allocation 14 Sector</v>
          </cell>
          <cell r="DW1" t="str">
            <v>Allocation 14 Value</v>
          </cell>
          <cell r="DX1" t="str">
            <v>Allocation 15 Country</v>
          </cell>
          <cell r="DY1" t="str">
            <v>Allocation 15 Sector</v>
          </cell>
          <cell r="DZ1" t="str">
            <v>Allocation 15 Value</v>
          </cell>
          <cell r="EA1" t="str">
            <v>Allocation 16 Country</v>
          </cell>
          <cell r="EB1" t="str">
            <v>Allocation 16 Sector</v>
          </cell>
          <cell r="EC1" t="str">
            <v>Allocation 16 Value</v>
          </cell>
          <cell r="ED1" t="str">
            <v>Allocation 17 Country</v>
          </cell>
          <cell r="EE1" t="str">
            <v>Allocation 17 Sector</v>
          </cell>
          <cell r="EF1" t="str">
            <v>Allocation 17 Value</v>
          </cell>
          <cell r="EG1" t="str">
            <v>Allocation 18 Country</v>
          </cell>
          <cell r="EH1" t="str">
            <v>Allocation 18 Sector</v>
          </cell>
          <cell r="EI1" t="str">
            <v>Allocation 18 Value</v>
          </cell>
          <cell r="EJ1" t="str">
            <v>Allocation 19 Country</v>
          </cell>
          <cell r="EK1" t="str">
            <v>Allocation 19 Sector</v>
          </cell>
          <cell r="EL1" t="str">
            <v>Allocation 19 Value</v>
          </cell>
          <cell r="EM1" t="str">
            <v>Allocation 20 Country</v>
          </cell>
          <cell r="EN1" t="str">
            <v>Allocation 20 Sector</v>
          </cell>
          <cell r="EO1" t="str">
            <v>Allocation 20 Value</v>
          </cell>
          <cell r="EP1" t="str">
            <v>Allocation 21 Country</v>
          </cell>
          <cell r="EQ1" t="str">
            <v>Allocation 21 Sector</v>
          </cell>
          <cell r="ER1" t="str">
            <v>Allocation 21 Value</v>
          </cell>
          <cell r="ES1" t="str">
            <v>Allocation 22 Country</v>
          </cell>
          <cell r="ET1" t="str">
            <v>Allocation 22 Sector</v>
          </cell>
          <cell r="EU1" t="str">
            <v>Allocation 22 Value</v>
          </cell>
        </row>
        <row r="2">
          <cell r="A2">
            <v>17380</v>
          </cell>
          <cell r="B2" t="str">
            <v>AALTO COMMERCIAL REAL ESTATE PROGRAMME</v>
          </cell>
          <cell r="C2" t="str">
            <v>AALTO INVEST UK LTD.</v>
          </cell>
          <cell r="D2" t="str">
            <v>Riverbank House, 2 Swan Lane</v>
          </cell>
          <cell r="E2" t="str">
            <v>EC4R</v>
          </cell>
          <cell r="F2" t="str">
            <v>London</v>
          </cell>
          <cell r="G2" t="str">
            <v>United Kingdom</v>
          </cell>
          <cell r="H2">
            <v>442071442903</v>
          </cell>
          <cell r="J2" t="str">
            <v>https://www.man.com</v>
          </cell>
          <cell r="K2" t="str">
            <v>Mikko Syrjanen</v>
          </cell>
          <cell r="L2" t="str">
            <v>mikko.syrjanen@man.com</v>
          </cell>
          <cell r="N2" t="str">
            <v>Jonathan Shaw</v>
          </cell>
          <cell r="O2" t="str">
            <v>jonathan.shaw@man.com</v>
          </cell>
          <cell r="P2">
            <v>442071442911</v>
          </cell>
          <cell r="Q2" t="str">
            <v>Ireland</v>
          </cell>
          <cell r="R2" t="str">
            <v>GBP</v>
          </cell>
          <cell r="S2" t="str">
            <v>IFRS</v>
          </cell>
          <cell r="T2" t="str">
            <v>Quarterly</v>
          </cell>
          <cell r="U2" t="str">
            <v>Quarterly</v>
          </cell>
          <cell r="X2" t="str">
            <v>Grant Thornton</v>
          </cell>
          <cell r="AF2" t="str">
            <v>Closed end</v>
          </cell>
          <cell r="AG2">
            <v>5</v>
          </cell>
          <cell r="AH2">
            <v>6</v>
          </cell>
          <cell r="AK2" t="str">
            <v>5%</v>
          </cell>
          <cell r="AL2">
            <v>0</v>
          </cell>
          <cell r="AN2" t="str">
            <v>Institutional</v>
          </cell>
          <cell r="AO2" t="str">
            <v>&gt; 2</v>
          </cell>
          <cell r="AP2">
            <v>206000000</v>
          </cell>
          <cell r="AQ2">
            <v>8</v>
          </cell>
          <cell r="AR2" t="str">
            <v>65%</v>
          </cell>
          <cell r="AS2">
            <v>70</v>
          </cell>
          <cell r="AT2">
            <v>15</v>
          </cell>
          <cell r="AV2" t="str">
            <v>1 year</v>
          </cell>
          <cell r="AW2" t="str">
            <v>Both</v>
          </cell>
          <cell r="AX2" t="str">
            <v>Book value(excl. amortisation)</v>
          </cell>
          <cell r="AY2" t="str">
            <v>Senior</v>
          </cell>
          <cell r="AZ2" t="str">
            <v>9 years</v>
          </cell>
          <cell r="BA2" t="str">
            <v>≥ 50%</v>
          </cell>
          <cell r="BB2" t="str">
            <v>Europe</v>
          </cell>
          <cell r="BC2" t="str">
            <v>multi country</v>
          </cell>
          <cell r="BD2" t="str">
            <v>Western Europe</v>
          </cell>
          <cell r="BF2" t="str">
            <v>multi sector</v>
          </cell>
          <cell r="BH2">
            <v>1000000000</v>
          </cell>
          <cell r="BI2">
            <v>1000000000</v>
          </cell>
          <cell r="BJ2">
            <v>2013</v>
          </cell>
          <cell r="BK2">
            <v>2022</v>
          </cell>
          <cell r="BL2" t="str">
            <v>No</v>
          </cell>
          <cell r="BS2" t="str">
            <v>2014-06-30</v>
          </cell>
          <cell r="BT2">
            <v>206000000</v>
          </cell>
          <cell r="BU2">
            <v>257335200</v>
          </cell>
          <cell r="BV2">
            <v>206000000</v>
          </cell>
          <cell r="BW2">
            <v>257335200</v>
          </cell>
          <cell r="BX2">
            <v>0</v>
          </cell>
          <cell r="BY2" t="str">
            <v>No</v>
          </cell>
          <cell r="CC2">
            <v>206000000</v>
          </cell>
          <cell r="CD2">
            <v>249115800</v>
          </cell>
          <cell r="CF2">
            <v>0</v>
          </cell>
          <cell r="CG2" t="str">
            <v>Yes</v>
          </cell>
          <cell r="CH2" t="str">
            <v>United Kingdom</v>
          </cell>
          <cell r="CI2" t="str">
            <v>Office</v>
          </cell>
          <cell r="CJ2">
            <v>60</v>
          </cell>
          <cell r="CK2" t="str">
            <v>United Kingdom</v>
          </cell>
          <cell r="CL2" t="str">
            <v>Retail</v>
          </cell>
          <cell r="CM2">
            <v>20</v>
          </cell>
          <cell r="CN2" t="str">
            <v>United Kingdom</v>
          </cell>
          <cell r="CO2" t="str">
            <v>Industrial / Logistics</v>
          </cell>
          <cell r="CP2">
            <v>10</v>
          </cell>
          <cell r="CQ2" t="str">
            <v>United Kingdom</v>
          </cell>
          <cell r="CR2" t="str">
            <v>Other</v>
          </cell>
          <cell r="CS2">
            <v>10</v>
          </cell>
        </row>
        <row r="3">
          <cell r="A3">
            <v>18096</v>
          </cell>
          <cell r="B3" t="str">
            <v>AALTO IRISH RESIDENTIAL LOAN FUND I</v>
          </cell>
          <cell r="C3" t="str">
            <v>AALTO INVEST UK LTD</v>
          </cell>
          <cell r="D3" t="str">
            <v>Riverbank House, 2 Swan Lane</v>
          </cell>
          <cell r="E3" t="str">
            <v>EC4R</v>
          </cell>
          <cell r="F3" t="str">
            <v>London</v>
          </cell>
          <cell r="G3" t="str">
            <v>United Kingdom</v>
          </cell>
          <cell r="J3" t="str">
            <v>https://www.man.com</v>
          </cell>
          <cell r="K3" t="str">
            <v>Matthew Pritchard</v>
          </cell>
          <cell r="L3" t="str">
            <v>matthew.pritchard@man.com</v>
          </cell>
          <cell r="N3" t="str">
            <v>Jonathan Shaw</v>
          </cell>
          <cell r="O3" t="str">
            <v>jonathan.shaw@man.com</v>
          </cell>
          <cell r="P3">
            <v>442071442911</v>
          </cell>
          <cell r="Q3" t="str">
            <v>Ireland</v>
          </cell>
          <cell r="R3" t="str">
            <v>EUR</v>
          </cell>
          <cell r="S3" t="str">
            <v>IFRS</v>
          </cell>
          <cell r="T3" t="str">
            <v>Annually</v>
          </cell>
          <cell r="U3" t="str">
            <v>Quarterly</v>
          </cell>
          <cell r="X3" t="str">
            <v>Grant Thornton</v>
          </cell>
          <cell r="Y3" t="str">
            <v>Section 110 company domiciled in Ireland</v>
          </cell>
          <cell r="AF3" t="str">
            <v>Closed end</v>
          </cell>
          <cell r="AG3">
            <v>9</v>
          </cell>
          <cell r="AH3">
            <v>10</v>
          </cell>
          <cell r="AI3" t="str">
            <v>Net</v>
          </cell>
          <cell r="AN3" t="str">
            <v>Institutional</v>
          </cell>
          <cell r="AR3" t="str">
            <v>65%</v>
          </cell>
          <cell r="AX3" t="str">
            <v>Book value(excl. amortisation)</v>
          </cell>
          <cell r="AY3" t="str">
            <v>Senior</v>
          </cell>
          <cell r="AZ3" t="str">
            <v>5 years</v>
          </cell>
          <cell r="BB3" t="str">
            <v>Europe</v>
          </cell>
          <cell r="BC3" t="str">
            <v>single country</v>
          </cell>
          <cell r="BE3" t="str">
            <v>Ireland</v>
          </cell>
          <cell r="BF3" t="str">
            <v>single sector</v>
          </cell>
          <cell r="BG3" t="str">
            <v>Development Residential</v>
          </cell>
          <cell r="BH3">
            <v>75000000</v>
          </cell>
          <cell r="BJ3">
            <v>2014</v>
          </cell>
        </row>
        <row r="4">
          <cell r="A4">
            <v>18097</v>
          </cell>
          <cell r="B4" t="str">
            <v>AALTO IRISH RESIDENTIAL LOAN FUND II</v>
          </cell>
          <cell r="C4" t="str">
            <v>AALTO INVEST UK LTD</v>
          </cell>
          <cell r="D4" t="str">
            <v>Riverbank House, 2 Swan Lane</v>
          </cell>
          <cell r="E4" t="str">
            <v>EC4R</v>
          </cell>
          <cell r="F4" t="str">
            <v>London</v>
          </cell>
          <cell r="G4" t="str">
            <v>United Kingdom</v>
          </cell>
          <cell r="H4">
            <v>442071442903</v>
          </cell>
          <cell r="J4" t="str">
            <v>https://www.man.com</v>
          </cell>
          <cell r="K4" t="str">
            <v>Matthew Pritchard</v>
          </cell>
          <cell r="L4" t="str">
            <v>matthew.pritchard@man.com</v>
          </cell>
          <cell r="N4" t="str">
            <v>Jonathan Shaw</v>
          </cell>
          <cell r="O4" t="str">
            <v>jonathan.shaw@man.com</v>
          </cell>
          <cell r="P4">
            <v>442071442911</v>
          </cell>
          <cell r="Q4" t="str">
            <v>Ireland</v>
          </cell>
          <cell r="R4" t="str">
            <v>EUR</v>
          </cell>
          <cell r="S4" t="str">
            <v>IFRS</v>
          </cell>
          <cell r="T4" t="str">
            <v>Annually</v>
          </cell>
          <cell r="U4" t="str">
            <v>Quarterly</v>
          </cell>
          <cell r="X4" t="str">
            <v>Grant Thornton</v>
          </cell>
          <cell r="Y4" t="str">
            <v>Section 110 company domiciled in Ireland</v>
          </cell>
          <cell r="AF4" t="str">
            <v>Closed end</v>
          </cell>
          <cell r="AG4">
            <v>9</v>
          </cell>
          <cell r="AH4">
            <v>10</v>
          </cell>
          <cell r="AI4" t="str">
            <v>Net</v>
          </cell>
          <cell r="AN4" t="str">
            <v>Institutional</v>
          </cell>
          <cell r="AR4" t="str">
            <v>65%</v>
          </cell>
          <cell r="AX4" t="str">
            <v>Book value(excl. amortisation)</v>
          </cell>
          <cell r="AY4" t="str">
            <v>Senior</v>
          </cell>
          <cell r="AZ4" t="str">
            <v>5 years</v>
          </cell>
          <cell r="BB4" t="str">
            <v>Europe</v>
          </cell>
          <cell r="BC4" t="str">
            <v>single country</v>
          </cell>
          <cell r="BE4" t="str">
            <v>Ireland</v>
          </cell>
          <cell r="BF4" t="str">
            <v>single sector</v>
          </cell>
          <cell r="BG4" t="str">
            <v>Development Residential</v>
          </cell>
          <cell r="BH4">
            <v>25000000</v>
          </cell>
          <cell r="BJ4">
            <v>2016</v>
          </cell>
        </row>
        <row r="5">
          <cell r="A5">
            <v>18098</v>
          </cell>
          <cell r="B5" t="str">
            <v>AALTO IRISH RESIDENTIAL LOAN FUND III</v>
          </cell>
          <cell r="C5" t="str">
            <v>AALTO INVEST UK LTD</v>
          </cell>
          <cell r="D5" t="str">
            <v>Riverbank House, 2 Swan Lane</v>
          </cell>
          <cell r="E5" t="str">
            <v>EC4R</v>
          </cell>
          <cell r="F5" t="str">
            <v>London</v>
          </cell>
          <cell r="G5" t="str">
            <v>United Kingdom</v>
          </cell>
          <cell r="H5">
            <v>442071442903</v>
          </cell>
          <cell r="J5" t="str">
            <v>https://www.man.com</v>
          </cell>
          <cell r="K5" t="str">
            <v>Matthew Pritchard</v>
          </cell>
          <cell r="L5" t="str">
            <v>matthew.pritchard@man.com</v>
          </cell>
          <cell r="N5" t="str">
            <v>Jonathan Shaw</v>
          </cell>
          <cell r="O5" t="str">
            <v>jonathan.shaw@man.com</v>
          </cell>
          <cell r="P5">
            <v>442071442911</v>
          </cell>
          <cell r="Q5" t="str">
            <v>Ireland</v>
          </cell>
          <cell r="R5" t="str">
            <v>EUR</v>
          </cell>
          <cell r="S5" t="str">
            <v>IFRS</v>
          </cell>
          <cell r="T5" t="str">
            <v>Annually</v>
          </cell>
          <cell r="U5" t="str">
            <v>Quarterly</v>
          </cell>
          <cell r="X5" t="str">
            <v>Grant Thornton</v>
          </cell>
          <cell r="Y5" t="str">
            <v>Section 110 company domiciled in Ireland</v>
          </cell>
          <cell r="AF5" t="str">
            <v>Closed end</v>
          </cell>
          <cell r="AG5">
            <v>9</v>
          </cell>
          <cell r="AH5">
            <v>10</v>
          </cell>
          <cell r="AI5" t="str">
            <v>Net</v>
          </cell>
          <cell r="AN5" t="str">
            <v>Institutional</v>
          </cell>
          <cell r="AR5" t="str">
            <v>65%</v>
          </cell>
          <cell r="AX5" t="str">
            <v>Book value(excl. amortisation)</v>
          </cell>
          <cell r="AY5" t="str">
            <v>Senior</v>
          </cell>
          <cell r="BA5" t="str">
            <v>≥ 50%</v>
          </cell>
          <cell r="BB5" t="str">
            <v>Europe</v>
          </cell>
          <cell r="BC5" t="str">
            <v>single country</v>
          </cell>
          <cell r="BE5" t="str">
            <v>Ireland</v>
          </cell>
          <cell r="BF5" t="str">
            <v>single sector</v>
          </cell>
          <cell r="BG5" t="str">
            <v>Development Residential</v>
          </cell>
          <cell r="BH5">
            <v>200000000</v>
          </cell>
        </row>
        <row r="6">
          <cell r="A6">
            <v>17383</v>
          </cell>
          <cell r="B6" t="str">
            <v>AGFE UK REAL ESTATE SENIOR DEBT FUND LP</v>
          </cell>
          <cell r="C6" t="str">
            <v>AGFE LLP</v>
          </cell>
          <cell r="D6" t="str">
            <v>55 Baker Street</v>
          </cell>
          <cell r="E6" t="str">
            <v>W1U 8EW</v>
          </cell>
          <cell r="F6" t="str">
            <v>London</v>
          </cell>
          <cell r="G6" t="str">
            <v>United Kingdom</v>
          </cell>
          <cell r="H6" t="str">
            <v>+44202195000</v>
          </cell>
          <cell r="I6" t="str">
            <v>+44202195000</v>
          </cell>
          <cell r="J6" t="str">
            <v>http://www.agfe.com</v>
          </cell>
          <cell r="K6" t="str">
            <v>James Wright</v>
          </cell>
          <cell r="L6" t="str">
            <v>james.wright@agfe.com</v>
          </cell>
          <cell r="M6" t="str">
            <v>+44202195000</v>
          </cell>
          <cell r="Q6" t="str">
            <v>United Kingdom</v>
          </cell>
          <cell r="R6" t="str">
            <v>GBP</v>
          </cell>
          <cell r="S6" t="str">
            <v>IFRS</v>
          </cell>
          <cell r="T6" t="str">
            <v>Quarterly</v>
          </cell>
          <cell r="U6" t="str">
            <v>Quarterly</v>
          </cell>
          <cell r="Y6" t="str">
            <v>Limited Partnership</v>
          </cell>
          <cell r="AF6" t="str">
            <v>Closed end</v>
          </cell>
          <cell r="AG6">
            <v>2</v>
          </cell>
          <cell r="AH6">
            <v>3</v>
          </cell>
          <cell r="AI6" t="str">
            <v>Net</v>
          </cell>
          <cell r="AK6" t="str">
            <v>2,25-3%</v>
          </cell>
          <cell r="AL6">
            <v>0</v>
          </cell>
          <cell r="AN6" t="str">
            <v>Institutional</v>
          </cell>
          <cell r="AO6" t="str">
            <v>&gt; 2</v>
          </cell>
          <cell r="AQ6">
            <v>7</v>
          </cell>
          <cell r="AS6">
            <v>65</v>
          </cell>
          <cell r="AV6" t="str">
            <v>2 years</v>
          </cell>
          <cell r="AW6" t="str">
            <v>Direct lending</v>
          </cell>
          <cell r="AX6" t="str">
            <v>Mark to market</v>
          </cell>
          <cell r="AY6" t="str">
            <v>Senior</v>
          </cell>
          <cell r="AZ6" t="str">
            <v>10 years</v>
          </cell>
          <cell r="BA6" t="str">
            <v>≥ 50%</v>
          </cell>
          <cell r="BB6" t="str">
            <v>Europe</v>
          </cell>
          <cell r="BC6" t="str">
            <v>single country</v>
          </cell>
          <cell r="BE6" t="str">
            <v>United Kingdom</v>
          </cell>
          <cell r="BF6" t="str">
            <v>multi sector</v>
          </cell>
          <cell r="BH6">
            <v>750000000</v>
          </cell>
          <cell r="BI6">
            <v>750000000</v>
          </cell>
          <cell r="BJ6">
            <v>2014</v>
          </cell>
          <cell r="BK6">
            <v>2021</v>
          </cell>
          <cell r="BL6" t="str">
            <v>Yes</v>
          </cell>
          <cell r="BM6" t="str">
            <v>No</v>
          </cell>
          <cell r="BS6" t="str">
            <v>2019-09-30</v>
          </cell>
          <cell r="BT6">
            <v>328291566</v>
          </cell>
          <cell r="BU6">
            <v>368925465.0965361</v>
          </cell>
          <cell r="BV6">
            <v>328308762</v>
          </cell>
          <cell r="BW6">
            <v>368944789.51103479</v>
          </cell>
          <cell r="BX6">
            <v>0</v>
          </cell>
          <cell r="CA6">
            <v>4</v>
          </cell>
          <cell r="CC6">
            <v>577858000</v>
          </cell>
          <cell r="CD6">
            <v>645804235.60822403</v>
          </cell>
          <cell r="CE6">
            <v>577858000</v>
          </cell>
          <cell r="CF6">
            <v>645804235.60822403</v>
          </cell>
          <cell r="CG6" t="str">
            <v>No</v>
          </cell>
          <cell r="CH6" t="str">
            <v>United Kingdom</v>
          </cell>
          <cell r="CI6" t="str">
            <v>Office</v>
          </cell>
          <cell r="CJ6">
            <v>32</v>
          </cell>
          <cell r="CK6" t="str">
            <v>United Kingdom</v>
          </cell>
          <cell r="CL6" t="str">
            <v>Retail</v>
          </cell>
          <cell r="CM6">
            <v>43</v>
          </cell>
          <cell r="CN6" t="str">
            <v>United Kingdom</v>
          </cell>
          <cell r="CO6" t="str">
            <v>Industrial / Logistics</v>
          </cell>
          <cell r="CP6">
            <v>18</v>
          </cell>
          <cell r="CQ6" t="str">
            <v>United Kingdom</v>
          </cell>
          <cell r="CR6" t="str">
            <v>Other</v>
          </cell>
          <cell r="CS6">
            <v>7</v>
          </cell>
        </row>
        <row r="7">
          <cell r="A7">
            <v>18133</v>
          </cell>
          <cell r="B7" t="str">
            <v>AMREF 3</v>
          </cell>
          <cell r="C7" t="str">
            <v>AERIENCE INVESTMENT S.A.R.L</v>
          </cell>
          <cell r="D7" t="str">
            <v>20 Boulevard Emmanuel Servais</v>
          </cell>
          <cell r="E7" t="str">
            <v>L - 2535</v>
          </cell>
          <cell r="F7" t="str">
            <v>Luxembourg</v>
          </cell>
          <cell r="G7" t="str">
            <v>Luxembourg</v>
          </cell>
          <cell r="H7" t="str">
            <v>+352 26 94 81 1</v>
          </cell>
          <cell r="I7" t="str">
            <v>+352 26 94 81 50</v>
          </cell>
          <cell r="J7" t="str">
            <v>http://aeriance.com/</v>
          </cell>
          <cell r="Q7" t="str">
            <v>Luxembourg</v>
          </cell>
          <cell r="R7" t="str">
            <v>EUR</v>
          </cell>
          <cell r="T7" t="str">
            <v>Monthly</v>
          </cell>
          <cell r="U7" t="str">
            <v>Quarterly</v>
          </cell>
          <cell r="Y7" t="str">
            <v>FCP</v>
          </cell>
          <cell r="AG7">
            <v>8</v>
          </cell>
          <cell r="AH7">
            <v>10</v>
          </cell>
          <cell r="AI7" t="str">
            <v>Gross</v>
          </cell>
          <cell r="AS7">
            <v>85</v>
          </cell>
          <cell r="AW7" t="str">
            <v>Both</v>
          </cell>
          <cell r="AY7" t="str">
            <v>Mixed: Senior+Subordinated</v>
          </cell>
          <cell r="AZ7">
            <v>7</v>
          </cell>
          <cell r="BC7" t="str">
            <v>multi country</v>
          </cell>
          <cell r="BD7" t="str">
            <v>Europe</v>
          </cell>
          <cell r="BF7" t="str">
            <v>multi sector</v>
          </cell>
          <cell r="BH7">
            <v>500000000</v>
          </cell>
          <cell r="BI7">
            <v>500000000</v>
          </cell>
          <cell r="BJ7">
            <v>2016</v>
          </cell>
        </row>
        <row r="8">
          <cell r="A8">
            <v>17377</v>
          </cell>
          <cell r="B8" t="str">
            <v>AVIVA INVESTORS UK COMMERCIAL REAL ESTATE SENIOR DEBT FUND L.P.</v>
          </cell>
          <cell r="C8" t="str">
            <v>AVIVA INVESTORS</v>
          </cell>
          <cell r="D8" t="str">
            <v>1 Poultry</v>
          </cell>
          <cell r="E8" t="str">
            <v>EC2R 8EJ</v>
          </cell>
          <cell r="F8" t="str">
            <v>London</v>
          </cell>
          <cell r="G8" t="str">
            <v>United Kingdom</v>
          </cell>
          <cell r="H8" t="str">
            <v>+442078098420</v>
          </cell>
          <cell r="I8" t="str">
            <v>+442078098420</v>
          </cell>
          <cell r="J8" t="str">
            <v>http://www.avivainvestors.com</v>
          </cell>
          <cell r="K8" t="str">
            <v>James Tarry</v>
          </cell>
          <cell r="L8" t="str">
            <v>james.tarry@avivainvestors.com</v>
          </cell>
          <cell r="M8" t="str">
            <v>+442078098420</v>
          </cell>
          <cell r="Q8" t="str">
            <v>United Kingdom</v>
          </cell>
          <cell r="R8" t="str">
            <v>GBP</v>
          </cell>
          <cell r="S8" t="str">
            <v>IFRS</v>
          </cell>
          <cell r="T8" t="str">
            <v>Quarterly</v>
          </cell>
          <cell r="U8" t="str">
            <v>Quarterly</v>
          </cell>
          <cell r="AF8" t="str">
            <v>Closed end</v>
          </cell>
          <cell r="AK8" t="str">
            <v>Equivalent maturity yields + 2,50 - 3,50%</v>
          </cell>
          <cell r="AL8">
            <v>0</v>
          </cell>
          <cell r="AP8">
            <v>94000000</v>
          </cell>
          <cell r="AQ8">
            <v>3</v>
          </cell>
          <cell r="AR8" t="str">
            <v>60%</v>
          </cell>
          <cell r="AS8">
            <v>65</v>
          </cell>
          <cell r="AT8">
            <v>25</v>
          </cell>
          <cell r="AV8" t="str">
            <v>2 years</v>
          </cell>
          <cell r="AW8" t="str">
            <v>Direct lending</v>
          </cell>
          <cell r="AY8" t="str">
            <v>Senior</v>
          </cell>
          <cell r="AZ8" t="str">
            <v>12 years</v>
          </cell>
          <cell r="BB8" t="str">
            <v>Europe</v>
          </cell>
          <cell r="BC8" t="str">
            <v>single country</v>
          </cell>
          <cell r="BE8" t="str">
            <v>United Kingdom</v>
          </cell>
          <cell r="BF8" t="str">
            <v>multi sector</v>
          </cell>
          <cell r="BH8">
            <v>500000000</v>
          </cell>
          <cell r="BI8">
            <v>500000000</v>
          </cell>
          <cell r="BJ8">
            <v>2013</v>
          </cell>
          <cell r="BK8">
            <v>2025</v>
          </cell>
          <cell r="BL8" t="str">
            <v>Yes</v>
          </cell>
          <cell r="BM8" t="str">
            <v>Yes</v>
          </cell>
          <cell r="BS8" t="str">
            <v>2014-06-30</v>
          </cell>
          <cell r="BU8">
            <v>0</v>
          </cell>
          <cell r="BV8">
            <v>94000000</v>
          </cell>
          <cell r="BW8">
            <v>117424800</v>
          </cell>
          <cell r="BX8">
            <v>0</v>
          </cell>
          <cell r="BY8" t="str">
            <v>No</v>
          </cell>
          <cell r="CA8">
            <v>5</v>
          </cell>
          <cell r="CC8">
            <v>326000000</v>
          </cell>
          <cell r="CD8">
            <v>394231800</v>
          </cell>
          <cell r="CF8">
            <v>0</v>
          </cell>
          <cell r="CG8" t="str">
            <v>Yes</v>
          </cell>
          <cell r="CH8" t="str">
            <v>United Kingdom</v>
          </cell>
          <cell r="CI8" t="str">
            <v>Office</v>
          </cell>
          <cell r="CJ8">
            <v>56</v>
          </cell>
          <cell r="CK8" t="str">
            <v>United Kingdom</v>
          </cell>
          <cell r="CL8" t="str">
            <v>Retail</v>
          </cell>
          <cell r="CM8">
            <v>44</v>
          </cell>
        </row>
        <row r="9">
          <cell r="A9">
            <v>18339</v>
          </cell>
          <cell r="B9" t="str">
            <v>CAERUS REAL ESTATE DEBT LUX S.C.A., SICAV-SIF, FUND IV</v>
          </cell>
          <cell r="C9" t="str">
            <v>CAERUS DEBT INVESTMENTS AG</v>
          </cell>
          <cell r="D9" t="str">
            <v>Heinrich-Heine-Allee 12</v>
          </cell>
          <cell r="E9">
            <v>40213</v>
          </cell>
          <cell r="F9" t="str">
            <v>Dusseldorf</v>
          </cell>
          <cell r="G9" t="str">
            <v>Germany</v>
          </cell>
          <cell r="H9" t="str">
            <v>+4921141613310</v>
          </cell>
          <cell r="I9" t="str">
            <v>+4921141613333</v>
          </cell>
          <cell r="J9" t="str">
            <v>http://www.caerus.ag</v>
          </cell>
          <cell r="K9" t="str">
            <v>Michael Morgenroth</v>
          </cell>
          <cell r="L9" t="str">
            <v>M.Morgenroth@CAERUS.ag</v>
          </cell>
          <cell r="M9" t="str">
            <v>+4921141613311</v>
          </cell>
          <cell r="N9" t="str">
            <v>Michael Morgenroth</v>
          </cell>
          <cell r="O9" t="str">
            <v>M.Morgenroth@CAERUS.ag</v>
          </cell>
          <cell r="P9" t="str">
            <v>+4921141613310</v>
          </cell>
          <cell r="Q9" t="str">
            <v>Luxembourg</v>
          </cell>
          <cell r="R9" t="str">
            <v>EUR</v>
          </cell>
          <cell r="S9" t="str">
            <v>Local GAAP</v>
          </cell>
          <cell r="T9" t="str">
            <v>Quarterly</v>
          </cell>
          <cell r="U9" t="str">
            <v>Quarterly</v>
          </cell>
          <cell r="X9" t="str">
            <v>PwC Lux.</v>
          </cell>
          <cell r="Y9" t="str">
            <v>SCA</v>
          </cell>
          <cell r="AA9" t="str">
            <v>Yes</v>
          </cell>
          <cell r="AB9">
            <v>0</v>
          </cell>
          <cell r="AF9" t="str">
            <v>Closed end</v>
          </cell>
          <cell r="AG9">
            <v>3</v>
          </cell>
          <cell r="AH9">
            <v>4</v>
          </cell>
          <cell r="AI9" t="str">
            <v>Net</v>
          </cell>
          <cell r="AJ9" t="str">
            <v>absolute Benchmark</v>
          </cell>
          <cell r="AN9" t="str">
            <v>Institutional</v>
          </cell>
          <cell r="AO9" t="str">
            <v>≤ 2</v>
          </cell>
          <cell r="AP9">
            <v>142850000</v>
          </cell>
          <cell r="AQ9">
            <v>6</v>
          </cell>
          <cell r="AR9" t="str">
            <v>75-80</v>
          </cell>
          <cell r="AS9">
            <v>80</v>
          </cell>
          <cell r="AT9">
            <v>5</v>
          </cell>
          <cell r="AU9">
            <v>20000000</v>
          </cell>
          <cell r="AV9" t="str">
            <v>3 years</v>
          </cell>
          <cell r="AW9" t="str">
            <v>Both</v>
          </cell>
          <cell r="AX9" t="str">
            <v>Book value(excl. amortisation)</v>
          </cell>
          <cell r="AY9" t="str">
            <v>Senior</v>
          </cell>
          <cell r="AZ9" t="str">
            <v>10 years</v>
          </cell>
          <cell r="BA9" t="str">
            <v>≥ 50%</v>
          </cell>
          <cell r="BC9" t="str">
            <v>multi country</v>
          </cell>
          <cell r="BF9" t="str">
            <v>multi sector</v>
          </cell>
          <cell r="BH9">
            <v>300000000</v>
          </cell>
          <cell r="BI9">
            <v>300000000</v>
          </cell>
          <cell r="BJ9">
            <v>2016</v>
          </cell>
          <cell r="BK9">
            <v>2026</v>
          </cell>
          <cell r="BL9" t="str">
            <v>Yes</v>
          </cell>
          <cell r="BM9" t="str">
            <v>Yes</v>
          </cell>
          <cell r="BN9" t="str">
            <v>1+1 years</v>
          </cell>
          <cell r="BS9" t="str">
            <v>2019-09-30</v>
          </cell>
          <cell r="BT9">
            <v>132052896</v>
          </cell>
          <cell r="BU9">
            <v>132052896</v>
          </cell>
          <cell r="BV9">
            <v>130430817</v>
          </cell>
          <cell r="BW9">
            <v>130430817</v>
          </cell>
          <cell r="BX9">
            <v>0</v>
          </cell>
          <cell r="BY9" t="str">
            <v>Yes</v>
          </cell>
          <cell r="CA9">
            <v>1</v>
          </cell>
          <cell r="CC9">
            <v>145000000</v>
          </cell>
          <cell r="CD9">
            <v>145000000</v>
          </cell>
          <cell r="CE9">
            <v>129658341</v>
          </cell>
          <cell r="CF9">
            <v>129658341</v>
          </cell>
          <cell r="CG9" t="str">
            <v>No</v>
          </cell>
          <cell r="CH9" t="str">
            <v>Germany</v>
          </cell>
          <cell r="CI9" t="str">
            <v>Residential</v>
          </cell>
          <cell r="CJ9">
            <v>24.43</v>
          </cell>
          <cell r="CK9" t="str">
            <v>Germany</v>
          </cell>
          <cell r="CL9" t="str">
            <v>Other</v>
          </cell>
          <cell r="CM9">
            <v>0.13</v>
          </cell>
          <cell r="CN9" t="str">
            <v>Netherlands</v>
          </cell>
          <cell r="CO9" t="str">
            <v>Office</v>
          </cell>
          <cell r="CP9">
            <v>8.17</v>
          </cell>
          <cell r="CQ9" t="str">
            <v>Netherlands</v>
          </cell>
          <cell r="CR9" t="str">
            <v>Retail</v>
          </cell>
          <cell r="CS9">
            <v>10.3</v>
          </cell>
          <cell r="CT9" t="str">
            <v>Netherlands</v>
          </cell>
          <cell r="CU9" t="str">
            <v>Residential</v>
          </cell>
          <cell r="CV9">
            <v>12.42</v>
          </cell>
          <cell r="CW9" t="str">
            <v>Netherlands</v>
          </cell>
          <cell r="CX9" t="str">
            <v>Hotel</v>
          </cell>
          <cell r="CY9">
            <v>6.58</v>
          </cell>
          <cell r="CZ9" t="str">
            <v>Netherlands</v>
          </cell>
          <cell r="DA9" t="str">
            <v>Industrial / Logistics</v>
          </cell>
          <cell r="DB9">
            <v>5.28</v>
          </cell>
          <cell r="DC9" t="str">
            <v>Austria</v>
          </cell>
          <cell r="DD9" t="str">
            <v>Residential</v>
          </cell>
          <cell r="DE9">
            <v>10.85</v>
          </cell>
          <cell r="DF9" t="str">
            <v>Austria</v>
          </cell>
          <cell r="DG9" t="str">
            <v>Hotel</v>
          </cell>
          <cell r="DH9">
            <v>12.24</v>
          </cell>
          <cell r="DI9" t="str">
            <v>Netherlands</v>
          </cell>
          <cell r="DJ9" t="str">
            <v>Other</v>
          </cell>
          <cell r="DK9">
            <v>7.79</v>
          </cell>
        </row>
        <row r="10">
          <cell r="A10">
            <v>18140</v>
          </cell>
          <cell r="B10" t="str">
            <v>CAERUS REAL ESTATE DEBT LUX. S.C.A. SIVAV-SIF, FUND V (ARCHIMEDES)</v>
          </cell>
          <cell r="C10" t="str">
            <v>CAERUS DEBT INVESTMENT AG</v>
          </cell>
          <cell r="D10" t="str">
            <v>Heinrich-Heine-Allee 12</v>
          </cell>
          <cell r="E10">
            <v>40213</v>
          </cell>
          <cell r="F10" t="str">
            <v>Dusseldorf</v>
          </cell>
          <cell r="G10" t="str">
            <v>Germany</v>
          </cell>
          <cell r="H10" t="str">
            <v>+4921141613310</v>
          </cell>
          <cell r="I10" t="str">
            <v>+4921141613333</v>
          </cell>
          <cell r="J10" t="str">
            <v>http://www.caerus.ag</v>
          </cell>
          <cell r="K10" t="str">
            <v>Michael Morgenroth</v>
          </cell>
          <cell r="L10" t="str">
            <v>m.morgenroth@caerus.ag</v>
          </cell>
          <cell r="M10" t="str">
            <v>+4921141613310</v>
          </cell>
          <cell r="N10" t="str">
            <v>Michael Morgenroth</v>
          </cell>
          <cell r="O10" t="str">
            <v>m.morgenroth@caerus.ag</v>
          </cell>
          <cell r="P10" t="str">
            <v>+4921141613310</v>
          </cell>
          <cell r="Q10" t="str">
            <v>Luxembourg</v>
          </cell>
          <cell r="R10" t="str">
            <v>EUR</v>
          </cell>
          <cell r="S10" t="str">
            <v>Local GAAP</v>
          </cell>
          <cell r="T10" t="str">
            <v>Quarterly</v>
          </cell>
          <cell r="U10" t="str">
            <v>Quarterly</v>
          </cell>
          <cell r="X10" t="str">
            <v>PWC Lux</v>
          </cell>
          <cell r="Y10" t="str">
            <v>SCA</v>
          </cell>
          <cell r="AA10" t="str">
            <v>Yes</v>
          </cell>
          <cell r="AG10">
            <v>6</v>
          </cell>
          <cell r="AH10">
            <v>8</v>
          </cell>
          <cell r="AI10" t="str">
            <v>Net</v>
          </cell>
          <cell r="AJ10" t="str">
            <v>Absolute Benchmark</v>
          </cell>
          <cell r="AN10" t="str">
            <v>Institutional</v>
          </cell>
          <cell r="AO10" t="str">
            <v>&gt; 2</v>
          </cell>
          <cell r="AP10">
            <v>157278400</v>
          </cell>
          <cell r="AQ10">
            <v>7</v>
          </cell>
          <cell r="AS10">
            <v>85</v>
          </cell>
          <cell r="AW10" t="str">
            <v>Both</v>
          </cell>
          <cell r="AX10" t="str">
            <v>Book value(excl. amortisation)</v>
          </cell>
          <cell r="AY10" t="str">
            <v>Senior</v>
          </cell>
          <cell r="AZ10" t="str">
            <v>7 years</v>
          </cell>
          <cell r="BA10" t="str">
            <v>≥ 50%</v>
          </cell>
          <cell r="BC10" t="str">
            <v>multi country</v>
          </cell>
          <cell r="BD10" t="str">
            <v>Western Europe</v>
          </cell>
          <cell r="BF10" t="str">
            <v>multi sector</v>
          </cell>
          <cell r="BH10">
            <v>300000000</v>
          </cell>
          <cell r="BI10">
            <v>300000000</v>
          </cell>
          <cell r="BJ10">
            <v>2016</v>
          </cell>
          <cell r="BM10" t="str">
            <v>Yes</v>
          </cell>
          <cell r="BN10" t="str">
            <v>1+1 years</v>
          </cell>
          <cell r="BS10" t="str">
            <v>2019-09-30</v>
          </cell>
          <cell r="BT10">
            <v>125582463</v>
          </cell>
          <cell r="BU10">
            <v>125582463</v>
          </cell>
          <cell r="BV10">
            <v>126742385</v>
          </cell>
          <cell r="BW10">
            <v>126742385</v>
          </cell>
          <cell r="BX10">
            <v>0</v>
          </cell>
          <cell r="BY10" t="str">
            <v>Yes</v>
          </cell>
          <cell r="CA10">
            <v>7</v>
          </cell>
          <cell r="CC10">
            <v>129000000</v>
          </cell>
          <cell r="CD10">
            <v>129000000</v>
          </cell>
          <cell r="CE10">
            <v>126303387</v>
          </cell>
          <cell r="CF10">
            <v>126303387</v>
          </cell>
          <cell r="CG10" t="str">
            <v>Yes</v>
          </cell>
          <cell r="CH10" t="str">
            <v>Germany</v>
          </cell>
          <cell r="CI10" t="str">
            <v>Office</v>
          </cell>
          <cell r="CJ10">
            <v>9.24</v>
          </cell>
          <cell r="CK10" t="str">
            <v>Germany</v>
          </cell>
          <cell r="CL10" t="str">
            <v>Residential</v>
          </cell>
          <cell r="CM10">
            <v>4.67</v>
          </cell>
          <cell r="CN10" t="str">
            <v>Germany</v>
          </cell>
          <cell r="CO10" t="str">
            <v>Other</v>
          </cell>
          <cell r="CP10">
            <v>5.01</v>
          </cell>
          <cell r="CQ10" t="str">
            <v>Netherlands</v>
          </cell>
          <cell r="CR10" t="str">
            <v>Office</v>
          </cell>
          <cell r="CS10">
            <v>6.88</v>
          </cell>
          <cell r="CT10" t="str">
            <v>Netherlands</v>
          </cell>
          <cell r="CU10" t="str">
            <v>Retail</v>
          </cell>
          <cell r="CV10">
            <v>19.05</v>
          </cell>
          <cell r="CW10" t="str">
            <v>Netherlands</v>
          </cell>
          <cell r="CX10" t="str">
            <v>Residential</v>
          </cell>
          <cell r="CY10">
            <v>22.95</v>
          </cell>
          <cell r="CZ10" t="str">
            <v>Netherlands</v>
          </cell>
          <cell r="DA10" t="str">
            <v>Hotel</v>
          </cell>
          <cell r="DB10">
            <v>9.82</v>
          </cell>
          <cell r="DC10" t="str">
            <v>Netherlands</v>
          </cell>
          <cell r="DD10" t="str">
            <v>Industrial / Logistics</v>
          </cell>
          <cell r="DE10">
            <v>6.91</v>
          </cell>
          <cell r="DF10" t="str">
            <v>Netherlands</v>
          </cell>
          <cell r="DG10" t="str">
            <v>Other</v>
          </cell>
          <cell r="DH10">
            <v>3.3</v>
          </cell>
          <cell r="DI10" t="str">
            <v>Austria</v>
          </cell>
          <cell r="DJ10" t="str">
            <v>Residential</v>
          </cell>
          <cell r="DK10">
            <v>5.69</v>
          </cell>
          <cell r="DL10" t="str">
            <v>Austria</v>
          </cell>
          <cell r="DM10" t="str">
            <v>Hotel</v>
          </cell>
          <cell r="DN10">
            <v>5.05</v>
          </cell>
        </row>
        <row r="11">
          <cell r="A11">
            <v>17384</v>
          </cell>
          <cell r="B11" t="str">
            <v>CAERUS REAL ESTATE DEBT LUX. S.C.A., SICAV-SIF, FUND I</v>
          </cell>
          <cell r="C11" t="str">
            <v>CAERUS DEBT INVESTMENTS AG</v>
          </cell>
          <cell r="D11" t="str">
            <v>Heinrich-Heine-Allee 12</v>
          </cell>
          <cell r="E11">
            <v>40213</v>
          </cell>
          <cell r="F11" t="str">
            <v>Dusseldorf</v>
          </cell>
          <cell r="G11" t="str">
            <v>Germany</v>
          </cell>
          <cell r="H11" t="str">
            <v>+4921141613310</v>
          </cell>
          <cell r="I11" t="str">
            <v>+4921141613333</v>
          </cell>
          <cell r="J11" t="str">
            <v>http://www.caerus.ag</v>
          </cell>
          <cell r="K11" t="str">
            <v>Michael Morgenroth</v>
          </cell>
          <cell r="L11" t="str">
            <v>m.morgenroth@caerus.ag</v>
          </cell>
          <cell r="M11" t="str">
            <v>+4921141613311</v>
          </cell>
          <cell r="N11" t="str">
            <v>Michael Morgenroth</v>
          </cell>
          <cell r="O11" t="str">
            <v>m.morgenroth@caerus.ag</v>
          </cell>
          <cell r="P11" t="str">
            <v>+4921141613310</v>
          </cell>
          <cell r="Q11" t="str">
            <v>Luxembourg</v>
          </cell>
          <cell r="R11" t="str">
            <v>EUR</v>
          </cell>
          <cell r="S11" t="str">
            <v>Local GAAP</v>
          </cell>
          <cell r="T11" t="str">
            <v>Quarterly</v>
          </cell>
          <cell r="U11" t="str">
            <v>Quarterly</v>
          </cell>
          <cell r="X11" t="str">
            <v>PwC Lux.</v>
          </cell>
          <cell r="Y11" t="str">
            <v>SCA</v>
          </cell>
          <cell r="AA11" t="str">
            <v>Yes</v>
          </cell>
          <cell r="AB11">
            <v>0</v>
          </cell>
          <cell r="AF11" t="str">
            <v>Closed end</v>
          </cell>
          <cell r="AG11">
            <v>6</v>
          </cell>
          <cell r="AH11">
            <v>8</v>
          </cell>
          <cell r="AI11" t="str">
            <v>Net</v>
          </cell>
          <cell r="AJ11" t="str">
            <v>absolute benchmark</v>
          </cell>
          <cell r="AK11" t="str">
            <v>6-7%</v>
          </cell>
          <cell r="AL11">
            <v>0</v>
          </cell>
          <cell r="AN11" t="str">
            <v>Institutional</v>
          </cell>
          <cell r="AO11" t="str">
            <v>&gt; 2</v>
          </cell>
          <cell r="AP11">
            <v>177500000</v>
          </cell>
          <cell r="AQ11">
            <v>7</v>
          </cell>
          <cell r="AR11" t="str">
            <v>75-80</v>
          </cell>
          <cell r="AS11">
            <v>85</v>
          </cell>
          <cell r="AT11" t="str">
            <v>10-15</v>
          </cell>
          <cell r="AU11" t="str">
            <v>25 million</v>
          </cell>
          <cell r="AV11" t="str">
            <v>3 years</v>
          </cell>
          <cell r="AW11" t="str">
            <v>Both</v>
          </cell>
          <cell r="AX11" t="str">
            <v>Book value(excl. amortisation)</v>
          </cell>
          <cell r="AY11" t="str">
            <v>Subordinated: Junior+Mezzanine</v>
          </cell>
          <cell r="AZ11" t="str">
            <v>7 years</v>
          </cell>
          <cell r="BA11" t="str">
            <v>≥ 50%</v>
          </cell>
          <cell r="BC11" t="str">
            <v>multi country</v>
          </cell>
          <cell r="BD11" t="str">
            <v>Western Europe</v>
          </cell>
          <cell r="BF11" t="str">
            <v>multi sector</v>
          </cell>
          <cell r="BH11">
            <v>150000000</v>
          </cell>
          <cell r="BI11">
            <v>150000000</v>
          </cell>
          <cell r="BJ11">
            <v>2014</v>
          </cell>
          <cell r="BK11">
            <v>2021</v>
          </cell>
          <cell r="BL11" t="str">
            <v>Yes</v>
          </cell>
          <cell r="BM11" t="str">
            <v>Yes</v>
          </cell>
          <cell r="BN11" t="str">
            <v>1+1 years</v>
          </cell>
          <cell r="BS11" t="str">
            <v>2019-09-30</v>
          </cell>
          <cell r="BT11">
            <v>143419010</v>
          </cell>
          <cell r="BU11">
            <v>143419010</v>
          </cell>
          <cell r="BV11">
            <v>142137228</v>
          </cell>
          <cell r="BW11">
            <v>142137228</v>
          </cell>
          <cell r="BX11">
            <v>0</v>
          </cell>
          <cell r="BY11" t="str">
            <v>Yes</v>
          </cell>
          <cell r="CA11">
            <v>10</v>
          </cell>
          <cell r="CC11">
            <v>150000000</v>
          </cell>
          <cell r="CD11">
            <v>150000000</v>
          </cell>
          <cell r="CE11">
            <v>140229585</v>
          </cell>
          <cell r="CF11">
            <v>140229585</v>
          </cell>
          <cell r="CG11" t="str">
            <v>No</v>
          </cell>
          <cell r="CH11" t="str">
            <v>Germany</v>
          </cell>
          <cell r="CI11" t="str">
            <v>Office</v>
          </cell>
          <cell r="CJ11">
            <v>2.63</v>
          </cell>
          <cell r="CK11" t="str">
            <v>Germany</v>
          </cell>
          <cell r="CL11" t="str">
            <v>Retail</v>
          </cell>
          <cell r="CM11">
            <v>1.1100000000000001</v>
          </cell>
          <cell r="CN11" t="str">
            <v>Germany</v>
          </cell>
          <cell r="CO11" t="str">
            <v>Residential</v>
          </cell>
          <cell r="CP11">
            <v>56.37</v>
          </cell>
          <cell r="CQ11" t="str">
            <v>Germany</v>
          </cell>
          <cell r="CR11" t="str">
            <v>Other</v>
          </cell>
          <cell r="CS11">
            <v>3.31</v>
          </cell>
          <cell r="CT11" t="str">
            <v>Netherlands</v>
          </cell>
          <cell r="CU11" t="str">
            <v>Office</v>
          </cell>
          <cell r="CV11">
            <v>22.2</v>
          </cell>
          <cell r="CW11" t="str">
            <v>Netherlands</v>
          </cell>
          <cell r="CX11" t="str">
            <v>Retail</v>
          </cell>
          <cell r="CY11">
            <v>10.79</v>
          </cell>
          <cell r="CZ11" t="str">
            <v>Netherlands</v>
          </cell>
          <cell r="DA11" t="str">
            <v>Residential</v>
          </cell>
          <cell r="DB11">
            <v>1.35</v>
          </cell>
        </row>
        <row r="12">
          <cell r="A12">
            <v>17675</v>
          </cell>
          <cell r="B12" t="str">
            <v>CAERUS REAL ESTATE DEBT LUX. S.C.A., SICAV-SIF, FUND II</v>
          </cell>
          <cell r="C12" t="str">
            <v>CAERUS DEBT INVESTMENTS AG</v>
          </cell>
          <cell r="D12" t="str">
            <v>Heinrich-Heine-Allee 12</v>
          </cell>
          <cell r="E12">
            <v>40213</v>
          </cell>
          <cell r="F12" t="str">
            <v>Dusseldorf</v>
          </cell>
          <cell r="G12" t="str">
            <v>Germany</v>
          </cell>
          <cell r="H12" t="str">
            <v>+4921141613310</v>
          </cell>
          <cell r="I12" t="str">
            <v>+4921141613333</v>
          </cell>
          <cell r="J12" t="str">
            <v>http://www.caerus.ag</v>
          </cell>
          <cell r="K12" t="str">
            <v>+Michael Morgenroth</v>
          </cell>
          <cell r="L12" t="str">
            <v>m.morgenroth@caerus.ag</v>
          </cell>
          <cell r="M12" t="str">
            <v>+4921141613311</v>
          </cell>
          <cell r="N12" t="str">
            <v>Michael Morgenroth</v>
          </cell>
          <cell r="O12" t="str">
            <v>m.morgenroth@caerus.ag</v>
          </cell>
          <cell r="P12" t="str">
            <v>+4921141613311</v>
          </cell>
          <cell r="Q12" t="str">
            <v>Luxembourg</v>
          </cell>
          <cell r="R12" t="str">
            <v>EUR</v>
          </cell>
          <cell r="S12" t="str">
            <v>Local GAAP</v>
          </cell>
          <cell r="T12" t="str">
            <v>Quarterly</v>
          </cell>
          <cell r="U12" t="str">
            <v>Quarterly</v>
          </cell>
          <cell r="X12" t="str">
            <v>PwC Lux.</v>
          </cell>
          <cell r="Y12" t="str">
            <v>SCA</v>
          </cell>
          <cell r="AA12" t="str">
            <v>Yes</v>
          </cell>
          <cell r="AB12">
            <v>0</v>
          </cell>
          <cell r="AF12" t="str">
            <v>Open end</v>
          </cell>
          <cell r="AG12">
            <v>4</v>
          </cell>
          <cell r="AH12">
            <v>5</v>
          </cell>
          <cell r="AI12" t="str">
            <v>Net</v>
          </cell>
          <cell r="AJ12" t="str">
            <v>absolute benchmark</v>
          </cell>
          <cell r="AN12" t="str">
            <v>Institutional</v>
          </cell>
          <cell r="AO12" t="str">
            <v>≤ 2</v>
          </cell>
          <cell r="AP12">
            <v>918554600</v>
          </cell>
          <cell r="AQ12">
            <v>13</v>
          </cell>
          <cell r="AR12" t="str">
            <v>70-75</v>
          </cell>
          <cell r="AS12">
            <v>80</v>
          </cell>
          <cell r="AT12" t="str">
            <v>5-6</v>
          </cell>
          <cell r="AU12">
            <v>40</v>
          </cell>
          <cell r="AV12" t="str">
            <v>7 years</v>
          </cell>
          <cell r="AW12" t="str">
            <v>Both</v>
          </cell>
          <cell r="AX12" t="str">
            <v>Book value(excl. amortisation)</v>
          </cell>
          <cell r="AY12" t="str">
            <v>Senior</v>
          </cell>
          <cell r="AZ12" t="str">
            <v>infinite</v>
          </cell>
          <cell r="BA12" t="str">
            <v>≥ 50%</v>
          </cell>
          <cell r="BC12" t="str">
            <v>multi country</v>
          </cell>
          <cell r="BF12" t="str">
            <v>multi sector</v>
          </cell>
          <cell r="BH12">
            <v>1047308000</v>
          </cell>
          <cell r="BI12">
            <v>1047308000</v>
          </cell>
          <cell r="BJ12">
            <v>2014</v>
          </cell>
          <cell r="BS12" t="str">
            <v>2019-09-30</v>
          </cell>
          <cell r="BT12">
            <v>652176390</v>
          </cell>
          <cell r="BU12">
            <v>652176390</v>
          </cell>
          <cell r="BV12">
            <v>642726819</v>
          </cell>
          <cell r="BW12">
            <v>642726819</v>
          </cell>
          <cell r="BX12">
            <v>0</v>
          </cell>
          <cell r="BY12" t="str">
            <v>Yes</v>
          </cell>
          <cell r="CA12">
            <v>1</v>
          </cell>
          <cell r="CC12">
            <v>1047308000</v>
          </cell>
          <cell r="CD12">
            <v>1047308000</v>
          </cell>
          <cell r="CE12">
            <v>622632354</v>
          </cell>
          <cell r="CF12">
            <v>622632354</v>
          </cell>
          <cell r="CH12" t="str">
            <v>Germany</v>
          </cell>
          <cell r="CI12" t="str">
            <v>Office</v>
          </cell>
          <cell r="CJ12">
            <v>17.02</v>
          </cell>
          <cell r="CK12" t="str">
            <v>Germany</v>
          </cell>
          <cell r="CL12" t="str">
            <v>Residential</v>
          </cell>
          <cell r="CM12">
            <v>4.47</v>
          </cell>
          <cell r="CN12" t="str">
            <v>Germany</v>
          </cell>
          <cell r="CO12" t="str">
            <v>Hotel</v>
          </cell>
          <cell r="CP12">
            <v>29.36</v>
          </cell>
          <cell r="CQ12" t="str">
            <v>Germany</v>
          </cell>
          <cell r="CR12" t="str">
            <v>Other</v>
          </cell>
          <cell r="CS12">
            <v>2.93</v>
          </cell>
          <cell r="CT12" t="str">
            <v>Netherlands</v>
          </cell>
          <cell r="CU12" t="str">
            <v>Office</v>
          </cell>
          <cell r="CV12">
            <v>3.19</v>
          </cell>
          <cell r="CW12" t="str">
            <v>Netherlands</v>
          </cell>
          <cell r="CX12" t="str">
            <v>Retail</v>
          </cell>
          <cell r="CY12">
            <v>10.68</v>
          </cell>
          <cell r="CZ12" t="str">
            <v>Netherlands</v>
          </cell>
          <cell r="DA12" t="str">
            <v>Residential</v>
          </cell>
          <cell r="DB12">
            <v>2.42</v>
          </cell>
          <cell r="DC12" t="str">
            <v>Netherlands</v>
          </cell>
          <cell r="DD12" t="str">
            <v>Hotel</v>
          </cell>
          <cell r="DE12">
            <v>5.44</v>
          </cell>
          <cell r="DF12" t="str">
            <v>Netherlands</v>
          </cell>
          <cell r="DG12" t="str">
            <v>Industrial / Logistics</v>
          </cell>
          <cell r="DH12">
            <v>1.37</v>
          </cell>
          <cell r="DI12" t="str">
            <v>Netherlands</v>
          </cell>
          <cell r="DJ12" t="str">
            <v>Other</v>
          </cell>
          <cell r="DK12">
            <v>2</v>
          </cell>
          <cell r="DL12" t="str">
            <v>Austria</v>
          </cell>
          <cell r="DM12" t="str">
            <v>Retail</v>
          </cell>
          <cell r="DN12">
            <v>10.26</v>
          </cell>
          <cell r="DO12" t="str">
            <v>Austria</v>
          </cell>
          <cell r="DP12" t="str">
            <v>Residential</v>
          </cell>
          <cell r="DQ12">
            <v>1.87</v>
          </cell>
          <cell r="DR12" t="str">
            <v>Austria</v>
          </cell>
          <cell r="DS12" t="str">
            <v>Hotel</v>
          </cell>
          <cell r="DT12">
            <v>1.65</v>
          </cell>
          <cell r="DU12" t="str">
            <v>Austria</v>
          </cell>
          <cell r="DV12" t="str">
            <v>Other</v>
          </cell>
          <cell r="DW12">
            <v>2.8</v>
          </cell>
        </row>
        <row r="13">
          <cell r="A13">
            <v>17676</v>
          </cell>
          <cell r="B13" t="str">
            <v>CAERUS REAL ESTATE DEBT LUX. S.C.A., SICAV-SIF, FUND III</v>
          </cell>
          <cell r="C13" t="str">
            <v>CAERUS DEBT INVESTMENTS AG</v>
          </cell>
          <cell r="D13" t="str">
            <v>Heinrich-Heine-Allee 12</v>
          </cell>
          <cell r="E13">
            <v>40213</v>
          </cell>
          <cell r="F13" t="str">
            <v>Dusseldorf</v>
          </cell>
          <cell r="G13" t="str">
            <v>Germany</v>
          </cell>
          <cell r="H13" t="str">
            <v>+4921141613310</v>
          </cell>
          <cell r="I13" t="str">
            <v>+4921141613333</v>
          </cell>
          <cell r="J13" t="str">
            <v>http://www.caerus.ag</v>
          </cell>
          <cell r="K13" t="str">
            <v>Michael Morgenroth</v>
          </cell>
          <cell r="L13" t="str">
            <v>m.morgenroth@caerus.ag</v>
          </cell>
          <cell r="M13" t="str">
            <v>+4921141613311</v>
          </cell>
          <cell r="N13" t="str">
            <v>Michael Morgenroth</v>
          </cell>
          <cell r="O13" t="str">
            <v>m.morgenroth@caerus.ag</v>
          </cell>
          <cell r="P13" t="str">
            <v>+4921141613310</v>
          </cell>
          <cell r="Q13" t="str">
            <v>Luxembourg</v>
          </cell>
          <cell r="R13" t="str">
            <v>EUR</v>
          </cell>
          <cell r="S13" t="str">
            <v>Local GAAP</v>
          </cell>
          <cell r="T13" t="str">
            <v>Quarterly</v>
          </cell>
          <cell r="U13" t="str">
            <v>Quarterly</v>
          </cell>
          <cell r="X13" t="str">
            <v>PwC Lux.</v>
          </cell>
          <cell r="Y13" t="str">
            <v>SCA</v>
          </cell>
          <cell r="AA13" t="str">
            <v>Yes</v>
          </cell>
          <cell r="AB13">
            <v>0</v>
          </cell>
          <cell r="AF13" t="str">
            <v>Closed end</v>
          </cell>
          <cell r="AG13">
            <v>4</v>
          </cell>
          <cell r="AH13">
            <v>5</v>
          </cell>
          <cell r="AI13" t="str">
            <v>Net</v>
          </cell>
          <cell r="AJ13" t="str">
            <v>absolute benchmark</v>
          </cell>
          <cell r="AN13" t="str">
            <v>Institutional</v>
          </cell>
          <cell r="AO13" t="str">
            <v>≤ 2</v>
          </cell>
          <cell r="AP13">
            <v>289400000</v>
          </cell>
          <cell r="AQ13">
            <v>7</v>
          </cell>
          <cell r="AR13" t="str">
            <v>70-75</v>
          </cell>
          <cell r="AS13">
            <v>80</v>
          </cell>
          <cell r="AT13" t="str">
            <v>3-5</v>
          </cell>
          <cell r="AU13">
            <v>40</v>
          </cell>
          <cell r="AV13" t="str">
            <v>3 years</v>
          </cell>
          <cell r="AW13" t="str">
            <v>Both</v>
          </cell>
          <cell r="AX13" t="str">
            <v>Book value(excl. amortisation)</v>
          </cell>
          <cell r="AY13" t="str">
            <v>Mixed: Senior+Subordinated</v>
          </cell>
          <cell r="AZ13" t="str">
            <v>10 years</v>
          </cell>
          <cell r="BA13" t="str">
            <v>≥ 50%</v>
          </cell>
          <cell r="BC13" t="str">
            <v>multi country</v>
          </cell>
          <cell r="BF13" t="str">
            <v>multi sector</v>
          </cell>
          <cell r="BH13">
            <v>300000000</v>
          </cell>
          <cell r="BI13">
            <v>300000000</v>
          </cell>
          <cell r="BJ13">
            <v>2014</v>
          </cell>
          <cell r="BM13" t="str">
            <v>Yes</v>
          </cell>
          <cell r="BN13" t="str">
            <v>1+1 years</v>
          </cell>
          <cell r="BS13" t="str">
            <v>2019-09-30</v>
          </cell>
          <cell r="BT13">
            <v>224511180</v>
          </cell>
          <cell r="BU13">
            <v>224511180</v>
          </cell>
          <cell r="BV13">
            <v>221268317</v>
          </cell>
          <cell r="BW13">
            <v>221268317</v>
          </cell>
          <cell r="BX13">
            <v>0</v>
          </cell>
          <cell r="BY13" t="str">
            <v>Yes</v>
          </cell>
          <cell r="CA13">
            <v>4</v>
          </cell>
          <cell r="CC13">
            <v>300000000</v>
          </cell>
          <cell r="CD13">
            <v>300000000</v>
          </cell>
          <cell r="CE13">
            <v>221089021</v>
          </cell>
          <cell r="CF13">
            <v>221089021</v>
          </cell>
          <cell r="CG13" t="str">
            <v>No</v>
          </cell>
          <cell r="CH13" t="str">
            <v>Germany</v>
          </cell>
          <cell r="CI13" t="str">
            <v>Office</v>
          </cell>
          <cell r="CJ13">
            <v>19.59</v>
          </cell>
          <cell r="CK13" t="str">
            <v>Germany</v>
          </cell>
          <cell r="CL13" t="str">
            <v>Residential</v>
          </cell>
          <cell r="CM13">
            <v>21.69</v>
          </cell>
          <cell r="CN13" t="str">
            <v>Germany</v>
          </cell>
          <cell r="CO13" t="str">
            <v>Hotel</v>
          </cell>
          <cell r="CP13">
            <v>27.68</v>
          </cell>
          <cell r="CQ13" t="str">
            <v>Germany</v>
          </cell>
          <cell r="CR13" t="str">
            <v>Other</v>
          </cell>
          <cell r="CS13">
            <v>3.84</v>
          </cell>
          <cell r="CT13" t="str">
            <v>Netherlands</v>
          </cell>
          <cell r="CU13" t="str">
            <v>Retail</v>
          </cell>
          <cell r="CV13">
            <v>11.77</v>
          </cell>
          <cell r="CW13" t="str">
            <v>Austria</v>
          </cell>
          <cell r="CX13" t="str">
            <v>Retail</v>
          </cell>
          <cell r="CY13">
            <v>10.93</v>
          </cell>
          <cell r="CZ13" t="str">
            <v>Austria</v>
          </cell>
          <cell r="DA13" t="str">
            <v>Other</v>
          </cell>
          <cell r="DB13">
            <v>2.97</v>
          </cell>
        </row>
        <row r="14">
          <cell r="A14">
            <v>19335</v>
          </cell>
          <cell r="B14" t="str">
            <v>CAERUS REAL ESTATE DEBT LUX. S.C.A., SICAV-SIF, FUND VI</v>
          </cell>
          <cell r="C14" t="str">
            <v>CAERUS DEBT INVESTMENTS AG</v>
          </cell>
          <cell r="D14" t="str">
            <v>Heinrich-Heine-Allee 12</v>
          </cell>
          <cell r="E14">
            <v>40213</v>
          </cell>
          <cell r="F14" t="str">
            <v>Dusseldorf</v>
          </cell>
          <cell r="G14" t="str">
            <v>Germany</v>
          </cell>
          <cell r="H14" t="str">
            <v>+4921141613310</v>
          </cell>
          <cell r="I14" t="str">
            <v>+4921141613333</v>
          </cell>
          <cell r="J14" t="str">
            <v>http://www.caerus.ag</v>
          </cell>
          <cell r="K14" t="str">
            <v>Michael Morgenroth</v>
          </cell>
          <cell r="L14" t="str">
            <v>m.morgenroth@caerus.ag</v>
          </cell>
          <cell r="M14" t="str">
            <v>+4921141613311</v>
          </cell>
          <cell r="N14" t="str">
            <v>Michael Morgenroth</v>
          </cell>
          <cell r="O14" t="str">
            <v>m.morgenroth@caerus.ag</v>
          </cell>
          <cell r="P14" t="str">
            <v>+4921141613310</v>
          </cell>
          <cell r="Q14" t="str">
            <v>Luxembourg</v>
          </cell>
          <cell r="R14" t="str">
            <v>EUR</v>
          </cell>
          <cell r="S14" t="str">
            <v>Local GAAP</v>
          </cell>
          <cell r="T14" t="str">
            <v>Quarterly</v>
          </cell>
          <cell r="U14" t="str">
            <v>Quarterly</v>
          </cell>
          <cell r="X14" t="str">
            <v>PWC Lux</v>
          </cell>
          <cell r="Y14" t="str">
            <v>SCA</v>
          </cell>
          <cell r="AA14" t="str">
            <v>Yes</v>
          </cell>
          <cell r="AB14">
            <v>0</v>
          </cell>
          <cell r="AF14" t="str">
            <v>Closed end</v>
          </cell>
          <cell r="AG14">
            <v>3</v>
          </cell>
          <cell r="AH14">
            <v>6</v>
          </cell>
          <cell r="AI14" t="str">
            <v>Gross</v>
          </cell>
          <cell r="AJ14" t="str">
            <v>absolute benchmark</v>
          </cell>
          <cell r="AN14" t="str">
            <v>Institutional</v>
          </cell>
          <cell r="AO14" t="str">
            <v>≤ 2</v>
          </cell>
          <cell r="AP14">
            <v>18000000</v>
          </cell>
          <cell r="AQ14">
            <v>1</v>
          </cell>
          <cell r="AR14" t="str">
            <v>75-80</v>
          </cell>
          <cell r="AS14">
            <v>80</v>
          </cell>
          <cell r="AT14">
            <v>6</v>
          </cell>
          <cell r="AU14">
            <v>25000000</v>
          </cell>
          <cell r="AV14" t="str">
            <v>7 years</v>
          </cell>
          <cell r="AW14" t="str">
            <v>Both</v>
          </cell>
          <cell r="AX14" t="str">
            <v>Book value(excl. amortisation)</v>
          </cell>
          <cell r="AY14" t="str">
            <v>Mixed: Senior+Subordinated+Preferred equity</v>
          </cell>
          <cell r="AZ14" t="str">
            <v>infinite</v>
          </cell>
          <cell r="BA14" t="str">
            <v>≥ 50%</v>
          </cell>
          <cell r="BC14" t="str">
            <v>multi country</v>
          </cell>
          <cell r="BF14" t="str">
            <v>multi sector</v>
          </cell>
          <cell r="BH14">
            <v>151000000</v>
          </cell>
          <cell r="BI14">
            <v>151000000</v>
          </cell>
          <cell r="BJ14">
            <v>2019</v>
          </cell>
          <cell r="BL14" t="str">
            <v>No</v>
          </cell>
          <cell r="BM14" t="str">
            <v>No</v>
          </cell>
          <cell r="BS14" t="str">
            <v>2019-09-30</v>
          </cell>
          <cell r="BT14">
            <v>18310498</v>
          </cell>
          <cell r="BU14">
            <v>18310498</v>
          </cell>
          <cell r="BV14">
            <v>18093740</v>
          </cell>
          <cell r="BW14">
            <v>18093740</v>
          </cell>
          <cell r="BX14">
            <v>0</v>
          </cell>
          <cell r="BY14" t="str">
            <v>Yes</v>
          </cell>
          <cell r="CA14">
            <v>2</v>
          </cell>
          <cell r="CC14">
            <v>151000000</v>
          </cell>
          <cell r="CD14">
            <v>151000000</v>
          </cell>
          <cell r="CE14">
            <v>18000000</v>
          </cell>
          <cell r="CF14">
            <v>18000000</v>
          </cell>
          <cell r="CG14" t="str">
            <v>No</v>
          </cell>
          <cell r="CH14" t="str">
            <v>Netherlands</v>
          </cell>
          <cell r="CI14" t="str">
            <v>Office</v>
          </cell>
          <cell r="CJ14">
            <v>25.85</v>
          </cell>
          <cell r="CK14" t="str">
            <v>Netherlands</v>
          </cell>
          <cell r="CL14" t="str">
            <v>Retail</v>
          </cell>
          <cell r="CM14">
            <v>71.569999999999993</v>
          </cell>
          <cell r="CN14" t="str">
            <v>Netherlands</v>
          </cell>
          <cell r="CO14" t="str">
            <v>Other</v>
          </cell>
          <cell r="CP14">
            <v>0.88</v>
          </cell>
        </row>
        <row r="15">
          <cell r="A15">
            <v>19336</v>
          </cell>
          <cell r="B15" t="str">
            <v>CAERUS REAL ESTATE DEBT LUX. S.C.A., SICAV-SIF, FUND VII</v>
          </cell>
          <cell r="C15" t="str">
            <v>CAERUS DEBT INVESTMENTS AG</v>
          </cell>
          <cell r="D15" t="str">
            <v>Heinrich-Heine-Allee 12</v>
          </cell>
          <cell r="E15">
            <v>40213</v>
          </cell>
          <cell r="F15" t="str">
            <v>Dusseldorf</v>
          </cell>
          <cell r="G15" t="str">
            <v>Germany</v>
          </cell>
          <cell r="H15" t="str">
            <v>+4921141613310</v>
          </cell>
          <cell r="I15" t="str">
            <v>+4921141613333</v>
          </cell>
          <cell r="J15" t="str">
            <v>http://www.caerus.ag</v>
          </cell>
          <cell r="K15" t="str">
            <v>Michael Morgenroth</v>
          </cell>
          <cell r="L15" t="str">
            <v>m.morgenroth@caerus.ag</v>
          </cell>
          <cell r="M15" t="str">
            <v>+4921141613311</v>
          </cell>
          <cell r="N15" t="str">
            <v>Michael Morgenroth</v>
          </cell>
          <cell r="O15" t="str">
            <v>m.morgenroth@caerus.ag</v>
          </cell>
          <cell r="P15" t="str">
            <v>+4921141613310</v>
          </cell>
          <cell r="Q15" t="str">
            <v>Luxembourg</v>
          </cell>
          <cell r="R15" t="str">
            <v>EUR</v>
          </cell>
          <cell r="S15" t="str">
            <v>Local GAAP</v>
          </cell>
          <cell r="T15" t="str">
            <v>Quarterly</v>
          </cell>
          <cell r="U15" t="str">
            <v>Quarterly</v>
          </cell>
          <cell r="X15" t="str">
            <v>PWC Lux</v>
          </cell>
          <cell r="Y15" t="str">
            <v>SCA</v>
          </cell>
          <cell r="AA15" t="str">
            <v>Yes</v>
          </cell>
          <cell r="AB15">
            <v>0</v>
          </cell>
          <cell r="AF15" t="str">
            <v>Closed end</v>
          </cell>
          <cell r="AG15">
            <v>3</v>
          </cell>
          <cell r="AH15">
            <v>6</v>
          </cell>
          <cell r="AI15" t="str">
            <v>Gross</v>
          </cell>
          <cell r="AJ15" t="str">
            <v>absolute benchmark</v>
          </cell>
          <cell r="AN15" t="str">
            <v>Institutional</v>
          </cell>
          <cell r="AO15" t="str">
            <v>≤ 2</v>
          </cell>
          <cell r="AR15" t="str">
            <v>75-80</v>
          </cell>
          <cell r="AS15">
            <v>80</v>
          </cell>
          <cell r="AT15">
            <v>8</v>
          </cell>
          <cell r="AU15">
            <v>21875000</v>
          </cell>
          <cell r="AV15" t="str">
            <v>3 years</v>
          </cell>
          <cell r="AW15" t="str">
            <v>Both</v>
          </cell>
          <cell r="AX15" t="str">
            <v>Book value(excl. amortisation)</v>
          </cell>
          <cell r="AY15" t="str">
            <v>Mixed: Senior+Subordinated+Preferred equity</v>
          </cell>
          <cell r="AZ15" t="str">
            <v>10 years</v>
          </cell>
          <cell r="BA15" t="str">
            <v>≥ 50%</v>
          </cell>
          <cell r="BC15" t="str">
            <v>multi country</v>
          </cell>
          <cell r="BF15" t="str">
            <v>multi sector</v>
          </cell>
          <cell r="BH15">
            <v>175000000</v>
          </cell>
          <cell r="BI15">
            <v>175000000</v>
          </cell>
          <cell r="BJ15">
            <v>2019</v>
          </cell>
          <cell r="BK15">
            <v>2029</v>
          </cell>
          <cell r="BL15" t="str">
            <v>Yes</v>
          </cell>
          <cell r="BM15" t="str">
            <v>Yes</v>
          </cell>
          <cell r="BN15" t="str">
            <v>1+1 years</v>
          </cell>
        </row>
        <row r="16">
          <cell r="A16">
            <v>18131</v>
          </cell>
          <cell r="B16" t="str">
            <v>CAIRN EUROPEAN COMMERCIAL MORTGAGE FUND</v>
          </cell>
          <cell r="C16" t="str">
            <v>CAIRN CAPITAL</v>
          </cell>
          <cell r="D16" t="str">
            <v>27 Knightsbridge</v>
          </cell>
          <cell r="E16" t="str">
            <v>SW1X 7LY</v>
          </cell>
          <cell r="F16" t="str">
            <v>London</v>
          </cell>
          <cell r="G16" t="str">
            <v>United Kingdom</v>
          </cell>
          <cell r="H16" t="str">
            <v>020 7259 4800</v>
          </cell>
          <cell r="I16" t="str">
            <v>020 7259 4899</v>
          </cell>
          <cell r="J16" t="str">
            <v>http://www.cairncapital.com/</v>
          </cell>
          <cell r="K16" t="str">
            <v>Peter Hansell</v>
          </cell>
          <cell r="L16" t="str">
            <v>peter.hansell@cairncapital.com</v>
          </cell>
          <cell r="M16" t="str">
            <v>020 7259 4803</v>
          </cell>
          <cell r="N16" t="str">
            <v>Sophie Lee</v>
          </cell>
          <cell r="O16" t="str">
            <v>investor.relations@cairncapital.com</v>
          </cell>
          <cell r="P16" t="str">
            <v>020 7259 4861</v>
          </cell>
          <cell r="Q16" t="str">
            <v>Ireland</v>
          </cell>
          <cell r="R16" t="str">
            <v>EUR</v>
          </cell>
          <cell r="T16" t="str">
            <v>Monthly</v>
          </cell>
          <cell r="U16" t="str">
            <v>Quarterly</v>
          </cell>
          <cell r="X16" t="str">
            <v>PricewaterhouseCoopers LLP</v>
          </cell>
          <cell r="Y16" t="str">
            <v>Open ended sub-fund of Cairn Global Funds Plc, an umbrella investment company with segregated liability between sub-funds</v>
          </cell>
          <cell r="AA16" t="str">
            <v>Yes</v>
          </cell>
          <cell r="AF16" t="str">
            <v>Open end</v>
          </cell>
          <cell r="AG16">
            <v>7</v>
          </cell>
          <cell r="AH16">
            <v>8</v>
          </cell>
          <cell r="AI16" t="str">
            <v>Net</v>
          </cell>
          <cell r="AJ16" t="str">
            <v>n/a</v>
          </cell>
          <cell r="AN16" t="str">
            <v>Institutional</v>
          </cell>
          <cell r="AO16" t="str">
            <v>&gt; 2</v>
          </cell>
          <cell r="AT16" t="str">
            <v>20-25</v>
          </cell>
          <cell r="AW16" t="str">
            <v>Both</v>
          </cell>
          <cell r="AY16" t="str">
            <v>Mixed: Senior+Subordinated</v>
          </cell>
          <cell r="BA16" t="str">
            <v>≥ 50%</v>
          </cell>
          <cell r="BC16" t="str">
            <v>multi country</v>
          </cell>
          <cell r="BF16" t="str">
            <v>multi sector</v>
          </cell>
          <cell r="BH16">
            <v>500000000</v>
          </cell>
          <cell r="BJ16">
            <v>2016</v>
          </cell>
        </row>
        <row r="17">
          <cell r="A17">
            <v>18376</v>
          </cell>
          <cell r="B17" t="str">
            <v>CHENAVARI EUROPEAN PRIVATE CREDIT OPPORTUNITIES FUND SCSP SICAV - RAIF</v>
          </cell>
          <cell r="C17" t="str">
            <v>CHENAVARI INVESTMENT MANAGERS (LUXEMBOURG) S.à R.L.</v>
          </cell>
          <cell r="D17" t="str">
            <v>2 Boulevard de la Foire, 1er étage</v>
          </cell>
          <cell r="E17" t="str">
            <v>L-1528</v>
          </cell>
          <cell r="F17" t="str">
            <v>Luxembourg</v>
          </cell>
          <cell r="G17" t="str">
            <v>Luxembourg</v>
          </cell>
          <cell r="J17" t="str">
            <v>http://www.chenavari.com</v>
          </cell>
          <cell r="K17" t="str">
            <v>Loic Fery</v>
          </cell>
          <cell r="N17" t="str">
            <v>Kirstie Sumarno</v>
          </cell>
          <cell r="O17" t="str">
            <v>kirstie.sumarno@chenavari.com</v>
          </cell>
          <cell r="P17" t="str">
            <v>+442072593600</v>
          </cell>
          <cell r="Q17" t="str">
            <v>Luxembourg</v>
          </cell>
          <cell r="R17" t="str">
            <v>EUR</v>
          </cell>
          <cell r="T17" t="str">
            <v>Quarterly</v>
          </cell>
          <cell r="U17" t="str">
            <v>Quarterly</v>
          </cell>
          <cell r="X17" t="str">
            <v>Deloitte</v>
          </cell>
          <cell r="Y17" t="str">
            <v>SICAV</v>
          </cell>
          <cell r="AF17" t="str">
            <v>Closed end</v>
          </cell>
          <cell r="AG17">
            <v>12</v>
          </cell>
          <cell r="AI17" t="str">
            <v>Net</v>
          </cell>
          <cell r="AN17" t="str">
            <v>Institutional</v>
          </cell>
          <cell r="AO17" t="str">
            <v>&gt; 2</v>
          </cell>
          <cell r="AW17" t="str">
            <v>Both</v>
          </cell>
          <cell r="AY17" t="str">
            <v>Senior</v>
          </cell>
          <cell r="BA17" t="str">
            <v>≥ 50%</v>
          </cell>
          <cell r="BB17" t="str">
            <v>Europe</v>
          </cell>
          <cell r="BC17" t="str">
            <v>multi country</v>
          </cell>
          <cell r="BD17" t="str">
            <v>Western Europe</v>
          </cell>
          <cell r="BF17" t="str">
            <v>multi sector</v>
          </cell>
          <cell r="BH17">
            <v>750000000</v>
          </cell>
          <cell r="BI17">
            <v>750000000</v>
          </cell>
          <cell r="BJ17">
            <v>2017</v>
          </cell>
          <cell r="BK17">
            <v>2024</v>
          </cell>
          <cell r="BL17" t="str">
            <v>Yes</v>
          </cell>
          <cell r="BM17" t="str">
            <v>Yes</v>
          </cell>
          <cell r="BN17" t="str">
            <v>1 year fixed</v>
          </cell>
        </row>
        <row r="18">
          <cell r="A18">
            <v>17674</v>
          </cell>
          <cell r="B18" t="str">
            <v>CHENAVARI REAL ESTATE FUND II</v>
          </cell>
          <cell r="C18" t="str">
            <v>CHENAVARI CREDIT PARTNERS LLP</v>
          </cell>
          <cell r="D18" t="str">
            <v>80 Victoria Street</v>
          </cell>
          <cell r="E18" t="str">
            <v>SW1E 5JL</v>
          </cell>
          <cell r="F18" t="str">
            <v>London</v>
          </cell>
          <cell r="G18" t="str">
            <v>United Kingdom</v>
          </cell>
          <cell r="H18" t="str">
            <v>+442072593600</v>
          </cell>
          <cell r="J18" t="str">
            <v>http://www.chenavari.com/</v>
          </cell>
          <cell r="K18" t="str">
            <v>Andrew Haines</v>
          </cell>
          <cell r="L18" t="str">
            <v>andrew.haines@chenavari.com</v>
          </cell>
          <cell r="M18" t="str">
            <v>+44207593600</v>
          </cell>
          <cell r="N18" t="str">
            <v>Sophie Porter</v>
          </cell>
          <cell r="O18" t="str">
            <v>sophie.porter@chenavari.com</v>
          </cell>
          <cell r="P18" t="str">
            <v>+442072453600</v>
          </cell>
          <cell r="Q18" t="str">
            <v>Luxembourg</v>
          </cell>
          <cell r="R18" t="str">
            <v>GBP</v>
          </cell>
          <cell r="S18" t="str">
            <v>IFRS</v>
          </cell>
          <cell r="T18" t="str">
            <v>Quarterly</v>
          </cell>
          <cell r="U18" t="str">
            <v>Quarterly</v>
          </cell>
          <cell r="X18" t="str">
            <v>Deloitte</v>
          </cell>
          <cell r="Y18" t="str">
            <v>Limited Partnership</v>
          </cell>
          <cell r="AA18" t="str">
            <v>Yes</v>
          </cell>
          <cell r="AB18">
            <v>3</v>
          </cell>
          <cell r="AF18" t="str">
            <v>Closed end</v>
          </cell>
          <cell r="AG18">
            <v>12</v>
          </cell>
          <cell r="AH18">
            <v>15</v>
          </cell>
          <cell r="AI18" t="str">
            <v>Net</v>
          </cell>
          <cell r="AJ18" t="str">
            <v>n/a</v>
          </cell>
          <cell r="AN18" t="str">
            <v>Institutional</v>
          </cell>
          <cell r="AO18" t="str">
            <v>&gt; 2</v>
          </cell>
          <cell r="AP18">
            <v>62339173</v>
          </cell>
          <cell r="AQ18">
            <v>14</v>
          </cell>
          <cell r="AR18" t="str">
            <v>65-90%</v>
          </cell>
          <cell r="AU18">
            <v>15</v>
          </cell>
          <cell r="AV18">
            <v>2</v>
          </cell>
          <cell r="AW18" t="str">
            <v>Direct lending</v>
          </cell>
          <cell r="AY18" t="str">
            <v>Mixed: Senior+Subordinated+Preferred equity</v>
          </cell>
          <cell r="AZ18" t="str">
            <v>7 plus 1+1 extensions</v>
          </cell>
          <cell r="BA18" t="str">
            <v>≥ 50%</v>
          </cell>
          <cell r="BB18" t="str">
            <v>Europe</v>
          </cell>
          <cell r="BC18" t="str">
            <v>multi country</v>
          </cell>
          <cell r="BD18" t="str">
            <v>Western Europe</v>
          </cell>
          <cell r="BF18" t="str">
            <v>multi sector</v>
          </cell>
          <cell r="BJ18">
            <v>2015</v>
          </cell>
          <cell r="BL18" t="str">
            <v>Yes</v>
          </cell>
          <cell r="BM18" t="str">
            <v>Yes</v>
          </cell>
          <cell r="BN18" t="str">
            <v>1+1 years</v>
          </cell>
          <cell r="BS18" t="str">
            <v>2017-06-30</v>
          </cell>
          <cell r="BU18">
            <v>0</v>
          </cell>
          <cell r="BV18">
            <v>51405677</v>
          </cell>
          <cell r="BW18">
            <v>58438120.407651238</v>
          </cell>
          <cell r="BX18">
            <v>0</v>
          </cell>
          <cell r="BY18" t="str">
            <v>Yes</v>
          </cell>
          <cell r="CA18">
            <v>4</v>
          </cell>
          <cell r="CC18">
            <v>48000000</v>
          </cell>
          <cell r="CD18">
            <v>56117378.851199999</v>
          </cell>
          <cell r="CE18">
            <v>46946078</v>
          </cell>
          <cell r="CF18">
            <v>54885225.931333028</v>
          </cell>
          <cell r="CG18" t="str">
            <v>No</v>
          </cell>
          <cell r="CH18" t="str">
            <v>United Kingdom</v>
          </cell>
          <cell r="CI18" t="str">
            <v>Office</v>
          </cell>
          <cell r="CJ18">
            <v>12</v>
          </cell>
          <cell r="CK18" t="str">
            <v>United Kingdom</v>
          </cell>
          <cell r="CL18" t="str">
            <v>Industrial / Logistics</v>
          </cell>
          <cell r="CM18">
            <v>17</v>
          </cell>
          <cell r="CN18" t="str">
            <v>United Kingdom</v>
          </cell>
          <cell r="CO18" t="str">
            <v>Office</v>
          </cell>
          <cell r="CP18">
            <v>12</v>
          </cell>
          <cell r="CQ18" t="str">
            <v>United Kingdom</v>
          </cell>
          <cell r="CR18" t="str">
            <v>Office</v>
          </cell>
          <cell r="CS18">
            <v>6</v>
          </cell>
          <cell r="CT18" t="str">
            <v>Germany</v>
          </cell>
          <cell r="CU18" t="str">
            <v>Student Housing</v>
          </cell>
          <cell r="CV18">
            <v>9</v>
          </cell>
          <cell r="CW18" t="str">
            <v>United Kingdom</v>
          </cell>
          <cell r="CX18" t="str">
            <v>Retail</v>
          </cell>
          <cell r="CY18">
            <v>17</v>
          </cell>
          <cell r="CZ18" t="str">
            <v>United Kingdom</v>
          </cell>
          <cell r="DA18" t="str">
            <v>Office</v>
          </cell>
          <cell r="DB18">
            <v>2</v>
          </cell>
          <cell r="DC18" t="str">
            <v>United Kingdom</v>
          </cell>
          <cell r="DD18" t="str">
            <v>Office</v>
          </cell>
          <cell r="DE18">
            <v>2</v>
          </cell>
          <cell r="DF18" t="str">
            <v>United Kingdom</v>
          </cell>
          <cell r="DG18" t="str">
            <v>Office</v>
          </cell>
          <cell r="DH18">
            <v>6</v>
          </cell>
          <cell r="DI18" t="str">
            <v>Spain</v>
          </cell>
          <cell r="DJ18" t="str">
            <v>Retail</v>
          </cell>
          <cell r="DK18">
            <v>4</v>
          </cell>
          <cell r="DL18" t="str">
            <v>United Kingdom</v>
          </cell>
          <cell r="DM18" t="str">
            <v>Retail</v>
          </cell>
          <cell r="DN18">
            <v>5</v>
          </cell>
          <cell r="DO18" t="str">
            <v>United Kingdom</v>
          </cell>
          <cell r="DP18" t="str">
            <v>Retail</v>
          </cell>
          <cell r="DQ18">
            <v>2</v>
          </cell>
          <cell r="DR18" t="str">
            <v>Spain</v>
          </cell>
          <cell r="DS18" t="str">
            <v>Retail</v>
          </cell>
          <cell r="DT18">
            <v>2</v>
          </cell>
          <cell r="DU18" t="str">
            <v>United Kingdom</v>
          </cell>
          <cell r="DV18" t="str">
            <v>Retail</v>
          </cell>
          <cell r="DW18">
            <v>4</v>
          </cell>
        </row>
        <row r="19">
          <cell r="A19">
            <v>18417</v>
          </cell>
          <cell r="B19" t="str">
            <v>COMMERCIAL REAL ESTATE DEBT FUND II LP</v>
          </cell>
          <cell r="C19" t="str">
            <v>OCTOPUS AIF MANAGEMENT LIMITED</v>
          </cell>
          <cell r="D19" t="str">
            <v>6th Floor 33 Holborn</v>
          </cell>
          <cell r="E19" t="str">
            <v>EC1N 2HT</v>
          </cell>
          <cell r="F19" t="str">
            <v>London</v>
          </cell>
          <cell r="G19" t="str">
            <v>United Kingdom</v>
          </cell>
          <cell r="H19" t="str">
            <v>+12034325972</v>
          </cell>
          <cell r="J19" t="str">
            <v>https://octopusinvestments.com/</v>
          </cell>
          <cell r="K19" t="str">
            <v>Ludo Mackenzie</v>
          </cell>
          <cell r="L19" t="str">
            <v>ludo.mackenzie@octopusinvestments.com</v>
          </cell>
          <cell r="M19" t="str">
            <v>+442071907794</v>
          </cell>
          <cell r="N19" t="str">
            <v>Mark Williams</v>
          </cell>
          <cell r="O19" t="str">
            <v>investorrelations@octopusinvestments.com</v>
          </cell>
          <cell r="Q19" t="str">
            <v>Luxembourg</v>
          </cell>
          <cell r="R19" t="str">
            <v>GBP</v>
          </cell>
          <cell r="S19" t="str">
            <v>Local GAAP</v>
          </cell>
          <cell r="T19" t="str">
            <v>Quarterly</v>
          </cell>
          <cell r="U19" t="str">
            <v>Quarterly</v>
          </cell>
          <cell r="X19" t="str">
            <v xml:space="preserve">Pricewaterhouse Coopers LLP </v>
          </cell>
          <cell r="Y19" t="str">
            <v>Investment Fund</v>
          </cell>
          <cell r="Z19" t="str">
            <v>No</v>
          </cell>
          <cell r="AA19" t="str">
            <v>No</v>
          </cell>
          <cell r="AB19">
            <v>1</v>
          </cell>
          <cell r="AC19" t="str">
            <v>Non-Listed Fund</v>
          </cell>
          <cell r="AD19" t="str">
            <v>Core</v>
          </cell>
          <cell r="AE19" t="str">
            <v>finite</v>
          </cell>
          <cell r="AF19" t="str">
            <v>Closed end</v>
          </cell>
          <cell r="AG19">
            <v>11</v>
          </cell>
          <cell r="AH19">
            <v>12</v>
          </cell>
          <cell r="AI19" t="str">
            <v>Gross</v>
          </cell>
          <cell r="AN19" t="str">
            <v>Institutional</v>
          </cell>
          <cell r="AO19" t="str">
            <v>&gt; 2</v>
          </cell>
          <cell r="AR19" t="str">
            <v>65%</v>
          </cell>
          <cell r="AS19">
            <v>70</v>
          </cell>
          <cell r="AT19">
            <v>120</v>
          </cell>
          <cell r="AU19">
            <v>5000000</v>
          </cell>
          <cell r="AV19" t="str">
            <v>3 years</v>
          </cell>
          <cell r="AW19" t="str">
            <v>Direct lending</v>
          </cell>
          <cell r="AX19" t="str">
            <v>Book value(excl. amortisation)</v>
          </cell>
          <cell r="AY19" t="str">
            <v>Senior</v>
          </cell>
          <cell r="AZ19" t="str">
            <v>5 years</v>
          </cell>
          <cell r="BA19" t="str">
            <v>≥ 50%</v>
          </cell>
          <cell r="BB19" t="str">
            <v>Europe</v>
          </cell>
          <cell r="BC19" t="str">
            <v>single country</v>
          </cell>
          <cell r="BE19" t="str">
            <v>United Kingdom</v>
          </cell>
          <cell r="BF19" t="str">
            <v>multi sector</v>
          </cell>
          <cell r="BH19">
            <v>231000000</v>
          </cell>
          <cell r="BJ19">
            <v>2017</v>
          </cell>
          <cell r="BK19">
            <v>2022</v>
          </cell>
          <cell r="BL19" t="str">
            <v>Yes</v>
          </cell>
          <cell r="BM19" t="str">
            <v>Yes</v>
          </cell>
          <cell r="BN19" t="str">
            <v>2 years fixed</v>
          </cell>
        </row>
        <row r="20">
          <cell r="A20">
            <v>18415</v>
          </cell>
          <cell r="B20" t="str">
            <v>COMMERCIAL REAL ESTATE DEBT FUND LP</v>
          </cell>
          <cell r="C20" t="str">
            <v>OCTOPUS AIF MANAGEMENT LIMITED</v>
          </cell>
          <cell r="D20" t="str">
            <v>6th Floor 33 Holborn</v>
          </cell>
          <cell r="E20" t="str">
            <v>EC1N 2HT</v>
          </cell>
          <cell r="F20" t="str">
            <v>London</v>
          </cell>
          <cell r="G20" t="str">
            <v>United Kingdom</v>
          </cell>
          <cell r="H20" t="str">
            <v>+12034325972</v>
          </cell>
          <cell r="J20" t="str">
            <v>https://octopusinvestments.com/</v>
          </cell>
          <cell r="K20" t="str">
            <v>Ludo Mackenzie</v>
          </cell>
          <cell r="L20" t="str">
            <v>ludo.mackenzie@octopus-realestate.com</v>
          </cell>
          <cell r="M20" t="str">
            <v>+442071907794</v>
          </cell>
          <cell r="N20" t="str">
            <v>Mark Williams</v>
          </cell>
          <cell r="O20" t="str">
            <v>investorrelations@octopusinvestments.com</v>
          </cell>
          <cell r="Q20" t="str">
            <v>Luxembourg</v>
          </cell>
          <cell r="R20" t="str">
            <v>GBP</v>
          </cell>
          <cell r="S20" t="str">
            <v>Local GAAP</v>
          </cell>
          <cell r="T20" t="str">
            <v>Quarterly</v>
          </cell>
          <cell r="U20" t="str">
            <v>Quarterly</v>
          </cell>
          <cell r="X20" t="str">
            <v xml:space="preserve">Pricewaterhouse Coopers LLP </v>
          </cell>
          <cell r="Y20" t="str">
            <v>Real Estate Fund</v>
          </cell>
          <cell r="Z20" t="str">
            <v>No</v>
          </cell>
          <cell r="AA20" t="str">
            <v>Yes</v>
          </cell>
          <cell r="AB20">
            <v>1</v>
          </cell>
          <cell r="AC20" t="str">
            <v>Non-Listed Fund</v>
          </cell>
          <cell r="AD20" t="str">
            <v>Core</v>
          </cell>
          <cell r="AE20" t="str">
            <v>finite</v>
          </cell>
          <cell r="AF20" t="str">
            <v>Closed end</v>
          </cell>
          <cell r="AG20">
            <v>11</v>
          </cell>
          <cell r="AH20">
            <v>12</v>
          </cell>
          <cell r="AI20" t="str">
            <v>Gross</v>
          </cell>
          <cell r="AN20" t="str">
            <v>Institutional</v>
          </cell>
          <cell r="AO20" t="str">
            <v>&gt; 2</v>
          </cell>
          <cell r="AP20">
            <v>270080000</v>
          </cell>
          <cell r="AQ20">
            <v>34</v>
          </cell>
          <cell r="AR20" t="str">
            <v>65%</v>
          </cell>
          <cell r="AS20">
            <v>70</v>
          </cell>
          <cell r="AT20">
            <v>100</v>
          </cell>
          <cell r="AU20">
            <v>5000000</v>
          </cell>
          <cell r="AV20" t="str">
            <v>3 years</v>
          </cell>
          <cell r="AW20" t="str">
            <v>Direct lending</v>
          </cell>
          <cell r="AX20" t="str">
            <v>Book value(excl. amortisation)</v>
          </cell>
          <cell r="AY20" t="str">
            <v>Senior</v>
          </cell>
          <cell r="AZ20" t="str">
            <v>5 years</v>
          </cell>
          <cell r="BA20" t="str">
            <v>≥ 50%</v>
          </cell>
          <cell r="BB20" t="str">
            <v>Europe</v>
          </cell>
          <cell r="BC20" t="str">
            <v>single country</v>
          </cell>
          <cell r="BE20" t="str">
            <v>United Kingdom</v>
          </cell>
          <cell r="BF20" t="str">
            <v>multi sector</v>
          </cell>
          <cell r="BH20">
            <v>131000000</v>
          </cell>
          <cell r="BJ20">
            <v>2014</v>
          </cell>
          <cell r="BK20">
            <v>2019</v>
          </cell>
          <cell r="BL20" t="str">
            <v>Yes</v>
          </cell>
          <cell r="BM20" t="str">
            <v>Yes</v>
          </cell>
          <cell r="BN20" t="str">
            <v>2 years fixed</v>
          </cell>
          <cell r="BS20" t="str">
            <v>2017-09-30</v>
          </cell>
          <cell r="BT20">
            <v>91226689</v>
          </cell>
          <cell r="BU20">
            <v>103595345.53457481</v>
          </cell>
          <cell r="BV20">
            <v>90890000</v>
          </cell>
          <cell r="BW20">
            <v>103213007.71573</v>
          </cell>
          <cell r="BX20">
            <v>0</v>
          </cell>
          <cell r="BY20" t="str">
            <v>No</v>
          </cell>
          <cell r="CA20">
            <v>6</v>
          </cell>
          <cell r="CC20">
            <v>100500000</v>
          </cell>
          <cell r="CD20">
            <v>114406056.1188</v>
          </cell>
          <cell r="CE20">
            <v>100500000</v>
          </cell>
          <cell r="CF20">
            <v>114406056.1188</v>
          </cell>
          <cell r="CG20" t="str">
            <v>No</v>
          </cell>
          <cell r="CH20" t="str">
            <v>United Kingdom</v>
          </cell>
          <cell r="CI20" t="str">
            <v>Hotel</v>
          </cell>
          <cell r="CJ20">
            <v>32</v>
          </cell>
          <cell r="CK20" t="str">
            <v>United Kingdom</v>
          </cell>
          <cell r="CL20" t="str">
            <v>Retail</v>
          </cell>
          <cell r="CM20">
            <v>4</v>
          </cell>
          <cell r="CN20" t="str">
            <v>United Kingdom</v>
          </cell>
          <cell r="CO20" t="str">
            <v>Leisure</v>
          </cell>
          <cell r="CP20">
            <v>3</v>
          </cell>
          <cell r="CQ20" t="str">
            <v>United Kingdom</v>
          </cell>
          <cell r="CR20" t="str">
            <v>Mixed</v>
          </cell>
          <cell r="CS20">
            <v>20</v>
          </cell>
          <cell r="CT20" t="str">
            <v>United Kingdom</v>
          </cell>
          <cell r="CU20" t="str">
            <v>Other</v>
          </cell>
          <cell r="CV20">
            <v>10</v>
          </cell>
          <cell r="CW20" t="str">
            <v>United Kingdom</v>
          </cell>
          <cell r="CX20" t="str">
            <v>Office</v>
          </cell>
          <cell r="CY20">
            <v>24</v>
          </cell>
          <cell r="CZ20" t="str">
            <v>United Kingdom</v>
          </cell>
          <cell r="DA20" t="str">
            <v>Student Housing</v>
          </cell>
          <cell r="DB20">
            <v>3</v>
          </cell>
          <cell r="DC20" t="str">
            <v>United Kingdom</v>
          </cell>
          <cell r="DD20" t="str">
            <v>Industrial / Logistics</v>
          </cell>
          <cell r="DE20">
            <v>4</v>
          </cell>
        </row>
        <row r="21">
          <cell r="A21">
            <v>18419</v>
          </cell>
          <cell r="B21" t="str">
            <v>CREDF SYNDICATION LP</v>
          </cell>
          <cell r="C21" t="str">
            <v>OCTOPUS AIF MANAGEMENT LIMITED</v>
          </cell>
          <cell r="D21" t="str">
            <v>6th Floor 33 Holborn</v>
          </cell>
          <cell r="E21" t="str">
            <v>EC1N 2HT</v>
          </cell>
          <cell r="F21" t="str">
            <v>London</v>
          </cell>
          <cell r="G21" t="str">
            <v>United Kingdom</v>
          </cell>
          <cell r="H21" t="str">
            <v>+442034325972</v>
          </cell>
          <cell r="J21" t="str">
            <v>https://octopusinvestments.com/</v>
          </cell>
          <cell r="K21" t="str">
            <v>Ludo Mackenzie</v>
          </cell>
          <cell r="L21" t="str">
            <v>ludo.mackenzie@octopus-realestate.com</v>
          </cell>
          <cell r="M21" t="str">
            <v>+442071907794</v>
          </cell>
          <cell r="N21" t="str">
            <v>Mark Williams</v>
          </cell>
          <cell r="O21" t="str">
            <v>investorrelations@octopusinvestments.com</v>
          </cell>
          <cell r="Q21" t="str">
            <v>Luxembourg</v>
          </cell>
          <cell r="R21" t="str">
            <v>GBP</v>
          </cell>
          <cell r="S21" t="str">
            <v>Local GAAP</v>
          </cell>
          <cell r="T21" t="str">
            <v>Quarterly</v>
          </cell>
          <cell r="U21" t="str">
            <v>Quarterly</v>
          </cell>
          <cell r="X21" t="str">
            <v xml:space="preserve">Pricewaterhouse Coopers LLP </v>
          </cell>
          <cell r="Y21" t="str">
            <v>Real Estate Fund</v>
          </cell>
          <cell r="Z21" t="str">
            <v>No</v>
          </cell>
          <cell r="AA21" t="str">
            <v>Yes</v>
          </cell>
          <cell r="AB21">
            <v>1</v>
          </cell>
          <cell r="AC21" t="str">
            <v>Non-Listed Fund</v>
          </cell>
          <cell r="AD21" t="str">
            <v>Core</v>
          </cell>
          <cell r="AE21" t="str">
            <v>finite</v>
          </cell>
          <cell r="AF21" t="str">
            <v>Closed end</v>
          </cell>
          <cell r="AG21">
            <v>9</v>
          </cell>
          <cell r="AH21">
            <v>10</v>
          </cell>
          <cell r="AI21" t="str">
            <v>Gross</v>
          </cell>
          <cell r="AN21" t="str">
            <v>Institutional</v>
          </cell>
          <cell r="AO21" t="str">
            <v>&gt; 2</v>
          </cell>
          <cell r="AR21" t="str">
            <v>65%</v>
          </cell>
          <cell r="AS21">
            <v>70</v>
          </cell>
          <cell r="AT21">
            <v>15</v>
          </cell>
          <cell r="AU21">
            <v>5000000</v>
          </cell>
          <cell r="AV21" t="str">
            <v>3 years</v>
          </cell>
          <cell r="AW21" t="str">
            <v>Direct lending</v>
          </cell>
          <cell r="AX21" t="str">
            <v>Book value(excl. amortisation)</v>
          </cell>
          <cell r="AY21" t="str">
            <v>Senior</v>
          </cell>
          <cell r="AZ21" t="str">
            <v>5 years</v>
          </cell>
          <cell r="BA21" t="str">
            <v>≥ 50%</v>
          </cell>
          <cell r="BB21" t="str">
            <v>Europe</v>
          </cell>
          <cell r="BC21" t="str">
            <v>single country</v>
          </cell>
          <cell r="BE21" t="str">
            <v>United Kingdom</v>
          </cell>
          <cell r="BF21" t="str">
            <v>multi sector</v>
          </cell>
          <cell r="BH21">
            <v>49700000</v>
          </cell>
          <cell r="BJ21">
            <v>2016</v>
          </cell>
          <cell r="BK21">
            <v>2019</v>
          </cell>
          <cell r="BL21" t="str">
            <v>Yes</v>
          </cell>
          <cell r="BM21" t="str">
            <v>Yes</v>
          </cell>
          <cell r="BN21" t="str">
            <v>2 years fixed</v>
          </cell>
          <cell r="BS21" t="str">
            <v>2017-09-30</v>
          </cell>
          <cell r="BT21">
            <v>33021660</v>
          </cell>
          <cell r="BU21">
            <v>37498788.077524617</v>
          </cell>
          <cell r="BV21">
            <v>32908270</v>
          </cell>
          <cell r="BW21">
            <v>37370024.484776393</v>
          </cell>
          <cell r="BX21">
            <v>0</v>
          </cell>
          <cell r="CD21">
            <v>0</v>
          </cell>
        </row>
        <row r="22">
          <cell r="A22">
            <v>17375</v>
          </cell>
          <cell r="B22" t="str">
            <v>DEKA REALKREDIT KLASSIK</v>
          </cell>
          <cell r="C22" t="str">
            <v>DEKA IMMOBILIEN INVESTMENT GMBH</v>
          </cell>
          <cell r="D22" t="str">
            <v>Taunusanlage 1</v>
          </cell>
          <cell r="E22">
            <v>60329</v>
          </cell>
          <cell r="F22" t="str">
            <v>Frankfurt</v>
          </cell>
          <cell r="G22" t="str">
            <v>Germany</v>
          </cell>
          <cell r="H22" t="str">
            <v>+496971475432</v>
          </cell>
          <cell r="I22" t="str">
            <v>+496971475432</v>
          </cell>
          <cell r="J22" t="str">
            <v>http://www.deka-immobilien.de</v>
          </cell>
          <cell r="K22" t="str">
            <v>Hans Albert Eberhard</v>
          </cell>
          <cell r="L22" t="str">
            <v>hansalbert.eberhard@deka.de</v>
          </cell>
          <cell r="M22" t="str">
            <v>+496971475432</v>
          </cell>
          <cell r="Q22" t="str">
            <v>Germany</v>
          </cell>
          <cell r="R22" t="str">
            <v>EUR</v>
          </cell>
          <cell r="T22" t="str">
            <v>Quarterly</v>
          </cell>
          <cell r="U22" t="str">
            <v>Quarterly</v>
          </cell>
          <cell r="AF22" t="str">
            <v>Open end</v>
          </cell>
          <cell r="AG22">
            <v>0</v>
          </cell>
          <cell r="AH22">
            <v>0</v>
          </cell>
          <cell r="AK22" t="str">
            <v>Euribor+150bp</v>
          </cell>
          <cell r="AL22">
            <v>0</v>
          </cell>
          <cell r="AQ22">
            <v>30</v>
          </cell>
          <cell r="AR22" t="str">
            <v>50%</v>
          </cell>
          <cell r="AS22">
            <v>50</v>
          </cell>
          <cell r="AT22">
            <v>100</v>
          </cell>
          <cell r="AV22" t="str">
            <v>&gt;2 years</v>
          </cell>
          <cell r="AW22" t="str">
            <v>Loan acquisition</v>
          </cell>
          <cell r="AY22" t="str">
            <v>Senior</v>
          </cell>
          <cell r="AZ22" t="str">
            <v>5 years</v>
          </cell>
          <cell r="BC22" t="str">
            <v>multi country</v>
          </cell>
          <cell r="BF22" t="str">
            <v>multi sector</v>
          </cell>
          <cell r="BH22">
            <v>2000000000</v>
          </cell>
          <cell r="BI22">
            <v>2000000000</v>
          </cell>
          <cell r="BJ22">
            <v>2009</v>
          </cell>
          <cell r="BL22" t="str">
            <v>No</v>
          </cell>
          <cell r="BM22" t="str">
            <v>No</v>
          </cell>
          <cell r="BS22" t="str">
            <v>2016-09-30</v>
          </cell>
          <cell r="BT22">
            <v>572139131</v>
          </cell>
          <cell r="BU22">
            <v>572139131</v>
          </cell>
          <cell r="BV22">
            <v>572139131</v>
          </cell>
          <cell r="BW22">
            <v>572139131</v>
          </cell>
          <cell r="BY22" t="str">
            <v>No</v>
          </cell>
          <cell r="CA22">
            <v>39</v>
          </cell>
          <cell r="CC22">
            <v>634401220</v>
          </cell>
          <cell r="CD22">
            <v>634401220</v>
          </cell>
          <cell r="CE22">
            <v>575981527</v>
          </cell>
          <cell r="CF22">
            <v>575981527</v>
          </cell>
          <cell r="CH22" t="str">
            <v>France</v>
          </cell>
          <cell r="CI22" t="str">
            <v>Office</v>
          </cell>
          <cell r="CJ22">
            <v>14.1</v>
          </cell>
          <cell r="CK22" t="str">
            <v>France</v>
          </cell>
          <cell r="CL22" t="str">
            <v>Retail</v>
          </cell>
          <cell r="CM22">
            <v>2.4</v>
          </cell>
          <cell r="CN22" t="str">
            <v>Canada</v>
          </cell>
          <cell r="CO22" t="str">
            <v>Hotel</v>
          </cell>
          <cell r="CP22">
            <v>1.9</v>
          </cell>
          <cell r="CQ22" t="str">
            <v>Germany</v>
          </cell>
          <cell r="CR22" t="str">
            <v>Office</v>
          </cell>
          <cell r="CS22">
            <v>10.7</v>
          </cell>
          <cell r="CT22" t="str">
            <v>Germany</v>
          </cell>
          <cell r="CU22" t="str">
            <v>Industrial / Logistics</v>
          </cell>
          <cell r="CV22">
            <v>3.8</v>
          </cell>
          <cell r="CW22" t="str">
            <v>Germany</v>
          </cell>
          <cell r="CX22" t="str">
            <v>Retail</v>
          </cell>
          <cell r="CY22">
            <v>4</v>
          </cell>
          <cell r="CZ22" t="str">
            <v>United Kingdom</v>
          </cell>
          <cell r="DA22" t="str">
            <v>Office</v>
          </cell>
          <cell r="DB22">
            <v>21.1</v>
          </cell>
          <cell r="DC22" t="str">
            <v>United Kingdom</v>
          </cell>
          <cell r="DD22" t="str">
            <v>Retail</v>
          </cell>
          <cell r="DE22">
            <v>8.6999999999999993</v>
          </cell>
          <cell r="DF22" t="str">
            <v>Ireland</v>
          </cell>
          <cell r="DG22" t="str">
            <v>Office</v>
          </cell>
          <cell r="DH22">
            <v>2.8</v>
          </cell>
          <cell r="DI22" t="str">
            <v>Italy</v>
          </cell>
          <cell r="DJ22" t="str">
            <v>Office</v>
          </cell>
          <cell r="DK22">
            <v>2.2999999999999998</v>
          </cell>
          <cell r="DL22" t="str">
            <v>Italy</v>
          </cell>
          <cell r="DM22" t="str">
            <v>Retail</v>
          </cell>
          <cell r="DN22">
            <v>1.9</v>
          </cell>
          <cell r="DO22" t="str">
            <v>United States of America</v>
          </cell>
          <cell r="DP22" t="str">
            <v>Office</v>
          </cell>
          <cell r="DQ22">
            <v>26.3</v>
          </cell>
        </row>
        <row r="23">
          <cell r="A23">
            <v>18127</v>
          </cell>
          <cell r="B23" t="str">
            <v>DRC EUROPEAN REAL ESTATE DEBT FUND III</v>
          </cell>
          <cell r="C23" t="str">
            <v>DRC CAPITAL LLP</v>
          </cell>
          <cell r="D23" t="str">
            <v>6 Duke Street St James's</v>
          </cell>
          <cell r="E23" t="str">
            <v>SW1Y 6BN</v>
          </cell>
          <cell r="F23" t="str">
            <v>London</v>
          </cell>
          <cell r="G23" t="str">
            <v>United Kingdom</v>
          </cell>
          <cell r="H23" t="str">
            <v>+442070420600</v>
          </cell>
          <cell r="J23" t="str">
            <v>https://www.drccap.com</v>
          </cell>
          <cell r="N23" t="str">
            <v>Steve Emsley</v>
          </cell>
          <cell r="O23" t="str">
            <v>se@drccap.com</v>
          </cell>
          <cell r="P23" t="str">
            <v>+442070420600</v>
          </cell>
          <cell r="Q23" t="str">
            <v>Jersey</v>
          </cell>
          <cell r="R23" t="str">
            <v>GBP</v>
          </cell>
          <cell r="S23" t="str">
            <v>IFRS</v>
          </cell>
          <cell r="T23" t="str">
            <v>Quarterly</v>
          </cell>
          <cell r="U23" t="str">
            <v>Quarterly</v>
          </cell>
          <cell r="X23" t="str">
            <v>PwC</v>
          </cell>
          <cell r="Y23" t="str">
            <v>Limited Partnership</v>
          </cell>
          <cell r="AA23" t="str">
            <v>Yes</v>
          </cell>
          <cell r="AB23">
            <v>3</v>
          </cell>
          <cell r="AF23" t="str">
            <v>Closed end</v>
          </cell>
          <cell r="AG23">
            <v>9</v>
          </cell>
          <cell r="AH23">
            <v>10</v>
          </cell>
          <cell r="AI23" t="str">
            <v>Net</v>
          </cell>
          <cell r="AJ23" t="str">
            <v>N/A</v>
          </cell>
          <cell r="AN23" t="str">
            <v>Institutional</v>
          </cell>
          <cell r="AO23" t="str">
            <v>&gt; 2</v>
          </cell>
          <cell r="AR23" t="str">
            <v>75%</v>
          </cell>
          <cell r="AS23">
            <v>85</v>
          </cell>
          <cell r="AT23">
            <v>20</v>
          </cell>
          <cell r="AU23">
            <v>25000000</v>
          </cell>
          <cell r="AV23" t="str">
            <v>3 years</v>
          </cell>
          <cell r="AW23" t="str">
            <v>Both</v>
          </cell>
          <cell r="AX23" t="str">
            <v>Book value(excl. amortisation)</v>
          </cell>
          <cell r="AY23" t="str">
            <v>Mixed: Senior+Subordinated+Preferred equity</v>
          </cell>
          <cell r="AZ23" t="str">
            <v>7 years</v>
          </cell>
          <cell r="BA23" t="str">
            <v>≥ 50%</v>
          </cell>
          <cell r="BB23" t="str">
            <v>Europe</v>
          </cell>
          <cell r="BC23" t="str">
            <v>multi country</v>
          </cell>
          <cell r="BF23" t="str">
            <v>multi sector</v>
          </cell>
          <cell r="BH23">
            <v>500000000</v>
          </cell>
          <cell r="BI23">
            <v>750000000</v>
          </cell>
          <cell r="BJ23">
            <v>2016</v>
          </cell>
          <cell r="BK23">
            <v>2023</v>
          </cell>
          <cell r="BL23" t="str">
            <v>Yes</v>
          </cell>
          <cell r="BM23" t="str">
            <v>Yes</v>
          </cell>
          <cell r="BN23" t="str">
            <v>1+1 years</v>
          </cell>
          <cell r="BS23" t="str">
            <v>2018-06-30</v>
          </cell>
          <cell r="BT23">
            <v>358527675</v>
          </cell>
          <cell r="BU23">
            <v>404883308.0992831</v>
          </cell>
          <cell r="BV23">
            <v>358527675</v>
          </cell>
          <cell r="BW23">
            <v>404883308.0992831</v>
          </cell>
          <cell r="BX23">
            <v>0</v>
          </cell>
          <cell r="BY23" t="str">
            <v>No</v>
          </cell>
          <cell r="CC23">
            <v>600000000</v>
          </cell>
          <cell r="CD23">
            <v>682710360.12</v>
          </cell>
          <cell r="CE23">
            <v>360726000</v>
          </cell>
          <cell r="CF23">
            <v>410452295.60774517</v>
          </cell>
          <cell r="CG23" t="str">
            <v>No</v>
          </cell>
        </row>
        <row r="24">
          <cell r="A24">
            <v>19301</v>
          </cell>
          <cell r="B24" t="str">
            <v>DRC EUROPEAN REAL ESTATE DEBT FUND IV LP</v>
          </cell>
          <cell r="C24" t="str">
            <v>DRC CAPITAL LLP</v>
          </cell>
          <cell r="D24" t="str">
            <v>6 Duke Street St James's</v>
          </cell>
          <cell r="E24" t="str">
            <v>SW1Y 6BN</v>
          </cell>
          <cell r="F24" t="str">
            <v>London</v>
          </cell>
          <cell r="G24" t="str">
            <v>United Kingdom</v>
          </cell>
          <cell r="H24" t="str">
            <v>+44 207 042 0600</v>
          </cell>
          <cell r="I24" t="str">
            <v>+44 207 042 0610</v>
          </cell>
          <cell r="J24" t="str">
            <v>https://www.drccap.com</v>
          </cell>
          <cell r="N24" t="str">
            <v>Apwinder Foster</v>
          </cell>
          <cell r="O24" t="str">
            <v>ir@drccap.com</v>
          </cell>
          <cell r="P24" t="str">
            <v>+44 207 042 0600</v>
          </cell>
          <cell r="Q24" t="str">
            <v>Jersey</v>
          </cell>
          <cell r="R24" t="str">
            <v>GBP</v>
          </cell>
          <cell r="S24" t="str">
            <v>IFRS</v>
          </cell>
          <cell r="T24" t="str">
            <v>Quarterly</v>
          </cell>
          <cell r="U24" t="str">
            <v>Quarterly</v>
          </cell>
          <cell r="X24" t="str">
            <v>PwC</v>
          </cell>
          <cell r="Y24" t="str">
            <v>Limited Partnership</v>
          </cell>
          <cell r="AA24" t="str">
            <v>Yes</v>
          </cell>
          <cell r="AB24">
            <v>3</v>
          </cell>
          <cell r="AF24" t="str">
            <v>Closed end</v>
          </cell>
          <cell r="AG24">
            <v>9</v>
          </cell>
          <cell r="AH24">
            <v>10</v>
          </cell>
          <cell r="AI24" t="str">
            <v>Net</v>
          </cell>
          <cell r="AJ24" t="str">
            <v>N/A</v>
          </cell>
          <cell r="AN24" t="str">
            <v>Institutional</v>
          </cell>
          <cell r="AO24" t="str">
            <v>&gt; 2</v>
          </cell>
          <cell r="AR24" t="str">
            <v>75%</v>
          </cell>
          <cell r="AS24">
            <v>85</v>
          </cell>
          <cell r="AT24">
            <v>20</v>
          </cell>
          <cell r="AU24">
            <v>25000000</v>
          </cell>
          <cell r="AV24" t="str">
            <v>3 years</v>
          </cell>
          <cell r="AW24" t="str">
            <v>Direct lending</v>
          </cell>
          <cell r="AX24" t="str">
            <v>Book value(excl. amortisation)</v>
          </cell>
          <cell r="AY24" t="str">
            <v>Mixed: Senior+Subordinated</v>
          </cell>
          <cell r="AZ24" t="str">
            <v>8 years</v>
          </cell>
          <cell r="BA24" t="str">
            <v>≥ 50%</v>
          </cell>
          <cell r="BB24" t="str">
            <v>Europe</v>
          </cell>
          <cell r="BC24" t="str">
            <v>multi country</v>
          </cell>
          <cell r="BF24" t="str">
            <v>multi sector</v>
          </cell>
          <cell r="BH24">
            <v>500000000</v>
          </cell>
          <cell r="BI24">
            <v>750000000</v>
          </cell>
          <cell r="BJ24">
            <v>2019</v>
          </cell>
          <cell r="BK24">
            <v>2027</v>
          </cell>
          <cell r="BL24" t="str">
            <v>Yes</v>
          </cell>
          <cell r="BM24" t="str">
            <v>Yes</v>
          </cell>
          <cell r="BN24" t="str">
            <v>1+1 years</v>
          </cell>
        </row>
        <row r="25">
          <cell r="A25">
            <v>18456</v>
          </cell>
          <cell r="B25" t="str">
            <v>ELF</v>
          </cell>
          <cell r="C25" t="str">
            <v>AALTO INVEST UK LTD</v>
          </cell>
          <cell r="D25" t="str">
            <v>2 Swan Lane</v>
          </cell>
          <cell r="E25" t="str">
            <v>EC4R 3AD</v>
          </cell>
          <cell r="F25" t="str">
            <v>London</v>
          </cell>
          <cell r="G25" t="str">
            <v>United States of America</v>
          </cell>
          <cell r="J25" t="str">
            <v>https://www.man.com/gpm-aalto</v>
          </cell>
          <cell r="K25" t="str">
            <v>Travis Masters</v>
          </cell>
          <cell r="L25" t="str">
            <v>Travis.Masters@man.com</v>
          </cell>
          <cell r="M25" t="str">
            <v>+19803217561</v>
          </cell>
          <cell r="N25" t="str">
            <v>Jonathan Shaw</v>
          </cell>
          <cell r="O25" t="str">
            <v>Jonathan.Shaw@Man.com</v>
          </cell>
          <cell r="P25" t="str">
            <v>+102071142911</v>
          </cell>
          <cell r="Q25" t="str">
            <v>United States of America</v>
          </cell>
          <cell r="R25" t="str">
            <v>USD</v>
          </cell>
          <cell r="S25" t="str">
            <v>US GAAP</v>
          </cell>
          <cell r="T25" t="str">
            <v>Quarterly</v>
          </cell>
          <cell r="U25" t="str">
            <v>Quarterly</v>
          </cell>
          <cell r="Y25" t="str">
            <v>Real Estate Fund</v>
          </cell>
          <cell r="AA25" t="str">
            <v>Yes</v>
          </cell>
          <cell r="AF25" t="str">
            <v>Closed end</v>
          </cell>
          <cell r="AG25">
            <v>5</v>
          </cell>
          <cell r="AH25">
            <v>8</v>
          </cell>
          <cell r="AI25" t="str">
            <v>Gross</v>
          </cell>
          <cell r="AJ25" t="str">
            <v>Global credit index + agreed illiquidity premium</v>
          </cell>
          <cell r="AN25" t="str">
            <v>Institutional</v>
          </cell>
          <cell r="AO25" t="str">
            <v>≤ 2</v>
          </cell>
          <cell r="AR25" t="str">
            <v>50%</v>
          </cell>
          <cell r="AS25">
            <v>65</v>
          </cell>
          <cell r="AV25" t="str">
            <v>until 2022</v>
          </cell>
          <cell r="AW25" t="str">
            <v>Direct lending</v>
          </cell>
          <cell r="AX25" t="str">
            <v>Book value(excl. amortisation)</v>
          </cell>
          <cell r="AY25" t="str">
            <v>Senior</v>
          </cell>
          <cell r="BA25" t="str">
            <v>≥ 50%</v>
          </cell>
          <cell r="BB25" t="str">
            <v>North America</v>
          </cell>
          <cell r="BC25" t="str">
            <v>single country</v>
          </cell>
          <cell r="BE25" t="str">
            <v>United States of America</v>
          </cell>
          <cell r="BF25" t="str">
            <v>single sector</v>
          </cell>
          <cell r="BG25" t="str">
            <v>Residential</v>
          </cell>
          <cell r="BH25">
            <v>250000000</v>
          </cell>
          <cell r="BJ25">
            <v>2017</v>
          </cell>
          <cell r="BK25">
            <v>2022</v>
          </cell>
          <cell r="BL25" t="str">
            <v>No</v>
          </cell>
        </row>
        <row r="26">
          <cell r="A26">
            <v>17389</v>
          </cell>
          <cell r="B26" t="str">
            <v>EUROPEAN REAL ESTATE DEBT FUND II</v>
          </cell>
          <cell r="C26" t="str">
            <v>DRC CAPITAL LLP</v>
          </cell>
          <cell r="D26" t="str">
            <v>6 Duke Street St James's</v>
          </cell>
          <cell r="E26" t="str">
            <v>SW1Y 6BN</v>
          </cell>
          <cell r="F26" t="str">
            <v>London</v>
          </cell>
          <cell r="G26" t="str">
            <v>United Kingdom</v>
          </cell>
          <cell r="H26" t="str">
            <v>+442070420600</v>
          </cell>
          <cell r="I26" t="str">
            <v>+442070420600</v>
          </cell>
          <cell r="J26" t="str">
            <v>http://www.drccap.com</v>
          </cell>
          <cell r="K26" t="str">
            <v>Dale Lattanzio</v>
          </cell>
          <cell r="L26" t="str">
            <v>dl@drccap.com</v>
          </cell>
          <cell r="M26" t="str">
            <v>+442070420600</v>
          </cell>
          <cell r="N26" t="str">
            <v>Steve Emsley</v>
          </cell>
          <cell r="O26" t="str">
            <v>se@drccap.com</v>
          </cell>
          <cell r="P26" t="str">
            <v>+442070420617</v>
          </cell>
          <cell r="Q26" t="str">
            <v>Cayman Islands</v>
          </cell>
          <cell r="R26" t="str">
            <v>GBP</v>
          </cell>
          <cell r="S26" t="str">
            <v>IFRS</v>
          </cell>
          <cell r="T26" t="str">
            <v>Quarterly</v>
          </cell>
          <cell r="U26" t="str">
            <v>Quarterly</v>
          </cell>
          <cell r="X26" t="str">
            <v>PricewaterhouseCoopers</v>
          </cell>
          <cell r="Y26" t="str">
            <v>Real Estate Debt Fund</v>
          </cell>
          <cell r="AA26" t="str">
            <v>No</v>
          </cell>
          <cell r="AF26" t="str">
            <v>Closed end</v>
          </cell>
          <cell r="AG26">
            <v>14</v>
          </cell>
          <cell r="AH26">
            <v>16</v>
          </cell>
          <cell r="AI26" t="str">
            <v>Gross</v>
          </cell>
          <cell r="AJ26" t="str">
            <v>N/A</v>
          </cell>
          <cell r="AK26" t="str">
            <v>7%</v>
          </cell>
          <cell r="AL26">
            <v>0</v>
          </cell>
          <cell r="AN26" t="str">
            <v>Institutional</v>
          </cell>
          <cell r="AO26" t="str">
            <v>&gt; 2</v>
          </cell>
          <cell r="AR26" t="str">
            <v>70%</v>
          </cell>
          <cell r="AS26">
            <v>80</v>
          </cell>
          <cell r="AV26" t="str">
            <v>&gt;2 years</v>
          </cell>
          <cell r="AW26" t="str">
            <v>Both</v>
          </cell>
          <cell r="AX26" t="str">
            <v>Book value(excl. amortisation)</v>
          </cell>
          <cell r="AY26" t="str">
            <v>Subordinated: Junior+Mezzanine</v>
          </cell>
          <cell r="AZ26" t="str">
            <v>7 years</v>
          </cell>
          <cell r="BA26" t="str">
            <v>≥ 50%</v>
          </cell>
          <cell r="BB26" t="str">
            <v>Europe</v>
          </cell>
          <cell r="BC26" t="str">
            <v>multi country</v>
          </cell>
          <cell r="BD26" t="str">
            <v>Western Europe</v>
          </cell>
          <cell r="BF26" t="str">
            <v>multi sector</v>
          </cell>
          <cell r="BH26">
            <v>400000000</v>
          </cell>
          <cell r="BI26">
            <v>365000000</v>
          </cell>
          <cell r="BJ26">
            <v>2012</v>
          </cell>
          <cell r="BK26">
            <v>2019</v>
          </cell>
          <cell r="BL26" t="str">
            <v>Yes</v>
          </cell>
          <cell r="BM26" t="str">
            <v>Yes</v>
          </cell>
          <cell r="BN26" t="str">
            <v>3 years + 6 months</v>
          </cell>
          <cell r="BS26" t="str">
            <v>2018-06-30</v>
          </cell>
          <cell r="BT26">
            <v>152065774</v>
          </cell>
          <cell r="BU26">
            <v>171727032.3017545</v>
          </cell>
          <cell r="BV26">
            <v>152065774</v>
          </cell>
          <cell r="BW26">
            <v>171727032.3017545</v>
          </cell>
          <cell r="BX26">
            <v>0</v>
          </cell>
          <cell r="BY26" t="str">
            <v>No</v>
          </cell>
          <cell r="CC26">
            <v>487400000</v>
          </cell>
          <cell r="CD26">
            <v>554588382.53748</v>
          </cell>
          <cell r="CE26">
            <v>167474671</v>
          </cell>
          <cell r="CF26">
            <v>190561154.91564751</v>
          </cell>
          <cell r="CG26" t="str">
            <v>No</v>
          </cell>
        </row>
        <row r="27">
          <cell r="A27">
            <v>19302</v>
          </cell>
          <cell r="B27" t="str">
            <v>GENERALI REAL ESTATE DEBT INVESTMENT FUND</v>
          </cell>
          <cell r="C27" t="str">
            <v>GENERALI INVESTMENTS LUXEMBOURG S.A.</v>
          </cell>
          <cell r="D27" t="str">
            <v>Boulevard F.W. Raiffeisen, 15</v>
          </cell>
          <cell r="E27">
            <v>2411</v>
          </cell>
          <cell r="F27" t="str">
            <v>Luxembourg</v>
          </cell>
          <cell r="G27" t="str">
            <v>Luxembourg</v>
          </cell>
          <cell r="K27" t="str">
            <v>Nunzio Laurenziello</v>
          </cell>
          <cell r="L27" t="str">
            <v>nunzio.laurenziello@gre.generali.com</v>
          </cell>
          <cell r="M27" t="str">
            <v>+39 02 499 31619</v>
          </cell>
          <cell r="Q27" t="str">
            <v>Luxembourg</v>
          </cell>
          <cell r="R27" t="str">
            <v>EUR</v>
          </cell>
          <cell r="S27" t="str">
            <v>Local GAAP</v>
          </cell>
          <cell r="T27" t="str">
            <v>Twice per year</v>
          </cell>
          <cell r="U27" t="str">
            <v>Quarterly</v>
          </cell>
          <cell r="Y27" t="str">
            <v>Limited Partnership</v>
          </cell>
          <cell r="AF27" t="str">
            <v>Closed end</v>
          </cell>
          <cell r="AN27" t="str">
            <v>Institutional</v>
          </cell>
          <cell r="AO27" t="str">
            <v>&gt; 2</v>
          </cell>
          <cell r="AW27" t="str">
            <v>Both</v>
          </cell>
          <cell r="AX27" t="str">
            <v>Book value(excl. amortisation)</v>
          </cell>
          <cell r="AY27" t="str">
            <v>Mixed: Senior+Subordinated</v>
          </cell>
          <cell r="BA27" t="str">
            <v>&lt; 50%</v>
          </cell>
          <cell r="BB27" t="str">
            <v>Europe</v>
          </cell>
          <cell r="BC27" t="str">
            <v>multi country</v>
          </cell>
          <cell r="BF27" t="str">
            <v>multi sector</v>
          </cell>
          <cell r="BH27">
            <v>1500000000</v>
          </cell>
          <cell r="BI27">
            <v>1500000000</v>
          </cell>
          <cell r="BJ27">
            <v>2019</v>
          </cell>
          <cell r="BK27">
            <v>2034</v>
          </cell>
        </row>
        <row r="28">
          <cell r="A28">
            <v>17372</v>
          </cell>
          <cell r="B28" t="str">
            <v>GERMAN REAL ESTATE DEBT FUND</v>
          </cell>
          <cell r="C28" t="str">
            <v>BNP PARIBAS REIM GERMANY</v>
          </cell>
          <cell r="D28" t="str">
            <v>Albrechtstrasse 14</v>
          </cell>
          <cell r="E28">
            <v>80636</v>
          </cell>
          <cell r="F28" t="str">
            <v>Muenchen</v>
          </cell>
          <cell r="G28" t="str">
            <v>Germany</v>
          </cell>
          <cell r="H28" t="str">
            <v>+498912173121</v>
          </cell>
          <cell r="I28" t="str">
            <v>+498912173121</v>
          </cell>
          <cell r="J28" t="str">
            <v>http://www.reim.bnpparibas.de</v>
          </cell>
          <cell r="K28" t="str">
            <v>Stefanie Gertz</v>
          </cell>
          <cell r="L28" t="str">
            <v>stefanie.gertz@bnpparibas.com</v>
          </cell>
          <cell r="M28" t="str">
            <v>+498912173121</v>
          </cell>
          <cell r="Q28" t="str">
            <v>Germany</v>
          </cell>
          <cell r="R28" t="str">
            <v>EUR</v>
          </cell>
          <cell r="S28" t="str">
            <v>Local GAAP</v>
          </cell>
          <cell r="T28" t="str">
            <v>Quarterly</v>
          </cell>
          <cell r="U28" t="str">
            <v>Quarterly</v>
          </cell>
          <cell r="AF28" t="str">
            <v>Open end</v>
          </cell>
          <cell r="AG28">
            <v>4</v>
          </cell>
          <cell r="AH28">
            <v>5</v>
          </cell>
          <cell r="AK28" t="str">
            <v>5%</v>
          </cell>
          <cell r="AL28">
            <v>0</v>
          </cell>
          <cell r="AP28">
            <v>14900000</v>
          </cell>
          <cell r="AQ28">
            <v>1</v>
          </cell>
          <cell r="AR28" t="str">
            <v>70%</v>
          </cell>
          <cell r="AS28">
            <v>75</v>
          </cell>
          <cell r="AV28" t="str">
            <v>&gt; 2 years</v>
          </cell>
          <cell r="AW28" t="str">
            <v>Loan acquisition</v>
          </cell>
          <cell r="AY28" t="str">
            <v>Mixed: Senior+Subordinated</v>
          </cell>
          <cell r="AZ28" t="str">
            <v>12 years</v>
          </cell>
          <cell r="BB28" t="str">
            <v>Europe</v>
          </cell>
          <cell r="BC28" t="str">
            <v>single country</v>
          </cell>
          <cell r="BE28" t="str">
            <v>Germany</v>
          </cell>
          <cell r="BF28" t="str">
            <v>multi sector</v>
          </cell>
          <cell r="BH28">
            <v>300000000</v>
          </cell>
          <cell r="BI28">
            <v>300000000</v>
          </cell>
          <cell r="BJ28">
            <v>2013</v>
          </cell>
          <cell r="BK28">
            <v>2025</v>
          </cell>
          <cell r="BL28" t="str">
            <v>Yes</v>
          </cell>
          <cell r="BM28" t="str">
            <v>Yes</v>
          </cell>
          <cell r="BS28" t="str">
            <v>2014-06-30</v>
          </cell>
          <cell r="BT28">
            <v>16300000</v>
          </cell>
          <cell r="BU28">
            <v>16300000</v>
          </cell>
          <cell r="BV28">
            <v>16300000</v>
          </cell>
          <cell r="BW28">
            <v>16300000</v>
          </cell>
          <cell r="BX28">
            <v>0</v>
          </cell>
          <cell r="BY28" t="str">
            <v>No</v>
          </cell>
          <cell r="CC28">
            <v>120000000</v>
          </cell>
          <cell r="CD28">
            <v>120000000</v>
          </cell>
          <cell r="CF28">
            <v>0</v>
          </cell>
          <cell r="CG28" t="str">
            <v>Yes</v>
          </cell>
          <cell r="CH28" t="str">
            <v>Germany</v>
          </cell>
          <cell r="CI28" t="str">
            <v>Residential</v>
          </cell>
          <cell r="CJ28">
            <v>100</v>
          </cell>
        </row>
        <row r="29">
          <cell r="A29">
            <v>18360</v>
          </cell>
          <cell r="B29" t="str">
            <v>GLOBAL REAL ESTATE DEBT PARTNERS - FUND II (UK)</v>
          </cell>
          <cell r="C29" t="str">
            <v>NUVEEN ALTERNATIVES EUROPE S.à R.L.</v>
          </cell>
          <cell r="D29" t="str">
            <v>201 Bishopsgate</v>
          </cell>
          <cell r="E29" t="str">
            <v>EC2M 3BN</v>
          </cell>
          <cell r="F29" t="str">
            <v>London</v>
          </cell>
          <cell r="G29" t="str">
            <v>United Kingdom</v>
          </cell>
          <cell r="H29" t="str">
            <v>+442037278000</v>
          </cell>
          <cell r="I29" t="str">
            <v>+442037278001</v>
          </cell>
          <cell r="J29" t="str">
            <v>https://www.nuveen.com/global/real-estate</v>
          </cell>
          <cell r="K29" t="str">
            <v>Christian Janssen</v>
          </cell>
          <cell r="L29" t="str">
            <v>Christian.Janssen@nuveenglobal.com</v>
          </cell>
          <cell r="M29" t="str">
            <v>+442037278000</v>
          </cell>
          <cell r="N29" t="str">
            <v>Gabi Stein</v>
          </cell>
          <cell r="O29" t="str">
            <v>Gabi.Stein@nuveenglobal.com</v>
          </cell>
          <cell r="P29" t="str">
            <v>+442037278000</v>
          </cell>
          <cell r="Q29" t="str">
            <v>Luxembourg</v>
          </cell>
          <cell r="R29" t="str">
            <v>GBP</v>
          </cell>
          <cell r="S29" t="str">
            <v>IFRS</v>
          </cell>
          <cell r="T29" t="str">
            <v>Quarterly</v>
          </cell>
          <cell r="U29" t="str">
            <v>Quarterly</v>
          </cell>
          <cell r="X29" t="str">
            <v>PwC</v>
          </cell>
          <cell r="Y29" t="str">
            <v>Limited Partnership</v>
          </cell>
          <cell r="AE29" t="str">
            <v>finite</v>
          </cell>
          <cell r="AF29" t="str">
            <v>Closed end</v>
          </cell>
          <cell r="AG29">
            <v>8</v>
          </cell>
          <cell r="AH29">
            <v>9</v>
          </cell>
          <cell r="AI29" t="str">
            <v>Gross</v>
          </cell>
          <cell r="AN29" t="str">
            <v>Institutional</v>
          </cell>
          <cell r="AO29" t="str">
            <v>&gt; 2</v>
          </cell>
          <cell r="AR29" t="str">
            <v>75%</v>
          </cell>
          <cell r="AW29" t="str">
            <v>Both</v>
          </cell>
          <cell r="AY29" t="str">
            <v>Mixed: Senior+Subordinated</v>
          </cell>
          <cell r="AZ29" t="str">
            <v>7 years</v>
          </cell>
          <cell r="BA29" t="str">
            <v>≥ 50%</v>
          </cell>
          <cell r="BB29" t="str">
            <v>Europe</v>
          </cell>
          <cell r="BC29" t="str">
            <v>single country</v>
          </cell>
          <cell r="BE29" t="str">
            <v>United Kingdom</v>
          </cell>
          <cell r="BF29" t="str">
            <v>multi sector</v>
          </cell>
          <cell r="BH29">
            <v>500000000</v>
          </cell>
          <cell r="BI29">
            <v>500000000</v>
          </cell>
          <cell r="BJ29">
            <v>2017</v>
          </cell>
          <cell r="BK29">
            <v>2026</v>
          </cell>
          <cell r="BL29" t="str">
            <v>Yes</v>
          </cell>
          <cell r="BM29" t="str">
            <v>Yes</v>
          </cell>
          <cell r="BN29" t="str">
            <v>2 years fixed</v>
          </cell>
        </row>
        <row r="30">
          <cell r="A30">
            <v>17365</v>
          </cell>
          <cell r="B30" t="str">
            <v>GLOBAL REAL ESTATE DEBT PARTNERS – FUND I (UK)</v>
          </cell>
          <cell r="C30" t="str">
            <v>NUVEEN ALTERNATIVES EUROPE S.à R.L.</v>
          </cell>
          <cell r="D30" t="str">
            <v>201 Bishopsgate</v>
          </cell>
          <cell r="E30" t="str">
            <v>EC2M 3BN</v>
          </cell>
          <cell r="F30" t="str">
            <v>London</v>
          </cell>
          <cell r="G30" t="str">
            <v>United Kingdom</v>
          </cell>
          <cell r="H30" t="str">
            <v>+442037278000</v>
          </cell>
          <cell r="I30" t="str">
            <v>+442037278000</v>
          </cell>
          <cell r="J30" t="str">
            <v>https://www.nuveen.com/global/real-estate</v>
          </cell>
          <cell r="K30" t="str">
            <v>Christian Janssen</v>
          </cell>
          <cell r="L30" t="str">
            <v>christian.janseen@nuveenglobal.com</v>
          </cell>
          <cell r="M30" t="str">
            <v>+442037278000</v>
          </cell>
          <cell r="N30" t="str">
            <v>Gabi Stein</v>
          </cell>
          <cell r="O30" t="str">
            <v>Gabi.Stein@nuveenglobal.com</v>
          </cell>
          <cell r="P30" t="str">
            <v>+442037278000</v>
          </cell>
          <cell r="Q30" t="str">
            <v>Luxembourg</v>
          </cell>
          <cell r="R30" t="str">
            <v>GBP</v>
          </cell>
          <cell r="S30" t="str">
            <v>IFRS</v>
          </cell>
          <cell r="T30" t="str">
            <v>Quarterly</v>
          </cell>
          <cell r="U30" t="str">
            <v>Quarterly</v>
          </cell>
          <cell r="X30" t="str">
            <v>PwC</v>
          </cell>
          <cell r="Y30" t="str">
            <v>Limited Partnership</v>
          </cell>
          <cell r="AE30" t="str">
            <v>finite</v>
          </cell>
          <cell r="AF30" t="str">
            <v>Closed end</v>
          </cell>
          <cell r="AG30">
            <v>7</v>
          </cell>
          <cell r="AH30">
            <v>7</v>
          </cell>
          <cell r="AI30" t="str">
            <v>Net</v>
          </cell>
          <cell r="AK30" t="str">
            <v>6%</v>
          </cell>
          <cell r="AL30">
            <v>0</v>
          </cell>
          <cell r="AN30" t="str">
            <v>Institutional</v>
          </cell>
          <cell r="AR30" t="str">
            <v>75%</v>
          </cell>
          <cell r="AS30">
            <v>75</v>
          </cell>
          <cell r="AV30" t="str">
            <v>2 years</v>
          </cell>
          <cell r="AW30" t="str">
            <v>Both</v>
          </cell>
          <cell r="AY30" t="str">
            <v>Mixed: Senior+Subordinated</v>
          </cell>
          <cell r="AZ30" t="str">
            <v>6 years</v>
          </cell>
          <cell r="BA30" t="str">
            <v>≥ 50%</v>
          </cell>
          <cell r="BB30" t="str">
            <v>Europe</v>
          </cell>
          <cell r="BC30" t="str">
            <v>single country</v>
          </cell>
          <cell r="BE30" t="str">
            <v>United Kingdom</v>
          </cell>
          <cell r="BF30" t="str">
            <v>multi sector</v>
          </cell>
          <cell r="BH30">
            <v>300000000</v>
          </cell>
          <cell r="BI30">
            <v>300000000</v>
          </cell>
          <cell r="BJ30">
            <v>2014</v>
          </cell>
          <cell r="BK30">
            <v>2021</v>
          </cell>
          <cell r="BL30" t="str">
            <v>Yes</v>
          </cell>
          <cell r="BM30" t="str">
            <v>Yes</v>
          </cell>
          <cell r="BN30" t="str">
            <v>2 years fixed</v>
          </cell>
          <cell r="BS30" t="str">
            <v>2016-06-30</v>
          </cell>
          <cell r="BT30">
            <v>109900000</v>
          </cell>
          <cell r="BU30">
            <v>132861407</v>
          </cell>
          <cell r="BV30">
            <v>89400000</v>
          </cell>
          <cell r="BW30">
            <v>108078342</v>
          </cell>
          <cell r="BX30">
            <v>0</v>
          </cell>
          <cell r="CC30">
            <v>182905000</v>
          </cell>
          <cell r="CD30">
            <v>231457132.25</v>
          </cell>
          <cell r="CE30">
            <v>88500000</v>
          </cell>
          <cell r="CF30">
            <v>111992325</v>
          </cell>
          <cell r="CG30" t="str">
            <v>Yes</v>
          </cell>
          <cell r="CH30" t="str">
            <v>United Kingdom</v>
          </cell>
          <cell r="CI30" t="str">
            <v>Residential</v>
          </cell>
          <cell r="CJ30">
            <v>44.8</v>
          </cell>
          <cell r="CK30" t="str">
            <v>United Kingdom</v>
          </cell>
          <cell r="CL30" t="str">
            <v>Retail</v>
          </cell>
          <cell r="CM30">
            <v>1.9</v>
          </cell>
          <cell r="CN30" t="str">
            <v>United Kingdom</v>
          </cell>
          <cell r="CO30" t="str">
            <v>Office</v>
          </cell>
          <cell r="CP30">
            <v>30.2</v>
          </cell>
          <cell r="CQ30" t="str">
            <v>United Kingdom</v>
          </cell>
          <cell r="CR30" t="str">
            <v>Industrial / Logistics</v>
          </cell>
          <cell r="CS30">
            <v>2</v>
          </cell>
          <cell r="CT30" t="str">
            <v>United Kingdom</v>
          </cell>
          <cell r="CU30" t="str">
            <v>Other</v>
          </cell>
          <cell r="CV30">
            <v>21</v>
          </cell>
        </row>
        <row r="31">
          <cell r="A31">
            <v>18381</v>
          </cell>
          <cell r="B31" t="str">
            <v>GREENOAK EUROPE SECURED LENDING FUND</v>
          </cell>
          <cell r="C31" t="str">
            <v>BENTALLGREENOAK</v>
          </cell>
          <cell r="D31" t="str">
            <v>7 Seymour Street</v>
          </cell>
          <cell r="E31" t="str">
            <v>W1H 7JW</v>
          </cell>
          <cell r="F31" t="str">
            <v>London</v>
          </cell>
          <cell r="G31" t="str">
            <v>United Kingdom</v>
          </cell>
          <cell r="H31" t="str">
            <v>+442078668800</v>
          </cell>
          <cell r="I31" t="str">
            <v>+442078668800</v>
          </cell>
          <cell r="J31" t="str">
            <v>https://www.bentallgreenoak.com/</v>
          </cell>
          <cell r="K31" t="str">
            <v>Jim Blakemore</v>
          </cell>
          <cell r="L31" t="str">
            <v>jim.blakemore@bentallgreenoak.com</v>
          </cell>
          <cell r="M31" t="str">
            <v>+442078668800</v>
          </cell>
          <cell r="N31" t="str">
            <v>Manja Stueck</v>
          </cell>
          <cell r="O31" t="str">
            <v>manja.stueck@bentallgreenoak.com</v>
          </cell>
          <cell r="P31" t="str">
            <v>+442078668800</v>
          </cell>
          <cell r="Q31" t="str">
            <v>Luxembourg</v>
          </cell>
          <cell r="R31" t="str">
            <v>EUR</v>
          </cell>
          <cell r="S31" t="str">
            <v>IFRS</v>
          </cell>
          <cell r="T31" t="str">
            <v>Quarterly</v>
          </cell>
          <cell r="U31" t="str">
            <v>Quarterly</v>
          </cell>
          <cell r="W31" t="str">
            <v>IFRS NAV</v>
          </cell>
          <cell r="X31" t="str">
            <v>PwC</v>
          </cell>
          <cell r="Y31" t="str">
            <v>Limited Partnership</v>
          </cell>
          <cell r="Z31" t="str">
            <v>Yes</v>
          </cell>
          <cell r="AC31" t="str">
            <v>Non-Listed Fund</v>
          </cell>
          <cell r="AD31" t="str">
            <v>Value-added</v>
          </cell>
          <cell r="AE31" t="str">
            <v>finite</v>
          </cell>
          <cell r="AF31" t="str">
            <v>Closed end</v>
          </cell>
          <cell r="AG31">
            <v>7</v>
          </cell>
          <cell r="AH31">
            <v>9</v>
          </cell>
          <cell r="AI31" t="str">
            <v>Net</v>
          </cell>
          <cell r="AN31" t="str">
            <v>Institutional</v>
          </cell>
          <cell r="AO31" t="str">
            <v>&gt; 2</v>
          </cell>
          <cell r="AR31" t="str">
            <v>65 - 70%</v>
          </cell>
          <cell r="AS31">
            <v>75</v>
          </cell>
          <cell r="AT31">
            <v>20</v>
          </cell>
          <cell r="AU31">
            <v>25000000</v>
          </cell>
          <cell r="AV31" t="str">
            <v>2 years</v>
          </cell>
          <cell r="AW31" t="str">
            <v>Direct lending</v>
          </cell>
          <cell r="AY31" t="str">
            <v>Senior</v>
          </cell>
          <cell r="AZ31" t="str">
            <v>7 years</v>
          </cell>
          <cell r="BA31" t="str">
            <v>≥ 50%</v>
          </cell>
          <cell r="BB31" t="str">
            <v>Europe</v>
          </cell>
          <cell r="BC31" t="str">
            <v>multi country</v>
          </cell>
          <cell r="BD31" t="str">
            <v>Western Europe</v>
          </cell>
          <cell r="BF31" t="str">
            <v>multi sector</v>
          </cell>
          <cell r="BH31">
            <v>600000000</v>
          </cell>
          <cell r="BI31">
            <v>600000000</v>
          </cell>
          <cell r="BJ31">
            <v>2016</v>
          </cell>
          <cell r="BK31">
            <v>2024</v>
          </cell>
          <cell r="BL31" t="str">
            <v>Yes</v>
          </cell>
          <cell r="BM31" t="str">
            <v>Yes</v>
          </cell>
          <cell r="BN31" t="str">
            <v>1+1 years</v>
          </cell>
        </row>
        <row r="32">
          <cell r="A32">
            <v>17390</v>
          </cell>
          <cell r="B32" t="str">
            <v>GREENOAK UK SECURED LENDING FUND</v>
          </cell>
          <cell r="C32" t="str">
            <v>BENTALLGREENOAK</v>
          </cell>
          <cell r="D32" t="str">
            <v>7 Seymour Street</v>
          </cell>
          <cell r="E32" t="str">
            <v>W1H 7JW</v>
          </cell>
          <cell r="F32" t="str">
            <v>London</v>
          </cell>
          <cell r="G32" t="str">
            <v>United Kingdom</v>
          </cell>
          <cell r="H32" t="str">
            <v>+442078668800</v>
          </cell>
          <cell r="I32" t="str">
            <v>+442078668800</v>
          </cell>
          <cell r="J32" t="str">
            <v>https://www.bentallgreenoak.com</v>
          </cell>
          <cell r="K32" t="str">
            <v>Jim Blakemore</v>
          </cell>
          <cell r="L32" t="str">
            <v>jim.blakemore@bentallgreenoak.com</v>
          </cell>
          <cell r="M32" t="str">
            <v>+442078668800</v>
          </cell>
          <cell r="N32" t="str">
            <v>Manja Stueck</v>
          </cell>
          <cell r="O32" t="str">
            <v>manja.stueck@bentallgreenoak.com</v>
          </cell>
          <cell r="P32" t="str">
            <v>+442078668800</v>
          </cell>
          <cell r="Q32" t="str">
            <v>Jersey</v>
          </cell>
          <cell r="R32" t="str">
            <v>GBP</v>
          </cell>
          <cell r="S32" t="str">
            <v>IFRS</v>
          </cell>
          <cell r="T32" t="str">
            <v>Quarterly</v>
          </cell>
          <cell r="U32" t="str">
            <v>Quarterly</v>
          </cell>
          <cell r="W32" t="str">
            <v>IFRS NAV</v>
          </cell>
          <cell r="X32" t="str">
            <v>PwC</v>
          </cell>
          <cell r="Y32" t="str">
            <v>Limited Partnership</v>
          </cell>
          <cell r="Z32" t="str">
            <v>No</v>
          </cell>
          <cell r="AC32" t="str">
            <v>Non-Listed Fund</v>
          </cell>
          <cell r="AD32" t="str">
            <v>Value-added</v>
          </cell>
          <cell r="AE32" t="str">
            <v>finite</v>
          </cell>
          <cell r="AF32" t="str">
            <v>Closed end</v>
          </cell>
          <cell r="AG32">
            <v>7</v>
          </cell>
          <cell r="AH32">
            <v>9</v>
          </cell>
          <cell r="AI32" t="str">
            <v>Net</v>
          </cell>
          <cell r="AK32" t="str">
            <v>7%</v>
          </cell>
          <cell r="AL32">
            <v>0</v>
          </cell>
          <cell r="AN32" t="str">
            <v>Institutional</v>
          </cell>
          <cell r="AO32" t="str">
            <v>&gt; 2</v>
          </cell>
          <cell r="AR32" t="str">
            <v>65-70%</v>
          </cell>
          <cell r="AS32">
            <v>75</v>
          </cell>
          <cell r="AT32">
            <v>20</v>
          </cell>
          <cell r="AU32">
            <v>17500000</v>
          </cell>
          <cell r="AV32" t="str">
            <v>2 years</v>
          </cell>
          <cell r="AW32" t="str">
            <v>Direct lending</v>
          </cell>
          <cell r="AY32" t="str">
            <v>Senior</v>
          </cell>
          <cell r="AZ32" t="str">
            <v>7 years</v>
          </cell>
          <cell r="BA32" t="str">
            <v>≥ 50%</v>
          </cell>
          <cell r="BB32" t="str">
            <v>Europe</v>
          </cell>
          <cell r="BC32" t="str">
            <v>single country</v>
          </cell>
          <cell r="BE32" t="str">
            <v>United Kingdom</v>
          </cell>
          <cell r="BF32" t="str">
            <v>multi sector</v>
          </cell>
          <cell r="BH32">
            <v>300000000</v>
          </cell>
          <cell r="BI32">
            <v>300000000</v>
          </cell>
          <cell r="BJ32">
            <v>2013</v>
          </cell>
          <cell r="BK32">
            <v>2020</v>
          </cell>
          <cell r="BL32" t="str">
            <v>Yes</v>
          </cell>
          <cell r="BM32" t="str">
            <v>Yes</v>
          </cell>
          <cell r="BN32" t="str">
            <v>1+1 years</v>
          </cell>
          <cell r="BS32" t="str">
            <v>2020-12-31</v>
          </cell>
          <cell r="BU32">
            <v>0</v>
          </cell>
          <cell r="BW32">
            <v>0</v>
          </cell>
          <cell r="CD32">
            <v>0</v>
          </cell>
          <cell r="CG32" t="str">
            <v>No</v>
          </cell>
        </row>
        <row r="33">
          <cell r="A33">
            <v>18380</v>
          </cell>
          <cell r="B33" t="str">
            <v>GREENOAK UK SECURED LENDING FUND II</v>
          </cell>
          <cell r="C33" t="str">
            <v>BENTALLGREENOAK</v>
          </cell>
          <cell r="D33" t="str">
            <v>7 Seymour Street</v>
          </cell>
          <cell r="E33" t="str">
            <v>W1H 7JW</v>
          </cell>
          <cell r="F33" t="str">
            <v>London</v>
          </cell>
          <cell r="G33" t="str">
            <v>United Kingdom</v>
          </cell>
          <cell r="H33" t="str">
            <v>+442078668800</v>
          </cell>
          <cell r="I33" t="str">
            <v>+442078668800</v>
          </cell>
          <cell r="J33" t="str">
            <v>https://www.bentallgreenoak.com</v>
          </cell>
          <cell r="K33" t="str">
            <v>Jim Blakemore</v>
          </cell>
          <cell r="L33" t="str">
            <v>jim.blakemore@bentallgreenoak.com</v>
          </cell>
          <cell r="M33" t="str">
            <v>+442078668800</v>
          </cell>
          <cell r="N33" t="str">
            <v>Manja Stueck</v>
          </cell>
          <cell r="O33" t="str">
            <v>manja.stueck@bentallgreenoak.com</v>
          </cell>
          <cell r="P33" t="str">
            <v>+442078668800</v>
          </cell>
          <cell r="Q33" t="str">
            <v>Jersey</v>
          </cell>
          <cell r="R33" t="str">
            <v>GBP</v>
          </cell>
          <cell r="S33" t="str">
            <v>IFRS</v>
          </cell>
          <cell r="T33" t="str">
            <v>Quarterly</v>
          </cell>
          <cell r="U33" t="str">
            <v>Quarterly</v>
          </cell>
          <cell r="W33" t="str">
            <v>IFRS NAV</v>
          </cell>
          <cell r="X33" t="str">
            <v>PwC</v>
          </cell>
          <cell r="Y33" t="str">
            <v>Limited Partnership</v>
          </cell>
          <cell r="Z33" t="str">
            <v>No</v>
          </cell>
          <cell r="AC33" t="str">
            <v>Non-Listed Fund</v>
          </cell>
          <cell r="AD33" t="str">
            <v>Value-added</v>
          </cell>
          <cell r="AE33" t="str">
            <v>finite</v>
          </cell>
          <cell r="AF33" t="str">
            <v>Closed end</v>
          </cell>
          <cell r="AG33">
            <v>7</v>
          </cell>
          <cell r="AH33">
            <v>9</v>
          </cell>
          <cell r="AI33" t="str">
            <v>Net</v>
          </cell>
          <cell r="AN33" t="str">
            <v>Institutional</v>
          </cell>
          <cell r="AO33" t="str">
            <v>&gt; 2</v>
          </cell>
          <cell r="AR33" t="str">
            <v>65-70%</v>
          </cell>
          <cell r="AS33">
            <v>75</v>
          </cell>
          <cell r="AT33">
            <v>23</v>
          </cell>
          <cell r="AU33">
            <v>17500000</v>
          </cell>
          <cell r="AV33" t="str">
            <v>2 years</v>
          </cell>
          <cell r="AW33" t="str">
            <v>Direct lending</v>
          </cell>
          <cell r="AX33" t="str">
            <v>Book value(excl. amortisation)</v>
          </cell>
          <cell r="AY33" t="str">
            <v>Senior</v>
          </cell>
          <cell r="AZ33" t="str">
            <v>7 years</v>
          </cell>
          <cell r="BA33" t="str">
            <v>≥ 50%</v>
          </cell>
          <cell r="BB33" t="str">
            <v>Europe</v>
          </cell>
          <cell r="BC33" t="str">
            <v>single country</v>
          </cell>
          <cell r="BE33" t="str">
            <v>United Kingdom</v>
          </cell>
          <cell r="BF33" t="str">
            <v>multi sector</v>
          </cell>
          <cell r="BH33">
            <v>625000000</v>
          </cell>
          <cell r="BI33">
            <v>625000000</v>
          </cell>
          <cell r="BJ33">
            <v>2016</v>
          </cell>
          <cell r="BK33">
            <v>2024</v>
          </cell>
          <cell r="BL33" t="str">
            <v>Yes</v>
          </cell>
          <cell r="BM33" t="str">
            <v>Yes</v>
          </cell>
          <cell r="BN33" t="str">
            <v>1+1 years</v>
          </cell>
        </row>
        <row r="34">
          <cell r="A34">
            <v>18586</v>
          </cell>
          <cell r="B34" t="str">
            <v>HERMES EUROPEAN DIRECT LENDING FUND</v>
          </cell>
          <cell r="C34" t="str">
            <v xml:space="preserve">HERMES INVESTMENT MANAGEMENT LIMITED </v>
          </cell>
          <cell r="D34" t="str">
            <v>150 Cheapside</v>
          </cell>
          <cell r="E34" t="str">
            <v>EC2V 6ET</v>
          </cell>
          <cell r="F34" t="str">
            <v>London</v>
          </cell>
          <cell r="G34" t="str">
            <v>United Kingdom</v>
          </cell>
          <cell r="H34" t="str">
            <v xml:space="preserve"> +44 (0)20 7702 0888</v>
          </cell>
          <cell r="K34" t="str">
            <v>Patrick Marshall</v>
          </cell>
          <cell r="M34" t="str">
            <v>+44(0)20 7702 0888</v>
          </cell>
          <cell r="N34" t="str">
            <v>Doug Anderson</v>
          </cell>
          <cell r="O34" t="str">
            <v>Douglas.Anderson@hermes-investment.com</v>
          </cell>
          <cell r="P34" t="str">
            <v>0207 702 6127</v>
          </cell>
          <cell r="Q34" t="str">
            <v>Luxembourg</v>
          </cell>
          <cell r="R34" t="str">
            <v>EUR</v>
          </cell>
          <cell r="T34" t="str">
            <v>Quarterly</v>
          </cell>
          <cell r="U34" t="str">
            <v>Quarterly</v>
          </cell>
          <cell r="X34" t="str">
            <v>KPMG Luxembourg</v>
          </cell>
          <cell r="Y34" t="str">
            <v>SICAV SIF</v>
          </cell>
          <cell r="AA34" t="str">
            <v>No</v>
          </cell>
          <cell r="AF34" t="str">
            <v>Closed end</v>
          </cell>
          <cell r="AG34">
            <v>5</v>
          </cell>
          <cell r="AH34">
            <v>6</v>
          </cell>
          <cell r="AI34" t="str">
            <v>Gross</v>
          </cell>
          <cell r="AJ34" t="str">
            <v>n/a</v>
          </cell>
          <cell r="AN34" t="str">
            <v>Institutional</v>
          </cell>
          <cell r="AO34" t="str">
            <v>&gt; 2</v>
          </cell>
          <cell r="AT34" t="str">
            <v>50 - 70</v>
          </cell>
          <cell r="AU34" t="str">
            <v xml:space="preserve">Loan hold size will be a minimum 10% and on average 20-30% in a given deal. </v>
          </cell>
          <cell r="AV34" t="str">
            <v xml:space="preserve">The fund investment period is three years and six months from first close. </v>
          </cell>
          <cell r="AW34" t="str">
            <v>Direct lending</v>
          </cell>
          <cell r="AY34" t="str">
            <v>Senior</v>
          </cell>
          <cell r="AZ34" t="str">
            <v xml:space="preserve">The fund term is the seventh anniversary of the date of final closing. </v>
          </cell>
          <cell r="BA34" t="str">
            <v>≥ 50%</v>
          </cell>
          <cell r="BC34" t="str">
            <v>multi country</v>
          </cell>
          <cell r="BF34" t="str">
            <v>multi sector</v>
          </cell>
          <cell r="BH34">
            <v>1000000000</v>
          </cell>
          <cell r="BI34">
            <v>1000000000</v>
          </cell>
          <cell r="BJ34">
            <v>2011</v>
          </cell>
          <cell r="BM34" t="str">
            <v>Yes</v>
          </cell>
          <cell r="BN34" t="str">
            <v>1+1 years</v>
          </cell>
        </row>
        <row r="35">
          <cell r="A35">
            <v>18135</v>
          </cell>
          <cell r="B35" t="str">
            <v>ICG-LONGBOW SENIOR DEBT PROGRAMME VINTAGE I</v>
          </cell>
          <cell r="C35" t="str">
            <v>ICG PLC</v>
          </cell>
          <cell r="D35" t="str">
            <v>42 Wigmore Street</v>
          </cell>
          <cell r="E35" t="str">
            <v>W1U 2RY</v>
          </cell>
          <cell r="F35" t="str">
            <v>London</v>
          </cell>
          <cell r="G35" t="str">
            <v>United Kingdom</v>
          </cell>
          <cell r="H35" t="str">
            <v>+442032017500</v>
          </cell>
          <cell r="J35" t="str">
            <v>http://www.icgam.com</v>
          </cell>
          <cell r="K35" t="str">
            <v>David Mortimer</v>
          </cell>
          <cell r="L35" t="str">
            <v>David.mortimer@icgam.com</v>
          </cell>
          <cell r="M35" t="str">
            <v>+442032017500</v>
          </cell>
          <cell r="N35" t="str">
            <v>Cilla Yngvesson</v>
          </cell>
          <cell r="O35" t="str">
            <v>Cilla.Yngvesson@icgam.com</v>
          </cell>
          <cell r="P35" t="str">
            <v>+442032017772</v>
          </cell>
          <cell r="Q35" t="str">
            <v>United Kingdom</v>
          </cell>
          <cell r="R35" t="str">
            <v>GBP</v>
          </cell>
          <cell r="S35" t="str">
            <v>Local GAAP</v>
          </cell>
          <cell r="T35" t="str">
            <v>Quarterly</v>
          </cell>
          <cell r="U35" t="str">
            <v>Quarterly</v>
          </cell>
          <cell r="W35" t="str">
            <v>UK GAAP</v>
          </cell>
          <cell r="Y35" t="str">
            <v>Co-Investing Segregated Mandate</v>
          </cell>
          <cell r="Z35" t="str">
            <v>No</v>
          </cell>
          <cell r="AA35" t="str">
            <v>Yes</v>
          </cell>
          <cell r="AC35" t="str">
            <v>Co-Investing Segregated Mandates</v>
          </cell>
          <cell r="AD35" t="str">
            <v>Core</v>
          </cell>
          <cell r="AE35" t="str">
            <v>finite</v>
          </cell>
          <cell r="AF35" t="str">
            <v>Closed end</v>
          </cell>
          <cell r="AG35">
            <v>4</v>
          </cell>
          <cell r="AH35">
            <v>4</v>
          </cell>
          <cell r="AI35" t="str">
            <v>Net</v>
          </cell>
          <cell r="AN35" t="str">
            <v>Institutional</v>
          </cell>
          <cell r="AO35" t="str">
            <v>&gt; 2</v>
          </cell>
          <cell r="AR35" t="str">
            <v>N/A</v>
          </cell>
          <cell r="AS35">
            <v>65</v>
          </cell>
          <cell r="AT35">
            <v>15</v>
          </cell>
          <cell r="AU35">
            <v>25</v>
          </cell>
          <cell r="AV35" t="str">
            <v>1 year</v>
          </cell>
          <cell r="AW35" t="str">
            <v>Direct lending</v>
          </cell>
          <cell r="AX35" t="str">
            <v>Book value(excl. amortisation)</v>
          </cell>
          <cell r="AY35" t="str">
            <v>Senior</v>
          </cell>
          <cell r="AZ35" t="str">
            <v>N/A</v>
          </cell>
          <cell r="BA35" t="str">
            <v>&lt; 50%</v>
          </cell>
          <cell r="BB35" t="str">
            <v>Europe</v>
          </cell>
          <cell r="BC35" t="str">
            <v>single country</v>
          </cell>
          <cell r="BE35" t="str">
            <v>United Kingdom</v>
          </cell>
          <cell r="BF35" t="str">
            <v>multi sector</v>
          </cell>
          <cell r="BH35">
            <v>397000000</v>
          </cell>
          <cell r="BI35">
            <v>397000000</v>
          </cell>
          <cell r="BJ35">
            <v>2014</v>
          </cell>
          <cell r="BK35">
            <v>2026</v>
          </cell>
          <cell r="BL35" t="str">
            <v>Yes</v>
          </cell>
          <cell r="BM35" t="str">
            <v>Yes</v>
          </cell>
          <cell r="BN35" t="str">
            <v>1+1 years</v>
          </cell>
          <cell r="BS35" t="str">
            <v>2020-12-31</v>
          </cell>
          <cell r="BU35">
            <v>0</v>
          </cell>
          <cell r="BW35">
            <v>0</v>
          </cell>
          <cell r="CD35">
            <v>0</v>
          </cell>
        </row>
        <row r="36">
          <cell r="A36">
            <v>18136</v>
          </cell>
          <cell r="B36" t="str">
            <v>ICG-LONGBOW SENIOR DEBT PROGRAMME VINTAGE II</v>
          </cell>
          <cell r="C36" t="str">
            <v>ICG PLC</v>
          </cell>
          <cell r="D36" t="str">
            <v>42 Wigmore Street</v>
          </cell>
          <cell r="E36" t="str">
            <v>W1U 2RY</v>
          </cell>
          <cell r="F36" t="str">
            <v>London</v>
          </cell>
          <cell r="G36" t="str">
            <v>United Kingdom</v>
          </cell>
          <cell r="H36" t="str">
            <v>+442032017500</v>
          </cell>
          <cell r="J36" t="str">
            <v>http://www.icgam.com</v>
          </cell>
          <cell r="K36" t="str">
            <v>David Mortimer</v>
          </cell>
          <cell r="L36" t="str">
            <v>David.mortimer@icgam.com</v>
          </cell>
          <cell r="M36" t="str">
            <v>+442032017500</v>
          </cell>
          <cell r="N36" t="str">
            <v>Cilla Yngvesson</v>
          </cell>
          <cell r="O36" t="str">
            <v>Cilla.Yngvesson@icgam.com</v>
          </cell>
          <cell r="P36" t="str">
            <v>+442032017772</v>
          </cell>
          <cell r="Q36" t="str">
            <v>United Kingdom</v>
          </cell>
          <cell r="R36" t="str">
            <v>GBP</v>
          </cell>
          <cell r="S36" t="str">
            <v>Local GAAP</v>
          </cell>
          <cell r="T36" t="str">
            <v>Quarterly</v>
          </cell>
          <cell r="U36" t="str">
            <v>Quarterly</v>
          </cell>
          <cell r="W36" t="str">
            <v>UK GAAP</v>
          </cell>
          <cell r="Y36" t="str">
            <v>Co-Investing Segregated Mandate</v>
          </cell>
          <cell r="Z36" t="str">
            <v>No</v>
          </cell>
          <cell r="AA36" t="str">
            <v>Yes</v>
          </cell>
          <cell r="AC36" t="str">
            <v>Co-Investing Segregated Mandates</v>
          </cell>
          <cell r="AD36" t="str">
            <v>Core</v>
          </cell>
          <cell r="AE36" t="str">
            <v>finite</v>
          </cell>
          <cell r="AF36" t="str">
            <v>Closed end</v>
          </cell>
          <cell r="AG36">
            <v>3</v>
          </cell>
          <cell r="AI36" t="str">
            <v>Net</v>
          </cell>
          <cell r="AN36" t="str">
            <v>Institutional</v>
          </cell>
          <cell r="AO36" t="str">
            <v>≤ 2</v>
          </cell>
          <cell r="AR36" t="str">
            <v>N/A</v>
          </cell>
          <cell r="AS36">
            <v>65</v>
          </cell>
          <cell r="AT36">
            <v>17</v>
          </cell>
          <cell r="AU36">
            <v>25</v>
          </cell>
          <cell r="AV36" t="str">
            <v>1 year</v>
          </cell>
          <cell r="AW36" t="str">
            <v>Direct lending</v>
          </cell>
          <cell r="AX36" t="str">
            <v>Book value(excl. amortisation)</v>
          </cell>
          <cell r="AY36" t="str">
            <v>Senior</v>
          </cell>
          <cell r="AZ36">
            <v>12</v>
          </cell>
          <cell r="BA36" t="str">
            <v>&lt; 50%</v>
          </cell>
          <cell r="BB36" t="str">
            <v>Europe</v>
          </cell>
          <cell r="BC36" t="str">
            <v>single country</v>
          </cell>
          <cell r="BE36" t="str">
            <v>United Kingdom</v>
          </cell>
          <cell r="BF36" t="str">
            <v>multi sector</v>
          </cell>
          <cell r="BH36">
            <v>356000000</v>
          </cell>
          <cell r="BI36">
            <v>356000000</v>
          </cell>
          <cell r="BJ36">
            <v>2015</v>
          </cell>
          <cell r="BK36">
            <v>2025</v>
          </cell>
          <cell r="BL36" t="str">
            <v>Yes</v>
          </cell>
          <cell r="BM36" t="str">
            <v>Yes</v>
          </cell>
          <cell r="BN36" t="str">
            <v>1+1 years</v>
          </cell>
        </row>
        <row r="37">
          <cell r="A37">
            <v>18137</v>
          </cell>
          <cell r="B37" t="str">
            <v>ICG-LONGBOW SENIOR DEBT PROGRAMME VINTAGE III</v>
          </cell>
          <cell r="C37" t="str">
            <v>ICG PLC</v>
          </cell>
          <cell r="D37" t="str">
            <v>42 Wigmore Street</v>
          </cell>
          <cell r="E37" t="str">
            <v>W1U 2RY</v>
          </cell>
          <cell r="F37" t="str">
            <v>London</v>
          </cell>
          <cell r="G37" t="str">
            <v>United Kingdom</v>
          </cell>
          <cell r="H37" t="str">
            <v>+442032017500</v>
          </cell>
          <cell r="J37" t="str">
            <v>http://www.icgam.com</v>
          </cell>
          <cell r="K37" t="str">
            <v>David Mortimer</v>
          </cell>
          <cell r="L37" t="str">
            <v>David.mortimer@icgam.com</v>
          </cell>
          <cell r="M37" t="str">
            <v>+442032017500</v>
          </cell>
          <cell r="N37" t="str">
            <v>Cilla Yngvesson</v>
          </cell>
          <cell r="O37" t="str">
            <v>Cilla.Yngvesson@icgam.com</v>
          </cell>
          <cell r="P37" t="str">
            <v>+442032017772</v>
          </cell>
          <cell r="Q37" t="str">
            <v>United Kingdom</v>
          </cell>
          <cell r="R37" t="str">
            <v>GBP</v>
          </cell>
          <cell r="S37" t="str">
            <v>Local GAAP</v>
          </cell>
          <cell r="T37" t="str">
            <v>Quarterly</v>
          </cell>
          <cell r="U37" t="str">
            <v>Quarterly</v>
          </cell>
          <cell r="W37" t="str">
            <v>UK GAAP</v>
          </cell>
          <cell r="Y37" t="str">
            <v>Investment company</v>
          </cell>
          <cell r="Z37" t="str">
            <v>No</v>
          </cell>
          <cell r="AC37" t="str">
            <v>Co-Investing Segregated Mandates</v>
          </cell>
          <cell r="AD37" t="str">
            <v>Core</v>
          </cell>
          <cell r="AE37" t="str">
            <v>finite</v>
          </cell>
          <cell r="AF37" t="str">
            <v>Closed end</v>
          </cell>
          <cell r="AG37">
            <v>3</v>
          </cell>
          <cell r="AI37" t="str">
            <v>Net</v>
          </cell>
          <cell r="AN37" t="str">
            <v>Institutional</v>
          </cell>
          <cell r="AO37" t="str">
            <v>&gt; 2</v>
          </cell>
          <cell r="AR37" t="str">
            <v>0-65%</v>
          </cell>
          <cell r="AS37">
            <v>65</v>
          </cell>
          <cell r="AT37">
            <v>20</v>
          </cell>
          <cell r="AU37">
            <v>25</v>
          </cell>
          <cell r="AV37" t="str">
            <v>2 years</v>
          </cell>
          <cell r="AW37" t="str">
            <v>Direct lending</v>
          </cell>
          <cell r="AX37" t="str">
            <v>Book value(excl. amortisation)</v>
          </cell>
          <cell r="AY37" t="str">
            <v>Senior</v>
          </cell>
          <cell r="AZ37">
            <v>12</v>
          </cell>
          <cell r="BA37" t="str">
            <v>&lt; 50%</v>
          </cell>
          <cell r="BB37" t="str">
            <v>Europe</v>
          </cell>
          <cell r="BC37" t="str">
            <v>single country</v>
          </cell>
          <cell r="BE37" t="str">
            <v>United Kingdom</v>
          </cell>
          <cell r="BF37" t="str">
            <v>multi sector</v>
          </cell>
          <cell r="BH37">
            <v>370000000</v>
          </cell>
          <cell r="BI37">
            <v>370000000</v>
          </cell>
          <cell r="BJ37">
            <v>2016</v>
          </cell>
          <cell r="BK37">
            <v>2028</v>
          </cell>
          <cell r="BL37" t="str">
            <v>Yes</v>
          </cell>
          <cell r="BM37" t="str">
            <v>Yes</v>
          </cell>
          <cell r="BN37" t="str">
            <v>1+1 years</v>
          </cell>
        </row>
        <row r="38">
          <cell r="A38">
            <v>18441</v>
          </cell>
          <cell r="B38" t="str">
            <v>ICG-LONGBOW SENIOR DEBT PROGRAMME – VINTAGE IV</v>
          </cell>
          <cell r="C38" t="str">
            <v>ICG PLC</v>
          </cell>
          <cell r="D38" t="str">
            <v>42 Wigmore Street</v>
          </cell>
          <cell r="E38" t="str">
            <v>W1U 2RY</v>
          </cell>
          <cell r="F38" t="str">
            <v>London</v>
          </cell>
          <cell r="G38" t="str">
            <v>United Kingdom</v>
          </cell>
          <cell r="H38" t="str">
            <v>+442032017500</v>
          </cell>
          <cell r="J38" t="str">
            <v>http://www.icgam.com</v>
          </cell>
          <cell r="K38" t="str">
            <v>David Mortimer</v>
          </cell>
          <cell r="L38" t="str">
            <v>David.mortimer@icgam.com</v>
          </cell>
          <cell r="M38" t="str">
            <v>+442032017500</v>
          </cell>
          <cell r="N38" t="str">
            <v>Cilla Yngvesson</v>
          </cell>
          <cell r="O38" t="str">
            <v>cilla.yngvesson@icgam.com</v>
          </cell>
          <cell r="P38" t="str">
            <v>+44202 3201 7772</v>
          </cell>
          <cell r="Q38" t="str">
            <v>United Kingdom</v>
          </cell>
          <cell r="R38" t="str">
            <v>GBP</v>
          </cell>
          <cell r="S38" t="str">
            <v>Local GAAP</v>
          </cell>
          <cell r="T38" t="str">
            <v>Quarterly</v>
          </cell>
          <cell r="U38" t="str">
            <v>Quarterly</v>
          </cell>
          <cell r="W38" t="str">
            <v>UK GAAP</v>
          </cell>
          <cell r="Y38" t="str">
            <v>Limited Partnership</v>
          </cell>
          <cell r="Z38" t="str">
            <v>No</v>
          </cell>
          <cell r="AA38" t="str">
            <v>Yes</v>
          </cell>
          <cell r="AC38" t="str">
            <v>Non-Listed Fund</v>
          </cell>
          <cell r="AD38" t="str">
            <v>Core</v>
          </cell>
          <cell r="AE38" t="str">
            <v>finite</v>
          </cell>
          <cell r="AF38" t="str">
            <v>Closed end</v>
          </cell>
          <cell r="AG38">
            <v>3</v>
          </cell>
          <cell r="AH38">
            <v>3</v>
          </cell>
          <cell r="AI38" t="str">
            <v>Net</v>
          </cell>
          <cell r="AN38" t="str">
            <v>Institutional</v>
          </cell>
          <cell r="AO38" t="str">
            <v>&gt; 2</v>
          </cell>
          <cell r="AR38" t="str">
            <v>0-65%</v>
          </cell>
          <cell r="AS38">
            <v>65</v>
          </cell>
          <cell r="AT38">
            <v>20</v>
          </cell>
          <cell r="AU38">
            <v>25</v>
          </cell>
          <cell r="AV38" t="str">
            <v>2 years</v>
          </cell>
          <cell r="AW38" t="str">
            <v>Both</v>
          </cell>
          <cell r="AX38" t="str">
            <v>Book value(excl. amortisation)</v>
          </cell>
          <cell r="AY38" t="str">
            <v>Senior</v>
          </cell>
          <cell r="AZ38" t="str">
            <v>12 years</v>
          </cell>
          <cell r="BA38" t="str">
            <v>≥ 50%</v>
          </cell>
          <cell r="BB38" t="str">
            <v>Europe</v>
          </cell>
          <cell r="BC38" t="str">
            <v>single country</v>
          </cell>
          <cell r="BE38" t="str">
            <v>United Kingdom</v>
          </cell>
          <cell r="BF38" t="str">
            <v>multi sector</v>
          </cell>
          <cell r="BH38">
            <v>1000000000</v>
          </cell>
          <cell r="BI38">
            <v>1000000000</v>
          </cell>
          <cell r="BJ38">
            <v>2019</v>
          </cell>
          <cell r="BK38">
            <v>2031</v>
          </cell>
          <cell r="BL38" t="str">
            <v>Yes</v>
          </cell>
          <cell r="BM38" t="str">
            <v>Yes</v>
          </cell>
          <cell r="BN38" t="str">
            <v>1+1 years</v>
          </cell>
        </row>
        <row r="39">
          <cell r="A39">
            <v>17392</v>
          </cell>
          <cell r="B39" t="str">
            <v>ICG-LONGBOW UK REAL ESTATE DEBT INVESTMENTS III</v>
          </cell>
          <cell r="C39" t="str">
            <v>ICG PLC</v>
          </cell>
          <cell r="D39" t="str">
            <v>42 Wigmore Street</v>
          </cell>
          <cell r="E39" t="str">
            <v>W1U 2RY</v>
          </cell>
          <cell r="F39" t="str">
            <v>London</v>
          </cell>
          <cell r="G39" t="str">
            <v>United Kingdom</v>
          </cell>
          <cell r="H39" t="str">
            <v>+442032017500</v>
          </cell>
          <cell r="J39" t="str">
            <v>http://www.icgam.com</v>
          </cell>
          <cell r="K39" t="str">
            <v>Kevin Crowley</v>
          </cell>
          <cell r="L39" t="str">
            <v>Kevin.crowley@icgam.com</v>
          </cell>
          <cell r="M39" t="str">
            <v>+442032017500</v>
          </cell>
          <cell r="N39" t="str">
            <v>Cilla Yngvesson</v>
          </cell>
          <cell r="O39" t="str">
            <v>Cilla.Yngvesson@icgam.com</v>
          </cell>
          <cell r="P39" t="str">
            <v>+442032017772</v>
          </cell>
          <cell r="Q39" t="str">
            <v>Luxembourg</v>
          </cell>
          <cell r="R39" t="str">
            <v>GBP</v>
          </cell>
          <cell r="S39" t="str">
            <v>Local GAAP</v>
          </cell>
          <cell r="T39" t="str">
            <v>Quarterly</v>
          </cell>
          <cell r="U39" t="str">
            <v>Quarterly</v>
          </cell>
          <cell r="W39" t="str">
            <v>LUX GAAP</v>
          </cell>
          <cell r="X39" t="str">
            <v>Deloitte S.A</v>
          </cell>
          <cell r="Y39" t="str">
            <v>Limited Partnership</v>
          </cell>
          <cell r="Z39" t="str">
            <v>No</v>
          </cell>
          <cell r="AA39" t="str">
            <v>Yes</v>
          </cell>
          <cell r="AC39" t="str">
            <v>Non-Listed Fund</v>
          </cell>
          <cell r="AD39" t="str">
            <v>Value-added</v>
          </cell>
          <cell r="AE39" t="str">
            <v>finite</v>
          </cell>
          <cell r="AF39" t="str">
            <v>Closed end</v>
          </cell>
          <cell r="AG39">
            <v>11</v>
          </cell>
          <cell r="AH39">
            <v>11</v>
          </cell>
          <cell r="AI39" t="str">
            <v>Net</v>
          </cell>
          <cell r="AJ39" t="str">
            <v>Not applicable</v>
          </cell>
          <cell r="AN39" t="str">
            <v>Institutional</v>
          </cell>
          <cell r="AO39" t="str">
            <v>&gt; 2</v>
          </cell>
          <cell r="AP39">
            <v>691319000</v>
          </cell>
          <cell r="AR39">
            <v>81</v>
          </cell>
          <cell r="AS39">
            <v>85</v>
          </cell>
          <cell r="AT39">
            <v>32</v>
          </cell>
          <cell r="AU39">
            <v>23</v>
          </cell>
          <cell r="AV39" t="str">
            <v>2 years</v>
          </cell>
          <cell r="AW39" t="str">
            <v>Both</v>
          </cell>
          <cell r="AX39" t="str">
            <v>Book value(excl. amortisation)</v>
          </cell>
          <cell r="AY39" t="str">
            <v>Mixed: Senior+Subordinated+Preferred equity</v>
          </cell>
          <cell r="AZ39" t="str">
            <v xml:space="preserve">7 years from Initial closing </v>
          </cell>
          <cell r="BA39" t="str">
            <v>≥ 50%</v>
          </cell>
          <cell r="BB39" t="str">
            <v>Europe</v>
          </cell>
          <cell r="BC39" t="str">
            <v>single country</v>
          </cell>
          <cell r="BE39" t="str">
            <v>United Kingdom</v>
          </cell>
          <cell r="BF39" t="str">
            <v>multi sector</v>
          </cell>
          <cell r="BH39">
            <v>700000000</v>
          </cell>
          <cell r="BI39">
            <v>700000000</v>
          </cell>
          <cell r="BJ39">
            <v>2012</v>
          </cell>
          <cell r="BK39">
            <v>2021</v>
          </cell>
          <cell r="BL39" t="str">
            <v>Yes</v>
          </cell>
          <cell r="BM39" t="str">
            <v>Yes</v>
          </cell>
          <cell r="BN39" t="str">
            <v>1+1 years</v>
          </cell>
          <cell r="BS39" t="str">
            <v>2015-06-30</v>
          </cell>
          <cell r="BT39">
            <v>564968000</v>
          </cell>
          <cell r="BU39">
            <v>800531407.60000002</v>
          </cell>
          <cell r="BV39">
            <v>565693400</v>
          </cell>
          <cell r="BW39">
            <v>801559263.13</v>
          </cell>
          <cell r="BY39" t="str">
            <v>No</v>
          </cell>
          <cell r="CA39">
            <v>20</v>
          </cell>
          <cell r="CC39">
            <v>700000000</v>
          </cell>
          <cell r="CD39">
            <v>962066000</v>
          </cell>
          <cell r="CE39">
            <v>691319000</v>
          </cell>
          <cell r="CF39">
            <v>950135007.22000003</v>
          </cell>
          <cell r="CG39" t="str">
            <v>No</v>
          </cell>
          <cell r="CH39" t="str">
            <v>United Kingdom</v>
          </cell>
          <cell r="CI39" t="str">
            <v>Office</v>
          </cell>
          <cell r="CJ39">
            <v>23</v>
          </cell>
          <cell r="CK39" t="str">
            <v>United Kingdom</v>
          </cell>
          <cell r="CL39" t="str">
            <v>Industrial / Logistics</v>
          </cell>
          <cell r="CM39">
            <v>25</v>
          </cell>
          <cell r="CN39" t="str">
            <v>United Kingdom</v>
          </cell>
          <cell r="CO39" t="str">
            <v>Retail</v>
          </cell>
          <cell r="CP39">
            <v>4</v>
          </cell>
          <cell r="CQ39" t="str">
            <v>United Kingdom</v>
          </cell>
          <cell r="CR39" t="str">
            <v>Leisure</v>
          </cell>
          <cell r="CS39">
            <v>15</v>
          </cell>
          <cell r="CT39" t="str">
            <v>United Kingdom</v>
          </cell>
          <cell r="CU39" t="str">
            <v>Mixed</v>
          </cell>
          <cell r="CV39">
            <v>12</v>
          </cell>
          <cell r="CW39" t="str">
            <v>United Kingdom</v>
          </cell>
          <cell r="CX39" t="str">
            <v>Other</v>
          </cell>
          <cell r="CY39">
            <v>21</v>
          </cell>
        </row>
        <row r="40">
          <cell r="A40">
            <v>17695</v>
          </cell>
          <cell r="B40" t="str">
            <v>ICG-LONGBOW UK REAL ESTATE DEBT INVESTMENTS IV</v>
          </cell>
          <cell r="C40" t="str">
            <v>ICG PLC</v>
          </cell>
          <cell r="D40" t="str">
            <v>42 Wigmore Street</v>
          </cell>
          <cell r="E40" t="str">
            <v>W1U 2RY</v>
          </cell>
          <cell r="F40" t="str">
            <v>London</v>
          </cell>
          <cell r="G40" t="str">
            <v>United Kingdom</v>
          </cell>
          <cell r="H40" t="str">
            <v>+442032017500</v>
          </cell>
          <cell r="J40" t="str">
            <v>http://www.icgam.com</v>
          </cell>
          <cell r="K40" t="str">
            <v>Kevin Crowley</v>
          </cell>
          <cell r="L40" t="str">
            <v>Kevin.crowley@icgam.com</v>
          </cell>
          <cell r="M40" t="str">
            <v>+442032017500</v>
          </cell>
          <cell r="N40" t="str">
            <v>Cilla Yngvesson</v>
          </cell>
          <cell r="O40" t="str">
            <v>Cilla.Yngvesson@icgam.com</v>
          </cell>
          <cell r="P40" t="str">
            <v>+442032017772</v>
          </cell>
          <cell r="Q40" t="str">
            <v>Luxembourg</v>
          </cell>
          <cell r="R40" t="str">
            <v>GBP</v>
          </cell>
          <cell r="S40" t="str">
            <v>Local GAAP</v>
          </cell>
          <cell r="T40" t="str">
            <v>Quarterly</v>
          </cell>
          <cell r="U40" t="str">
            <v>Quarterly</v>
          </cell>
          <cell r="W40" t="str">
            <v>LUX GAAP</v>
          </cell>
          <cell r="X40" t="str">
            <v>Deloitte S.A</v>
          </cell>
          <cell r="Y40" t="str">
            <v>Limited Partnership</v>
          </cell>
          <cell r="Z40" t="str">
            <v>No</v>
          </cell>
          <cell r="AA40" t="str">
            <v>Yes</v>
          </cell>
          <cell r="AC40" t="str">
            <v>Non-Listed Fund</v>
          </cell>
          <cell r="AD40" t="str">
            <v>Value-added</v>
          </cell>
          <cell r="AE40" t="str">
            <v>finite</v>
          </cell>
          <cell r="AF40" t="str">
            <v>Closed end</v>
          </cell>
          <cell r="AG40">
            <v>9</v>
          </cell>
          <cell r="AH40">
            <v>10</v>
          </cell>
          <cell r="AI40" t="str">
            <v>Net</v>
          </cell>
          <cell r="AN40" t="str">
            <v>Institutional</v>
          </cell>
          <cell r="AO40" t="str">
            <v>&gt; 2</v>
          </cell>
          <cell r="AR40">
            <v>78</v>
          </cell>
          <cell r="AS40">
            <v>85</v>
          </cell>
          <cell r="AT40">
            <v>24</v>
          </cell>
          <cell r="AU40">
            <v>33</v>
          </cell>
          <cell r="AV40" t="str">
            <v>3 Years from First Close</v>
          </cell>
          <cell r="AW40" t="str">
            <v>Both</v>
          </cell>
          <cell r="AX40" t="str">
            <v>Book value(excl. amortisation)</v>
          </cell>
          <cell r="AY40" t="str">
            <v>Mixed: Senior+Subordinated+Preferred equity</v>
          </cell>
          <cell r="AZ40" t="str">
            <v>7 years from initial close</v>
          </cell>
          <cell r="BA40" t="str">
            <v>≥ 50%</v>
          </cell>
          <cell r="BB40" t="str">
            <v>Europe</v>
          </cell>
          <cell r="BC40" t="str">
            <v>single country</v>
          </cell>
          <cell r="BE40" t="str">
            <v>United Kingdom</v>
          </cell>
          <cell r="BF40" t="str">
            <v>multi sector</v>
          </cell>
          <cell r="BH40">
            <v>750000000</v>
          </cell>
          <cell r="BI40">
            <v>750000000</v>
          </cell>
          <cell r="BJ40">
            <v>2015</v>
          </cell>
          <cell r="BK40">
            <v>2022</v>
          </cell>
          <cell r="BL40" t="str">
            <v>Yes</v>
          </cell>
          <cell r="BM40" t="str">
            <v>Yes</v>
          </cell>
          <cell r="BN40" t="str">
            <v>1+1 years</v>
          </cell>
        </row>
        <row r="41">
          <cell r="A41">
            <v>18440</v>
          </cell>
          <cell r="B41" t="str">
            <v>ICG-LONGBOW UK REAL ESTATE DEBT INVESTMENTS V</v>
          </cell>
          <cell r="C41" t="str">
            <v>ICG PLC</v>
          </cell>
          <cell r="D41" t="str">
            <v>42 Wigmore Street</v>
          </cell>
          <cell r="E41" t="str">
            <v>W1U 2RY</v>
          </cell>
          <cell r="F41" t="str">
            <v>London</v>
          </cell>
          <cell r="G41" t="str">
            <v>United Kingdom</v>
          </cell>
          <cell r="H41" t="str">
            <v>+442032017500</v>
          </cell>
          <cell r="J41" t="str">
            <v>http://www.icgam.com</v>
          </cell>
          <cell r="K41" t="str">
            <v>Kevin Crowley</v>
          </cell>
          <cell r="L41" t="str">
            <v>Kevin.crowley@icgam.com</v>
          </cell>
          <cell r="M41" t="str">
            <v>+442032017500</v>
          </cell>
          <cell r="N41" t="str">
            <v>Cilla Yngvesson</v>
          </cell>
          <cell r="O41" t="str">
            <v>cilla.yngvesson@icgam.com</v>
          </cell>
          <cell r="P41" t="str">
            <v>+442032017772</v>
          </cell>
          <cell r="Q41" t="str">
            <v>Luxembourg</v>
          </cell>
          <cell r="R41" t="str">
            <v>GBP</v>
          </cell>
          <cell r="S41" t="str">
            <v>IFRS</v>
          </cell>
          <cell r="T41" t="str">
            <v>Quarterly</v>
          </cell>
          <cell r="U41" t="str">
            <v>Quarterly</v>
          </cell>
          <cell r="X41" t="str">
            <v>Deloitte S.A</v>
          </cell>
          <cell r="Y41" t="str">
            <v>Limited Partnership</v>
          </cell>
          <cell r="AA41" t="str">
            <v>Yes</v>
          </cell>
          <cell r="AC41" t="str">
            <v>Non-Listed Fund</v>
          </cell>
          <cell r="AD41" t="str">
            <v>Value-added</v>
          </cell>
          <cell r="AE41" t="str">
            <v>finite</v>
          </cell>
          <cell r="AF41" t="str">
            <v>Closed end</v>
          </cell>
          <cell r="AG41">
            <v>9</v>
          </cell>
          <cell r="AH41">
            <v>9</v>
          </cell>
          <cell r="AI41" t="str">
            <v>Net</v>
          </cell>
          <cell r="AJ41" t="str">
            <v>N/A</v>
          </cell>
          <cell r="AN41" t="str">
            <v>Institutional</v>
          </cell>
          <cell r="AO41" t="str">
            <v>&gt; 2</v>
          </cell>
          <cell r="AR41" t="str">
            <v>0-85</v>
          </cell>
          <cell r="AS41">
            <v>85</v>
          </cell>
          <cell r="AT41">
            <v>25</v>
          </cell>
          <cell r="AU41">
            <v>35</v>
          </cell>
          <cell r="AV41" t="str">
            <v>3 years</v>
          </cell>
          <cell r="AW41" t="str">
            <v>Both</v>
          </cell>
          <cell r="AX41" t="str">
            <v>Book value(excl. amortisation)</v>
          </cell>
          <cell r="AY41" t="str">
            <v>Mixed: Senior+Subordinated+Preferred equity</v>
          </cell>
          <cell r="AZ41" t="str">
            <v>7 years</v>
          </cell>
          <cell r="BA41" t="str">
            <v>≥ 50%</v>
          </cell>
          <cell r="BB41" t="str">
            <v>Europe</v>
          </cell>
          <cell r="BC41" t="str">
            <v>single country</v>
          </cell>
          <cell r="BE41" t="str">
            <v>United Kingdom</v>
          </cell>
          <cell r="BF41" t="str">
            <v>multi sector</v>
          </cell>
          <cell r="BH41">
            <v>1000000000</v>
          </cell>
          <cell r="BI41">
            <v>1000000000</v>
          </cell>
          <cell r="BJ41">
            <v>2018</v>
          </cell>
          <cell r="BK41">
            <v>2025</v>
          </cell>
          <cell r="BL41" t="str">
            <v>Yes</v>
          </cell>
          <cell r="BM41" t="str">
            <v>Yes</v>
          </cell>
          <cell r="BN41" t="str">
            <v>1+1 years</v>
          </cell>
        </row>
        <row r="42">
          <cell r="A42">
            <v>17373</v>
          </cell>
          <cell r="B42" t="str">
            <v>III RE</v>
          </cell>
          <cell r="C42" t="str">
            <v>BNP PARIBAS REIM GERMANY</v>
          </cell>
          <cell r="D42" t="str">
            <v>Albrechtstrasse 14</v>
          </cell>
          <cell r="E42">
            <v>80636</v>
          </cell>
          <cell r="F42" t="str">
            <v>Muenchen</v>
          </cell>
          <cell r="G42" t="str">
            <v>Germany</v>
          </cell>
          <cell r="H42" t="str">
            <v>+498912173121</v>
          </cell>
          <cell r="I42" t="str">
            <v>+498912173121</v>
          </cell>
          <cell r="J42" t="str">
            <v>http://www.reim.bnpparibas.de</v>
          </cell>
          <cell r="K42" t="str">
            <v>Stefanie Gertz</v>
          </cell>
          <cell r="L42" t="str">
            <v>stefanie.gertz@bnpparibas.com</v>
          </cell>
          <cell r="M42" t="str">
            <v>+498912173121</v>
          </cell>
          <cell r="Q42" t="str">
            <v>Germany</v>
          </cell>
          <cell r="R42" t="str">
            <v>EUR</v>
          </cell>
          <cell r="S42" t="str">
            <v>Local GAAP</v>
          </cell>
          <cell r="T42" t="str">
            <v>Quarterly</v>
          </cell>
          <cell r="U42" t="str">
            <v>Quarterly</v>
          </cell>
          <cell r="AF42" t="str">
            <v>Open end</v>
          </cell>
          <cell r="AG42">
            <v>5</v>
          </cell>
          <cell r="AH42">
            <v>6</v>
          </cell>
          <cell r="AK42" t="str">
            <v>5%</v>
          </cell>
          <cell r="AL42">
            <v>0</v>
          </cell>
          <cell r="AP42">
            <v>14900000</v>
          </cell>
          <cell r="AQ42">
            <v>1</v>
          </cell>
          <cell r="AR42" t="str">
            <v>70%</v>
          </cell>
          <cell r="AS42">
            <v>75</v>
          </cell>
          <cell r="AV42" t="str">
            <v>&gt; 2 years</v>
          </cell>
          <cell r="AW42" t="str">
            <v>Loan acquisition</v>
          </cell>
          <cell r="AY42" t="str">
            <v>Mixed: Senior+Subordinated</v>
          </cell>
          <cell r="AZ42" t="str">
            <v>Strategy based</v>
          </cell>
          <cell r="BB42" t="str">
            <v>Europe</v>
          </cell>
          <cell r="BC42" t="str">
            <v>single country</v>
          </cell>
          <cell r="BE42" t="str">
            <v>Germany</v>
          </cell>
          <cell r="BF42" t="str">
            <v>multi sector</v>
          </cell>
          <cell r="BH42">
            <v>200000000</v>
          </cell>
          <cell r="BI42">
            <v>200000000</v>
          </cell>
          <cell r="BJ42">
            <v>2013</v>
          </cell>
          <cell r="BM42" t="str">
            <v>No</v>
          </cell>
          <cell r="BS42" t="str">
            <v>2014-06-30</v>
          </cell>
          <cell r="BT42">
            <v>39500000</v>
          </cell>
          <cell r="BU42">
            <v>39500000</v>
          </cell>
          <cell r="BV42">
            <v>16500000</v>
          </cell>
          <cell r="BW42">
            <v>16500000</v>
          </cell>
          <cell r="BX42">
            <v>0</v>
          </cell>
          <cell r="BY42" t="str">
            <v>No</v>
          </cell>
          <cell r="CC42">
            <v>200000000</v>
          </cell>
          <cell r="CD42">
            <v>200000000</v>
          </cell>
          <cell r="CF42">
            <v>0</v>
          </cell>
          <cell r="CG42" t="str">
            <v>No</v>
          </cell>
          <cell r="CH42" t="str">
            <v>Germany</v>
          </cell>
          <cell r="CI42" t="str">
            <v>Residential</v>
          </cell>
          <cell r="CJ42">
            <v>100</v>
          </cell>
        </row>
        <row r="43">
          <cell r="A43">
            <v>17362</v>
          </cell>
          <cell r="B43" t="str">
            <v>LASALLE REAL ESTATE DEBT STRATEGIES II</v>
          </cell>
          <cell r="C43" t="str">
            <v>LASALLE INVESTMENT MANAGEMENT</v>
          </cell>
          <cell r="D43" t="str">
            <v>One Curzon Street</v>
          </cell>
          <cell r="E43" t="str">
            <v>W1J 5HD</v>
          </cell>
          <cell r="F43" t="str">
            <v>London</v>
          </cell>
          <cell r="G43" t="str">
            <v>United Kingdom</v>
          </cell>
          <cell r="H43" t="str">
            <v>+442078524418</v>
          </cell>
          <cell r="I43">
            <v>0</v>
          </cell>
          <cell r="J43" t="str">
            <v>http://www.lasalle.com</v>
          </cell>
          <cell r="K43" t="str">
            <v>Marc Tevendale</v>
          </cell>
          <cell r="L43" t="str">
            <v>marc.tevendale@lasalle.com</v>
          </cell>
          <cell r="M43">
            <v>0</v>
          </cell>
          <cell r="N43" t="str">
            <v>Anne Lucking</v>
          </cell>
          <cell r="O43" t="str">
            <v>anne.lucking@lasalle.com</v>
          </cell>
          <cell r="P43" t="str">
            <v>+442078524409</v>
          </cell>
          <cell r="Q43" t="str">
            <v>United Kingdom</v>
          </cell>
          <cell r="R43" t="str">
            <v>GBP</v>
          </cell>
          <cell r="S43" t="str">
            <v>IFRS</v>
          </cell>
          <cell r="T43" t="str">
            <v>Quarterly</v>
          </cell>
          <cell r="U43" t="str">
            <v>Quarterly</v>
          </cell>
          <cell r="W43" t="str">
            <v>IFRS NAV</v>
          </cell>
          <cell r="Y43" t="str">
            <v>Limited Partnership</v>
          </cell>
          <cell r="Z43" t="str">
            <v>Yes</v>
          </cell>
          <cell r="AC43" t="str">
            <v>Non-Listed Fund</v>
          </cell>
          <cell r="AD43" t="str">
            <v>Value-added</v>
          </cell>
          <cell r="AE43" t="str">
            <v>finite</v>
          </cell>
          <cell r="AF43" t="str">
            <v>Closed end</v>
          </cell>
          <cell r="AG43">
            <v>10</v>
          </cell>
          <cell r="AH43">
            <v>13</v>
          </cell>
          <cell r="AI43" t="str">
            <v>Gross</v>
          </cell>
          <cell r="AK43" t="str">
            <v>8%</v>
          </cell>
          <cell r="AL43">
            <v>0</v>
          </cell>
          <cell r="AN43" t="str">
            <v>Institutional</v>
          </cell>
          <cell r="AO43" t="str">
            <v>&gt; 2</v>
          </cell>
          <cell r="AR43" t="str">
            <v>--</v>
          </cell>
          <cell r="AS43">
            <v>80</v>
          </cell>
          <cell r="AT43">
            <v>22</v>
          </cell>
          <cell r="AU43">
            <v>25000000</v>
          </cell>
          <cell r="AV43" t="str">
            <v>&gt;2 years</v>
          </cell>
          <cell r="AW43" t="str">
            <v>Both</v>
          </cell>
          <cell r="AX43" t="str">
            <v>Book value(excl. amortisation)</v>
          </cell>
          <cell r="AY43" t="str">
            <v>Mixed: Senior+Subordinated</v>
          </cell>
          <cell r="AZ43" t="str">
            <v>7 years</v>
          </cell>
          <cell r="BA43" t="str">
            <v>≥ 50%</v>
          </cell>
          <cell r="BB43" t="str">
            <v>Europe</v>
          </cell>
          <cell r="BC43" t="str">
            <v>multi country</v>
          </cell>
          <cell r="BD43" t="str">
            <v>Western Europe</v>
          </cell>
          <cell r="BF43" t="str">
            <v>multi sector</v>
          </cell>
          <cell r="BH43">
            <v>600000000</v>
          </cell>
          <cell r="BI43">
            <v>600000000</v>
          </cell>
          <cell r="BJ43">
            <v>2013</v>
          </cell>
          <cell r="BK43">
            <v>2020</v>
          </cell>
          <cell r="BL43" t="str">
            <v>Yes</v>
          </cell>
          <cell r="BM43" t="str">
            <v>Yes</v>
          </cell>
          <cell r="BN43" t="str">
            <v>1+1 years</v>
          </cell>
          <cell r="BO43" t="str">
            <v>No</v>
          </cell>
          <cell r="BS43" t="str">
            <v>2020-06-30</v>
          </cell>
          <cell r="BU43">
            <v>0</v>
          </cell>
          <cell r="BW43">
            <v>0</v>
          </cell>
          <cell r="CD43">
            <v>0</v>
          </cell>
        </row>
        <row r="44">
          <cell r="A44">
            <v>17364</v>
          </cell>
          <cell r="B44" t="str">
            <v>LASALLE RESIDENTIAL FINANCE FUND I &amp; II</v>
          </cell>
          <cell r="C44" t="str">
            <v>LASALLE INVESTMENT MANAGEMENT</v>
          </cell>
          <cell r="D44" t="str">
            <v>One Curzon Street</v>
          </cell>
          <cell r="E44" t="str">
            <v>W1J 5HD</v>
          </cell>
          <cell r="F44" t="str">
            <v>London</v>
          </cell>
          <cell r="G44" t="str">
            <v>United Kingdom</v>
          </cell>
          <cell r="H44" t="str">
            <v>+442078524418</v>
          </cell>
          <cell r="I44" t="str">
            <v>+442078524418</v>
          </cell>
          <cell r="J44" t="str">
            <v>http://www.lasalle.com</v>
          </cell>
          <cell r="K44" t="str">
            <v>Robert Fay</v>
          </cell>
          <cell r="L44" t="str">
            <v>robert.fay@lasalle.com</v>
          </cell>
          <cell r="M44" t="str">
            <v>+442078524467</v>
          </cell>
          <cell r="N44" t="str">
            <v>Anne Lucking</v>
          </cell>
          <cell r="O44" t="str">
            <v>anne.lucking@lasalle.com</v>
          </cell>
          <cell r="P44" t="str">
            <v>+442078524409</v>
          </cell>
          <cell r="Q44" t="str">
            <v>United Kingdom</v>
          </cell>
          <cell r="R44" t="str">
            <v>GBP</v>
          </cell>
          <cell r="S44" t="str">
            <v>IFRS</v>
          </cell>
          <cell r="T44" t="str">
            <v>Quarterly</v>
          </cell>
          <cell r="U44" t="str">
            <v>Quarterly</v>
          </cell>
          <cell r="AF44" t="str">
            <v>Closed end</v>
          </cell>
          <cell r="AL44">
            <v>0</v>
          </cell>
          <cell r="AV44" t="str">
            <v>2 years</v>
          </cell>
          <cell r="AW44" t="str">
            <v>Direct lending</v>
          </cell>
          <cell r="AY44" t="str">
            <v>Senior</v>
          </cell>
          <cell r="AZ44" t="str">
            <v>5 years</v>
          </cell>
          <cell r="BB44" t="str">
            <v>Europe</v>
          </cell>
          <cell r="BC44" t="str">
            <v>single country</v>
          </cell>
          <cell r="BE44" t="str">
            <v>United Kingdom</v>
          </cell>
          <cell r="BF44" t="str">
            <v>multi sector</v>
          </cell>
          <cell r="BH44">
            <v>440300000</v>
          </cell>
          <cell r="BI44">
            <v>440300000</v>
          </cell>
          <cell r="BJ44">
            <v>2013</v>
          </cell>
          <cell r="BK44">
            <v>2018</v>
          </cell>
          <cell r="BS44" t="str">
            <v>2017-06-30</v>
          </cell>
          <cell r="BU44">
            <v>0</v>
          </cell>
          <cell r="BW44">
            <v>0</v>
          </cell>
          <cell r="BX44">
            <v>0</v>
          </cell>
          <cell r="BY44" t="str">
            <v>No</v>
          </cell>
          <cell r="CC44">
            <v>440300000</v>
          </cell>
          <cell r="CD44">
            <v>514760039.75382</v>
          </cell>
          <cell r="CF44">
            <v>0</v>
          </cell>
        </row>
        <row r="45">
          <cell r="A45">
            <v>17363</v>
          </cell>
          <cell r="B45" t="str">
            <v>LASALLE UK SPECIAL SITUATIONS FUND I</v>
          </cell>
          <cell r="C45" t="str">
            <v>LASALLE INVESTMENT MANAGEMENT</v>
          </cell>
          <cell r="D45" t="str">
            <v>One Curzon Street</v>
          </cell>
          <cell r="E45" t="str">
            <v>W1J 5HD</v>
          </cell>
          <cell r="F45" t="str">
            <v>London</v>
          </cell>
          <cell r="G45" t="str">
            <v>United Kingdom</v>
          </cell>
          <cell r="H45" t="str">
            <v>+442078524418</v>
          </cell>
          <cell r="I45" t="str">
            <v>+442078524418</v>
          </cell>
          <cell r="J45" t="str">
            <v>http://www.lasalle.com</v>
          </cell>
          <cell r="K45" t="str">
            <v>Robert Fay</v>
          </cell>
          <cell r="L45" t="str">
            <v>robert.fay@lasalle.com</v>
          </cell>
          <cell r="M45" t="str">
            <v>+442078524467</v>
          </cell>
          <cell r="N45" t="str">
            <v>Anne Lucking</v>
          </cell>
          <cell r="O45" t="str">
            <v>anne.lucking@lasalle.com</v>
          </cell>
          <cell r="P45" t="str">
            <v>+442078524409</v>
          </cell>
          <cell r="Q45" t="str">
            <v>United Kingdom</v>
          </cell>
          <cell r="R45" t="str">
            <v>GBP</v>
          </cell>
          <cell r="S45" t="str">
            <v>IFRS</v>
          </cell>
          <cell r="T45" t="str">
            <v>Quarterly</v>
          </cell>
          <cell r="U45" t="str">
            <v>Quarterly</v>
          </cell>
          <cell r="W45" t="str">
            <v>IFRS NAV</v>
          </cell>
          <cell r="Y45" t="str">
            <v>Limited Partnership</v>
          </cell>
          <cell r="Z45" t="str">
            <v>Yes</v>
          </cell>
          <cell r="AF45" t="str">
            <v>Closed end</v>
          </cell>
          <cell r="AG45">
            <v>15</v>
          </cell>
          <cell r="AH45">
            <v>18</v>
          </cell>
          <cell r="AV45" t="str">
            <v>&gt;2 years</v>
          </cell>
          <cell r="AW45" t="str">
            <v>Direct lending</v>
          </cell>
          <cell r="AX45" t="str">
            <v>Book value(excl. amortisation)</v>
          </cell>
          <cell r="AY45" t="str">
            <v>Mixed: Senior+Subordinated+Preferred equity</v>
          </cell>
          <cell r="AZ45" t="str">
            <v>5 years</v>
          </cell>
          <cell r="BB45" t="str">
            <v>Europe</v>
          </cell>
          <cell r="BC45" t="str">
            <v>single country</v>
          </cell>
          <cell r="BE45" t="str">
            <v>United Kingdom</v>
          </cell>
          <cell r="BF45" t="str">
            <v>multi sector</v>
          </cell>
          <cell r="BH45">
            <v>77000000</v>
          </cell>
          <cell r="BI45">
            <v>80000000</v>
          </cell>
          <cell r="BJ45">
            <v>2010</v>
          </cell>
          <cell r="BK45">
            <v>2017</v>
          </cell>
          <cell r="BS45" t="str">
            <v>2017-06-30</v>
          </cell>
          <cell r="BU45">
            <v>0</v>
          </cell>
          <cell r="BW45">
            <v>0</v>
          </cell>
          <cell r="CC45">
            <v>77380000</v>
          </cell>
          <cell r="CD45">
            <v>90465891.156371996</v>
          </cell>
          <cell r="CF45">
            <v>0</v>
          </cell>
        </row>
        <row r="46">
          <cell r="A46">
            <v>17376</v>
          </cell>
          <cell r="B46" t="str">
            <v>LFP PROPERTY SENIOR BONDS</v>
          </cell>
          <cell r="C46" t="str">
            <v>LA FRANCAISE REAL ESTATE MANAGER</v>
          </cell>
          <cell r="D46" t="str">
            <v>173 Bd Haussmann</v>
          </cell>
          <cell r="E46">
            <v>75008</v>
          </cell>
          <cell r="F46" t="str">
            <v>Paris</v>
          </cell>
          <cell r="G46" t="str">
            <v>France</v>
          </cell>
          <cell r="H46" t="str">
            <v>+33144561000</v>
          </cell>
          <cell r="I46" t="str">
            <v>+33144561100</v>
          </cell>
          <cell r="J46" t="str">
            <v>http://www.lafrancaise-group.com</v>
          </cell>
          <cell r="K46" t="str">
            <v>Bertrand Carrez</v>
          </cell>
          <cell r="L46" t="str">
            <v>bcarrez@lafrancaise-group.com</v>
          </cell>
          <cell r="M46" t="str">
            <v>+33153769986</v>
          </cell>
          <cell r="N46" t="str">
            <v>Grégory Neulat</v>
          </cell>
          <cell r="O46" t="str">
            <v>gneulat@lafrancaise-group.com</v>
          </cell>
          <cell r="P46" t="str">
            <v>+33144564933</v>
          </cell>
          <cell r="Q46" t="str">
            <v>France</v>
          </cell>
          <cell r="R46" t="str">
            <v>EUR</v>
          </cell>
          <cell r="S46" t="str">
            <v>IFRS</v>
          </cell>
          <cell r="T46" t="str">
            <v>Quarterly</v>
          </cell>
          <cell r="U46" t="str">
            <v>Quarterly</v>
          </cell>
          <cell r="X46" t="str">
            <v>PWC</v>
          </cell>
          <cell r="Y46" t="str">
            <v>FCT</v>
          </cell>
          <cell r="AA46" t="str">
            <v>Yes</v>
          </cell>
          <cell r="AB46">
            <v>0</v>
          </cell>
          <cell r="AF46" t="str">
            <v>Closed end</v>
          </cell>
          <cell r="AG46">
            <v>0</v>
          </cell>
          <cell r="AH46">
            <v>0</v>
          </cell>
          <cell r="AJ46" t="str">
            <v>Euribor 3M</v>
          </cell>
          <cell r="AK46" t="str">
            <v>Euribor+200-250bp</v>
          </cell>
          <cell r="AN46" t="str">
            <v>Institutional</v>
          </cell>
          <cell r="AO46" t="str">
            <v>&gt; 2</v>
          </cell>
          <cell r="AP46">
            <v>263000000</v>
          </cell>
          <cell r="AQ46">
            <v>9</v>
          </cell>
          <cell r="AR46" t="str">
            <v>60%</v>
          </cell>
          <cell r="AS46">
            <v>65</v>
          </cell>
          <cell r="AV46" t="str">
            <v>1 year</v>
          </cell>
          <cell r="AW46" t="str">
            <v>Both</v>
          </cell>
          <cell r="AX46" t="str">
            <v>Mark to market</v>
          </cell>
          <cell r="AY46" t="str">
            <v>Senior</v>
          </cell>
          <cell r="AZ46" t="str">
            <v>8 years</v>
          </cell>
          <cell r="BA46" t="str">
            <v>≥ 50%</v>
          </cell>
          <cell r="BB46" t="str">
            <v>Europe</v>
          </cell>
          <cell r="BC46" t="str">
            <v>single country</v>
          </cell>
          <cell r="BE46" t="str">
            <v>France</v>
          </cell>
          <cell r="BF46" t="str">
            <v>multi sector</v>
          </cell>
          <cell r="BH46">
            <v>255000000</v>
          </cell>
          <cell r="BI46">
            <v>255000000</v>
          </cell>
          <cell r="BJ46">
            <v>2013</v>
          </cell>
          <cell r="BK46">
            <v>2022</v>
          </cell>
          <cell r="BL46" t="str">
            <v>Yes</v>
          </cell>
          <cell r="BM46" t="str">
            <v>No</v>
          </cell>
          <cell r="BS46" t="str">
            <v>2014-06-30</v>
          </cell>
          <cell r="BT46">
            <v>181000000</v>
          </cell>
          <cell r="BU46">
            <v>181000000</v>
          </cell>
          <cell r="BV46">
            <v>181000000</v>
          </cell>
          <cell r="BW46">
            <v>181000000</v>
          </cell>
          <cell r="BY46" t="str">
            <v>Yes</v>
          </cell>
          <cell r="CA46">
            <v>8</v>
          </cell>
          <cell r="CC46">
            <v>256000000</v>
          </cell>
          <cell r="CD46">
            <v>256000000</v>
          </cell>
          <cell r="CF46">
            <v>0</v>
          </cell>
          <cell r="CG46" t="str">
            <v>No</v>
          </cell>
          <cell r="CH46" t="str">
            <v>France</v>
          </cell>
          <cell r="CI46" t="str">
            <v>Office</v>
          </cell>
          <cell r="CJ46">
            <v>49</v>
          </cell>
          <cell r="CK46" t="str">
            <v>France</v>
          </cell>
          <cell r="CL46" t="str">
            <v>Industrial / Logistics</v>
          </cell>
          <cell r="CM46">
            <v>16</v>
          </cell>
          <cell r="CN46" t="str">
            <v>France</v>
          </cell>
          <cell r="CO46" t="str">
            <v>Other</v>
          </cell>
          <cell r="CP46">
            <v>35</v>
          </cell>
        </row>
        <row r="47">
          <cell r="A47">
            <v>19310</v>
          </cell>
          <cell r="B47" t="str">
            <v>M&amp;G REAL ESTATE DEBT FINANCE VI</v>
          </cell>
          <cell r="C47" t="str">
            <v>M&amp;G PRUDENTIAL</v>
          </cell>
          <cell r="D47" t="str">
            <v>10 Fenchurch Avenue</v>
          </cell>
          <cell r="E47" t="str">
            <v>EC3M 5AG</v>
          </cell>
          <cell r="F47" t="str">
            <v>London</v>
          </cell>
          <cell r="G47" t="str">
            <v>United Kingdom</v>
          </cell>
          <cell r="J47" t="str">
            <v>https://www.mandg.co.uk/institutions/</v>
          </cell>
          <cell r="K47" t="str">
            <v>John Barakat</v>
          </cell>
          <cell r="L47" t="str">
            <v>john.barakat@mandg.co.uk</v>
          </cell>
          <cell r="M47" t="str">
            <v>+44 (0)20 3977 3301</v>
          </cell>
          <cell r="N47" t="str">
            <v>Isabelle Brennan</v>
          </cell>
          <cell r="O47" t="str">
            <v>isabelle.brennan@mandg.co.uk</v>
          </cell>
          <cell r="P47" t="str">
            <v>+44 (0)20 3977 2402</v>
          </cell>
          <cell r="Q47" t="str">
            <v>Ireland</v>
          </cell>
          <cell r="R47" t="str">
            <v>GBP</v>
          </cell>
          <cell r="S47" t="str">
            <v>IFRS</v>
          </cell>
          <cell r="V47" t="str">
            <v>RICS</v>
          </cell>
          <cell r="W47" t="str">
            <v>IFRS NAV</v>
          </cell>
          <cell r="X47" t="str">
            <v>Deloitte Ireland</v>
          </cell>
          <cell r="Y47" t="str">
            <v>Irish Section 110</v>
          </cell>
          <cell r="AA47" t="str">
            <v>Yes</v>
          </cell>
          <cell r="AB47">
            <v>1</v>
          </cell>
          <cell r="AC47" t="str">
            <v>Non-Listed Fund</v>
          </cell>
          <cell r="AD47" t="str">
            <v>Core</v>
          </cell>
          <cell r="AE47" t="str">
            <v>finite</v>
          </cell>
          <cell r="AF47" t="str">
            <v>Closed end</v>
          </cell>
          <cell r="AN47" t="str">
            <v>Institutional</v>
          </cell>
          <cell r="AO47" t="str">
            <v>&gt; 2</v>
          </cell>
          <cell r="AW47" t="str">
            <v>Both</v>
          </cell>
          <cell r="AX47" t="str">
            <v>Mark to market</v>
          </cell>
          <cell r="AY47" t="str">
            <v>Mixed: Senior+Subordinated+Preferred equity</v>
          </cell>
          <cell r="BA47" t="str">
            <v>≥ 50%</v>
          </cell>
          <cell r="BB47" t="str">
            <v>Europe</v>
          </cell>
          <cell r="BC47" t="str">
            <v>multi country</v>
          </cell>
          <cell r="BD47" t="str">
            <v>Europe</v>
          </cell>
          <cell r="BF47" t="str">
            <v>multi sector</v>
          </cell>
          <cell r="BH47">
            <v>875000000</v>
          </cell>
          <cell r="BI47">
            <v>875000000</v>
          </cell>
          <cell r="BJ47">
            <v>2017</v>
          </cell>
          <cell r="BK47">
            <v>2027</v>
          </cell>
          <cell r="BL47" t="str">
            <v>Yes</v>
          </cell>
          <cell r="BM47" t="str">
            <v>Yes</v>
          </cell>
          <cell r="BN47" t="str">
            <v>1+1 years</v>
          </cell>
          <cell r="BO47" t="str">
            <v>No</v>
          </cell>
        </row>
        <row r="48">
          <cell r="A48">
            <v>19304</v>
          </cell>
          <cell r="B48" t="str">
            <v>M&amp;G REAL ESTATE DEBT FUND II</v>
          </cell>
          <cell r="C48" t="str">
            <v>M&amp;G PRUDENTIAL</v>
          </cell>
          <cell r="D48" t="str">
            <v>10 Fenchurch Avenue</v>
          </cell>
          <cell r="E48" t="str">
            <v>EC3M 5AG</v>
          </cell>
          <cell r="F48" t="str">
            <v>London</v>
          </cell>
          <cell r="G48" t="str">
            <v>United Kingdom</v>
          </cell>
          <cell r="J48" t="str">
            <v>https://www.mandg.co.uk/institutions/</v>
          </cell>
          <cell r="K48" t="str">
            <v>John Barakat</v>
          </cell>
          <cell r="L48" t="str">
            <v>john.barakat@mandg.co.uk</v>
          </cell>
          <cell r="M48" t="str">
            <v>+442039773301</v>
          </cell>
          <cell r="N48" t="str">
            <v>Isabelle Brennan</v>
          </cell>
          <cell r="O48" t="str">
            <v>Isabelle.brennan@mandg.co.uk</v>
          </cell>
          <cell r="P48" t="str">
            <v>+442039772402</v>
          </cell>
          <cell r="Q48" t="str">
            <v>Guernsey</v>
          </cell>
          <cell r="R48" t="str">
            <v>GBP</v>
          </cell>
          <cell r="S48" t="str">
            <v>IFRS</v>
          </cell>
          <cell r="T48" t="str">
            <v>Annually</v>
          </cell>
          <cell r="V48" t="str">
            <v>RICS</v>
          </cell>
          <cell r="W48" t="str">
            <v>IFRS NAV</v>
          </cell>
          <cell r="X48" t="str">
            <v>Deloitte</v>
          </cell>
          <cell r="Y48" t="str">
            <v>Limited Partnership</v>
          </cell>
          <cell r="AA48" t="str">
            <v>No</v>
          </cell>
          <cell r="AB48">
            <v>0</v>
          </cell>
          <cell r="AC48" t="str">
            <v>Non-Listed Fund</v>
          </cell>
          <cell r="AD48" t="str">
            <v>Value-added</v>
          </cell>
          <cell r="AE48" t="str">
            <v>finite</v>
          </cell>
          <cell r="AF48" t="str">
            <v>Closed end</v>
          </cell>
          <cell r="AI48" t="str">
            <v>Gross</v>
          </cell>
          <cell r="AL48">
            <v>0</v>
          </cell>
          <cell r="AN48" t="str">
            <v>Institutional</v>
          </cell>
          <cell r="AO48" t="str">
            <v>&gt; 2</v>
          </cell>
          <cell r="AW48" t="str">
            <v>Both</v>
          </cell>
          <cell r="AX48" t="str">
            <v>Mark to market</v>
          </cell>
          <cell r="AY48" t="str">
            <v>Subordinated: Junior+Mezzanine</v>
          </cell>
          <cell r="BA48" t="str">
            <v>≥ 50%</v>
          </cell>
          <cell r="BB48" t="str">
            <v>Europe</v>
          </cell>
          <cell r="BC48" t="str">
            <v>multi country</v>
          </cell>
          <cell r="BD48" t="str">
            <v>Western Europe</v>
          </cell>
          <cell r="BF48" t="str">
            <v>multi sector</v>
          </cell>
          <cell r="BH48">
            <v>604700000</v>
          </cell>
          <cell r="BI48">
            <v>604700000</v>
          </cell>
          <cell r="BJ48">
            <v>2013</v>
          </cell>
          <cell r="BK48">
            <v>2021</v>
          </cell>
          <cell r="BL48" t="str">
            <v>Yes</v>
          </cell>
          <cell r="BM48" t="str">
            <v>Yes</v>
          </cell>
          <cell r="BN48" t="str">
            <v>1+1 years</v>
          </cell>
          <cell r="BO48" t="str">
            <v>No</v>
          </cell>
        </row>
        <row r="49">
          <cell r="A49">
            <v>17360</v>
          </cell>
          <cell r="B49" t="str">
            <v>M&amp;G REAL ESTATE DEBT FUND II</v>
          </cell>
          <cell r="C49" t="str">
            <v>M&amp;G INVESTMENTS</v>
          </cell>
          <cell r="D49" t="str">
            <v>Laurence Pountney Hill</v>
          </cell>
          <cell r="E49" t="str">
            <v>EC4R 0HH</v>
          </cell>
          <cell r="F49" t="str">
            <v>London</v>
          </cell>
          <cell r="G49" t="str">
            <v>United Kingdom</v>
          </cell>
          <cell r="H49" t="str">
            <v>+442075482073</v>
          </cell>
          <cell r="J49" t="str">
            <v>http://www.mandg.co.uk/</v>
          </cell>
          <cell r="K49" t="str">
            <v>John Barakat</v>
          </cell>
          <cell r="L49" t="str">
            <v>john.barakat@mandg.co.uk</v>
          </cell>
          <cell r="N49" t="str">
            <v>Huaiyuan Lu</v>
          </cell>
          <cell r="O49" t="str">
            <v>huaiyuan.lu@mandg.co.uk</v>
          </cell>
          <cell r="P49" t="str">
            <v>+442070044739</v>
          </cell>
          <cell r="Q49" t="str">
            <v>Guernsey</v>
          </cell>
          <cell r="R49" t="str">
            <v>GBP</v>
          </cell>
          <cell r="S49" t="str">
            <v>IFRS</v>
          </cell>
          <cell r="T49" t="str">
            <v>Quarterly</v>
          </cell>
          <cell r="U49" t="str">
            <v>Quarterly</v>
          </cell>
          <cell r="X49" t="str">
            <v xml:space="preserve">Deloitte LLP </v>
          </cell>
          <cell r="Y49" t="str">
            <v>Limited Partnership</v>
          </cell>
          <cell r="AA49" t="str">
            <v>Yes</v>
          </cell>
          <cell r="AB49">
            <v>0</v>
          </cell>
          <cell r="AF49" t="str">
            <v>Closed end</v>
          </cell>
          <cell r="AG49">
            <v>11</v>
          </cell>
          <cell r="AH49">
            <v>13</v>
          </cell>
          <cell r="AN49" t="str">
            <v>Institutional</v>
          </cell>
          <cell r="AV49" t="str">
            <v>&gt;2 years</v>
          </cell>
          <cell r="AW49" t="str">
            <v>Both</v>
          </cell>
          <cell r="AX49" t="str">
            <v>Book value(excl. amortisation)</v>
          </cell>
          <cell r="AY49" t="str">
            <v>Subordinated: Junior+Mezzanine</v>
          </cell>
          <cell r="BC49" t="str">
            <v>multi country</v>
          </cell>
          <cell r="BF49" t="str">
            <v>multi sector</v>
          </cell>
          <cell r="BH49">
            <v>604670000</v>
          </cell>
          <cell r="BI49">
            <v>604670000</v>
          </cell>
          <cell r="BJ49">
            <v>2012</v>
          </cell>
          <cell r="BK49">
            <v>2021</v>
          </cell>
          <cell r="BL49" t="str">
            <v>No</v>
          </cell>
          <cell r="BM49" t="str">
            <v>No</v>
          </cell>
        </row>
        <row r="50">
          <cell r="A50">
            <v>19305</v>
          </cell>
          <cell r="B50" t="str">
            <v>M&amp;G REAL ESTATE DEBT FUND III</v>
          </cell>
          <cell r="C50" t="str">
            <v>M&amp;G PRUDENTIAL</v>
          </cell>
          <cell r="D50" t="str">
            <v>10 Fenchurch Avenue</v>
          </cell>
          <cell r="E50" t="str">
            <v>EC3M 5AG</v>
          </cell>
          <cell r="F50" t="str">
            <v>London</v>
          </cell>
          <cell r="G50" t="str">
            <v>United Kingdom</v>
          </cell>
          <cell r="J50" t="str">
            <v>https://www.mandg.co.uk/institutions/</v>
          </cell>
          <cell r="K50" t="str">
            <v>John Barakat</v>
          </cell>
          <cell r="L50" t="str">
            <v>john.barakat@mandg.co.uk</v>
          </cell>
          <cell r="M50" t="str">
            <v>+442039773301</v>
          </cell>
          <cell r="N50" t="str">
            <v>Isabelle Brennan</v>
          </cell>
          <cell r="O50" t="str">
            <v>isabelle.brennan@mandg.co.uk</v>
          </cell>
          <cell r="P50" t="str">
            <v>+442039772402</v>
          </cell>
          <cell r="Q50" t="str">
            <v>Guernsey</v>
          </cell>
          <cell r="R50" t="str">
            <v>GBP</v>
          </cell>
          <cell r="S50" t="str">
            <v>IFRS</v>
          </cell>
          <cell r="T50" t="str">
            <v>Annually</v>
          </cell>
          <cell r="V50" t="str">
            <v>RICS</v>
          </cell>
          <cell r="W50" t="str">
            <v>IFRS NAV</v>
          </cell>
          <cell r="X50" t="str">
            <v>Deloitte</v>
          </cell>
          <cell r="Y50" t="str">
            <v>Limited Partnership</v>
          </cell>
          <cell r="AA50" t="str">
            <v>No</v>
          </cell>
          <cell r="AB50">
            <v>0</v>
          </cell>
          <cell r="AC50" t="str">
            <v>Non-Listed Fund</v>
          </cell>
          <cell r="AD50" t="str">
            <v>Value-added</v>
          </cell>
          <cell r="AE50" t="str">
            <v>finite</v>
          </cell>
          <cell r="AF50" t="str">
            <v>Closed end</v>
          </cell>
          <cell r="AL50">
            <v>0</v>
          </cell>
          <cell r="AN50" t="str">
            <v>Institutional</v>
          </cell>
          <cell r="AO50" t="str">
            <v>&gt; 2</v>
          </cell>
          <cell r="AW50" t="str">
            <v>Both</v>
          </cell>
          <cell r="AX50" t="str">
            <v>Mark to market</v>
          </cell>
          <cell r="AY50" t="str">
            <v>Subordinated: Junior+Mezzanine</v>
          </cell>
          <cell r="BA50" t="str">
            <v>≥ 50%</v>
          </cell>
          <cell r="BB50" t="str">
            <v>Europe</v>
          </cell>
          <cell r="BC50" t="str">
            <v>multi country</v>
          </cell>
          <cell r="BD50" t="str">
            <v>Western Europe</v>
          </cell>
          <cell r="BF50" t="str">
            <v>multi sector</v>
          </cell>
          <cell r="BH50">
            <v>579380000</v>
          </cell>
          <cell r="BI50">
            <v>610603090</v>
          </cell>
          <cell r="BJ50">
            <v>2013</v>
          </cell>
          <cell r="BK50">
            <v>2021</v>
          </cell>
          <cell r="BL50" t="str">
            <v>Yes</v>
          </cell>
          <cell r="BM50" t="str">
            <v>Yes</v>
          </cell>
          <cell r="BN50" t="str">
            <v>1+1 years</v>
          </cell>
          <cell r="BO50" t="str">
            <v>No</v>
          </cell>
        </row>
        <row r="51">
          <cell r="A51">
            <v>17361</v>
          </cell>
          <cell r="B51" t="str">
            <v>M&amp;G REAL ESTATE DEBT FUND III</v>
          </cell>
          <cell r="C51" t="str">
            <v>M&amp;G INVESTMENT MANAGEMENT LTD</v>
          </cell>
          <cell r="D51" t="str">
            <v>Laurence Pountney Hill</v>
          </cell>
          <cell r="E51" t="str">
            <v>EC4R 0HH</v>
          </cell>
          <cell r="F51" t="str">
            <v>London</v>
          </cell>
          <cell r="G51" t="str">
            <v>United Kingdom</v>
          </cell>
          <cell r="H51" t="str">
            <v>+442075482073</v>
          </cell>
          <cell r="J51" t="str">
            <v>http://www.mandg.co.uk/</v>
          </cell>
          <cell r="K51" t="str">
            <v>John Barakat</v>
          </cell>
          <cell r="L51" t="str">
            <v>john.barakat@mandg.co.uk</v>
          </cell>
          <cell r="N51" t="str">
            <v>Huaiyuan Lu</v>
          </cell>
          <cell r="O51" t="str">
            <v>huaiyuan.lu@mandg.co.uk</v>
          </cell>
          <cell r="P51" t="str">
            <v>+442070044739</v>
          </cell>
          <cell r="Q51" t="str">
            <v>Guernsey</v>
          </cell>
          <cell r="R51" t="str">
            <v>GBP</v>
          </cell>
          <cell r="S51" t="str">
            <v>IFRS</v>
          </cell>
          <cell r="T51" t="str">
            <v>Annually</v>
          </cell>
          <cell r="U51" t="str">
            <v>Quarterly</v>
          </cell>
          <cell r="X51" t="str">
            <v xml:space="preserve">Deloitte LLP </v>
          </cell>
          <cell r="Y51" t="str">
            <v>Limited Partnership</v>
          </cell>
          <cell r="AA51" t="str">
            <v>Yes</v>
          </cell>
          <cell r="AB51">
            <v>0</v>
          </cell>
          <cell r="AF51" t="str">
            <v>Closed end</v>
          </cell>
          <cell r="AG51">
            <v>6</v>
          </cell>
          <cell r="AH51">
            <v>9</v>
          </cell>
          <cell r="AV51" t="str">
            <v>&gt; 2 years</v>
          </cell>
          <cell r="AW51" t="str">
            <v>Both</v>
          </cell>
          <cell r="AX51" t="str">
            <v>Book value(excl. amortisation)</v>
          </cell>
          <cell r="AY51" t="str">
            <v>Subordinated: Junior+Mezzanine</v>
          </cell>
          <cell r="AZ51">
            <v>8</v>
          </cell>
          <cell r="BC51" t="str">
            <v>multi country</v>
          </cell>
          <cell r="BF51" t="str">
            <v>multi sector</v>
          </cell>
          <cell r="BH51">
            <v>579380000</v>
          </cell>
          <cell r="BI51">
            <v>579380000</v>
          </cell>
          <cell r="BJ51">
            <v>2013</v>
          </cell>
          <cell r="BK51">
            <v>2021</v>
          </cell>
          <cell r="BL51" t="str">
            <v>No</v>
          </cell>
        </row>
        <row r="52">
          <cell r="A52">
            <v>19308</v>
          </cell>
          <cell r="B52" t="str">
            <v>M&amp;G REAL ESTATE FINANCE IV</v>
          </cell>
          <cell r="C52" t="str">
            <v>M&amp;G PRUDENTIAL</v>
          </cell>
          <cell r="D52" t="str">
            <v>10 Fenchurch Avenue</v>
          </cell>
          <cell r="E52" t="str">
            <v>EC3M 5AG</v>
          </cell>
          <cell r="F52" t="str">
            <v>London</v>
          </cell>
          <cell r="G52" t="str">
            <v>United Kingdom</v>
          </cell>
          <cell r="J52" t="str">
            <v>https://www.mandg.co.uk/institutions/</v>
          </cell>
          <cell r="K52" t="str">
            <v>John Barakat</v>
          </cell>
          <cell r="L52" t="str">
            <v>john.barakat@mandg.co.uk</v>
          </cell>
          <cell r="M52" t="str">
            <v>+44 (0)20 3977 3301</v>
          </cell>
          <cell r="N52" t="str">
            <v>Isabelle Brennan</v>
          </cell>
          <cell r="O52" t="str">
            <v>isabelle.brennan@mandg.co.uk</v>
          </cell>
          <cell r="P52" t="str">
            <v>+44 (0)20 3977 2402</v>
          </cell>
          <cell r="Q52" t="str">
            <v>Ireland</v>
          </cell>
          <cell r="R52" t="str">
            <v>GBP</v>
          </cell>
          <cell r="S52" t="str">
            <v>IFRS</v>
          </cell>
          <cell r="V52" t="str">
            <v>RICS</v>
          </cell>
          <cell r="W52" t="str">
            <v>IFRS NAV</v>
          </cell>
          <cell r="X52" t="str">
            <v>Deloitte Ireland</v>
          </cell>
          <cell r="Y52" t="str">
            <v>Irish Section 110</v>
          </cell>
          <cell r="AA52" t="str">
            <v>Yes</v>
          </cell>
          <cell r="AB52">
            <v>1</v>
          </cell>
          <cell r="AC52" t="str">
            <v>Non-Listed Fund</v>
          </cell>
          <cell r="AD52" t="str">
            <v>Core</v>
          </cell>
          <cell r="AE52" t="str">
            <v>finite</v>
          </cell>
          <cell r="AF52" t="str">
            <v>Closed end</v>
          </cell>
          <cell r="AN52" t="str">
            <v>Institutional</v>
          </cell>
          <cell r="AO52" t="str">
            <v>&gt; 2</v>
          </cell>
          <cell r="AW52" t="str">
            <v>Both</v>
          </cell>
          <cell r="AX52" t="str">
            <v>Mark to market</v>
          </cell>
          <cell r="AY52" t="str">
            <v>Senior</v>
          </cell>
          <cell r="BA52" t="str">
            <v>≥ 50%</v>
          </cell>
          <cell r="BB52" t="str">
            <v>Europe</v>
          </cell>
          <cell r="BC52" t="str">
            <v>multi country</v>
          </cell>
          <cell r="BD52" t="str">
            <v>Europe</v>
          </cell>
          <cell r="BF52" t="str">
            <v>multi sector</v>
          </cell>
          <cell r="BH52">
            <v>1000000000</v>
          </cell>
          <cell r="BI52">
            <v>1000000000</v>
          </cell>
          <cell r="BJ52">
            <v>2017</v>
          </cell>
          <cell r="BK52">
            <v>2027</v>
          </cell>
          <cell r="BL52" t="str">
            <v>Yes</v>
          </cell>
          <cell r="BM52" t="str">
            <v>Yes</v>
          </cell>
          <cell r="BN52" t="str">
            <v>1 year fixed</v>
          </cell>
          <cell r="BO52" t="str">
            <v>No</v>
          </cell>
        </row>
        <row r="53">
          <cell r="A53">
            <v>19309</v>
          </cell>
          <cell r="B53" t="str">
            <v>M&amp;G REAL ESTATE FINANCE V</v>
          </cell>
          <cell r="C53" t="str">
            <v>M&amp;G PRUDENTIAL</v>
          </cell>
          <cell r="D53" t="str">
            <v>10 Fenchurch Avenue</v>
          </cell>
          <cell r="E53" t="str">
            <v>EC3M 5AG</v>
          </cell>
          <cell r="F53" t="str">
            <v>London</v>
          </cell>
          <cell r="G53" t="str">
            <v>United Kingdom</v>
          </cell>
          <cell r="J53" t="str">
            <v>https://www.mandg.co.uk/institutions/</v>
          </cell>
          <cell r="K53" t="str">
            <v>John Barakat</v>
          </cell>
          <cell r="L53" t="str">
            <v>john.barakat@mandg.co.uk</v>
          </cell>
          <cell r="M53" t="str">
            <v>+44 (0)20 3977 3301</v>
          </cell>
          <cell r="N53" t="str">
            <v>Isabelle Brennan</v>
          </cell>
          <cell r="O53" t="str">
            <v>isabelle.brennan@mandg.co.uk</v>
          </cell>
          <cell r="P53" t="str">
            <v>+44 (0)20 3977 2402</v>
          </cell>
          <cell r="Q53" t="str">
            <v>Ireland</v>
          </cell>
          <cell r="R53" t="str">
            <v>GBP</v>
          </cell>
          <cell r="S53" t="str">
            <v>IFRS</v>
          </cell>
          <cell r="V53" t="str">
            <v>RICS</v>
          </cell>
          <cell r="W53" t="str">
            <v>IFRS NAV</v>
          </cell>
          <cell r="X53" t="str">
            <v>Deloitte Ireland</v>
          </cell>
          <cell r="Y53" t="str">
            <v>Irish Section 110</v>
          </cell>
          <cell r="AA53" t="str">
            <v>Yes</v>
          </cell>
          <cell r="AB53">
            <v>1</v>
          </cell>
          <cell r="AC53" t="str">
            <v>Non-Listed Fund</v>
          </cell>
          <cell r="AD53" t="str">
            <v>Value-added</v>
          </cell>
          <cell r="AE53" t="str">
            <v>finite</v>
          </cell>
          <cell r="AF53" t="str">
            <v>Closed end</v>
          </cell>
          <cell r="AN53" t="str">
            <v>Institutional</v>
          </cell>
          <cell r="AO53" t="str">
            <v>&gt; 2</v>
          </cell>
          <cell r="AW53" t="str">
            <v>Both</v>
          </cell>
          <cell r="AX53" t="str">
            <v>Mark to market</v>
          </cell>
          <cell r="AY53" t="str">
            <v>Subordinated: Junior+Mezzanine</v>
          </cell>
          <cell r="BA53" t="str">
            <v>≥ 50%</v>
          </cell>
          <cell r="BB53" t="str">
            <v>Europe</v>
          </cell>
          <cell r="BC53" t="str">
            <v>multi country</v>
          </cell>
          <cell r="BD53" t="str">
            <v>Europe</v>
          </cell>
          <cell r="BF53" t="str">
            <v>multi sector</v>
          </cell>
          <cell r="BH53">
            <v>500000000</v>
          </cell>
          <cell r="BJ53">
            <v>2017</v>
          </cell>
          <cell r="BK53">
            <v>2027</v>
          </cell>
          <cell r="BL53" t="str">
            <v>Yes</v>
          </cell>
          <cell r="BM53" t="str">
            <v>Yes</v>
          </cell>
          <cell r="BN53" t="str">
            <v>1 year fixed</v>
          </cell>
          <cell r="BO53" t="str">
            <v>No</v>
          </cell>
        </row>
        <row r="54">
          <cell r="A54">
            <v>19306</v>
          </cell>
          <cell r="B54" t="str">
            <v>M&amp;G SENIOR COMMERCIAL MORTGAGE LOANS</v>
          </cell>
          <cell r="C54" t="str">
            <v>M&amp;G PRUDENTIAL</v>
          </cell>
          <cell r="D54" t="str">
            <v>10 Fenchurch Avenue</v>
          </cell>
          <cell r="E54" t="str">
            <v>EC3M 5AG</v>
          </cell>
          <cell r="F54" t="str">
            <v>London</v>
          </cell>
          <cell r="G54" t="str">
            <v>United Kingdom</v>
          </cell>
          <cell r="J54" t="str">
            <v>https://www.mandg.co.uk/institutions/</v>
          </cell>
          <cell r="K54" t="str">
            <v>John Barakat</v>
          </cell>
          <cell r="L54" t="str">
            <v>john.barakat@mandg.co.uk</v>
          </cell>
          <cell r="M54" t="str">
            <v>+44 (0)20 3977 3301</v>
          </cell>
          <cell r="N54" t="str">
            <v>Isabelle Brennan</v>
          </cell>
          <cell r="O54" t="str">
            <v>isabelle.brennan@mandg.co.uk</v>
          </cell>
          <cell r="P54" t="str">
            <v>+44 (0)20 3977 2402</v>
          </cell>
          <cell r="Q54" t="str">
            <v>Ireland</v>
          </cell>
          <cell r="R54" t="str">
            <v>GBP</v>
          </cell>
          <cell r="S54" t="str">
            <v>IFRS</v>
          </cell>
          <cell r="V54" t="str">
            <v>RICS</v>
          </cell>
          <cell r="W54" t="str">
            <v>IFRS NAV</v>
          </cell>
          <cell r="X54" t="str">
            <v>Deloitte Ireland</v>
          </cell>
          <cell r="Y54" t="str">
            <v>Irish Section 110</v>
          </cell>
          <cell r="AA54" t="str">
            <v>Yes</v>
          </cell>
          <cell r="AB54">
            <v>1</v>
          </cell>
          <cell r="AC54" t="str">
            <v>Non-Listed Fund</v>
          </cell>
          <cell r="AD54" t="str">
            <v>Core</v>
          </cell>
          <cell r="AE54" t="str">
            <v>finite</v>
          </cell>
          <cell r="AF54" t="str">
            <v>Closed end</v>
          </cell>
          <cell r="AL54">
            <v>0</v>
          </cell>
          <cell r="AN54" t="str">
            <v>Institutional</v>
          </cell>
          <cell r="AO54" t="str">
            <v>&gt; 2</v>
          </cell>
          <cell r="AW54" t="str">
            <v>Both</v>
          </cell>
          <cell r="AX54" t="str">
            <v>Mark to market</v>
          </cell>
          <cell r="AY54" t="str">
            <v>Senior</v>
          </cell>
          <cell r="BA54" t="str">
            <v>≥ 50%</v>
          </cell>
          <cell r="BB54" t="str">
            <v>Europe</v>
          </cell>
          <cell r="BC54" t="str">
            <v>single country</v>
          </cell>
          <cell r="BE54" t="str">
            <v>United Kingdom</v>
          </cell>
          <cell r="BF54" t="str">
            <v>multi sector</v>
          </cell>
          <cell r="BH54">
            <v>728500000</v>
          </cell>
          <cell r="BI54">
            <v>896842379</v>
          </cell>
          <cell r="BJ54">
            <v>2013</v>
          </cell>
          <cell r="BK54">
            <v>2021</v>
          </cell>
          <cell r="BL54" t="str">
            <v>Yes</v>
          </cell>
          <cell r="BM54" t="str">
            <v>Yes</v>
          </cell>
          <cell r="BN54" t="str">
            <v>1+1 years</v>
          </cell>
          <cell r="BO54" t="str">
            <v>No</v>
          </cell>
        </row>
        <row r="55">
          <cell r="A55">
            <v>19307</v>
          </cell>
          <cell r="B55" t="str">
            <v>M&amp;G SENIOR COMMERCIAL MORTGAGE LOANS II</v>
          </cell>
          <cell r="C55" t="str">
            <v>M&amp;G PRUDENTIAL</v>
          </cell>
          <cell r="D55" t="str">
            <v>10 Fenchurch Avenue</v>
          </cell>
          <cell r="E55" t="str">
            <v>EC3M 5AG</v>
          </cell>
          <cell r="F55" t="str">
            <v>London</v>
          </cell>
          <cell r="G55" t="str">
            <v>United Kingdom</v>
          </cell>
          <cell r="J55" t="str">
            <v>https://www.mandg.co.uk/institutions/</v>
          </cell>
          <cell r="K55" t="str">
            <v>John Barakat</v>
          </cell>
          <cell r="L55" t="str">
            <v>john.barakat@mandg.co.uk</v>
          </cell>
          <cell r="M55" t="str">
            <v>+44 (0)20 3977 3301</v>
          </cell>
          <cell r="N55" t="str">
            <v>Isabelle Brennan</v>
          </cell>
          <cell r="O55" t="str">
            <v>isabelle.brennan@mandg.co.uk</v>
          </cell>
          <cell r="P55" t="str">
            <v>+44 (0)20 3977 2402</v>
          </cell>
          <cell r="Q55" t="str">
            <v>Ireland</v>
          </cell>
          <cell r="R55" t="str">
            <v>GBP</v>
          </cell>
          <cell r="S55" t="str">
            <v>IFRS</v>
          </cell>
          <cell r="V55" t="str">
            <v>RICS</v>
          </cell>
          <cell r="W55" t="str">
            <v>IFRS NAV</v>
          </cell>
          <cell r="X55" t="str">
            <v>Deloitte Ireland</v>
          </cell>
          <cell r="Y55" t="str">
            <v>Irish Section 110</v>
          </cell>
          <cell r="AA55" t="str">
            <v>Yes</v>
          </cell>
          <cell r="AB55">
            <v>1</v>
          </cell>
          <cell r="AC55" t="str">
            <v>Non-Listed Fund</v>
          </cell>
          <cell r="AD55" t="str">
            <v>Core</v>
          </cell>
          <cell r="AE55" t="str">
            <v>finite</v>
          </cell>
          <cell r="AF55" t="str">
            <v>Closed end</v>
          </cell>
          <cell r="AL55">
            <v>0</v>
          </cell>
          <cell r="AN55" t="str">
            <v>Institutional</v>
          </cell>
          <cell r="AO55" t="str">
            <v>&gt; 2</v>
          </cell>
          <cell r="AW55" t="str">
            <v>Both</v>
          </cell>
          <cell r="AX55" t="str">
            <v>Mark to market</v>
          </cell>
          <cell r="AY55" t="str">
            <v>Senior</v>
          </cell>
          <cell r="BA55" t="str">
            <v>≥ 50%</v>
          </cell>
          <cell r="BB55" t="str">
            <v>Europe</v>
          </cell>
          <cell r="BC55" t="str">
            <v>single country</v>
          </cell>
          <cell r="BE55" t="str">
            <v>United Kingdom</v>
          </cell>
          <cell r="BF55" t="str">
            <v>multi sector</v>
          </cell>
          <cell r="BH55">
            <v>99350000</v>
          </cell>
          <cell r="BI55">
            <v>99350000</v>
          </cell>
          <cell r="BJ55">
            <v>2016</v>
          </cell>
          <cell r="BK55">
            <v>2026</v>
          </cell>
          <cell r="BL55" t="str">
            <v>Yes</v>
          </cell>
          <cell r="BM55" t="str">
            <v>Yes</v>
          </cell>
          <cell r="BN55" t="str">
            <v>1+1 years</v>
          </cell>
          <cell r="BO55" t="str">
            <v>No</v>
          </cell>
        </row>
        <row r="56">
          <cell r="A56">
            <v>17393</v>
          </cell>
          <cell r="B56" t="str">
            <v>MATRIX COMMERCIAL MORTGAGE FUND</v>
          </cell>
          <cell r="C56" t="str">
            <v>MATRIX PROPERTY FUND MANAGEMENT</v>
          </cell>
          <cell r="R56" t="str">
            <v>GBP</v>
          </cell>
          <cell r="T56" t="str">
            <v>Quarterly</v>
          </cell>
          <cell r="U56" t="str">
            <v>Quarterly</v>
          </cell>
          <cell r="AY56" t="str">
            <v>Subordinated: Junior+Mezzanine</v>
          </cell>
          <cell r="BB56" t="str">
            <v>Europe</v>
          </cell>
          <cell r="BC56" t="str">
            <v>single country</v>
          </cell>
          <cell r="BE56" t="str">
            <v>United Kingdom</v>
          </cell>
          <cell r="BF56" t="str">
            <v>multi sector</v>
          </cell>
          <cell r="BH56">
            <v>200000000</v>
          </cell>
          <cell r="BI56">
            <v>200000000</v>
          </cell>
        </row>
        <row r="57">
          <cell r="A57">
            <v>17382</v>
          </cell>
          <cell r="B57" t="str">
            <v>OREL</v>
          </cell>
          <cell r="C57" t="str">
            <v>AERIANCE INVESTMENTS S.A.</v>
          </cell>
          <cell r="R57" t="str">
            <v>GBP</v>
          </cell>
          <cell r="T57" t="str">
            <v>Quarterly</v>
          </cell>
          <cell r="U57" t="str">
            <v>Quarterly</v>
          </cell>
          <cell r="AY57" t="str">
            <v>Subordinated: Junior+Mezzanine</v>
          </cell>
          <cell r="BB57" t="str">
            <v>Europe</v>
          </cell>
          <cell r="BC57" t="str">
            <v>single country</v>
          </cell>
          <cell r="BE57" t="str">
            <v>United Kingdom</v>
          </cell>
          <cell r="BF57" t="str">
            <v>single sector</v>
          </cell>
          <cell r="BG57" t="str">
            <v>Residential</v>
          </cell>
          <cell r="BH57">
            <v>100000000</v>
          </cell>
          <cell r="BI57">
            <v>100000000</v>
          </cell>
        </row>
        <row r="58">
          <cell r="A58">
            <v>18132</v>
          </cell>
          <cell r="B58" t="str">
            <v>OREL 2</v>
          </cell>
          <cell r="C58" t="str">
            <v>AERIENCE INVESTMENT S.A.R.L</v>
          </cell>
          <cell r="D58" t="str">
            <v xml:space="preserve">20 Boulevard Servais, </v>
          </cell>
          <cell r="E58" t="str">
            <v>L - 2535</v>
          </cell>
          <cell r="F58" t="str">
            <v>Luxembourg</v>
          </cell>
          <cell r="G58" t="str">
            <v>Luxembourg</v>
          </cell>
          <cell r="H58" t="str">
            <v>+3522694811</v>
          </cell>
          <cell r="I58" t="str">
            <v>+35226948150</v>
          </cell>
          <cell r="J58" t="str">
            <v>http://aeriance.com/</v>
          </cell>
          <cell r="Q58" t="str">
            <v>United Kingdom</v>
          </cell>
          <cell r="R58" t="str">
            <v>GBP</v>
          </cell>
          <cell r="T58" t="str">
            <v>Monthly</v>
          </cell>
          <cell r="U58" t="str">
            <v>Quarterly</v>
          </cell>
          <cell r="Y58" t="str">
            <v>FCP</v>
          </cell>
          <cell r="AG58">
            <v>8</v>
          </cell>
          <cell r="AH58">
            <v>10</v>
          </cell>
          <cell r="AI58" t="str">
            <v>Gross</v>
          </cell>
          <cell r="AS58">
            <v>70</v>
          </cell>
          <cell r="AV58">
            <v>7</v>
          </cell>
          <cell r="AY58" t="str">
            <v>Senior</v>
          </cell>
          <cell r="BB58" t="str">
            <v>Europe</v>
          </cell>
          <cell r="BC58" t="str">
            <v>single country</v>
          </cell>
          <cell r="BE58" t="str">
            <v>United Kingdom</v>
          </cell>
          <cell r="BF58" t="str">
            <v>single sector</v>
          </cell>
          <cell r="BG58" t="str">
            <v>Residential</v>
          </cell>
          <cell r="BH58">
            <v>200000000</v>
          </cell>
          <cell r="BI58">
            <v>400000000</v>
          </cell>
          <cell r="BJ58">
            <v>2016</v>
          </cell>
        </row>
        <row r="59">
          <cell r="A59">
            <v>17394</v>
          </cell>
          <cell r="B59" t="str">
            <v>PARTNERS GROUP REAL ESTATE INCOME 2014</v>
          </cell>
          <cell r="C59" t="str">
            <v>PARTNERS GROUP</v>
          </cell>
          <cell r="D59" t="str">
            <v>Zugerstrasse 57</v>
          </cell>
          <cell r="E59" t="str">
            <v>6341 Baar-Zug</v>
          </cell>
          <cell r="F59" t="str">
            <v>Zug</v>
          </cell>
          <cell r="G59" t="str">
            <v>Switzerland</v>
          </cell>
          <cell r="H59" t="str">
            <v>+41417846534</v>
          </cell>
          <cell r="I59" t="str">
            <v>+41417846534</v>
          </cell>
          <cell r="J59" t="str">
            <v>http://www.partnersgroup.com</v>
          </cell>
          <cell r="K59" t="str">
            <v>Daniel Sorrell</v>
          </cell>
          <cell r="L59" t="str">
            <v>daniel.sorrell@partnersgroup.com</v>
          </cell>
          <cell r="M59" t="str">
            <v>+6566713728</v>
          </cell>
          <cell r="N59" t="str">
            <v>Max Ilmoni</v>
          </cell>
          <cell r="O59" t="str">
            <v>Max.Ilmoni@partnersgroup.com</v>
          </cell>
          <cell r="Q59" t="str">
            <v>Guernsey</v>
          </cell>
          <cell r="R59" t="str">
            <v>EUR</v>
          </cell>
          <cell r="S59" t="str">
            <v>IFRS</v>
          </cell>
          <cell r="T59" t="str">
            <v>Quarterly</v>
          </cell>
          <cell r="U59" t="str">
            <v>Quarterly</v>
          </cell>
          <cell r="W59" t="str">
            <v>IFRS NAV</v>
          </cell>
          <cell r="Y59" t="str">
            <v>Limited Partnership</v>
          </cell>
          <cell r="Z59" t="str">
            <v>No</v>
          </cell>
          <cell r="AC59" t="str">
            <v>Non-Listed Fund</v>
          </cell>
          <cell r="AD59" t="str">
            <v>Value-added</v>
          </cell>
          <cell r="AE59" t="str">
            <v>finite</v>
          </cell>
          <cell r="AF59" t="str">
            <v>Closed end</v>
          </cell>
          <cell r="AG59">
            <v>6</v>
          </cell>
          <cell r="AH59">
            <v>8</v>
          </cell>
          <cell r="AK59" t="str">
            <v>4-5%</v>
          </cell>
          <cell r="AN59" t="str">
            <v>Institutional</v>
          </cell>
          <cell r="AO59" t="str">
            <v>&gt; 2</v>
          </cell>
          <cell r="AR59">
            <v>65</v>
          </cell>
          <cell r="AS59">
            <v>65</v>
          </cell>
          <cell r="AT59">
            <v>15</v>
          </cell>
          <cell r="AU59">
            <v>10</v>
          </cell>
          <cell r="AV59" t="str">
            <v>2 years</v>
          </cell>
          <cell r="AW59" t="str">
            <v>Direct lending</v>
          </cell>
          <cell r="AY59" t="str">
            <v>Mixed: Senior+Subordinated</v>
          </cell>
          <cell r="AZ59" t="str">
            <v>7 years</v>
          </cell>
          <cell r="BA59" t="str">
            <v>≥ 50%</v>
          </cell>
          <cell r="BB59" t="str">
            <v>Europe</v>
          </cell>
          <cell r="BC59" t="str">
            <v>multi country</v>
          </cell>
          <cell r="BD59" t="str">
            <v>Western Europe</v>
          </cell>
          <cell r="BF59" t="str">
            <v>multi sector</v>
          </cell>
          <cell r="BH59">
            <v>150000000</v>
          </cell>
          <cell r="BI59">
            <v>200000000</v>
          </cell>
          <cell r="BJ59">
            <v>2013</v>
          </cell>
          <cell r="BK59">
            <v>2021</v>
          </cell>
          <cell r="BL59" t="str">
            <v>Yes</v>
          </cell>
          <cell r="BM59" t="str">
            <v>Yes</v>
          </cell>
          <cell r="BN59" t="str">
            <v>1+1 years</v>
          </cell>
          <cell r="BS59" t="str">
            <v>2013-12-31</v>
          </cell>
          <cell r="BU59">
            <v>0</v>
          </cell>
          <cell r="BW59">
            <v>0</v>
          </cell>
          <cell r="CC59">
            <v>70300000</v>
          </cell>
          <cell r="CD59">
            <v>70300000</v>
          </cell>
          <cell r="CF59">
            <v>0</v>
          </cell>
          <cell r="CG59" t="str">
            <v>Yes</v>
          </cell>
          <cell r="CH59" t="str">
            <v>United Kingdom</v>
          </cell>
          <cell r="CI59" t="str">
            <v>Industrial / Logistics</v>
          </cell>
          <cell r="CJ59">
            <v>70</v>
          </cell>
        </row>
        <row r="60">
          <cell r="A60">
            <v>18145</v>
          </cell>
          <cell r="B60" t="str">
            <v>PLUTO FINANCE FUND I</v>
          </cell>
          <cell r="C60" t="str">
            <v>PLUTO FINANCE</v>
          </cell>
          <cell r="D60" t="str">
            <v>9 Berkeley Street</v>
          </cell>
          <cell r="E60" t="str">
            <v>W1J 8DW</v>
          </cell>
          <cell r="F60" t="str">
            <v>London</v>
          </cell>
          <cell r="G60" t="str">
            <v>United Kingdom</v>
          </cell>
          <cell r="H60" t="str">
            <v>020 7442 2100</v>
          </cell>
          <cell r="J60" t="str">
            <v>http://www.pluto-finance.com</v>
          </cell>
          <cell r="N60" t="str">
            <v>Robert Swift</v>
          </cell>
          <cell r="O60" t="str">
            <v>rswift@plutocapital.com</v>
          </cell>
          <cell r="P60" t="str">
            <v>020 7 442 2119</v>
          </cell>
          <cell r="Q60" t="str">
            <v>United Kingdom</v>
          </cell>
          <cell r="R60" t="str">
            <v>GBP</v>
          </cell>
          <cell r="S60" t="str">
            <v>Local GAAP</v>
          </cell>
          <cell r="T60" t="str">
            <v>Quarterly</v>
          </cell>
          <cell r="U60" t="str">
            <v>Quarterly</v>
          </cell>
          <cell r="Y60" t="str">
            <v>Investment company</v>
          </cell>
          <cell r="AA60" t="str">
            <v>No</v>
          </cell>
          <cell r="AF60" t="str">
            <v>Closed end</v>
          </cell>
          <cell r="AG60">
            <v>12</v>
          </cell>
          <cell r="AH60">
            <v>16</v>
          </cell>
          <cell r="AI60" t="str">
            <v>Net</v>
          </cell>
          <cell r="AN60" t="str">
            <v>Institutional</v>
          </cell>
          <cell r="AO60" t="str">
            <v>&gt; 2</v>
          </cell>
          <cell r="AW60" t="str">
            <v>Direct lending</v>
          </cell>
          <cell r="AX60" t="str">
            <v>Book value(excl. amortisation)</v>
          </cell>
          <cell r="AY60" t="str">
            <v>Subordinated: Junior+Mezzanine</v>
          </cell>
          <cell r="BA60" t="str">
            <v>&lt; 50%</v>
          </cell>
          <cell r="BC60" t="str">
            <v>single country</v>
          </cell>
          <cell r="BE60" t="str">
            <v>United Kingdom</v>
          </cell>
          <cell r="BF60" t="str">
            <v>single sector</v>
          </cell>
          <cell r="BG60" t="str">
            <v>Development Residential</v>
          </cell>
          <cell r="BJ60">
            <v>2011</v>
          </cell>
          <cell r="BK60">
            <v>2017</v>
          </cell>
          <cell r="BL60" t="str">
            <v>Yes</v>
          </cell>
          <cell r="BM60" t="str">
            <v>No</v>
          </cell>
        </row>
        <row r="61">
          <cell r="A61">
            <v>18144</v>
          </cell>
          <cell r="B61" t="str">
            <v>PLUTO FINANCE FUND II</v>
          </cell>
          <cell r="C61" t="str">
            <v>PLUTO FINANCE</v>
          </cell>
          <cell r="D61" t="str">
            <v>9 Berkeley Street</v>
          </cell>
          <cell r="E61" t="str">
            <v>W1J 8DW</v>
          </cell>
          <cell r="F61" t="str">
            <v>London</v>
          </cell>
          <cell r="G61" t="str">
            <v>United Kingdom</v>
          </cell>
          <cell r="H61" t="str">
            <v>020 7442 2100</v>
          </cell>
          <cell r="J61" t="str">
            <v>http://www.pluto-finance.com</v>
          </cell>
          <cell r="N61" t="str">
            <v>Robert Swift</v>
          </cell>
          <cell r="O61" t="str">
            <v>rswift@plutocapital.com</v>
          </cell>
          <cell r="P61" t="str">
            <v>020 7442 2119</v>
          </cell>
          <cell r="Q61" t="str">
            <v>Jersey</v>
          </cell>
          <cell r="R61" t="str">
            <v>GBP</v>
          </cell>
          <cell r="S61" t="str">
            <v>Local GAAP</v>
          </cell>
          <cell r="T61" t="str">
            <v>Quarterly</v>
          </cell>
          <cell r="U61" t="str">
            <v>Quarterly</v>
          </cell>
          <cell r="Y61" t="str">
            <v>Investment company</v>
          </cell>
          <cell r="AA61" t="str">
            <v>No</v>
          </cell>
          <cell r="AF61" t="str">
            <v>Closed end</v>
          </cell>
          <cell r="AG61">
            <v>11</v>
          </cell>
          <cell r="AH61">
            <v>14</v>
          </cell>
          <cell r="AI61" t="str">
            <v>Net</v>
          </cell>
          <cell r="AN61" t="str">
            <v>Institutional</v>
          </cell>
          <cell r="AO61" t="str">
            <v>&gt; 2</v>
          </cell>
          <cell r="AW61" t="str">
            <v>Direct lending</v>
          </cell>
          <cell r="AX61" t="str">
            <v>Book value(excl. amortisation)</v>
          </cell>
          <cell r="AY61" t="str">
            <v>Senior</v>
          </cell>
          <cell r="BA61" t="str">
            <v>≥ 50%</v>
          </cell>
          <cell r="BC61" t="str">
            <v>single country</v>
          </cell>
          <cell r="BE61" t="str">
            <v>United Kingdom</v>
          </cell>
          <cell r="BF61" t="str">
            <v>single sector</v>
          </cell>
          <cell r="BG61" t="str">
            <v>Development Residential</v>
          </cell>
          <cell r="BH61">
            <v>193000000</v>
          </cell>
          <cell r="BI61">
            <v>324000000</v>
          </cell>
          <cell r="BJ61">
            <v>2013</v>
          </cell>
          <cell r="BK61">
            <v>2018</v>
          </cell>
          <cell r="BL61" t="str">
            <v>Yes</v>
          </cell>
          <cell r="BM61" t="str">
            <v>No</v>
          </cell>
        </row>
        <row r="62">
          <cell r="A62">
            <v>17395</v>
          </cell>
          <cell r="B62" t="str">
            <v>PLUTO FINANCE FUND III</v>
          </cell>
          <cell r="C62" t="str">
            <v>PLUTO FINANCE</v>
          </cell>
          <cell r="D62" t="str">
            <v>9 Berkeley Street</v>
          </cell>
          <cell r="E62" t="str">
            <v>W1J 8DW</v>
          </cell>
          <cell r="F62" t="str">
            <v>London</v>
          </cell>
          <cell r="G62" t="str">
            <v>United Kingdom</v>
          </cell>
          <cell r="H62" t="str">
            <v>+442074422110</v>
          </cell>
          <cell r="J62" t="str">
            <v>http://www.pluto-finance.com</v>
          </cell>
          <cell r="N62" t="str">
            <v>Robert Swift</v>
          </cell>
          <cell r="O62" t="str">
            <v>rswift@plutocapital.com</v>
          </cell>
          <cell r="P62" t="str">
            <v>+442074422119</v>
          </cell>
          <cell r="Q62" t="str">
            <v>Luxembourg</v>
          </cell>
          <cell r="R62" t="str">
            <v>GBP</v>
          </cell>
          <cell r="S62" t="str">
            <v>Local GAAP</v>
          </cell>
          <cell r="T62" t="str">
            <v>Quarterly</v>
          </cell>
          <cell r="U62" t="str">
            <v>Quarterly</v>
          </cell>
          <cell r="Y62" t="str">
            <v>Investment company</v>
          </cell>
          <cell r="AA62" t="str">
            <v>No</v>
          </cell>
          <cell r="AF62" t="str">
            <v>Closed end</v>
          </cell>
          <cell r="AG62">
            <v>10</v>
          </cell>
          <cell r="AH62">
            <v>13</v>
          </cell>
          <cell r="AI62" t="str">
            <v>Net</v>
          </cell>
          <cell r="AK62" t="str">
            <v>0%</v>
          </cell>
          <cell r="AL62">
            <v>50</v>
          </cell>
          <cell r="AN62" t="str">
            <v>Institutional</v>
          </cell>
          <cell r="AO62" t="str">
            <v>≤ 2</v>
          </cell>
          <cell r="AW62" t="str">
            <v>Direct lending</v>
          </cell>
          <cell r="AX62" t="str">
            <v>Book value(excl. amortisation)</v>
          </cell>
          <cell r="AY62" t="str">
            <v>Senior</v>
          </cell>
          <cell r="BA62" t="str">
            <v>≥ 50%</v>
          </cell>
          <cell r="BC62" t="str">
            <v>single country</v>
          </cell>
          <cell r="BE62" t="str">
            <v>United Kingdom</v>
          </cell>
          <cell r="BF62" t="str">
            <v>single sector</v>
          </cell>
          <cell r="BG62" t="str">
            <v>Development Residential</v>
          </cell>
          <cell r="BH62">
            <v>151000000</v>
          </cell>
          <cell r="BI62">
            <v>201000000</v>
          </cell>
          <cell r="BJ62">
            <v>2017</v>
          </cell>
          <cell r="BK62">
            <v>2018</v>
          </cell>
          <cell r="BL62" t="str">
            <v>Yes</v>
          </cell>
          <cell r="BM62" t="str">
            <v>No</v>
          </cell>
        </row>
        <row r="63">
          <cell r="A63">
            <v>19295</v>
          </cell>
          <cell r="B63" t="str">
            <v>PLUTO FINANCE FUND IV</v>
          </cell>
          <cell r="C63" t="str">
            <v>PLUTO FINANCE</v>
          </cell>
          <cell r="D63" t="str">
            <v>9 Berkeley Street</v>
          </cell>
          <cell r="E63" t="str">
            <v>W1J 8DW</v>
          </cell>
          <cell r="F63" t="str">
            <v>London</v>
          </cell>
          <cell r="G63" t="str">
            <v>United Kingdom</v>
          </cell>
          <cell r="H63" t="str">
            <v>+44 (0)207 442 2110</v>
          </cell>
          <cell r="J63" t="str">
            <v>http://www.pluto-finance.com</v>
          </cell>
          <cell r="N63" t="str">
            <v>Robert Swift</v>
          </cell>
          <cell r="O63" t="str">
            <v>rswift@plutocapital.com</v>
          </cell>
          <cell r="P63" t="str">
            <v>+44 (0)207 442 2119</v>
          </cell>
          <cell r="Q63" t="str">
            <v>Ireland</v>
          </cell>
          <cell r="R63" t="str">
            <v>GBP</v>
          </cell>
          <cell r="S63" t="str">
            <v>Local GAAP</v>
          </cell>
          <cell r="T63" t="str">
            <v>Quarterly</v>
          </cell>
          <cell r="U63" t="str">
            <v>Quarterly</v>
          </cell>
          <cell r="Y63" t="str">
            <v>Investment company</v>
          </cell>
          <cell r="AA63" t="str">
            <v>No</v>
          </cell>
          <cell r="AF63" t="str">
            <v>Closed end</v>
          </cell>
          <cell r="AG63">
            <v>5</v>
          </cell>
          <cell r="AH63">
            <v>7</v>
          </cell>
          <cell r="AN63" t="str">
            <v>Institutional</v>
          </cell>
          <cell r="AO63" t="str">
            <v>≤ 2</v>
          </cell>
          <cell r="AW63" t="str">
            <v>Direct lending</v>
          </cell>
          <cell r="AX63" t="str">
            <v>Book value(excl. amortisation)</v>
          </cell>
          <cell r="AY63" t="str">
            <v>Senior</v>
          </cell>
          <cell r="BA63" t="str">
            <v>≥ 50%</v>
          </cell>
          <cell r="BC63" t="str">
            <v>single country</v>
          </cell>
          <cell r="BE63" t="str">
            <v>United Kingdom</v>
          </cell>
          <cell r="BF63" t="str">
            <v>single sector</v>
          </cell>
          <cell r="BG63" t="str">
            <v>Development Residential</v>
          </cell>
          <cell r="BH63">
            <v>175000000</v>
          </cell>
          <cell r="BI63">
            <v>175000000</v>
          </cell>
          <cell r="BJ63">
            <v>2017</v>
          </cell>
        </row>
        <row r="64">
          <cell r="A64">
            <v>19296</v>
          </cell>
          <cell r="B64" t="str">
            <v>PLUTO FINANCE FUND V</v>
          </cell>
          <cell r="C64" t="str">
            <v>PLUTO FINANCE</v>
          </cell>
          <cell r="D64" t="str">
            <v>9 Berkeley Street</v>
          </cell>
          <cell r="E64" t="str">
            <v>W1J 8DW</v>
          </cell>
          <cell r="F64" t="str">
            <v>London</v>
          </cell>
          <cell r="G64" t="str">
            <v>United Kingdom</v>
          </cell>
          <cell r="H64" t="str">
            <v>+44 (0)207 442 2110</v>
          </cell>
          <cell r="J64" t="str">
            <v>http://www.pluto-finance.com</v>
          </cell>
          <cell r="N64" t="str">
            <v>Robert Swift</v>
          </cell>
          <cell r="O64" t="str">
            <v>rswift@plutocapital.com</v>
          </cell>
          <cell r="P64" t="str">
            <v>+44 (0)207 442 2119</v>
          </cell>
          <cell r="Q64" t="str">
            <v>Jersey</v>
          </cell>
          <cell r="R64" t="str">
            <v>GBP</v>
          </cell>
          <cell r="S64" t="str">
            <v>Local GAAP</v>
          </cell>
          <cell r="T64" t="str">
            <v>Quarterly</v>
          </cell>
          <cell r="U64" t="str">
            <v>Quarterly</v>
          </cell>
          <cell r="Y64" t="str">
            <v>Investment company</v>
          </cell>
          <cell r="AA64" t="str">
            <v>No</v>
          </cell>
          <cell r="AF64" t="str">
            <v>Open end</v>
          </cell>
          <cell r="AG64">
            <v>10</v>
          </cell>
          <cell r="AH64">
            <v>11</v>
          </cell>
          <cell r="AN64" t="str">
            <v>Institutional</v>
          </cell>
          <cell r="AO64" t="str">
            <v>&gt; 2</v>
          </cell>
          <cell r="AW64" t="str">
            <v>Direct lending</v>
          </cell>
          <cell r="AX64" t="str">
            <v>Book value(excl. amortisation)</v>
          </cell>
          <cell r="AY64" t="str">
            <v>Senior</v>
          </cell>
          <cell r="BA64" t="str">
            <v>≥ 50%</v>
          </cell>
          <cell r="BB64" t="str">
            <v>Europe</v>
          </cell>
          <cell r="BC64" t="str">
            <v>single country</v>
          </cell>
          <cell r="BE64" t="str">
            <v>United Kingdom</v>
          </cell>
          <cell r="BF64" t="str">
            <v>single sector</v>
          </cell>
          <cell r="BG64" t="str">
            <v>Mixed</v>
          </cell>
          <cell r="BH64">
            <v>141000000</v>
          </cell>
          <cell r="BI64">
            <v>141000000</v>
          </cell>
          <cell r="BJ64">
            <v>2017</v>
          </cell>
        </row>
        <row r="65">
          <cell r="A65">
            <v>19297</v>
          </cell>
          <cell r="B65" t="str">
            <v>PLUTO FINANCE FUND VI</v>
          </cell>
          <cell r="C65" t="str">
            <v>PLUTO FINANCE</v>
          </cell>
          <cell r="D65" t="str">
            <v>9 Berkeley Street</v>
          </cell>
          <cell r="E65" t="str">
            <v>W1J 8DW</v>
          </cell>
          <cell r="F65" t="str">
            <v>London</v>
          </cell>
          <cell r="G65" t="str">
            <v>United Kingdom</v>
          </cell>
          <cell r="H65" t="str">
            <v>+44 (0)207 442 2110</v>
          </cell>
          <cell r="J65" t="str">
            <v>http://www.pluto-finance.com</v>
          </cell>
          <cell r="N65" t="str">
            <v>Robert Swift</v>
          </cell>
          <cell r="O65" t="str">
            <v>rswift@plutocapital.com</v>
          </cell>
          <cell r="P65" t="str">
            <v>+44 (0)207 442 2119</v>
          </cell>
          <cell r="Q65" t="str">
            <v>Jersey</v>
          </cell>
          <cell r="R65" t="str">
            <v>GBP</v>
          </cell>
          <cell r="S65" t="str">
            <v>Local GAAP</v>
          </cell>
          <cell r="T65" t="str">
            <v>Quarterly</v>
          </cell>
          <cell r="U65" t="str">
            <v>Quarterly</v>
          </cell>
          <cell r="Y65" t="str">
            <v>Investment company</v>
          </cell>
          <cell r="AA65" t="str">
            <v>No</v>
          </cell>
          <cell r="AF65" t="str">
            <v>Closed end</v>
          </cell>
          <cell r="AG65">
            <v>10</v>
          </cell>
          <cell r="AH65">
            <v>12</v>
          </cell>
          <cell r="AN65" t="str">
            <v>Institutional</v>
          </cell>
          <cell r="AO65" t="str">
            <v>&gt; 2</v>
          </cell>
          <cell r="AW65" t="str">
            <v>Direct lending</v>
          </cell>
          <cell r="AX65" t="str">
            <v>Book value(excl. amortisation)</v>
          </cell>
          <cell r="AY65" t="str">
            <v>Senior</v>
          </cell>
          <cell r="BA65" t="str">
            <v>&lt; 50%</v>
          </cell>
          <cell r="BC65" t="str">
            <v>single country</v>
          </cell>
          <cell r="BE65" t="str">
            <v>United Kingdom</v>
          </cell>
          <cell r="BF65" t="str">
            <v>single sector</v>
          </cell>
          <cell r="BG65" t="str">
            <v>Development Residential</v>
          </cell>
          <cell r="BH65">
            <v>227000000</v>
          </cell>
          <cell r="BI65">
            <v>450000000</v>
          </cell>
          <cell r="BJ65">
            <v>2019</v>
          </cell>
        </row>
        <row r="66">
          <cell r="A66">
            <v>19298</v>
          </cell>
          <cell r="B66" t="str">
            <v>PLUTO FINANCE FUND VII</v>
          </cell>
          <cell r="C66" t="str">
            <v>PLUTO FINANCE</v>
          </cell>
          <cell r="D66" t="str">
            <v>9 Berkeley Street</v>
          </cell>
          <cell r="E66" t="str">
            <v>W1J 8DW</v>
          </cell>
          <cell r="F66" t="str">
            <v>London</v>
          </cell>
          <cell r="G66" t="str">
            <v>United Kingdom</v>
          </cell>
          <cell r="H66" t="str">
            <v>+44 (0)207 442 2110</v>
          </cell>
          <cell r="J66" t="str">
            <v>http://www.pluto-finance.com</v>
          </cell>
          <cell r="N66" t="str">
            <v>Robert Swift</v>
          </cell>
          <cell r="O66" t="str">
            <v>rswift@plutocapital.com</v>
          </cell>
          <cell r="P66" t="str">
            <v>+44 (0)207 442 2119</v>
          </cell>
          <cell r="Q66" t="str">
            <v>Jersey</v>
          </cell>
          <cell r="R66" t="str">
            <v>GBP</v>
          </cell>
          <cell r="S66" t="str">
            <v>Local GAAP</v>
          </cell>
          <cell r="T66" t="str">
            <v>Quarterly</v>
          </cell>
          <cell r="U66" t="str">
            <v>Quarterly</v>
          </cell>
          <cell r="Y66" t="str">
            <v>Investment company</v>
          </cell>
          <cell r="AA66" t="str">
            <v>No</v>
          </cell>
          <cell r="AF66" t="str">
            <v>Open end</v>
          </cell>
          <cell r="AG66">
            <v>6</v>
          </cell>
          <cell r="AH66">
            <v>7</v>
          </cell>
          <cell r="AN66" t="str">
            <v>Institutional</v>
          </cell>
          <cell r="AO66" t="str">
            <v>&gt; 2</v>
          </cell>
          <cell r="AW66" t="str">
            <v>Direct lending</v>
          </cell>
          <cell r="AX66" t="str">
            <v>Book value(excl. amortisation)</v>
          </cell>
          <cell r="AY66" t="str">
            <v>Senior</v>
          </cell>
          <cell r="BA66" t="str">
            <v>≥ 50%</v>
          </cell>
          <cell r="BC66" t="str">
            <v>single country</v>
          </cell>
          <cell r="BE66" t="str">
            <v>United Kingdom</v>
          </cell>
          <cell r="BF66" t="str">
            <v>single sector</v>
          </cell>
          <cell r="BG66" t="str">
            <v>Mixed</v>
          </cell>
          <cell r="BH66">
            <v>250000000</v>
          </cell>
          <cell r="BI66">
            <v>250000000</v>
          </cell>
          <cell r="BJ66">
            <v>2019</v>
          </cell>
        </row>
        <row r="67">
          <cell r="A67">
            <v>17368</v>
          </cell>
          <cell r="B67" t="str">
            <v>PRAMERICA REAL ESTATE CAPITAL I L.P.</v>
          </cell>
          <cell r="C67" t="str">
            <v xml:space="preserve">PGIM REAL ESTATE (UK) LIMITED </v>
          </cell>
          <cell r="D67" t="str">
            <v>Grand Buildings, 1-3 Strand, London</v>
          </cell>
          <cell r="E67" t="str">
            <v>WC2N 5HR</v>
          </cell>
          <cell r="F67" t="str">
            <v>London</v>
          </cell>
          <cell r="G67" t="str">
            <v>United Kingdom</v>
          </cell>
          <cell r="H67" t="str">
            <v>+442077662400</v>
          </cell>
          <cell r="I67" t="str">
            <v>+442077662445</v>
          </cell>
          <cell r="J67" t="str">
            <v>http://www.pgim.com</v>
          </cell>
          <cell r="K67" t="str">
            <v xml:space="preserve">Mathew Crowther </v>
          </cell>
          <cell r="L67" t="str">
            <v>mathew.crowther@pgim.com</v>
          </cell>
          <cell r="M67" t="str">
            <v>+442077662446</v>
          </cell>
          <cell r="N67" t="str">
            <v>Andrew Grigson</v>
          </cell>
          <cell r="O67" t="str">
            <v>andrew.grigson@pgim.com</v>
          </cell>
          <cell r="P67" t="str">
            <v>+442077662403</v>
          </cell>
          <cell r="Q67" t="str">
            <v>United Kingdom</v>
          </cell>
          <cell r="R67" t="str">
            <v>GBP</v>
          </cell>
          <cell r="S67" t="str">
            <v>IFRS</v>
          </cell>
          <cell r="T67" t="str">
            <v>Quarterly</v>
          </cell>
          <cell r="U67" t="str">
            <v>Quarterly</v>
          </cell>
          <cell r="W67" t="str">
            <v>IFRS NAV</v>
          </cell>
          <cell r="X67" t="str">
            <v xml:space="preserve">PwC </v>
          </cell>
          <cell r="Y67" t="str">
            <v>Limited Partnership</v>
          </cell>
          <cell r="Z67" t="str">
            <v>No</v>
          </cell>
          <cell r="AC67" t="str">
            <v>Non-Listed Fund</v>
          </cell>
          <cell r="AD67" t="str">
            <v>Value-added</v>
          </cell>
          <cell r="AE67" t="str">
            <v>finite</v>
          </cell>
          <cell r="AF67" t="str">
            <v>Closed end</v>
          </cell>
          <cell r="AG67">
            <v>12</v>
          </cell>
          <cell r="AH67">
            <v>14</v>
          </cell>
          <cell r="AI67" t="str">
            <v>Gross</v>
          </cell>
          <cell r="AK67" t="str">
            <v>8%</v>
          </cell>
          <cell r="AL67">
            <v>0</v>
          </cell>
          <cell r="AN67" t="str">
            <v>Institutional</v>
          </cell>
          <cell r="AO67" t="str">
            <v>&gt; 2</v>
          </cell>
          <cell r="AP67">
            <v>388326420</v>
          </cell>
          <cell r="AQ67">
            <v>15</v>
          </cell>
          <cell r="AR67" t="str">
            <v>N/A</v>
          </cell>
          <cell r="AS67">
            <v>83</v>
          </cell>
          <cell r="AT67">
            <v>15</v>
          </cell>
          <cell r="AU67">
            <v>0</v>
          </cell>
          <cell r="AV67" t="str">
            <v>2 years</v>
          </cell>
          <cell r="AW67" t="str">
            <v>Direct lending</v>
          </cell>
          <cell r="AX67" t="str">
            <v>Mark to market</v>
          </cell>
          <cell r="AY67" t="str">
            <v>Subordinated: Junior+Mezzanine</v>
          </cell>
          <cell r="AZ67" t="str">
            <v>8 years</v>
          </cell>
          <cell r="BA67" t="str">
            <v>≥ 50%</v>
          </cell>
          <cell r="BB67" t="str">
            <v>Europe</v>
          </cell>
          <cell r="BC67" t="str">
            <v>multi country</v>
          </cell>
          <cell r="BD67" t="str">
            <v>Western Europe</v>
          </cell>
          <cell r="BF67" t="str">
            <v>multi sector</v>
          </cell>
          <cell r="BH67">
            <v>492000000</v>
          </cell>
          <cell r="BI67">
            <v>492000000</v>
          </cell>
          <cell r="BJ67">
            <v>2010</v>
          </cell>
          <cell r="BK67">
            <v>2019</v>
          </cell>
          <cell r="BL67" t="str">
            <v>Yes</v>
          </cell>
          <cell r="BM67" t="str">
            <v>Yes</v>
          </cell>
          <cell r="BO67" t="str">
            <v>No</v>
          </cell>
          <cell r="BS67" t="str">
            <v>2013-12-31</v>
          </cell>
          <cell r="BT67">
            <v>367443668</v>
          </cell>
          <cell r="BU67">
            <v>440160769.89719999</v>
          </cell>
          <cell r="BV67">
            <v>361338781</v>
          </cell>
          <cell r="BW67">
            <v>432847725.75989997</v>
          </cell>
          <cell r="BX67">
            <v>0</v>
          </cell>
          <cell r="BY67" t="str">
            <v>Yes</v>
          </cell>
          <cell r="CA67">
            <v>8</v>
          </cell>
          <cell r="CC67">
            <v>491963184</v>
          </cell>
          <cell r="CD67">
            <v>588732342.29279995</v>
          </cell>
          <cell r="CF67">
            <v>0</v>
          </cell>
          <cell r="CG67" t="str">
            <v>No</v>
          </cell>
          <cell r="CH67" t="str">
            <v>Germany</v>
          </cell>
          <cell r="CI67" t="str">
            <v>Office</v>
          </cell>
          <cell r="CJ67">
            <v>13.5</v>
          </cell>
          <cell r="CK67" t="str">
            <v>United Kingdom</v>
          </cell>
          <cell r="CL67" t="str">
            <v>Office</v>
          </cell>
          <cell r="CM67">
            <v>21</v>
          </cell>
          <cell r="CN67" t="str">
            <v>Germany</v>
          </cell>
          <cell r="CO67" t="str">
            <v>Retail</v>
          </cell>
          <cell r="CP67">
            <v>20.9</v>
          </cell>
          <cell r="CQ67" t="str">
            <v>United Kingdom</v>
          </cell>
          <cell r="CR67" t="str">
            <v>Retail</v>
          </cell>
          <cell r="CS67">
            <v>6.1</v>
          </cell>
          <cell r="CT67" t="str">
            <v>United Kingdom</v>
          </cell>
          <cell r="CU67" t="str">
            <v>Industrial / Logistics</v>
          </cell>
          <cell r="CV67">
            <v>8.1</v>
          </cell>
          <cell r="CW67" t="str">
            <v>United Kingdom</v>
          </cell>
          <cell r="CX67" t="str">
            <v>Other</v>
          </cell>
          <cell r="CY67">
            <v>0.7</v>
          </cell>
          <cell r="CZ67" t="str">
            <v>Germany</v>
          </cell>
          <cell r="DA67" t="str">
            <v>Other</v>
          </cell>
          <cell r="DB67">
            <v>29.7</v>
          </cell>
        </row>
        <row r="68">
          <cell r="A68">
            <v>17367</v>
          </cell>
          <cell r="B68" t="str">
            <v>PRAMERICA REAL ESTATE CAPITAL II L.P.</v>
          </cell>
          <cell r="C68" t="str">
            <v>PGIM REAL ESTATE (UK) LIMITED</v>
          </cell>
          <cell r="D68" t="str">
            <v>Grand Buildings, 1-3 Strand, London</v>
          </cell>
          <cell r="E68" t="str">
            <v>WC2N 5HR</v>
          </cell>
          <cell r="F68" t="str">
            <v>London</v>
          </cell>
          <cell r="G68" t="str">
            <v>United Kingdom</v>
          </cell>
          <cell r="H68" t="str">
            <v>+442077662440</v>
          </cell>
          <cell r="I68" t="str">
            <v>+442077662445</v>
          </cell>
          <cell r="J68" t="str">
            <v>http://www.pgim.com</v>
          </cell>
          <cell r="K68" t="str">
            <v>Mathew Crowther</v>
          </cell>
          <cell r="L68" t="str">
            <v>mathew.crowther@pgim.com</v>
          </cell>
          <cell r="M68" t="str">
            <v>+442077662446</v>
          </cell>
          <cell r="N68" t="str">
            <v>Andrew Grigson</v>
          </cell>
          <cell r="O68" t="str">
            <v>andrew.grigson@pgim.com</v>
          </cell>
          <cell r="P68" t="str">
            <v>+442077662403</v>
          </cell>
          <cell r="Q68" t="str">
            <v>United Kingdom</v>
          </cell>
          <cell r="R68" t="str">
            <v>EUR</v>
          </cell>
          <cell r="S68" t="str">
            <v>IFRS</v>
          </cell>
          <cell r="T68" t="str">
            <v>Quarterly</v>
          </cell>
          <cell r="U68" t="str">
            <v>Quarterly</v>
          </cell>
          <cell r="W68" t="str">
            <v>IFRS NAV</v>
          </cell>
          <cell r="Y68" t="str">
            <v>Limited Partnership</v>
          </cell>
          <cell r="Z68" t="str">
            <v>No</v>
          </cell>
          <cell r="AA68" t="str">
            <v>Yes</v>
          </cell>
          <cell r="AC68" t="str">
            <v>Non-Listed Fund</v>
          </cell>
          <cell r="AD68" t="str">
            <v>Core</v>
          </cell>
          <cell r="AE68" t="str">
            <v>finite</v>
          </cell>
          <cell r="AF68" t="str">
            <v>Closed end</v>
          </cell>
          <cell r="AG68">
            <v>13</v>
          </cell>
          <cell r="AH68">
            <v>14</v>
          </cell>
          <cell r="AI68" t="str">
            <v>Gross</v>
          </cell>
          <cell r="AJ68" t="str">
            <v>N/A</v>
          </cell>
          <cell r="AK68" t="str">
            <v>13%</v>
          </cell>
          <cell r="AL68">
            <v>0</v>
          </cell>
          <cell r="AN68" t="str">
            <v>Institutional</v>
          </cell>
          <cell r="AO68" t="str">
            <v>≤ 2</v>
          </cell>
          <cell r="AP68">
            <v>40000000</v>
          </cell>
          <cell r="AQ68">
            <v>1</v>
          </cell>
          <cell r="AR68" t="str">
            <v>N/A</v>
          </cell>
          <cell r="AS68">
            <v>53</v>
          </cell>
          <cell r="AT68">
            <v>1</v>
          </cell>
          <cell r="AU68">
            <v>0</v>
          </cell>
          <cell r="AV68" t="str">
            <v>2 years</v>
          </cell>
          <cell r="AW68" t="str">
            <v>Direct lending</v>
          </cell>
          <cell r="AX68" t="str">
            <v>Mark to market</v>
          </cell>
          <cell r="AY68" t="str">
            <v>Subordinated: Junior+Mezzanine</v>
          </cell>
          <cell r="AZ68" t="str">
            <v>5 years</v>
          </cell>
          <cell r="BA68" t="str">
            <v>≥ 50%</v>
          </cell>
          <cell r="BB68" t="str">
            <v>Europe</v>
          </cell>
          <cell r="BC68" t="str">
            <v>single country</v>
          </cell>
          <cell r="BE68" t="str">
            <v>Spain</v>
          </cell>
          <cell r="BF68" t="str">
            <v>single sector</v>
          </cell>
          <cell r="BG68" t="str">
            <v>Retail</v>
          </cell>
          <cell r="BH68">
            <v>130000000</v>
          </cell>
          <cell r="BI68">
            <v>40000000</v>
          </cell>
          <cell r="BJ68">
            <v>2012</v>
          </cell>
          <cell r="BK68">
            <v>2021</v>
          </cell>
          <cell r="BL68" t="str">
            <v>No</v>
          </cell>
          <cell r="BM68" t="str">
            <v>Yes</v>
          </cell>
          <cell r="BO68" t="str">
            <v>No</v>
          </cell>
          <cell r="BS68" t="str">
            <v>2013-12-31</v>
          </cell>
          <cell r="BT68">
            <v>41662639</v>
          </cell>
          <cell r="BU68">
            <v>41662639</v>
          </cell>
          <cell r="BV68">
            <v>41599199</v>
          </cell>
          <cell r="BW68">
            <v>41599199</v>
          </cell>
          <cell r="BX68">
            <v>0</v>
          </cell>
          <cell r="BY68" t="str">
            <v>Yes</v>
          </cell>
          <cell r="CA68">
            <v>1</v>
          </cell>
          <cell r="CC68">
            <v>40000000</v>
          </cell>
          <cell r="CD68">
            <v>40000000</v>
          </cell>
          <cell r="CF68">
            <v>0</v>
          </cell>
          <cell r="CG68" t="str">
            <v>No</v>
          </cell>
          <cell r="CH68" t="str">
            <v>Spain</v>
          </cell>
          <cell r="CI68" t="str">
            <v>Retail</v>
          </cell>
          <cell r="CJ68">
            <v>100</v>
          </cell>
        </row>
        <row r="69">
          <cell r="A69">
            <v>17369</v>
          </cell>
          <cell r="B69" t="str">
            <v>PRAMERICA REAL ESTATE CAPITAL III L.P.</v>
          </cell>
          <cell r="C69" t="str">
            <v>PGIM REAL ESTATE (UK) LIMITED</v>
          </cell>
          <cell r="D69" t="str">
            <v>Grand Buildings, 1-3 Strand, London</v>
          </cell>
          <cell r="E69" t="str">
            <v>WC2N 5HR</v>
          </cell>
          <cell r="F69" t="str">
            <v>London</v>
          </cell>
          <cell r="G69" t="str">
            <v>United Kingdom</v>
          </cell>
          <cell r="H69" t="str">
            <v>+442077662440</v>
          </cell>
          <cell r="I69" t="str">
            <v>+442077662445</v>
          </cell>
          <cell r="J69" t="str">
            <v>http://www.pgim.com</v>
          </cell>
          <cell r="K69" t="str">
            <v>Mathew Crowther</v>
          </cell>
          <cell r="L69" t="str">
            <v>mathew.crowther@pgim.com</v>
          </cell>
          <cell r="M69" t="str">
            <v>+442077662446</v>
          </cell>
          <cell r="N69" t="str">
            <v>Andrew Grigson</v>
          </cell>
          <cell r="O69" t="str">
            <v>andrew.grigson@pgim.com</v>
          </cell>
          <cell r="P69" t="str">
            <v>+442077662403</v>
          </cell>
          <cell r="Q69" t="str">
            <v>United Kingdom</v>
          </cell>
          <cell r="R69" t="str">
            <v>GBP</v>
          </cell>
          <cell r="S69" t="str">
            <v>IFRS</v>
          </cell>
          <cell r="T69" t="str">
            <v>Quarterly</v>
          </cell>
          <cell r="U69" t="str">
            <v>Quarterly</v>
          </cell>
          <cell r="W69" t="str">
            <v>IFRS NAV</v>
          </cell>
          <cell r="Y69" t="str">
            <v>Limited Partnership</v>
          </cell>
          <cell r="Z69" t="str">
            <v>No</v>
          </cell>
          <cell r="AA69" t="str">
            <v>Yes</v>
          </cell>
          <cell r="AC69" t="str">
            <v>Non-Listed Fund</v>
          </cell>
          <cell r="AD69" t="str">
            <v>Core</v>
          </cell>
          <cell r="AE69" t="str">
            <v>finite</v>
          </cell>
          <cell r="AF69" t="str">
            <v>Closed end</v>
          </cell>
          <cell r="AG69">
            <v>8</v>
          </cell>
          <cell r="AH69">
            <v>10</v>
          </cell>
          <cell r="AI69" t="str">
            <v>Gross</v>
          </cell>
          <cell r="AJ69" t="str">
            <v>N/A</v>
          </cell>
          <cell r="AK69" t="str">
            <v>8%</v>
          </cell>
          <cell r="AL69">
            <v>0</v>
          </cell>
          <cell r="AN69" t="str">
            <v>Institutional</v>
          </cell>
          <cell r="AO69" t="str">
            <v>≤ 2</v>
          </cell>
          <cell r="AP69">
            <v>77975000</v>
          </cell>
          <cell r="AQ69">
            <v>3</v>
          </cell>
          <cell r="AR69" t="str">
            <v>75%</v>
          </cell>
          <cell r="AS69">
            <v>75</v>
          </cell>
          <cell r="AT69">
            <v>11</v>
          </cell>
          <cell r="AU69">
            <v>0</v>
          </cell>
          <cell r="AV69" t="str">
            <v>2 years</v>
          </cell>
          <cell r="AW69" t="str">
            <v>Direct lending</v>
          </cell>
          <cell r="AX69" t="str">
            <v>Mark to market</v>
          </cell>
          <cell r="AY69" t="str">
            <v>Subordinated: Junior+Mezzanine</v>
          </cell>
          <cell r="AZ69" t="str">
            <v>7 years</v>
          </cell>
          <cell r="BA69" t="str">
            <v>≥ 50%</v>
          </cell>
          <cell r="BB69" t="str">
            <v>Europe</v>
          </cell>
          <cell r="BC69" t="str">
            <v>multi country</v>
          </cell>
          <cell r="BD69" t="str">
            <v>Western Europe</v>
          </cell>
          <cell r="BF69" t="str">
            <v>multi sector</v>
          </cell>
          <cell r="BH69">
            <v>225000000</v>
          </cell>
          <cell r="BI69">
            <v>225000000</v>
          </cell>
          <cell r="BJ69">
            <v>2012</v>
          </cell>
          <cell r="BK69">
            <v>2020</v>
          </cell>
          <cell r="BL69" t="str">
            <v>Yes</v>
          </cell>
          <cell r="BM69" t="str">
            <v>Yes</v>
          </cell>
          <cell r="BN69" t="str">
            <v>1+1 years</v>
          </cell>
          <cell r="BO69" t="str">
            <v>No</v>
          </cell>
          <cell r="BS69" t="str">
            <v>2013-12-31</v>
          </cell>
          <cell r="BT69">
            <v>78239957</v>
          </cell>
          <cell r="BU69">
            <v>93723644.4903</v>
          </cell>
          <cell r="BV69">
            <v>78210455</v>
          </cell>
          <cell r="BW69">
            <v>93688304.044499993</v>
          </cell>
          <cell r="BX69">
            <v>0</v>
          </cell>
          <cell r="BY69" t="str">
            <v>Yes</v>
          </cell>
          <cell r="CA69">
            <v>2</v>
          </cell>
          <cell r="CC69">
            <v>225000000</v>
          </cell>
          <cell r="CD69">
            <v>269257500</v>
          </cell>
          <cell r="CF69">
            <v>0</v>
          </cell>
          <cell r="CG69" t="str">
            <v>No</v>
          </cell>
          <cell r="CH69" t="str">
            <v>United Kingdom</v>
          </cell>
          <cell r="CI69" t="str">
            <v>Retail</v>
          </cell>
          <cell r="CJ69">
            <v>85.3</v>
          </cell>
          <cell r="CK69" t="str">
            <v>United Kingdom</v>
          </cell>
          <cell r="CL69" t="str">
            <v>Industrial / Logistics</v>
          </cell>
          <cell r="CM69">
            <v>14.7</v>
          </cell>
        </row>
        <row r="70">
          <cell r="A70">
            <v>17370</v>
          </cell>
          <cell r="B70" t="str">
            <v>PRAMERICA REAL ESTATE CAPITAL IV L.P.</v>
          </cell>
          <cell r="C70" t="str">
            <v>PGIM REAL ESTATE (UK) LIMITED</v>
          </cell>
          <cell r="D70" t="str">
            <v>Grand Buildings, 1-3 Strand, London</v>
          </cell>
          <cell r="E70" t="str">
            <v>WC2N 5HR</v>
          </cell>
          <cell r="F70" t="str">
            <v>London</v>
          </cell>
          <cell r="G70" t="str">
            <v>United Kingdom</v>
          </cell>
          <cell r="H70" t="str">
            <v>+442077662440</v>
          </cell>
          <cell r="I70" t="str">
            <v>+442077662445</v>
          </cell>
          <cell r="J70" t="str">
            <v>http://www.pgim.com</v>
          </cell>
          <cell r="K70" t="str">
            <v>Mathew Crowther</v>
          </cell>
          <cell r="L70" t="str">
            <v>mathew.crowther@pgim.com</v>
          </cell>
          <cell r="M70" t="str">
            <v>+442077662446</v>
          </cell>
          <cell r="N70" t="str">
            <v>Andrew Grigson</v>
          </cell>
          <cell r="O70" t="str">
            <v>andrew.grigson@pgim.com</v>
          </cell>
          <cell r="P70" t="str">
            <v>+442077662403</v>
          </cell>
          <cell r="Q70" t="str">
            <v>United Kingdom</v>
          </cell>
          <cell r="R70" t="str">
            <v>GBP</v>
          </cell>
          <cell r="S70" t="str">
            <v>IFRS</v>
          </cell>
          <cell r="T70" t="str">
            <v>Quarterly</v>
          </cell>
          <cell r="U70" t="str">
            <v>Quarterly</v>
          </cell>
          <cell r="W70" t="str">
            <v>IFRS NAV</v>
          </cell>
          <cell r="X70" t="str">
            <v>PWC</v>
          </cell>
          <cell r="Y70" t="str">
            <v>Limited Partnership</v>
          </cell>
          <cell r="Z70" t="str">
            <v>Yes</v>
          </cell>
          <cell r="AA70" t="str">
            <v>Yes</v>
          </cell>
          <cell r="AC70" t="str">
            <v>Non-Listed Fund</v>
          </cell>
          <cell r="AD70" t="str">
            <v>Value-added</v>
          </cell>
          <cell r="AE70" t="str">
            <v>finite</v>
          </cell>
          <cell r="AF70" t="str">
            <v>Closed end</v>
          </cell>
          <cell r="AG70">
            <v>12</v>
          </cell>
          <cell r="AH70">
            <v>15</v>
          </cell>
          <cell r="AI70" t="str">
            <v>Gross</v>
          </cell>
          <cell r="AJ70">
            <v>0</v>
          </cell>
          <cell r="AK70" t="str">
            <v>9%</v>
          </cell>
          <cell r="AL70">
            <v>0</v>
          </cell>
          <cell r="AN70" t="str">
            <v>Institutional</v>
          </cell>
          <cell r="AO70" t="str">
            <v>&gt; 2</v>
          </cell>
          <cell r="AP70">
            <v>441700000</v>
          </cell>
          <cell r="AQ70">
            <v>75</v>
          </cell>
          <cell r="AR70" t="str">
            <v>70%</v>
          </cell>
          <cell r="AS70">
            <v>85</v>
          </cell>
          <cell r="AT70">
            <v>20</v>
          </cell>
          <cell r="AU70">
            <v>0</v>
          </cell>
          <cell r="AV70" t="str">
            <v>2 years</v>
          </cell>
          <cell r="AW70" t="str">
            <v>Direct lending</v>
          </cell>
          <cell r="AX70" t="str">
            <v>Mark to market</v>
          </cell>
          <cell r="AY70" t="str">
            <v>Subordinated: Junior+Mezzanine</v>
          </cell>
          <cell r="AZ70" t="str">
            <v>7 years</v>
          </cell>
          <cell r="BA70" t="str">
            <v>≥ 50%</v>
          </cell>
          <cell r="BB70" t="str">
            <v>Europe</v>
          </cell>
          <cell r="BC70" t="str">
            <v>multi country</v>
          </cell>
          <cell r="BD70" t="str">
            <v>Western Europe</v>
          </cell>
          <cell r="BF70" t="str">
            <v>multi sector</v>
          </cell>
          <cell r="BH70">
            <v>698600000</v>
          </cell>
          <cell r="BI70">
            <v>698600000</v>
          </cell>
          <cell r="BJ70">
            <v>2013</v>
          </cell>
          <cell r="BK70">
            <v>2020</v>
          </cell>
          <cell r="BL70" t="str">
            <v>Yes</v>
          </cell>
          <cell r="BM70" t="str">
            <v>Yes</v>
          </cell>
          <cell r="BN70" t="str">
            <v>1+1 years</v>
          </cell>
          <cell r="BO70" t="str">
            <v>No</v>
          </cell>
          <cell r="BS70" t="str">
            <v>2015-09-30</v>
          </cell>
          <cell r="BT70">
            <v>532633268</v>
          </cell>
          <cell r="BU70">
            <v>718484994.20324004</v>
          </cell>
          <cell r="BV70">
            <v>506677154</v>
          </cell>
          <cell r="BW70">
            <v>683472013.34521997</v>
          </cell>
          <cell r="BX70">
            <v>3</v>
          </cell>
          <cell r="BY70" t="str">
            <v>No</v>
          </cell>
          <cell r="CA70">
            <v>11</v>
          </cell>
          <cell r="CC70">
            <v>698600000</v>
          </cell>
          <cell r="CD70">
            <v>985333384</v>
          </cell>
          <cell r="CE70">
            <v>441700000</v>
          </cell>
          <cell r="CF70">
            <v>622991348</v>
          </cell>
          <cell r="CG70" t="str">
            <v>No</v>
          </cell>
          <cell r="CH70" t="str">
            <v>United Kingdom</v>
          </cell>
          <cell r="CI70" t="str">
            <v>Mixed</v>
          </cell>
          <cell r="CJ70">
            <v>98</v>
          </cell>
          <cell r="CK70" t="str">
            <v>Germany</v>
          </cell>
          <cell r="CL70" t="str">
            <v>Mixed</v>
          </cell>
          <cell r="CM70">
            <v>2</v>
          </cell>
        </row>
        <row r="71">
          <cell r="A71">
            <v>605</v>
          </cell>
          <cell r="B71" t="str">
            <v>PRECAP V</v>
          </cell>
          <cell r="C71" t="str">
            <v>PGIM REAL ESTATE (UK) LIMITED</v>
          </cell>
          <cell r="D71" t="str">
            <v>Grand Buildings, 1-3 Strand</v>
          </cell>
          <cell r="E71" t="str">
            <v>WC2N 6HR</v>
          </cell>
          <cell r="F71" t="str">
            <v>London</v>
          </cell>
          <cell r="G71" t="str">
            <v>United Kingdom</v>
          </cell>
          <cell r="H71" t="str">
            <v>+442077662400</v>
          </cell>
          <cell r="I71" t="str">
            <v>+442077662449</v>
          </cell>
          <cell r="J71" t="str">
            <v>http://www.pgim.com</v>
          </cell>
          <cell r="K71" t="str">
            <v>Mathew Crowther</v>
          </cell>
          <cell r="L71" t="str">
            <v>mathew.crowther@pgim.com</v>
          </cell>
          <cell r="M71" t="str">
            <v>+442077662446</v>
          </cell>
          <cell r="N71" t="str">
            <v>Andrew Grigson</v>
          </cell>
          <cell r="O71" t="str">
            <v>andrew.grigson@pgim.com</v>
          </cell>
          <cell r="Q71" t="str">
            <v>United Kingdom</v>
          </cell>
          <cell r="R71" t="str">
            <v>EUR</v>
          </cell>
          <cell r="S71" t="str">
            <v>IFRS</v>
          </cell>
          <cell r="T71" t="str">
            <v>Quarterly</v>
          </cell>
          <cell r="U71" t="str">
            <v>Annually</v>
          </cell>
          <cell r="V71" t="str">
            <v>RICS</v>
          </cell>
          <cell r="W71" t="str">
            <v>IFRS NAV</v>
          </cell>
          <cell r="X71" t="str">
            <v>PriceWaterhouseCoopers</v>
          </cell>
          <cell r="Y71" t="str">
            <v>Limited Partnership</v>
          </cell>
          <cell r="Z71" t="str">
            <v>No</v>
          </cell>
          <cell r="AA71" t="str">
            <v>Yes</v>
          </cell>
          <cell r="AB71">
            <v>0</v>
          </cell>
          <cell r="AC71" t="str">
            <v>Non-Listed Fund</v>
          </cell>
          <cell r="AD71" t="str">
            <v>Core</v>
          </cell>
          <cell r="AE71" t="str">
            <v>finite</v>
          </cell>
          <cell r="AF71" t="str">
            <v>Closed end</v>
          </cell>
          <cell r="AI71" t="str">
            <v>Gross</v>
          </cell>
          <cell r="AJ71" t="str">
            <v>NA</v>
          </cell>
          <cell r="AN71" t="str">
            <v>Institutional</v>
          </cell>
          <cell r="AO71" t="str">
            <v>≤ 2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 t="str">
            <v>2 years plus option of 1 year extension subject to AC approval</v>
          </cell>
          <cell r="AW71" t="str">
            <v>Direct lending</v>
          </cell>
          <cell r="AX71" t="str">
            <v>Mark to market</v>
          </cell>
          <cell r="AY71" t="str">
            <v>Subordinated: Junior+Mezzanine</v>
          </cell>
          <cell r="AZ71" t="str">
            <v>2 years plus option of 1 year extension subject to AC approval</v>
          </cell>
          <cell r="BA71" t="str">
            <v>≥ 50%</v>
          </cell>
          <cell r="BB71" t="str">
            <v>Europe</v>
          </cell>
          <cell r="BC71" t="str">
            <v>multi country</v>
          </cell>
          <cell r="BD71" t="str">
            <v>Western Europe</v>
          </cell>
          <cell r="BF71" t="str">
            <v>multi sector</v>
          </cell>
          <cell r="BH71">
            <v>264750000</v>
          </cell>
          <cell r="BI71">
            <v>103800000</v>
          </cell>
          <cell r="BJ71">
            <v>2013</v>
          </cell>
          <cell r="BK71">
            <v>2019</v>
          </cell>
          <cell r="BL71" t="str">
            <v>Yes</v>
          </cell>
          <cell r="BM71" t="str">
            <v>Yes</v>
          </cell>
          <cell r="BN71" t="str">
            <v>1+1 years</v>
          </cell>
          <cell r="BO71" t="str">
            <v>No</v>
          </cell>
          <cell r="BS71" t="str">
            <v>2016-06-30</v>
          </cell>
          <cell r="BT71">
            <v>118200000</v>
          </cell>
          <cell r="BU71">
            <v>118200000</v>
          </cell>
          <cell r="BV71">
            <v>110241201</v>
          </cell>
          <cell r="BW71">
            <v>110241201</v>
          </cell>
          <cell r="BX71">
            <v>0</v>
          </cell>
          <cell r="BY71" t="str">
            <v>Yes</v>
          </cell>
          <cell r="BZ71" t="str">
            <v>External</v>
          </cell>
          <cell r="CA71">
            <v>8</v>
          </cell>
          <cell r="CB71">
            <v>4</v>
          </cell>
          <cell r="CC71">
            <v>491963184</v>
          </cell>
          <cell r="CD71">
            <v>491963184</v>
          </cell>
          <cell r="CE71">
            <v>477000000</v>
          </cell>
          <cell r="CF71">
            <v>477000000</v>
          </cell>
          <cell r="CG71" t="str">
            <v>No</v>
          </cell>
          <cell r="CH71" t="str">
            <v>United Kingdom</v>
          </cell>
          <cell r="CI71" t="str">
            <v>Other</v>
          </cell>
          <cell r="CJ71">
            <v>77</v>
          </cell>
          <cell r="CK71" t="str">
            <v>Germany</v>
          </cell>
          <cell r="CL71" t="str">
            <v>Other</v>
          </cell>
          <cell r="CM71">
            <v>23</v>
          </cell>
        </row>
        <row r="72">
          <cell r="A72">
            <v>18130</v>
          </cell>
          <cell r="B72" t="str">
            <v>PRECAP VI</v>
          </cell>
          <cell r="C72" t="str">
            <v>PGIM REAL ESTATE (UK) LIMITED</v>
          </cell>
          <cell r="D72" t="str">
            <v>Grand Buildings, 1-3 Strand</v>
          </cell>
          <cell r="E72" t="str">
            <v>WC2N 5HR</v>
          </cell>
          <cell r="F72" t="str">
            <v>London</v>
          </cell>
          <cell r="G72" t="str">
            <v>United Kingdom</v>
          </cell>
          <cell r="H72" t="str">
            <v>+442077662400</v>
          </cell>
          <cell r="J72" t="str">
            <v>http://www.pgim.com</v>
          </cell>
          <cell r="K72" t="str">
            <v>Mathew Crowther</v>
          </cell>
          <cell r="L72" t="str">
            <v>mathew.crowther@pgim.com</v>
          </cell>
          <cell r="M72" t="str">
            <v>+442077662446</v>
          </cell>
          <cell r="N72" t="str">
            <v>Andrew Grigson</v>
          </cell>
          <cell r="O72" t="str">
            <v>andrew.grigson@pgim.com</v>
          </cell>
          <cell r="P72" t="str">
            <v>+442077662403</v>
          </cell>
          <cell r="Q72" t="str">
            <v>United Kingdom</v>
          </cell>
          <cell r="R72" t="str">
            <v>GBP</v>
          </cell>
          <cell r="S72" t="str">
            <v>IFRS</v>
          </cell>
          <cell r="T72" t="str">
            <v>Quarterly</v>
          </cell>
          <cell r="U72" t="str">
            <v>Quarterly</v>
          </cell>
          <cell r="W72" t="str">
            <v>IFRS NAV</v>
          </cell>
          <cell r="X72" t="str">
            <v>PWC</v>
          </cell>
          <cell r="Y72" t="str">
            <v>Limited Partnership</v>
          </cell>
          <cell r="Z72" t="str">
            <v>Yes</v>
          </cell>
          <cell r="AA72" t="str">
            <v>Yes</v>
          </cell>
          <cell r="AC72" t="str">
            <v>Non-Listed Fund</v>
          </cell>
          <cell r="AD72" t="str">
            <v>Value-added</v>
          </cell>
          <cell r="AE72" t="str">
            <v>finite</v>
          </cell>
          <cell r="AF72" t="str">
            <v>Closed end</v>
          </cell>
          <cell r="AI72" t="str">
            <v>Gross</v>
          </cell>
          <cell r="AN72" t="str">
            <v>Institutional</v>
          </cell>
          <cell r="AO72" t="str">
            <v>&gt; 2</v>
          </cell>
          <cell r="AP72">
            <v>141893893</v>
          </cell>
          <cell r="AQ72">
            <v>7</v>
          </cell>
          <cell r="AR72" t="str">
            <v>Less than 60%</v>
          </cell>
          <cell r="AS72">
            <v>85</v>
          </cell>
          <cell r="AT72">
            <v>0</v>
          </cell>
          <cell r="AU72">
            <v>0</v>
          </cell>
          <cell r="AV72" t="str">
            <v>2 years</v>
          </cell>
          <cell r="AW72" t="str">
            <v>Direct lending</v>
          </cell>
          <cell r="AX72" t="str">
            <v>Mark to market</v>
          </cell>
          <cell r="AY72" t="str">
            <v>Subordinated: Junior+Mezzanine</v>
          </cell>
          <cell r="AZ72" t="str">
            <v>5 years from end of Investment Period with 2 x 1 year extensions</v>
          </cell>
          <cell r="BA72" t="str">
            <v>≥ 50%</v>
          </cell>
          <cell r="BB72" t="str">
            <v>Europe</v>
          </cell>
          <cell r="BC72" t="str">
            <v>multi country</v>
          </cell>
          <cell r="BD72" t="str">
            <v>Western Europe</v>
          </cell>
          <cell r="BF72" t="str">
            <v>multi sector</v>
          </cell>
          <cell r="BH72">
            <v>750000000</v>
          </cell>
          <cell r="BI72">
            <v>750000000</v>
          </cell>
          <cell r="BJ72">
            <v>2015</v>
          </cell>
          <cell r="BK72">
            <v>2024</v>
          </cell>
          <cell r="BL72" t="str">
            <v>Yes</v>
          </cell>
          <cell r="BM72" t="str">
            <v>Yes</v>
          </cell>
          <cell r="BN72" t="str">
            <v>1+1 years</v>
          </cell>
          <cell r="BO72" t="str">
            <v>No</v>
          </cell>
          <cell r="BS72" t="str">
            <v>2016-06-30</v>
          </cell>
          <cell r="BT72">
            <v>141893893</v>
          </cell>
          <cell r="BU72">
            <v>171539784.06448999</v>
          </cell>
          <cell r="BV72">
            <v>105125864</v>
          </cell>
          <cell r="BW72">
            <v>127089810.76552001</v>
          </cell>
          <cell r="BX72">
            <v>33</v>
          </cell>
          <cell r="BY72" t="str">
            <v>No</v>
          </cell>
          <cell r="CA72">
            <v>8</v>
          </cell>
          <cell r="CC72">
            <v>330000000</v>
          </cell>
          <cell r="CD72">
            <v>417598500</v>
          </cell>
          <cell r="CE72">
            <v>92000000</v>
          </cell>
          <cell r="CF72">
            <v>116421400</v>
          </cell>
          <cell r="CG72" t="str">
            <v>Yes</v>
          </cell>
          <cell r="CH72" t="str">
            <v>United Kingdom</v>
          </cell>
          <cell r="CI72" t="str">
            <v>Other</v>
          </cell>
          <cell r="CJ72">
            <v>94</v>
          </cell>
          <cell r="CK72" t="str">
            <v>Germany</v>
          </cell>
          <cell r="CL72" t="str">
            <v>Other</v>
          </cell>
          <cell r="CM72">
            <v>6</v>
          </cell>
        </row>
        <row r="73">
          <cell r="A73">
            <v>17694</v>
          </cell>
          <cell r="B73" t="str">
            <v>QUADRANT ENHANCED DEBT FUND</v>
          </cell>
          <cell r="C73" t="str">
            <v>QUADRANT REAL ESTATE ADVISORS</v>
          </cell>
          <cell r="D73" t="str">
            <v>12735 Morris Road, Suite 100</v>
          </cell>
          <cell r="E73">
            <v>30004</v>
          </cell>
          <cell r="F73" t="str">
            <v>Alpharetta</v>
          </cell>
          <cell r="G73" t="str">
            <v>United States of America</v>
          </cell>
          <cell r="H73" t="str">
            <v>+17707526714</v>
          </cell>
          <cell r="I73" t="str">
            <v>+17707526731</v>
          </cell>
          <cell r="J73" t="str">
            <v>http://quadrantrea.com/</v>
          </cell>
          <cell r="K73" t="str">
            <v>Jessica Eggins</v>
          </cell>
          <cell r="L73" t="str">
            <v>jeggins@quadrantrea.com</v>
          </cell>
          <cell r="M73" t="str">
            <v>+17707526717</v>
          </cell>
          <cell r="N73" t="str">
            <v>Tom Mattinson</v>
          </cell>
          <cell r="O73" t="str">
            <v>tmattinson@quadrantrea.com</v>
          </cell>
          <cell r="P73" t="str">
            <v>+17707526714</v>
          </cell>
          <cell r="Q73" t="str">
            <v>United States of America</v>
          </cell>
          <cell r="R73" t="str">
            <v>USD</v>
          </cell>
          <cell r="S73" t="str">
            <v>US GAAP</v>
          </cell>
          <cell r="T73" t="str">
            <v>Quarterly</v>
          </cell>
          <cell r="U73" t="str">
            <v>Quarterly</v>
          </cell>
          <cell r="X73" t="str">
            <v xml:space="preserve">To be determined </v>
          </cell>
          <cell r="Y73" t="str">
            <v>Limited Partnership</v>
          </cell>
          <cell r="AA73" t="str">
            <v>Yes</v>
          </cell>
          <cell r="AB73">
            <v>1</v>
          </cell>
          <cell r="AF73" t="str">
            <v>Closed end</v>
          </cell>
          <cell r="AG73">
            <v>8</v>
          </cell>
          <cell r="AH73">
            <v>10</v>
          </cell>
          <cell r="AI73" t="str">
            <v>Net</v>
          </cell>
          <cell r="AJ73" t="str">
            <v>NCREIF</v>
          </cell>
          <cell r="AN73" t="str">
            <v>Institutional</v>
          </cell>
          <cell r="AO73" t="str">
            <v>&gt; 2</v>
          </cell>
          <cell r="AR73" t="str">
            <v>65%</v>
          </cell>
          <cell r="AS73">
            <v>75</v>
          </cell>
          <cell r="AT73">
            <v>200</v>
          </cell>
          <cell r="AV73" t="str">
            <v>5 years</v>
          </cell>
          <cell r="AW73" t="str">
            <v>Direct lending</v>
          </cell>
          <cell r="AX73" t="str">
            <v>Book value(excl. amortisation)</v>
          </cell>
          <cell r="AY73" t="str">
            <v>Mixed: Senior+Subordinated</v>
          </cell>
          <cell r="AZ73" t="str">
            <v>10 years</v>
          </cell>
          <cell r="BA73" t="str">
            <v>≥ 50%</v>
          </cell>
          <cell r="BB73" t="str">
            <v>North America</v>
          </cell>
          <cell r="BC73" t="str">
            <v>single country</v>
          </cell>
          <cell r="BE73" t="str">
            <v>United States of America</v>
          </cell>
          <cell r="BF73" t="str">
            <v>multi sector</v>
          </cell>
          <cell r="BH73">
            <v>700000000</v>
          </cell>
          <cell r="BI73">
            <v>700000000</v>
          </cell>
          <cell r="BJ73">
            <v>2016</v>
          </cell>
          <cell r="BK73">
            <v>2026</v>
          </cell>
          <cell r="BL73" t="str">
            <v>Yes</v>
          </cell>
          <cell r="BM73" t="str">
            <v>Yes</v>
          </cell>
          <cell r="BN73" t="str">
            <v>1+1 years</v>
          </cell>
        </row>
        <row r="74">
          <cell r="A74">
            <v>17396</v>
          </cell>
          <cell r="B74" t="str">
            <v>RENSHAW BAY REAL ESTATE FINANCE FUND L.P.</v>
          </cell>
          <cell r="C74" t="str">
            <v>RENSHAW BAY</v>
          </cell>
          <cell r="R74" t="str">
            <v>GBP</v>
          </cell>
          <cell r="T74" t="str">
            <v>Quarterly</v>
          </cell>
          <cell r="U74" t="str">
            <v>Quarterly</v>
          </cell>
          <cell r="AY74" t="str">
            <v>Mixed: Senior+Subordinated</v>
          </cell>
          <cell r="BB74" t="str">
            <v>Europe</v>
          </cell>
          <cell r="BC74" t="str">
            <v>multi country</v>
          </cell>
          <cell r="BD74" t="str">
            <v>Western Europe</v>
          </cell>
          <cell r="BF74" t="str">
            <v>multi sector</v>
          </cell>
          <cell r="BH74">
            <v>500000000</v>
          </cell>
          <cell r="BI74">
            <v>500000000</v>
          </cell>
        </row>
        <row r="75">
          <cell r="A75">
            <v>17397</v>
          </cell>
          <cell r="B75" t="str">
            <v>SCOR REAL ESTATE LOANS</v>
          </cell>
          <cell r="C75" t="str">
            <v>SCOR GLOBAL INVESTMENTS SE</v>
          </cell>
          <cell r="D75" t="str">
            <v>5 avenue Kleber</v>
          </cell>
          <cell r="E75">
            <v>75016</v>
          </cell>
          <cell r="F75" t="str">
            <v>Paris</v>
          </cell>
          <cell r="G75" t="str">
            <v>France</v>
          </cell>
          <cell r="H75" t="str">
            <v>+33158448417</v>
          </cell>
          <cell r="I75" t="str">
            <v>+33158448417</v>
          </cell>
          <cell r="J75" t="str">
            <v>http://www.scor.com</v>
          </cell>
          <cell r="K75" t="str">
            <v>Gilles Castiel</v>
          </cell>
          <cell r="L75" t="str">
            <v>gcastiel@scor.com</v>
          </cell>
          <cell r="M75" t="str">
            <v>+33158448417</v>
          </cell>
          <cell r="N75" t="str">
            <v>Olivier Nolland</v>
          </cell>
          <cell r="O75" t="str">
            <v>onolland@scor.com</v>
          </cell>
          <cell r="P75" t="str">
            <v>+33153646514</v>
          </cell>
          <cell r="Q75" t="str">
            <v>France</v>
          </cell>
          <cell r="R75" t="str">
            <v>EUR</v>
          </cell>
          <cell r="S75" t="str">
            <v>Local GAAP</v>
          </cell>
          <cell r="T75" t="str">
            <v>Quarterly</v>
          </cell>
          <cell r="U75" t="str">
            <v>Quarterly</v>
          </cell>
          <cell r="AF75" t="str">
            <v>Closed end</v>
          </cell>
          <cell r="AG75">
            <v>3</v>
          </cell>
          <cell r="AH75">
            <v>4</v>
          </cell>
          <cell r="AK75" t="str">
            <v>3%</v>
          </cell>
          <cell r="AL75">
            <v>0</v>
          </cell>
          <cell r="AP75">
            <v>68400000</v>
          </cell>
          <cell r="AQ75">
            <v>3</v>
          </cell>
          <cell r="AR75" t="str">
            <v>60%</v>
          </cell>
          <cell r="AS75">
            <v>65</v>
          </cell>
          <cell r="AT75">
            <v>15</v>
          </cell>
          <cell r="AU75" t="str">
            <v>25 million</v>
          </cell>
          <cell r="AV75" t="str">
            <v>2 years</v>
          </cell>
          <cell r="AW75" t="str">
            <v>Loan acquisition</v>
          </cell>
          <cell r="AY75" t="str">
            <v>Senior</v>
          </cell>
          <cell r="AZ75" t="str">
            <v>6,5 years</v>
          </cell>
          <cell r="BC75" t="str">
            <v>multi country</v>
          </cell>
          <cell r="BF75" t="str">
            <v>multi sector</v>
          </cell>
          <cell r="BH75">
            <v>400000000</v>
          </cell>
          <cell r="BI75">
            <v>400000000</v>
          </cell>
          <cell r="BJ75">
            <v>2013</v>
          </cell>
          <cell r="BK75">
            <v>2020</v>
          </cell>
          <cell r="BL75" t="str">
            <v>Yes</v>
          </cell>
          <cell r="BM75" t="str">
            <v>Yes</v>
          </cell>
          <cell r="BS75" t="str">
            <v>2014-03-31</v>
          </cell>
          <cell r="BT75">
            <v>63000000</v>
          </cell>
          <cell r="BU75">
            <v>63000000</v>
          </cell>
          <cell r="BV75">
            <v>63000000</v>
          </cell>
          <cell r="BW75">
            <v>63000000</v>
          </cell>
          <cell r="BX75">
            <v>0</v>
          </cell>
          <cell r="BY75" t="str">
            <v>No</v>
          </cell>
          <cell r="CA75">
            <v>2</v>
          </cell>
          <cell r="CC75">
            <v>102000000</v>
          </cell>
          <cell r="CD75">
            <v>102000000</v>
          </cell>
          <cell r="CF75">
            <v>0</v>
          </cell>
          <cell r="CG75" t="str">
            <v>No</v>
          </cell>
          <cell r="CH75" t="str">
            <v>France</v>
          </cell>
          <cell r="CI75" t="str">
            <v>Office</v>
          </cell>
          <cell r="CJ75">
            <v>71</v>
          </cell>
          <cell r="CK75" t="str">
            <v>France</v>
          </cell>
          <cell r="CL75" t="str">
            <v>Other</v>
          </cell>
          <cell r="CM75">
            <v>29</v>
          </cell>
        </row>
        <row r="76">
          <cell r="A76">
            <v>18134</v>
          </cell>
          <cell r="B76" t="str">
            <v>SENIOR  EUROPEAN LOAN FUND SCA-SIF 2</v>
          </cell>
          <cell r="C76" t="str">
            <v>AEW</v>
          </cell>
          <cell r="D76" t="str">
            <v>5, allee Scheffer</v>
          </cell>
          <cell r="E76" t="str">
            <v>L-2520</v>
          </cell>
          <cell r="F76" t="str">
            <v>Luxembourg</v>
          </cell>
          <cell r="G76" t="str">
            <v>Luxembourg</v>
          </cell>
          <cell r="H76" t="str">
            <v>+33178409320</v>
          </cell>
          <cell r="I76" t="str">
            <v>+33178409320</v>
          </cell>
          <cell r="J76" t="str">
            <v>http://www.aew.com</v>
          </cell>
          <cell r="K76" t="str">
            <v>Morgane Le Roux</v>
          </cell>
          <cell r="L76" t="str">
            <v>morgane.leroux@eu.aew.com</v>
          </cell>
          <cell r="M76" t="str">
            <v>+35247675138</v>
          </cell>
          <cell r="N76" t="str">
            <v>Alex Griffiths</v>
          </cell>
          <cell r="O76" t="str">
            <v>alex.griffiths@eu.aew.com</v>
          </cell>
          <cell r="P76" t="str">
            <v>+442070164750</v>
          </cell>
          <cell r="Q76" t="str">
            <v>Luxembourg</v>
          </cell>
          <cell r="R76" t="str">
            <v>EUR</v>
          </cell>
          <cell r="S76" t="str">
            <v>IFRS</v>
          </cell>
          <cell r="T76" t="str">
            <v>Quarterly</v>
          </cell>
          <cell r="U76" t="str">
            <v>Quarterly</v>
          </cell>
          <cell r="W76" t="str">
            <v>IFRS NAV</v>
          </cell>
          <cell r="X76" t="str">
            <v>PWC</v>
          </cell>
          <cell r="Y76" t="str">
            <v>Real Estate Fund</v>
          </cell>
          <cell r="Z76" t="str">
            <v>No</v>
          </cell>
          <cell r="AC76" t="str">
            <v>Non-Listed Fund</v>
          </cell>
          <cell r="AD76" t="str">
            <v>Core</v>
          </cell>
          <cell r="AE76" t="str">
            <v>finite</v>
          </cell>
          <cell r="AF76" t="str">
            <v>Closed end</v>
          </cell>
          <cell r="AN76" t="str">
            <v>Institutional</v>
          </cell>
          <cell r="AO76" t="str">
            <v>&gt; 2</v>
          </cell>
          <cell r="AR76">
            <v>65</v>
          </cell>
          <cell r="AS76">
            <v>65</v>
          </cell>
          <cell r="AT76">
            <v>15</v>
          </cell>
          <cell r="AU76">
            <v>35</v>
          </cell>
          <cell r="AV76" t="str">
            <v>2 years plus 1 year extension</v>
          </cell>
          <cell r="AW76" t="str">
            <v>Loan acquisition</v>
          </cell>
          <cell r="AX76" t="str">
            <v>Book value(excl. amortisation)</v>
          </cell>
          <cell r="AY76" t="str">
            <v>Senior</v>
          </cell>
          <cell r="AZ76" t="str">
            <v>7 years plus 2 year extension</v>
          </cell>
          <cell r="BA76" t="str">
            <v>≥ 50%</v>
          </cell>
          <cell r="BB76" t="str">
            <v>Europe</v>
          </cell>
          <cell r="BC76" t="str">
            <v>multi country</v>
          </cell>
          <cell r="BD76" t="str">
            <v>Europe</v>
          </cell>
          <cell r="BF76" t="str">
            <v>multi sector</v>
          </cell>
          <cell r="BH76">
            <v>750000000</v>
          </cell>
          <cell r="BI76">
            <v>750000000</v>
          </cell>
          <cell r="BJ76">
            <v>2016</v>
          </cell>
          <cell r="BK76">
            <v>2025</v>
          </cell>
          <cell r="BL76" t="str">
            <v>Yes</v>
          </cell>
          <cell r="BM76" t="str">
            <v>Yes</v>
          </cell>
          <cell r="BN76" t="str">
            <v>2 years fixed</v>
          </cell>
          <cell r="BO76" t="str">
            <v>No</v>
          </cell>
        </row>
        <row r="77">
          <cell r="A77">
            <v>17366</v>
          </cell>
          <cell r="B77" t="str">
            <v>SENIOR CRE LOAN</v>
          </cell>
          <cell r="C77" t="str">
            <v>AXA REAL ESTATE</v>
          </cell>
          <cell r="D77" t="str">
            <v>Coeur Defence, Tour B, 100, Esplanade du General de Geul</v>
          </cell>
          <cell r="E77">
            <v>92932</v>
          </cell>
          <cell r="F77" t="str">
            <v>Paris La Defence Cedex</v>
          </cell>
          <cell r="G77" t="str">
            <v>France</v>
          </cell>
          <cell r="H77" t="str">
            <v>+33144458455</v>
          </cell>
          <cell r="I77" t="str">
            <v>+33144458455</v>
          </cell>
          <cell r="J77" t="str">
            <v>http://www.axa-realestate.com</v>
          </cell>
          <cell r="K77" t="str">
            <v>Antonio De Laurentiis</v>
          </cell>
          <cell r="L77" t="str">
            <v>Antonio.deLaurentiis@axa-im.com</v>
          </cell>
          <cell r="M77" t="str">
            <v>+33144458455</v>
          </cell>
          <cell r="N77" t="str">
            <v>Sandra Da Rocha</v>
          </cell>
          <cell r="O77" t="str">
            <v>Sandra.DAROCHA@axa-im.com</v>
          </cell>
          <cell r="Q77" t="str">
            <v>Luxembourg</v>
          </cell>
          <cell r="R77" t="str">
            <v>EUR</v>
          </cell>
          <cell r="S77" t="str">
            <v>IFRS</v>
          </cell>
          <cell r="T77" t="str">
            <v>Quarterly</v>
          </cell>
          <cell r="U77" t="str">
            <v>Quarterly</v>
          </cell>
          <cell r="AD77" t="str">
            <v>Core</v>
          </cell>
          <cell r="AF77" t="str">
            <v>Closed end</v>
          </cell>
          <cell r="AL77">
            <v>0</v>
          </cell>
          <cell r="AP77">
            <v>6500000000</v>
          </cell>
          <cell r="AQ77">
            <v>90</v>
          </cell>
          <cell r="AS77">
            <v>70</v>
          </cell>
          <cell r="AV77" t="str">
            <v>&gt;2 years</v>
          </cell>
          <cell r="AW77" t="str">
            <v>Both</v>
          </cell>
          <cell r="AY77" t="str">
            <v>Senior</v>
          </cell>
          <cell r="AZ77" t="str">
            <v>10 years</v>
          </cell>
          <cell r="BB77" t="str">
            <v>Europe</v>
          </cell>
          <cell r="BC77" t="str">
            <v>multi country</v>
          </cell>
          <cell r="BD77" t="str">
            <v>Europe</v>
          </cell>
          <cell r="BF77" t="str">
            <v>multi sector</v>
          </cell>
          <cell r="BH77">
            <v>11000000000</v>
          </cell>
          <cell r="BI77">
            <v>11000000000</v>
          </cell>
          <cell r="BJ77">
            <v>2008</v>
          </cell>
          <cell r="BL77" t="str">
            <v>Yes</v>
          </cell>
          <cell r="BM77" t="str">
            <v>Yes</v>
          </cell>
          <cell r="BS77" t="str">
            <v>2014-06-30</v>
          </cell>
          <cell r="BU77">
            <v>0</v>
          </cell>
          <cell r="BW77">
            <v>0</v>
          </cell>
          <cell r="BX77">
            <v>0</v>
          </cell>
          <cell r="BY77" t="str">
            <v>No</v>
          </cell>
          <cell r="CA77">
            <v>43</v>
          </cell>
          <cell r="CC77">
            <v>8100000000</v>
          </cell>
          <cell r="CD77">
            <v>8100000000</v>
          </cell>
          <cell r="CF77">
            <v>0</v>
          </cell>
          <cell r="CG77" t="str">
            <v>Yes</v>
          </cell>
          <cell r="CH77" t="str">
            <v>France</v>
          </cell>
          <cell r="CI77" t="str">
            <v>Office</v>
          </cell>
          <cell r="CJ77">
            <v>9.9</v>
          </cell>
          <cell r="CK77" t="str">
            <v>Germany</v>
          </cell>
          <cell r="CL77" t="str">
            <v>Office</v>
          </cell>
          <cell r="CM77">
            <v>6.2</v>
          </cell>
          <cell r="CN77" t="str">
            <v>Italy</v>
          </cell>
          <cell r="CO77" t="str">
            <v>Office</v>
          </cell>
          <cell r="CP77">
            <v>0.7</v>
          </cell>
          <cell r="CQ77" t="str">
            <v>United Kingdom</v>
          </cell>
          <cell r="CR77" t="str">
            <v>Office</v>
          </cell>
          <cell r="CS77">
            <v>17</v>
          </cell>
          <cell r="CT77" t="str">
            <v>France</v>
          </cell>
          <cell r="CU77" t="str">
            <v>Retail</v>
          </cell>
          <cell r="CV77">
            <v>8.5</v>
          </cell>
          <cell r="CW77" t="str">
            <v>Germany</v>
          </cell>
          <cell r="CX77" t="str">
            <v>Retail</v>
          </cell>
          <cell r="CY77">
            <v>1.1000000000000001</v>
          </cell>
          <cell r="CZ77" t="str">
            <v>Italy</v>
          </cell>
          <cell r="DA77" t="str">
            <v>Retail</v>
          </cell>
          <cell r="DB77">
            <v>1.7</v>
          </cell>
          <cell r="DC77" t="str">
            <v>Netherlands</v>
          </cell>
          <cell r="DD77" t="str">
            <v>Retail</v>
          </cell>
          <cell r="DE77">
            <v>1.4</v>
          </cell>
          <cell r="DF77" t="str">
            <v>Poland</v>
          </cell>
          <cell r="DG77" t="str">
            <v>Retail</v>
          </cell>
          <cell r="DH77">
            <v>0.9</v>
          </cell>
          <cell r="DI77" t="str">
            <v>Spain</v>
          </cell>
          <cell r="DJ77" t="str">
            <v>Retail</v>
          </cell>
          <cell r="DK77">
            <v>5.4</v>
          </cell>
          <cell r="DL77" t="str">
            <v>United Kingdom</v>
          </cell>
          <cell r="DM77" t="str">
            <v>Retail</v>
          </cell>
          <cell r="DN77">
            <v>10.5</v>
          </cell>
          <cell r="DO77" t="str">
            <v>France</v>
          </cell>
          <cell r="DP77" t="str">
            <v>Industrial / Logistics</v>
          </cell>
          <cell r="DQ77">
            <v>3.6</v>
          </cell>
          <cell r="DR77" t="str">
            <v>France</v>
          </cell>
          <cell r="DS77" t="str">
            <v>Residential</v>
          </cell>
          <cell r="DT77">
            <v>3.1</v>
          </cell>
          <cell r="DU77" t="str">
            <v>Germany</v>
          </cell>
          <cell r="DV77" t="str">
            <v>Residential</v>
          </cell>
          <cell r="DW77">
            <v>4.7</v>
          </cell>
          <cell r="DX77" t="str">
            <v>United Kingdom</v>
          </cell>
          <cell r="DY77" t="str">
            <v>Residential</v>
          </cell>
          <cell r="DZ77">
            <v>3.1</v>
          </cell>
          <cell r="EA77" t="str">
            <v>Spain</v>
          </cell>
          <cell r="EB77" t="str">
            <v>Office</v>
          </cell>
          <cell r="EC77">
            <v>2.9</v>
          </cell>
          <cell r="ED77" t="str">
            <v>Germany</v>
          </cell>
          <cell r="EE77" t="str">
            <v>Industrial / Logistics</v>
          </cell>
          <cell r="EF77">
            <v>1</v>
          </cell>
          <cell r="EG77" t="str">
            <v>Netherlands</v>
          </cell>
          <cell r="EH77" t="str">
            <v>Residential</v>
          </cell>
          <cell r="EI77">
            <v>1.5</v>
          </cell>
          <cell r="EJ77" t="str">
            <v>Belgium</v>
          </cell>
          <cell r="EK77" t="str">
            <v>Other</v>
          </cell>
          <cell r="EL77">
            <v>1.2</v>
          </cell>
          <cell r="EM77" t="str">
            <v>France</v>
          </cell>
          <cell r="EN77" t="str">
            <v>Other</v>
          </cell>
          <cell r="EO77">
            <v>6.2</v>
          </cell>
          <cell r="EP77" t="str">
            <v>Germany</v>
          </cell>
          <cell r="EQ77" t="str">
            <v>Other</v>
          </cell>
          <cell r="ER77">
            <v>1.7</v>
          </cell>
          <cell r="ES77" t="str">
            <v>United Kingdom</v>
          </cell>
          <cell r="ET77" t="str">
            <v>Other</v>
          </cell>
          <cell r="EU77">
            <v>7.7</v>
          </cell>
        </row>
        <row r="78">
          <cell r="A78">
            <v>17359</v>
          </cell>
          <cell r="B78" t="str">
            <v>SENIOR EUROPEAN LOAN FUND SCA-SIF</v>
          </cell>
          <cell r="C78" t="str">
            <v>AEW EUROPE</v>
          </cell>
          <cell r="D78" t="str">
            <v>5, allee Scheffer</v>
          </cell>
          <cell r="E78" t="str">
            <v>L-2520</v>
          </cell>
          <cell r="F78" t="str">
            <v>Luxembourg</v>
          </cell>
          <cell r="G78" t="str">
            <v>Luxembourg</v>
          </cell>
          <cell r="H78" t="str">
            <v>+33178409320</v>
          </cell>
          <cell r="I78" t="str">
            <v>+33178409320</v>
          </cell>
          <cell r="J78" t="str">
            <v>http://aew.com</v>
          </cell>
          <cell r="K78" t="str">
            <v>Morgane Le Roux</v>
          </cell>
          <cell r="L78" t="str">
            <v>morgane.leroux@eu.aew.com</v>
          </cell>
          <cell r="M78" t="str">
            <v>+35247675138</v>
          </cell>
          <cell r="N78" t="str">
            <v>Alex Griffiths</v>
          </cell>
          <cell r="O78" t="str">
            <v>alex.griffiths@eu.aew.com</v>
          </cell>
          <cell r="P78" t="str">
            <v>+442070164840</v>
          </cell>
          <cell r="Q78" t="str">
            <v>Luxembourg</v>
          </cell>
          <cell r="R78" t="str">
            <v>EUR</v>
          </cell>
          <cell r="S78" t="str">
            <v>IFRS</v>
          </cell>
          <cell r="T78" t="str">
            <v>Quarterly</v>
          </cell>
          <cell r="U78" t="str">
            <v>Quarterly</v>
          </cell>
          <cell r="W78" t="str">
            <v>IFRS NAV</v>
          </cell>
          <cell r="Y78" t="str">
            <v>Part II UCI</v>
          </cell>
          <cell r="Z78" t="str">
            <v>No</v>
          </cell>
          <cell r="AC78" t="str">
            <v>Non-Listed Fund</v>
          </cell>
          <cell r="AD78" t="str">
            <v>Core</v>
          </cell>
          <cell r="AE78" t="str">
            <v>finite</v>
          </cell>
          <cell r="AF78" t="str">
            <v>Closed end</v>
          </cell>
          <cell r="AG78">
            <v>0</v>
          </cell>
          <cell r="AH78">
            <v>0</v>
          </cell>
          <cell r="AK78" t="str">
            <v>3%-4%</v>
          </cell>
          <cell r="AL78">
            <v>0</v>
          </cell>
          <cell r="AN78" t="str">
            <v>Institutional</v>
          </cell>
          <cell r="AO78" t="str">
            <v>&gt; 2</v>
          </cell>
          <cell r="AP78">
            <v>87561000</v>
          </cell>
          <cell r="AQ78">
            <v>9</v>
          </cell>
          <cell r="AR78" t="str">
            <v>55%</v>
          </cell>
          <cell r="AS78">
            <v>65</v>
          </cell>
          <cell r="AT78">
            <v>10</v>
          </cell>
          <cell r="AU78">
            <v>30000000</v>
          </cell>
          <cell r="AV78" t="str">
            <v>&gt;2 years</v>
          </cell>
          <cell r="AW78" t="str">
            <v>Both</v>
          </cell>
          <cell r="AX78" t="str">
            <v>Book value(excl. amortisation)</v>
          </cell>
          <cell r="AY78" t="str">
            <v>Senior</v>
          </cell>
          <cell r="AZ78" t="str">
            <v>7,5 years</v>
          </cell>
          <cell r="BA78" t="str">
            <v>≥ 50%</v>
          </cell>
          <cell r="BB78" t="str">
            <v>Europe</v>
          </cell>
          <cell r="BC78" t="str">
            <v>multi country</v>
          </cell>
          <cell r="BD78" t="str">
            <v>Western Europe</v>
          </cell>
          <cell r="BF78" t="str">
            <v>multi sector</v>
          </cell>
          <cell r="BH78">
            <v>320000000</v>
          </cell>
          <cell r="BI78">
            <v>320000000</v>
          </cell>
          <cell r="BJ78">
            <v>2012</v>
          </cell>
          <cell r="BK78">
            <v>2020</v>
          </cell>
          <cell r="BL78" t="str">
            <v>Yes</v>
          </cell>
          <cell r="BM78" t="str">
            <v>Yes</v>
          </cell>
          <cell r="BO78" t="str">
            <v>No</v>
          </cell>
          <cell r="BS78" t="str">
            <v>2013-12-31</v>
          </cell>
          <cell r="BT78">
            <v>94963255</v>
          </cell>
          <cell r="BU78">
            <v>94963255</v>
          </cell>
          <cell r="BV78">
            <v>94793245</v>
          </cell>
          <cell r="BW78">
            <v>94793245</v>
          </cell>
          <cell r="BX78">
            <v>0</v>
          </cell>
          <cell r="BY78" t="str">
            <v>Yes</v>
          </cell>
          <cell r="CA78">
            <v>6</v>
          </cell>
          <cell r="CC78">
            <v>323200000</v>
          </cell>
          <cell r="CD78">
            <v>323200000</v>
          </cell>
          <cell r="CF78">
            <v>0</v>
          </cell>
          <cell r="CG78" t="str">
            <v>No</v>
          </cell>
          <cell r="CH78" t="str">
            <v>France</v>
          </cell>
          <cell r="CI78" t="str">
            <v>Retail</v>
          </cell>
          <cell r="CJ78">
            <v>49.3</v>
          </cell>
          <cell r="CK78" t="str">
            <v>France</v>
          </cell>
          <cell r="CL78" t="str">
            <v>Industrial / Logistics</v>
          </cell>
          <cell r="CM78">
            <v>32.4</v>
          </cell>
          <cell r="CN78" t="str">
            <v>United Kingdom</v>
          </cell>
          <cell r="CO78" t="str">
            <v>Office</v>
          </cell>
          <cell r="CP78">
            <v>18.2</v>
          </cell>
        </row>
        <row r="79">
          <cell r="A79">
            <v>18420</v>
          </cell>
          <cell r="B79" t="str">
            <v>TEMBO</v>
          </cell>
          <cell r="C79" t="str">
            <v>OCTOPUS AIF MANAGEMENT LIMITED</v>
          </cell>
          <cell r="D79" t="str">
            <v>6th Floor 33 Holborn</v>
          </cell>
          <cell r="E79" t="str">
            <v>EC1N 2HT</v>
          </cell>
          <cell r="F79" t="str">
            <v>London</v>
          </cell>
          <cell r="G79" t="str">
            <v>United Kingdom</v>
          </cell>
          <cell r="J79" t="str">
            <v>https://octopusinvestments.com/</v>
          </cell>
          <cell r="Q79" t="str">
            <v>Luxembourg</v>
          </cell>
          <cell r="R79" t="str">
            <v>GBP</v>
          </cell>
          <cell r="S79" t="str">
            <v>Local GAAP</v>
          </cell>
          <cell r="T79" t="str">
            <v>Quarterly</v>
          </cell>
          <cell r="U79" t="str">
            <v>Quarterly</v>
          </cell>
          <cell r="X79" t="str">
            <v>N/A</v>
          </cell>
          <cell r="Y79" t="str">
            <v>Real Estate Fund</v>
          </cell>
          <cell r="AA79" t="str">
            <v>Yes</v>
          </cell>
          <cell r="AB79">
            <v>1</v>
          </cell>
          <cell r="AF79" t="str">
            <v>Open end</v>
          </cell>
          <cell r="AG79">
            <v>11</v>
          </cell>
          <cell r="AH79">
            <v>12</v>
          </cell>
          <cell r="AI79" t="str">
            <v>Gross</v>
          </cell>
          <cell r="AN79" t="str">
            <v>Institutional</v>
          </cell>
          <cell r="AO79" t="str">
            <v>≤ 2</v>
          </cell>
          <cell r="AR79" t="str">
            <v>65%</v>
          </cell>
          <cell r="AS79">
            <v>70</v>
          </cell>
          <cell r="AV79" t="str">
            <v>1 year</v>
          </cell>
          <cell r="AX79" t="str">
            <v>Book value(excl. amortisation)</v>
          </cell>
          <cell r="AY79" t="str">
            <v>Senior</v>
          </cell>
          <cell r="BA79" t="str">
            <v>≥ 50%</v>
          </cell>
          <cell r="BB79" t="str">
            <v>Europe</v>
          </cell>
          <cell r="BC79" t="str">
            <v>single country</v>
          </cell>
          <cell r="BE79" t="str">
            <v>United Kingdom</v>
          </cell>
          <cell r="BF79" t="str">
            <v>single sector</v>
          </cell>
          <cell r="BG79" t="str">
            <v>Residential</v>
          </cell>
          <cell r="BJ79">
            <v>2015</v>
          </cell>
          <cell r="BL79" t="str">
            <v>Yes</v>
          </cell>
          <cell r="BM79" t="str">
            <v>Yes</v>
          </cell>
          <cell r="BN79" t="str">
            <v>1 year fixed</v>
          </cell>
          <cell r="BS79" t="str">
            <v>2017-12-31</v>
          </cell>
          <cell r="BT79">
            <v>36949069</v>
          </cell>
          <cell r="BU79">
            <v>41622162.511797622</v>
          </cell>
          <cell r="BV79">
            <v>41508441.57</v>
          </cell>
          <cell r="BW79">
            <v>46758176.792979442</v>
          </cell>
          <cell r="BX79">
            <v>0</v>
          </cell>
          <cell r="CD79">
            <v>0</v>
          </cell>
        </row>
        <row r="80">
          <cell r="A80">
            <v>17371</v>
          </cell>
          <cell r="B80" t="str">
            <v>UBS PARTICIPATING REAL ESTATE MORTGAGE FUND (UBS-PREMF)</v>
          </cell>
          <cell r="C80" t="str">
            <v>UBS ASSET MANAGEMENT FUNDS LTD</v>
          </cell>
          <cell r="D80" t="str">
            <v>5 Broadgate</v>
          </cell>
          <cell r="E80" t="str">
            <v>EC2M 2QS</v>
          </cell>
          <cell r="F80" t="str">
            <v>London</v>
          </cell>
          <cell r="G80" t="str">
            <v>United Kingdom</v>
          </cell>
          <cell r="H80" t="str">
            <v>+442075678000</v>
          </cell>
          <cell r="I80" t="str">
            <v>+442075678000</v>
          </cell>
          <cell r="J80" t="str">
            <v>http://www.ubs.com/realestate</v>
          </cell>
          <cell r="K80" t="str">
            <v xml:space="preserve"> Mark Gifford</v>
          </cell>
          <cell r="L80" t="str">
            <v>mark.gifford@ubs.com</v>
          </cell>
          <cell r="N80" t="str">
            <v>Nick Clare</v>
          </cell>
          <cell r="O80" t="str">
            <v>nicholas.clare@ubs.com</v>
          </cell>
          <cell r="Q80" t="str">
            <v>United Kingdom</v>
          </cell>
          <cell r="R80" t="str">
            <v>GBP</v>
          </cell>
          <cell r="S80" t="str">
            <v>IFRS</v>
          </cell>
          <cell r="T80" t="str">
            <v>Quarterly</v>
          </cell>
          <cell r="U80" t="str">
            <v>Quarterly</v>
          </cell>
          <cell r="X80" t="str">
            <v>Ernst &amp; Young LLP</v>
          </cell>
          <cell r="Y80" t="str">
            <v>Limited Partnership</v>
          </cell>
          <cell r="AA80" t="str">
            <v>Yes</v>
          </cell>
          <cell r="AF80" t="str">
            <v>Closed end</v>
          </cell>
          <cell r="AG80">
            <v>8</v>
          </cell>
          <cell r="AH80">
            <v>10</v>
          </cell>
          <cell r="AI80" t="str">
            <v>Net</v>
          </cell>
          <cell r="AK80" t="str">
            <v>6-7.5%</v>
          </cell>
          <cell r="AL80">
            <v>15</v>
          </cell>
          <cell r="AN80" t="str">
            <v>Institutional</v>
          </cell>
          <cell r="AO80" t="str">
            <v>&gt; 2</v>
          </cell>
          <cell r="AP80">
            <v>340400000</v>
          </cell>
          <cell r="AQ80">
            <v>14</v>
          </cell>
          <cell r="AR80" t="str">
            <v>75%</v>
          </cell>
          <cell r="AS80">
            <v>80</v>
          </cell>
          <cell r="AV80" t="str">
            <v>&gt;2 years</v>
          </cell>
          <cell r="AW80" t="str">
            <v>Direct lending</v>
          </cell>
          <cell r="AX80" t="str">
            <v>Mark to market</v>
          </cell>
          <cell r="AY80" t="str">
            <v>Mixed: Senior+Subordinated</v>
          </cell>
          <cell r="AZ80" t="str">
            <v>5+ years remaining (21 December 2024)</v>
          </cell>
          <cell r="BA80" t="str">
            <v>≥ 50%</v>
          </cell>
          <cell r="BC80" t="str">
            <v>single country</v>
          </cell>
          <cell r="BE80" t="str">
            <v>United Kingdom</v>
          </cell>
          <cell r="BF80" t="str">
            <v>multi sector</v>
          </cell>
          <cell r="BH80">
            <v>250000000</v>
          </cell>
          <cell r="BI80">
            <v>250000000</v>
          </cell>
          <cell r="BJ80">
            <v>2013</v>
          </cell>
          <cell r="BK80">
            <v>2023</v>
          </cell>
          <cell r="BL80" t="str">
            <v>Yes</v>
          </cell>
          <cell r="BM80" t="str">
            <v>No</v>
          </cell>
          <cell r="BN80" t="str">
            <v>The option of two consecutive extensions of one year each, the latter of which is subject to investor approval.</v>
          </cell>
          <cell r="BS80" t="str">
            <v>2019-06-30</v>
          </cell>
          <cell r="BT80">
            <v>224531000</v>
          </cell>
          <cell r="BU80">
            <v>250937112.3365427</v>
          </cell>
          <cell r="BV80">
            <v>223627000</v>
          </cell>
          <cell r="BW80">
            <v>249926796.8364459</v>
          </cell>
          <cell r="BX80">
            <v>0</v>
          </cell>
          <cell r="BY80" t="str">
            <v>No</v>
          </cell>
          <cell r="CA80">
            <v>9</v>
          </cell>
          <cell r="CC80">
            <v>241000000</v>
          </cell>
          <cell r="CD80">
            <v>280218393.05739999</v>
          </cell>
          <cell r="CE80">
            <v>221000000</v>
          </cell>
          <cell r="CF80">
            <v>256963754.62940001</v>
          </cell>
          <cell r="CG80" t="str">
            <v>No</v>
          </cell>
          <cell r="CH80" t="str">
            <v>United Kingdom</v>
          </cell>
          <cell r="CI80" t="str">
            <v>Residential</v>
          </cell>
          <cell r="CJ80">
            <v>19.399999999999999</v>
          </cell>
          <cell r="CK80" t="str">
            <v>United Kingdom</v>
          </cell>
          <cell r="CL80" t="str">
            <v>Office</v>
          </cell>
          <cell r="CM80">
            <v>30.3</v>
          </cell>
          <cell r="CN80" t="str">
            <v>United Kingdom</v>
          </cell>
          <cell r="CO80" t="str">
            <v>Student Housing</v>
          </cell>
          <cell r="CP80">
            <v>10.8</v>
          </cell>
          <cell r="CQ80" t="str">
            <v>United Kingdom</v>
          </cell>
          <cell r="CR80" t="str">
            <v>Mixed</v>
          </cell>
          <cell r="CS80">
            <v>18.899999999999999</v>
          </cell>
          <cell r="CT80" t="str">
            <v>United Kingdom</v>
          </cell>
          <cell r="CU80" t="str">
            <v>Industrial / Logistics</v>
          </cell>
          <cell r="CV80">
            <v>9.3000000000000007</v>
          </cell>
          <cell r="CW80" t="str">
            <v>United Kingdom</v>
          </cell>
          <cell r="CX80" t="str">
            <v>Hotel</v>
          </cell>
          <cell r="CY80">
            <v>11.3</v>
          </cell>
        </row>
        <row r="81">
          <cell r="A81">
            <v>17510</v>
          </cell>
          <cell r="B81" t="str">
            <v>UK COMMERCIAL REAL ESTATE DEBT FUND</v>
          </cell>
          <cell r="C81" t="str">
            <v>ABERDEEN STANDARD INVESTMENTS</v>
          </cell>
          <cell r="D81" t="str">
            <v>1 George Street</v>
          </cell>
          <cell r="E81" t="str">
            <v>EH2 2LL</v>
          </cell>
          <cell r="F81" t="str">
            <v>Edinburgh</v>
          </cell>
          <cell r="G81" t="str">
            <v>United Kingdom</v>
          </cell>
          <cell r="H81" t="str">
            <v>+44 (0) 131 225 2345</v>
          </cell>
          <cell r="I81" t="str">
            <v>+44 (0) 131 245 2547</v>
          </cell>
          <cell r="J81" t="str">
            <v>http://www.aberdeenstandard.com</v>
          </cell>
          <cell r="K81" t="str">
            <v>Richard Marshall</v>
          </cell>
          <cell r="L81" t="str">
            <v>richard.marshall@aberdeenstandard.com</v>
          </cell>
          <cell r="M81" t="str">
            <v>+44 (0) 131 225 2823</v>
          </cell>
          <cell r="N81" t="str">
            <v>Neil Meikle</v>
          </cell>
          <cell r="O81" t="str">
            <v>neil.meikle@aberdeenstandard.com</v>
          </cell>
          <cell r="P81" t="str">
            <v>+44 131 2452781</v>
          </cell>
          <cell r="Q81" t="str">
            <v>United Kingdom</v>
          </cell>
          <cell r="R81" t="str">
            <v>GBP</v>
          </cell>
          <cell r="S81" t="str">
            <v>IFRS</v>
          </cell>
          <cell r="T81" t="str">
            <v>Quarterly</v>
          </cell>
          <cell r="U81" t="str">
            <v>Quarterly</v>
          </cell>
          <cell r="Y81" t="str">
            <v>Limited Partnership</v>
          </cell>
          <cell r="AF81" t="str">
            <v>Open end</v>
          </cell>
          <cell r="AG81">
            <v>3</v>
          </cell>
          <cell r="AH81">
            <v>6</v>
          </cell>
          <cell r="AI81" t="str">
            <v>Gross</v>
          </cell>
          <cell r="AN81" t="str">
            <v>Institutional</v>
          </cell>
          <cell r="AO81" t="str">
            <v>&gt; 2</v>
          </cell>
          <cell r="AP81">
            <v>1415700000</v>
          </cell>
          <cell r="AQ81">
            <v>7</v>
          </cell>
          <cell r="AY81" t="str">
            <v>Senior</v>
          </cell>
          <cell r="BA81" t="str">
            <v>≥ 50%</v>
          </cell>
          <cell r="BC81" t="str">
            <v>single country</v>
          </cell>
          <cell r="BE81" t="str">
            <v>United Kingdom</v>
          </cell>
          <cell r="BF81" t="str">
            <v>multi sector</v>
          </cell>
          <cell r="BH81">
            <v>350000000</v>
          </cell>
          <cell r="BI81">
            <v>350000000</v>
          </cell>
          <cell r="BJ81">
            <v>2014</v>
          </cell>
          <cell r="BK81">
            <v>2024</v>
          </cell>
          <cell r="BL81" t="str">
            <v>Yes</v>
          </cell>
          <cell r="BM81" t="str">
            <v>No</v>
          </cell>
          <cell r="BS81" t="str">
            <v>2019-09-30</v>
          </cell>
          <cell r="BT81">
            <v>155830091</v>
          </cell>
          <cell r="BU81">
            <v>175117775.63670501</v>
          </cell>
          <cell r="BV81">
            <v>155841085</v>
          </cell>
          <cell r="BW81">
            <v>175130130.40601179</v>
          </cell>
          <cell r="BX81">
            <v>0</v>
          </cell>
          <cell r="BY81" t="str">
            <v>No</v>
          </cell>
          <cell r="CA81">
            <v>2</v>
          </cell>
          <cell r="CC81">
            <v>15500000</v>
          </cell>
          <cell r="CD81">
            <v>17322535.384</v>
          </cell>
          <cell r="CE81">
            <v>155000000</v>
          </cell>
          <cell r="CF81">
            <v>173225353.84</v>
          </cell>
          <cell r="CH81" t="str">
            <v>United Kingdom</v>
          </cell>
          <cell r="CI81" t="str">
            <v>Retail</v>
          </cell>
          <cell r="CJ81">
            <v>40.700000000000003</v>
          </cell>
          <cell r="CK81" t="str">
            <v>United Kingdom</v>
          </cell>
          <cell r="CL81" t="str">
            <v>Office</v>
          </cell>
          <cell r="CM81">
            <v>27</v>
          </cell>
          <cell r="CN81" t="str">
            <v>United Kingdom</v>
          </cell>
          <cell r="CO81" t="str">
            <v>Industrial / Logistics</v>
          </cell>
          <cell r="CP81">
            <v>26.7</v>
          </cell>
          <cell r="CQ81" t="str">
            <v>United Kingdom</v>
          </cell>
          <cell r="CR81" t="str">
            <v>Other</v>
          </cell>
          <cell r="CS81">
            <v>5.6</v>
          </cell>
        </row>
        <row r="82">
          <cell r="A82">
            <v>19636</v>
          </cell>
          <cell r="B82" t="str">
            <v>ZENCAP REAL ESTATE DEBT FUND III PROJECT</v>
          </cell>
          <cell r="C82" t="str">
            <v>ZENCAP ASSET MANAGEMENT</v>
          </cell>
          <cell r="D82" t="str">
            <v>22 rue Vernier</v>
          </cell>
          <cell r="E82">
            <v>75017</v>
          </cell>
          <cell r="F82" t="str">
            <v>PARIS</v>
          </cell>
          <cell r="G82" t="str">
            <v>France</v>
          </cell>
          <cell r="H82" t="str">
            <v>+33156888361</v>
          </cell>
          <cell r="J82" t="str">
            <v>wwww.zencap-am.fr</v>
          </cell>
          <cell r="K82" t="str">
            <v>Victoire BLAZSIN</v>
          </cell>
          <cell r="L82" t="str">
            <v>vblazsin@zencap-am.fr</v>
          </cell>
          <cell r="N82" t="str">
            <v>Pierre CHAIZE</v>
          </cell>
          <cell r="O82" t="str">
            <v>pchaize@zencap-am.fr</v>
          </cell>
          <cell r="P82" t="str">
            <v>+33156888361</v>
          </cell>
          <cell r="Q82" t="str">
            <v>France</v>
          </cell>
          <cell r="R82" t="str">
            <v>EUR</v>
          </cell>
          <cell r="S82" t="str">
            <v>Local GAAP</v>
          </cell>
          <cell r="T82" t="str">
            <v>Quarterly</v>
          </cell>
          <cell r="X82" t="str">
            <v>PWC</v>
          </cell>
          <cell r="Y82" t="str">
            <v>Investment Fund</v>
          </cell>
          <cell r="Z82" t="str">
            <v>No</v>
          </cell>
          <cell r="AA82" t="str">
            <v>No</v>
          </cell>
          <cell r="AB82">
            <v>0</v>
          </cell>
          <cell r="AC82" t="str">
            <v>Non-Listed Fund</v>
          </cell>
          <cell r="AD82" t="str">
            <v>Opportunity</v>
          </cell>
          <cell r="AE82" t="str">
            <v>finite</v>
          </cell>
          <cell r="AF82" t="str">
            <v>Closed end</v>
          </cell>
          <cell r="AI82" t="str">
            <v>Net</v>
          </cell>
          <cell r="AN82" t="str">
            <v>Institutional</v>
          </cell>
          <cell r="AO82" t="str">
            <v>&gt; 2</v>
          </cell>
          <cell r="AW82" t="str">
            <v>Direct lending</v>
          </cell>
          <cell r="AX82" t="str">
            <v>Book value(excl. amortisation)</v>
          </cell>
          <cell r="AY82" t="str">
            <v>Mixed: Senior+Subordinated</v>
          </cell>
          <cell r="BA82" t="str">
            <v>≥ 50%</v>
          </cell>
          <cell r="BB82" t="str">
            <v>Europe</v>
          </cell>
          <cell r="BC82" t="str">
            <v>multi country</v>
          </cell>
          <cell r="BF82" t="str">
            <v>multi sector</v>
          </cell>
          <cell r="BH82">
            <v>300000000</v>
          </cell>
          <cell r="BJ82">
            <v>2020</v>
          </cell>
          <cell r="BK82">
            <v>2030</v>
          </cell>
          <cell r="BL82" t="str">
            <v>No</v>
          </cell>
          <cell r="BO82" t="str">
            <v>No</v>
          </cell>
        </row>
        <row r="84">
          <cell r="A84" t="str">
            <v>X</v>
          </cell>
          <cell r="B84" t="str">
            <v>X</v>
          </cell>
          <cell r="C84" t="str">
            <v>X</v>
          </cell>
          <cell r="R84" t="str">
            <v>FUND CURRENCY</v>
          </cell>
          <cell r="AF84" t="str">
            <v>STATUS</v>
          </cell>
          <cell r="AY84" t="str">
            <v>RE: DEBT TYPES</v>
          </cell>
          <cell r="BB84" t="str">
            <v>PRIMARY REGION FOCUS</v>
          </cell>
          <cell r="BH84" t="str">
            <v>TARGET SIZE (EUR MN)</v>
          </cell>
          <cell r="BJ84" t="str">
            <v>VINTAGE / INCEPTION YEAR</v>
          </cell>
        </row>
        <row r="85">
          <cell r="A85">
            <v>97174</v>
          </cell>
          <cell r="B85" t="str">
            <v>PRECap VII</v>
          </cell>
          <cell r="C85" t="str">
            <v>PGIM Real Estate</v>
          </cell>
          <cell r="R85" t="str">
            <v>GBP</v>
          </cell>
          <cell r="S85" t="e">
            <v>#N/A</v>
          </cell>
          <cell r="T85" t="e">
            <v>#N/A</v>
          </cell>
          <cell r="U85" t="e">
            <v>#N/A</v>
          </cell>
          <cell r="V85" t="e">
            <v>#N/A</v>
          </cell>
          <cell r="W85" t="e">
            <v>#N/A</v>
          </cell>
          <cell r="X85" t="e">
            <v>#N/A</v>
          </cell>
          <cell r="Y85" t="e">
            <v>#N/A</v>
          </cell>
          <cell r="Z85" t="e">
            <v>#N/A</v>
          </cell>
          <cell r="AA85" t="e">
            <v>#N/A</v>
          </cell>
          <cell r="AB85" t="e">
            <v>#N/A</v>
          </cell>
          <cell r="AC85" t="e">
            <v>#N/A</v>
          </cell>
          <cell r="AD85" t="e">
            <v>#N/A</v>
          </cell>
          <cell r="AE85" t="e">
            <v>#N/A</v>
          </cell>
          <cell r="AF85" t="str">
            <v>Closed end</v>
          </cell>
          <cell r="AG85" t="e">
            <v>#N/A</v>
          </cell>
          <cell r="AH85" t="e">
            <v>#N/A</v>
          </cell>
          <cell r="AI85" t="e">
            <v>#N/A</v>
          </cell>
          <cell r="AJ85" t="e">
            <v>#N/A</v>
          </cell>
          <cell r="AK85" t="e">
            <v>#N/A</v>
          </cell>
          <cell r="AL85" t="e">
            <v>#N/A</v>
          </cell>
          <cell r="AM85" t="e">
            <v>#N/A</v>
          </cell>
          <cell r="AN85" t="e">
            <v>#N/A</v>
          </cell>
          <cell r="AO85" t="e">
            <v>#N/A</v>
          </cell>
          <cell r="AP85" t="e">
            <v>#N/A</v>
          </cell>
          <cell r="AQ85" t="e">
            <v>#N/A</v>
          </cell>
          <cell r="AR85" t="e">
            <v>#N/A</v>
          </cell>
          <cell r="AS85" t="e">
            <v>#N/A</v>
          </cell>
          <cell r="AT85" t="e">
            <v>#N/A</v>
          </cell>
          <cell r="AU85" t="e">
            <v>#N/A</v>
          </cell>
          <cell r="AV85" t="e">
            <v>#N/A</v>
          </cell>
          <cell r="AW85" t="e">
            <v>#N/A</v>
          </cell>
          <cell r="AX85" t="e">
            <v>#N/A</v>
          </cell>
          <cell r="AY85" t="str">
            <v>Mixed: Senior+Subordinated+Preferred equity</v>
          </cell>
          <cell r="AZ85" t="e">
            <v>#N/A</v>
          </cell>
          <cell r="BA85" t="e">
            <v>#N/A</v>
          </cell>
          <cell r="BB85" t="str">
            <v>Europe</v>
          </cell>
          <cell r="BC85" t="e">
            <v>#N/A</v>
          </cell>
          <cell r="BD85" t="e">
            <v>#N/A</v>
          </cell>
          <cell r="BE85" t="e">
            <v>#N/A</v>
          </cell>
          <cell r="BF85" t="e">
            <v>#N/A</v>
          </cell>
          <cell r="BG85" t="e">
            <v>#N/A</v>
          </cell>
          <cell r="BH85">
            <v>1116920000</v>
          </cell>
          <cell r="BI85" t="e">
            <v>#N/A</v>
          </cell>
          <cell r="BJ85">
            <v>2019</v>
          </cell>
        </row>
        <row r="86">
          <cell r="A86">
            <v>10000001</v>
          </cell>
          <cell r="B86" t="str">
            <v>UK Secured Lending III</v>
          </cell>
          <cell r="C86" t="str">
            <v>BentallGreenOak</v>
          </cell>
          <cell r="R86" t="str">
            <v>GBP</v>
          </cell>
          <cell r="AF86" t="str">
            <v>Closed end</v>
          </cell>
          <cell r="AY86" t="str">
            <v>Senior</v>
          </cell>
          <cell r="BB86" t="str">
            <v>Europe</v>
          </cell>
          <cell r="BH86" t="e">
            <v>#N/A</v>
          </cell>
          <cell r="BJ86">
            <v>2020</v>
          </cell>
        </row>
        <row r="87">
          <cell r="A87">
            <v>10000002</v>
          </cell>
          <cell r="B87" t="str">
            <v>Europe Secured Lending II</v>
          </cell>
          <cell r="C87" t="str">
            <v>BentallGreenOak</v>
          </cell>
          <cell r="R87" t="str">
            <v>GBP</v>
          </cell>
          <cell r="AF87" t="str">
            <v>Closed end</v>
          </cell>
          <cell r="AY87" t="str">
            <v>Senior</v>
          </cell>
          <cell r="BB87" t="str">
            <v>Europe</v>
          </cell>
          <cell r="BH87" t="e">
            <v>#N/A</v>
          </cell>
          <cell r="BJ87">
            <v>2020</v>
          </cell>
        </row>
        <row r="88">
          <cell r="A88">
            <v>76090</v>
          </cell>
          <cell r="B88" t="str">
            <v>SCOR Real Estate Loans IV</v>
          </cell>
          <cell r="C88" t="str">
            <v>SCOR Investment Partners</v>
          </cell>
          <cell r="R88" t="str">
            <v>EUR</v>
          </cell>
          <cell r="AF88" t="str">
            <v>Closed end</v>
          </cell>
          <cell r="AY88" t="str">
            <v>Senior</v>
          </cell>
          <cell r="BB88" t="str">
            <v>Europe</v>
          </cell>
          <cell r="BH88">
            <v>550000000</v>
          </cell>
          <cell r="BJ88">
            <v>2020</v>
          </cell>
        </row>
        <row r="89">
          <cell r="A89">
            <v>105571</v>
          </cell>
          <cell r="B89" t="str">
            <v>LaSalle Real Estate Debt Strategies IV</v>
          </cell>
          <cell r="C89" t="str">
            <v xml:space="preserve">LaSalle Investment Management </v>
          </cell>
          <cell r="R89" t="str">
            <v>EUR</v>
          </cell>
          <cell r="AF89" t="str">
            <v>Closed end</v>
          </cell>
          <cell r="AY89" t="str">
            <v>Subordinated: Junior+Mezzanine</v>
          </cell>
          <cell r="BB89" t="str">
            <v>Europe</v>
          </cell>
          <cell r="BH89">
            <v>1000000000</v>
          </cell>
          <cell r="BJ89">
            <v>2020</v>
          </cell>
        </row>
        <row r="90">
          <cell r="A90">
            <v>101287</v>
          </cell>
          <cell r="B90" t="str">
            <v>LaSalle Whole Loan Strategy I</v>
          </cell>
          <cell r="C90" t="str">
            <v>LaSalle Investment Management</v>
          </cell>
          <cell r="R90" t="str">
            <v>EUR</v>
          </cell>
          <cell r="AF90" t="str">
            <v>Closed end</v>
          </cell>
          <cell r="AY90" t="str">
            <v>Whole Loans</v>
          </cell>
          <cell r="BB90" t="str">
            <v>Europe</v>
          </cell>
          <cell r="BD90">
            <v>0.29004329004329005</v>
          </cell>
          <cell r="BH90">
            <v>0</v>
          </cell>
          <cell r="BJ90">
            <v>2019</v>
          </cell>
        </row>
        <row r="91">
          <cell r="A91">
            <v>105571</v>
          </cell>
          <cell r="B91" t="str">
            <v>LaSalle Real Estate Strategies IV</v>
          </cell>
          <cell r="C91" t="str">
            <v>LaSalle Investment Management</v>
          </cell>
          <cell r="R91" t="str">
            <v>EUR</v>
          </cell>
          <cell r="AF91" t="str">
            <v>Closed end</v>
          </cell>
          <cell r="AY91" t="str">
            <v>Subordinated: Junior+Mezzanine</v>
          </cell>
          <cell r="BB91" t="str">
            <v>Europe</v>
          </cell>
          <cell r="BH91">
            <v>1000000000</v>
          </cell>
          <cell r="BJ91">
            <v>2020</v>
          </cell>
        </row>
        <row r="93">
          <cell r="A93">
            <v>105974</v>
          </cell>
          <cell r="B93" t="str">
            <v>DRC European Real Estate Senior Debt 4</v>
          </cell>
          <cell r="C93" t="str">
            <v xml:space="preserve">DRC Capital </v>
          </cell>
          <cell r="R93" t="str">
            <v>GBP</v>
          </cell>
          <cell r="AF93" t="str">
            <v>Closed end</v>
          </cell>
          <cell r="AY93" t="str">
            <v>Whole Loans</v>
          </cell>
          <cell r="BB93" t="str">
            <v>Europe</v>
          </cell>
          <cell r="BH93">
            <v>558460000</v>
          </cell>
          <cell r="BJ93">
            <v>2019</v>
          </cell>
        </row>
        <row r="94">
          <cell r="A94">
            <v>120207</v>
          </cell>
          <cell r="B94" t="str">
            <v>DRC UK Whole Loan Fund II</v>
          </cell>
          <cell r="C94" t="str">
            <v xml:space="preserve">DRC Capital </v>
          </cell>
          <cell r="R94" t="str">
            <v>GBP</v>
          </cell>
          <cell r="AF94" t="str">
            <v>Closed end</v>
          </cell>
          <cell r="AY94" t="str">
            <v>Whole Loans</v>
          </cell>
          <cell r="BB94" t="str">
            <v>Europe</v>
          </cell>
          <cell r="BH94">
            <v>555060000</v>
          </cell>
          <cell r="BJ94">
            <v>2020</v>
          </cell>
        </row>
        <row r="96">
          <cell r="A96">
            <v>28321</v>
          </cell>
          <cell r="B96" t="str">
            <v>Special Situations Fund</v>
          </cell>
          <cell r="C96" t="str">
            <v>CBRE Global Investors</v>
          </cell>
          <cell r="R96" t="str">
            <v>USD</v>
          </cell>
          <cell r="AF96" t="str">
            <v>Open end</v>
          </cell>
          <cell r="AY96" t="str">
            <v>Mixed: Senior+Subordinated</v>
          </cell>
          <cell r="BB96" t="str">
            <v>North America</v>
          </cell>
          <cell r="BH96">
            <v>0</v>
          </cell>
          <cell r="BJ96">
            <v>2009</v>
          </cell>
        </row>
        <row r="97">
          <cell r="A97">
            <v>73412</v>
          </cell>
          <cell r="B97" t="str">
            <v>CREDF II-S</v>
          </cell>
          <cell r="C97" t="str">
            <v>Octopus Real Estate</v>
          </cell>
          <cell r="R97" t="str">
            <v>GBP</v>
          </cell>
          <cell r="AF97" t="str">
            <v>Closed end</v>
          </cell>
          <cell r="AY97" t="str">
            <v>Subordinated: Junior+Mezzanine</v>
          </cell>
          <cell r="BB97" t="str">
            <v>Europe</v>
          </cell>
          <cell r="BH97">
            <v>227740000</v>
          </cell>
          <cell r="BJ97">
            <v>2017</v>
          </cell>
        </row>
      </sheetData>
      <sheetData sheetId="23">
        <row r="2">
          <cell r="J2" t="str">
            <v>Open-Ended Response</v>
          </cell>
          <cell r="K2" t="str">
            <v>Open-Ended Response</v>
          </cell>
          <cell r="L2" t="str">
            <v>Response</v>
          </cell>
          <cell r="M2" t="str">
            <v>Response</v>
          </cell>
          <cell r="N2" t="str">
            <v>Other (please specify)</v>
          </cell>
          <cell r="O2" t="str">
            <v>Open-Ended Response</v>
          </cell>
          <cell r="P2" t="str">
            <v>Pension funds</v>
          </cell>
          <cell r="Q2" t="str">
            <v>Insurance companies</v>
          </cell>
          <cell r="R2" t="str">
            <v>Sovereign wealth fund</v>
          </cell>
          <cell r="S2" t="str">
            <v>Government institutions</v>
          </cell>
          <cell r="T2" t="str">
            <v>Charities, foundations, non-profit organisations</v>
          </cell>
          <cell r="U2" t="str">
            <v>Fund of funds</v>
          </cell>
          <cell r="V2" t="str">
            <v>High net worth individulas / Family offices</v>
          </cell>
          <cell r="W2" t="str">
            <v>Other (please specify)</v>
          </cell>
          <cell r="X2" t="str">
            <v>Europe</v>
          </cell>
          <cell r="Y2" t="str">
            <v>Asia Pacific</v>
          </cell>
          <cell r="Z2" t="str">
            <v>North America</v>
          </cell>
          <cell r="AA2" t="str">
            <v>South America</v>
          </cell>
          <cell r="AB2" t="str">
            <v>Africa</v>
          </cell>
          <cell r="AC2" t="str">
            <v>Placement agent (%)</v>
          </cell>
          <cell r="AD2" t="str">
            <v>Investors contacting you directly (%)</v>
          </cell>
          <cell r="AE2" t="str">
            <v>Your own direct relationship with investors (%)</v>
          </cell>
          <cell r="AF2" t="str">
            <v>Other (%)</v>
          </cell>
          <cell r="AG2" t="str">
            <v>Response</v>
          </cell>
          <cell r="AH2" t="str">
            <v>Response</v>
          </cell>
        </row>
        <row r="3">
          <cell r="J3" t="str">
            <v>PGIM Real Estate</v>
          </cell>
          <cell r="K3" t="str">
            <v>PRECap VII</v>
          </cell>
          <cell r="L3" t="str">
            <v>Yes</v>
          </cell>
          <cell r="O3">
            <v>918</v>
          </cell>
          <cell r="P3">
            <v>814</v>
          </cell>
          <cell r="R3">
            <v>52</v>
          </cell>
          <cell r="W3">
            <v>52</v>
          </cell>
          <cell r="X3">
            <v>52</v>
          </cell>
          <cell r="Y3">
            <v>34</v>
          </cell>
          <cell r="Z3">
            <v>832</v>
          </cell>
          <cell r="AE3">
            <v>100</v>
          </cell>
          <cell r="AG3" t="str">
            <v>Increase</v>
          </cell>
          <cell r="AH3" t="str">
            <v>Yes</v>
          </cell>
        </row>
        <row r="4">
          <cell r="J4" t="str">
            <v>BentallGreenOak</v>
          </cell>
          <cell r="K4" t="str">
            <v>UK Secured Lending III</v>
          </cell>
          <cell r="L4" t="str">
            <v>Yes</v>
          </cell>
          <cell r="O4">
            <v>360</v>
          </cell>
          <cell r="P4">
            <v>360</v>
          </cell>
          <cell r="X4">
            <v>360</v>
          </cell>
          <cell r="AE4">
            <v>100</v>
          </cell>
          <cell r="AG4" t="str">
            <v>Increase</v>
          </cell>
          <cell r="AH4" t="str">
            <v>Yes</v>
          </cell>
        </row>
        <row r="5">
          <cell r="J5" t="str">
            <v>BentallGreenOak</v>
          </cell>
          <cell r="K5" t="str">
            <v>Europe Secured Lending II</v>
          </cell>
          <cell r="L5" t="str">
            <v>Yes</v>
          </cell>
          <cell r="O5">
            <v>110</v>
          </cell>
          <cell r="P5">
            <v>110</v>
          </cell>
          <cell r="X5">
            <v>110</v>
          </cell>
          <cell r="AE5">
            <v>100</v>
          </cell>
          <cell r="AG5" t="str">
            <v>Increase</v>
          </cell>
          <cell r="AH5" t="str">
            <v>Yes</v>
          </cell>
        </row>
        <row r="6">
          <cell r="J6" t="str">
            <v>SCOR Investment Partners</v>
          </cell>
          <cell r="K6" t="str">
            <v>SCOR Real Estate Loans IV</v>
          </cell>
          <cell r="L6" t="str">
            <v>Yes</v>
          </cell>
          <cell r="O6">
            <v>175</v>
          </cell>
          <cell r="P6">
            <v>0</v>
          </cell>
          <cell r="Q6">
            <v>150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25</v>
          </cell>
          <cell r="X6">
            <v>175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100</v>
          </cell>
          <cell r="AF6">
            <v>0</v>
          </cell>
          <cell r="AG6" t="str">
            <v>No change</v>
          </cell>
          <cell r="AH6" t="str">
            <v>No</v>
          </cell>
        </row>
        <row r="7">
          <cell r="J7" t="str">
            <v xml:space="preserve">LaSalle Investment Management </v>
          </cell>
          <cell r="K7" t="str">
            <v>LaSalle Real Estate Debt Strategies IV</v>
          </cell>
          <cell r="L7" t="str">
            <v>Yes</v>
          </cell>
          <cell r="O7">
            <v>435</v>
          </cell>
          <cell r="P7">
            <v>310</v>
          </cell>
          <cell r="Q7">
            <v>100</v>
          </cell>
          <cell r="W7">
            <v>25</v>
          </cell>
          <cell r="X7">
            <v>180</v>
          </cell>
          <cell r="Y7">
            <v>230</v>
          </cell>
          <cell r="Z7">
            <v>25</v>
          </cell>
          <cell r="AE7">
            <v>100</v>
          </cell>
          <cell r="AG7" t="str">
            <v>Increase</v>
          </cell>
          <cell r="AH7" t="str">
            <v>Yes</v>
          </cell>
        </row>
        <row r="8">
          <cell r="J8" t="str">
            <v>Octopus Investments</v>
          </cell>
          <cell r="K8" t="str">
            <v xml:space="preserve">Commercial Real Estate Debt Fund </v>
          </cell>
          <cell r="L8" t="str">
            <v>No</v>
          </cell>
          <cell r="M8" t="str">
            <v>Other (please specify)</v>
          </cell>
          <cell r="N8" t="str">
            <v xml:space="preserve">Market </v>
          </cell>
          <cell r="AG8" t="str">
            <v>Increase</v>
          </cell>
          <cell r="AH8" t="str">
            <v>Yes</v>
          </cell>
        </row>
        <row r="9">
          <cell r="J9" t="str">
            <v>LaSalle Investment Management</v>
          </cell>
          <cell r="K9" t="str">
            <v>LaSalle Whole Loan Strategy I</v>
          </cell>
          <cell r="L9" t="str">
            <v>Yes</v>
          </cell>
          <cell r="O9">
            <v>300</v>
          </cell>
          <cell r="Q9">
            <v>300</v>
          </cell>
          <cell r="X9">
            <v>300</v>
          </cell>
          <cell r="AE9">
            <v>100</v>
          </cell>
          <cell r="AG9" t="str">
            <v>Increase</v>
          </cell>
          <cell r="AH9" t="str">
            <v>Yes</v>
          </cell>
        </row>
        <row r="10">
          <cell r="J10" t="str">
            <v>LaSalle Investment Management</v>
          </cell>
          <cell r="K10" t="str">
            <v>LaSalle Real Estate Strategies IV</v>
          </cell>
          <cell r="L10" t="str">
            <v>Yes</v>
          </cell>
        </row>
        <row r="11">
          <cell r="J11" t="str">
            <v>Octopus Real Estate</v>
          </cell>
          <cell r="K11" t="str">
            <v>CREDF II-S</v>
          </cell>
          <cell r="L11" t="str">
            <v>Yes</v>
          </cell>
          <cell r="O11">
            <v>76</v>
          </cell>
          <cell r="P11">
            <v>26</v>
          </cell>
          <cell r="U11">
            <v>50</v>
          </cell>
          <cell r="X11">
            <v>76</v>
          </cell>
          <cell r="AC11">
            <v>0</v>
          </cell>
          <cell r="AD11">
            <v>0</v>
          </cell>
          <cell r="AE11">
            <v>100</v>
          </cell>
          <cell r="AF11">
            <v>0</v>
          </cell>
          <cell r="AG11" t="str">
            <v>Increase</v>
          </cell>
          <cell r="AH11" t="str">
            <v>Yes</v>
          </cell>
        </row>
        <row r="12">
          <cell r="J12" t="str">
            <v>AgFe LLP</v>
          </cell>
          <cell r="K12" t="str">
            <v>UK RE Senior Debt Fund LP</v>
          </cell>
          <cell r="L12" t="str">
            <v>Yes</v>
          </cell>
          <cell r="O12">
            <v>800</v>
          </cell>
          <cell r="Q12">
            <v>800</v>
          </cell>
          <cell r="X12">
            <v>800</v>
          </cell>
          <cell r="AE12">
            <v>100</v>
          </cell>
          <cell r="AG12" t="str">
            <v>Decrease</v>
          </cell>
          <cell r="AH12" t="str">
            <v>Yes</v>
          </cell>
        </row>
        <row r="13">
          <cell r="J13" t="str">
            <v>Generali Real Estate SGR S.p.A.</v>
          </cell>
          <cell r="K13" t="str">
            <v>Generali Real Estate Debt Investment Fund</v>
          </cell>
          <cell r="L13" t="str">
            <v>Yes</v>
          </cell>
          <cell r="O13">
            <v>214</v>
          </cell>
          <cell r="Q13">
            <v>214</v>
          </cell>
          <cell r="X13">
            <v>214</v>
          </cell>
          <cell r="AE13">
            <v>100</v>
          </cell>
        </row>
        <row r="14">
          <cell r="J14" t="str">
            <v xml:space="preserve">DRC Capital </v>
          </cell>
          <cell r="K14" t="str">
            <v>European Real Estate Senior Debt 6</v>
          </cell>
          <cell r="L14" t="str">
            <v>Yes</v>
          </cell>
          <cell r="O14">
            <v>65</v>
          </cell>
          <cell r="Q14">
            <v>65</v>
          </cell>
          <cell r="X14">
            <v>65</v>
          </cell>
          <cell r="AD14">
            <v>100</v>
          </cell>
          <cell r="AG14" t="str">
            <v>Increase</v>
          </cell>
          <cell r="AH14" t="str">
            <v>Yes</v>
          </cell>
        </row>
        <row r="15">
          <cell r="J15" t="str">
            <v xml:space="preserve">DRC Capital </v>
          </cell>
          <cell r="K15" t="str">
            <v>DRC European Real Estate Senior Debt 4</v>
          </cell>
          <cell r="L15" t="str">
            <v>Yes</v>
          </cell>
          <cell r="O15">
            <v>100</v>
          </cell>
          <cell r="P15">
            <v>100</v>
          </cell>
          <cell r="X15">
            <v>100</v>
          </cell>
          <cell r="AE15">
            <v>100</v>
          </cell>
          <cell r="AG15" t="str">
            <v>Increase</v>
          </cell>
          <cell r="AH15" t="str">
            <v>Yes</v>
          </cell>
        </row>
        <row r="16">
          <cell r="J16" t="str">
            <v xml:space="preserve">DRC Capital </v>
          </cell>
          <cell r="K16" t="str">
            <v>DRC UK Whole Loan Fund II</v>
          </cell>
          <cell r="L16" t="str">
            <v>Yes</v>
          </cell>
          <cell r="O16">
            <v>145</v>
          </cell>
          <cell r="P16">
            <v>145</v>
          </cell>
          <cell r="X16">
            <v>145</v>
          </cell>
          <cell r="AE16">
            <v>100</v>
          </cell>
          <cell r="AG16" t="str">
            <v>Increase</v>
          </cell>
          <cell r="AH16" t="str">
            <v>Yes</v>
          </cell>
        </row>
        <row r="17">
          <cell r="J17" t="str">
            <v xml:space="preserve">DRC Capital </v>
          </cell>
          <cell r="K17" t="str">
            <v>DRC European Real Estate Debt Fund IV</v>
          </cell>
          <cell r="L17" t="str">
            <v>Yes</v>
          </cell>
          <cell r="O17">
            <v>104</v>
          </cell>
          <cell r="P17">
            <v>79</v>
          </cell>
          <cell r="Q17">
            <v>25</v>
          </cell>
          <cell r="X17">
            <v>27</v>
          </cell>
          <cell r="Y17">
            <v>77</v>
          </cell>
          <cell r="AC17">
            <v>74</v>
          </cell>
          <cell r="AE17">
            <v>26</v>
          </cell>
          <cell r="AG17" t="str">
            <v>Increase</v>
          </cell>
          <cell r="AH17" t="str">
            <v>Yes</v>
          </cell>
        </row>
        <row r="18">
          <cell r="J18" t="str">
            <v>Pluto Finance</v>
          </cell>
          <cell r="K18" t="str">
            <v>Fund V</v>
          </cell>
          <cell r="L18" t="str">
            <v>Yes</v>
          </cell>
          <cell r="O18">
            <v>48</v>
          </cell>
          <cell r="P18">
            <v>10</v>
          </cell>
          <cell r="Q18">
            <v>28</v>
          </cell>
          <cell r="U18">
            <v>10</v>
          </cell>
          <cell r="X18">
            <v>48</v>
          </cell>
          <cell r="AE18">
            <v>100</v>
          </cell>
          <cell r="AG18" t="str">
            <v>Increase</v>
          </cell>
          <cell r="AH18" t="str">
            <v>No</v>
          </cell>
        </row>
        <row r="19">
          <cell r="J19" t="str">
            <v>CBRE Global Investors</v>
          </cell>
          <cell r="K19" t="str">
            <v>Special Situations Fund</v>
          </cell>
          <cell r="L19" t="str">
            <v>Yes</v>
          </cell>
          <cell r="O19">
            <v>90</v>
          </cell>
          <cell r="P19">
            <v>82</v>
          </cell>
          <cell r="W19">
            <v>8</v>
          </cell>
          <cell r="X19">
            <v>65</v>
          </cell>
          <cell r="Z19">
            <v>25</v>
          </cell>
          <cell r="AE19">
            <v>100</v>
          </cell>
          <cell r="AG19" t="str">
            <v>Increase</v>
          </cell>
          <cell r="AH19" t="str">
            <v>Yes</v>
          </cell>
        </row>
        <row r="20">
          <cell r="K20" t="str">
            <v>Heitman Closed End Debt Fund</v>
          </cell>
          <cell r="L20" t="str">
            <v>Yes</v>
          </cell>
          <cell r="O20">
            <v>300</v>
          </cell>
          <cell r="S20">
            <v>300</v>
          </cell>
          <cell r="Y20">
            <v>200</v>
          </cell>
          <cell r="Z20">
            <v>100</v>
          </cell>
          <cell r="AE20">
            <v>100</v>
          </cell>
          <cell r="AG20" t="str">
            <v>Increase</v>
          </cell>
          <cell r="AH20" t="str">
            <v>Yes</v>
          </cell>
        </row>
        <row r="21">
          <cell r="K21" t="str">
            <v>SELF III</v>
          </cell>
          <cell r="L21" t="str">
            <v>Yes</v>
          </cell>
          <cell r="O21">
            <v>75</v>
          </cell>
          <cell r="Q21">
            <v>10</v>
          </cell>
          <cell r="R21">
            <v>65</v>
          </cell>
          <cell r="X21">
            <v>75</v>
          </cell>
          <cell r="AE21">
            <v>100</v>
          </cell>
          <cell r="AG21" t="str">
            <v>Increase</v>
          </cell>
          <cell r="AH21" t="str">
            <v>Yes</v>
          </cell>
        </row>
      </sheetData>
      <sheetData sheetId="24"/>
      <sheetData sheetId="25">
        <row r="1">
          <cell r="B1" t="str">
            <v>Vehicle Name</v>
          </cell>
          <cell r="C1" t="str">
            <v>Vehicle Manager Company</v>
          </cell>
          <cell r="D1" t="str">
            <v>Business Address</v>
          </cell>
          <cell r="E1" t="str">
            <v>Postcode</v>
          </cell>
          <cell r="F1" t="str">
            <v>City</v>
          </cell>
          <cell r="G1" t="str">
            <v>Country</v>
          </cell>
          <cell r="H1" t="str">
            <v>Switchboard</v>
          </cell>
          <cell r="I1" t="str">
            <v>Fax Number</v>
          </cell>
          <cell r="J1" t="str">
            <v>Company Website</v>
          </cell>
          <cell r="K1" t="str">
            <v>Vehicle Manager Name</v>
          </cell>
          <cell r="L1" t="str">
            <v>Vehicle Manager Email</v>
          </cell>
          <cell r="M1" t="str">
            <v>Vehicle Manager Telephone</v>
          </cell>
          <cell r="N1" t="str">
            <v>Investor Client Relations Name</v>
          </cell>
          <cell r="O1" t="str">
            <v>Investor Client Relations Email</v>
          </cell>
          <cell r="P1" t="str">
            <v>Investor Client Relations Telephone</v>
          </cell>
          <cell r="Q1" t="str">
            <v>Vehicle Domicile</v>
          </cell>
          <cell r="R1" t="str">
            <v>Currency of Reporting</v>
          </cell>
          <cell r="S1" t="str">
            <v>Accounting Standards</v>
          </cell>
          <cell r="T1" t="str">
            <v>Financial Reporting Frequency</v>
          </cell>
          <cell r="U1" t="str">
            <v>Frequency of External Property Valuations</v>
          </cell>
          <cell r="V1" t="str">
            <v>Valuation approach applied to properties</v>
          </cell>
          <cell r="W1" t="str">
            <v>What NAV calculation method has been used for the figures in this database?</v>
          </cell>
          <cell r="X1" t="str">
            <v>Name of Vehicle Auditor</v>
          </cell>
          <cell r="Y1" t="str">
            <v>Legal vehicle structure</v>
          </cell>
          <cell r="Z1" t="str">
            <v>Does your fund report an INREV NAV to investors?</v>
          </cell>
          <cell r="AA1" t="str">
            <v>Is there a Non-Executive Body</v>
          </cell>
          <cell r="AB1" t="str">
            <v>Number of Independents</v>
          </cell>
          <cell r="AC1" t="str">
            <v>Vehicle Type</v>
          </cell>
          <cell r="AD1" t="str">
            <v>Manager Defined Style</v>
          </cell>
          <cell r="AE1" t="str">
            <v>Finite/Infinite structure</v>
          </cell>
          <cell r="AF1" t="str">
            <v>Vehicle Structure</v>
          </cell>
          <cell r="AG1" t="str">
            <v>Target IRR - From (%)</v>
          </cell>
          <cell r="AH1" t="str">
            <v>Target IRR - To (%)</v>
          </cell>
          <cell r="AI1" t="str">
            <v>Basis for IRR Calculation</v>
          </cell>
          <cell r="AJ1" t="str">
            <v>Performance Benchmark</v>
          </cell>
          <cell r="AK1" t="str">
            <v>Target Distribution Yield (%)</v>
          </cell>
          <cell r="AL1" t="str">
            <v>Target Gearing Level as a % of GAV</v>
          </cell>
          <cell r="AM1" t="str">
            <v>Maximum LTV (%)</v>
          </cell>
          <cell r="AN1" t="str">
            <v>Target Investors</v>
          </cell>
          <cell r="AO1" t="str">
            <v>Target Number of Investors</v>
          </cell>
          <cell r="AP1" t="str">
            <v>Blended gearing as a % GAV</v>
          </cell>
          <cell r="AQ1" t="str">
            <v>Number of vehicles invested in</v>
          </cell>
          <cell r="AR1" t="str">
            <v>Number of managers invested in</v>
          </cell>
          <cell r="AS1" t="str">
            <v>Average size of commitments by fund</v>
          </cell>
          <cell r="AT1" t="str">
            <v>Target average blended gearing of vehicles(%GAV)</v>
          </cell>
          <cell r="AU1" t="str">
            <v>Target average total gearing</v>
          </cell>
          <cell r="AV1" t="str">
            <v>Target number of vehicles</v>
          </cell>
          <cell r="AW1" t="str">
            <v>Maximum share of one vehicle in the fund</v>
          </cell>
          <cell r="AX1" t="str">
            <v>Maximum number of managers</v>
          </cell>
          <cell r="AY1" t="str">
            <v>Maximum share of one manager in the fund</v>
          </cell>
          <cell r="AZ1" t="str">
            <v>Fund life</v>
          </cell>
          <cell r="BA1" t="str">
            <v>Target Proportion of Institutional Holdings</v>
          </cell>
          <cell r="BB1" t="str">
            <v>Target Regional Strategy</v>
          </cell>
          <cell r="BC1" t="str">
            <v>Multi country/Single country</v>
          </cell>
          <cell r="BD1" t="str">
            <v>Target Region (Multi-Country Funds)</v>
          </cell>
          <cell r="BE1" t="str">
            <v>Target Country (Single-Country Funds)</v>
          </cell>
          <cell r="BF1" t="str">
            <v>Multi sector/Single sector strategy</v>
          </cell>
          <cell r="BG1" t="str">
            <v>Target Sector</v>
          </cell>
          <cell r="BH1" t="str">
            <v>Target Equity</v>
          </cell>
          <cell r="BI1" t="str">
            <v>Target Gross Assets Value</v>
          </cell>
          <cell r="BJ1" t="str">
            <v>Year of first closing</v>
          </cell>
          <cell r="BK1" t="str">
            <v>Planned Termination year</v>
          </cell>
          <cell r="BL1" t="str">
            <v>Provision to Extend Termination Date</v>
          </cell>
          <cell r="BM1" t="str">
            <v>Fixed Extension Period Set</v>
          </cell>
          <cell r="BN1" t="str">
            <v>Length of Extension Period</v>
          </cell>
          <cell r="BO1" t="str">
            <v>Does Manager Actively Facilitate Secondary Trading</v>
          </cell>
          <cell r="BP1" t="str">
            <v>Target return derived from income</v>
          </cell>
          <cell r="BQ1" t="str">
            <v>Target percentage of non-income producing investments</v>
          </cell>
          <cell r="BR1" t="str">
            <v>Target percentage (re)development  exposure</v>
          </cell>
          <cell r="BS1" t="str">
            <v>Reporting date</v>
          </cell>
          <cell r="BT1" t="str">
            <v>Gross Asset Value of the Vehicle (reporting currency)</v>
          </cell>
          <cell r="BU1" t="str">
            <v>Gross Asset Value of the Vehicle (EUR)</v>
          </cell>
          <cell r="BV1" t="str">
            <v>Net Asset Value of the Vehicle (reporting currency)</v>
          </cell>
          <cell r="BW1" t="str">
            <v>Net Asset Value of the Vehicle (EUR)</v>
          </cell>
          <cell r="BX1" t="str">
            <v>Gearing as a % of GAV</v>
          </cell>
          <cell r="BY1" t="str">
            <v>Are figures audited by external auditor</v>
          </cell>
          <cell r="BZ1" t="str">
            <v>Are Figures based on external/internal valuations.</v>
          </cell>
          <cell r="CA1" t="str">
            <v>Number of institutional investors</v>
          </cell>
          <cell r="CB1" t="str">
            <v>Number of properties in portfolio</v>
          </cell>
          <cell r="CC1" t="str">
            <v>Total equity commited (reporting currency</v>
          </cell>
          <cell r="CD1" t="str">
            <v>Total equity commited (local currency)</v>
          </cell>
          <cell r="CE1" t="str">
            <v>Total equity invested (reporting currency)</v>
          </cell>
          <cell r="CF1" t="str">
            <v>Total equity invested (local currency)</v>
          </cell>
          <cell r="CG1" t="str">
            <v>Open for investment/raising capital</v>
          </cell>
          <cell r="CH1" t="str">
            <v>Allocation 1 Country</v>
          </cell>
          <cell r="CI1" t="str">
            <v>Allocation 1 Sector</v>
          </cell>
          <cell r="CJ1" t="str">
            <v>Allocation 1 Value</v>
          </cell>
          <cell r="CK1" t="str">
            <v>Allocation 2 Country</v>
          </cell>
          <cell r="CL1" t="str">
            <v>Allocation 2 Sector</v>
          </cell>
          <cell r="CM1" t="str">
            <v>Allocation 2 Value</v>
          </cell>
          <cell r="CN1" t="str">
            <v>Allocation 3 Country</v>
          </cell>
          <cell r="CO1" t="str">
            <v>Allocation 3 Sector</v>
          </cell>
          <cell r="CP1" t="str">
            <v>Allocation 3 Value</v>
          </cell>
          <cell r="CQ1" t="str">
            <v>Allocation 4 Country</v>
          </cell>
          <cell r="CR1" t="str">
            <v>Allocation 4 Sector</v>
          </cell>
          <cell r="CS1" t="str">
            <v>Allocation 4 Value</v>
          </cell>
          <cell r="CT1" t="str">
            <v>Allocation 5 Country</v>
          </cell>
          <cell r="CU1" t="str">
            <v>Allocation 5 Sector</v>
          </cell>
          <cell r="CV1" t="str">
            <v>Allocation 5 Value</v>
          </cell>
          <cell r="CW1" t="str">
            <v>Allocation 6 Country</v>
          </cell>
          <cell r="CX1" t="str">
            <v>Allocation 6 Sector</v>
          </cell>
          <cell r="CY1" t="str">
            <v>Allocation 6 Value</v>
          </cell>
          <cell r="CZ1" t="str">
            <v>Allocation 7 Country</v>
          </cell>
          <cell r="DA1" t="str">
            <v>Allocation 7 Sector</v>
          </cell>
          <cell r="DB1" t="str">
            <v>Allocation 7 Value</v>
          </cell>
          <cell r="DC1" t="str">
            <v>Allocation 8 Country</v>
          </cell>
          <cell r="DD1" t="str">
            <v>Allocation 8 Sector</v>
          </cell>
          <cell r="DE1" t="str">
            <v>Allocation 8 Value</v>
          </cell>
          <cell r="DF1" t="str">
            <v>Allocation 9 Country</v>
          </cell>
          <cell r="DG1" t="str">
            <v>Allocation 9 Sector</v>
          </cell>
          <cell r="DH1" t="str">
            <v>Allocation 9 Value</v>
          </cell>
          <cell r="DI1" t="str">
            <v>Allocation 10 Country</v>
          </cell>
          <cell r="DJ1" t="str">
            <v>Allocation 10 Sector</v>
          </cell>
          <cell r="DK1" t="str">
            <v>Allocation 10 Value</v>
          </cell>
          <cell r="DL1" t="str">
            <v>Allocation 11 Country</v>
          </cell>
          <cell r="DM1" t="str">
            <v>Allocation 11 Sector</v>
          </cell>
          <cell r="DN1" t="str">
            <v>Allocation 11 Value</v>
          </cell>
          <cell r="DO1" t="str">
            <v>Allocation 12 Country</v>
          </cell>
          <cell r="DP1" t="str">
            <v>Allocation 12 Sector</v>
          </cell>
          <cell r="DQ1" t="str">
            <v>Allocation 12 Value</v>
          </cell>
          <cell r="DR1" t="str">
            <v>Allocation 13 Country</v>
          </cell>
          <cell r="DS1" t="str">
            <v>Allocation 13 Sector</v>
          </cell>
          <cell r="DT1" t="str">
            <v>Allocation 13 Value</v>
          </cell>
          <cell r="DU1" t="str">
            <v>Allocation 14 Country</v>
          </cell>
          <cell r="DV1" t="str">
            <v>Allocation 14 Sector</v>
          </cell>
          <cell r="DW1" t="str">
            <v>Allocation 14 Value</v>
          </cell>
          <cell r="DX1" t="str">
            <v>Allocation 15 Country</v>
          </cell>
          <cell r="DY1" t="str">
            <v>Allocation 15 Sector</v>
          </cell>
          <cell r="DZ1" t="str">
            <v>Allocation 15 Value</v>
          </cell>
          <cell r="EA1" t="str">
            <v>Allocation 16 Country</v>
          </cell>
          <cell r="EB1" t="str">
            <v>Allocation 16 Sector</v>
          </cell>
          <cell r="EC1" t="str">
            <v>Allocation 16 Value</v>
          </cell>
          <cell r="ED1" t="str">
            <v>Allocation 17 Country</v>
          </cell>
          <cell r="EE1" t="str">
            <v>Allocation 17 Sector</v>
          </cell>
          <cell r="EF1" t="str">
            <v>Allocation 17 Value</v>
          </cell>
          <cell r="EG1" t="str">
            <v>Allocation 18 Country</v>
          </cell>
          <cell r="EH1" t="str">
            <v>Allocation 18 Sector</v>
          </cell>
          <cell r="EI1" t="str">
            <v>Allocation 18 Value</v>
          </cell>
          <cell r="EJ1" t="str">
            <v>Allocation 19 Country</v>
          </cell>
          <cell r="EK1" t="str">
            <v>Allocation 19 Sector</v>
          </cell>
          <cell r="EL1" t="str">
            <v>Allocation 19 Value</v>
          </cell>
          <cell r="EM1" t="str">
            <v>Allocation 20 Country</v>
          </cell>
          <cell r="EN1" t="str">
            <v>Allocation 20 Sector</v>
          </cell>
          <cell r="EO1" t="str">
            <v>Allocation 20 Value</v>
          </cell>
          <cell r="EP1" t="str">
            <v>Allocation 21 Country</v>
          </cell>
          <cell r="EQ1" t="str">
            <v>Allocation 21 Sector</v>
          </cell>
          <cell r="ER1" t="str">
            <v>Allocation 21 Value</v>
          </cell>
          <cell r="ES1" t="str">
            <v>Allocation 22 Country</v>
          </cell>
          <cell r="ET1" t="str">
            <v>Allocation 22 Sector</v>
          </cell>
          <cell r="EU1" t="str">
            <v>Allocation 22 Value</v>
          </cell>
        </row>
        <row r="2">
          <cell r="A2">
            <v>17417</v>
          </cell>
          <cell r="B2" t="str">
            <v>4IP EUROPEAN REAL ESTATE FUND OF FUNDS</v>
          </cell>
          <cell r="C2" t="str">
            <v>4IP MANAGEMENT AG</v>
          </cell>
          <cell r="D2" t="str">
            <v>Feldeggstrasse 3</v>
          </cell>
          <cell r="E2">
            <v>8008</v>
          </cell>
          <cell r="F2" t="str">
            <v>Zurich</v>
          </cell>
          <cell r="G2" t="str">
            <v>Switzerland</v>
          </cell>
          <cell r="H2" t="str">
            <v>+41 44 213 1400</v>
          </cell>
          <cell r="I2" t="str">
            <v>+41 44 212 8477</v>
          </cell>
          <cell r="J2" t="str">
            <v>http://www.4ip.ch</v>
          </cell>
          <cell r="K2" t="str">
            <v>Ulrich Kaluscha</v>
          </cell>
          <cell r="L2" t="str">
            <v>ulrich.kaluscha@4ip.ch</v>
          </cell>
          <cell r="M2" t="str">
            <v>+41 44 213 1401</v>
          </cell>
          <cell r="R2" t="str">
            <v>EUR</v>
          </cell>
          <cell r="T2" t="str">
            <v>Quarterly</v>
          </cell>
          <cell r="U2" t="str">
            <v>Quarterly</v>
          </cell>
          <cell r="AD2" t="str">
            <v>Value-added</v>
          </cell>
          <cell r="AF2" t="str">
            <v>Closed end</v>
          </cell>
          <cell r="AG2">
            <v>6</v>
          </cell>
          <cell r="AH2">
            <v>8</v>
          </cell>
          <cell r="AK2" t="str">
            <v>4-5%</v>
          </cell>
          <cell r="AN2" t="str">
            <v>Institutional</v>
          </cell>
          <cell r="AQ2">
            <v>6</v>
          </cell>
          <cell r="AR2">
            <v>6</v>
          </cell>
          <cell r="AS2">
            <v>15000000</v>
          </cell>
          <cell r="AT2">
            <v>60</v>
          </cell>
          <cell r="AU2">
            <v>60</v>
          </cell>
          <cell r="AV2">
            <v>8</v>
          </cell>
          <cell r="AW2">
            <v>20</v>
          </cell>
          <cell r="AX2">
            <v>8</v>
          </cell>
          <cell r="AZ2" t="str">
            <v>16 years</v>
          </cell>
          <cell r="BB2" t="str">
            <v>Europe</v>
          </cell>
          <cell r="BH2">
            <v>146000000</v>
          </cell>
          <cell r="BJ2">
            <v>2007</v>
          </cell>
          <cell r="BK2">
            <v>2019</v>
          </cell>
          <cell r="BS2" t="str">
            <v>2020-12-31</v>
          </cell>
          <cell r="BT2">
            <v>55200000</v>
          </cell>
          <cell r="BU2">
            <v>55200000</v>
          </cell>
          <cell r="BV2">
            <v>55200000</v>
          </cell>
          <cell r="BW2">
            <v>55200000</v>
          </cell>
          <cell r="BY2" t="str">
            <v>No</v>
          </cell>
          <cell r="CA2">
            <v>7</v>
          </cell>
          <cell r="CC2">
            <v>135000000</v>
          </cell>
          <cell r="CD2">
            <v>135000000</v>
          </cell>
          <cell r="CE2">
            <v>135000000</v>
          </cell>
          <cell r="CF2">
            <v>135000000</v>
          </cell>
          <cell r="CG2" t="str">
            <v>No</v>
          </cell>
        </row>
        <row r="3">
          <cell r="A3">
            <v>17422</v>
          </cell>
          <cell r="B3" t="str">
            <v>ACHMEA REALTY FUND - ASIA</v>
          </cell>
          <cell r="C3" t="str">
            <v>SYNTRUS ACHMEA REAL ESTATE</v>
          </cell>
          <cell r="D3" t="str">
            <v>PO Box 59347</v>
          </cell>
          <cell r="E3" t="str">
            <v>1040 KH</v>
          </cell>
          <cell r="F3" t="str">
            <v>Amsterdam</v>
          </cell>
          <cell r="G3" t="str">
            <v>Netherlands</v>
          </cell>
          <cell r="J3" t="str">
            <v>http://www.achmeavastgoed.nl</v>
          </cell>
          <cell r="K3" t="str">
            <v>Geert de Nekker</v>
          </cell>
          <cell r="L3" t="str">
            <v>geert.de.nekker@achmeavastgoed.nl</v>
          </cell>
          <cell r="M3" t="str">
            <v>+31 20 6065608</v>
          </cell>
          <cell r="R3" t="str">
            <v>USD</v>
          </cell>
          <cell r="T3" t="str">
            <v>Quarterly</v>
          </cell>
          <cell r="U3" t="str">
            <v>Quarterly</v>
          </cell>
          <cell r="AD3" t="str">
            <v>Value-added</v>
          </cell>
          <cell r="AF3" t="str">
            <v>Open end</v>
          </cell>
          <cell r="AG3">
            <v>12</v>
          </cell>
          <cell r="AH3">
            <v>15</v>
          </cell>
          <cell r="AN3" t="str">
            <v>Institutional</v>
          </cell>
          <cell r="AP3">
            <v>14.7</v>
          </cell>
          <cell r="AQ3">
            <v>7</v>
          </cell>
          <cell r="AR3">
            <v>7</v>
          </cell>
          <cell r="AS3">
            <v>40000000</v>
          </cell>
          <cell r="AV3" t="str">
            <v>&gt;10</v>
          </cell>
          <cell r="AW3">
            <v>20</v>
          </cell>
          <cell r="AX3" t="str">
            <v>&gt;10</v>
          </cell>
          <cell r="AY3">
            <v>20</v>
          </cell>
          <cell r="BB3" t="str">
            <v>Asia Pacific</v>
          </cell>
          <cell r="BJ3">
            <v>2007</v>
          </cell>
          <cell r="BS3" t="str">
            <v>2019-12-31</v>
          </cell>
          <cell r="BT3">
            <v>29075000</v>
          </cell>
          <cell r="BU3">
            <v>25963044.4168275</v>
          </cell>
          <cell r="BV3">
            <v>29075000</v>
          </cell>
          <cell r="BW3">
            <v>25963044.4168275</v>
          </cell>
          <cell r="BY3" t="str">
            <v>No</v>
          </cell>
          <cell r="CA3">
            <v>9</v>
          </cell>
          <cell r="CC3">
            <v>285784706</v>
          </cell>
          <cell r="CD3">
            <v>261797212.4638842</v>
          </cell>
          <cell r="CE3">
            <v>266386220</v>
          </cell>
          <cell r="CF3">
            <v>244026948.8556571</v>
          </cell>
        </row>
        <row r="4">
          <cell r="A4">
            <v>17423</v>
          </cell>
          <cell r="B4" t="str">
            <v>ACHMEA REALTY FUND - EUROPE</v>
          </cell>
          <cell r="C4" t="str">
            <v>SYNTRUS ACHMEA REAL ESTATE</v>
          </cell>
          <cell r="D4" t="str">
            <v>PO Box 59347</v>
          </cell>
          <cell r="E4" t="str">
            <v>1040 KH</v>
          </cell>
          <cell r="F4" t="str">
            <v>Amsterdam</v>
          </cell>
          <cell r="G4" t="str">
            <v>Netherlands</v>
          </cell>
          <cell r="J4" t="str">
            <v>http://www.achmeavastgoed.nl</v>
          </cell>
          <cell r="K4" t="str">
            <v>Geert de Nekker</v>
          </cell>
          <cell r="L4" t="str">
            <v>geert.de.nekker@achmeavastgoed.nl</v>
          </cell>
          <cell r="M4" t="str">
            <v>+31 20 6065608</v>
          </cell>
          <cell r="R4" t="str">
            <v>EUR</v>
          </cell>
          <cell r="T4" t="str">
            <v>Quarterly</v>
          </cell>
          <cell r="U4" t="str">
            <v>Quarterly</v>
          </cell>
          <cell r="AD4" t="str">
            <v>Core</v>
          </cell>
          <cell r="AF4" t="str">
            <v>Open end</v>
          </cell>
          <cell r="AG4">
            <v>7</v>
          </cell>
          <cell r="AH4">
            <v>10</v>
          </cell>
          <cell r="AK4" t="str">
            <v>4-5%</v>
          </cell>
          <cell r="AN4" t="str">
            <v>Institutional</v>
          </cell>
          <cell r="AP4">
            <v>12.3</v>
          </cell>
          <cell r="AQ4">
            <v>13</v>
          </cell>
          <cell r="AR4">
            <v>13</v>
          </cell>
          <cell r="AS4">
            <v>31307000</v>
          </cell>
          <cell r="AT4">
            <v>40</v>
          </cell>
          <cell r="AV4" t="str">
            <v>15-20</v>
          </cell>
          <cell r="AW4">
            <v>20</v>
          </cell>
          <cell r="AX4" t="str">
            <v>15-20</v>
          </cell>
          <cell r="AY4">
            <v>20</v>
          </cell>
          <cell r="BB4" t="str">
            <v>Europe</v>
          </cell>
          <cell r="BJ4">
            <v>2004</v>
          </cell>
          <cell r="BS4" t="str">
            <v>2018-12-31</v>
          </cell>
          <cell r="BT4">
            <v>99628253</v>
          </cell>
          <cell r="BU4">
            <v>99628253</v>
          </cell>
          <cell r="BV4">
            <v>98807381</v>
          </cell>
          <cell r="BW4">
            <v>98807381</v>
          </cell>
          <cell r="BY4" t="str">
            <v>No</v>
          </cell>
          <cell r="CA4">
            <v>13</v>
          </cell>
          <cell r="CC4">
            <v>647683328</v>
          </cell>
          <cell r="CD4">
            <v>647683328</v>
          </cell>
          <cell r="CE4">
            <v>644271904</v>
          </cell>
          <cell r="CF4">
            <v>644271904</v>
          </cell>
        </row>
        <row r="5">
          <cell r="A5">
            <v>17424</v>
          </cell>
          <cell r="B5" t="str">
            <v>ACHMEA REALTY FUND - NORTH AMERICA</v>
          </cell>
          <cell r="C5" t="str">
            <v>SYNTRUS ACHMEA REAL ESTATE</v>
          </cell>
          <cell r="D5" t="str">
            <v>PO Box 59347</v>
          </cell>
          <cell r="E5" t="str">
            <v>1040 KH</v>
          </cell>
          <cell r="F5" t="str">
            <v>Amsterdam</v>
          </cell>
          <cell r="G5" t="str">
            <v>Netherlands</v>
          </cell>
          <cell r="J5" t="str">
            <v>http://www.achmeavastgoed.nl</v>
          </cell>
          <cell r="K5" t="str">
            <v>Geert de Nekker</v>
          </cell>
          <cell r="L5" t="str">
            <v>geert.de.nekker@achmeavastgoed.nl</v>
          </cell>
          <cell r="M5" t="str">
            <v>+31 20 6065608</v>
          </cell>
          <cell r="R5" t="str">
            <v>USD</v>
          </cell>
          <cell r="T5" t="str">
            <v>Quarterly</v>
          </cell>
          <cell r="U5" t="str">
            <v>Quarterly</v>
          </cell>
          <cell r="AD5" t="str">
            <v>Core</v>
          </cell>
          <cell r="AF5" t="str">
            <v>Open end</v>
          </cell>
          <cell r="AG5">
            <v>9</v>
          </cell>
          <cell r="AH5">
            <v>11</v>
          </cell>
          <cell r="AK5" t="str">
            <v>4-5%</v>
          </cell>
          <cell r="AN5" t="str">
            <v>Institutional</v>
          </cell>
          <cell r="AP5">
            <v>28.9</v>
          </cell>
          <cell r="AQ5">
            <v>7</v>
          </cell>
          <cell r="AR5">
            <v>7</v>
          </cell>
          <cell r="AS5">
            <v>32912000</v>
          </cell>
          <cell r="AT5">
            <v>40</v>
          </cell>
          <cell r="AV5" t="str">
            <v>15-20</v>
          </cell>
          <cell r="AW5">
            <v>20</v>
          </cell>
          <cell r="AX5" t="str">
            <v>15-20</v>
          </cell>
          <cell r="AY5">
            <v>20</v>
          </cell>
          <cell r="BB5" t="str">
            <v>North America</v>
          </cell>
          <cell r="BJ5">
            <v>2004</v>
          </cell>
          <cell r="BS5" t="str">
            <v>2018-12-31</v>
          </cell>
          <cell r="BT5">
            <v>49833481</v>
          </cell>
          <cell r="BU5">
            <v>43568665.623787038</v>
          </cell>
          <cell r="BV5">
            <v>49277672</v>
          </cell>
          <cell r="BW5">
            <v>43082730.144551873</v>
          </cell>
          <cell r="BY5" t="str">
            <v>No</v>
          </cell>
          <cell r="CA5">
            <v>9</v>
          </cell>
          <cell r="CC5">
            <v>494501117</v>
          </cell>
          <cell r="CD5">
            <v>426226242.22943038</v>
          </cell>
          <cell r="CE5">
            <v>493824913</v>
          </cell>
          <cell r="CF5">
            <v>425643400.49259257</v>
          </cell>
        </row>
        <row r="6">
          <cell r="A6">
            <v>17442</v>
          </cell>
          <cell r="B6" t="str">
            <v>ALTAN III GLOBAL FIL</v>
          </cell>
          <cell r="C6" t="str">
            <v>ALTAN CAPITAL</v>
          </cell>
          <cell r="D6" t="str">
            <v>Paseo de la Castellana, 31</v>
          </cell>
          <cell r="E6">
            <v>28046</v>
          </cell>
          <cell r="F6" t="str">
            <v>Madrid</v>
          </cell>
          <cell r="G6" t="str">
            <v>Spain</v>
          </cell>
          <cell r="I6" t="str">
            <v>+34 91 391 52 43</v>
          </cell>
          <cell r="J6" t="str">
            <v>http://www.altancapital.com</v>
          </cell>
          <cell r="K6" t="str">
            <v>Fernando Olaso</v>
          </cell>
          <cell r="L6" t="str">
            <v>folaso@altancapital.com</v>
          </cell>
          <cell r="M6" t="str">
            <v>+34 91 426 2447</v>
          </cell>
          <cell r="Q6" t="str">
            <v>Spain</v>
          </cell>
          <cell r="R6" t="str">
            <v>EUR</v>
          </cell>
          <cell r="S6" t="str">
            <v>Local GAAP</v>
          </cell>
          <cell r="T6" t="str">
            <v>Quarterly</v>
          </cell>
          <cell r="U6" t="str">
            <v>Quarterly</v>
          </cell>
          <cell r="W6" t="str">
            <v>IFRS NAV</v>
          </cell>
          <cell r="X6" t="str">
            <v>PricewaterhouseCoopers</v>
          </cell>
          <cell r="Y6" t="str">
            <v>Spanish Fondo de Inversión Libre</v>
          </cell>
          <cell r="Z6" t="str">
            <v>No</v>
          </cell>
          <cell r="AD6" t="str">
            <v>Opportunity</v>
          </cell>
          <cell r="AF6" t="str">
            <v>Closed end</v>
          </cell>
          <cell r="AI6" t="str">
            <v>Net</v>
          </cell>
          <cell r="AN6" t="str">
            <v>Institutional and Retail</v>
          </cell>
          <cell r="AO6" t="str">
            <v>&gt; 2</v>
          </cell>
          <cell r="AP6">
            <v>0</v>
          </cell>
          <cell r="AU6">
            <v>0</v>
          </cell>
          <cell r="AV6">
            <v>20</v>
          </cell>
          <cell r="AW6">
            <v>100</v>
          </cell>
          <cell r="AX6">
            <v>100</v>
          </cell>
          <cell r="AY6">
            <v>100</v>
          </cell>
          <cell r="AZ6" t="str">
            <v>12 years</v>
          </cell>
          <cell r="BA6" t="str">
            <v>≥ 50%</v>
          </cell>
          <cell r="BB6" t="str">
            <v>Global</v>
          </cell>
          <cell r="BH6">
            <v>140000000</v>
          </cell>
          <cell r="BJ6">
            <v>2013</v>
          </cell>
          <cell r="BK6">
            <v>2024</v>
          </cell>
          <cell r="BS6" t="str">
            <v>2019-12-31</v>
          </cell>
          <cell r="BT6">
            <v>121056000</v>
          </cell>
          <cell r="BU6">
            <v>121056000</v>
          </cell>
          <cell r="BV6">
            <v>121056000</v>
          </cell>
          <cell r="BW6">
            <v>121056000</v>
          </cell>
          <cell r="BY6" t="str">
            <v>Yes</v>
          </cell>
          <cell r="CD6">
            <v>0</v>
          </cell>
        </row>
        <row r="7">
          <cell r="A7">
            <v>17431</v>
          </cell>
          <cell r="B7" t="str">
            <v>ALTAN INMOBILIARIO GLOBAL I&amp;II</v>
          </cell>
          <cell r="C7" t="str">
            <v>ALTAN CAPITAL</v>
          </cell>
          <cell r="D7" t="str">
            <v>Paseo de la Castellana, 31</v>
          </cell>
          <cell r="E7">
            <v>28046</v>
          </cell>
          <cell r="F7" t="str">
            <v>Madrid</v>
          </cell>
          <cell r="G7" t="str">
            <v>Spain</v>
          </cell>
          <cell r="I7" t="str">
            <v>+34 91 391 52 43</v>
          </cell>
          <cell r="J7" t="str">
            <v>http://www.altancapital.com</v>
          </cell>
          <cell r="K7" t="str">
            <v>Fernando Olaso</v>
          </cell>
          <cell r="L7" t="str">
            <v>folaso@altancapital.com</v>
          </cell>
          <cell r="M7" t="str">
            <v>+34 91 426 2447</v>
          </cell>
          <cell r="Q7" t="str">
            <v>Spain</v>
          </cell>
          <cell r="R7" t="str">
            <v>EUR</v>
          </cell>
          <cell r="S7" t="str">
            <v>Local GAAP</v>
          </cell>
          <cell r="T7" t="str">
            <v>Quarterly</v>
          </cell>
          <cell r="U7" t="str">
            <v>Quarterly</v>
          </cell>
          <cell r="W7" t="str">
            <v>IFRS NAV</v>
          </cell>
          <cell r="X7" t="str">
            <v>PricewaterhouseCoopers</v>
          </cell>
          <cell r="Y7" t="str">
            <v>Spanish Fondo de Inversión Libre</v>
          </cell>
          <cell r="Z7" t="str">
            <v>No</v>
          </cell>
          <cell r="AD7" t="str">
            <v>Opportunity</v>
          </cell>
          <cell r="AF7" t="str">
            <v>Closed end</v>
          </cell>
          <cell r="AN7" t="str">
            <v>Institutional and Retail</v>
          </cell>
          <cell r="AO7" t="str">
            <v>&gt; 2</v>
          </cell>
          <cell r="AP7">
            <v>0</v>
          </cell>
          <cell r="AQ7">
            <v>12</v>
          </cell>
          <cell r="AR7">
            <v>8</v>
          </cell>
          <cell r="AS7">
            <v>10</v>
          </cell>
          <cell r="AU7">
            <v>0</v>
          </cell>
          <cell r="AV7">
            <v>20</v>
          </cell>
          <cell r="AW7">
            <v>100</v>
          </cell>
          <cell r="AX7">
            <v>30</v>
          </cell>
          <cell r="AY7">
            <v>100</v>
          </cell>
          <cell r="AZ7" t="str">
            <v>12 years</v>
          </cell>
          <cell r="BA7" t="str">
            <v>≥ 50%</v>
          </cell>
          <cell r="BB7" t="str">
            <v>Global</v>
          </cell>
          <cell r="BH7">
            <v>140000000</v>
          </cell>
          <cell r="BJ7">
            <v>2007</v>
          </cell>
          <cell r="BK7">
            <v>2019</v>
          </cell>
          <cell r="BS7" t="str">
            <v>2020-03-31</v>
          </cell>
          <cell r="BT7">
            <v>17316244</v>
          </cell>
          <cell r="BU7">
            <v>17316244</v>
          </cell>
          <cell r="BV7">
            <v>17316244</v>
          </cell>
          <cell r="BW7">
            <v>17316244</v>
          </cell>
          <cell r="BY7" t="str">
            <v>Yes</v>
          </cell>
          <cell r="CA7">
            <v>20</v>
          </cell>
          <cell r="CC7">
            <v>139000000</v>
          </cell>
          <cell r="CD7">
            <v>139000000</v>
          </cell>
          <cell r="CE7">
            <v>139000000</v>
          </cell>
          <cell r="CF7">
            <v>139000000</v>
          </cell>
          <cell r="CG7" t="str">
            <v>No</v>
          </cell>
        </row>
        <row r="8">
          <cell r="A8">
            <v>17426</v>
          </cell>
          <cell r="B8" t="str">
            <v>ASIA EX JAPAN VALUE ADDED I</v>
          </cell>
          <cell r="C8" t="str">
            <v>BNP PARIBAS INVESTMENT PARTNERS</v>
          </cell>
          <cell r="D8" t="str">
            <v>Burgerweeshuispad 200, PO Box 71770</v>
          </cell>
          <cell r="E8" t="str">
            <v>1008 DG</v>
          </cell>
          <cell r="F8" t="str">
            <v>Amsterdam</v>
          </cell>
          <cell r="G8" t="str">
            <v>Netherlands</v>
          </cell>
          <cell r="I8" t="str">
            <v>+31205275250</v>
          </cell>
          <cell r="J8" t="str">
            <v>http://www.bnpparibas-ip.com</v>
          </cell>
          <cell r="K8" t="str">
            <v>Nick Brugman</v>
          </cell>
          <cell r="L8" t="str">
            <v>nick.brugman@bnpparibas.com</v>
          </cell>
          <cell r="M8" t="str">
            <v>+31205275195</v>
          </cell>
          <cell r="R8" t="str">
            <v>USD</v>
          </cell>
          <cell r="T8" t="str">
            <v>Quarterly</v>
          </cell>
          <cell r="U8" t="str">
            <v>Quarterly</v>
          </cell>
          <cell r="AD8" t="str">
            <v>Value-added</v>
          </cell>
          <cell r="AF8" t="str">
            <v>Closed end</v>
          </cell>
          <cell r="AG8">
            <v>10</v>
          </cell>
          <cell r="AH8">
            <v>12</v>
          </cell>
          <cell r="AN8" t="str">
            <v>Institutional</v>
          </cell>
          <cell r="AP8">
            <v>0</v>
          </cell>
          <cell r="AT8">
            <v>65</v>
          </cell>
          <cell r="AU8">
            <v>65</v>
          </cell>
          <cell r="AV8" t="str">
            <v>6-8</v>
          </cell>
          <cell r="AW8">
            <v>20</v>
          </cell>
          <cell r="AY8">
            <v>25</v>
          </cell>
          <cell r="AZ8" t="str">
            <v>10 years</v>
          </cell>
          <cell r="BB8" t="str">
            <v>Asia Pacific</v>
          </cell>
          <cell r="BH8">
            <v>150000000</v>
          </cell>
          <cell r="BJ8">
            <v>2006</v>
          </cell>
          <cell r="BK8">
            <v>2016</v>
          </cell>
          <cell r="BS8" t="str">
            <v>2013-12-31</v>
          </cell>
          <cell r="BT8">
            <v>68018084</v>
          </cell>
          <cell r="BU8">
            <v>49408336.217600003</v>
          </cell>
          <cell r="BV8">
            <v>68018084</v>
          </cell>
          <cell r="BW8">
            <v>49408336.217600003</v>
          </cell>
          <cell r="CD8">
            <v>0</v>
          </cell>
        </row>
        <row r="9">
          <cell r="A9">
            <v>17411</v>
          </cell>
          <cell r="B9" t="str">
            <v>AURORA EUROPE PROPERTY FUND</v>
          </cell>
          <cell r="C9" t="str">
            <v>DTZ INVESTMENT MANAGEMENT</v>
          </cell>
          <cell r="D9" t="str">
            <v>125 Old Broad Street</v>
          </cell>
          <cell r="E9" t="str">
            <v>EC2N 2BQ</v>
          </cell>
          <cell r="F9" t="str">
            <v>London</v>
          </cell>
          <cell r="G9" t="str">
            <v>United Kingdom</v>
          </cell>
          <cell r="H9" t="str">
            <v>+44 20 3296 3000</v>
          </cell>
          <cell r="I9" t="str">
            <v>+44 20 3296 3000</v>
          </cell>
          <cell r="J9" t="str">
            <v>http://www.dtzim.com</v>
          </cell>
          <cell r="K9" t="str">
            <v>Martin Gilbert</v>
          </cell>
          <cell r="L9" t="str">
            <v>martin.gilbert@dtz.com</v>
          </cell>
          <cell r="M9" t="str">
            <v>+44 20 3296 3273</v>
          </cell>
          <cell r="R9" t="str">
            <v>EUR</v>
          </cell>
          <cell r="T9" t="str">
            <v>Quarterly</v>
          </cell>
          <cell r="U9" t="str">
            <v>Quarterly</v>
          </cell>
          <cell r="AD9" t="str">
            <v>Value-added</v>
          </cell>
          <cell r="AF9" t="str">
            <v>Closed end</v>
          </cell>
          <cell r="AG9">
            <v>8</v>
          </cell>
          <cell r="AH9">
            <v>10</v>
          </cell>
          <cell r="AN9" t="str">
            <v>Institutional</v>
          </cell>
          <cell r="AT9">
            <v>56</v>
          </cell>
          <cell r="AU9">
            <v>56</v>
          </cell>
          <cell r="AV9" t="str">
            <v>10-20</v>
          </cell>
          <cell r="AW9">
            <v>25</v>
          </cell>
          <cell r="AX9" t="str">
            <v>10-20</v>
          </cell>
          <cell r="AY9">
            <v>25</v>
          </cell>
          <cell r="AZ9" t="str">
            <v>10 years</v>
          </cell>
          <cell r="BB9" t="str">
            <v>Europe</v>
          </cell>
          <cell r="BH9">
            <v>400000000</v>
          </cell>
          <cell r="BJ9">
            <v>2007</v>
          </cell>
          <cell r="BK9">
            <v>2017</v>
          </cell>
          <cell r="BS9" t="str">
            <v>2018-12-31</v>
          </cell>
          <cell r="BT9">
            <v>2200248</v>
          </cell>
          <cell r="BU9">
            <v>2200248</v>
          </cell>
          <cell r="BV9">
            <v>2200248</v>
          </cell>
          <cell r="BW9">
            <v>2200248</v>
          </cell>
          <cell r="CD9">
            <v>0</v>
          </cell>
        </row>
        <row r="10">
          <cell r="A10">
            <v>17441</v>
          </cell>
          <cell r="B10" t="str">
            <v>AVIVA INVESTORS REAL ESTATE CAPITAL PARTNERS I</v>
          </cell>
          <cell r="C10" t="str">
            <v>AVIVA INVESTORS MULTI-MANAGER</v>
          </cell>
          <cell r="D10" t="str">
            <v>No 1 Poultry</v>
          </cell>
          <cell r="E10" t="str">
            <v>EC2R 8EJ</v>
          </cell>
          <cell r="F10" t="str">
            <v>London</v>
          </cell>
          <cell r="G10" t="str">
            <v>United Kingdom</v>
          </cell>
          <cell r="H10" t="str">
            <v>+44 2078096000</v>
          </cell>
          <cell r="J10" t="str">
            <v>http://www.avivainvestors.com</v>
          </cell>
          <cell r="K10" t="str">
            <v>Ed Casal</v>
          </cell>
          <cell r="L10" t="str">
            <v>ed.casal@avivainvestors.com</v>
          </cell>
          <cell r="M10" t="str">
            <v>+44 791 2394258</v>
          </cell>
          <cell r="R10" t="str">
            <v>USD</v>
          </cell>
          <cell r="T10" t="str">
            <v>Quarterly</v>
          </cell>
          <cell r="U10" t="str">
            <v>Quarterly</v>
          </cell>
          <cell r="AD10" t="str">
            <v>Opportunity</v>
          </cell>
          <cell r="AF10" t="str">
            <v>Closed end</v>
          </cell>
          <cell r="AG10">
            <v>16</v>
          </cell>
          <cell r="AH10">
            <v>18</v>
          </cell>
          <cell r="AN10" t="str">
            <v>Institutional</v>
          </cell>
          <cell r="AT10">
            <v>60</v>
          </cell>
          <cell r="AU10">
            <v>60</v>
          </cell>
          <cell r="AV10">
            <v>8</v>
          </cell>
          <cell r="AW10">
            <v>15</v>
          </cell>
          <cell r="AX10">
            <v>8</v>
          </cell>
          <cell r="AY10">
            <v>15</v>
          </cell>
          <cell r="AZ10" t="str">
            <v>8 years</v>
          </cell>
          <cell r="BB10" t="str">
            <v>Global</v>
          </cell>
          <cell r="BH10">
            <v>500000000</v>
          </cell>
          <cell r="BJ10">
            <v>2010</v>
          </cell>
          <cell r="BK10">
            <v>2018</v>
          </cell>
          <cell r="BS10" t="str">
            <v>2016-03-31</v>
          </cell>
          <cell r="BT10">
            <v>47086219</v>
          </cell>
          <cell r="BU10">
            <v>41623935.078685999</v>
          </cell>
          <cell r="BV10">
            <v>47086219</v>
          </cell>
          <cell r="BW10">
            <v>41623935.078685999</v>
          </cell>
          <cell r="CD10">
            <v>0</v>
          </cell>
        </row>
        <row r="11">
          <cell r="A11">
            <v>18273</v>
          </cell>
          <cell r="B11" t="str">
            <v>CBRE ASIA VALUE PARTNERS IV</v>
          </cell>
          <cell r="C11" t="str">
            <v>CBRE GLOBAL INVESTMENT PARTNERS LIMITED</v>
          </cell>
          <cell r="D11" t="str">
            <v>Third Floor, One New Change</v>
          </cell>
          <cell r="E11" t="str">
            <v>EC4M 9AF</v>
          </cell>
          <cell r="F11" t="str">
            <v>London</v>
          </cell>
          <cell r="G11" t="str">
            <v>United Kingdom</v>
          </cell>
          <cell r="J11" t="str">
            <v>http://www.cbreglobalinvestors.com</v>
          </cell>
          <cell r="K11" t="str">
            <v>Adrian Baker</v>
          </cell>
          <cell r="L11" t="str">
            <v>adrian.baker@cbreglobalinvestors.com</v>
          </cell>
          <cell r="M11">
            <v>6565933481</v>
          </cell>
          <cell r="N11" t="str">
            <v>Yilan Koh</v>
          </cell>
          <cell r="O11" t="str">
            <v>yilan.koh@cbreglobalinvestors.com</v>
          </cell>
          <cell r="P11">
            <v>6565938561</v>
          </cell>
          <cell r="Q11" t="str">
            <v>Ireland</v>
          </cell>
          <cell r="R11" t="str">
            <v>USD</v>
          </cell>
          <cell r="S11" t="str">
            <v>IFRS</v>
          </cell>
          <cell r="T11" t="str">
            <v>Quarterly</v>
          </cell>
          <cell r="U11" t="str">
            <v>Quarterly</v>
          </cell>
          <cell r="X11" t="str">
            <v>Deloitte &amp; Touche</v>
          </cell>
          <cell r="Y11" t="str">
            <v>Unit trust</v>
          </cell>
          <cell r="AD11" t="str">
            <v>Value-added</v>
          </cell>
          <cell r="AF11" t="str">
            <v>Closed end</v>
          </cell>
          <cell r="AN11" t="str">
            <v>Institutional</v>
          </cell>
          <cell r="AO11" t="str">
            <v>&gt; 2</v>
          </cell>
          <cell r="AP11">
            <v>47.1</v>
          </cell>
          <cell r="AQ11">
            <v>3</v>
          </cell>
          <cell r="AR11">
            <v>3</v>
          </cell>
          <cell r="AS11">
            <v>75066000</v>
          </cell>
          <cell r="AU11">
            <v>60</v>
          </cell>
          <cell r="AV11">
            <v>21</v>
          </cell>
          <cell r="BA11" t="str">
            <v>≥ 50%</v>
          </cell>
          <cell r="BB11" t="str">
            <v>Asia Pacific</v>
          </cell>
          <cell r="BH11">
            <v>1100000000</v>
          </cell>
          <cell r="BI11">
            <v>2500000000</v>
          </cell>
          <cell r="BJ11">
            <v>2016</v>
          </cell>
          <cell r="BS11" t="str">
            <v>2017-12-31</v>
          </cell>
          <cell r="BT11">
            <v>322210000</v>
          </cell>
          <cell r="BU11">
            <v>268987230.37239897</v>
          </cell>
          <cell r="BV11">
            <v>192360000</v>
          </cell>
          <cell r="BW11">
            <v>160585902.46868399</v>
          </cell>
          <cell r="CA11">
            <v>17</v>
          </cell>
          <cell r="CC11">
            <v>225198125</v>
          </cell>
          <cell r="CD11">
            <v>190639080.43906811</v>
          </cell>
          <cell r="CE11">
            <v>124309365</v>
          </cell>
          <cell r="CF11">
            <v>105232772.4023656</v>
          </cell>
          <cell r="CG11" t="str">
            <v>Yes</v>
          </cell>
        </row>
        <row r="12">
          <cell r="A12">
            <v>17453</v>
          </cell>
          <cell r="B12" t="str">
            <v>CBRE GIP ASIA ALPHA PLUS FUND III</v>
          </cell>
          <cell r="C12" t="str">
            <v>CBRE GLOBAL COLLECTIVE INVESTORS UK LTD</v>
          </cell>
          <cell r="D12" t="str">
            <v>Third Floor, One New Change</v>
          </cell>
          <cell r="E12" t="str">
            <v>EC4M 9AF</v>
          </cell>
          <cell r="F12" t="str">
            <v>London</v>
          </cell>
          <cell r="G12" t="str">
            <v>United Kingdom</v>
          </cell>
          <cell r="H12" t="str">
            <v>+442078099000</v>
          </cell>
          <cell r="I12" t="str">
            <v>+442078099002</v>
          </cell>
          <cell r="J12" t="str">
            <v>http://www.cbreglobalinvestors.com</v>
          </cell>
          <cell r="K12" t="str">
            <v>Alice Wilcox</v>
          </cell>
          <cell r="L12" t="str">
            <v>alice.wilcox@cbreglobalinvestors.com</v>
          </cell>
          <cell r="M12" t="str">
            <v>+442078099372</v>
          </cell>
          <cell r="R12" t="str">
            <v>USD</v>
          </cell>
          <cell r="T12" t="str">
            <v>Quarterly</v>
          </cell>
          <cell r="U12" t="str">
            <v>Quarterly</v>
          </cell>
          <cell r="AD12" t="str">
            <v>Opportunity</v>
          </cell>
          <cell r="AF12" t="str">
            <v>Closed end</v>
          </cell>
          <cell r="AG12">
            <v>15</v>
          </cell>
          <cell r="AN12" t="str">
            <v>Institutional</v>
          </cell>
          <cell r="AP12">
            <v>28.5</v>
          </cell>
          <cell r="AQ12">
            <v>4</v>
          </cell>
          <cell r="AR12">
            <v>4</v>
          </cell>
          <cell r="AS12">
            <v>29475000</v>
          </cell>
          <cell r="AU12">
            <v>65</v>
          </cell>
          <cell r="AZ12" t="str">
            <v>10 years</v>
          </cell>
          <cell r="BB12" t="str">
            <v>Asia Pacific</v>
          </cell>
          <cell r="BH12">
            <v>236000000</v>
          </cell>
          <cell r="BJ12">
            <v>2013</v>
          </cell>
          <cell r="BK12">
            <v>2023</v>
          </cell>
          <cell r="BS12" t="str">
            <v>2019-12-31</v>
          </cell>
          <cell r="BT12">
            <v>79504786</v>
          </cell>
          <cell r="BU12">
            <v>70995229.243967846</v>
          </cell>
          <cell r="BV12">
            <v>56845922</v>
          </cell>
          <cell r="BW12">
            <v>50761588.918366693</v>
          </cell>
          <cell r="BY12" t="str">
            <v>Yes</v>
          </cell>
          <cell r="CA12">
            <v>8</v>
          </cell>
          <cell r="CC12">
            <v>235800000</v>
          </cell>
          <cell r="CD12">
            <v>216007999.73874</v>
          </cell>
          <cell r="CE12">
            <v>146783569.68000001</v>
          </cell>
          <cell r="CF12">
            <v>134463211.53981659</v>
          </cell>
          <cell r="CG12" t="str">
            <v>No</v>
          </cell>
        </row>
        <row r="13">
          <cell r="A13">
            <v>17429</v>
          </cell>
          <cell r="B13" t="str">
            <v>CLERESTORY SMALL CAP REAL ESTATE FUND I</v>
          </cell>
          <cell r="C13" t="str">
            <v>CLERESTORY CAPITAL ADVISORS, LLC</v>
          </cell>
          <cell r="D13" t="str">
            <v>11 East 44th Street, Suite 1603</v>
          </cell>
          <cell r="E13" t="str">
            <v>NY 10017</v>
          </cell>
          <cell r="F13" t="str">
            <v>New York</v>
          </cell>
          <cell r="G13" t="str">
            <v>United States of America</v>
          </cell>
          <cell r="H13" t="str">
            <v>+1 212 584 2020</v>
          </cell>
          <cell r="I13" t="str">
            <v>+1 212 792 5468</v>
          </cell>
          <cell r="J13" t="str">
            <v>http://www.clerestorycapital.com</v>
          </cell>
          <cell r="K13" t="str">
            <v>Thomas B. Brown or Ms Joanne Douvas</v>
          </cell>
          <cell r="L13" t="str">
            <v>tommy.brown@clerestorycapital.com</v>
          </cell>
          <cell r="M13" t="str">
            <v>+1 212 584 2021</v>
          </cell>
          <cell r="R13" t="str">
            <v>USD</v>
          </cell>
          <cell r="T13" t="str">
            <v>Quarterly</v>
          </cell>
          <cell r="U13" t="str">
            <v>Quarterly</v>
          </cell>
          <cell r="AD13" t="str">
            <v>Opportunity</v>
          </cell>
          <cell r="AF13" t="str">
            <v>Closed end</v>
          </cell>
          <cell r="AG13">
            <v>18</v>
          </cell>
          <cell r="AN13" t="str">
            <v>Institutional</v>
          </cell>
          <cell r="AP13">
            <v>3.83</v>
          </cell>
          <cell r="AV13" t="str">
            <v>11-12</v>
          </cell>
          <cell r="AW13">
            <v>20</v>
          </cell>
          <cell r="AX13" t="str">
            <v>11-12</v>
          </cell>
          <cell r="AZ13" t="str">
            <v>10 years</v>
          </cell>
          <cell r="BB13" t="str">
            <v>Global</v>
          </cell>
          <cell r="BH13">
            <v>138000000</v>
          </cell>
          <cell r="BJ13">
            <v>2007</v>
          </cell>
          <cell r="BK13">
            <v>2017</v>
          </cell>
          <cell r="BS13" t="str">
            <v>2016-12-31</v>
          </cell>
          <cell r="BT13">
            <v>50829219</v>
          </cell>
          <cell r="BU13">
            <v>48245213.993697003</v>
          </cell>
          <cell r="BV13">
            <v>48884693</v>
          </cell>
          <cell r="BW13">
            <v>46399541.861959003</v>
          </cell>
          <cell r="CD13">
            <v>0</v>
          </cell>
        </row>
        <row r="14">
          <cell r="A14">
            <v>17436</v>
          </cell>
          <cell r="B14" t="str">
            <v>CLERESTORY SMALL CAP REAL ESTATE FUND II</v>
          </cell>
          <cell r="C14" t="str">
            <v>LGT CAPITAL PARTNERS LTD.</v>
          </cell>
          <cell r="D14" t="str">
            <v>11 East 44th Street, Suite 1603</v>
          </cell>
          <cell r="E14" t="str">
            <v>NY 10017</v>
          </cell>
          <cell r="F14" t="str">
            <v>New York</v>
          </cell>
          <cell r="G14" t="str">
            <v>United States of America</v>
          </cell>
          <cell r="H14" t="str">
            <v>+1 212 584 2020</v>
          </cell>
          <cell r="I14" t="str">
            <v>+1 212 792 5468</v>
          </cell>
          <cell r="J14" t="str">
            <v>https://www.lgtcp.com/en/</v>
          </cell>
          <cell r="K14" t="str">
            <v>Thomas B. Brown or Ms Joanne Douvas</v>
          </cell>
          <cell r="L14" t="str">
            <v>tommy.brown@clerestorycapital.com</v>
          </cell>
          <cell r="M14" t="str">
            <v>+1 212 584 2021</v>
          </cell>
          <cell r="R14" t="str">
            <v>USD</v>
          </cell>
          <cell r="T14" t="str">
            <v>Quarterly</v>
          </cell>
          <cell r="U14" t="str">
            <v>Quarterly</v>
          </cell>
          <cell r="AD14" t="str">
            <v>Opportunity</v>
          </cell>
          <cell r="AF14" t="str">
            <v>Closed end</v>
          </cell>
          <cell r="AG14">
            <v>14</v>
          </cell>
          <cell r="AH14">
            <v>16</v>
          </cell>
          <cell r="AN14" t="str">
            <v>Institutional</v>
          </cell>
          <cell r="AV14" t="str">
            <v>10-14</v>
          </cell>
          <cell r="AW14">
            <v>15</v>
          </cell>
          <cell r="AX14" t="str">
            <v>12-14</v>
          </cell>
          <cell r="AZ14" t="str">
            <v>10 years</v>
          </cell>
          <cell r="BB14" t="str">
            <v>Global</v>
          </cell>
          <cell r="BH14">
            <v>400000000</v>
          </cell>
          <cell r="BJ14">
            <v>2011</v>
          </cell>
          <cell r="BK14">
            <v>2019</v>
          </cell>
          <cell r="BS14" t="str">
            <v>2011-12-31</v>
          </cell>
          <cell r="BU14">
            <v>0</v>
          </cell>
          <cell r="BW14">
            <v>0</v>
          </cell>
          <cell r="CD14">
            <v>0</v>
          </cell>
        </row>
        <row r="15">
          <cell r="A15">
            <v>17661</v>
          </cell>
          <cell r="B15" t="str">
            <v>CROWN SMALL REAL ESTATE FUND II</v>
          </cell>
          <cell r="C15" t="str">
            <v>LGT CAPITAL PARTNERS LTD</v>
          </cell>
          <cell r="D15" t="str">
            <v>Third Floor, 30 Hernert Street</v>
          </cell>
          <cell r="E15">
            <v>2</v>
          </cell>
          <cell r="F15" t="str">
            <v>Dublin</v>
          </cell>
          <cell r="G15" t="str">
            <v>Ireland</v>
          </cell>
          <cell r="J15" t="str">
            <v>https://www.lgtcp.com/en/</v>
          </cell>
          <cell r="K15" t="str">
            <v>Brian Goonan</v>
          </cell>
          <cell r="L15" t="str">
            <v>brian.goonan@lgt.com</v>
          </cell>
          <cell r="M15" t="str">
            <v>+35314337422</v>
          </cell>
          <cell r="Q15" t="str">
            <v>Ireland</v>
          </cell>
          <cell r="R15" t="str">
            <v>USD</v>
          </cell>
          <cell r="S15" t="str">
            <v>IFRS</v>
          </cell>
          <cell r="T15" t="str">
            <v>Quarterly</v>
          </cell>
          <cell r="U15" t="str">
            <v>Quarterly</v>
          </cell>
          <cell r="W15" t="str">
            <v>US GAAP</v>
          </cell>
          <cell r="Y15" t="str">
            <v>Limited Partnership</v>
          </cell>
          <cell r="Z15" t="str">
            <v>No</v>
          </cell>
          <cell r="AD15" t="str">
            <v>Opportunity</v>
          </cell>
          <cell r="AF15" t="str">
            <v>Closed end</v>
          </cell>
          <cell r="AN15" t="str">
            <v>Institutional</v>
          </cell>
          <cell r="AO15" t="str">
            <v>&gt; 2</v>
          </cell>
          <cell r="AP15">
            <v>0.03</v>
          </cell>
          <cell r="AQ15">
            <v>2</v>
          </cell>
          <cell r="BA15" t="str">
            <v>≥ 50%</v>
          </cell>
          <cell r="BB15" t="str">
            <v>Global</v>
          </cell>
          <cell r="BI15">
            <v>400000000</v>
          </cell>
          <cell r="BJ15">
            <v>2014</v>
          </cell>
          <cell r="BS15" t="str">
            <v>2019-12-31</v>
          </cell>
          <cell r="BT15">
            <v>193512665</v>
          </cell>
          <cell r="BU15">
            <v>172800616.2205902</v>
          </cell>
          <cell r="BV15">
            <v>175043913</v>
          </cell>
          <cell r="BW15">
            <v>156308611.80100739</v>
          </cell>
          <cell r="BY15" t="str">
            <v>Yes</v>
          </cell>
          <cell r="CA15">
            <v>11</v>
          </cell>
          <cell r="CC15">
            <v>231000000</v>
          </cell>
          <cell r="CD15">
            <v>211610890.32929999</v>
          </cell>
          <cell r="CE15">
            <v>220000000</v>
          </cell>
          <cell r="CF15">
            <v>201534181.266</v>
          </cell>
          <cell r="CG15" t="str">
            <v>No</v>
          </cell>
        </row>
        <row r="16">
          <cell r="A16">
            <v>17629</v>
          </cell>
          <cell r="B16" t="str">
            <v>DEKA-IMMOBILIEN STRATEGIEINSTITUTIONELL</v>
          </cell>
          <cell r="C16" t="str">
            <v>DEKA IMMOBILIEN INVESTMENT GMBH</v>
          </cell>
          <cell r="D16" t="str">
            <v>Taunusanlage 1</v>
          </cell>
          <cell r="E16">
            <v>60329</v>
          </cell>
          <cell r="F16" t="str">
            <v>Frankfurt</v>
          </cell>
          <cell r="G16" t="str">
            <v>Germany</v>
          </cell>
          <cell r="K16" t="str">
            <v xml:space="preserve">Barbara Kotzur </v>
          </cell>
          <cell r="L16" t="str">
            <v>barbara.kotzur@deka.de</v>
          </cell>
          <cell r="M16" t="str">
            <v>+496971472074</v>
          </cell>
          <cell r="N16" t="str">
            <v xml:space="preserve">Barbara Kotzur </v>
          </cell>
          <cell r="O16" t="str">
            <v>barbara.kotzur@deka.de</v>
          </cell>
          <cell r="P16" t="str">
            <v>+496971472074</v>
          </cell>
          <cell r="Q16" t="str">
            <v>Germany</v>
          </cell>
          <cell r="R16" t="str">
            <v>EUR</v>
          </cell>
          <cell r="S16" t="str">
            <v>German HGB</v>
          </cell>
          <cell r="T16" t="str">
            <v>Monthly</v>
          </cell>
          <cell r="U16" t="str">
            <v>Quarterly</v>
          </cell>
          <cell r="W16" t="str">
            <v>INREV NAV</v>
          </cell>
          <cell r="X16" t="str">
            <v>KPMG</v>
          </cell>
          <cell r="Y16" t="str">
            <v>Spezialfonds</v>
          </cell>
          <cell r="Z16" t="str">
            <v>No</v>
          </cell>
          <cell r="AA16" t="str">
            <v>No</v>
          </cell>
          <cell r="AB16">
            <v>0</v>
          </cell>
          <cell r="AD16" t="str">
            <v>Core</v>
          </cell>
          <cell r="AF16" t="str">
            <v>Open end</v>
          </cell>
          <cell r="AN16" t="str">
            <v>Institutional</v>
          </cell>
          <cell r="AO16" t="str">
            <v>&gt; 2</v>
          </cell>
          <cell r="AP16">
            <v>0</v>
          </cell>
          <cell r="AQ16">
            <v>7</v>
          </cell>
          <cell r="AR16">
            <v>2</v>
          </cell>
          <cell r="AS16">
            <v>30000000</v>
          </cell>
          <cell r="AT16">
            <v>0</v>
          </cell>
          <cell r="AU16">
            <v>0</v>
          </cell>
          <cell r="AV16">
            <v>10</v>
          </cell>
          <cell r="AW16">
            <v>1000000000</v>
          </cell>
          <cell r="AX16">
            <v>5</v>
          </cell>
          <cell r="AY16">
            <v>1000000000</v>
          </cell>
          <cell r="AZ16" t="str">
            <v>open ended</v>
          </cell>
          <cell r="BA16" t="str">
            <v>≥ 50%</v>
          </cell>
          <cell r="BB16" t="str">
            <v>Global</v>
          </cell>
          <cell r="BH16">
            <v>1000000000</v>
          </cell>
          <cell r="BJ16">
            <v>2012</v>
          </cell>
          <cell r="BS16" t="str">
            <v>2020-12-31</v>
          </cell>
          <cell r="BT16">
            <v>1027619539</v>
          </cell>
          <cell r="BU16">
            <v>1027619539</v>
          </cell>
          <cell r="BV16">
            <v>1027619539</v>
          </cell>
          <cell r="BW16">
            <v>1027619539</v>
          </cell>
          <cell r="BY16" t="str">
            <v>No</v>
          </cell>
          <cell r="CA16">
            <v>199</v>
          </cell>
          <cell r="CC16">
            <v>1027619539</v>
          </cell>
          <cell r="CD16">
            <v>1027619539</v>
          </cell>
          <cell r="CE16">
            <v>1027619539</v>
          </cell>
          <cell r="CF16">
            <v>1027619539</v>
          </cell>
          <cell r="CG16" t="str">
            <v>No</v>
          </cell>
        </row>
        <row r="17">
          <cell r="A17">
            <v>17412</v>
          </cell>
          <cell r="B17" t="str">
            <v>EUROPE VALUE ADDED I</v>
          </cell>
          <cell r="C17" t="str">
            <v>BNP PARIBAS INVESTMENT PARTNERS</v>
          </cell>
          <cell r="D17" t="str">
            <v>Burgerweeshuispad 200, PO Box 71770</v>
          </cell>
          <cell r="E17" t="str">
            <v>1008 DG</v>
          </cell>
          <cell r="F17" t="str">
            <v>Amsterdam</v>
          </cell>
          <cell r="G17" t="str">
            <v>Netherlands</v>
          </cell>
          <cell r="I17" t="str">
            <v>+31205275250</v>
          </cell>
          <cell r="J17" t="str">
            <v>http://www.bnpparibas-ip.com</v>
          </cell>
          <cell r="K17" t="str">
            <v>Nick Brugman</v>
          </cell>
          <cell r="L17" t="str">
            <v>nick.brugman@bnpparibas.com</v>
          </cell>
          <cell r="M17" t="str">
            <v>+31205275195</v>
          </cell>
          <cell r="Q17" t="str">
            <v>Luxembourg</v>
          </cell>
          <cell r="R17" t="str">
            <v>EUR</v>
          </cell>
          <cell r="T17" t="str">
            <v>Quarterly</v>
          </cell>
          <cell r="U17" t="str">
            <v>Quarterly</v>
          </cell>
          <cell r="Y17" t="str">
            <v>FCP</v>
          </cell>
          <cell r="AD17" t="str">
            <v>Value-added</v>
          </cell>
          <cell r="AF17" t="str">
            <v>Closed end</v>
          </cell>
          <cell r="AG17">
            <v>10</v>
          </cell>
          <cell r="AH17">
            <v>12</v>
          </cell>
          <cell r="AK17" t="str">
            <v>4-5%</v>
          </cell>
          <cell r="AN17" t="str">
            <v>Institutional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72</v>
          </cell>
          <cell r="AU17">
            <v>65</v>
          </cell>
          <cell r="AV17" t="str">
            <v>6-8</v>
          </cell>
          <cell r="AW17">
            <v>20</v>
          </cell>
          <cell r="AX17" t="str">
            <v>6-8</v>
          </cell>
          <cell r="AY17">
            <v>20</v>
          </cell>
          <cell r="AZ17" t="str">
            <v>10 years</v>
          </cell>
          <cell r="BB17" t="str">
            <v>Europe</v>
          </cell>
          <cell r="BH17">
            <v>250000000</v>
          </cell>
          <cell r="BJ17">
            <v>2006</v>
          </cell>
          <cell r="BK17">
            <v>2016</v>
          </cell>
          <cell r="BS17" t="str">
            <v>2019-03-31</v>
          </cell>
          <cell r="BT17">
            <v>5132045.93</v>
          </cell>
          <cell r="BU17">
            <v>5132045.93</v>
          </cell>
          <cell r="BV17">
            <v>5132045.93</v>
          </cell>
          <cell r="BW17">
            <v>5132045.93</v>
          </cell>
          <cell r="BY17" t="str">
            <v>No</v>
          </cell>
          <cell r="CA17">
            <v>12</v>
          </cell>
          <cell r="CC17">
            <v>77833000</v>
          </cell>
          <cell r="CD17">
            <v>77833000</v>
          </cell>
          <cell r="CE17">
            <v>75274000</v>
          </cell>
          <cell r="CF17">
            <v>75274000</v>
          </cell>
          <cell r="CG17" t="str">
            <v>No</v>
          </cell>
        </row>
        <row r="18">
          <cell r="A18">
            <v>17416</v>
          </cell>
          <cell r="B18" t="str">
            <v>EUROPEAN PROPERTY FUND</v>
          </cell>
          <cell r="C18" t="str">
            <v>LOTHBURY INVESTMENT MANAGEMENT</v>
          </cell>
          <cell r="D18" t="str">
            <v>155 Bishopsgate</v>
          </cell>
          <cell r="E18" t="str">
            <v>EC2M 3TQ</v>
          </cell>
          <cell r="F18" t="str">
            <v>London</v>
          </cell>
          <cell r="G18" t="str">
            <v>United Kingdom</v>
          </cell>
          <cell r="H18" t="str">
            <v>+44 203 551 4900</v>
          </cell>
          <cell r="J18" t="str">
            <v>http://www.lothburyim.com</v>
          </cell>
          <cell r="K18" t="str">
            <v>Sonia Bhuva</v>
          </cell>
          <cell r="L18" t="str">
            <v>sonia.bhuva@lothburyim.com</v>
          </cell>
          <cell r="M18" t="str">
            <v>+442035514911</v>
          </cell>
          <cell r="R18" t="str">
            <v>EUR</v>
          </cell>
          <cell r="T18" t="str">
            <v>Quarterly</v>
          </cell>
          <cell r="U18" t="str">
            <v>Quarterly</v>
          </cell>
          <cell r="AD18" t="str">
            <v>Core</v>
          </cell>
          <cell r="AF18" t="str">
            <v>Open end</v>
          </cell>
          <cell r="AG18">
            <v>9</v>
          </cell>
          <cell r="AN18" t="str">
            <v>Institutional</v>
          </cell>
          <cell r="BB18" t="str">
            <v>Europe</v>
          </cell>
          <cell r="BH18">
            <v>500000000</v>
          </cell>
          <cell r="BJ18">
            <v>2006</v>
          </cell>
          <cell r="BS18" t="str">
            <v>2014-12-31</v>
          </cell>
          <cell r="BU18">
            <v>0</v>
          </cell>
          <cell r="BV18">
            <v>57948855</v>
          </cell>
          <cell r="BW18">
            <v>57948855</v>
          </cell>
          <cell r="CD18">
            <v>0</v>
          </cell>
        </row>
        <row r="19">
          <cell r="A19">
            <v>17406</v>
          </cell>
          <cell r="B19" t="str">
            <v>FEI CAIXAGEST IMOBILIáRIO INTERNACIONAL</v>
          </cell>
          <cell r="C19" t="str">
            <v>CAIXAGEST</v>
          </cell>
          <cell r="D19" t="str">
            <v>Av. João XXI, 63 - 2º Piso</v>
          </cell>
          <cell r="E19" t="str">
            <v>1000-300</v>
          </cell>
          <cell r="F19" t="str">
            <v>Lisbon</v>
          </cell>
          <cell r="G19" t="str">
            <v>Portugal</v>
          </cell>
          <cell r="I19" t="str">
            <v>+351 217 905 765</v>
          </cell>
          <cell r="J19" t="str">
            <v>http://www.caixagest.pt</v>
          </cell>
          <cell r="K19" t="str">
            <v>Sofia Tomaz</v>
          </cell>
          <cell r="L19" t="str">
            <v>sofia.tomaz@cgd.pt</v>
          </cell>
          <cell r="M19" t="str">
            <v>+351 218456039</v>
          </cell>
          <cell r="R19" t="str">
            <v>EUR</v>
          </cell>
          <cell r="T19" t="str">
            <v>Quarterly</v>
          </cell>
          <cell r="U19" t="str">
            <v>Quarterly</v>
          </cell>
          <cell r="AD19" t="str">
            <v>Value-added</v>
          </cell>
          <cell r="AF19" t="str">
            <v>Open end</v>
          </cell>
          <cell r="AG19">
            <v>4</v>
          </cell>
          <cell r="AK19" t="str">
            <v>2-3%</v>
          </cell>
          <cell r="AN19" t="str">
            <v>Institutional and Retail</v>
          </cell>
          <cell r="AT19">
            <v>33</v>
          </cell>
          <cell r="AU19">
            <v>50</v>
          </cell>
          <cell r="AV19">
            <v>40</v>
          </cell>
          <cell r="AW19">
            <v>35</v>
          </cell>
          <cell r="AX19">
            <v>20</v>
          </cell>
          <cell r="AY19">
            <v>45</v>
          </cell>
          <cell r="BB19" t="str">
            <v>Global</v>
          </cell>
          <cell r="BH19">
            <v>400000000</v>
          </cell>
          <cell r="BJ19">
            <v>2005</v>
          </cell>
          <cell r="BS19" t="str">
            <v>2012-09-30</v>
          </cell>
          <cell r="BU19">
            <v>0</v>
          </cell>
          <cell r="BW19">
            <v>0</v>
          </cell>
          <cell r="CD19">
            <v>0</v>
          </cell>
        </row>
        <row r="20">
          <cell r="A20">
            <v>17454</v>
          </cell>
          <cell r="B20" t="str">
            <v>GLOBAL ALPHA FUND</v>
          </cell>
          <cell r="C20" t="str">
            <v>CBRE GLOBAL COLLECTIVE INVESTORS UK LTD</v>
          </cell>
          <cell r="D20" t="str">
            <v>Third Floor, One New Change</v>
          </cell>
          <cell r="E20" t="str">
            <v>EC4M 9AF</v>
          </cell>
          <cell r="F20" t="str">
            <v>London</v>
          </cell>
          <cell r="G20" t="str">
            <v>United Kingdom</v>
          </cell>
          <cell r="H20" t="str">
            <v>+442078099000</v>
          </cell>
          <cell r="I20" t="str">
            <v>+442078099002</v>
          </cell>
          <cell r="J20" t="str">
            <v>http://www.cbreglobalinvestors.com</v>
          </cell>
          <cell r="K20" t="str">
            <v>Elisabeth Troni</v>
          </cell>
          <cell r="L20" t="str">
            <v>elisabeth.troni@cbreglobalinvestors.com</v>
          </cell>
          <cell r="N20" t="str">
            <v>Alice Wilcox</v>
          </cell>
          <cell r="O20" t="str">
            <v>Alice.Wilcox@cbreglobalinvestors.com</v>
          </cell>
          <cell r="Q20" t="str">
            <v>Luxembourg</v>
          </cell>
          <cell r="R20" t="str">
            <v>USD</v>
          </cell>
          <cell r="S20" t="str">
            <v>IFRS</v>
          </cell>
          <cell r="T20" t="str">
            <v>Quarterly</v>
          </cell>
          <cell r="U20" t="str">
            <v>Quarterly</v>
          </cell>
          <cell r="W20" t="str">
            <v>INREV NAV</v>
          </cell>
          <cell r="Y20" t="str">
            <v>Real Estate Fund</v>
          </cell>
          <cell r="Z20" t="str">
            <v>Yes</v>
          </cell>
          <cell r="AD20" t="str">
            <v>Core</v>
          </cell>
          <cell r="AF20" t="str">
            <v>Open end</v>
          </cell>
          <cell r="AG20">
            <v>9</v>
          </cell>
          <cell r="AH20">
            <v>11</v>
          </cell>
          <cell r="AI20" t="str">
            <v>Net</v>
          </cell>
          <cell r="AK20" t="str">
            <v>5%</v>
          </cell>
          <cell r="AN20" t="str">
            <v>Institutional</v>
          </cell>
          <cell r="AO20" t="str">
            <v>&gt; 2</v>
          </cell>
          <cell r="AP20">
            <v>33.5</v>
          </cell>
          <cell r="AQ20">
            <v>50</v>
          </cell>
          <cell r="AR20">
            <v>32</v>
          </cell>
          <cell r="AS20">
            <v>136928763</v>
          </cell>
          <cell r="AT20">
            <v>40</v>
          </cell>
          <cell r="AU20">
            <v>40</v>
          </cell>
          <cell r="AV20">
            <v>50</v>
          </cell>
          <cell r="AW20">
            <v>15</v>
          </cell>
          <cell r="AX20">
            <v>100</v>
          </cell>
          <cell r="AY20">
            <v>20</v>
          </cell>
          <cell r="AZ20">
            <v>10</v>
          </cell>
          <cell r="BA20" t="str">
            <v>≥ 50%</v>
          </cell>
          <cell r="BB20" t="str">
            <v>Global</v>
          </cell>
          <cell r="BJ20">
            <v>2010</v>
          </cell>
          <cell r="BO20" t="str">
            <v>No</v>
          </cell>
          <cell r="BS20" t="str">
            <v>2020-09-30</v>
          </cell>
          <cell r="BT20">
            <v>10178864438.450001</v>
          </cell>
          <cell r="BU20">
            <v>8696021578.0163746</v>
          </cell>
          <cell r="BV20">
            <v>6768944851.5699997</v>
          </cell>
          <cell r="BW20">
            <v>5782854349.3815298</v>
          </cell>
          <cell r="CA20">
            <v>142</v>
          </cell>
          <cell r="CC20">
            <v>7113651627.0600004</v>
          </cell>
          <cell r="CD20">
            <v>6335528559.2942867</v>
          </cell>
          <cell r="CE20">
            <v>6360907322</v>
          </cell>
          <cell r="CF20">
            <v>5665122796.8849239</v>
          </cell>
          <cell r="CG20" t="str">
            <v>Yes</v>
          </cell>
        </row>
        <row r="21">
          <cell r="A21">
            <v>17438</v>
          </cell>
          <cell r="B21" t="str">
            <v>HENDERSON ASIAN INDIRECT PROPERTY FUND ("PAGODA")</v>
          </cell>
          <cell r="C21" t="str">
            <v>HENDERSON GLOBAL INVESTORS</v>
          </cell>
          <cell r="D21" t="str">
            <v>6 Battery Road, #12-01</v>
          </cell>
          <cell r="E21">
            <v>49909</v>
          </cell>
          <cell r="F21" t="str">
            <v>Singapore</v>
          </cell>
          <cell r="G21" t="str">
            <v>Singapore</v>
          </cell>
          <cell r="J21" t="str">
            <v>http://www.henderson.com</v>
          </cell>
          <cell r="K21" t="str">
            <v>Peter Lee</v>
          </cell>
          <cell r="L21" t="str">
            <v>peter.lee@henderson.com</v>
          </cell>
          <cell r="M21" t="str">
            <v>+65 6887 6972</v>
          </cell>
          <cell r="R21" t="str">
            <v>USD</v>
          </cell>
          <cell r="T21" t="str">
            <v>Quarterly</v>
          </cell>
          <cell r="U21" t="str">
            <v>Quarterly</v>
          </cell>
          <cell r="AD21" t="str">
            <v>Value-added</v>
          </cell>
          <cell r="AF21" t="str">
            <v>Open end</v>
          </cell>
          <cell r="AG21">
            <v>15</v>
          </cell>
          <cell r="AK21" t="str">
            <v>4%</v>
          </cell>
          <cell r="AN21" t="str">
            <v>Institutional and Retail</v>
          </cell>
          <cell r="AT21">
            <v>40</v>
          </cell>
          <cell r="AU21">
            <v>40</v>
          </cell>
          <cell r="AV21" t="str">
            <v>8-10</v>
          </cell>
          <cell r="AX21" t="str">
            <v>8-10</v>
          </cell>
          <cell r="AY21">
            <v>30</v>
          </cell>
          <cell r="BB21" t="str">
            <v>Asia Pacific</v>
          </cell>
          <cell r="BH21">
            <v>300000000</v>
          </cell>
          <cell r="BJ21">
            <v>2007</v>
          </cell>
          <cell r="BS21" t="str">
            <v>2014-12-31</v>
          </cell>
          <cell r="BU21">
            <v>0</v>
          </cell>
          <cell r="BV21">
            <v>44669795</v>
          </cell>
          <cell r="BW21">
            <v>36749840.346500002</v>
          </cell>
          <cell r="CD21">
            <v>0</v>
          </cell>
        </row>
        <row r="22">
          <cell r="A22">
            <v>17413</v>
          </cell>
          <cell r="B22" t="str">
            <v>HENDERSON INDIRECT PROPERTY FUND (EUROPE)</v>
          </cell>
          <cell r="C22" t="str">
            <v>HENDERSON GLOBAL INVESTORS</v>
          </cell>
          <cell r="D22" t="str">
            <v>201 Bishopsgate</v>
          </cell>
          <cell r="E22" t="str">
            <v>EC2M 3AE</v>
          </cell>
          <cell r="F22" t="str">
            <v>London</v>
          </cell>
          <cell r="G22" t="str">
            <v>United Kingdom</v>
          </cell>
          <cell r="H22" t="str">
            <v>+44 (0)20 7818 1818</v>
          </cell>
          <cell r="J22" t="str">
            <v>http://www.henderson.com</v>
          </cell>
          <cell r="K22" t="str">
            <v>Patrick Sumner</v>
          </cell>
          <cell r="L22" t="str">
            <v>patrick.sumner@henderson.com</v>
          </cell>
          <cell r="M22" t="str">
            <v>+44 (0)20 7818 4291</v>
          </cell>
          <cell r="R22" t="str">
            <v>EUR</v>
          </cell>
          <cell r="T22" t="str">
            <v>Quarterly</v>
          </cell>
          <cell r="U22" t="str">
            <v>Quarterly</v>
          </cell>
          <cell r="AD22" t="str">
            <v>Value-added</v>
          </cell>
          <cell r="AF22" t="str">
            <v>Open end</v>
          </cell>
          <cell r="AG22">
            <v>8</v>
          </cell>
          <cell r="AK22" t="str">
            <v>5%</v>
          </cell>
          <cell r="AN22" t="str">
            <v>Institutional</v>
          </cell>
          <cell r="AT22">
            <v>60</v>
          </cell>
          <cell r="AU22">
            <v>60</v>
          </cell>
          <cell r="AV22" t="str">
            <v>15-20</v>
          </cell>
          <cell r="AW22">
            <v>20</v>
          </cell>
          <cell r="AX22" t="str">
            <v>15-20</v>
          </cell>
          <cell r="AY22">
            <v>30</v>
          </cell>
          <cell r="BB22" t="str">
            <v>Europe</v>
          </cell>
          <cell r="BH22">
            <v>500000000</v>
          </cell>
          <cell r="BJ22">
            <v>2005</v>
          </cell>
          <cell r="BS22" t="str">
            <v>2014-12-31</v>
          </cell>
          <cell r="BU22">
            <v>0</v>
          </cell>
          <cell r="BV22">
            <v>217338272</v>
          </cell>
          <cell r="BW22">
            <v>217338272</v>
          </cell>
          <cell r="CD22">
            <v>0</v>
          </cell>
        </row>
        <row r="23">
          <cell r="A23">
            <v>17457</v>
          </cell>
          <cell r="B23" t="str">
            <v>HI-IMMOBILIEN-MULTI MANAGER-FONDS</v>
          </cell>
          <cell r="C23" t="str">
            <v>HELABA INVEST KAPITALANLAGEGESELLSCHAFT MBH</v>
          </cell>
          <cell r="D23" t="str">
            <v>Junghofstr. 24</v>
          </cell>
          <cell r="E23">
            <v>60311</v>
          </cell>
          <cell r="F23" t="str">
            <v>Franfurt</v>
          </cell>
          <cell r="G23" t="str">
            <v>Germany</v>
          </cell>
          <cell r="H23" t="str">
            <v>+496929970-0</v>
          </cell>
          <cell r="J23" t="str">
            <v>http://www.helaba-invest.de</v>
          </cell>
          <cell r="K23" t="str">
            <v>Jens-Dirk Meyer</v>
          </cell>
          <cell r="L23" t="str">
            <v>jens-dirk.meyer@helaba-invest.de</v>
          </cell>
          <cell r="M23" t="str">
            <v>+496929970272</v>
          </cell>
          <cell r="R23" t="str">
            <v>EUR</v>
          </cell>
          <cell r="T23" t="str">
            <v>Quarterly</v>
          </cell>
          <cell r="U23" t="str">
            <v>Quarterly</v>
          </cell>
          <cell r="AD23" t="str">
            <v>Core</v>
          </cell>
          <cell r="AF23" t="str">
            <v>Open end</v>
          </cell>
          <cell r="AG23">
            <v>5</v>
          </cell>
          <cell r="AK23" t="str">
            <v>4%</v>
          </cell>
          <cell r="AN23" t="str">
            <v>Institutional</v>
          </cell>
          <cell r="AT23">
            <v>40</v>
          </cell>
          <cell r="AU23">
            <v>40</v>
          </cell>
          <cell r="AW23">
            <v>20</v>
          </cell>
          <cell r="BB23" t="str">
            <v>Global</v>
          </cell>
          <cell r="BH23">
            <v>200000000</v>
          </cell>
          <cell r="BJ23">
            <v>2013</v>
          </cell>
          <cell r="BS23" t="str">
            <v>2018-12-31</v>
          </cell>
          <cell r="BT23">
            <v>269613306.18000001</v>
          </cell>
          <cell r="BU23">
            <v>269613306.18000001</v>
          </cell>
          <cell r="BV23">
            <v>269613306.18000001</v>
          </cell>
          <cell r="BW23">
            <v>269613306.18000001</v>
          </cell>
          <cell r="CD23">
            <v>0</v>
          </cell>
        </row>
        <row r="24">
          <cell r="A24">
            <v>18524</v>
          </cell>
          <cell r="B24" t="str">
            <v>HI-IMMOBILIEN-MULTI MANAGER-FONDS II</v>
          </cell>
          <cell r="C24" t="str">
            <v>HELABA INVEST KAPITALANLAGEGESELLSCHAFT MBH</v>
          </cell>
          <cell r="D24" t="str">
            <v>Junghofstr. 24</v>
          </cell>
          <cell r="E24">
            <v>60311</v>
          </cell>
          <cell r="F24" t="str">
            <v>Franfurt</v>
          </cell>
          <cell r="G24" t="str">
            <v>Germany</v>
          </cell>
          <cell r="H24" t="str">
            <v>+496929970-0</v>
          </cell>
          <cell r="J24" t="str">
            <v>http://www.helaba-invest.de</v>
          </cell>
          <cell r="K24" t="str">
            <v>Jens-Dirk Meyer</v>
          </cell>
          <cell r="L24" t="str">
            <v>jens-dirk.meyer@helaba-invest.de</v>
          </cell>
          <cell r="M24" t="str">
            <v>+496929970272</v>
          </cell>
          <cell r="Q24" t="str">
            <v>Germany</v>
          </cell>
          <cell r="R24" t="str">
            <v>EUR</v>
          </cell>
          <cell r="T24" t="str">
            <v>Quarterly</v>
          </cell>
          <cell r="U24" t="str">
            <v>Quarterly</v>
          </cell>
          <cell r="Y24" t="str">
            <v>Spezialfonds</v>
          </cell>
          <cell r="AD24" t="str">
            <v>Core</v>
          </cell>
          <cell r="AF24" t="str">
            <v>Open end</v>
          </cell>
          <cell r="AG24">
            <v>4</v>
          </cell>
          <cell r="AH24">
            <v>4</v>
          </cell>
          <cell r="AN24" t="str">
            <v>Institutional</v>
          </cell>
          <cell r="AT24">
            <v>40</v>
          </cell>
          <cell r="AW24">
            <v>20</v>
          </cell>
          <cell r="BB24" t="str">
            <v>Global</v>
          </cell>
          <cell r="BH24">
            <v>300000000</v>
          </cell>
          <cell r="BJ24">
            <v>2016</v>
          </cell>
          <cell r="BS24" t="str">
            <v>2018-12-31</v>
          </cell>
          <cell r="BT24">
            <v>247989757.21000001</v>
          </cell>
          <cell r="BU24">
            <v>247989757.21000001</v>
          </cell>
          <cell r="BV24">
            <v>247989757.21000001</v>
          </cell>
          <cell r="BW24">
            <v>247989757.21000001</v>
          </cell>
          <cell r="CD24">
            <v>0</v>
          </cell>
        </row>
        <row r="25">
          <cell r="A25">
            <v>17440</v>
          </cell>
          <cell r="B25" t="str">
            <v>LASALLE INVESTORS GLOBAL REAL ESTATE FUND OF FUNDS</v>
          </cell>
          <cell r="C25" t="str">
            <v>LASALLE GLOBAL PARTNER SOLUTIONS</v>
          </cell>
          <cell r="D25" t="str">
            <v>One Curzon Street</v>
          </cell>
          <cell r="E25" t="str">
            <v>W1J 5HD</v>
          </cell>
          <cell r="F25" t="str">
            <v>London</v>
          </cell>
          <cell r="G25" t="str">
            <v>United Kingdom</v>
          </cell>
          <cell r="H25" t="str">
            <v>+44 2078096000</v>
          </cell>
          <cell r="J25" t="str">
            <v>http://www.lasalle.com</v>
          </cell>
          <cell r="K25" t="str">
            <v>Catriona Allen</v>
          </cell>
          <cell r="L25" t="str">
            <v>catriona.allen@lasalle.com</v>
          </cell>
          <cell r="M25" t="str">
            <v>+44 2078524484</v>
          </cell>
          <cell r="Q25" t="str">
            <v>Jersey</v>
          </cell>
          <cell r="R25" t="str">
            <v>GBP</v>
          </cell>
          <cell r="S25" t="str">
            <v>IFRS</v>
          </cell>
          <cell r="T25" t="str">
            <v>Quarterly</v>
          </cell>
          <cell r="U25" t="str">
            <v>Quarterly</v>
          </cell>
          <cell r="W25" t="str">
            <v>IFRS NAV</v>
          </cell>
          <cell r="Y25" t="str">
            <v>Unit trust</v>
          </cell>
          <cell r="Z25" t="str">
            <v>No</v>
          </cell>
          <cell r="AA25" t="str">
            <v>Yes</v>
          </cell>
          <cell r="AB25">
            <v>2</v>
          </cell>
          <cell r="AD25" t="str">
            <v>Value-added</v>
          </cell>
          <cell r="AF25" t="str">
            <v>Open end</v>
          </cell>
          <cell r="AG25">
            <v>10</v>
          </cell>
          <cell r="AK25" t="str">
            <v>3-5%</v>
          </cell>
          <cell r="AN25" t="str">
            <v>Institutional</v>
          </cell>
          <cell r="AO25" t="str">
            <v>≤ 2</v>
          </cell>
          <cell r="AP25">
            <v>22.4</v>
          </cell>
          <cell r="AQ25">
            <v>18</v>
          </cell>
          <cell r="AR25">
            <v>18</v>
          </cell>
          <cell r="AS25">
            <v>7946105.8300000001</v>
          </cell>
          <cell r="AT25">
            <v>35</v>
          </cell>
          <cell r="AU25">
            <v>35</v>
          </cell>
          <cell r="AV25">
            <v>15</v>
          </cell>
          <cell r="AW25">
            <v>15</v>
          </cell>
          <cell r="AX25">
            <v>30</v>
          </cell>
          <cell r="AY25">
            <v>20</v>
          </cell>
          <cell r="AZ25" t="str">
            <v>indefinite</v>
          </cell>
          <cell r="BA25" t="str">
            <v>≥ 50%</v>
          </cell>
          <cell r="BB25" t="str">
            <v>Global</v>
          </cell>
          <cell r="BH25">
            <v>500000000</v>
          </cell>
          <cell r="BJ25">
            <v>2011</v>
          </cell>
          <cell r="BS25" t="str">
            <v>2020-03-31</v>
          </cell>
          <cell r="BT25">
            <v>170474241.30000001</v>
          </cell>
          <cell r="BU25">
            <v>191109641.83267859</v>
          </cell>
          <cell r="BV25">
            <v>170474241.30000001</v>
          </cell>
          <cell r="BW25">
            <v>191109641.83267859</v>
          </cell>
          <cell r="BY25" t="str">
            <v>No</v>
          </cell>
          <cell r="CA25">
            <v>2</v>
          </cell>
          <cell r="CC25">
            <v>113854911</v>
          </cell>
          <cell r="CD25">
            <v>133874129.22214609</v>
          </cell>
          <cell r="CE25">
            <v>113854911</v>
          </cell>
          <cell r="CF25">
            <v>133874129.22214609</v>
          </cell>
          <cell r="CG25" t="str">
            <v>No</v>
          </cell>
        </row>
        <row r="26">
          <cell r="A26">
            <v>17444</v>
          </cell>
          <cell r="B26" t="str">
            <v>LASALLE INVESTORS UK REAL ESTATE FUND OF FUNDS</v>
          </cell>
          <cell r="C26" t="str">
            <v>LASALLE GLOBAL PARTNER SOLUTIONS</v>
          </cell>
          <cell r="D26" t="str">
            <v>One Curzon Street</v>
          </cell>
          <cell r="E26" t="str">
            <v>W1J 5HD</v>
          </cell>
          <cell r="F26" t="str">
            <v>London</v>
          </cell>
          <cell r="G26" t="str">
            <v>United Kingdom</v>
          </cell>
          <cell r="J26" t="str">
            <v>http://www.lasalle.com</v>
          </cell>
          <cell r="K26" t="str">
            <v>Catriona Allen</v>
          </cell>
          <cell r="L26" t="str">
            <v>catriona.allen@lasalle.com</v>
          </cell>
          <cell r="M26" t="str">
            <v>+44 2078524484</v>
          </cell>
          <cell r="Q26" t="str">
            <v>Jersey</v>
          </cell>
          <cell r="R26" t="str">
            <v>GBP</v>
          </cell>
          <cell r="S26" t="str">
            <v>IFRS</v>
          </cell>
          <cell r="T26" t="str">
            <v>Quarterly</v>
          </cell>
          <cell r="U26" t="str">
            <v>Quarterly</v>
          </cell>
          <cell r="W26" t="str">
            <v>IFRS NAV</v>
          </cell>
          <cell r="Y26" t="str">
            <v>Unit trust</v>
          </cell>
          <cell r="Z26" t="str">
            <v>No</v>
          </cell>
          <cell r="AA26" t="str">
            <v>Yes</v>
          </cell>
          <cell r="AB26">
            <v>2</v>
          </cell>
          <cell r="AD26" t="str">
            <v>Core</v>
          </cell>
          <cell r="AF26" t="str">
            <v>Open end</v>
          </cell>
          <cell r="AJ26" t="str">
            <v>Median of MSCI All Property Funds Index</v>
          </cell>
          <cell r="AK26" t="str">
            <v>3-4%</v>
          </cell>
          <cell r="AN26" t="str">
            <v>Institutional</v>
          </cell>
          <cell r="AO26" t="str">
            <v>&gt; 2</v>
          </cell>
          <cell r="AP26">
            <v>7.2</v>
          </cell>
          <cell r="AQ26">
            <v>18</v>
          </cell>
          <cell r="AR26">
            <v>14</v>
          </cell>
          <cell r="AS26">
            <v>8760259.4299999997</v>
          </cell>
          <cell r="AT26">
            <v>25</v>
          </cell>
          <cell r="AU26">
            <v>25</v>
          </cell>
          <cell r="AV26">
            <v>25</v>
          </cell>
          <cell r="AW26">
            <v>25</v>
          </cell>
          <cell r="AX26">
            <v>25</v>
          </cell>
          <cell r="AY26">
            <v>25</v>
          </cell>
          <cell r="AZ26" t="str">
            <v>indefinite</v>
          </cell>
          <cell r="BA26" t="str">
            <v>≥ 50%</v>
          </cell>
          <cell r="BB26" t="str">
            <v>Europe</v>
          </cell>
          <cell r="BH26">
            <v>500000000</v>
          </cell>
          <cell r="BJ26">
            <v>2005</v>
          </cell>
          <cell r="BO26" t="str">
            <v>Yes</v>
          </cell>
          <cell r="BS26" t="str">
            <v>2019-12-31</v>
          </cell>
          <cell r="BT26">
            <v>163987305.00999999</v>
          </cell>
          <cell r="BU26">
            <v>192092802.50025979</v>
          </cell>
          <cell r="BV26">
            <v>163987305.00999999</v>
          </cell>
          <cell r="BW26">
            <v>192092802.50025979</v>
          </cell>
          <cell r="BY26" t="str">
            <v>No</v>
          </cell>
          <cell r="CA26">
            <v>8</v>
          </cell>
          <cell r="CC26">
            <v>171292110</v>
          </cell>
          <cell r="CD26">
            <v>192992728.46636501</v>
          </cell>
          <cell r="CE26">
            <v>171292110</v>
          </cell>
          <cell r="CF26">
            <v>192992728.46636501</v>
          </cell>
          <cell r="CG26" t="str">
            <v>Yes</v>
          </cell>
        </row>
        <row r="27">
          <cell r="A27">
            <v>17432</v>
          </cell>
          <cell r="B27" t="str">
            <v>MN PRIVATE PROPERTY FUND EUROPE</v>
          </cell>
          <cell r="C27" t="str">
            <v>MN SERVICES</v>
          </cell>
          <cell r="D27" t="str">
            <v>Princess Beatrixlaan 15, PO BOX 30025</v>
          </cell>
          <cell r="E27" t="str">
            <v>2500 GA</v>
          </cell>
          <cell r="F27" t="str">
            <v>The Hague</v>
          </cell>
          <cell r="G27" t="str">
            <v>Netherlands</v>
          </cell>
          <cell r="I27" t="str">
            <v>+31 703160575</v>
          </cell>
          <cell r="J27" t="str">
            <v>http://www.mn.nl</v>
          </cell>
          <cell r="K27" t="str">
            <v>Andrea van Buren</v>
          </cell>
          <cell r="L27" t="str">
            <v>aeb@mn.nl</v>
          </cell>
          <cell r="M27" t="str">
            <v>+31 703 160 93</v>
          </cell>
          <cell r="R27" t="str">
            <v>EUR</v>
          </cell>
          <cell r="T27" t="str">
            <v>Quarterly</v>
          </cell>
          <cell r="U27" t="str">
            <v>Quarterly</v>
          </cell>
          <cell r="AD27" t="str">
            <v>Core</v>
          </cell>
          <cell r="AF27" t="str">
            <v>Open end</v>
          </cell>
          <cell r="AG27">
            <v>9</v>
          </cell>
          <cell r="AN27" t="str">
            <v>Institutional</v>
          </cell>
          <cell r="AT27">
            <v>50</v>
          </cell>
          <cell r="AU27">
            <v>50</v>
          </cell>
          <cell r="AX27" t="str">
            <v>8-12</v>
          </cell>
          <cell r="AY27">
            <v>25</v>
          </cell>
          <cell r="BB27" t="str">
            <v>Europe</v>
          </cell>
          <cell r="BH27">
            <v>300000000</v>
          </cell>
          <cell r="BJ27">
            <v>2007</v>
          </cell>
          <cell r="BS27" t="str">
            <v>2014-12-31</v>
          </cell>
          <cell r="BT27">
            <v>270000000</v>
          </cell>
          <cell r="BU27">
            <v>270000000</v>
          </cell>
          <cell r="BV27">
            <v>139000000</v>
          </cell>
          <cell r="BW27">
            <v>139000000</v>
          </cell>
          <cell r="CD27">
            <v>0</v>
          </cell>
        </row>
        <row r="28">
          <cell r="A28">
            <v>17415</v>
          </cell>
          <cell r="B28" t="str">
            <v>OSIRIS PROPERTY FUND</v>
          </cell>
          <cell r="C28" t="str">
            <v>CBRE GLOBAL COLLECTIVE INVESTORS UK LTD</v>
          </cell>
          <cell r="D28" t="str">
            <v>Third Floor, One New Change</v>
          </cell>
          <cell r="E28" t="str">
            <v>EC4M 9AF</v>
          </cell>
          <cell r="F28" t="str">
            <v>London</v>
          </cell>
          <cell r="G28" t="str">
            <v>United Kingdom</v>
          </cell>
          <cell r="H28" t="str">
            <v>+442078099000</v>
          </cell>
          <cell r="I28" t="str">
            <v>+442078099002</v>
          </cell>
          <cell r="J28" t="str">
            <v>http://www.cbreglobalinvestors.com</v>
          </cell>
          <cell r="K28" t="str">
            <v>Max Johnson</v>
          </cell>
          <cell r="L28" t="str">
            <v>max.johnson@cbreglobalinvestors.com</v>
          </cell>
          <cell r="M28" t="str">
            <v>+442078099350</v>
          </cell>
          <cell r="Q28" t="str">
            <v>United Kingdom</v>
          </cell>
          <cell r="R28" t="str">
            <v>GBP</v>
          </cell>
          <cell r="T28" t="str">
            <v>Quarterly</v>
          </cell>
          <cell r="U28" t="str">
            <v>Quarterly</v>
          </cell>
          <cell r="AD28" t="str">
            <v>Core</v>
          </cell>
          <cell r="AF28" t="str">
            <v>Open end</v>
          </cell>
          <cell r="AG28">
            <v>0</v>
          </cell>
          <cell r="AJ28" t="str">
            <v>IPD All balanced funds</v>
          </cell>
          <cell r="AK28" t="str">
            <v>4-5%</v>
          </cell>
          <cell r="AN28" t="str">
            <v>Institutional</v>
          </cell>
          <cell r="AP28">
            <v>13.1</v>
          </cell>
          <cell r="AQ28">
            <v>21</v>
          </cell>
          <cell r="AR28">
            <v>17</v>
          </cell>
          <cell r="AS28">
            <v>22460803</v>
          </cell>
          <cell r="AT28">
            <v>15</v>
          </cell>
          <cell r="AU28">
            <v>30</v>
          </cell>
          <cell r="AV28">
            <v>27</v>
          </cell>
          <cell r="AW28">
            <v>20</v>
          </cell>
          <cell r="AX28">
            <v>19</v>
          </cell>
          <cell r="AY28">
            <v>20</v>
          </cell>
          <cell r="AZ28" t="str">
            <v>80 years</v>
          </cell>
          <cell r="BB28" t="str">
            <v>Europe</v>
          </cell>
          <cell r="BH28">
            <v>1000000000</v>
          </cell>
          <cell r="BJ28">
            <v>2003</v>
          </cell>
          <cell r="BK28">
            <v>2083</v>
          </cell>
          <cell r="BS28" t="str">
            <v>2019-12-31</v>
          </cell>
          <cell r="BT28">
            <v>486013172.52999997</v>
          </cell>
          <cell r="BU28">
            <v>569310120.4244858</v>
          </cell>
          <cell r="BV28">
            <v>422345446.93000001</v>
          </cell>
          <cell r="BW28">
            <v>494730494.65055329</v>
          </cell>
          <cell r="BY28" t="str">
            <v>Yes</v>
          </cell>
          <cell r="CA28">
            <v>35</v>
          </cell>
          <cell r="CC28">
            <v>539059262</v>
          </cell>
          <cell r="CD28">
            <v>607351487.34197474</v>
          </cell>
          <cell r="CE28">
            <v>539059262</v>
          </cell>
          <cell r="CF28">
            <v>607351487.34197474</v>
          </cell>
          <cell r="CG28" t="str">
            <v>No</v>
          </cell>
        </row>
        <row r="29">
          <cell r="A29">
            <v>17660</v>
          </cell>
          <cell r="B29" t="str">
            <v>PARTNERS GROUP GLOBAL REAL ESTATE 2013</v>
          </cell>
          <cell r="C29" t="str">
            <v>PARTNERS GROUP</v>
          </cell>
          <cell r="D29" t="str">
            <v>110 Bishopsgate</v>
          </cell>
          <cell r="E29" t="str">
            <v>EC2N 4AY</v>
          </cell>
          <cell r="F29" t="str">
            <v>London</v>
          </cell>
          <cell r="G29" t="str">
            <v>United Kingdom</v>
          </cell>
          <cell r="H29" t="str">
            <v>+442072752500</v>
          </cell>
          <cell r="J29" t="str">
            <v>http://www.partnersgroup.com/en/</v>
          </cell>
          <cell r="Q29" t="str">
            <v>Luxembourg</v>
          </cell>
          <cell r="R29" t="str">
            <v>EUR</v>
          </cell>
          <cell r="S29" t="str">
            <v>IFRS</v>
          </cell>
          <cell r="T29" t="str">
            <v>Quarterly</v>
          </cell>
          <cell r="U29" t="str">
            <v>Quarterly</v>
          </cell>
          <cell r="X29" t="str">
            <v>PWC</v>
          </cell>
          <cell r="Y29" t="str">
            <v>SICAR</v>
          </cell>
          <cell r="AA29" t="str">
            <v>Yes</v>
          </cell>
          <cell r="AD29" t="str">
            <v>Value-added</v>
          </cell>
          <cell r="AF29" t="str">
            <v>Closed end</v>
          </cell>
          <cell r="AG29">
            <v>11</v>
          </cell>
          <cell r="AH29">
            <v>14</v>
          </cell>
          <cell r="AN29" t="str">
            <v>Institutional</v>
          </cell>
          <cell r="AZ29" t="str">
            <v>10 years</v>
          </cell>
          <cell r="BB29" t="str">
            <v>Global</v>
          </cell>
          <cell r="BH29">
            <v>750000000</v>
          </cell>
          <cell r="BJ29">
            <v>2013</v>
          </cell>
        </row>
        <row r="30">
          <cell r="A30">
            <v>17450</v>
          </cell>
          <cell r="B30" t="str">
            <v>PENN SQUARE GLOBAL REAL ESTATE FUND I</v>
          </cell>
          <cell r="C30" t="str">
            <v>PENN SQUARE REAL ESTATE GROUP</v>
          </cell>
          <cell r="D30" t="str">
            <v>442 Lincoln Ave.</v>
          </cell>
          <cell r="E30">
            <v>80488</v>
          </cell>
          <cell r="F30" t="str">
            <v>Steamboat Springs</v>
          </cell>
          <cell r="G30" t="str">
            <v>United States of America</v>
          </cell>
          <cell r="I30" t="str">
            <v>+ 1 610 665 4082</v>
          </cell>
          <cell r="J30" t="str">
            <v>http://www.pennsquare.com</v>
          </cell>
          <cell r="K30" t="str">
            <v>Jon Albro</v>
          </cell>
          <cell r="L30" t="str">
            <v>jalbro@pennsquare.com</v>
          </cell>
          <cell r="M30" t="str">
            <v>+1 610 943 2361</v>
          </cell>
          <cell r="N30" t="str">
            <v>Brandon Gallegos</v>
          </cell>
          <cell r="O30" t="str">
            <v>brandong@pennsquare.com</v>
          </cell>
          <cell r="P30">
            <v>8778017366</v>
          </cell>
          <cell r="R30" t="str">
            <v>USD</v>
          </cell>
          <cell r="S30" t="str">
            <v>US GAAP</v>
          </cell>
          <cell r="T30" t="str">
            <v>Quarterly</v>
          </cell>
          <cell r="U30" t="str">
            <v>Quarterly</v>
          </cell>
          <cell r="Y30" t="str">
            <v>Limited Partnership</v>
          </cell>
          <cell r="AD30" t="str">
            <v>Opportunity</v>
          </cell>
          <cell r="AF30" t="str">
            <v>Closed end</v>
          </cell>
          <cell r="AG30">
            <v>15</v>
          </cell>
          <cell r="AH30">
            <v>20</v>
          </cell>
          <cell r="AN30" t="str">
            <v>Institutional and Retail</v>
          </cell>
          <cell r="AT30">
            <v>75</v>
          </cell>
          <cell r="AU30">
            <v>75</v>
          </cell>
          <cell r="AV30">
            <v>18</v>
          </cell>
          <cell r="AW30">
            <v>20</v>
          </cell>
          <cell r="AX30" t="str">
            <v>15-20</v>
          </cell>
          <cell r="AY30">
            <v>20</v>
          </cell>
          <cell r="AZ30" t="str">
            <v>10 years</v>
          </cell>
          <cell r="BB30" t="str">
            <v>Global</v>
          </cell>
          <cell r="BH30">
            <v>100000000</v>
          </cell>
          <cell r="BJ30">
            <v>2007</v>
          </cell>
          <cell r="BK30">
            <v>2017</v>
          </cell>
          <cell r="BS30" t="str">
            <v>2012-09-30</v>
          </cell>
          <cell r="BU30">
            <v>0</v>
          </cell>
          <cell r="BW30">
            <v>0</v>
          </cell>
          <cell r="CD30">
            <v>0</v>
          </cell>
        </row>
        <row r="31">
          <cell r="A31">
            <v>17448</v>
          </cell>
          <cell r="B31" t="str">
            <v>PENN SQUARE GLOBAL REAL ESTATE FUND II</v>
          </cell>
          <cell r="C31" t="str">
            <v>THE TOWNSEND GROUP</v>
          </cell>
          <cell r="D31" t="str">
            <v>150 N, Radnor-Chester Road, Suite A110</v>
          </cell>
          <cell r="E31" t="str">
            <v>PA 19087</v>
          </cell>
          <cell r="F31" t="str">
            <v>Radnor</v>
          </cell>
          <cell r="G31" t="str">
            <v>United States of America</v>
          </cell>
          <cell r="I31" t="str">
            <v>+ 1 610 665 4082</v>
          </cell>
          <cell r="J31" t="str">
            <v>http://www.pennsquare.com</v>
          </cell>
          <cell r="K31" t="str">
            <v>Jon Albro</v>
          </cell>
          <cell r="L31" t="str">
            <v>jalbro@pennsquare.com</v>
          </cell>
          <cell r="M31" t="str">
            <v>+1 610 943 2361</v>
          </cell>
          <cell r="R31" t="str">
            <v>USD</v>
          </cell>
          <cell r="T31" t="str">
            <v>Quarterly</v>
          </cell>
          <cell r="U31" t="str">
            <v>Quarterly</v>
          </cell>
          <cell r="AD31" t="str">
            <v>Opportunity</v>
          </cell>
          <cell r="AF31" t="str">
            <v>Closed end</v>
          </cell>
          <cell r="AG31">
            <v>15</v>
          </cell>
          <cell r="AN31" t="str">
            <v>Institutional and Retail</v>
          </cell>
          <cell r="AQ31">
            <v>17</v>
          </cell>
          <cell r="AS31">
            <v>8535294</v>
          </cell>
          <cell r="AT31">
            <v>75</v>
          </cell>
          <cell r="AU31">
            <v>75</v>
          </cell>
          <cell r="AV31" t="str">
            <v>15-20</v>
          </cell>
          <cell r="AW31">
            <v>20</v>
          </cell>
          <cell r="AX31" t="str">
            <v>15-20</v>
          </cell>
          <cell r="AY31">
            <v>20</v>
          </cell>
          <cell r="AZ31" t="str">
            <v>10 years</v>
          </cell>
          <cell r="BB31" t="str">
            <v>Global</v>
          </cell>
          <cell r="BH31">
            <v>200000000</v>
          </cell>
          <cell r="BJ31">
            <v>2008</v>
          </cell>
          <cell r="BK31">
            <v>2018</v>
          </cell>
          <cell r="BS31" t="str">
            <v>2018-12-31</v>
          </cell>
          <cell r="BT31">
            <v>25909845</v>
          </cell>
          <cell r="BU31">
            <v>22652589.193380859</v>
          </cell>
          <cell r="BV31">
            <v>21700000</v>
          </cell>
          <cell r="BW31">
            <v>18971984.799460001</v>
          </cell>
          <cell r="BY31" t="str">
            <v>No</v>
          </cell>
          <cell r="CC31">
            <v>145100000</v>
          </cell>
          <cell r="CD31">
            <v>125066305.45688</v>
          </cell>
          <cell r="CE31">
            <v>88511000</v>
          </cell>
          <cell r="CF31">
            <v>76290446.328696802</v>
          </cell>
          <cell r="CG31" t="str">
            <v>No</v>
          </cell>
        </row>
        <row r="32">
          <cell r="A32">
            <v>17421</v>
          </cell>
          <cell r="B32" t="str">
            <v>PMM GLOBAL I K/S</v>
          </cell>
          <cell r="C32" t="str">
            <v>PATRIZIA MULTI MANAGERS A/S</v>
          </cell>
          <cell r="D32" t="str">
            <v>Strandvejen 102E, 4th</v>
          </cell>
          <cell r="E32">
            <v>2900</v>
          </cell>
          <cell r="F32" t="str">
            <v>Hellerup</v>
          </cell>
          <cell r="G32" t="str">
            <v>Denmark</v>
          </cell>
          <cell r="H32" t="str">
            <v>+45 3272 7200</v>
          </cell>
          <cell r="J32" t="str">
            <v>https://www.patrizia.ag/en/investors/investment-strategy/</v>
          </cell>
          <cell r="K32" t="str">
            <v>Kresten Dahl Juelner</v>
          </cell>
          <cell r="L32" t="str">
            <v>Kresten.Juelner@patrizia.ag</v>
          </cell>
          <cell r="M32" t="str">
            <v>+45 3272 7223</v>
          </cell>
          <cell r="Q32" t="str">
            <v>Denmark</v>
          </cell>
          <cell r="R32" t="str">
            <v>DKK</v>
          </cell>
          <cell r="S32" t="str">
            <v>IFRS</v>
          </cell>
          <cell r="T32" t="str">
            <v>Quarterly</v>
          </cell>
          <cell r="U32" t="str">
            <v>Quarterly</v>
          </cell>
          <cell r="W32" t="str">
            <v>IFRS NAV</v>
          </cell>
          <cell r="Y32" t="str">
            <v>Limited Partnership</v>
          </cell>
          <cell r="Z32" t="str">
            <v>No</v>
          </cell>
          <cell r="AD32" t="str">
            <v>Core</v>
          </cell>
          <cell r="AF32" t="str">
            <v>Closed end</v>
          </cell>
          <cell r="AG32">
            <v>8</v>
          </cell>
          <cell r="AH32">
            <v>10</v>
          </cell>
          <cell r="AI32" t="str">
            <v>Net</v>
          </cell>
          <cell r="AK32" t="str">
            <v>4-6%</v>
          </cell>
          <cell r="AN32" t="str">
            <v>Institutional</v>
          </cell>
          <cell r="AO32" t="str">
            <v>&gt; 2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50</v>
          </cell>
          <cell r="AU32">
            <v>50</v>
          </cell>
          <cell r="AV32">
            <v>15</v>
          </cell>
          <cell r="AW32">
            <v>15</v>
          </cell>
          <cell r="AX32">
            <v>100</v>
          </cell>
          <cell r="AY32">
            <v>25</v>
          </cell>
          <cell r="AZ32" t="str">
            <v>12 years</v>
          </cell>
          <cell r="BA32" t="str">
            <v>≥ 50%</v>
          </cell>
          <cell r="BB32" t="str">
            <v>Global</v>
          </cell>
          <cell r="BH32">
            <v>500000000</v>
          </cell>
          <cell r="BJ32">
            <v>2006</v>
          </cell>
          <cell r="BK32">
            <v>2018</v>
          </cell>
          <cell r="BS32" t="str">
            <v>2020-12-31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Y32" t="str">
            <v>No</v>
          </cell>
          <cell r="CA32">
            <v>0</v>
          </cell>
          <cell r="CC32">
            <v>0</v>
          </cell>
          <cell r="CD32">
            <v>0</v>
          </cell>
          <cell r="CE32">
            <v>0</v>
          </cell>
          <cell r="CG32" t="str">
            <v>No</v>
          </cell>
        </row>
        <row r="33">
          <cell r="A33">
            <v>17433</v>
          </cell>
          <cell r="B33" t="str">
            <v>PMM GLOBAL II K/S</v>
          </cell>
          <cell r="C33" t="str">
            <v>PATRIZIA MULTI MANAGERS A/S</v>
          </cell>
          <cell r="D33" t="str">
            <v>Strandvejen 102 E, 4th floor</v>
          </cell>
          <cell r="E33">
            <v>2900</v>
          </cell>
          <cell r="F33" t="str">
            <v>Hellerup</v>
          </cell>
          <cell r="G33" t="str">
            <v>Denmark</v>
          </cell>
          <cell r="H33" t="str">
            <v>+45 3272 7200</v>
          </cell>
          <cell r="J33" t="str">
            <v>https://www.patrizia.ag/en/investors/investment-strategy/</v>
          </cell>
          <cell r="K33" t="str">
            <v>Mads Rude</v>
          </cell>
          <cell r="L33" t="str">
            <v>Mads.Rude@patrizia.ag</v>
          </cell>
          <cell r="M33" t="str">
            <v>+45 3272 7222</v>
          </cell>
          <cell r="Q33" t="str">
            <v>Denmark</v>
          </cell>
          <cell r="R33" t="str">
            <v>EUR</v>
          </cell>
          <cell r="S33" t="str">
            <v>IFRS</v>
          </cell>
          <cell r="T33" t="str">
            <v>Quarterly</v>
          </cell>
          <cell r="U33" t="str">
            <v>Quarterly</v>
          </cell>
          <cell r="W33" t="str">
            <v>IFRS NAV</v>
          </cell>
          <cell r="Y33" t="str">
            <v>Limited Partnership</v>
          </cell>
          <cell r="Z33" t="str">
            <v>No</v>
          </cell>
          <cell r="AD33" t="str">
            <v>Value-added</v>
          </cell>
          <cell r="AF33" t="str">
            <v>Closed end</v>
          </cell>
          <cell r="AG33">
            <v>10</v>
          </cell>
          <cell r="AH33">
            <v>13</v>
          </cell>
          <cell r="AK33" t="str">
            <v>3-4%</v>
          </cell>
          <cell r="AN33" t="str">
            <v>Institutional</v>
          </cell>
          <cell r="AO33" t="str">
            <v>&gt; 2</v>
          </cell>
          <cell r="AP33">
            <v>41</v>
          </cell>
          <cell r="AQ33">
            <v>7</v>
          </cell>
          <cell r="AR33">
            <v>7</v>
          </cell>
          <cell r="AS33">
            <v>13360000</v>
          </cell>
          <cell r="AT33">
            <v>60</v>
          </cell>
          <cell r="AU33">
            <v>60</v>
          </cell>
          <cell r="AV33">
            <v>15</v>
          </cell>
          <cell r="AW33">
            <v>25</v>
          </cell>
          <cell r="AX33">
            <v>100</v>
          </cell>
          <cell r="AY33">
            <v>25</v>
          </cell>
          <cell r="AZ33" t="str">
            <v>10 years</v>
          </cell>
          <cell r="BA33" t="str">
            <v>≥ 50%</v>
          </cell>
          <cell r="BB33" t="str">
            <v>Global</v>
          </cell>
          <cell r="BH33">
            <v>200000000</v>
          </cell>
          <cell r="BJ33">
            <v>2009</v>
          </cell>
          <cell r="BK33">
            <v>2019</v>
          </cell>
          <cell r="BS33" t="str">
            <v>2020-12-31</v>
          </cell>
          <cell r="BT33">
            <v>28159800</v>
          </cell>
          <cell r="BU33">
            <v>28159800</v>
          </cell>
          <cell r="BV33">
            <v>28142900</v>
          </cell>
          <cell r="BW33">
            <v>28142900</v>
          </cell>
          <cell r="BY33" t="str">
            <v>No</v>
          </cell>
          <cell r="CA33">
            <v>10</v>
          </cell>
          <cell r="CC33">
            <v>200400000</v>
          </cell>
          <cell r="CD33">
            <v>200400000</v>
          </cell>
          <cell r="CE33">
            <v>177185000</v>
          </cell>
          <cell r="CF33">
            <v>177185000</v>
          </cell>
          <cell r="CG33" t="str">
            <v>No</v>
          </cell>
        </row>
        <row r="34">
          <cell r="A34">
            <v>17455</v>
          </cell>
          <cell r="B34" t="str">
            <v>PMM GLOBAL III K/S</v>
          </cell>
          <cell r="C34" t="str">
            <v>PATRIZIA MULTI MANAGERS A/S</v>
          </cell>
          <cell r="D34" t="str">
            <v>Strandvejen 102 E, 4th floor</v>
          </cell>
          <cell r="E34">
            <v>2900</v>
          </cell>
          <cell r="F34" t="str">
            <v>Hellerup</v>
          </cell>
          <cell r="G34" t="str">
            <v>Denmark</v>
          </cell>
          <cell r="H34" t="str">
            <v>+45 3272 7200</v>
          </cell>
          <cell r="J34" t="str">
            <v>https://www.patrizia.ag/en/investors/investment-strategy/</v>
          </cell>
          <cell r="K34" t="str">
            <v>Marko Multas</v>
          </cell>
          <cell r="L34" t="str">
            <v>Marko.Multas@patrizia.ag</v>
          </cell>
          <cell r="M34" t="str">
            <v>+45 3272 7224</v>
          </cell>
          <cell r="Q34" t="str">
            <v>Denmark</v>
          </cell>
          <cell r="R34" t="str">
            <v>EUR</v>
          </cell>
          <cell r="S34" t="str">
            <v>IFRS</v>
          </cell>
          <cell r="T34" t="str">
            <v>Quarterly</v>
          </cell>
          <cell r="U34" t="str">
            <v>Quarterly</v>
          </cell>
          <cell r="W34" t="str">
            <v>IFRS NAV</v>
          </cell>
          <cell r="Y34" t="str">
            <v>Limited Partnership</v>
          </cell>
          <cell r="Z34" t="str">
            <v>No</v>
          </cell>
          <cell r="AD34" t="str">
            <v>Value-added</v>
          </cell>
          <cell r="AF34" t="str">
            <v>Closed end</v>
          </cell>
          <cell r="AG34">
            <v>11</v>
          </cell>
          <cell r="AH34">
            <v>13</v>
          </cell>
          <cell r="AK34" t="str">
            <v>3-4%</v>
          </cell>
          <cell r="AN34" t="str">
            <v>Institutional</v>
          </cell>
          <cell r="AO34" t="str">
            <v>&gt; 2</v>
          </cell>
          <cell r="AQ34">
            <v>11</v>
          </cell>
          <cell r="AR34">
            <v>11</v>
          </cell>
          <cell r="AS34">
            <v>21900000</v>
          </cell>
          <cell r="AT34">
            <v>50</v>
          </cell>
          <cell r="AU34">
            <v>50</v>
          </cell>
          <cell r="AV34">
            <v>14</v>
          </cell>
          <cell r="AW34">
            <v>79332500</v>
          </cell>
          <cell r="AX34">
            <v>100</v>
          </cell>
          <cell r="AY34">
            <v>79332500</v>
          </cell>
          <cell r="AZ34" t="str">
            <v>10 years</v>
          </cell>
          <cell r="BA34" t="str">
            <v>≥ 50%</v>
          </cell>
          <cell r="BB34" t="str">
            <v>Global</v>
          </cell>
          <cell r="BH34">
            <v>400000000</v>
          </cell>
          <cell r="BJ34">
            <v>2013</v>
          </cell>
          <cell r="BK34">
            <v>2023</v>
          </cell>
          <cell r="BS34" t="str">
            <v>2020-12-31</v>
          </cell>
          <cell r="BT34">
            <v>122983200</v>
          </cell>
          <cell r="BU34">
            <v>122983200</v>
          </cell>
          <cell r="BV34">
            <v>122029600</v>
          </cell>
          <cell r="BW34">
            <v>122029600</v>
          </cell>
          <cell r="BY34" t="str">
            <v>No</v>
          </cell>
          <cell r="CA34">
            <v>13</v>
          </cell>
          <cell r="CC34">
            <v>317330000</v>
          </cell>
          <cell r="CD34">
            <v>317330000</v>
          </cell>
          <cell r="CE34">
            <v>279092000</v>
          </cell>
          <cell r="CF34">
            <v>279092000</v>
          </cell>
          <cell r="CG34" t="str">
            <v>No</v>
          </cell>
        </row>
        <row r="35">
          <cell r="A35">
            <v>18171</v>
          </cell>
          <cell r="B35" t="str">
            <v>PMM GLOBAL IV K/S</v>
          </cell>
          <cell r="C35" t="str">
            <v>PATRIZIA MULTI MANAGERS A/S</v>
          </cell>
          <cell r="D35" t="str">
            <v>Strandvejen 102E, 4th floor</v>
          </cell>
          <cell r="E35">
            <v>2900</v>
          </cell>
          <cell r="F35" t="str">
            <v>Hellerup</v>
          </cell>
          <cell r="G35" t="str">
            <v>Denmark</v>
          </cell>
          <cell r="H35" t="str">
            <v>+4532727200</v>
          </cell>
          <cell r="J35" t="str">
            <v>https://www.patrizia.ag/en/investors/investment-strategy/</v>
          </cell>
          <cell r="K35" t="str">
            <v>Kresten Dahl Juelner</v>
          </cell>
          <cell r="L35" t="str">
            <v>Kresten.Juelner@patrizia.ag</v>
          </cell>
          <cell r="M35" t="str">
            <v>+4532727223</v>
          </cell>
          <cell r="Q35" t="str">
            <v>Denmark</v>
          </cell>
          <cell r="R35" t="str">
            <v>EUR</v>
          </cell>
          <cell r="S35" t="str">
            <v>IFRS</v>
          </cell>
          <cell r="T35" t="str">
            <v>Quarterly</v>
          </cell>
          <cell r="U35" t="str">
            <v>Quarterly</v>
          </cell>
          <cell r="W35" t="str">
            <v>IFRS NAV</v>
          </cell>
          <cell r="Y35" t="str">
            <v>Limited Partnership</v>
          </cell>
          <cell r="Z35" t="str">
            <v>No</v>
          </cell>
          <cell r="AD35" t="str">
            <v>Value-added</v>
          </cell>
          <cell r="AF35" t="str">
            <v>Closed end</v>
          </cell>
          <cell r="AG35">
            <v>11</v>
          </cell>
          <cell r="AH35">
            <v>13</v>
          </cell>
          <cell r="AI35" t="str">
            <v>Net</v>
          </cell>
          <cell r="AN35" t="str">
            <v>Institutional</v>
          </cell>
          <cell r="AO35" t="str">
            <v>&gt; 2</v>
          </cell>
          <cell r="AQ35">
            <v>18</v>
          </cell>
          <cell r="AR35">
            <v>12</v>
          </cell>
          <cell r="AS35">
            <v>27127778</v>
          </cell>
          <cell r="AT35">
            <v>50</v>
          </cell>
          <cell r="AU35">
            <v>50</v>
          </cell>
          <cell r="AV35">
            <v>20</v>
          </cell>
          <cell r="AW35">
            <v>25</v>
          </cell>
          <cell r="AX35">
            <v>100</v>
          </cell>
          <cell r="AY35">
            <v>25</v>
          </cell>
          <cell r="AZ35">
            <v>12</v>
          </cell>
          <cell r="BA35" t="str">
            <v>≥ 50%</v>
          </cell>
          <cell r="BB35" t="str">
            <v>Global</v>
          </cell>
          <cell r="BH35">
            <v>500000000</v>
          </cell>
          <cell r="BJ35">
            <v>2015</v>
          </cell>
          <cell r="BS35" t="str">
            <v>2020-12-31</v>
          </cell>
          <cell r="BT35">
            <v>325163300</v>
          </cell>
          <cell r="BU35">
            <v>325163300</v>
          </cell>
          <cell r="BV35">
            <v>325163300</v>
          </cell>
          <cell r="BW35">
            <v>325163300</v>
          </cell>
          <cell r="BY35" t="str">
            <v>No</v>
          </cell>
          <cell r="CA35">
            <v>16</v>
          </cell>
          <cell r="CC35">
            <v>504752000</v>
          </cell>
          <cell r="CD35">
            <v>504752000</v>
          </cell>
          <cell r="CE35">
            <v>398129000</v>
          </cell>
          <cell r="CF35">
            <v>398129000</v>
          </cell>
          <cell r="CG35" t="str">
            <v>No</v>
          </cell>
        </row>
        <row r="36">
          <cell r="A36">
            <v>17418</v>
          </cell>
          <cell r="B36" t="str">
            <v>SCHRODER REAL ESTATE FUND OF FUNDS - CONTINENTAL EUROPEAN FUND I</v>
          </cell>
          <cell r="C36" t="str">
            <v>SCHRODER INVESTMENT MANAGEMENT (LUXEMBOURG) S.A.</v>
          </cell>
          <cell r="D36" t="str">
            <v>31 Gresham Street</v>
          </cell>
          <cell r="E36" t="str">
            <v>EC2V 7QA</v>
          </cell>
          <cell r="F36" t="str">
            <v>London</v>
          </cell>
          <cell r="G36" t="str">
            <v>United Kingdom</v>
          </cell>
          <cell r="H36" t="str">
            <v>+44 207 658 6000</v>
          </cell>
          <cell r="I36" t="str">
            <v>+44 207 658 3960</v>
          </cell>
          <cell r="J36" t="str">
            <v>http://www.schroders.com</v>
          </cell>
          <cell r="K36" t="str">
            <v>Tom Dorey</v>
          </cell>
          <cell r="L36" t="str">
            <v>property@schroders.com</v>
          </cell>
          <cell r="M36" t="str">
            <v>+31 20 5708186</v>
          </cell>
          <cell r="R36" t="str">
            <v>EUR</v>
          </cell>
          <cell r="T36" t="str">
            <v>Quarterly</v>
          </cell>
          <cell r="U36" t="str">
            <v>Quarterly</v>
          </cell>
          <cell r="AD36" t="str">
            <v>Core</v>
          </cell>
          <cell r="AF36" t="str">
            <v>Closed end</v>
          </cell>
          <cell r="AG36">
            <v>10</v>
          </cell>
          <cell r="AK36" t="str">
            <v>5%</v>
          </cell>
          <cell r="AN36" t="str">
            <v>Institutional</v>
          </cell>
          <cell r="AT36">
            <v>55</v>
          </cell>
          <cell r="AU36">
            <v>55</v>
          </cell>
          <cell r="AV36" t="str">
            <v>10-15</v>
          </cell>
          <cell r="AW36">
            <v>25</v>
          </cell>
          <cell r="AX36" t="str">
            <v>10-15</v>
          </cell>
          <cell r="AY36">
            <v>25</v>
          </cell>
          <cell r="AZ36" t="str">
            <v>12 years</v>
          </cell>
          <cell r="BB36" t="str">
            <v>Europe</v>
          </cell>
          <cell r="BH36">
            <v>253000000</v>
          </cell>
          <cell r="BJ36">
            <v>2006</v>
          </cell>
          <cell r="BK36">
            <v>2018</v>
          </cell>
          <cell r="BS36" t="str">
            <v>2013-06-30</v>
          </cell>
          <cell r="BU36">
            <v>0</v>
          </cell>
          <cell r="BW36">
            <v>0</v>
          </cell>
          <cell r="CD36">
            <v>0</v>
          </cell>
        </row>
        <row r="37">
          <cell r="A37">
            <v>17419</v>
          </cell>
          <cell r="B37" t="str">
            <v>SCHRODER REAL ESTATE FUND OF FUNDS - CONTINENTAL EUROPEAN FUND II</v>
          </cell>
          <cell r="C37" t="str">
            <v>SCHRODER INVESTMENT MANAGEMENT (LUXEMBOURG) S.A.</v>
          </cell>
          <cell r="D37" t="str">
            <v>31 Gresham Street</v>
          </cell>
          <cell r="E37" t="str">
            <v>EC2V 7QA</v>
          </cell>
          <cell r="F37" t="str">
            <v>London</v>
          </cell>
          <cell r="G37" t="str">
            <v>United Kingdom</v>
          </cell>
          <cell r="H37" t="str">
            <v>+44 207 658 6000</v>
          </cell>
          <cell r="I37" t="str">
            <v>+44 207 658 3960</v>
          </cell>
          <cell r="J37" t="str">
            <v>http://www.schroders.com</v>
          </cell>
          <cell r="K37" t="str">
            <v>Tom Dorey</v>
          </cell>
          <cell r="L37" t="str">
            <v>property@schroders.com</v>
          </cell>
          <cell r="M37" t="str">
            <v>+31 20 5708186</v>
          </cell>
          <cell r="R37" t="str">
            <v>EUR</v>
          </cell>
          <cell r="T37" t="str">
            <v>Quarterly</v>
          </cell>
          <cell r="U37" t="str">
            <v>Quarterly</v>
          </cell>
          <cell r="AD37" t="str">
            <v>Core</v>
          </cell>
          <cell r="AF37" t="str">
            <v>Closed end</v>
          </cell>
          <cell r="AG37">
            <v>8</v>
          </cell>
          <cell r="AH37">
            <v>10</v>
          </cell>
          <cell r="AN37" t="str">
            <v>Institutional</v>
          </cell>
          <cell r="AV37" t="str">
            <v>10-15</v>
          </cell>
          <cell r="AW37">
            <v>25</v>
          </cell>
          <cell r="AX37" t="str">
            <v>10-15</v>
          </cell>
          <cell r="AY37">
            <v>30</v>
          </cell>
          <cell r="AZ37" t="str">
            <v>12 years</v>
          </cell>
          <cell r="BB37" t="str">
            <v>Europe</v>
          </cell>
          <cell r="BH37">
            <v>200000000</v>
          </cell>
          <cell r="BJ37">
            <v>2007</v>
          </cell>
          <cell r="BK37">
            <v>2019</v>
          </cell>
          <cell r="BS37" t="str">
            <v>2013-06-30</v>
          </cell>
          <cell r="BU37">
            <v>0</v>
          </cell>
          <cell r="BW37">
            <v>0</v>
          </cell>
          <cell r="CD37">
            <v>0</v>
          </cell>
        </row>
        <row r="38">
          <cell r="A38">
            <v>19261</v>
          </cell>
          <cell r="B38" t="str">
            <v>SFP AST GLOBAL CORE PROPERTY HEDGED</v>
          </cell>
          <cell r="C38" t="str">
            <v>SWISS FINANCE &amp; PROPERTY CORPORATION (SFP)</v>
          </cell>
          <cell r="D38" t="str">
            <v>Seefeldstrasse 275</v>
          </cell>
          <cell r="E38">
            <v>8008</v>
          </cell>
          <cell r="F38" t="str">
            <v>Zürich</v>
          </cell>
          <cell r="G38" t="str">
            <v>Switzerland</v>
          </cell>
          <cell r="K38" t="str">
            <v>Frederik De Block</v>
          </cell>
          <cell r="L38" t="str">
            <v>deblock@sfp.ch</v>
          </cell>
          <cell r="N38" t="str">
            <v>Urs Kunz</v>
          </cell>
          <cell r="O38" t="str">
            <v>kunz@sfp.ch</v>
          </cell>
          <cell r="Q38" t="str">
            <v>Switzerland</v>
          </cell>
          <cell r="R38" t="str">
            <v>CHF</v>
          </cell>
          <cell r="S38" t="str">
            <v>Swiss GAAP</v>
          </cell>
          <cell r="T38" t="str">
            <v>Quarterly</v>
          </cell>
          <cell r="U38" t="str">
            <v>Quarterly</v>
          </cell>
          <cell r="W38" t="str">
            <v>External Valuer</v>
          </cell>
          <cell r="Y38" t="str">
            <v>Anlagestiftung</v>
          </cell>
          <cell r="Z38" t="str">
            <v>No</v>
          </cell>
          <cell r="AD38" t="str">
            <v>Core</v>
          </cell>
          <cell r="AF38" t="str">
            <v>Open end</v>
          </cell>
          <cell r="AG38">
            <v>4</v>
          </cell>
          <cell r="AH38">
            <v>6</v>
          </cell>
          <cell r="AI38" t="str">
            <v>Net</v>
          </cell>
          <cell r="AN38" t="str">
            <v>Institutional</v>
          </cell>
          <cell r="AO38" t="str">
            <v>&gt; 2</v>
          </cell>
          <cell r="AQ38">
            <v>11</v>
          </cell>
          <cell r="AS38">
            <v>16777272.73</v>
          </cell>
          <cell r="AU38">
            <v>0</v>
          </cell>
          <cell r="AV38">
            <v>20</v>
          </cell>
          <cell r="AW38">
            <v>200000000</v>
          </cell>
          <cell r="AX38">
            <v>100</v>
          </cell>
          <cell r="AY38">
            <v>200000000</v>
          </cell>
          <cell r="AZ38" t="str">
            <v>open-ended</v>
          </cell>
          <cell r="BA38" t="str">
            <v>≥ 50%</v>
          </cell>
          <cell r="BB38" t="str">
            <v>Global</v>
          </cell>
          <cell r="BH38">
            <v>1000000000</v>
          </cell>
          <cell r="BI38">
            <v>1000000000</v>
          </cell>
          <cell r="BJ38">
            <v>2017</v>
          </cell>
          <cell r="BO38" t="str">
            <v>No</v>
          </cell>
          <cell r="BS38" t="str">
            <v>2019-03-31</v>
          </cell>
          <cell r="BT38">
            <v>171000000</v>
          </cell>
          <cell r="BU38">
            <v>153223060.52160001</v>
          </cell>
          <cell r="BV38">
            <v>171000000</v>
          </cell>
          <cell r="BW38">
            <v>153223060.52160001</v>
          </cell>
          <cell r="CC38">
            <v>184550000</v>
          </cell>
          <cell r="CD38">
            <v>163877716.56918001</v>
          </cell>
          <cell r="CF38">
            <v>0</v>
          </cell>
        </row>
        <row r="39">
          <cell r="A39">
            <v>19262</v>
          </cell>
          <cell r="B39" t="str">
            <v>SFP AST GLOBAL CORE PROPERTY UNHEDGED</v>
          </cell>
          <cell r="C39" t="str">
            <v>SWISS FINANCE &amp; PROPERTY CORPORATION (SFP)</v>
          </cell>
          <cell r="D39" t="str">
            <v>Seefeldstrasse 275</v>
          </cell>
          <cell r="E39">
            <v>8008</v>
          </cell>
          <cell r="F39" t="str">
            <v>Zürich</v>
          </cell>
          <cell r="G39" t="str">
            <v>Switzerland</v>
          </cell>
          <cell r="K39" t="str">
            <v>Frederik De Block</v>
          </cell>
          <cell r="L39" t="str">
            <v>deblock@sfp.ch</v>
          </cell>
          <cell r="N39" t="str">
            <v>Urs Kunz</v>
          </cell>
          <cell r="O39" t="str">
            <v>kunz@sfp.ch</v>
          </cell>
          <cell r="Q39" t="str">
            <v>Switzerland</v>
          </cell>
          <cell r="R39" t="str">
            <v>CHF</v>
          </cell>
          <cell r="T39" t="str">
            <v>Quarterly</v>
          </cell>
          <cell r="U39" t="str">
            <v>Quarterly</v>
          </cell>
          <cell r="AD39" t="str">
            <v>Core</v>
          </cell>
          <cell r="AF39" t="str">
            <v>Open end</v>
          </cell>
          <cell r="AG39">
            <v>5</v>
          </cell>
          <cell r="AH39">
            <v>7</v>
          </cell>
          <cell r="AI39" t="str">
            <v>Net</v>
          </cell>
          <cell r="AN39" t="str">
            <v>Institutional</v>
          </cell>
          <cell r="AO39" t="str">
            <v>&gt; 2</v>
          </cell>
          <cell r="AQ39">
            <v>11</v>
          </cell>
          <cell r="AS39">
            <v>5636363</v>
          </cell>
          <cell r="AW39">
            <v>20</v>
          </cell>
          <cell r="AY39">
            <v>20</v>
          </cell>
          <cell r="BA39" t="str">
            <v>≥ 50%</v>
          </cell>
          <cell r="BB39" t="str">
            <v>Global</v>
          </cell>
          <cell r="BJ39">
            <v>2017</v>
          </cell>
          <cell r="BS39" t="str">
            <v>2019-03-31</v>
          </cell>
          <cell r="BT39">
            <v>64000000</v>
          </cell>
          <cell r="BU39">
            <v>57346642.534400001</v>
          </cell>
          <cell r="BV39">
            <v>64000000</v>
          </cell>
          <cell r="BW39">
            <v>57346642.534400001</v>
          </cell>
          <cell r="CC39">
            <v>62000000</v>
          </cell>
          <cell r="CD39">
            <v>55055098.495200001</v>
          </cell>
          <cell r="CF39">
            <v>0</v>
          </cell>
        </row>
        <row r="40">
          <cell r="A40">
            <v>17420</v>
          </cell>
          <cell r="B40" t="str">
            <v>THE SCHRODER INDIRECT REAL ESTATE FUND</v>
          </cell>
          <cell r="C40" t="str">
            <v>SCHRODER PROPERTY MANAGERS (JERSEY) LIMITED</v>
          </cell>
          <cell r="D40" t="str">
            <v>31 Gresham Street</v>
          </cell>
          <cell r="E40" t="str">
            <v>EC2V 7QA</v>
          </cell>
          <cell r="F40" t="str">
            <v>London</v>
          </cell>
          <cell r="G40" t="str">
            <v>United Kingdom</v>
          </cell>
          <cell r="H40" t="str">
            <v>+44 207 658 6000</v>
          </cell>
          <cell r="I40" t="str">
            <v>+44 207 658 3960</v>
          </cell>
          <cell r="J40" t="str">
            <v>http://www.schroders.com</v>
          </cell>
          <cell r="K40" t="str">
            <v>Tom Dorey</v>
          </cell>
          <cell r="L40" t="str">
            <v>property@schroders.com</v>
          </cell>
          <cell r="M40" t="str">
            <v>+31 20 5708186</v>
          </cell>
          <cell r="R40" t="str">
            <v>GBP</v>
          </cell>
          <cell r="T40" t="str">
            <v>Quarterly</v>
          </cell>
          <cell r="U40" t="str">
            <v>Quarterly</v>
          </cell>
          <cell r="AD40" t="str">
            <v>Core</v>
          </cell>
          <cell r="AF40" t="str">
            <v>Open end</v>
          </cell>
          <cell r="AG40">
            <v>0</v>
          </cell>
          <cell r="AN40" t="str">
            <v>Institutional and Retail</v>
          </cell>
          <cell r="AV40" t="str">
            <v>10-20</v>
          </cell>
          <cell r="AW40">
            <v>40</v>
          </cell>
          <cell r="AX40" t="str">
            <v>10-15</v>
          </cell>
          <cell r="AY40">
            <v>50</v>
          </cell>
          <cell r="BB40" t="str">
            <v>Europe</v>
          </cell>
          <cell r="BH40">
            <v>300000000</v>
          </cell>
          <cell r="BJ40">
            <v>2004</v>
          </cell>
          <cell r="BK40">
            <v>2104</v>
          </cell>
          <cell r="BS40" t="str">
            <v>2013-06-30</v>
          </cell>
          <cell r="BU40">
            <v>0</v>
          </cell>
          <cell r="BW40">
            <v>0</v>
          </cell>
          <cell r="CD40">
            <v>0</v>
          </cell>
        </row>
        <row r="41">
          <cell r="A41">
            <v>17449</v>
          </cell>
          <cell r="B41" t="str">
            <v>TOWNSQUARE REAL ESTATE ALPHA FUND</v>
          </cell>
          <cell r="C41" t="str">
            <v>THE TOWNSEND GROUP</v>
          </cell>
          <cell r="D41" t="str">
            <v>150 N, Radnor-Chester Road, Suite A110</v>
          </cell>
          <cell r="E41" t="str">
            <v>PA 19087</v>
          </cell>
          <cell r="F41" t="str">
            <v>Radnor</v>
          </cell>
          <cell r="G41" t="str">
            <v>United States of America</v>
          </cell>
          <cell r="I41" t="str">
            <v>+ 1 610 665 4082</v>
          </cell>
          <cell r="J41" t="str">
            <v>http://www.pennsquare.com</v>
          </cell>
          <cell r="K41" t="str">
            <v>Jon Albro</v>
          </cell>
          <cell r="L41" t="str">
            <v>jalbro@pennsquare.com</v>
          </cell>
          <cell r="M41" t="str">
            <v>+1 610 943 2361</v>
          </cell>
          <cell r="R41" t="str">
            <v>USD</v>
          </cell>
          <cell r="T41" t="str">
            <v>Quarterly</v>
          </cell>
          <cell r="U41" t="str">
            <v>Quarterly</v>
          </cell>
          <cell r="AD41" t="str">
            <v>Opportunity</v>
          </cell>
          <cell r="AF41" t="str">
            <v>Closed end</v>
          </cell>
          <cell r="AG41">
            <v>15</v>
          </cell>
          <cell r="AN41" t="str">
            <v>Institutional and Retail</v>
          </cell>
          <cell r="AT41">
            <v>75</v>
          </cell>
          <cell r="AU41">
            <v>75</v>
          </cell>
          <cell r="AV41" t="str">
            <v>15-20</v>
          </cell>
          <cell r="AW41">
            <v>40</v>
          </cell>
          <cell r="AX41" t="str">
            <v>15-20</v>
          </cell>
          <cell r="AY41">
            <v>40</v>
          </cell>
          <cell r="AZ41" t="str">
            <v>10 years</v>
          </cell>
          <cell r="BB41" t="str">
            <v>Global</v>
          </cell>
          <cell r="BH41">
            <v>300000000</v>
          </cell>
          <cell r="BJ41">
            <v>2011</v>
          </cell>
          <cell r="BK41">
            <v>2021</v>
          </cell>
        </row>
        <row r="42">
          <cell r="A42">
            <v>17439</v>
          </cell>
          <cell r="B42" t="str">
            <v>UBS (LUX) REAL ESTATE FUNDS SELECTION - GLOBAL</v>
          </cell>
          <cell r="C42" t="str">
            <v>UBS GLOBAL ASSET MANAGEMENT (UK) LTD</v>
          </cell>
          <cell r="D42" t="str">
            <v>5 Broadgate</v>
          </cell>
          <cell r="E42" t="str">
            <v>EC2M 2QS</v>
          </cell>
          <cell r="F42" t="str">
            <v>London</v>
          </cell>
          <cell r="G42" t="str">
            <v>United Kingdom</v>
          </cell>
          <cell r="J42" t="str">
            <v>http://www.ubs.com</v>
          </cell>
          <cell r="K42" t="str">
            <v>Paul Guest</v>
          </cell>
          <cell r="L42" t="str">
            <v>paul.guest@ubs.com</v>
          </cell>
          <cell r="M42" t="str">
            <v>+442079015302</v>
          </cell>
          <cell r="N42" t="str">
            <v>Dhruv Kochhar</v>
          </cell>
          <cell r="O42" t="str">
            <v>dhruv.kochhar@ubs.com</v>
          </cell>
          <cell r="P42" t="str">
            <v>+442079016980</v>
          </cell>
          <cell r="Q42" t="str">
            <v>Luxembourg</v>
          </cell>
          <cell r="R42" t="str">
            <v>EUR</v>
          </cell>
          <cell r="S42" t="str">
            <v>Local GAAP</v>
          </cell>
          <cell r="T42" t="str">
            <v>Quarterly</v>
          </cell>
          <cell r="U42" t="str">
            <v>Quarterly</v>
          </cell>
          <cell r="X42" t="str">
            <v>Ernst &amp; Young</v>
          </cell>
          <cell r="Y42" t="str">
            <v>SICAV</v>
          </cell>
          <cell r="AA42" t="str">
            <v>No</v>
          </cell>
          <cell r="AD42" t="str">
            <v>Core</v>
          </cell>
          <cell r="AF42" t="str">
            <v>Open end</v>
          </cell>
          <cell r="AG42">
            <v>5</v>
          </cell>
          <cell r="AH42">
            <v>7</v>
          </cell>
          <cell r="AI42" t="str">
            <v>Net</v>
          </cell>
          <cell r="AJ42" t="str">
            <v>5% - 7% over the investment cycle, net of fees and taxes</v>
          </cell>
          <cell r="AK42" t="str">
            <v>3-3.5%</v>
          </cell>
          <cell r="AN42" t="str">
            <v>Institutional</v>
          </cell>
          <cell r="AO42" t="str">
            <v>&gt; 2</v>
          </cell>
          <cell r="AP42">
            <v>0</v>
          </cell>
          <cell r="AQ42">
            <v>45</v>
          </cell>
          <cell r="AR42">
            <v>43</v>
          </cell>
          <cell r="AW42">
            <v>20</v>
          </cell>
          <cell r="AY42">
            <v>20</v>
          </cell>
          <cell r="AZ42" t="str">
            <v>Infinite</v>
          </cell>
          <cell r="BA42" t="str">
            <v>≥ 50%</v>
          </cell>
          <cell r="BB42" t="str">
            <v>Global</v>
          </cell>
          <cell r="BH42">
            <v>3000000000</v>
          </cell>
          <cell r="BI42">
            <v>3000000000</v>
          </cell>
          <cell r="BJ42">
            <v>2008</v>
          </cell>
          <cell r="BS42" t="str">
            <v>2019-12-31</v>
          </cell>
          <cell r="BT42">
            <v>5975947869.9200001</v>
          </cell>
          <cell r="BU42">
            <v>5975947869.9200001</v>
          </cell>
          <cell r="BV42">
            <v>5975947869.9200001</v>
          </cell>
          <cell r="BW42">
            <v>5975947869.9200001</v>
          </cell>
          <cell r="BY42" t="str">
            <v>Yes</v>
          </cell>
          <cell r="CA42">
            <v>292</v>
          </cell>
          <cell r="CD42">
            <v>0</v>
          </cell>
        </row>
        <row r="43">
          <cell r="A43">
            <v>17456</v>
          </cell>
          <cell r="B43" t="str">
            <v>UBS (UK) REAL ESTATE FUNDS SELECTION - GLOBAL EX CANADA LP</v>
          </cell>
          <cell r="C43" t="str">
            <v>UBS GLOBAL ASSET MANAGEMENT (UK) LTD</v>
          </cell>
          <cell r="D43" t="str">
            <v>Stockerstrasse 15, 8008 Zurich, Switzerland</v>
          </cell>
          <cell r="F43" t="str">
            <v>Zurich</v>
          </cell>
          <cell r="G43" t="str">
            <v>Switzerland</v>
          </cell>
          <cell r="J43" t="str">
            <v>http://www.ubs.com</v>
          </cell>
          <cell r="K43" t="str">
            <v>Matthew Johnson</v>
          </cell>
          <cell r="L43" t="str">
            <v>matthew-g.johnson@ubs.com</v>
          </cell>
          <cell r="M43" t="str">
            <v>+1 312 525 7453</v>
          </cell>
          <cell r="N43" t="str">
            <v>David Coyle</v>
          </cell>
          <cell r="O43" t="str">
            <v>david.coyle@ubs.com</v>
          </cell>
          <cell r="P43" t="str">
            <v>+1 416 681 5264</v>
          </cell>
          <cell r="Q43" t="str">
            <v>United Kingdom</v>
          </cell>
          <cell r="R43" t="str">
            <v>CAD</v>
          </cell>
          <cell r="S43" t="str">
            <v>Local GAAP</v>
          </cell>
          <cell r="T43" t="str">
            <v>Quarterly</v>
          </cell>
          <cell r="U43" t="str">
            <v>Quarterly</v>
          </cell>
          <cell r="X43" t="str">
            <v>PricewaterhouseCoopers</v>
          </cell>
          <cell r="Y43" t="str">
            <v>Limited Partnership</v>
          </cell>
          <cell r="AA43" t="str">
            <v>No</v>
          </cell>
          <cell r="AD43" t="str">
            <v>Core</v>
          </cell>
          <cell r="AF43" t="str">
            <v>Open end</v>
          </cell>
          <cell r="AG43">
            <v>0</v>
          </cell>
          <cell r="AI43" t="str">
            <v>Net</v>
          </cell>
          <cell r="AJ43" t="str">
            <v>Canadian CPI + 4.5% (net of costs, management fees and taxes) over a market cycle - CPI figure is 2% based on long-term Candaian CPI average. Canadian CPI figures sourced from Bank of Canada</v>
          </cell>
          <cell r="AK43" t="str">
            <v>4-4,5%</v>
          </cell>
          <cell r="AN43" t="str">
            <v>Institutional</v>
          </cell>
          <cell r="AO43" t="str">
            <v>&gt; 2</v>
          </cell>
          <cell r="AQ43">
            <v>32</v>
          </cell>
          <cell r="AS43">
            <v>150349507</v>
          </cell>
          <cell r="AV43" t="str">
            <v>15-25</v>
          </cell>
          <cell r="AW43">
            <v>15</v>
          </cell>
          <cell r="AY43">
            <v>15</v>
          </cell>
          <cell r="AZ43" t="str">
            <v>infinite</v>
          </cell>
          <cell r="BA43" t="str">
            <v>≥ 50%</v>
          </cell>
          <cell r="BB43" t="str">
            <v>Global</v>
          </cell>
          <cell r="BH43">
            <v>500000000</v>
          </cell>
          <cell r="BI43">
            <v>500000000</v>
          </cell>
          <cell r="BJ43">
            <v>2011</v>
          </cell>
          <cell r="BS43" t="str">
            <v>2020-12-31</v>
          </cell>
          <cell r="BT43">
            <v>1235466446</v>
          </cell>
          <cell r="BU43">
            <v>787000013.93752444</v>
          </cell>
          <cell r="BV43">
            <v>1235466446</v>
          </cell>
          <cell r="BW43">
            <v>787000013.93752444</v>
          </cell>
          <cell r="CC43">
            <v>4811184231</v>
          </cell>
          <cell r="CD43">
            <v>3070941822.548326</v>
          </cell>
          <cell r="CE43">
            <v>4811184231</v>
          </cell>
          <cell r="CF43">
            <v>3070941822.548326</v>
          </cell>
        </row>
        <row r="44">
          <cell r="A44">
            <v>17443</v>
          </cell>
          <cell r="B44" t="str">
            <v>UBS AST 3 GLOBAL REAL ESTATE( EX CH)</v>
          </cell>
          <cell r="C44" t="str">
            <v>UBS GLOBAL ASSET MANAGEMENT (UK) LTD</v>
          </cell>
          <cell r="D44" t="str">
            <v>Stockerstrasse 64, 8098 Zurich, Switzerland</v>
          </cell>
          <cell r="F44" t="str">
            <v>Zurich</v>
          </cell>
          <cell r="G44" t="str">
            <v>Switzerland</v>
          </cell>
          <cell r="J44" t="str">
            <v>http://www.ubs.com</v>
          </cell>
          <cell r="K44" t="str">
            <v>Nick Chukiat</v>
          </cell>
          <cell r="L44" t="str">
            <v>nick.chukiat@ubs.com</v>
          </cell>
          <cell r="M44" t="str">
            <v>+65 64955270</v>
          </cell>
          <cell r="N44" t="str">
            <v>Marco Engesser</v>
          </cell>
          <cell r="O44" t="str">
            <v>marco.engesser@ubs.com</v>
          </cell>
          <cell r="P44" t="str">
            <v>+41-44-234 25 52</v>
          </cell>
          <cell r="Q44" t="str">
            <v>Switzerland</v>
          </cell>
          <cell r="R44" t="str">
            <v>CHF</v>
          </cell>
          <cell r="S44" t="str">
            <v>Local GAAP</v>
          </cell>
          <cell r="T44" t="str">
            <v>Quarterly</v>
          </cell>
          <cell r="U44" t="str">
            <v>Quarterly</v>
          </cell>
          <cell r="X44" t="str">
            <v>PricewaterhouseCoopers</v>
          </cell>
          <cell r="AA44" t="str">
            <v>No</v>
          </cell>
          <cell r="AD44" t="str">
            <v>Core</v>
          </cell>
          <cell r="AF44" t="str">
            <v>Open end</v>
          </cell>
          <cell r="AG44">
            <v>5</v>
          </cell>
          <cell r="AH44">
            <v>6</v>
          </cell>
          <cell r="AI44" t="str">
            <v>Net</v>
          </cell>
          <cell r="AJ44" t="str">
            <v>5%-6%</v>
          </cell>
          <cell r="AK44" t="str">
            <v>4%</v>
          </cell>
          <cell r="AN44" t="str">
            <v>Institutional</v>
          </cell>
          <cell r="AO44" t="str">
            <v>&gt; 2</v>
          </cell>
          <cell r="AQ44">
            <v>41</v>
          </cell>
          <cell r="AS44">
            <v>107178273</v>
          </cell>
          <cell r="AV44" t="str">
            <v>15-25</v>
          </cell>
          <cell r="AW44">
            <v>15</v>
          </cell>
          <cell r="AY44">
            <v>20</v>
          </cell>
          <cell r="AZ44" t="str">
            <v>Infinite</v>
          </cell>
          <cell r="BA44" t="str">
            <v>≥ 50%</v>
          </cell>
          <cell r="BB44" t="str">
            <v>Global</v>
          </cell>
          <cell r="BJ44">
            <v>2011</v>
          </cell>
          <cell r="BS44" t="str">
            <v>2020-12-31</v>
          </cell>
          <cell r="BT44">
            <v>4394309212</v>
          </cell>
          <cell r="BU44">
            <v>4052182171.785017</v>
          </cell>
          <cell r="BV44">
            <v>4394309212</v>
          </cell>
          <cell r="BW44">
            <v>4052182171.785017</v>
          </cell>
          <cell r="CC44">
            <v>4394309212</v>
          </cell>
          <cell r="CD44">
            <v>4069264300.4958081</v>
          </cell>
          <cell r="CE44">
            <v>4394309212</v>
          </cell>
          <cell r="CF44">
            <v>4069264300.4958081</v>
          </cell>
        </row>
        <row r="47">
          <cell r="A47" t="str">
            <v>X</v>
          </cell>
          <cell r="B47" t="str">
            <v>X</v>
          </cell>
          <cell r="C47" t="str">
            <v>X</v>
          </cell>
          <cell r="R47" t="str">
            <v>FUND CURRENCY</v>
          </cell>
          <cell r="AD47" t="str">
            <v>RE: OTHER STRATEGIES</v>
          </cell>
          <cell r="AF47" t="str">
            <v>STATUS</v>
          </cell>
          <cell r="BB47" t="str">
            <v>PRIMARY REGION FOCUS</v>
          </cell>
          <cell r="BJ47" t="str">
            <v>VINTAGE / INCEPTION YEAR</v>
          </cell>
        </row>
        <row r="48">
          <cell r="A48">
            <v>108365</v>
          </cell>
          <cell r="B48" t="str">
            <v>US Global Real Estate Funds Selection LP</v>
          </cell>
          <cell r="C48" t="str">
            <v>UBS Asset Management</v>
          </cell>
          <cell r="R48" t="str">
            <v>EUR</v>
          </cell>
          <cell r="AD48" t="str">
            <v>Core</v>
          </cell>
          <cell r="AF48" t="str">
            <v>Closed end</v>
          </cell>
          <cell r="BB48" t="str">
            <v>North America</v>
          </cell>
          <cell r="BJ48">
            <v>2020</v>
          </cell>
        </row>
        <row r="49">
          <cell r="A49">
            <v>114441</v>
          </cell>
          <cell r="B49" t="str">
            <v>HI-Immobilien-Multi Manager-Fonds IV</v>
          </cell>
          <cell r="C49" t="str">
            <v>Helaba Invest</v>
          </cell>
          <cell r="R49" t="str">
            <v>EUR</v>
          </cell>
          <cell r="AD49" t="str">
            <v>Core</v>
          </cell>
          <cell r="AF49" t="str">
            <v>Closed end</v>
          </cell>
          <cell r="BB49" t="str">
            <v>Europe</v>
          </cell>
          <cell r="BJ49">
            <v>2020</v>
          </cell>
        </row>
        <row r="50">
          <cell r="B50" t="str">
            <v>REFIS</v>
          </cell>
          <cell r="C50" t="str">
            <v>UBS Asset Management</v>
          </cell>
          <cell r="R50" t="e">
            <v>#N/A</v>
          </cell>
          <cell r="AD50" t="e">
            <v>#N/A</v>
          </cell>
          <cell r="AF50" t="e">
            <v>#N/A</v>
          </cell>
          <cell r="BB50" t="e">
            <v>#N/A</v>
          </cell>
          <cell r="BJ50" t="e">
            <v>#N/A</v>
          </cell>
        </row>
        <row r="51">
          <cell r="A51">
            <v>10000001</v>
          </cell>
          <cell r="B51" t="str">
            <v>LaSalle Global Navigator Fund</v>
          </cell>
          <cell r="C51" t="str">
            <v>LaSalle</v>
          </cell>
          <cell r="R51" t="str">
            <v>GBP</v>
          </cell>
          <cell r="AD51" t="str">
            <v>Core</v>
          </cell>
          <cell r="AF51" t="str">
            <v>Open end</v>
          </cell>
          <cell r="BB51" t="str">
            <v>Global</v>
          </cell>
          <cell r="BJ51">
            <v>2020</v>
          </cell>
        </row>
        <row r="52">
          <cell r="A52">
            <v>105127</v>
          </cell>
          <cell r="B52" t="str">
            <v>Altan IV</v>
          </cell>
          <cell r="C52" t="str">
            <v>Altan Capital</v>
          </cell>
          <cell r="R52" t="str">
            <v>EUR</v>
          </cell>
          <cell r="AD52" t="str">
            <v>Opportunity</v>
          </cell>
          <cell r="AF52" t="str">
            <v>Closed end</v>
          </cell>
          <cell r="BB52" t="str">
            <v>Global</v>
          </cell>
          <cell r="BJ52">
            <v>2018</v>
          </cell>
        </row>
        <row r="53">
          <cell r="A53">
            <v>65040</v>
          </cell>
          <cell r="B53" t="str">
            <v>PMM Global V</v>
          </cell>
          <cell r="C53" t="str">
            <v>PATRIZIA Global Partners</v>
          </cell>
          <cell r="R53" t="str">
            <v>EUR</v>
          </cell>
          <cell r="AD53" t="str">
            <v>Opportunity</v>
          </cell>
          <cell r="AF53" t="str">
            <v>Closed end</v>
          </cell>
          <cell r="BB53" t="str">
            <v>Global</v>
          </cell>
          <cell r="BJ53">
            <v>2019</v>
          </cell>
        </row>
      </sheetData>
      <sheetData sheetId="26">
        <row r="3">
          <cell r="J3" t="str">
            <v>CBRE Global Investors</v>
          </cell>
          <cell r="K3" t="str">
            <v>Global Alpha</v>
          </cell>
          <cell r="L3" t="str">
            <v>Yes</v>
          </cell>
          <cell r="O3">
            <v>410</v>
          </cell>
          <cell r="P3">
            <v>377</v>
          </cell>
          <cell r="Q3">
            <v>23</v>
          </cell>
          <cell r="W3">
            <v>10</v>
          </cell>
          <cell r="X3">
            <v>214</v>
          </cell>
          <cell r="Y3">
            <v>25</v>
          </cell>
          <cell r="Z3">
            <v>57</v>
          </cell>
          <cell r="AE3">
            <v>100</v>
          </cell>
          <cell r="AG3" t="str">
            <v>Increase</v>
          </cell>
          <cell r="AH3" t="str">
            <v>Yes</v>
          </cell>
        </row>
        <row r="4">
          <cell r="J4" t="str">
            <v>UBS Asset Management</v>
          </cell>
          <cell r="K4" t="str">
            <v>US Global Real Estate Funds Selection LP</v>
          </cell>
          <cell r="L4" t="str">
            <v>Yes</v>
          </cell>
          <cell r="O4">
            <v>112</v>
          </cell>
          <cell r="V4">
            <v>112</v>
          </cell>
          <cell r="Z4">
            <v>112</v>
          </cell>
          <cell r="AE4">
            <v>100</v>
          </cell>
          <cell r="AG4" t="str">
            <v>Increase</v>
          </cell>
          <cell r="AH4" t="str">
            <v>Yes</v>
          </cell>
        </row>
        <row r="5">
          <cell r="J5" t="str">
            <v>UBS Asset Management</v>
          </cell>
          <cell r="K5" t="str">
            <v>UBS AST 3 Global Real Estate (ex CH)</v>
          </cell>
          <cell r="L5" t="str">
            <v>Yes</v>
          </cell>
          <cell r="O5">
            <v>184</v>
          </cell>
          <cell r="P5">
            <v>184</v>
          </cell>
          <cell r="X5">
            <v>184</v>
          </cell>
          <cell r="AE5">
            <v>100</v>
          </cell>
          <cell r="AG5" t="str">
            <v>Increase</v>
          </cell>
          <cell r="AH5" t="str">
            <v>Yes</v>
          </cell>
        </row>
        <row r="6">
          <cell r="J6" t="str">
            <v>Helaba Invest</v>
          </cell>
          <cell r="K6" t="str">
            <v>HI-Immobilien-Multi Manager-Fonds IV</v>
          </cell>
          <cell r="L6" t="str">
            <v>Yes</v>
          </cell>
          <cell r="O6">
            <v>225</v>
          </cell>
          <cell r="P6">
            <v>71</v>
          </cell>
          <cell r="Q6">
            <v>25</v>
          </cell>
          <cell r="T6">
            <v>2</v>
          </cell>
          <cell r="W6">
            <v>127</v>
          </cell>
          <cell r="X6">
            <v>225</v>
          </cell>
          <cell r="AE6">
            <v>100</v>
          </cell>
          <cell r="AG6" t="str">
            <v>No change</v>
          </cell>
          <cell r="AH6" t="str">
            <v>Yes</v>
          </cell>
        </row>
        <row r="7">
          <cell r="J7" t="str">
            <v>UBS Asset Management</v>
          </cell>
          <cell r="K7" t="str">
            <v>UBS (Lux) Real Estate Funds Selection - Global</v>
          </cell>
          <cell r="L7" t="str">
            <v>Yes</v>
          </cell>
          <cell r="O7">
            <v>857</v>
          </cell>
          <cell r="P7">
            <v>241</v>
          </cell>
          <cell r="Q7">
            <v>116</v>
          </cell>
          <cell r="S7">
            <v>7</v>
          </cell>
          <cell r="T7">
            <v>41</v>
          </cell>
          <cell r="U7">
            <v>32</v>
          </cell>
          <cell r="V7">
            <v>263</v>
          </cell>
          <cell r="W7">
            <v>158</v>
          </cell>
          <cell r="X7">
            <v>465</v>
          </cell>
          <cell r="Y7">
            <v>297</v>
          </cell>
          <cell r="Z7">
            <v>63</v>
          </cell>
          <cell r="AA7">
            <v>28</v>
          </cell>
          <cell r="AB7">
            <v>4</v>
          </cell>
          <cell r="AE7">
            <v>100</v>
          </cell>
          <cell r="AG7" t="str">
            <v>Increase</v>
          </cell>
          <cell r="AH7" t="str">
            <v>Yes</v>
          </cell>
        </row>
        <row r="8">
          <cell r="J8" t="str">
            <v>UBS</v>
          </cell>
          <cell r="K8" t="str">
            <v>UBS (UK) Real Estate Funds Selection - Global ex Canada LP</v>
          </cell>
          <cell r="L8" t="str">
            <v>Yes</v>
          </cell>
          <cell r="O8">
            <v>147</v>
          </cell>
          <cell r="P8">
            <v>147</v>
          </cell>
          <cell r="Z8">
            <v>147</v>
          </cell>
          <cell r="AE8">
            <v>100</v>
          </cell>
          <cell r="AG8" t="str">
            <v>Increase</v>
          </cell>
          <cell r="AH8" t="str">
            <v>Yes</v>
          </cell>
        </row>
        <row r="10">
          <cell r="J10" t="str">
            <v>LaSalle</v>
          </cell>
          <cell r="K10" t="str">
            <v>LaSalle Global Navigator Fund</v>
          </cell>
          <cell r="L10" t="str">
            <v>Yes</v>
          </cell>
          <cell r="O10">
            <v>320</v>
          </cell>
          <cell r="P10">
            <v>295</v>
          </cell>
          <cell r="W10">
            <v>25</v>
          </cell>
          <cell r="X10">
            <v>295</v>
          </cell>
          <cell r="Z10">
            <v>25</v>
          </cell>
          <cell r="AE10">
            <v>100</v>
          </cell>
          <cell r="AG10" t="str">
            <v>Increase</v>
          </cell>
          <cell r="AH10" t="str">
            <v>Yes</v>
          </cell>
        </row>
        <row r="11">
          <cell r="J11" t="str">
            <v>Swiss Finance &amp; Property</v>
          </cell>
          <cell r="K11" t="str">
            <v>SFP AST Global Core Property</v>
          </cell>
          <cell r="L11" t="str">
            <v>Yes</v>
          </cell>
          <cell r="O11">
            <v>20</v>
          </cell>
          <cell r="P11">
            <v>20</v>
          </cell>
          <cell r="X11">
            <v>20</v>
          </cell>
          <cell r="AE11">
            <v>100</v>
          </cell>
          <cell r="AG11" t="str">
            <v>Increase</v>
          </cell>
          <cell r="AH11" t="str">
            <v>Yes</v>
          </cell>
        </row>
        <row r="12">
          <cell r="J12" t="str">
            <v>PATRIZIA Global Partners</v>
          </cell>
          <cell r="K12" t="str">
            <v>PMM Global V</v>
          </cell>
          <cell r="L12" t="str">
            <v>Yes</v>
          </cell>
          <cell r="O12">
            <v>10</v>
          </cell>
          <cell r="T12">
            <v>10</v>
          </cell>
          <cell r="X12">
            <v>10</v>
          </cell>
          <cell r="AD12">
            <v>100</v>
          </cell>
          <cell r="AG12" t="str">
            <v>Increase</v>
          </cell>
          <cell r="AH12" t="str">
            <v>Yes</v>
          </cell>
        </row>
        <row r="13">
          <cell r="J13" t="str">
            <v>Altan Capital</v>
          </cell>
          <cell r="K13" t="str">
            <v>Altan IV</v>
          </cell>
          <cell r="L13" t="str">
            <v>No</v>
          </cell>
          <cell r="M13" t="str">
            <v>Other (please specify)</v>
          </cell>
          <cell r="N13" t="str">
            <v>Fund already raised and in investment period</v>
          </cell>
          <cell r="AG13" t="str">
            <v>Decrease</v>
          </cell>
          <cell r="AH13" t="str">
            <v>Yes</v>
          </cell>
        </row>
        <row r="15">
          <cell r="J15" t="str">
            <v>Deka Immobilien Investment GmbH</v>
          </cell>
          <cell r="K15" t="str">
            <v>Deka-Immobilien StrategieInstitutionell</v>
          </cell>
          <cell r="L15" t="str">
            <v>Yes</v>
          </cell>
          <cell r="O15">
            <v>188</v>
          </cell>
          <cell r="W15">
            <v>188</v>
          </cell>
          <cell r="X15">
            <v>188</v>
          </cell>
          <cell r="AD15">
            <v>100</v>
          </cell>
          <cell r="AG15" t="str">
            <v>No change</v>
          </cell>
          <cell r="AH15" t="str">
            <v>No</v>
          </cell>
        </row>
      </sheetData>
      <sheetData sheetId="27" refreshError="1"/>
      <sheetData sheetId="28">
        <row r="1">
          <cell r="B1" t="str">
            <v>Vehicle Name</v>
          </cell>
          <cell r="C1" t="str">
            <v>Vehicle Manager Company</v>
          </cell>
          <cell r="D1" t="str">
            <v>Business Address</v>
          </cell>
          <cell r="E1" t="str">
            <v>Postcode</v>
          </cell>
          <cell r="F1" t="str">
            <v>City</v>
          </cell>
          <cell r="G1" t="str">
            <v>Country</v>
          </cell>
          <cell r="H1" t="str">
            <v>Switchboard</v>
          </cell>
          <cell r="I1" t="str">
            <v>Fax Number</v>
          </cell>
          <cell r="J1" t="str">
            <v>Company Website</v>
          </cell>
          <cell r="K1" t="str">
            <v>Vehicle Manager Name</v>
          </cell>
          <cell r="L1" t="str">
            <v>Vehicle Manager Email</v>
          </cell>
          <cell r="M1" t="str">
            <v>Vehicle Manager Telephone</v>
          </cell>
          <cell r="N1" t="str">
            <v>Investor Client Relations Name</v>
          </cell>
          <cell r="O1" t="str">
            <v>Investor Client Relations Email</v>
          </cell>
          <cell r="P1" t="str">
            <v>Investor Client Relations Telephone</v>
          </cell>
          <cell r="Q1" t="str">
            <v>Vehicle Domicile</v>
          </cell>
          <cell r="R1" t="str">
            <v>Currency of Reporting</v>
          </cell>
          <cell r="S1" t="str">
            <v>Accounting Standards</v>
          </cell>
          <cell r="T1" t="str">
            <v>Financial Reporting Frequency</v>
          </cell>
          <cell r="U1" t="str">
            <v>Frequency of External Property Valuations</v>
          </cell>
          <cell r="V1" t="str">
            <v>Valuation approach applied to properties</v>
          </cell>
          <cell r="W1" t="str">
            <v>What NAV calculation method has been used for the figures in this database?</v>
          </cell>
          <cell r="X1" t="str">
            <v>Name of Vehicle Auditor</v>
          </cell>
          <cell r="Y1" t="str">
            <v>Legal vehicle structure</v>
          </cell>
          <cell r="Z1" t="str">
            <v>Does your fund report an INREV NAV to investors?</v>
          </cell>
          <cell r="AA1" t="str">
            <v>Is there a Non-Executive Body</v>
          </cell>
          <cell r="AB1" t="str">
            <v>Number of Independents</v>
          </cell>
          <cell r="AC1" t="str">
            <v>Vehicle Type</v>
          </cell>
          <cell r="AD1" t="str">
            <v>Manager Defined Style</v>
          </cell>
          <cell r="AE1" t="str">
            <v>Finite/Infinite structure</v>
          </cell>
          <cell r="AF1" t="str">
            <v>Vehicle Structure</v>
          </cell>
          <cell r="AG1" t="str">
            <v>Target IRR - From (%)</v>
          </cell>
          <cell r="AH1" t="str">
            <v>Target IRR - To (%)</v>
          </cell>
          <cell r="AI1" t="str">
            <v>Basis for IRR Calculation</v>
          </cell>
          <cell r="AJ1" t="str">
            <v>Performance Benchmark</v>
          </cell>
          <cell r="AK1" t="str">
            <v>Target Distribution Yield (%)</v>
          </cell>
          <cell r="AL1" t="str">
            <v>Target Gearing Level as a % of GAV</v>
          </cell>
          <cell r="AM1" t="str">
            <v>Maximum LTV (%)</v>
          </cell>
          <cell r="AN1" t="str">
            <v>Target Investors</v>
          </cell>
          <cell r="AO1" t="str">
            <v>Target Number of Investors</v>
          </cell>
          <cell r="AP1" t="str">
            <v>Target Proportion of Institutional Holdings</v>
          </cell>
          <cell r="AQ1" t="str">
            <v>Target Regional Strategy</v>
          </cell>
          <cell r="AR1" t="str">
            <v>Multi country/Single country</v>
          </cell>
          <cell r="AS1" t="str">
            <v>Target Region (Multi-Country Funds)</v>
          </cell>
          <cell r="AT1" t="str">
            <v>Target Country (Single-Country Funds)</v>
          </cell>
          <cell r="AU1" t="str">
            <v>Multi sector/Single sector strategy</v>
          </cell>
          <cell r="AV1" t="str">
            <v>Target Sector</v>
          </cell>
          <cell r="AW1" t="str">
            <v>Target Equity</v>
          </cell>
          <cell r="AX1" t="str">
            <v>Target Gross Assets Value</v>
          </cell>
          <cell r="AY1" t="str">
            <v>Year of first closing</v>
          </cell>
          <cell r="AZ1" t="str">
            <v>Planned Termination year</v>
          </cell>
          <cell r="BA1" t="str">
            <v>Provision to Extend Termination Date</v>
          </cell>
          <cell r="BB1" t="str">
            <v>Fixed Extension Period Set</v>
          </cell>
          <cell r="BC1" t="str">
            <v>Length of Extension Period</v>
          </cell>
          <cell r="BD1" t="str">
            <v>Does Manager Actively Facilitate Secondary Trading</v>
          </cell>
          <cell r="BE1" t="str">
            <v>Target return derived from income</v>
          </cell>
          <cell r="BF1" t="str">
            <v>Target percentage of non-income producing investments</v>
          </cell>
          <cell r="BG1" t="str">
            <v>Target percentage (re)development  exposure</v>
          </cell>
          <cell r="BH1" t="str">
            <v>Reporting date</v>
          </cell>
          <cell r="BI1" t="str">
            <v>Gross Asset Value of the Vehicle (reporting currency)</v>
          </cell>
          <cell r="BJ1" t="str">
            <v>Gross Asset Value of the Vehicle (EUR)</v>
          </cell>
          <cell r="BK1" t="str">
            <v>Net Asset Value of the Vehicle (reporting currency)</v>
          </cell>
          <cell r="BL1" t="str">
            <v>Net Asset Value of the Vehicle (EUR)</v>
          </cell>
          <cell r="BM1" t="str">
            <v>Gearing as a % of GAV</v>
          </cell>
          <cell r="BN1" t="str">
            <v>Are figures audited by external auditor</v>
          </cell>
          <cell r="BO1" t="str">
            <v>Are Figures based on external/internal valuations.</v>
          </cell>
          <cell r="BP1" t="str">
            <v>Number of institutional investors</v>
          </cell>
          <cell r="BQ1" t="str">
            <v>Number of properties in portfolio</v>
          </cell>
          <cell r="BR1" t="str">
            <v>Total equity commited (reporting currency</v>
          </cell>
          <cell r="BS1" t="str">
            <v>Total equity commited (local currency)</v>
          </cell>
          <cell r="BT1" t="str">
            <v>Total equity invested (reporting currency)</v>
          </cell>
          <cell r="BU1" t="str">
            <v>Total equity invested (local currency)</v>
          </cell>
          <cell r="BV1" t="str">
            <v>Open for investment/raising capital</v>
          </cell>
          <cell r="BW1" t="str">
            <v>Allocation 1 Country</v>
          </cell>
          <cell r="BX1" t="str">
            <v>Allocation 1 Sector</v>
          </cell>
          <cell r="BY1" t="str">
            <v>Allocation 1 Value</v>
          </cell>
          <cell r="BZ1" t="str">
            <v>Allocation 2 Country</v>
          </cell>
          <cell r="CA1" t="str">
            <v>Allocation 2 Sector</v>
          </cell>
          <cell r="CB1" t="str">
            <v>Allocation 2 Value</v>
          </cell>
          <cell r="CC1" t="str">
            <v>Allocation 3 Country</v>
          </cell>
          <cell r="CD1" t="str">
            <v>Allocation 3 Sector</v>
          </cell>
          <cell r="CE1" t="str">
            <v>Allocation 3 Value</v>
          </cell>
          <cell r="CF1" t="str">
            <v>Allocation 4 Country</v>
          </cell>
          <cell r="CG1" t="str">
            <v>Allocation 4 Sector</v>
          </cell>
          <cell r="CH1" t="str">
            <v>Allocation 4 Value</v>
          </cell>
          <cell r="CI1" t="str">
            <v>Allocation 5 Country</v>
          </cell>
          <cell r="CJ1" t="str">
            <v>Allocation 5 Sector</v>
          </cell>
          <cell r="CK1" t="str">
            <v>Allocation 5 Value</v>
          </cell>
          <cell r="CL1" t="str">
            <v>Allocation 6 Country</v>
          </cell>
          <cell r="CM1" t="str">
            <v>Allocation 6 Sector</v>
          </cell>
          <cell r="CN1" t="str">
            <v>Allocation 6 Value</v>
          </cell>
          <cell r="CO1" t="str">
            <v>Allocation 7 Country</v>
          </cell>
          <cell r="CP1" t="str">
            <v>Allocation 7 Sector</v>
          </cell>
          <cell r="CQ1" t="str">
            <v>Allocation 7 Value</v>
          </cell>
          <cell r="CR1" t="str">
            <v>Allocation 8 Country</v>
          </cell>
          <cell r="CS1" t="str">
            <v>Allocation 8 Sector</v>
          </cell>
          <cell r="CT1" t="str">
            <v>Allocation 8 Value</v>
          </cell>
          <cell r="CU1" t="str">
            <v>Allocation 9 Country</v>
          </cell>
          <cell r="CV1" t="str">
            <v>Allocation 9 Sector</v>
          </cell>
          <cell r="CW1" t="str">
            <v>Allocation 9 Value</v>
          </cell>
          <cell r="CX1" t="str">
            <v>Allocation 10 Country</v>
          </cell>
          <cell r="CY1" t="str">
            <v>Allocation 10 Sector</v>
          </cell>
          <cell r="CZ1" t="str">
            <v>Allocation 10 Value</v>
          </cell>
          <cell r="DA1" t="str">
            <v>Allocation 11 Country</v>
          </cell>
          <cell r="DB1" t="str">
            <v>Allocation 11 Sector</v>
          </cell>
          <cell r="DC1" t="str">
            <v>Allocation 11 Value</v>
          </cell>
          <cell r="DD1" t="str">
            <v>Allocation 12 Country</v>
          </cell>
          <cell r="DE1" t="str">
            <v>Allocation 12 Sector</v>
          </cell>
          <cell r="DF1" t="str">
            <v>Allocation 12 Value</v>
          </cell>
          <cell r="DG1" t="str">
            <v>Allocation 13 Country</v>
          </cell>
          <cell r="DH1" t="str">
            <v>Allocation 13 Sector</v>
          </cell>
          <cell r="DI1" t="str">
            <v>Allocation 13 Value</v>
          </cell>
          <cell r="DJ1" t="str">
            <v>Allocation 14 Country</v>
          </cell>
          <cell r="DK1" t="str">
            <v>Allocation 14 Sector</v>
          </cell>
          <cell r="DL1" t="str">
            <v>Allocation 14 Value</v>
          </cell>
          <cell r="DM1" t="str">
            <v>Allocation 15 Country</v>
          </cell>
          <cell r="DN1" t="str">
            <v>Allocation 15 Sector</v>
          </cell>
          <cell r="DO1" t="str">
            <v>Allocation 15 Value</v>
          </cell>
          <cell r="DP1" t="str">
            <v>Allocation 16 Country</v>
          </cell>
          <cell r="DQ1" t="str">
            <v>Allocation 16 Sector</v>
          </cell>
          <cell r="DR1" t="str">
            <v>Allocation 16 Value</v>
          </cell>
          <cell r="DS1" t="str">
            <v>Allocation 17 Country</v>
          </cell>
          <cell r="DT1" t="str">
            <v>Allocation 17 Sector</v>
          </cell>
          <cell r="DU1" t="str">
            <v>Allocation 17 Value</v>
          </cell>
          <cell r="DV1" t="str">
            <v>Allocation 18 Country</v>
          </cell>
          <cell r="DW1" t="str">
            <v>Allocation 18 Sector</v>
          </cell>
          <cell r="DX1" t="str">
            <v>Allocation 18 Value</v>
          </cell>
          <cell r="DY1" t="str">
            <v>Allocation 19 Country</v>
          </cell>
          <cell r="DZ1" t="str">
            <v>Allocation 19 Sector</v>
          </cell>
          <cell r="EA1" t="str">
            <v>Allocation 19 Value</v>
          </cell>
          <cell r="EB1" t="str">
            <v>Allocation 20 Country</v>
          </cell>
          <cell r="EC1" t="str">
            <v>Allocation 20 Sector</v>
          </cell>
          <cell r="ED1" t="str">
            <v>Allocation 20 Value</v>
          </cell>
          <cell r="EE1" t="str">
            <v>Allocation 21 Country</v>
          </cell>
          <cell r="EF1" t="str">
            <v>Allocation 21 Sector</v>
          </cell>
          <cell r="EG1" t="str">
            <v>Allocation 21 Value</v>
          </cell>
          <cell r="EH1" t="str">
            <v>Allocation 22 Country</v>
          </cell>
          <cell r="EI1" t="str">
            <v>Allocation 22 Sector</v>
          </cell>
          <cell r="EJ1" t="str">
            <v>Allocation 22 Value</v>
          </cell>
          <cell r="EK1" t="str">
            <v>Allocation 23 Country</v>
          </cell>
          <cell r="EL1" t="str">
            <v>Allocation 23 Sector</v>
          </cell>
          <cell r="EM1" t="str">
            <v>Allocation 23 Value</v>
          </cell>
          <cell r="EN1" t="str">
            <v>Allocation 24 Country</v>
          </cell>
          <cell r="EO1" t="str">
            <v>Allocation 24 Sector</v>
          </cell>
          <cell r="EP1" t="str">
            <v>Allocation 24 Value</v>
          </cell>
          <cell r="EQ1" t="str">
            <v>Allocation 25 Country</v>
          </cell>
          <cell r="ER1" t="str">
            <v>Allocation 25 Sector</v>
          </cell>
          <cell r="ES1" t="str">
            <v>Allocation 25 Value</v>
          </cell>
          <cell r="ET1" t="str">
            <v>Allocation 26 Country</v>
          </cell>
          <cell r="EU1" t="str">
            <v>Allocation 26 Sector</v>
          </cell>
        </row>
        <row r="2">
          <cell r="A2">
            <v>632</v>
          </cell>
          <cell r="B2" t="str">
            <v>AB ALTERNATIVE SICAV-SIF</v>
          </cell>
          <cell r="C2" t="str">
            <v xml:space="preserve">ARABBANK (SWITZERLAND) LTD. </v>
          </cell>
          <cell r="D2" t="str">
            <v>Place de Longemalle 10-12</v>
          </cell>
          <cell r="E2">
            <v>1204</v>
          </cell>
          <cell r="F2" t="str">
            <v>Geneva</v>
          </cell>
          <cell r="G2" t="str">
            <v>Switzerland</v>
          </cell>
          <cell r="H2" t="str">
            <v>+41 22 715 12 11</v>
          </cell>
          <cell r="I2" t="str">
            <v xml:space="preserve">+41 22 715 13 11 </v>
          </cell>
          <cell r="J2" t="str">
            <v>https://www.ab-europeanrealestate.com/</v>
          </cell>
          <cell r="K2" t="str">
            <v>Pierre-Marie GIET</v>
          </cell>
          <cell r="L2" t="str">
            <v>PGIET@ARABBANK.CH</v>
          </cell>
          <cell r="M2" t="str">
            <v xml:space="preserve">+41 22 715 13 15 </v>
          </cell>
          <cell r="N2" t="str">
            <v>Pierre-Marie GIET</v>
          </cell>
          <cell r="O2" t="str">
            <v>PGIET@ARABBANK.CH</v>
          </cell>
          <cell r="P2" t="str">
            <v xml:space="preserve">+41 22 715 13 15 </v>
          </cell>
          <cell r="Q2" t="str">
            <v>Luxembourg</v>
          </cell>
          <cell r="R2" t="str">
            <v>EUR</v>
          </cell>
          <cell r="S2" t="str">
            <v>IFRS</v>
          </cell>
          <cell r="T2" t="str">
            <v>Quarterly</v>
          </cell>
          <cell r="U2" t="str">
            <v>Quarterly</v>
          </cell>
          <cell r="V2" t="str">
            <v>RICS</v>
          </cell>
          <cell r="W2" t="str">
            <v>IFRS NAV</v>
          </cell>
          <cell r="X2" t="str">
            <v>Deloitte</v>
          </cell>
          <cell r="Y2" t="str">
            <v>SICAV</v>
          </cell>
          <cell r="Z2" t="str">
            <v>Yes</v>
          </cell>
          <cell r="AA2" t="str">
            <v>Yes</v>
          </cell>
          <cell r="AB2">
            <v>2</v>
          </cell>
          <cell r="AC2" t="str">
            <v>Non-Listed Fund</v>
          </cell>
          <cell r="AD2" t="str">
            <v>Core</v>
          </cell>
          <cell r="AE2" t="str">
            <v>infinite</v>
          </cell>
          <cell r="AF2" t="str">
            <v>Open end</v>
          </cell>
          <cell r="AG2">
            <v>8</v>
          </cell>
          <cell r="AH2">
            <v>10</v>
          </cell>
          <cell r="AI2" t="str">
            <v>Net</v>
          </cell>
          <cell r="AK2">
            <v>4.5</v>
          </cell>
          <cell r="AL2">
            <v>60</v>
          </cell>
          <cell r="AM2" t="str">
            <v>&gt; 40% - ≤ 60%</v>
          </cell>
          <cell r="AN2" t="str">
            <v>Institutional and Retail</v>
          </cell>
          <cell r="AO2" t="str">
            <v>&gt; 2</v>
          </cell>
          <cell r="AP2" t="str">
            <v>&lt; 50%</v>
          </cell>
          <cell r="AQ2" t="str">
            <v>Europe</v>
          </cell>
          <cell r="AR2" t="str">
            <v>multi country</v>
          </cell>
          <cell r="AS2" t="str">
            <v>Europe</v>
          </cell>
          <cell r="AU2" t="str">
            <v>multi sector</v>
          </cell>
          <cell r="AW2">
            <v>250000000</v>
          </cell>
          <cell r="AX2">
            <v>500000000</v>
          </cell>
          <cell r="AY2">
            <v>2016</v>
          </cell>
          <cell r="BA2" t="str">
            <v>Yes</v>
          </cell>
          <cell r="BB2" t="str">
            <v>No</v>
          </cell>
          <cell r="BD2" t="str">
            <v>No</v>
          </cell>
          <cell r="BH2" t="str">
            <v>2019-03-31</v>
          </cell>
          <cell r="BI2">
            <v>182600000</v>
          </cell>
          <cell r="BJ2">
            <v>182600000</v>
          </cell>
          <cell r="BK2">
            <v>105300000</v>
          </cell>
          <cell r="BL2">
            <v>105300000</v>
          </cell>
          <cell r="BM2">
            <v>43</v>
          </cell>
          <cell r="BN2" t="str">
            <v>Yes</v>
          </cell>
          <cell r="BO2" t="str">
            <v>External</v>
          </cell>
          <cell r="BQ2">
            <v>12</v>
          </cell>
          <cell r="BR2">
            <v>94400000</v>
          </cell>
          <cell r="BS2">
            <v>94400000</v>
          </cell>
          <cell r="BU2">
            <v>0</v>
          </cell>
        </row>
        <row r="3">
          <cell r="A3">
            <v>633</v>
          </cell>
          <cell r="B3" t="str">
            <v>AB CPFM REAL ESTATE HOLDING</v>
          </cell>
          <cell r="C3" t="str">
            <v>EQUITY ESTATE PROPERTY FUND MANAGEMENT BV</v>
          </cell>
          <cell r="D3" t="str">
            <v>Kabelweg 37</v>
          </cell>
          <cell r="E3" t="str">
            <v>1014 BA</v>
          </cell>
          <cell r="F3" t="str">
            <v>Amsterdam</v>
          </cell>
          <cell r="G3" t="str">
            <v>Netherlands</v>
          </cell>
          <cell r="H3" t="str">
            <v>+31 (0)20 4881442</v>
          </cell>
          <cell r="I3" t="str">
            <v>+31 (0)20 6889703</v>
          </cell>
          <cell r="K3" t="str">
            <v>Enrico van Erkelens</v>
          </cell>
          <cell r="L3" t="str">
            <v>vanerkelens@equityestate.nl</v>
          </cell>
          <cell r="M3" t="str">
            <v>+31 (0)20 4881442</v>
          </cell>
          <cell r="N3" t="str">
            <v>Enrico van Erkelens</v>
          </cell>
          <cell r="O3" t="str">
            <v>vanerkelens@equityestate.nl</v>
          </cell>
          <cell r="P3" t="str">
            <v>+31 (0)20 4881442</v>
          </cell>
          <cell r="Q3" t="str">
            <v>Netherlands</v>
          </cell>
          <cell r="R3" t="str">
            <v>EUR</v>
          </cell>
          <cell r="S3" t="str">
            <v>IFRS</v>
          </cell>
          <cell r="T3" t="str">
            <v>Quarterly</v>
          </cell>
          <cell r="U3" t="str">
            <v>Annually</v>
          </cell>
          <cell r="X3" t="str">
            <v>Deloitte</v>
          </cell>
          <cell r="Y3" t="str">
            <v>BV</v>
          </cell>
          <cell r="Z3" t="str">
            <v>No</v>
          </cell>
          <cell r="AA3" t="str">
            <v>Yes</v>
          </cell>
          <cell r="AB3">
            <v>1</v>
          </cell>
          <cell r="AC3" t="str">
            <v>Non-Listed Fund</v>
          </cell>
          <cell r="AD3" t="str">
            <v>Value-added</v>
          </cell>
          <cell r="AE3" t="str">
            <v>finite</v>
          </cell>
          <cell r="AF3" t="str">
            <v>Closed end</v>
          </cell>
          <cell r="AG3">
            <v>10</v>
          </cell>
          <cell r="AH3">
            <v>10</v>
          </cell>
          <cell r="AK3">
            <v>8</v>
          </cell>
          <cell r="AL3">
            <v>50</v>
          </cell>
          <cell r="AQ3" t="str">
            <v>Europe</v>
          </cell>
          <cell r="AR3" t="str">
            <v>multi country</v>
          </cell>
          <cell r="AS3" t="str">
            <v>Europe</v>
          </cell>
          <cell r="AU3" t="str">
            <v>multi sector</v>
          </cell>
          <cell r="AW3">
            <v>50000000</v>
          </cell>
          <cell r="AX3">
            <v>125000000</v>
          </cell>
          <cell r="AY3">
            <v>2006</v>
          </cell>
          <cell r="AZ3">
            <v>2014</v>
          </cell>
          <cell r="BH3" t="str">
            <v>2017-06-30</v>
          </cell>
          <cell r="BI3">
            <v>72887147</v>
          </cell>
          <cell r="BJ3">
            <v>72887147</v>
          </cell>
          <cell r="BK3">
            <v>67525000</v>
          </cell>
          <cell r="BL3">
            <v>67525000</v>
          </cell>
          <cell r="BM3">
            <v>50</v>
          </cell>
          <cell r="BN3" t="str">
            <v>Yes</v>
          </cell>
          <cell r="BO3" t="str">
            <v>External</v>
          </cell>
          <cell r="BQ3">
            <v>11</v>
          </cell>
          <cell r="BR3">
            <v>50000000</v>
          </cell>
          <cell r="BS3">
            <v>50000000</v>
          </cell>
          <cell r="BT3">
            <v>50000000</v>
          </cell>
          <cell r="BU3">
            <v>50000000</v>
          </cell>
          <cell r="BV3" t="str">
            <v>No</v>
          </cell>
          <cell r="BW3" t="str">
            <v>Belgium</v>
          </cell>
          <cell r="BX3" t="str">
            <v>Office</v>
          </cell>
          <cell r="BY3">
            <v>11</v>
          </cell>
          <cell r="BZ3" t="str">
            <v>Belgium</v>
          </cell>
          <cell r="CA3" t="str">
            <v>Retail</v>
          </cell>
          <cell r="CB3">
            <v>5</v>
          </cell>
          <cell r="CC3" t="str">
            <v>Germany</v>
          </cell>
          <cell r="CD3" t="str">
            <v>Industrial / Logistics</v>
          </cell>
          <cell r="CE3">
            <v>35</v>
          </cell>
          <cell r="CF3" t="str">
            <v>Germany</v>
          </cell>
          <cell r="CG3" t="str">
            <v>Retail</v>
          </cell>
          <cell r="CH3">
            <v>7</v>
          </cell>
          <cell r="CI3" t="str">
            <v>Netherlands</v>
          </cell>
          <cell r="CJ3" t="str">
            <v>Industrial / Logistics</v>
          </cell>
          <cell r="CK3">
            <v>5</v>
          </cell>
          <cell r="CL3" t="str">
            <v>Netherlands</v>
          </cell>
          <cell r="CM3" t="str">
            <v>Office</v>
          </cell>
          <cell r="CN3">
            <v>37</v>
          </cell>
        </row>
        <row r="4">
          <cell r="A4">
            <v>637</v>
          </cell>
          <cell r="B4" t="str">
            <v>ABERDEEN PAN-EUROPE CORE PROPERTY FUND</v>
          </cell>
          <cell r="C4" t="str">
            <v>ABERDEEN ASSET MANAGEMENT DEUTSCHLAND AG</v>
          </cell>
          <cell r="D4" t="str">
            <v>Bettinastraße 53-55</v>
          </cell>
          <cell r="E4">
            <v>60325</v>
          </cell>
          <cell r="F4" t="str">
            <v>Frankfurt am Main</v>
          </cell>
          <cell r="G4" t="str">
            <v>Germany</v>
          </cell>
          <cell r="H4" t="str">
            <v>+49 69 768072-0</v>
          </cell>
          <cell r="I4" t="str">
            <v>+49 69 768072256</v>
          </cell>
          <cell r="J4" t="str">
            <v>http://www.aberdeen-asset.de</v>
          </cell>
          <cell r="K4" t="str">
            <v>Attila Molnar</v>
          </cell>
          <cell r="L4" t="str">
            <v>attila.molnar@aberdeen-asset.com</v>
          </cell>
          <cell r="M4" t="str">
            <v>+49 69 768072204</v>
          </cell>
          <cell r="N4" t="str">
            <v>Robert Bauer</v>
          </cell>
          <cell r="O4" t="str">
            <v>info.germany@aberdeen-asset.com</v>
          </cell>
          <cell r="P4" t="str">
            <v>+49 69 768072-0</v>
          </cell>
          <cell r="Q4" t="str">
            <v>Germany</v>
          </cell>
          <cell r="R4" t="str">
            <v>EUR</v>
          </cell>
          <cell r="S4" t="str">
            <v>Local GAAP</v>
          </cell>
          <cell r="T4" t="str">
            <v>Annually</v>
          </cell>
          <cell r="U4" t="str">
            <v>Annually</v>
          </cell>
          <cell r="V4" t="str">
            <v>Other - mark to market</v>
          </cell>
          <cell r="W4" t="str">
            <v>mark to market</v>
          </cell>
          <cell r="X4" t="str">
            <v>KPMG AG</v>
          </cell>
          <cell r="Y4" t="str">
            <v>Spezialfonds</v>
          </cell>
          <cell r="Z4" t="str">
            <v>No</v>
          </cell>
          <cell r="AA4" t="str">
            <v>Yes</v>
          </cell>
          <cell r="AC4" t="str">
            <v>Non-Listed Fund</v>
          </cell>
          <cell r="AD4" t="str">
            <v>Core</v>
          </cell>
          <cell r="AE4" t="str">
            <v>infinite</v>
          </cell>
          <cell r="AF4" t="str">
            <v>Open end</v>
          </cell>
          <cell r="AM4" t="str">
            <v>&gt; 40% - ≤ 60%</v>
          </cell>
          <cell r="AN4" t="str">
            <v>Institutional</v>
          </cell>
          <cell r="AO4" t="str">
            <v>&gt; 2</v>
          </cell>
          <cell r="AP4" t="str">
            <v>≥ 50%</v>
          </cell>
          <cell r="AQ4" t="str">
            <v>Europe</v>
          </cell>
          <cell r="AR4" t="str">
            <v>multi country</v>
          </cell>
          <cell r="AS4" t="str">
            <v>Europe</v>
          </cell>
          <cell r="AU4" t="str">
            <v>multi sector</v>
          </cell>
          <cell r="AY4">
            <v>2011</v>
          </cell>
          <cell r="BB4" t="str">
            <v>No</v>
          </cell>
          <cell r="BD4" t="str">
            <v>No</v>
          </cell>
          <cell r="BH4" t="str">
            <v>2020-12-31</v>
          </cell>
          <cell r="BI4">
            <v>100173485.5</v>
          </cell>
          <cell r="BJ4">
            <v>100173485.5</v>
          </cell>
          <cell r="BK4">
            <v>98788268.469999999</v>
          </cell>
          <cell r="BL4">
            <v>98788268.469999999</v>
          </cell>
          <cell r="BM4">
            <v>0</v>
          </cell>
          <cell r="BN4" t="str">
            <v>No</v>
          </cell>
          <cell r="BO4" t="str">
            <v>External</v>
          </cell>
          <cell r="BP4">
            <v>6</v>
          </cell>
          <cell r="BQ4">
            <v>2</v>
          </cell>
          <cell r="BR4">
            <v>126299979.2</v>
          </cell>
          <cell r="BS4">
            <v>126299979.2</v>
          </cell>
          <cell r="BT4">
            <v>126299979.2</v>
          </cell>
          <cell r="BU4">
            <v>126299979.2</v>
          </cell>
          <cell r="BV4" t="str">
            <v>No</v>
          </cell>
          <cell r="BW4" t="str">
            <v>Belgium</v>
          </cell>
          <cell r="BX4" t="str">
            <v>Development Office</v>
          </cell>
          <cell r="BY4">
            <v>69.900000000000006</v>
          </cell>
        </row>
        <row r="5">
          <cell r="A5">
            <v>3</v>
          </cell>
          <cell r="B5" t="str">
            <v>ABERDEEN PROPERTY FUND FINLAND I KY</v>
          </cell>
          <cell r="C5" t="str">
            <v>ABERDEEN ASSET MANAGEMENT FINLAND OY</v>
          </cell>
          <cell r="D5" t="str">
            <v>Kaivokatu 6</v>
          </cell>
          <cell r="E5">
            <v>100</v>
          </cell>
          <cell r="F5" t="str">
            <v>Helsinki</v>
          </cell>
          <cell r="G5" t="str">
            <v>Finland</v>
          </cell>
          <cell r="H5" t="str">
            <v>+358 (0) 10 304 100</v>
          </cell>
          <cell r="I5" t="str">
            <v>+358 (0) 10 304 0303</v>
          </cell>
          <cell r="J5" t="str">
            <v>http://www.aberdeen-asset.com</v>
          </cell>
          <cell r="K5" t="str">
            <v>Ville Raitio</v>
          </cell>
          <cell r="L5" t="str">
            <v>ville.raitio@aberdeen-asset.com</v>
          </cell>
          <cell r="M5" t="str">
            <v>+358 (0) 10 3040 521</v>
          </cell>
          <cell r="N5" t="str">
            <v>Pia Michelsson</v>
          </cell>
          <cell r="O5" t="str">
            <v>pia.michelsson@aberdeen-asset.com</v>
          </cell>
          <cell r="P5" t="str">
            <v>+358 (0) 10 3040 530</v>
          </cell>
          <cell r="Q5" t="str">
            <v>Finland</v>
          </cell>
          <cell r="R5" t="str">
            <v>EUR</v>
          </cell>
          <cell r="S5" t="str">
            <v>IFRS</v>
          </cell>
          <cell r="T5" t="str">
            <v>Quarterly</v>
          </cell>
          <cell r="U5" t="str">
            <v>Quarterly</v>
          </cell>
          <cell r="W5" t="str">
            <v>INREV NAV</v>
          </cell>
          <cell r="X5" t="str">
            <v>PriceWaterhouseCoopers</v>
          </cell>
          <cell r="Y5" t="str">
            <v>Limited Partnership</v>
          </cell>
          <cell r="Z5" t="str">
            <v>Yes</v>
          </cell>
          <cell r="AA5" t="str">
            <v>Yes</v>
          </cell>
          <cell r="AB5">
            <v>1</v>
          </cell>
          <cell r="AC5" t="str">
            <v>Non-Listed Fund</v>
          </cell>
          <cell r="AD5" t="str">
            <v>Core</v>
          </cell>
          <cell r="AE5" t="str">
            <v>infinite</v>
          </cell>
          <cell r="AF5" t="str">
            <v>Open end</v>
          </cell>
          <cell r="AG5">
            <v>10</v>
          </cell>
          <cell r="AH5">
            <v>18</v>
          </cell>
          <cell r="AI5" t="str">
            <v>Net</v>
          </cell>
          <cell r="AJ5" t="str">
            <v>10%</v>
          </cell>
          <cell r="AK5">
            <v>6</v>
          </cell>
          <cell r="AL5">
            <v>50</v>
          </cell>
          <cell r="AM5" t="str">
            <v>&gt; 60%</v>
          </cell>
          <cell r="AN5" t="str">
            <v>Institutional</v>
          </cell>
          <cell r="AO5" t="str">
            <v>&gt; 2</v>
          </cell>
          <cell r="AP5" t="str">
            <v>≥ 50%</v>
          </cell>
          <cell r="AQ5" t="str">
            <v>Europe</v>
          </cell>
          <cell r="AR5" t="str">
            <v>single country</v>
          </cell>
          <cell r="AT5" t="str">
            <v>Finland</v>
          </cell>
          <cell r="AU5" t="str">
            <v>multi sector</v>
          </cell>
          <cell r="AW5">
            <v>250000000</v>
          </cell>
          <cell r="AX5">
            <v>500000000</v>
          </cell>
          <cell r="AY5">
            <v>2006</v>
          </cell>
          <cell r="BA5" t="str">
            <v>No</v>
          </cell>
          <cell r="BB5" t="str">
            <v>No</v>
          </cell>
          <cell r="BD5" t="str">
            <v>Yes</v>
          </cell>
          <cell r="BH5" t="str">
            <v>2020-03-31</v>
          </cell>
          <cell r="BI5">
            <v>230073100</v>
          </cell>
          <cell r="BJ5">
            <v>230073100</v>
          </cell>
          <cell r="BK5">
            <v>122618961</v>
          </cell>
          <cell r="BL5">
            <v>122618961</v>
          </cell>
          <cell r="BM5">
            <v>46.7</v>
          </cell>
          <cell r="BN5" t="str">
            <v>Yes</v>
          </cell>
          <cell r="BO5" t="str">
            <v>External</v>
          </cell>
          <cell r="BS5">
            <v>0</v>
          </cell>
          <cell r="BW5" t="str">
            <v>Finland</v>
          </cell>
          <cell r="BX5" t="str">
            <v>Industrial / Logistics</v>
          </cell>
          <cell r="BY5">
            <v>38</v>
          </cell>
          <cell r="BZ5" t="str">
            <v>Finland</v>
          </cell>
          <cell r="CA5" t="str">
            <v>Retail</v>
          </cell>
          <cell r="CB5">
            <v>47</v>
          </cell>
          <cell r="CC5" t="str">
            <v>Finland</v>
          </cell>
          <cell r="CD5" t="str">
            <v>Office</v>
          </cell>
          <cell r="CE5">
            <v>15</v>
          </cell>
        </row>
        <row r="6">
          <cell r="A6">
            <v>4</v>
          </cell>
          <cell r="B6" t="str">
            <v>ABERDEEN PROPERTY FUND NORWAY I</v>
          </cell>
          <cell r="C6" t="str">
            <v>ABERDEEN ASSET MANAGEMENT NORWAY AS</v>
          </cell>
          <cell r="D6" t="str">
            <v>PO Box 2882 Solli</v>
          </cell>
          <cell r="E6">
            <v>230</v>
          </cell>
          <cell r="F6" t="str">
            <v>Oslo</v>
          </cell>
          <cell r="G6" t="str">
            <v>Norway</v>
          </cell>
          <cell r="H6" t="str">
            <v>+47 2201 2700</v>
          </cell>
          <cell r="I6" t="str">
            <v>+47 2201 2701</v>
          </cell>
          <cell r="J6" t="str">
            <v>http://www.aberdeen-asset.com</v>
          </cell>
          <cell r="K6" t="str">
            <v>Knut Haraldson</v>
          </cell>
          <cell r="L6" t="str">
            <v>knut.haraldson@aberdeen-asset.com</v>
          </cell>
          <cell r="M6" t="str">
            <v>+47 2201 2700</v>
          </cell>
          <cell r="N6" t="str">
            <v>Alessandro Bronda</v>
          </cell>
          <cell r="O6" t="str">
            <v>alessandro.bronda@aberdeen-asset.com</v>
          </cell>
          <cell r="P6" t="str">
            <v>+47 91605822</v>
          </cell>
          <cell r="Q6" t="str">
            <v>Norway</v>
          </cell>
          <cell r="R6" t="str">
            <v>NOK</v>
          </cell>
          <cell r="S6" t="str">
            <v>Local GAAP</v>
          </cell>
          <cell r="T6" t="str">
            <v>Quarterly</v>
          </cell>
          <cell r="U6" t="str">
            <v>Quarterly</v>
          </cell>
          <cell r="W6" t="str">
            <v>INREV NAV</v>
          </cell>
          <cell r="X6" t="str">
            <v>BDO Noraudit</v>
          </cell>
          <cell r="Y6" t="str">
            <v>Joint Ownership</v>
          </cell>
          <cell r="Z6" t="str">
            <v>No</v>
          </cell>
          <cell r="AA6" t="str">
            <v>Yes</v>
          </cell>
          <cell r="AB6">
            <v>0</v>
          </cell>
          <cell r="AC6" t="str">
            <v>Non-Listed Fund</v>
          </cell>
          <cell r="AD6" t="str">
            <v>Core</v>
          </cell>
          <cell r="AE6" t="str">
            <v>finite</v>
          </cell>
          <cell r="AF6" t="str">
            <v>Open end</v>
          </cell>
          <cell r="AG6">
            <v>9</v>
          </cell>
          <cell r="AH6">
            <v>12</v>
          </cell>
          <cell r="AI6" t="str">
            <v>Net</v>
          </cell>
          <cell r="AJ6" t="str">
            <v>Norwegian Property Index IPD (portfolio level)</v>
          </cell>
          <cell r="AK6">
            <v>6</v>
          </cell>
          <cell r="AN6" t="str">
            <v>Institutional</v>
          </cell>
          <cell r="AO6" t="str">
            <v>&gt; 2</v>
          </cell>
          <cell r="AP6" t="str">
            <v>≥ 50%</v>
          </cell>
          <cell r="AQ6" t="str">
            <v>Europe</v>
          </cell>
          <cell r="AR6" t="str">
            <v>single country</v>
          </cell>
          <cell r="AT6" t="str">
            <v>Norway</v>
          </cell>
          <cell r="AU6" t="str">
            <v>multi sector</v>
          </cell>
          <cell r="AW6">
            <v>8000000000</v>
          </cell>
          <cell r="AX6">
            <v>8000000000</v>
          </cell>
          <cell r="AY6">
            <v>2004</v>
          </cell>
          <cell r="BA6" t="str">
            <v>No</v>
          </cell>
          <cell r="BB6" t="str">
            <v>No</v>
          </cell>
          <cell r="BC6" t="str">
            <v>1+1+1 years</v>
          </cell>
          <cell r="BG6" t="str">
            <v>≤ 5%</v>
          </cell>
          <cell r="BH6" t="str">
            <v>2020-12-31</v>
          </cell>
          <cell r="BI6">
            <v>10948692541</v>
          </cell>
          <cell r="BJ6">
            <v>1040830159.106586</v>
          </cell>
          <cell r="BK6">
            <v>10549505240</v>
          </cell>
          <cell r="BL6">
            <v>1002881684.395357</v>
          </cell>
          <cell r="BM6">
            <v>0</v>
          </cell>
          <cell r="BN6" t="str">
            <v>Yes</v>
          </cell>
          <cell r="BO6" t="str">
            <v>External</v>
          </cell>
          <cell r="BP6">
            <v>97</v>
          </cell>
          <cell r="BQ6">
            <v>32</v>
          </cell>
          <cell r="BR6">
            <v>8921241968</v>
          </cell>
          <cell r="BS6">
            <v>809203364.36541378</v>
          </cell>
          <cell r="BT6">
            <v>8838041968</v>
          </cell>
          <cell r="BU6">
            <v>801656688.67197382</v>
          </cell>
          <cell r="BV6" t="str">
            <v>Yes</v>
          </cell>
          <cell r="BW6" t="str">
            <v>Norway</v>
          </cell>
          <cell r="BX6" t="str">
            <v>Other</v>
          </cell>
          <cell r="BY6">
            <v>7.1</v>
          </cell>
          <cell r="BZ6" t="str">
            <v>Norway</v>
          </cell>
          <cell r="CA6" t="str">
            <v>Industrial / Logistics</v>
          </cell>
          <cell r="CB6">
            <v>17.7</v>
          </cell>
          <cell r="CC6" t="str">
            <v>Norway</v>
          </cell>
          <cell r="CD6" t="str">
            <v>Retail</v>
          </cell>
          <cell r="CE6">
            <v>15.4</v>
          </cell>
          <cell r="CF6" t="str">
            <v>Norway</v>
          </cell>
          <cell r="CG6" t="str">
            <v>Office</v>
          </cell>
          <cell r="CH6">
            <v>59.8</v>
          </cell>
        </row>
        <row r="7">
          <cell r="A7">
            <v>9</v>
          </cell>
          <cell r="B7" t="str">
            <v>ABERDEEN PROPERTY NORDIC FUND I SICAV-FIS</v>
          </cell>
          <cell r="C7" t="str">
            <v>ABERDEEN MANAGEMENT SERVICES S.A.</v>
          </cell>
          <cell r="D7" t="str">
            <v>2B, Rue Borschette</v>
          </cell>
          <cell r="E7">
            <v>1246</v>
          </cell>
          <cell r="F7" t="str">
            <v>Luxembourg</v>
          </cell>
          <cell r="G7" t="str">
            <v>Luxembourg</v>
          </cell>
          <cell r="H7" t="str">
            <v>+35226005728</v>
          </cell>
          <cell r="I7" t="str">
            <v>+35226005816</v>
          </cell>
          <cell r="J7" t="str">
            <v>https://www.aberdeenstandard.com</v>
          </cell>
          <cell r="K7" t="str">
            <v>Marc Pamin</v>
          </cell>
          <cell r="L7" t="str">
            <v>marc.pamin@aberdeen-asset.com</v>
          </cell>
          <cell r="M7" t="str">
            <v>+4969768072354</v>
          </cell>
          <cell r="N7" t="str">
            <v>Marc Pamin</v>
          </cell>
          <cell r="O7" t="str">
            <v>marc.pamin@aberdeen-asset.com</v>
          </cell>
          <cell r="P7" t="str">
            <v>+4969768072354</v>
          </cell>
          <cell r="Q7" t="str">
            <v>Luxembourg</v>
          </cell>
          <cell r="R7" t="str">
            <v>EUR</v>
          </cell>
          <cell r="S7" t="str">
            <v>Local GAAP</v>
          </cell>
          <cell r="T7" t="str">
            <v>Quarterly</v>
          </cell>
          <cell r="U7" t="str">
            <v>Annually</v>
          </cell>
          <cell r="V7" t="str">
            <v>RICS</v>
          </cell>
          <cell r="W7" t="str">
            <v>IFRS NAV</v>
          </cell>
          <cell r="X7" t="str">
            <v>RBC Dexia Luxembourg S.A. (Custodian)</v>
          </cell>
          <cell r="Y7" t="str">
            <v>SICAV</v>
          </cell>
          <cell r="Z7" t="str">
            <v>No</v>
          </cell>
          <cell r="AA7" t="str">
            <v>Yes</v>
          </cell>
          <cell r="AB7">
            <v>3</v>
          </cell>
          <cell r="AC7" t="str">
            <v>Non-Listed Fund</v>
          </cell>
          <cell r="AD7" t="str">
            <v>Core</v>
          </cell>
          <cell r="AE7" t="str">
            <v>infinite</v>
          </cell>
          <cell r="AF7" t="str">
            <v>Open end</v>
          </cell>
          <cell r="AG7">
            <v>7</v>
          </cell>
          <cell r="AH7">
            <v>8</v>
          </cell>
          <cell r="AI7" t="str">
            <v>Net</v>
          </cell>
          <cell r="AJ7" t="str">
            <v>IPD</v>
          </cell>
          <cell r="AK7">
            <v>4.5</v>
          </cell>
          <cell r="AL7">
            <v>40</v>
          </cell>
          <cell r="AM7" t="str">
            <v>≤ 40%</v>
          </cell>
          <cell r="AN7" t="str">
            <v>Institutional</v>
          </cell>
          <cell r="AO7" t="str">
            <v>&gt; 2</v>
          </cell>
          <cell r="AP7" t="str">
            <v>≥ 50%</v>
          </cell>
          <cell r="AQ7" t="str">
            <v>Europe</v>
          </cell>
          <cell r="AR7" t="str">
            <v>multi country</v>
          </cell>
          <cell r="AS7" t="str">
            <v>Nordic</v>
          </cell>
          <cell r="AU7" t="str">
            <v>multi sector</v>
          </cell>
          <cell r="AW7">
            <v>500000000</v>
          </cell>
          <cell r="AX7">
            <v>500000000</v>
          </cell>
          <cell r="AY7">
            <v>2006</v>
          </cell>
          <cell r="BA7" t="str">
            <v>Yes</v>
          </cell>
          <cell r="BB7" t="str">
            <v>Yes</v>
          </cell>
          <cell r="BC7" t="str">
            <v xml:space="preserve">no specific period </v>
          </cell>
          <cell r="BD7" t="str">
            <v>Yes</v>
          </cell>
          <cell r="BF7" t="str">
            <v>≤ 15%</v>
          </cell>
          <cell r="BG7" t="str">
            <v>≤ 5%</v>
          </cell>
          <cell r="BH7" t="str">
            <v>2019-06-30</v>
          </cell>
          <cell r="BI7">
            <v>472444829.38999999</v>
          </cell>
          <cell r="BJ7">
            <v>472444829.38999999</v>
          </cell>
          <cell r="BK7">
            <v>355810357.06999999</v>
          </cell>
          <cell r="BL7">
            <v>355810357.06999999</v>
          </cell>
          <cell r="BM7">
            <v>22.3</v>
          </cell>
          <cell r="BN7" t="str">
            <v>No</v>
          </cell>
          <cell r="BO7" t="str">
            <v>External</v>
          </cell>
          <cell r="BP7">
            <v>13</v>
          </cell>
          <cell r="BQ7">
            <v>15</v>
          </cell>
          <cell r="BS7">
            <v>0</v>
          </cell>
          <cell r="BT7">
            <v>361231963.95999998</v>
          </cell>
          <cell r="BW7" t="str">
            <v>Denmark</v>
          </cell>
          <cell r="BX7" t="str">
            <v>Office</v>
          </cell>
          <cell r="BY7">
            <v>6.9</v>
          </cell>
          <cell r="BZ7" t="str">
            <v>Denmark</v>
          </cell>
          <cell r="CA7" t="str">
            <v>Retail</v>
          </cell>
          <cell r="CB7">
            <v>26.8</v>
          </cell>
          <cell r="CC7" t="str">
            <v>Finland</v>
          </cell>
          <cell r="CD7" t="str">
            <v>Office</v>
          </cell>
          <cell r="CE7">
            <v>16.7</v>
          </cell>
          <cell r="CF7" t="str">
            <v>Norway</v>
          </cell>
          <cell r="CG7" t="str">
            <v>Office</v>
          </cell>
          <cell r="CH7">
            <v>11.4</v>
          </cell>
          <cell r="CI7" t="str">
            <v>Norway</v>
          </cell>
          <cell r="CJ7" t="str">
            <v>Retail</v>
          </cell>
          <cell r="CK7">
            <v>7.1</v>
          </cell>
          <cell r="CL7" t="str">
            <v>Sweden</v>
          </cell>
          <cell r="CM7" t="str">
            <v>Office</v>
          </cell>
          <cell r="CN7">
            <v>28.5</v>
          </cell>
          <cell r="CO7" t="str">
            <v>Sweden</v>
          </cell>
          <cell r="CP7" t="str">
            <v>Retail</v>
          </cell>
          <cell r="CQ7">
            <v>2.6</v>
          </cell>
        </row>
        <row r="8">
          <cell r="A8">
            <v>507</v>
          </cell>
          <cell r="B8" t="str">
            <v>ABERDEEN PROPERTY UK RETAIL PARKS TRUST</v>
          </cell>
          <cell r="C8" t="str">
            <v>ABERDEEN PROPERTY FUND MANAGEMENT (JERSEY) LIMITED</v>
          </cell>
          <cell r="D8" t="str">
            <v>22 Grenville Street</v>
          </cell>
          <cell r="E8" t="str">
            <v>JE4 8PX</v>
          </cell>
          <cell r="F8" t="str">
            <v>St Helier</v>
          </cell>
          <cell r="H8" t="str">
            <v>+44 (0)1534 609 000</v>
          </cell>
          <cell r="I8" t="str">
            <v>+44 (0)1534 609 333</v>
          </cell>
          <cell r="J8" t="str">
            <v>http://www.aberdeen-asset.com</v>
          </cell>
          <cell r="K8" t="str">
            <v>Simon Moscow</v>
          </cell>
          <cell r="L8" t="str">
            <v>simon.moscow@aberdeen-asset.com</v>
          </cell>
          <cell r="M8" t="str">
            <v>+44 20 7463 6787</v>
          </cell>
          <cell r="N8" t="str">
            <v>Michael Dinsdale</v>
          </cell>
          <cell r="O8" t="str">
            <v>michael.dinsdale@aberdeen-asset.com</v>
          </cell>
          <cell r="P8" t="str">
            <v>+44 (0)1534 609 333</v>
          </cell>
          <cell r="Q8" t="str">
            <v>Jersey</v>
          </cell>
          <cell r="R8" t="str">
            <v>GBP</v>
          </cell>
          <cell r="S8" t="str">
            <v>Local GAAP</v>
          </cell>
          <cell r="T8" t="str">
            <v>Quarterly</v>
          </cell>
          <cell r="U8" t="str">
            <v>Monthly</v>
          </cell>
          <cell r="V8" t="str">
            <v>RICS</v>
          </cell>
          <cell r="X8" t="str">
            <v>PriceWaterhouseCoopers</v>
          </cell>
          <cell r="Y8" t="str">
            <v>Unauthorised Close-Ended PUT</v>
          </cell>
          <cell r="Z8" t="str">
            <v>No</v>
          </cell>
          <cell r="AA8" t="str">
            <v>Yes</v>
          </cell>
          <cell r="AB8">
            <v>0</v>
          </cell>
          <cell r="AC8" t="str">
            <v>Non-Listed Fund</v>
          </cell>
          <cell r="AD8" t="str">
            <v>Core</v>
          </cell>
          <cell r="AE8" t="str">
            <v>finite</v>
          </cell>
          <cell r="AF8" t="str">
            <v>Closed end</v>
          </cell>
          <cell r="AG8">
            <v>7</v>
          </cell>
          <cell r="AH8">
            <v>8</v>
          </cell>
          <cell r="AI8" t="str">
            <v>Net</v>
          </cell>
          <cell r="AJ8" t="str">
            <v>IPD Retail Warehouse Universe</v>
          </cell>
          <cell r="AK8">
            <v>4.5</v>
          </cell>
          <cell r="AL8">
            <v>40</v>
          </cell>
          <cell r="AM8" t="str">
            <v>&gt; 40% - ≤ 60%</v>
          </cell>
          <cell r="AN8" t="str">
            <v>Institutional</v>
          </cell>
          <cell r="AO8" t="str">
            <v>&gt; 2</v>
          </cell>
          <cell r="AP8" t="str">
            <v>≥ 50%</v>
          </cell>
          <cell r="AQ8" t="str">
            <v>Europe</v>
          </cell>
          <cell r="AR8" t="str">
            <v>single country</v>
          </cell>
          <cell r="AT8" t="str">
            <v>United Kingdom</v>
          </cell>
          <cell r="AU8" t="str">
            <v>single sector</v>
          </cell>
          <cell r="AV8" t="str">
            <v>Retail</v>
          </cell>
          <cell r="AW8">
            <v>200000000</v>
          </cell>
          <cell r="AX8">
            <v>600000000</v>
          </cell>
          <cell r="AY8">
            <v>1999</v>
          </cell>
          <cell r="AZ8">
            <v>2015</v>
          </cell>
          <cell r="BA8" t="str">
            <v>Yes</v>
          </cell>
          <cell r="BB8" t="str">
            <v>Yes</v>
          </cell>
          <cell r="BH8" t="str">
            <v>2020-12-31</v>
          </cell>
          <cell r="BI8">
            <v>64176</v>
          </cell>
          <cell r="BJ8">
            <v>70949.718720720004</v>
          </cell>
          <cell r="BK8">
            <v>64176</v>
          </cell>
          <cell r="BL8">
            <v>70949.718720720004</v>
          </cell>
          <cell r="BM8">
            <v>0</v>
          </cell>
          <cell r="BN8" t="str">
            <v>No</v>
          </cell>
          <cell r="BO8" t="str">
            <v>External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V8" t="str">
            <v>No</v>
          </cell>
        </row>
        <row r="9">
          <cell r="A9">
            <v>1</v>
          </cell>
          <cell r="B9" t="str">
            <v>ABERDEEN STANDARD EUROPEAN BALANCED PROPERTY FUND</v>
          </cell>
          <cell r="C9" t="str">
            <v>ABERDEEN PROPERTY INVESTORS EUROPE B.V.</v>
          </cell>
          <cell r="D9" t="str">
            <v>PO Box 79074</v>
          </cell>
          <cell r="E9" t="str">
            <v>1070 NC</v>
          </cell>
          <cell r="F9" t="str">
            <v>Amsterdam</v>
          </cell>
          <cell r="G9" t="str">
            <v>Netherlands</v>
          </cell>
          <cell r="H9" t="str">
            <v>+31206870500</v>
          </cell>
          <cell r="I9" t="str">
            <v>+31206844291</v>
          </cell>
          <cell r="J9" t="str">
            <v>https://www.aberdeenstandard.com</v>
          </cell>
          <cell r="K9" t="str">
            <v>Gert-Jan Kapiteijn</v>
          </cell>
          <cell r="L9" t="str">
            <v>gert-jan.kapiteyn@aberdeenstandard.com</v>
          </cell>
          <cell r="M9" t="str">
            <v>+31206870500</v>
          </cell>
          <cell r="N9" t="str">
            <v>John Danes</v>
          </cell>
          <cell r="O9" t="str">
            <v>john.danes@aberdeenstandard.com</v>
          </cell>
          <cell r="P9" t="str">
            <v>+442074636740</v>
          </cell>
          <cell r="Q9" t="str">
            <v>Luxembourg</v>
          </cell>
          <cell r="R9" t="str">
            <v>EUR</v>
          </cell>
          <cell r="S9" t="str">
            <v>Local GAAP</v>
          </cell>
          <cell r="T9" t="str">
            <v>Quarterly</v>
          </cell>
          <cell r="U9" t="str">
            <v>Quarterly</v>
          </cell>
          <cell r="V9" t="str">
            <v>RICS</v>
          </cell>
          <cell r="W9" t="str">
            <v>Adjusted INREV NAV</v>
          </cell>
          <cell r="X9" t="str">
            <v>Deloitte S.A.</v>
          </cell>
          <cell r="Y9" t="str">
            <v>SICAV-FIS</v>
          </cell>
          <cell r="Z9" t="str">
            <v>Yes</v>
          </cell>
          <cell r="AA9" t="str">
            <v>Yes</v>
          </cell>
          <cell r="AB9">
            <v>2</v>
          </cell>
          <cell r="AC9" t="str">
            <v>Non-Listed Fund</v>
          </cell>
          <cell r="AD9" t="str">
            <v>Core</v>
          </cell>
          <cell r="AE9" t="str">
            <v>infinite</v>
          </cell>
          <cell r="AF9" t="str">
            <v>Open end</v>
          </cell>
          <cell r="AH9">
            <v>6.5</v>
          </cell>
          <cell r="AI9" t="str">
            <v>Net</v>
          </cell>
          <cell r="AJ9" t="str">
            <v>IRR</v>
          </cell>
          <cell r="AK9">
            <v>4.5</v>
          </cell>
          <cell r="AL9">
            <v>25</v>
          </cell>
          <cell r="AM9" t="str">
            <v>&gt; 40%</v>
          </cell>
          <cell r="AN9" t="str">
            <v>Institutional</v>
          </cell>
          <cell r="AO9" t="str">
            <v>&gt; 2</v>
          </cell>
          <cell r="AP9" t="str">
            <v>≥ 50%</v>
          </cell>
          <cell r="AQ9" t="str">
            <v>Europe</v>
          </cell>
          <cell r="AR9" t="str">
            <v>multi country</v>
          </cell>
          <cell r="AS9" t="str">
            <v>Europe</v>
          </cell>
          <cell r="AU9" t="str">
            <v>multi sector</v>
          </cell>
          <cell r="AW9">
            <v>750000000</v>
          </cell>
          <cell r="AX9">
            <v>1000000000</v>
          </cell>
          <cell r="AY9">
            <v>2006</v>
          </cell>
          <cell r="BE9" t="str">
            <v>≥ 60%</v>
          </cell>
          <cell r="BF9" t="str">
            <v>≤ 15%</v>
          </cell>
          <cell r="BG9" t="str">
            <v>≤ 5%</v>
          </cell>
          <cell r="BH9" t="str">
            <v>2020-12-31</v>
          </cell>
          <cell r="BI9">
            <v>1230612759.1500001</v>
          </cell>
          <cell r="BJ9">
            <v>1230612759.1500001</v>
          </cell>
          <cell r="BK9">
            <v>999818431.08000004</v>
          </cell>
          <cell r="BL9">
            <v>999818431.08000004</v>
          </cell>
          <cell r="BM9">
            <v>16.09</v>
          </cell>
          <cell r="BN9" t="str">
            <v>No</v>
          </cell>
          <cell r="BO9" t="str">
            <v>External</v>
          </cell>
          <cell r="BP9">
            <v>63</v>
          </cell>
          <cell r="BQ9">
            <v>30</v>
          </cell>
          <cell r="BR9">
            <v>988582000</v>
          </cell>
          <cell r="BS9">
            <v>988582000</v>
          </cell>
          <cell r="BT9">
            <v>976985759.92999995</v>
          </cell>
          <cell r="BU9">
            <v>976985759.92999995</v>
          </cell>
          <cell r="BV9" t="str">
            <v>Yes</v>
          </cell>
          <cell r="BW9" t="str">
            <v>Belgium</v>
          </cell>
          <cell r="BX9" t="str">
            <v>Office</v>
          </cell>
          <cell r="BY9">
            <v>5.4</v>
          </cell>
          <cell r="BZ9" t="str">
            <v>Germany</v>
          </cell>
          <cell r="CA9" t="str">
            <v>Office</v>
          </cell>
          <cell r="CB9">
            <v>2.8</v>
          </cell>
          <cell r="CC9" t="str">
            <v>France</v>
          </cell>
          <cell r="CD9" t="str">
            <v>Retail</v>
          </cell>
          <cell r="CE9">
            <v>5.4</v>
          </cell>
          <cell r="CF9" t="str">
            <v>France</v>
          </cell>
          <cell r="CG9" t="str">
            <v>Industrial / Logistics</v>
          </cell>
          <cell r="CH9">
            <v>4.5</v>
          </cell>
          <cell r="CI9" t="str">
            <v>Netherlands</v>
          </cell>
          <cell r="CJ9" t="str">
            <v>Office</v>
          </cell>
          <cell r="CK9">
            <v>3.7</v>
          </cell>
          <cell r="CL9" t="str">
            <v>Netherlands</v>
          </cell>
          <cell r="CM9" t="str">
            <v>Industrial / Logistics</v>
          </cell>
          <cell r="CN9">
            <v>12.9</v>
          </cell>
          <cell r="CO9" t="str">
            <v>Austria</v>
          </cell>
          <cell r="CP9" t="str">
            <v>Industrial / Logistics</v>
          </cell>
          <cell r="CQ9">
            <v>5.4</v>
          </cell>
          <cell r="CR9" t="str">
            <v>France</v>
          </cell>
          <cell r="CS9" t="str">
            <v>Office</v>
          </cell>
          <cell r="CT9">
            <v>6.1</v>
          </cell>
          <cell r="CU9" t="str">
            <v>Finland</v>
          </cell>
          <cell r="CV9" t="str">
            <v>Industrial / Logistics</v>
          </cell>
          <cell r="CW9">
            <v>8.6999999999999993</v>
          </cell>
          <cell r="CX9" t="str">
            <v>Germany</v>
          </cell>
          <cell r="CY9" t="str">
            <v>Retail</v>
          </cell>
          <cell r="CZ9">
            <v>4.8</v>
          </cell>
          <cell r="DA9" t="str">
            <v>Portugal</v>
          </cell>
          <cell r="DB9" t="str">
            <v>Retail</v>
          </cell>
          <cell r="DC9">
            <v>6.7</v>
          </cell>
          <cell r="DD9" t="str">
            <v>Spain</v>
          </cell>
          <cell r="DE9" t="str">
            <v>Office</v>
          </cell>
          <cell r="DF9">
            <v>13.4</v>
          </cell>
        </row>
        <row r="10">
          <cell r="A10">
            <v>18094</v>
          </cell>
          <cell r="B10" t="str">
            <v>ABERDEEN STANDARD GERMAN URBANISATION PROPERTY FUND</v>
          </cell>
          <cell r="C10" t="str">
            <v>ABERDEEN STANDARD INVESTMENTS DEUTSCHLAND AG</v>
          </cell>
          <cell r="D10" t="str">
            <v>Bockenheimer Landstr. 25</v>
          </cell>
          <cell r="E10">
            <v>60325</v>
          </cell>
          <cell r="F10" t="str">
            <v>Frankfurt</v>
          </cell>
          <cell r="G10" t="str">
            <v>Germany</v>
          </cell>
          <cell r="H10" t="str">
            <v>+49697680720</v>
          </cell>
          <cell r="I10" t="str">
            <v>+4969768072256</v>
          </cell>
          <cell r="J10" t="str">
            <v>https://www.aberdeenstandard.de</v>
          </cell>
          <cell r="K10" t="str">
            <v>Fabian Klingler</v>
          </cell>
          <cell r="N10" t="str">
            <v>Peter Dombeck</v>
          </cell>
          <cell r="O10" t="str">
            <v>info.germany@aberdeen-asset.com</v>
          </cell>
          <cell r="P10" t="str">
            <v>+4969768072-0</v>
          </cell>
          <cell r="Q10" t="str">
            <v>Germany</v>
          </cell>
          <cell r="R10" t="str">
            <v>EUR</v>
          </cell>
          <cell r="S10" t="str">
            <v>Local GAAP</v>
          </cell>
          <cell r="T10" t="str">
            <v>Annually</v>
          </cell>
          <cell r="U10" t="str">
            <v>Annually</v>
          </cell>
          <cell r="V10" t="str">
            <v>Other - mark to market</v>
          </cell>
          <cell r="W10" t="str">
            <v>mark to market</v>
          </cell>
          <cell r="X10" t="str">
            <v>KPMG AG</v>
          </cell>
          <cell r="Y10" t="str">
            <v>Spezialfonds</v>
          </cell>
          <cell r="Z10" t="str">
            <v>No</v>
          </cell>
          <cell r="AA10" t="str">
            <v>Yes</v>
          </cell>
          <cell r="AC10" t="str">
            <v>Non-Listed Fund</v>
          </cell>
          <cell r="AD10" t="str">
            <v>Core</v>
          </cell>
          <cell r="AE10" t="str">
            <v>infinite</v>
          </cell>
          <cell r="AF10" t="str">
            <v>Open end</v>
          </cell>
          <cell r="AG10">
            <v>5</v>
          </cell>
          <cell r="AI10" t="str">
            <v>Net</v>
          </cell>
          <cell r="AK10">
            <v>3</v>
          </cell>
          <cell r="AL10">
            <v>35</v>
          </cell>
          <cell r="AM10" t="str">
            <v>≤ 40%</v>
          </cell>
          <cell r="AN10" t="str">
            <v>Institutional</v>
          </cell>
          <cell r="AO10" t="str">
            <v>&gt; 2</v>
          </cell>
          <cell r="AP10" t="str">
            <v>≥ 50%</v>
          </cell>
          <cell r="AQ10" t="str">
            <v>Europe</v>
          </cell>
          <cell r="AR10" t="str">
            <v>single country</v>
          </cell>
          <cell r="AT10" t="str">
            <v>Germany</v>
          </cell>
          <cell r="AU10" t="str">
            <v>single sector</v>
          </cell>
          <cell r="AV10" t="str">
            <v>Residential</v>
          </cell>
          <cell r="AX10">
            <v>1500000000</v>
          </cell>
          <cell r="AY10">
            <v>2016</v>
          </cell>
          <cell r="BB10" t="str">
            <v>No</v>
          </cell>
          <cell r="BD10" t="str">
            <v>No</v>
          </cell>
          <cell r="BE10" t="str">
            <v>≥ 60%</v>
          </cell>
          <cell r="BF10" t="str">
            <v>≤ 15%</v>
          </cell>
          <cell r="BG10" t="str">
            <v>≤ 5%</v>
          </cell>
          <cell r="BH10" t="str">
            <v>2020-12-31</v>
          </cell>
          <cell r="BI10">
            <v>368881752.51999998</v>
          </cell>
          <cell r="BJ10">
            <v>368881752.51999998</v>
          </cell>
          <cell r="BK10">
            <v>254222373.83000001</v>
          </cell>
          <cell r="BL10">
            <v>254222373.83000001</v>
          </cell>
          <cell r="BM10">
            <v>34.299999999999997</v>
          </cell>
          <cell r="BN10" t="str">
            <v>No</v>
          </cell>
          <cell r="BO10" t="str">
            <v>External</v>
          </cell>
          <cell r="BP10">
            <v>30</v>
          </cell>
          <cell r="BQ10">
            <v>7</v>
          </cell>
          <cell r="BR10">
            <v>297600000</v>
          </cell>
          <cell r="BS10">
            <v>297600000</v>
          </cell>
          <cell r="BT10">
            <v>229599750.30000001</v>
          </cell>
          <cell r="BU10">
            <v>229599750.30000001</v>
          </cell>
          <cell r="BV10" t="str">
            <v>No</v>
          </cell>
          <cell r="BW10" t="str">
            <v>Germany</v>
          </cell>
          <cell r="BX10" t="str">
            <v>Residential</v>
          </cell>
          <cell r="BY10">
            <v>50.1</v>
          </cell>
          <cell r="BZ10" t="str">
            <v>Germany</v>
          </cell>
          <cell r="CA10" t="str">
            <v>Mixed</v>
          </cell>
          <cell r="CB10">
            <v>32.4</v>
          </cell>
        </row>
        <row r="11">
          <cell r="A11">
            <v>11</v>
          </cell>
          <cell r="B11" t="str">
            <v>ACCESSION FUND SICAV</v>
          </cell>
          <cell r="C11" t="str">
            <v>GLL REAL ESTATE PARTNERS</v>
          </cell>
          <cell r="D11" t="str">
            <v>Lindwurmstrasse 76</v>
          </cell>
          <cell r="E11">
            <v>80337</v>
          </cell>
          <cell r="F11" t="str">
            <v>Munich</v>
          </cell>
          <cell r="G11" t="str">
            <v>Germany</v>
          </cell>
          <cell r="H11" t="str">
            <v>+49 (0) 89 72610 3930</v>
          </cell>
          <cell r="I11" t="str">
            <v>+49 (0) 89 72610 3945</v>
          </cell>
          <cell r="J11" t="str">
            <v>http://www.gll-partners.com</v>
          </cell>
          <cell r="K11" t="str">
            <v>Justyna Kaczmarek</v>
          </cell>
          <cell r="L11" t="str">
            <v>Justyna.Kaczmarek@gll-partners.com</v>
          </cell>
          <cell r="M11" t="str">
            <v>+49 (0) 89 72610 3956</v>
          </cell>
          <cell r="N11" t="str">
            <v>Justyna Kaczmarek</v>
          </cell>
          <cell r="O11" t="str">
            <v>Justyna.Kaczmarek@gll-partners.com</v>
          </cell>
          <cell r="P11" t="str">
            <v>+49 (0) 89 72610 - 3956</v>
          </cell>
          <cell r="Q11" t="str">
            <v>Luxembourg</v>
          </cell>
          <cell r="R11" t="str">
            <v>EUR</v>
          </cell>
          <cell r="S11" t="str">
            <v>IFRS</v>
          </cell>
          <cell r="T11" t="str">
            <v>Quarterly</v>
          </cell>
          <cell r="U11" t="str">
            <v>Annually</v>
          </cell>
          <cell r="V11" t="str">
            <v>ImmoWertV</v>
          </cell>
          <cell r="X11" t="str">
            <v>Ernst &amp; Young</v>
          </cell>
          <cell r="Y11" t="str">
            <v>SICAV</v>
          </cell>
          <cell r="Z11" t="str">
            <v>No</v>
          </cell>
          <cell r="AA11" t="str">
            <v>Yes</v>
          </cell>
          <cell r="AB11">
            <v>0</v>
          </cell>
          <cell r="AC11" t="str">
            <v>Non-Listed Fund</v>
          </cell>
          <cell r="AD11" t="str">
            <v>Value-added</v>
          </cell>
          <cell r="AE11" t="str">
            <v>finite</v>
          </cell>
          <cell r="AF11" t="str">
            <v>Closed end</v>
          </cell>
          <cell r="AG11">
            <v>15</v>
          </cell>
          <cell r="AH11">
            <v>15</v>
          </cell>
          <cell r="AI11" t="str">
            <v>Net</v>
          </cell>
          <cell r="AJ11" t="str">
            <v>None</v>
          </cell>
          <cell r="AL11">
            <v>70</v>
          </cell>
          <cell r="AM11" t="str">
            <v>&gt; 60%</v>
          </cell>
          <cell r="AN11" t="str">
            <v>Institutional</v>
          </cell>
          <cell r="AO11" t="str">
            <v>&gt; 2</v>
          </cell>
          <cell r="AP11" t="str">
            <v>≥ 50%</v>
          </cell>
          <cell r="AQ11" t="str">
            <v>Europe</v>
          </cell>
          <cell r="AR11" t="str">
            <v>multi country</v>
          </cell>
          <cell r="AS11" t="str">
            <v>Central and Eastern Europe(CEE)</v>
          </cell>
          <cell r="AU11" t="str">
            <v>multi sector</v>
          </cell>
          <cell r="AW11">
            <v>300000000</v>
          </cell>
          <cell r="AX11">
            <v>1000000000</v>
          </cell>
          <cell r="AY11">
            <v>2004</v>
          </cell>
          <cell r="AZ11">
            <v>2014</v>
          </cell>
          <cell r="BA11" t="str">
            <v>Yes</v>
          </cell>
          <cell r="BB11" t="str">
            <v>Yes</v>
          </cell>
          <cell r="BH11" t="str">
            <v>2018-12-31</v>
          </cell>
          <cell r="BI11">
            <v>26677530</v>
          </cell>
          <cell r="BJ11">
            <v>26677530</v>
          </cell>
          <cell r="BK11">
            <v>26677530</v>
          </cell>
          <cell r="BL11">
            <v>26677530</v>
          </cell>
          <cell r="BM11">
            <v>0</v>
          </cell>
          <cell r="BN11" t="str">
            <v>No</v>
          </cell>
          <cell r="BO11" t="str">
            <v>External</v>
          </cell>
          <cell r="BP11">
            <v>15</v>
          </cell>
          <cell r="BQ11">
            <v>2</v>
          </cell>
          <cell r="BR11">
            <v>300000000</v>
          </cell>
          <cell r="BS11">
            <v>300000000</v>
          </cell>
          <cell r="BT11">
            <v>209707574</v>
          </cell>
          <cell r="BU11">
            <v>209707574</v>
          </cell>
          <cell r="BV11" t="str">
            <v>No</v>
          </cell>
          <cell r="BW11" t="str">
            <v>Netherlands</v>
          </cell>
          <cell r="BX11" t="str">
            <v>Office</v>
          </cell>
          <cell r="BY11">
            <v>20.3</v>
          </cell>
          <cell r="BZ11" t="str">
            <v>Poland</v>
          </cell>
          <cell r="CA11" t="str">
            <v>Office</v>
          </cell>
          <cell r="CB11">
            <v>79.7</v>
          </cell>
        </row>
        <row r="12">
          <cell r="A12">
            <v>17248</v>
          </cell>
          <cell r="B12" t="str">
            <v>ACCIMMO PIERRE</v>
          </cell>
          <cell r="C12" t="str">
            <v>BNP PARIBAS REIM FRANCE</v>
          </cell>
          <cell r="D12" t="str">
            <v>167 quai de la bataille de Stalingrad</v>
          </cell>
          <cell r="E12">
            <v>92867</v>
          </cell>
          <cell r="F12" t="str">
            <v>Issy-les-Moulineaux</v>
          </cell>
          <cell r="G12" t="str">
            <v>France</v>
          </cell>
          <cell r="H12" t="str">
            <v>+33 1 55 65 23 55</v>
          </cell>
          <cell r="I12" t="str">
            <v>+33 1 46 42 72 54</v>
          </cell>
          <cell r="J12" t="str">
            <v>http://www.reim.bnpparibas.com</v>
          </cell>
          <cell r="K12" t="str">
            <v>Matthieu Laporte</v>
          </cell>
          <cell r="L12" t="str">
            <v>matthieu.laporte@bnpparibas.com</v>
          </cell>
          <cell r="M12" t="str">
            <v>+33 1 55 65 23 17</v>
          </cell>
          <cell r="N12" t="str">
            <v>Arnaud Romanet-Perroux</v>
          </cell>
          <cell r="O12" t="str">
            <v>arnaud.romanetperroux@bnpparibas.com</v>
          </cell>
          <cell r="P12" t="str">
            <v>+33 1 55 65 22 34</v>
          </cell>
          <cell r="Q12" t="str">
            <v>France</v>
          </cell>
          <cell r="R12" t="str">
            <v>EUR</v>
          </cell>
          <cell r="S12" t="str">
            <v>IFRS</v>
          </cell>
          <cell r="T12" t="str">
            <v>Quarterly</v>
          </cell>
          <cell r="U12" t="str">
            <v>Annually</v>
          </cell>
          <cell r="X12" t="str">
            <v>KPMG</v>
          </cell>
          <cell r="Y12" t="str">
            <v>SCPI</v>
          </cell>
          <cell r="Z12" t="str">
            <v>No</v>
          </cell>
          <cell r="AA12" t="str">
            <v>Yes</v>
          </cell>
          <cell r="AB12">
            <v>11</v>
          </cell>
          <cell r="AC12" t="str">
            <v>Non-Listed Fund</v>
          </cell>
          <cell r="AD12" t="str">
            <v>Core</v>
          </cell>
          <cell r="AE12" t="str">
            <v>finite</v>
          </cell>
          <cell r="AF12" t="str">
            <v>Open end</v>
          </cell>
          <cell r="AJ12" t="str">
            <v>IEIF</v>
          </cell>
          <cell r="AM12" t="str">
            <v>≤ 40%</v>
          </cell>
          <cell r="AN12" t="str">
            <v>Institutional and Retail</v>
          </cell>
          <cell r="AO12" t="str">
            <v>&gt; 2</v>
          </cell>
          <cell r="AP12" t="str">
            <v>&lt; 50%</v>
          </cell>
          <cell r="AQ12" t="str">
            <v>Europe</v>
          </cell>
          <cell r="AR12" t="str">
            <v>single country</v>
          </cell>
          <cell r="AT12" t="str">
            <v>France</v>
          </cell>
          <cell r="AU12" t="str">
            <v>multi sector</v>
          </cell>
          <cell r="BB12" t="str">
            <v>No</v>
          </cell>
          <cell r="BD12" t="str">
            <v>No</v>
          </cell>
          <cell r="BE12" t="str">
            <v>≥ 60%</v>
          </cell>
          <cell r="BF12" t="str">
            <v>≤ 15%</v>
          </cell>
          <cell r="BG12" t="str">
            <v>≤ 5%</v>
          </cell>
          <cell r="BH12" t="str">
            <v>2014-06-30</v>
          </cell>
          <cell r="BI12">
            <v>691252535.50999999</v>
          </cell>
          <cell r="BJ12">
            <v>691252535.50999999</v>
          </cell>
          <cell r="BK12">
            <v>691252535.50999999</v>
          </cell>
          <cell r="BL12">
            <v>691252535.50999999</v>
          </cell>
          <cell r="BS12">
            <v>0</v>
          </cell>
          <cell r="BW12" t="str">
            <v>France</v>
          </cell>
          <cell r="BX12" t="str">
            <v>Office</v>
          </cell>
          <cell r="BY12">
            <v>81.7</v>
          </cell>
          <cell r="BZ12" t="str">
            <v>France</v>
          </cell>
          <cell r="CA12" t="str">
            <v>Retail</v>
          </cell>
          <cell r="CB12">
            <v>10.64</v>
          </cell>
          <cell r="CC12" t="str">
            <v>France</v>
          </cell>
          <cell r="CD12" t="str">
            <v>Industrial / Logistics</v>
          </cell>
          <cell r="CE12">
            <v>7.66</v>
          </cell>
        </row>
        <row r="13">
          <cell r="A13">
            <v>561</v>
          </cell>
          <cell r="B13" t="str">
            <v>ACHMEA DUTCH HEALTH CARE PROPERTY FUND</v>
          </cell>
          <cell r="C13" t="str">
            <v>SYNTRUS ACHMEA VASTGOED B.V.</v>
          </cell>
          <cell r="D13" t="str">
            <v>Gatwickstraat 1</v>
          </cell>
          <cell r="E13" t="str">
            <v>1043 GK</v>
          </cell>
          <cell r="F13" t="str">
            <v>Amsterdam</v>
          </cell>
          <cell r="G13" t="str">
            <v>Netherlands</v>
          </cell>
          <cell r="I13" t="str">
            <v>+31206061219</v>
          </cell>
          <cell r="J13" t="str">
            <v>http://www.syntrusachmeavastgoed.nl</v>
          </cell>
          <cell r="K13" t="str">
            <v>Casper Hesp</v>
          </cell>
          <cell r="L13" t="str">
            <v>casper.hesp@achmeavastgoed.nl</v>
          </cell>
          <cell r="M13" t="str">
            <v>+31206065647</v>
          </cell>
          <cell r="N13" t="str">
            <v>Daan van der Werf</v>
          </cell>
          <cell r="O13" t="str">
            <v>daan.van.der.werf@achmeavastgoed.nl</v>
          </cell>
          <cell r="P13" t="str">
            <v>+31653893789</v>
          </cell>
          <cell r="Q13" t="str">
            <v>Netherlands</v>
          </cell>
          <cell r="R13" t="str">
            <v>EUR</v>
          </cell>
          <cell r="S13" t="str">
            <v>Local GAAP</v>
          </cell>
          <cell r="T13" t="str">
            <v>Quarterly</v>
          </cell>
          <cell r="U13" t="str">
            <v>Annually</v>
          </cell>
          <cell r="V13" t="str">
            <v>RICS</v>
          </cell>
          <cell r="W13" t="str">
            <v>INREV NAV</v>
          </cell>
          <cell r="X13" t="str">
            <v>PriceWaterhouseCoopers</v>
          </cell>
          <cell r="Y13" t="str">
            <v>Real Estate Fund</v>
          </cell>
          <cell r="Z13" t="str">
            <v>No</v>
          </cell>
          <cell r="AA13" t="str">
            <v>Yes</v>
          </cell>
          <cell r="AB13">
            <v>0</v>
          </cell>
          <cell r="AC13" t="str">
            <v>Non-Listed Fund</v>
          </cell>
          <cell r="AD13" t="str">
            <v>Core</v>
          </cell>
          <cell r="AE13" t="str">
            <v>infinite</v>
          </cell>
          <cell r="AF13" t="str">
            <v>Open end</v>
          </cell>
          <cell r="AG13">
            <v>7</v>
          </cell>
          <cell r="AH13">
            <v>7</v>
          </cell>
          <cell r="AI13" t="str">
            <v>Net</v>
          </cell>
          <cell r="AJ13" t="str">
            <v>Absolute return target</v>
          </cell>
          <cell r="AK13">
            <v>5.5</v>
          </cell>
          <cell r="AM13" t="str">
            <v>≤ 40%</v>
          </cell>
          <cell r="AN13" t="str">
            <v>Institutional</v>
          </cell>
          <cell r="AO13" t="str">
            <v>&gt; 2</v>
          </cell>
          <cell r="AP13" t="str">
            <v>≥ 50%</v>
          </cell>
          <cell r="AQ13" t="str">
            <v>Europe</v>
          </cell>
          <cell r="AR13" t="str">
            <v>single country</v>
          </cell>
          <cell r="AT13" t="str">
            <v>Netherlands</v>
          </cell>
          <cell r="AU13" t="str">
            <v>single sector</v>
          </cell>
          <cell r="AV13" t="str">
            <v>Health Care</v>
          </cell>
          <cell r="AW13">
            <v>800000000</v>
          </cell>
          <cell r="AX13">
            <v>800000000</v>
          </cell>
          <cell r="AY13">
            <v>2010</v>
          </cell>
          <cell r="BA13" t="str">
            <v>No</v>
          </cell>
          <cell r="BE13" t="str">
            <v>≥ 60%</v>
          </cell>
          <cell r="BF13" t="str">
            <v>≤ 15%</v>
          </cell>
          <cell r="BG13" t="str">
            <v>≤ 5%</v>
          </cell>
          <cell r="BH13" t="str">
            <v>2020-12-31</v>
          </cell>
          <cell r="BI13">
            <v>543298000</v>
          </cell>
          <cell r="BJ13">
            <v>543298000</v>
          </cell>
          <cell r="BK13">
            <v>541105775</v>
          </cell>
          <cell r="BL13">
            <v>541105775</v>
          </cell>
          <cell r="BM13">
            <v>0</v>
          </cell>
          <cell r="BN13" t="str">
            <v>No</v>
          </cell>
          <cell r="BO13" t="str">
            <v>External</v>
          </cell>
          <cell r="BP13">
            <v>17</v>
          </cell>
          <cell r="BQ13">
            <v>33</v>
          </cell>
          <cell r="BR13">
            <v>101508497</v>
          </cell>
          <cell r="BS13">
            <v>101508497</v>
          </cell>
          <cell r="BT13">
            <v>451919000</v>
          </cell>
          <cell r="BU13">
            <v>451919000</v>
          </cell>
          <cell r="BV13" t="str">
            <v>Yes</v>
          </cell>
          <cell r="BW13" t="str">
            <v>Netherlands</v>
          </cell>
          <cell r="BX13" t="str">
            <v>Health Care</v>
          </cell>
          <cell r="BY13">
            <v>96</v>
          </cell>
        </row>
        <row r="14">
          <cell r="A14">
            <v>14</v>
          </cell>
          <cell r="B14" t="str">
            <v>ACHMEA DUTCH RESIDENTIAL FUND</v>
          </cell>
          <cell r="C14" t="str">
            <v>SYNTRUS ACHMEA VASTGOED B.V.</v>
          </cell>
          <cell r="D14" t="str">
            <v>PO Box 59347</v>
          </cell>
          <cell r="E14" t="str">
            <v>1040 KH</v>
          </cell>
          <cell r="F14" t="str">
            <v>Amsterdam</v>
          </cell>
          <cell r="G14" t="str">
            <v>Netherlands</v>
          </cell>
          <cell r="H14" t="str">
            <v>+31206065600</v>
          </cell>
          <cell r="I14" t="str">
            <v>+31206065609</v>
          </cell>
          <cell r="J14" t="str">
            <v>http://www.syntrusachmeavastgoed.nl</v>
          </cell>
          <cell r="K14" t="str">
            <v>Onno Hoff</v>
          </cell>
          <cell r="L14" t="str">
            <v>onno.hoff@achmeavastgoed.nl</v>
          </cell>
          <cell r="M14" t="str">
            <v>+31206065869</v>
          </cell>
          <cell r="N14" t="str">
            <v>Daan van der Werf</v>
          </cell>
          <cell r="O14" t="str">
            <v>daan.van.der.werf@achmeavastgoed.nl</v>
          </cell>
          <cell r="P14" t="str">
            <v>+31653893789</v>
          </cell>
          <cell r="Q14" t="str">
            <v>Netherlands</v>
          </cell>
          <cell r="R14" t="str">
            <v>EUR</v>
          </cell>
          <cell r="S14" t="str">
            <v>Local GAAP</v>
          </cell>
          <cell r="T14" t="str">
            <v>Quarterly</v>
          </cell>
          <cell r="U14" t="str">
            <v>Annually</v>
          </cell>
          <cell r="V14" t="str">
            <v>RICS</v>
          </cell>
          <cell r="W14" t="str">
            <v>INREV NAV</v>
          </cell>
          <cell r="X14" t="str">
            <v>PriceWaterhouseCoopers</v>
          </cell>
          <cell r="Y14" t="str">
            <v>Open Ended Real Estate Fund</v>
          </cell>
          <cell r="Z14" t="str">
            <v>No</v>
          </cell>
          <cell r="AA14" t="str">
            <v>Yes</v>
          </cell>
          <cell r="AB14">
            <v>0</v>
          </cell>
          <cell r="AC14" t="str">
            <v>Non-Listed Fund</v>
          </cell>
          <cell r="AD14" t="str">
            <v>Core</v>
          </cell>
          <cell r="AE14" t="str">
            <v>infinite</v>
          </cell>
          <cell r="AF14" t="str">
            <v>Open end</v>
          </cell>
          <cell r="AJ14" t="str">
            <v>ROZ / IPD Netherlands Residential Index</v>
          </cell>
          <cell r="AK14">
            <v>3.8</v>
          </cell>
          <cell r="AM14" t="str">
            <v>≤ 40%</v>
          </cell>
          <cell r="AN14" t="str">
            <v>Institutional</v>
          </cell>
          <cell r="AO14" t="str">
            <v>&gt; 2</v>
          </cell>
          <cell r="AP14" t="str">
            <v>≥ 50%</v>
          </cell>
          <cell r="AQ14" t="str">
            <v>Europe</v>
          </cell>
          <cell r="AR14" t="str">
            <v>single country</v>
          </cell>
          <cell r="AT14" t="str">
            <v>Netherlands</v>
          </cell>
          <cell r="AU14" t="str">
            <v>single sector</v>
          </cell>
          <cell r="AV14" t="str">
            <v>Residential</v>
          </cell>
          <cell r="AW14">
            <v>1500000000</v>
          </cell>
          <cell r="AX14">
            <v>1500000000</v>
          </cell>
          <cell r="AY14">
            <v>1992</v>
          </cell>
          <cell r="BD14" t="str">
            <v>No</v>
          </cell>
          <cell r="BF14" t="str">
            <v>&gt; 15% - ≤ 40%</v>
          </cell>
          <cell r="BG14" t="str">
            <v>&gt; 5 - ≤ 25%</v>
          </cell>
          <cell r="BH14" t="str">
            <v>2020-12-31</v>
          </cell>
          <cell r="BI14">
            <v>1473187000</v>
          </cell>
          <cell r="BJ14">
            <v>1473187000</v>
          </cell>
          <cell r="BK14">
            <v>1461039105</v>
          </cell>
          <cell r="BL14">
            <v>1461039105</v>
          </cell>
          <cell r="BM14">
            <v>0</v>
          </cell>
          <cell r="BN14" t="str">
            <v>No</v>
          </cell>
          <cell r="BO14" t="str">
            <v>External</v>
          </cell>
          <cell r="BP14">
            <v>18</v>
          </cell>
          <cell r="BQ14">
            <v>102</v>
          </cell>
          <cell r="BR14">
            <v>176400000</v>
          </cell>
          <cell r="BS14">
            <v>176400000</v>
          </cell>
          <cell r="BT14">
            <v>1029385000</v>
          </cell>
          <cell r="BU14">
            <v>1029385000</v>
          </cell>
          <cell r="BV14" t="str">
            <v>Yes</v>
          </cell>
          <cell r="BW14" t="str">
            <v>Netherlands</v>
          </cell>
          <cell r="BX14" t="str">
            <v>Residential</v>
          </cell>
          <cell r="BY14">
            <v>98</v>
          </cell>
        </row>
        <row r="15">
          <cell r="A15">
            <v>15</v>
          </cell>
          <cell r="B15" t="str">
            <v>ACHMEA DUTCH RETAIL PROPERTY FUND</v>
          </cell>
          <cell r="C15" t="str">
            <v>SYNTRUS ACHMEA VASTGOED B.V.</v>
          </cell>
          <cell r="D15" t="str">
            <v>PO Box 59347</v>
          </cell>
          <cell r="E15" t="str">
            <v>1040 KH</v>
          </cell>
          <cell r="F15" t="str">
            <v>Amsterdam</v>
          </cell>
          <cell r="G15" t="str">
            <v>Netherlands</v>
          </cell>
          <cell r="H15" t="str">
            <v>+31206065600</v>
          </cell>
          <cell r="I15" t="str">
            <v>+31206065609</v>
          </cell>
          <cell r="J15" t="str">
            <v>http://www.achmeavastgoed.nl</v>
          </cell>
          <cell r="K15" t="str">
            <v>Peter Koppers</v>
          </cell>
          <cell r="L15" t="str">
            <v>peter.koppers@achmeavastgoed.nl</v>
          </cell>
          <cell r="M15" t="str">
            <v>+31610275478</v>
          </cell>
          <cell r="N15" t="str">
            <v>Daan van der Werf</v>
          </cell>
          <cell r="O15" t="str">
            <v>daan.van.der.werf@achmeavastgoed.nl</v>
          </cell>
          <cell r="P15" t="str">
            <v>+31653893789</v>
          </cell>
          <cell r="Q15" t="str">
            <v>Netherlands</v>
          </cell>
          <cell r="R15" t="str">
            <v>EUR</v>
          </cell>
          <cell r="S15" t="str">
            <v>Local GAAP</v>
          </cell>
          <cell r="T15" t="str">
            <v>Quarterly</v>
          </cell>
          <cell r="U15" t="str">
            <v>Annually</v>
          </cell>
          <cell r="V15" t="str">
            <v>RICS</v>
          </cell>
          <cell r="W15" t="str">
            <v>INREV NAV</v>
          </cell>
          <cell r="X15" t="str">
            <v>PriceWaterhouseCoopers</v>
          </cell>
          <cell r="Y15" t="str">
            <v>Real Estate Fund</v>
          </cell>
          <cell r="Z15" t="str">
            <v>Yes</v>
          </cell>
          <cell r="AA15" t="str">
            <v>Yes</v>
          </cell>
          <cell r="AB15">
            <v>6</v>
          </cell>
          <cell r="AC15" t="str">
            <v>Non-Listed Fund</v>
          </cell>
          <cell r="AD15" t="str">
            <v>Core</v>
          </cell>
          <cell r="AE15" t="str">
            <v>infinite</v>
          </cell>
          <cell r="AF15" t="str">
            <v>Open end</v>
          </cell>
          <cell r="AG15">
            <v>6</v>
          </cell>
          <cell r="AH15">
            <v>7</v>
          </cell>
          <cell r="AI15" t="str">
            <v>Net</v>
          </cell>
          <cell r="AJ15" t="str">
            <v>ROZ / IPD Netherlands Retail Index</v>
          </cell>
          <cell r="AK15">
            <v>4.7</v>
          </cell>
          <cell r="AL15">
            <v>0</v>
          </cell>
          <cell r="AM15" t="str">
            <v>≤ 40%</v>
          </cell>
          <cell r="AN15" t="str">
            <v>Institutional</v>
          </cell>
          <cell r="AO15" t="str">
            <v>&gt; 2</v>
          </cell>
          <cell r="AP15" t="str">
            <v>≥ 50%</v>
          </cell>
          <cell r="AQ15" t="str">
            <v>Europe</v>
          </cell>
          <cell r="AR15" t="str">
            <v>single country</v>
          </cell>
          <cell r="AT15" t="str">
            <v>Netherlands</v>
          </cell>
          <cell r="AU15" t="str">
            <v>single sector</v>
          </cell>
          <cell r="AV15" t="str">
            <v>Retail</v>
          </cell>
          <cell r="AW15">
            <v>1000000000</v>
          </cell>
          <cell r="AX15">
            <v>1000000000</v>
          </cell>
          <cell r="AY15">
            <v>1992</v>
          </cell>
          <cell r="BA15" t="str">
            <v>No</v>
          </cell>
          <cell r="BB15" t="str">
            <v>No</v>
          </cell>
          <cell r="BD15" t="str">
            <v>No</v>
          </cell>
          <cell r="BE15" t="str">
            <v>≥ 60%</v>
          </cell>
          <cell r="BF15" t="str">
            <v>≤ 15%</v>
          </cell>
          <cell r="BG15" t="str">
            <v>&gt; 5 - ≤ 25%</v>
          </cell>
          <cell r="BH15" t="str">
            <v>2020-12-31</v>
          </cell>
          <cell r="BI15">
            <v>627333000</v>
          </cell>
          <cell r="BJ15">
            <v>627333000</v>
          </cell>
          <cell r="BK15">
            <v>594058878</v>
          </cell>
          <cell r="BL15">
            <v>594058878</v>
          </cell>
          <cell r="BM15">
            <v>3.7</v>
          </cell>
          <cell r="BN15" t="str">
            <v>No</v>
          </cell>
          <cell r="BO15" t="str">
            <v>External</v>
          </cell>
          <cell r="BP15">
            <v>21</v>
          </cell>
          <cell r="BQ15">
            <v>42</v>
          </cell>
          <cell r="BR15">
            <v>62300000</v>
          </cell>
          <cell r="BS15">
            <v>62300000</v>
          </cell>
          <cell r="BT15">
            <v>770659000</v>
          </cell>
          <cell r="BU15">
            <v>770659000</v>
          </cell>
          <cell r="BV15" t="str">
            <v>No</v>
          </cell>
          <cell r="BW15" t="str">
            <v>Netherlands</v>
          </cell>
          <cell r="BX15" t="str">
            <v>Retail</v>
          </cell>
          <cell r="BY15">
            <v>99</v>
          </cell>
        </row>
        <row r="16">
          <cell r="A16">
            <v>566</v>
          </cell>
          <cell r="B16" t="str">
            <v>ACTIVE VALUE PROPERTY FUND</v>
          </cell>
          <cell r="C16" t="str">
            <v>KAMES CAPITAL</v>
          </cell>
          <cell r="D16" t="str">
            <v>3 Lochside Crescent</v>
          </cell>
          <cell r="E16" t="str">
            <v>EH12 9SA</v>
          </cell>
          <cell r="F16" t="str">
            <v>Edinburgh</v>
          </cell>
          <cell r="G16" t="str">
            <v>United Kingdom</v>
          </cell>
          <cell r="H16">
            <v>441315496850</v>
          </cell>
          <cell r="I16">
            <v>441314590027</v>
          </cell>
          <cell r="J16" t="str">
            <v>http://www.kamescapital.com</v>
          </cell>
          <cell r="K16" t="str">
            <v>Helen Batten</v>
          </cell>
          <cell r="L16" t="str">
            <v>helen.batten@kamescapital.co.uk</v>
          </cell>
          <cell r="M16">
            <v>442072002511</v>
          </cell>
          <cell r="N16" t="str">
            <v>Shaun McWilliam</v>
          </cell>
          <cell r="O16" t="str">
            <v>shaun.mcwilliam@kamescapital.com</v>
          </cell>
          <cell r="P16" t="str">
            <v>020 7200 2547</v>
          </cell>
          <cell r="Q16" t="str">
            <v>United Kingdom</v>
          </cell>
          <cell r="R16" t="str">
            <v>GBP</v>
          </cell>
          <cell r="S16" t="str">
            <v>IFRS</v>
          </cell>
          <cell r="T16" t="str">
            <v>Monthly</v>
          </cell>
          <cell r="U16" t="str">
            <v>Monthly</v>
          </cell>
          <cell r="V16" t="str">
            <v>RICS</v>
          </cell>
          <cell r="W16" t="str">
            <v>INREV NAV</v>
          </cell>
          <cell r="X16" t="str">
            <v>Ernst &amp; Young</v>
          </cell>
          <cell r="Y16" t="str">
            <v>Unit trust</v>
          </cell>
          <cell r="Z16" t="str">
            <v>Yes</v>
          </cell>
          <cell r="AA16" t="str">
            <v>No</v>
          </cell>
          <cell r="AB16">
            <v>0</v>
          </cell>
          <cell r="AC16" t="str">
            <v>Non-Listed Fund</v>
          </cell>
          <cell r="AD16" t="str">
            <v>Value-added</v>
          </cell>
          <cell r="AE16" t="str">
            <v>infinite</v>
          </cell>
          <cell r="AF16" t="str">
            <v>Open end</v>
          </cell>
          <cell r="AG16">
            <v>0.5</v>
          </cell>
          <cell r="AH16">
            <v>0.5</v>
          </cell>
          <cell r="AI16" t="str">
            <v>Gross</v>
          </cell>
          <cell r="AJ16" t="str">
            <v>IPD/AREF All Balanced Property Funds Index</v>
          </cell>
          <cell r="AN16" t="str">
            <v>Institutional</v>
          </cell>
          <cell r="AO16" t="str">
            <v>&gt; 2</v>
          </cell>
          <cell r="AP16" t="str">
            <v>≥ 50%</v>
          </cell>
          <cell r="AQ16" t="str">
            <v>Europe</v>
          </cell>
          <cell r="AR16" t="str">
            <v>single country</v>
          </cell>
          <cell r="AT16" t="str">
            <v>United Kingdom</v>
          </cell>
          <cell r="AU16" t="str">
            <v>multi sector</v>
          </cell>
          <cell r="AX16">
            <v>500000000</v>
          </cell>
          <cell r="AY16">
            <v>2009</v>
          </cell>
          <cell r="BB16" t="str">
            <v>No</v>
          </cell>
          <cell r="BD16" t="str">
            <v>Yes</v>
          </cell>
          <cell r="BF16" t="str">
            <v>≤ 15%</v>
          </cell>
          <cell r="BG16" t="str">
            <v>≤ 5%</v>
          </cell>
          <cell r="BH16" t="str">
            <v>2015-12-31</v>
          </cell>
          <cell r="BI16">
            <v>167467056.59</v>
          </cell>
          <cell r="BJ16">
            <v>227249446.45149821</v>
          </cell>
          <cell r="BK16">
            <v>167467056.59</v>
          </cell>
          <cell r="BL16">
            <v>227249446.45149821</v>
          </cell>
          <cell r="BM16">
            <v>0</v>
          </cell>
          <cell r="BS16">
            <v>0</v>
          </cell>
        </row>
        <row r="17">
          <cell r="A17">
            <v>19</v>
          </cell>
          <cell r="B17" t="str">
            <v>AERIUM IV</v>
          </cell>
          <cell r="C17" t="str">
            <v>AERIUM</v>
          </cell>
          <cell r="D17" t="str">
            <v>1 Knightsbridge</v>
          </cell>
          <cell r="E17" t="str">
            <v>SW1X 7LX</v>
          </cell>
          <cell r="F17" t="str">
            <v>London</v>
          </cell>
          <cell r="G17" t="str">
            <v>United Kingdom</v>
          </cell>
          <cell r="H17" t="str">
            <v>+44 (0) 20 7838 7900</v>
          </cell>
          <cell r="I17" t="str">
            <v>+44 (0) 20 7838 7858</v>
          </cell>
          <cell r="J17" t="str">
            <v>http://www.aerium.com</v>
          </cell>
          <cell r="K17" t="str">
            <v>Antoine Lam Chok</v>
          </cell>
          <cell r="L17" t="str">
            <v>alamchok@aerium.com</v>
          </cell>
          <cell r="M17" t="str">
            <v>+44 (0) 20 7838 7900</v>
          </cell>
          <cell r="N17" t="str">
            <v>Franck Ruimy</v>
          </cell>
          <cell r="O17" t="str">
            <v>fruimy@aerium.com</v>
          </cell>
          <cell r="P17" t="str">
            <v>+44 (0) 20 7838 7900</v>
          </cell>
          <cell r="Q17" t="str">
            <v>Luxembourg</v>
          </cell>
          <cell r="R17" t="str">
            <v>EUR</v>
          </cell>
          <cell r="S17" t="str">
            <v>IFRS</v>
          </cell>
          <cell r="T17" t="str">
            <v>Twice per year</v>
          </cell>
          <cell r="U17" t="str">
            <v>Annually</v>
          </cell>
          <cell r="X17" t="str">
            <v>BDO - E&amp;Y</v>
          </cell>
          <cell r="Y17" t="str">
            <v>SCA</v>
          </cell>
          <cell r="AB17">
            <v>0</v>
          </cell>
          <cell r="AC17" t="str">
            <v>Non-Listed Fund</v>
          </cell>
          <cell r="AD17" t="str">
            <v>Value-added</v>
          </cell>
          <cell r="AE17" t="str">
            <v>finite</v>
          </cell>
          <cell r="AF17" t="str">
            <v>Closed end</v>
          </cell>
          <cell r="AG17">
            <v>15</v>
          </cell>
          <cell r="AH17">
            <v>25</v>
          </cell>
          <cell r="AK17">
            <v>7</v>
          </cell>
          <cell r="AL17">
            <v>80</v>
          </cell>
          <cell r="AM17" t="str">
            <v>&gt; 60%</v>
          </cell>
          <cell r="AN17" t="str">
            <v>Institutional and Retail</v>
          </cell>
          <cell r="AQ17" t="str">
            <v>Europe</v>
          </cell>
          <cell r="AR17" t="str">
            <v>multi country</v>
          </cell>
          <cell r="AS17" t="str">
            <v>Western Europe</v>
          </cell>
          <cell r="AU17" t="str">
            <v>multi sector</v>
          </cell>
          <cell r="BA17" t="str">
            <v>Yes</v>
          </cell>
          <cell r="BB17" t="str">
            <v>Yes</v>
          </cell>
          <cell r="BH17" t="str">
            <v>2009-06-30</v>
          </cell>
          <cell r="BJ17">
            <v>0</v>
          </cell>
          <cell r="BL17">
            <v>0</v>
          </cell>
          <cell r="BM17">
            <v>67</v>
          </cell>
          <cell r="BP17">
            <v>50</v>
          </cell>
          <cell r="BQ17">
            <v>59</v>
          </cell>
          <cell r="BS17">
            <v>0</v>
          </cell>
          <cell r="BV17" t="str">
            <v>No</v>
          </cell>
        </row>
        <row r="18">
          <cell r="A18">
            <v>20</v>
          </cell>
          <cell r="B18" t="str">
            <v>AERIUM OPPORTUNITY</v>
          </cell>
          <cell r="C18" t="str">
            <v>AERIUM</v>
          </cell>
          <cell r="D18" t="str">
            <v>1 Knightsbridge</v>
          </cell>
          <cell r="E18" t="str">
            <v>SW1X 7LX</v>
          </cell>
          <cell r="F18" t="str">
            <v>London</v>
          </cell>
          <cell r="G18" t="str">
            <v>United Kingdom</v>
          </cell>
          <cell r="H18" t="str">
            <v>+44 (0) 20 7838 7900</v>
          </cell>
          <cell r="I18" t="str">
            <v>+44 (0) 20 7838 7858</v>
          </cell>
          <cell r="J18" t="str">
            <v>http://www.aerium.com</v>
          </cell>
          <cell r="K18" t="str">
            <v>Antoine Lam Chok</v>
          </cell>
          <cell r="L18" t="str">
            <v>alamchok@aerium.com</v>
          </cell>
          <cell r="M18" t="str">
            <v>+44 (0) 20 7838 7900</v>
          </cell>
          <cell r="N18" t="str">
            <v>Franck Ruimy</v>
          </cell>
          <cell r="O18" t="str">
            <v>fruimy@aerium.com</v>
          </cell>
          <cell r="P18" t="str">
            <v>+44 (0) 20 7838 7900</v>
          </cell>
          <cell r="Q18" t="str">
            <v>Luxembourg</v>
          </cell>
          <cell r="R18" t="str">
            <v>EUR</v>
          </cell>
          <cell r="S18" t="str">
            <v>IFRS</v>
          </cell>
          <cell r="T18" t="str">
            <v>Twice per year</v>
          </cell>
          <cell r="U18" t="str">
            <v>Annually</v>
          </cell>
          <cell r="X18" t="str">
            <v>BDO - E&amp;Y</v>
          </cell>
          <cell r="Y18" t="str">
            <v>SCA</v>
          </cell>
          <cell r="AB18">
            <v>0</v>
          </cell>
          <cell r="AC18" t="str">
            <v>Non-Listed Fund</v>
          </cell>
          <cell r="AD18" t="str">
            <v>Opportunity</v>
          </cell>
          <cell r="AE18" t="str">
            <v>finite</v>
          </cell>
          <cell r="AF18" t="str">
            <v>Closed end</v>
          </cell>
          <cell r="AG18">
            <v>15</v>
          </cell>
          <cell r="AH18">
            <v>25</v>
          </cell>
          <cell r="AK18">
            <v>6</v>
          </cell>
          <cell r="AL18">
            <v>80</v>
          </cell>
          <cell r="AM18" t="str">
            <v>&gt; 60%</v>
          </cell>
          <cell r="AN18" t="str">
            <v>Institutional and Retail</v>
          </cell>
          <cell r="AQ18" t="str">
            <v>Europe</v>
          </cell>
          <cell r="AR18" t="str">
            <v>multi country</v>
          </cell>
          <cell r="AS18" t="str">
            <v>Europe</v>
          </cell>
          <cell r="AU18" t="str">
            <v>multi sector</v>
          </cell>
          <cell r="AW18">
            <v>250000000</v>
          </cell>
          <cell r="AX18">
            <v>1000000000</v>
          </cell>
          <cell r="BA18" t="str">
            <v>Yes</v>
          </cell>
          <cell r="BB18" t="str">
            <v>Yes</v>
          </cell>
          <cell r="BC18" t="str">
            <v>16 years</v>
          </cell>
          <cell r="BH18" t="str">
            <v>2009-06-30</v>
          </cell>
          <cell r="BJ18">
            <v>0</v>
          </cell>
          <cell r="BL18">
            <v>0</v>
          </cell>
          <cell r="BM18">
            <v>76</v>
          </cell>
          <cell r="BP18">
            <v>10</v>
          </cell>
          <cell r="BQ18">
            <v>41</v>
          </cell>
          <cell r="BR18">
            <v>160000000</v>
          </cell>
          <cell r="BS18">
            <v>160000000</v>
          </cell>
          <cell r="BU18">
            <v>0</v>
          </cell>
          <cell r="BV18" t="str">
            <v>Yes</v>
          </cell>
        </row>
        <row r="19">
          <cell r="A19">
            <v>17200</v>
          </cell>
          <cell r="B19" t="str">
            <v>AEW UK CORE PROPERTY FUND</v>
          </cell>
          <cell r="C19" t="str">
            <v>AEW UK</v>
          </cell>
          <cell r="D19" t="str">
            <v>33 Jermyn Street</v>
          </cell>
          <cell r="E19" t="str">
            <v>SW1Y 6DN</v>
          </cell>
          <cell r="F19" t="str">
            <v>London</v>
          </cell>
          <cell r="G19" t="str">
            <v>United Kingdom</v>
          </cell>
          <cell r="H19" t="str">
            <v>+442070164880</v>
          </cell>
          <cell r="J19" t="str">
            <v>http://www.aewuk.co.uk</v>
          </cell>
          <cell r="K19" t="str">
            <v>Richard Tanner</v>
          </cell>
          <cell r="L19" t="str">
            <v>richard.tanner@eu.aew.com</v>
          </cell>
          <cell r="M19" t="str">
            <v>+442070164868</v>
          </cell>
          <cell r="N19" t="str">
            <v>Kari Clarke</v>
          </cell>
          <cell r="O19" t="str">
            <v>kari.clarke@eu.aew.com</v>
          </cell>
          <cell r="P19" t="str">
            <v>+442070164804</v>
          </cell>
          <cell r="Q19" t="str">
            <v>United Kingdom</v>
          </cell>
          <cell r="R19" t="str">
            <v>GBP</v>
          </cell>
          <cell r="S19" t="str">
            <v>FRS 102 ‘The Financial Reporting Standard</v>
          </cell>
          <cell r="T19" t="str">
            <v>Quarterly</v>
          </cell>
          <cell r="U19" t="str">
            <v>Monthly</v>
          </cell>
          <cell r="V19" t="str">
            <v>RICS</v>
          </cell>
          <cell r="W19" t="str">
            <v>FRS102</v>
          </cell>
          <cell r="X19" t="str">
            <v>KPMG</v>
          </cell>
          <cell r="Y19" t="str">
            <v>PAIF</v>
          </cell>
          <cell r="Z19" t="str">
            <v>No</v>
          </cell>
          <cell r="AA19" t="str">
            <v>Yes</v>
          </cell>
          <cell r="AC19" t="str">
            <v>Non-Listed Fund</v>
          </cell>
          <cell r="AD19" t="str">
            <v>Core</v>
          </cell>
          <cell r="AE19" t="str">
            <v>infinite</v>
          </cell>
          <cell r="AF19" t="str">
            <v>Open end</v>
          </cell>
          <cell r="AJ19" t="str">
            <v>All Balanced Property Funds Index – IPD UK Pooled Property Fund Index</v>
          </cell>
          <cell r="AL19">
            <v>0</v>
          </cell>
          <cell r="AM19" t="str">
            <v>≤ 40%</v>
          </cell>
          <cell r="AN19" t="str">
            <v>Institutional</v>
          </cell>
          <cell r="AO19" t="str">
            <v>&gt; 2</v>
          </cell>
          <cell r="AP19" t="str">
            <v>≥ 50%</v>
          </cell>
          <cell r="AQ19" t="str">
            <v>Europe</v>
          </cell>
          <cell r="AR19" t="str">
            <v>single country</v>
          </cell>
          <cell r="AT19" t="str">
            <v>United Kingdom</v>
          </cell>
          <cell r="AU19" t="str">
            <v>multi sector</v>
          </cell>
          <cell r="AY19">
            <v>2012</v>
          </cell>
          <cell r="BH19" t="str">
            <v>2020-12-31</v>
          </cell>
          <cell r="BI19">
            <v>288669291</v>
          </cell>
          <cell r="BJ19">
            <v>319138073.41934162</v>
          </cell>
          <cell r="BK19">
            <v>275297031</v>
          </cell>
          <cell r="BL19">
            <v>304354383.47823697</v>
          </cell>
          <cell r="BM19">
            <v>1.8</v>
          </cell>
          <cell r="BN19" t="str">
            <v>No</v>
          </cell>
          <cell r="BO19" t="str">
            <v>External</v>
          </cell>
          <cell r="BP19">
            <v>51</v>
          </cell>
          <cell r="BQ19">
            <v>65</v>
          </cell>
          <cell r="BR19">
            <v>258780318</v>
          </cell>
          <cell r="BS19">
            <v>284129019.08467442</v>
          </cell>
          <cell r="BT19">
            <v>258780318</v>
          </cell>
          <cell r="BU19">
            <v>284129019.08467442</v>
          </cell>
          <cell r="BV19" t="str">
            <v>Yes</v>
          </cell>
          <cell r="BW19" t="str">
            <v>United Kingdom</v>
          </cell>
          <cell r="BX19" t="str">
            <v>Other</v>
          </cell>
          <cell r="BY19">
            <v>18.3</v>
          </cell>
          <cell r="BZ19" t="str">
            <v>United Kingdom</v>
          </cell>
          <cell r="CA19" t="str">
            <v>Industrial / Logistics</v>
          </cell>
          <cell r="CB19">
            <v>50.8</v>
          </cell>
          <cell r="CC19" t="str">
            <v>United Kingdom</v>
          </cell>
          <cell r="CD19" t="str">
            <v>Retail</v>
          </cell>
          <cell r="CE19">
            <v>20</v>
          </cell>
          <cell r="CF19" t="str">
            <v>United Kingdom</v>
          </cell>
          <cell r="CG19" t="str">
            <v>Office</v>
          </cell>
          <cell r="CH19">
            <v>8.1999999999999993</v>
          </cell>
        </row>
        <row r="20">
          <cell r="A20">
            <v>23</v>
          </cell>
          <cell r="B20" t="str">
            <v>AIRPORT INDUSTRIAL PROPERTY UNIT TRUST</v>
          </cell>
          <cell r="C20" t="str">
            <v>SCOTTISH WIDOWS INVESTMENT PARTNERSHIP NOW PART OF ABERDEEN ASSET MANAGEMENT</v>
          </cell>
          <cell r="D20" t="str">
            <v>40 Princes Street</v>
          </cell>
          <cell r="E20" t="str">
            <v>EH32 2BY</v>
          </cell>
          <cell r="F20" t="str">
            <v>Edinburgh</v>
          </cell>
          <cell r="G20" t="str">
            <v>United Kingdom</v>
          </cell>
          <cell r="H20" t="str">
            <v>+44 (0) 131 528 4000</v>
          </cell>
          <cell r="I20" t="str">
            <v>+44 (0) 131 528 4400</v>
          </cell>
          <cell r="J20" t="str">
            <v>http://www.aberdeen-asset.com</v>
          </cell>
          <cell r="K20" t="str">
            <v>Nick Smith</v>
          </cell>
          <cell r="L20" t="str">
            <v>nick.smith@aberdeen-asset.com</v>
          </cell>
          <cell r="M20" t="str">
            <v xml:space="preserve">+44 131 528 4395 </v>
          </cell>
          <cell r="N20" t="str">
            <v>Nick Smith</v>
          </cell>
          <cell r="O20" t="str">
            <v>nick.smith@aberdeen-asset.com</v>
          </cell>
          <cell r="P20" t="str">
            <v xml:space="preserve">+44 131 528 4395 </v>
          </cell>
          <cell r="Q20" t="str">
            <v>Jersey</v>
          </cell>
          <cell r="R20" t="str">
            <v>GBP</v>
          </cell>
          <cell r="S20" t="str">
            <v>Local GAAP</v>
          </cell>
          <cell r="T20" t="str">
            <v>Quarterly</v>
          </cell>
          <cell r="U20" t="str">
            <v>Quarterly</v>
          </cell>
          <cell r="V20" t="str">
            <v>RICS</v>
          </cell>
          <cell r="W20" t="str">
            <v>FRS102</v>
          </cell>
          <cell r="X20" t="str">
            <v>PriceWaterhouseCoopers</v>
          </cell>
          <cell r="Y20" t="str">
            <v>Unit trust</v>
          </cell>
          <cell r="Z20" t="str">
            <v>No</v>
          </cell>
          <cell r="AA20" t="str">
            <v>No</v>
          </cell>
          <cell r="AB20">
            <v>0</v>
          </cell>
          <cell r="AC20" t="str">
            <v>Non-Listed Fund</v>
          </cell>
          <cell r="AD20" t="str">
            <v>Core</v>
          </cell>
          <cell r="AE20" t="str">
            <v>finite</v>
          </cell>
          <cell r="AF20" t="str">
            <v>Closed end</v>
          </cell>
          <cell r="AG20">
            <v>8</v>
          </cell>
          <cell r="AH20">
            <v>8</v>
          </cell>
          <cell r="AJ20" t="str">
            <v>IPD UK Quarterly Distribution Warehouses Index</v>
          </cell>
          <cell r="AL20">
            <v>40</v>
          </cell>
          <cell r="AM20" t="str">
            <v>&gt; 40% - ≤ 60%</v>
          </cell>
          <cell r="AN20" t="str">
            <v>Institutional</v>
          </cell>
          <cell r="AO20" t="str">
            <v>&gt; 2</v>
          </cell>
          <cell r="AP20" t="str">
            <v>≥ 50%</v>
          </cell>
          <cell r="AQ20" t="str">
            <v>Europe</v>
          </cell>
          <cell r="AR20" t="str">
            <v>single country</v>
          </cell>
          <cell r="AT20" t="str">
            <v>United Kingdom</v>
          </cell>
          <cell r="AU20" t="str">
            <v>single sector</v>
          </cell>
          <cell r="AV20" t="str">
            <v>Industrial / Logistics</v>
          </cell>
          <cell r="AY20">
            <v>2003</v>
          </cell>
          <cell r="AZ20">
            <v>2015</v>
          </cell>
          <cell r="BA20" t="str">
            <v>Yes</v>
          </cell>
          <cell r="BB20" t="str">
            <v>Yes</v>
          </cell>
          <cell r="BC20" t="str">
            <v>2 years</v>
          </cell>
          <cell r="BH20" t="str">
            <v>2020-12-31</v>
          </cell>
          <cell r="BI20">
            <v>635924245</v>
          </cell>
          <cell r="BJ20">
            <v>703045473.54830825</v>
          </cell>
          <cell r="BK20">
            <v>582934910</v>
          </cell>
          <cell r="BL20">
            <v>644463162.19440651</v>
          </cell>
          <cell r="BM20">
            <v>19.2</v>
          </cell>
          <cell r="BN20" t="str">
            <v>No</v>
          </cell>
          <cell r="BO20" t="str">
            <v>External</v>
          </cell>
          <cell r="BP20">
            <v>35</v>
          </cell>
          <cell r="BQ20">
            <v>19</v>
          </cell>
          <cell r="BR20">
            <v>393311702</v>
          </cell>
          <cell r="BS20">
            <v>431838359.83918911</v>
          </cell>
          <cell r="BT20">
            <v>393311702</v>
          </cell>
          <cell r="BU20">
            <v>431838359.83918911</v>
          </cell>
          <cell r="BW20" t="str">
            <v>United Kingdom</v>
          </cell>
          <cell r="BX20" t="str">
            <v>Industrial / Logistics</v>
          </cell>
          <cell r="BY20">
            <v>97</v>
          </cell>
          <cell r="BZ20" t="str">
            <v>United Kingdom</v>
          </cell>
          <cell r="CA20" t="str">
            <v>Other</v>
          </cell>
          <cell r="CB20">
            <v>0.7</v>
          </cell>
        </row>
        <row r="21">
          <cell r="A21">
            <v>24</v>
          </cell>
          <cell r="B21" t="str">
            <v>ALTERA VASTGOED INDUSTRIAL</v>
          </cell>
          <cell r="C21" t="str">
            <v>ALTERA VASTGOED N.V.</v>
          </cell>
          <cell r="D21" t="str">
            <v>PO Box 9220</v>
          </cell>
          <cell r="E21" t="str">
            <v>1180 ME</v>
          </cell>
          <cell r="F21" t="str">
            <v>Amstelveen</v>
          </cell>
          <cell r="G21" t="str">
            <v>Netherlands</v>
          </cell>
          <cell r="H21" t="str">
            <v>+31205452050</v>
          </cell>
          <cell r="I21" t="str">
            <v>+31205452060</v>
          </cell>
          <cell r="J21" t="str">
            <v>http://www.alteravastgoed.nl</v>
          </cell>
          <cell r="K21" t="str">
            <v>Jaap van der Bijl</v>
          </cell>
          <cell r="L21" t="str">
            <v>jaap.vanderbijl@alteravastgoed.nl</v>
          </cell>
          <cell r="M21" t="str">
            <v>+31205452050</v>
          </cell>
          <cell r="N21" t="str">
            <v>Mathijs Eikelenboom</v>
          </cell>
          <cell r="O21" t="str">
            <v>mathijs.eikelenboom@alteravastgoed.nl</v>
          </cell>
          <cell r="P21" t="str">
            <v>+31205452076</v>
          </cell>
          <cell r="Q21" t="str">
            <v>Netherlands</v>
          </cell>
          <cell r="R21" t="str">
            <v>EUR</v>
          </cell>
          <cell r="S21" t="str">
            <v>IFRS</v>
          </cell>
          <cell r="T21" t="str">
            <v>Quarterly</v>
          </cell>
          <cell r="U21" t="str">
            <v>Quarterly</v>
          </cell>
          <cell r="V21" t="str">
            <v>IVS</v>
          </cell>
          <cell r="W21" t="str">
            <v>INREV NAV</v>
          </cell>
          <cell r="X21" t="str">
            <v>Deloitte Accountants B.V.</v>
          </cell>
          <cell r="Y21" t="str">
            <v>NV</v>
          </cell>
          <cell r="Z21" t="str">
            <v>Yes</v>
          </cell>
          <cell r="AA21" t="str">
            <v>Yes</v>
          </cell>
          <cell r="AB21">
            <v>3</v>
          </cell>
          <cell r="AC21" t="str">
            <v>Non-Listed Fund</v>
          </cell>
          <cell r="AD21" t="str">
            <v>Core</v>
          </cell>
          <cell r="AE21" t="str">
            <v>infinite</v>
          </cell>
          <cell r="AF21" t="str">
            <v>Open end</v>
          </cell>
          <cell r="AJ21" t="str">
            <v>MSCI Netherlands Industrial Property Index</v>
          </cell>
          <cell r="AL21">
            <v>0</v>
          </cell>
          <cell r="AM21" t="str">
            <v>≤ 40%</v>
          </cell>
          <cell r="AN21" t="str">
            <v>Institutional</v>
          </cell>
          <cell r="AO21" t="str">
            <v>&gt; 2</v>
          </cell>
          <cell r="AP21" t="str">
            <v>≥ 50%</v>
          </cell>
          <cell r="AQ21" t="str">
            <v>Europe</v>
          </cell>
          <cell r="AR21" t="str">
            <v>single country</v>
          </cell>
          <cell r="AT21" t="str">
            <v>Netherlands</v>
          </cell>
          <cell r="AU21" t="str">
            <v>single sector</v>
          </cell>
          <cell r="AV21" t="str">
            <v>Industrial / Logistics</v>
          </cell>
          <cell r="AW21">
            <v>250000000</v>
          </cell>
          <cell r="AX21">
            <v>250000000</v>
          </cell>
          <cell r="AY21">
            <v>2000</v>
          </cell>
          <cell r="BD21" t="str">
            <v>No</v>
          </cell>
          <cell r="BE21" t="str">
            <v>≥ 60%</v>
          </cell>
          <cell r="BF21" t="str">
            <v>≤ 15%</v>
          </cell>
          <cell r="BG21" t="str">
            <v>≤ 5%</v>
          </cell>
          <cell r="BH21" t="str">
            <v>2020-12-31</v>
          </cell>
          <cell r="BI21">
            <v>9880645</v>
          </cell>
          <cell r="BJ21">
            <v>9880645</v>
          </cell>
          <cell r="BK21">
            <v>0</v>
          </cell>
          <cell r="BL21">
            <v>0</v>
          </cell>
          <cell r="BM21">
            <v>0</v>
          </cell>
          <cell r="BN21" t="str">
            <v>No</v>
          </cell>
          <cell r="BO21" t="str">
            <v>External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V21" t="str">
            <v>No</v>
          </cell>
          <cell r="BW21" t="str">
            <v>Netherlands</v>
          </cell>
          <cell r="BX21" t="str">
            <v>Industrial / Logistics</v>
          </cell>
          <cell r="BY21">
            <v>3.9</v>
          </cell>
        </row>
        <row r="22">
          <cell r="A22">
            <v>26</v>
          </cell>
          <cell r="B22" t="str">
            <v>ALTERA VASTGOED RESIDENTIAL</v>
          </cell>
          <cell r="C22" t="str">
            <v>ALTERA VASTGOED N.V.</v>
          </cell>
          <cell r="D22" t="str">
            <v>PO Box 9220</v>
          </cell>
          <cell r="E22" t="str">
            <v>1180 ME</v>
          </cell>
          <cell r="F22" t="str">
            <v>Amstelveen</v>
          </cell>
          <cell r="G22" t="str">
            <v>Netherlands</v>
          </cell>
          <cell r="H22" t="str">
            <v>+31205452050</v>
          </cell>
          <cell r="I22" t="str">
            <v>+31205452060</v>
          </cell>
          <cell r="J22" t="str">
            <v>http://www.alteravastgoed.nl</v>
          </cell>
          <cell r="K22" t="str">
            <v>Jaap van der Bijl</v>
          </cell>
          <cell r="L22" t="str">
            <v>jaap.vanderbijl@alteravastgoed.nl</v>
          </cell>
          <cell r="M22" t="str">
            <v>+31205452050</v>
          </cell>
          <cell r="N22" t="str">
            <v>Mathijs Eikelenboom</v>
          </cell>
          <cell r="O22" t="str">
            <v>mathijs.eikelenboom@alteravastgoed.nl</v>
          </cell>
          <cell r="P22" t="str">
            <v>+31205452076</v>
          </cell>
          <cell r="Q22" t="str">
            <v>Netherlands</v>
          </cell>
          <cell r="R22" t="str">
            <v>EUR</v>
          </cell>
          <cell r="S22" t="str">
            <v>IFRS</v>
          </cell>
          <cell r="T22" t="str">
            <v>Quarterly</v>
          </cell>
          <cell r="U22" t="str">
            <v>Quarterly</v>
          </cell>
          <cell r="V22" t="str">
            <v>IVS</v>
          </cell>
          <cell r="W22" t="str">
            <v>INREV NAV</v>
          </cell>
          <cell r="X22" t="str">
            <v>Deloitte Accountants B.V.</v>
          </cell>
          <cell r="Y22" t="str">
            <v>NV</v>
          </cell>
          <cell r="Z22" t="str">
            <v>Yes</v>
          </cell>
          <cell r="AA22" t="str">
            <v>Yes</v>
          </cell>
          <cell r="AB22">
            <v>3</v>
          </cell>
          <cell r="AC22" t="str">
            <v>Non-Listed Fund</v>
          </cell>
          <cell r="AD22" t="str">
            <v>Core</v>
          </cell>
          <cell r="AE22" t="str">
            <v>infinite</v>
          </cell>
          <cell r="AF22" t="str">
            <v>Open end</v>
          </cell>
          <cell r="AJ22" t="str">
            <v>MSCI Netherlands Residential Property Index</v>
          </cell>
          <cell r="AL22">
            <v>0</v>
          </cell>
          <cell r="AM22" t="str">
            <v>≤ 40%</v>
          </cell>
          <cell r="AN22" t="str">
            <v>Institutional</v>
          </cell>
          <cell r="AO22" t="str">
            <v>&gt; 2</v>
          </cell>
          <cell r="AP22" t="str">
            <v>≥ 50%</v>
          </cell>
          <cell r="AQ22" t="str">
            <v>Europe</v>
          </cell>
          <cell r="AR22" t="str">
            <v>single country</v>
          </cell>
          <cell r="AT22" t="str">
            <v>Netherlands</v>
          </cell>
          <cell r="AU22" t="str">
            <v>single sector</v>
          </cell>
          <cell r="AV22" t="str">
            <v>Residential</v>
          </cell>
          <cell r="AW22">
            <v>2500000000</v>
          </cell>
          <cell r="AX22">
            <v>2500000000</v>
          </cell>
          <cell r="AY22">
            <v>2000</v>
          </cell>
          <cell r="BD22" t="str">
            <v>No</v>
          </cell>
          <cell r="BE22" t="str">
            <v>≥ 60%</v>
          </cell>
          <cell r="BF22" t="str">
            <v>≤ 15%</v>
          </cell>
          <cell r="BG22" t="str">
            <v>≤ 5%</v>
          </cell>
          <cell r="BH22" t="str">
            <v>2020-12-31</v>
          </cell>
          <cell r="BI22">
            <v>1939842828.0799999</v>
          </cell>
          <cell r="BJ22">
            <v>1939842828.0799999</v>
          </cell>
          <cell r="BK22">
            <v>1912759828.1199999</v>
          </cell>
          <cell r="BL22">
            <v>1912759828.1199999</v>
          </cell>
          <cell r="BM22">
            <v>0</v>
          </cell>
          <cell r="BN22" t="str">
            <v>No</v>
          </cell>
          <cell r="BO22" t="str">
            <v>External</v>
          </cell>
          <cell r="BP22">
            <v>37</v>
          </cell>
          <cell r="BQ22">
            <v>98</v>
          </cell>
          <cell r="BR22">
            <v>354800000</v>
          </cell>
          <cell r="BS22">
            <v>354800000</v>
          </cell>
          <cell r="BT22">
            <v>0</v>
          </cell>
          <cell r="BU22">
            <v>0</v>
          </cell>
          <cell r="BV22" t="str">
            <v>No</v>
          </cell>
          <cell r="BW22" t="str">
            <v>Netherlands</v>
          </cell>
          <cell r="BX22" t="str">
            <v>Residential</v>
          </cell>
          <cell r="BY22">
            <v>96.7</v>
          </cell>
        </row>
        <row r="23">
          <cell r="A23">
            <v>27</v>
          </cell>
          <cell r="B23" t="str">
            <v>ALTERA VASTGOED RETAIL</v>
          </cell>
          <cell r="C23" t="str">
            <v>ALTERA VASTGOED N.V.</v>
          </cell>
          <cell r="D23" t="str">
            <v>PO Box 9220</v>
          </cell>
          <cell r="E23" t="str">
            <v>1180 ME</v>
          </cell>
          <cell r="F23" t="str">
            <v>Amstelveen</v>
          </cell>
          <cell r="G23" t="str">
            <v>Netherlands</v>
          </cell>
          <cell r="H23" t="str">
            <v>+31205452050</v>
          </cell>
          <cell r="I23" t="str">
            <v>+31205452060</v>
          </cell>
          <cell r="J23" t="str">
            <v>http://www.alteravastgoed.nl</v>
          </cell>
          <cell r="K23" t="str">
            <v>Jaap van der Bijl</v>
          </cell>
          <cell r="L23" t="str">
            <v>jaap.vanderbijl@alteravastgoed.nl</v>
          </cell>
          <cell r="M23" t="str">
            <v>+31205452050</v>
          </cell>
          <cell r="N23" t="str">
            <v>Mathijs Eikelenboom</v>
          </cell>
          <cell r="O23" t="str">
            <v>mathijs.eikelenboom@alteravastgoed.nl</v>
          </cell>
          <cell r="P23" t="str">
            <v>+31205452076</v>
          </cell>
          <cell r="Q23" t="str">
            <v>Netherlands</v>
          </cell>
          <cell r="R23" t="str">
            <v>EUR</v>
          </cell>
          <cell r="S23" t="str">
            <v>IFRS</v>
          </cell>
          <cell r="T23" t="str">
            <v>Quarterly</v>
          </cell>
          <cell r="U23" t="str">
            <v>Quarterly</v>
          </cell>
          <cell r="V23" t="str">
            <v>IVS</v>
          </cell>
          <cell r="W23" t="str">
            <v>INREV NAV</v>
          </cell>
          <cell r="X23" t="str">
            <v>Deloitte Accountants B.V.</v>
          </cell>
          <cell r="Y23" t="str">
            <v>NV</v>
          </cell>
          <cell r="Z23" t="str">
            <v>Yes</v>
          </cell>
          <cell r="AA23" t="str">
            <v>Yes</v>
          </cell>
          <cell r="AB23">
            <v>3</v>
          </cell>
          <cell r="AC23" t="str">
            <v>Non-Listed Fund</v>
          </cell>
          <cell r="AD23" t="str">
            <v>Core</v>
          </cell>
          <cell r="AE23" t="str">
            <v>infinite</v>
          </cell>
          <cell r="AF23" t="str">
            <v>Open end</v>
          </cell>
          <cell r="AJ23" t="str">
            <v>MSCI Netherlands Retail Property Index</v>
          </cell>
          <cell r="AL23">
            <v>0</v>
          </cell>
          <cell r="AM23" t="str">
            <v>≤ 40%</v>
          </cell>
          <cell r="AN23" t="str">
            <v>Institutional</v>
          </cell>
          <cell r="AO23" t="str">
            <v>&gt; 2</v>
          </cell>
          <cell r="AP23" t="str">
            <v>≥ 50%</v>
          </cell>
          <cell r="AQ23" t="str">
            <v>Europe</v>
          </cell>
          <cell r="AR23" t="str">
            <v>single country</v>
          </cell>
          <cell r="AT23" t="str">
            <v>Netherlands</v>
          </cell>
          <cell r="AU23" t="str">
            <v>single sector</v>
          </cell>
          <cell r="AV23" t="str">
            <v>Retail</v>
          </cell>
          <cell r="AW23">
            <v>1000000000</v>
          </cell>
          <cell r="AX23">
            <v>1000000000</v>
          </cell>
          <cell r="AY23">
            <v>2000</v>
          </cell>
          <cell r="BD23" t="str">
            <v>No</v>
          </cell>
          <cell r="BE23" t="str">
            <v>≥ 60%</v>
          </cell>
          <cell r="BF23" t="str">
            <v>≤ 15%</v>
          </cell>
          <cell r="BG23" t="str">
            <v>≤ 5%</v>
          </cell>
          <cell r="BH23" t="str">
            <v>2020-12-31</v>
          </cell>
          <cell r="BI23">
            <v>667364446.27999997</v>
          </cell>
          <cell r="BJ23">
            <v>667364446.27999997</v>
          </cell>
          <cell r="BK23">
            <v>599924402.95000005</v>
          </cell>
          <cell r="BL23">
            <v>599924402.95000005</v>
          </cell>
          <cell r="BM23">
            <v>0</v>
          </cell>
          <cell r="BN23" t="str">
            <v>No</v>
          </cell>
          <cell r="BO23" t="str">
            <v>External</v>
          </cell>
          <cell r="BP23">
            <v>29</v>
          </cell>
          <cell r="BQ23">
            <v>42</v>
          </cell>
          <cell r="BR23">
            <v>0</v>
          </cell>
          <cell r="BS23">
            <v>0</v>
          </cell>
          <cell r="BT23">
            <v>0</v>
          </cell>
          <cell r="BV23" t="str">
            <v>No</v>
          </cell>
          <cell r="BW23" t="str">
            <v>Netherlands</v>
          </cell>
          <cell r="BX23" t="str">
            <v>Retail</v>
          </cell>
          <cell r="BY23">
            <v>96.6</v>
          </cell>
        </row>
        <row r="24">
          <cell r="A24">
            <v>19322</v>
          </cell>
          <cell r="B24" t="str">
            <v>ALTERSVORSORGE FONDS ALTER WALL</v>
          </cell>
          <cell r="C24" t="str">
            <v>DWS GRUNDBESITZ GMBH</v>
          </cell>
          <cell r="D24" t="str">
            <v>Mainzer Landstr. 11-17</v>
          </cell>
          <cell r="E24" t="str">
            <v xml:space="preserve">60329 </v>
          </cell>
          <cell r="F24" t="str">
            <v>Frankfurt am Main</v>
          </cell>
          <cell r="G24" t="str">
            <v>Germany</v>
          </cell>
          <cell r="K24" t="str">
            <v>Thomas Köhler</v>
          </cell>
          <cell r="L24" t="str">
            <v>thomas-d.koehler@dws.com</v>
          </cell>
          <cell r="M24" t="str">
            <v>+49 (69) 910 - 14934</v>
          </cell>
          <cell r="Q24" t="str">
            <v>Germany</v>
          </cell>
          <cell r="R24" t="str">
            <v>EUR</v>
          </cell>
          <cell r="S24" t="str">
            <v>HGB</v>
          </cell>
          <cell r="T24" t="str">
            <v>Annually</v>
          </cell>
          <cell r="U24" t="str">
            <v>Annually</v>
          </cell>
          <cell r="V24" t="str">
            <v>ImmoWertV</v>
          </cell>
          <cell r="W24" t="str">
            <v>KAGB</v>
          </cell>
          <cell r="X24" t="str">
            <v>KPMG</v>
          </cell>
          <cell r="Y24" t="str">
            <v>Publikumsfonds</v>
          </cell>
          <cell r="Z24" t="str">
            <v>No</v>
          </cell>
          <cell r="AC24" t="str">
            <v>Non-Listed Fund</v>
          </cell>
          <cell r="AD24" t="str">
            <v>Core</v>
          </cell>
          <cell r="AE24" t="str">
            <v>finite</v>
          </cell>
          <cell r="AF24" t="str">
            <v>Closed end</v>
          </cell>
          <cell r="AN24" t="str">
            <v>Retail</v>
          </cell>
          <cell r="AO24" t="str">
            <v>&gt; 2</v>
          </cell>
          <cell r="AP24" t="str">
            <v>&lt; 50%</v>
          </cell>
          <cell r="AQ24" t="str">
            <v>Europe</v>
          </cell>
          <cell r="AR24" t="str">
            <v>single country</v>
          </cell>
          <cell r="AT24" t="str">
            <v>Germany</v>
          </cell>
          <cell r="AU24" t="str">
            <v>single sector</v>
          </cell>
          <cell r="AV24" t="str">
            <v>Office</v>
          </cell>
          <cell r="AY24">
            <v>2001</v>
          </cell>
          <cell r="BH24" t="str">
            <v>2018-12-31</v>
          </cell>
          <cell r="BI24">
            <v>36500000</v>
          </cell>
          <cell r="BJ24">
            <v>36500000</v>
          </cell>
          <cell r="BK24">
            <v>26656000</v>
          </cell>
          <cell r="BL24">
            <v>26656000</v>
          </cell>
          <cell r="BM24">
            <v>34.22</v>
          </cell>
          <cell r="BN24" t="str">
            <v>Yes</v>
          </cell>
          <cell r="BO24" t="str">
            <v>External</v>
          </cell>
          <cell r="BS24">
            <v>0</v>
          </cell>
          <cell r="BV24" t="str">
            <v>No</v>
          </cell>
          <cell r="BW24" t="str">
            <v>Germany</v>
          </cell>
          <cell r="BX24" t="str">
            <v>Office</v>
          </cell>
          <cell r="BY24">
            <v>100</v>
          </cell>
        </row>
        <row r="25">
          <cell r="A25">
            <v>610</v>
          </cell>
          <cell r="B25" t="str">
            <v>AMSTAR GLOBAL PROPERTY FUND I, L.P.</v>
          </cell>
          <cell r="C25" t="str">
            <v>AMSTAR GLOBAL PARTNERS, LTD.</v>
          </cell>
          <cell r="D25" t="str">
            <v>2 Church Street</v>
          </cell>
          <cell r="E25" t="str">
            <v>HM 11</v>
          </cell>
          <cell r="F25" t="str">
            <v>Hamilton</v>
          </cell>
          <cell r="G25" t="str">
            <v>Bermuda</v>
          </cell>
          <cell r="H25" t="str">
            <v>+1 303-534-6322</v>
          </cell>
          <cell r="I25" t="str">
            <v>+1 303-534-6713</v>
          </cell>
          <cell r="J25" t="str">
            <v>http://www.amstar.com</v>
          </cell>
          <cell r="K25" t="str">
            <v>Jason Lucas</v>
          </cell>
          <cell r="L25" t="str">
            <v>jason.lucas@amstar.com</v>
          </cell>
          <cell r="M25" t="str">
            <v>+1 303-534-6322</v>
          </cell>
          <cell r="N25" t="str">
            <v>Jason Lucas</v>
          </cell>
          <cell r="O25" t="str">
            <v>jason.lucas@amstar.com</v>
          </cell>
          <cell r="P25" t="str">
            <v>+1 303-534-6713</v>
          </cell>
          <cell r="Q25" t="str">
            <v>Bermuda</v>
          </cell>
          <cell r="R25" t="str">
            <v>EUR</v>
          </cell>
          <cell r="S25" t="str">
            <v>US GAAP</v>
          </cell>
          <cell r="T25" t="str">
            <v>Annually</v>
          </cell>
          <cell r="U25" t="str">
            <v>Annually</v>
          </cell>
          <cell r="X25" t="str">
            <v>PriceWaterhouseCoopers</v>
          </cell>
          <cell r="Y25" t="str">
            <v>Closed Ended Fund</v>
          </cell>
          <cell r="Z25" t="str">
            <v>Yes</v>
          </cell>
          <cell r="AA25" t="str">
            <v>Yes</v>
          </cell>
          <cell r="AB25">
            <v>3</v>
          </cell>
          <cell r="AC25" t="str">
            <v>Non-Listed Fund</v>
          </cell>
          <cell r="AD25" t="str">
            <v>Opportunity</v>
          </cell>
          <cell r="AE25" t="str">
            <v>finite</v>
          </cell>
          <cell r="AF25" t="str">
            <v>Closed end</v>
          </cell>
          <cell r="AG25">
            <v>25</v>
          </cell>
          <cell r="AH25">
            <v>30</v>
          </cell>
          <cell r="AI25" t="str">
            <v>Gross</v>
          </cell>
          <cell r="AJ25" t="str">
            <v>n/a</v>
          </cell>
          <cell r="AK25">
            <v>5</v>
          </cell>
          <cell r="AL25">
            <v>60</v>
          </cell>
          <cell r="AM25" t="str">
            <v>&gt; 60%</v>
          </cell>
          <cell r="AN25" t="str">
            <v>Institutional</v>
          </cell>
          <cell r="AO25" t="str">
            <v>&gt; 2</v>
          </cell>
          <cell r="AP25" t="str">
            <v>≥ 50%</v>
          </cell>
          <cell r="AQ25" t="str">
            <v>Global</v>
          </cell>
          <cell r="AR25" t="str">
            <v>multi country</v>
          </cell>
          <cell r="AU25" t="str">
            <v>multi sector</v>
          </cell>
          <cell r="AW25">
            <v>214000000</v>
          </cell>
          <cell r="AX25">
            <v>380000000</v>
          </cell>
          <cell r="AY25">
            <v>2007</v>
          </cell>
          <cell r="AZ25">
            <v>2017</v>
          </cell>
          <cell r="BA25" t="str">
            <v>Yes</v>
          </cell>
          <cell r="BB25" t="str">
            <v>Yes</v>
          </cell>
          <cell r="BC25" t="str">
            <v>1+1 years</v>
          </cell>
          <cell r="BH25" t="str">
            <v>2015-06-30</v>
          </cell>
          <cell r="BI25">
            <v>196138858</v>
          </cell>
          <cell r="BJ25">
            <v>196138858</v>
          </cell>
          <cell r="BK25">
            <v>114013424</v>
          </cell>
          <cell r="BL25">
            <v>114013424</v>
          </cell>
          <cell r="BM25">
            <v>41.9</v>
          </cell>
          <cell r="BN25" t="str">
            <v>No</v>
          </cell>
          <cell r="BO25" t="str">
            <v>Internal</v>
          </cell>
          <cell r="BP25">
            <v>12</v>
          </cell>
          <cell r="BQ25">
            <v>5</v>
          </cell>
          <cell r="BR25">
            <v>213757521</v>
          </cell>
          <cell r="BS25">
            <v>213757521</v>
          </cell>
          <cell r="BT25">
            <v>155493319</v>
          </cell>
          <cell r="BU25">
            <v>155493319</v>
          </cell>
          <cell r="BV25" t="str">
            <v>No</v>
          </cell>
          <cell r="BW25" t="str">
            <v>Turkey</v>
          </cell>
          <cell r="BX25" t="str">
            <v>Retail</v>
          </cell>
          <cell r="BY25">
            <v>64.3</v>
          </cell>
          <cell r="BZ25" t="str">
            <v>Russia</v>
          </cell>
          <cell r="CA25" t="str">
            <v>Industrial / Logistics</v>
          </cell>
          <cell r="CB25">
            <v>19.3</v>
          </cell>
          <cell r="CC25" t="str">
            <v>Russia</v>
          </cell>
          <cell r="CD25" t="str">
            <v>Other</v>
          </cell>
          <cell r="CE25">
            <v>5.7</v>
          </cell>
          <cell r="CF25" t="str">
            <v>India</v>
          </cell>
          <cell r="CG25" t="str">
            <v>Hotel</v>
          </cell>
          <cell r="CH25">
            <v>6.3</v>
          </cell>
        </row>
        <row r="26">
          <cell r="A26">
            <v>609</v>
          </cell>
          <cell r="B26" t="str">
            <v>AMSTAR GLOBAL PROPERTY FUND II, L.P.</v>
          </cell>
          <cell r="C26" t="str">
            <v>AMSTAR GLOBAL PARTNERS, LTD.</v>
          </cell>
          <cell r="D26" t="str">
            <v>2 Church Street</v>
          </cell>
          <cell r="E26" t="str">
            <v>HM 11</v>
          </cell>
          <cell r="F26" t="str">
            <v>Hamilton</v>
          </cell>
          <cell r="G26" t="str">
            <v>Bermuda</v>
          </cell>
          <cell r="H26" t="str">
            <v>+1 303-534-6322</v>
          </cell>
          <cell r="I26" t="str">
            <v>+1 303-534-6713</v>
          </cell>
          <cell r="J26" t="str">
            <v>http://www.amstar.com</v>
          </cell>
          <cell r="K26" t="str">
            <v>Jason Lucas</v>
          </cell>
          <cell r="L26" t="str">
            <v>jason.lucas@amstar.com</v>
          </cell>
          <cell r="M26" t="str">
            <v>+1 303-534-6322</v>
          </cell>
          <cell r="N26" t="str">
            <v>Jason Lucas</v>
          </cell>
          <cell r="O26" t="str">
            <v>jason.lucas@amstar.com</v>
          </cell>
          <cell r="P26" t="str">
            <v>+1 303-534-6713</v>
          </cell>
          <cell r="Q26" t="str">
            <v>Bermuda</v>
          </cell>
          <cell r="R26" t="str">
            <v>EUR</v>
          </cell>
          <cell r="S26" t="str">
            <v>US GAAP</v>
          </cell>
          <cell r="T26" t="str">
            <v>Annually</v>
          </cell>
          <cell r="U26" t="str">
            <v>Annually</v>
          </cell>
          <cell r="X26" t="str">
            <v>PriceWaterhouseCoopers</v>
          </cell>
          <cell r="Y26" t="str">
            <v>Closed Ended Fund</v>
          </cell>
          <cell r="Z26" t="str">
            <v>Yes</v>
          </cell>
          <cell r="AA26" t="str">
            <v>Yes</v>
          </cell>
          <cell r="AB26">
            <v>5</v>
          </cell>
          <cell r="AC26" t="str">
            <v>Non-Listed Fund</v>
          </cell>
          <cell r="AD26" t="str">
            <v>Opportunity</v>
          </cell>
          <cell r="AE26" t="str">
            <v>finite</v>
          </cell>
          <cell r="AF26" t="str">
            <v>Closed end</v>
          </cell>
          <cell r="AG26">
            <v>25</v>
          </cell>
          <cell r="AH26">
            <v>30</v>
          </cell>
          <cell r="AI26" t="str">
            <v>Gross</v>
          </cell>
          <cell r="AJ26" t="str">
            <v>n/a</v>
          </cell>
          <cell r="AK26">
            <v>10</v>
          </cell>
          <cell r="AL26">
            <v>60</v>
          </cell>
          <cell r="AM26" t="str">
            <v>&gt; 60%</v>
          </cell>
          <cell r="AN26" t="str">
            <v>Institutional</v>
          </cell>
          <cell r="AO26" t="str">
            <v>&gt; 2</v>
          </cell>
          <cell r="AP26" t="str">
            <v>≥ 50%</v>
          </cell>
          <cell r="AQ26" t="str">
            <v>Europe</v>
          </cell>
          <cell r="AR26" t="str">
            <v>single country</v>
          </cell>
          <cell r="AT26" t="str">
            <v>Turkey</v>
          </cell>
          <cell r="AU26" t="str">
            <v>single sector</v>
          </cell>
          <cell r="AV26" t="str">
            <v>Retail</v>
          </cell>
          <cell r="AW26">
            <v>95000000</v>
          </cell>
          <cell r="AX26">
            <v>250000000</v>
          </cell>
          <cell r="AY26">
            <v>2011</v>
          </cell>
          <cell r="AZ26">
            <v>2017</v>
          </cell>
          <cell r="BA26" t="str">
            <v>Yes</v>
          </cell>
          <cell r="BB26" t="str">
            <v>Yes</v>
          </cell>
          <cell r="BC26" t="str">
            <v>1+1 years</v>
          </cell>
          <cell r="BH26" t="str">
            <v>2015-03-31</v>
          </cell>
          <cell r="BI26">
            <v>228066591</v>
          </cell>
          <cell r="BJ26">
            <v>228066591</v>
          </cell>
          <cell r="BK26">
            <v>122667310</v>
          </cell>
          <cell r="BL26">
            <v>122667310</v>
          </cell>
          <cell r="BM26">
            <v>46.21</v>
          </cell>
          <cell r="BN26" t="str">
            <v>No</v>
          </cell>
          <cell r="BO26" t="str">
            <v>Internal</v>
          </cell>
          <cell r="BP26">
            <v>12</v>
          </cell>
          <cell r="BQ26">
            <v>3</v>
          </cell>
          <cell r="BR26">
            <v>95000000</v>
          </cell>
          <cell r="BS26">
            <v>95000000</v>
          </cell>
          <cell r="BT26">
            <v>54885000</v>
          </cell>
          <cell r="BU26">
            <v>54885000</v>
          </cell>
          <cell r="BV26" t="str">
            <v>No</v>
          </cell>
          <cell r="BW26" t="str">
            <v>Turkey</v>
          </cell>
          <cell r="BX26" t="str">
            <v>Retail</v>
          </cell>
          <cell r="BY26">
            <v>98.7</v>
          </cell>
        </row>
        <row r="27">
          <cell r="A27">
            <v>17488</v>
          </cell>
          <cell r="B27" t="str">
            <v>AMSTAR POLAND PROPERTY FUND I, L.P.</v>
          </cell>
          <cell r="C27" t="str">
            <v>AMSTAR GLOBAL PARTNERS, LTD.</v>
          </cell>
          <cell r="D27" t="str">
            <v>48 Par-la-Ville Road, Suite 203</v>
          </cell>
          <cell r="E27" t="str">
            <v>HM11</v>
          </cell>
          <cell r="F27" t="str">
            <v>Hamilton</v>
          </cell>
          <cell r="G27" t="str">
            <v>Bermuda</v>
          </cell>
          <cell r="H27" t="str">
            <v>+1 441 298 2600</v>
          </cell>
          <cell r="J27" t="str">
            <v>http://www.amstar.com/</v>
          </cell>
          <cell r="N27" t="str">
            <v>Jason Lucas</v>
          </cell>
          <cell r="O27" t="str">
            <v>jason.lucas@amstar.com</v>
          </cell>
          <cell r="P27" t="str">
            <v>+44 (0) 20 7590 3065</v>
          </cell>
          <cell r="Q27" t="str">
            <v>Cayman Islands</v>
          </cell>
          <cell r="R27" t="str">
            <v>EUR</v>
          </cell>
          <cell r="S27" t="str">
            <v>US GAAP</v>
          </cell>
          <cell r="T27" t="str">
            <v>Quarterly</v>
          </cell>
          <cell r="U27" t="str">
            <v>Annually</v>
          </cell>
          <cell r="X27" t="str">
            <v>PriceWaterhouseCoopers</v>
          </cell>
          <cell r="Y27" t="str">
            <v>Closed Ended Fund</v>
          </cell>
          <cell r="Z27" t="str">
            <v>No</v>
          </cell>
          <cell r="AA27" t="str">
            <v>Yes</v>
          </cell>
          <cell r="AB27">
            <v>6</v>
          </cell>
          <cell r="AC27" t="str">
            <v>Non-Listed Fund</v>
          </cell>
          <cell r="AD27" t="str">
            <v>Opportunity</v>
          </cell>
          <cell r="AE27" t="str">
            <v>finite</v>
          </cell>
          <cell r="AF27" t="str">
            <v>Closed end</v>
          </cell>
          <cell r="AG27">
            <v>25</v>
          </cell>
          <cell r="AH27">
            <v>30</v>
          </cell>
          <cell r="AI27" t="str">
            <v>Gross</v>
          </cell>
          <cell r="AJ27" t="str">
            <v>n/a</v>
          </cell>
          <cell r="AL27">
            <v>55</v>
          </cell>
          <cell r="AM27" t="str">
            <v>&gt; 60%</v>
          </cell>
          <cell r="AN27" t="str">
            <v>Institutional</v>
          </cell>
          <cell r="AO27" t="str">
            <v>&gt; 2</v>
          </cell>
          <cell r="AP27" t="str">
            <v>≥ 50%</v>
          </cell>
          <cell r="AQ27" t="str">
            <v>Europe</v>
          </cell>
          <cell r="AR27" t="str">
            <v>single country</v>
          </cell>
          <cell r="AT27" t="str">
            <v>Poland</v>
          </cell>
          <cell r="AU27" t="str">
            <v>single sector</v>
          </cell>
          <cell r="AV27" t="str">
            <v>Residential</v>
          </cell>
          <cell r="AW27">
            <v>84480000</v>
          </cell>
          <cell r="AY27">
            <v>2014</v>
          </cell>
          <cell r="AZ27">
            <v>2017</v>
          </cell>
          <cell r="BA27" t="str">
            <v>Yes</v>
          </cell>
          <cell r="BB27" t="str">
            <v>Yes</v>
          </cell>
          <cell r="BC27" t="str">
            <v>1+1 years</v>
          </cell>
          <cell r="BH27" t="str">
            <v>2015-06-30</v>
          </cell>
          <cell r="BI27">
            <v>76900100</v>
          </cell>
          <cell r="BJ27">
            <v>76900100</v>
          </cell>
          <cell r="BK27">
            <v>77365723</v>
          </cell>
          <cell r="BL27">
            <v>77365723</v>
          </cell>
          <cell r="BM27">
            <v>0</v>
          </cell>
          <cell r="BN27" t="str">
            <v>No</v>
          </cell>
          <cell r="BO27" t="str">
            <v>Internal</v>
          </cell>
          <cell r="BP27">
            <v>11</v>
          </cell>
          <cell r="BQ27">
            <v>1</v>
          </cell>
          <cell r="BR27">
            <v>84480000</v>
          </cell>
          <cell r="BS27">
            <v>84480000</v>
          </cell>
          <cell r="BT27">
            <v>76375000</v>
          </cell>
          <cell r="BU27">
            <v>76375000</v>
          </cell>
          <cell r="BV27" t="str">
            <v>No</v>
          </cell>
          <cell r="BW27" t="str">
            <v>Poland</v>
          </cell>
          <cell r="BX27" t="str">
            <v>Residential</v>
          </cell>
          <cell r="BY27">
            <v>99.4</v>
          </cell>
        </row>
        <row r="28">
          <cell r="A28">
            <v>19266</v>
          </cell>
          <cell r="B28" t="str">
            <v>AMUNDI REAL ESTATE PRIME EUROPE</v>
          </cell>
          <cell r="C28" t="str">
            <v>AMUNDI LUXEMBOURG</v>
          </cell>
          <cell r="D28" t="str">
            <v>5, Allée Scheffer</v>
          </cell>
          <cell r="E28" t="str">
            <v>L-2520</v>
          </cell>
          <cell r="F28" t="str">
            <v>Luxembourg</v>
          </cell>
          <cell r="G28" t="str">
            <v>Luxembourg</v>
          </cell>
          <cell r="J28" t="str">
            <v>https://www.amundi.com</v>
          </cell>
          <cell r="K28" t="str">
            <v>Benjamin Launay</v>
          </cell>
          <cell r="L28" t="str">
            <v>benjamin.launay@amundi.com</v>
          </cell>
          <cell r="N28" t="str">
            <v>Nathalie Hannon</v>
          </cell>
          <cell r="O28" t="str">
            <v>nathalie.hannon@amundi.com</v>
          </cell>
          <cell r="Q28" t="str">
            <v>Luxembourg</v>
          </cell>
          <cell r="R28" t="str">
            <v>EUR</v>
          </cell>
          <cell r="S28" t="str">
            <v>Local GAAP</v>
          </cell>
          <cell r="T28" t="str">
            <v>Quarterly</v>
          </cell>
          <cell r="U28" t="str">
            <v>Twice per year</v>
          </cell>
          <cell r="V28" t="str">
            <v>Fair Market Value</v>
          </cell>
          <cell r="W28" t="str">
            <v>INREV NAV</v>
          </cell>
          <cell r="X28" t="str">
            <v>Ernst and Young</v>
          </cell>
          <cell r="Y28" t="str">
            <v>Limited Partnership</v>
          </cell>
          <cell r="Z28" t="str">
            <v>Yes</v>
          </cell>
          <cell r="AA28" t="str">
            <v>No</v>
          </cell>
          <cell r="AC28" t="str">
            <v>Non-Listed Fund</v>
          </cell>
          <cell r="AD28" t="str">
            <v>Core</v>
          </cell>
          <cell r="AE28" t="str">
            <v>infinite</v>
          </cell>
          <cell r="AF28" t="str">
            <v>Open end</v>
          </cell>
          <cell r="AG28">
            <v>6</v>
          </cell>
          <cell r="AH28">
            <v>7</v>
          </cell>
          <cell r="AI28" t="str">
            <v>Net</v>
          </cell>
          <cell r="AK28">
            <v>4.5</v>
          </cell>
          <cell r="AL28">
            <v>45</v>
          </cell>
          <cell r="AM28" t="str">
            <v>&gt; 40% - ≤ 60%</v>
          </cell>
          <cell r="AN28" t="str">
            <v>Institutional</v>
          </cell>
          <cell r="AO28" t="str">
            <v>&gt; 2</v>
          </cell>
          <cell r="AP28" t="str">
            <v>≥ 50%</v>
          </cell>
          <cell r="AQ28" t="str">
            <v>Europe</v>
          </cell>
          <cell r="AR28" t="str">
            <v>multi country</v>
          </cell>
          <cell r="AS28" t="str">
            <v>Europe</v>
          </cell>
          <cell r="AU28" t="str">
            <v>multi sector</v>
          </cell>
          <cell r="AW28">
            <v>500000000</v>
          </cell>
          <cell r="AX28">
            <v>1000000000</v>
          </cell>
          <cell r="AY28">
            <v>2019</v>
          </cell>
          <cell r="BA28" t="str">
            <v>No</v>
          </cell>
          <cell r="BD28" t="str">
            <v>No</v>
          </cell>
          <cell r="BE28" t="str">
            <v>≥ 60%</v>
          </cell>
          <cell r="BF28" t="str">
            <v>≤ 15%</v>
          </cell>
          <cell r="BG28" t="str">
            <v>&gt; 5 - ≤ 25%</v>
          </cell>
          <cell r="BH28" t="str">
            <v>2020-12-31</v>
          </cell>
          <cell r="BI28">
            <v>272040000</v>
          </cell>
          <cell r="BJ28">
            <v>272040000</v>
          </cell>
          <cell r="BK28">
            <v>142559324</v>
          </cell>
          <cell r="BL28">
            <v>142559324</v>
          </cell>
          <cell r="BM28">
            <v>43.7</v>
          </cell>
          <cell r="BN28" t="str">
            <v>No</v>
          </cell>
          <cell r="BO28" t="str">
            <v>External</v>
          </cell>
          <cell r="BP28">
            <v>13</v>
          </cell>
          <cell r="BQ28">
            <v>3</v>
          </cell>
          <cell r="BR28">
            <v>190558000</v>
          </cell>
          <cell r="BS28">
            <v>190558000</v>
          </cell>
          <cell r="BT28">
            <v>126783000</v>
          </cell>
          <cell r="BU28">
            <v>126783000</v>
          </cell>
          <cell r="BV28" t="str">
            <v>Yes</v>
          </cell>
          <cell r="BW28" t="str">
            <v>Germany</v>
          </cell>
          <cell r="BX28" t="str">
            <v>Hotel</v>
          </cell>
          <cell r="BY28">
            <v>32</v>
          </cell>
          <cell r="BZ28" t="str">
            <v>Germany</v>
          </cell>
          <cell r="CA28" t="str">
            <v>Retail</v>
          </cell>
          <cell r="CB28">
            <v>17</v>
          </cell>
          <cell r="CC28" t="str">
            <v>Germany</v>
          </cell>
          <cell r="CD28" t="str">
            <v>Office</v>
          </cell>
          <cell r="CE28">
            <v>51</v>
          </cell>
        </row>
        <row r="29">
          <cell r="A29">
            <v>19273</v>
          </cell>
          <cell r="B29" t="str">
            <v>AMVEST LIVING AND CARE FUND</v>
          </cell>
          <cell r="C29" t="str">
            <v>AMVEST REIM B.V.</v>
          </cell>
          <cell r="D29" t="str">
            <v>Zeeburgerkade 1184</v>
          </cell>
          <cell r="E29" t="str">
            <v>1019 VK</v>
          </cell>
          <cell r="F29" t="str">
            <v>Amsterdam</v>
          </cell>
          <cell r="G29" t="str">
            <v>Netherlands</v>
          </cell>
          <cell r="K29" t="str">
            <v>Jordy Inden</v>
          </cell>
          <cell r="L29" t="str">
            <v>jinden@amvest.nl</v>
          </cell>
          <cell r="M29" t="str">
            <v>+31615264899</v>
          </cell>
          <cell r="N29" t="str">
            <v>Mark Nieuwenbroek</v>
          </cell>
          <cell r="O29" t="str">
            <v>mnieuwenbroek@amvest.nl</v>
          </cell>
          <cell r="Q29" t="str">
            <v>Netherlands</v>
          </cell>
          <cell r="R29" t="str">
            <v>EUR</v>
          </cell>
          <cell r="S29" t="str">
            <v>IFRS</v>
          </cell>
          <cell r="T29" t="str">
            <v>Quarterly</v>
          </cell>
          <cell r="U29" t="str">
            <v>Quarterly</v>
          </cell>
          <cell r="V29" t="str">
            <v>RICS</v>
          </cell>
          <cell r="W29" t="str">
            <v>INREV NAV</v>
          </cell>
          <cell r="X29" t="str">
            <v>KPMG</v>
          </cell>
          <cell r="Y29" t="str">
            <v>Real Estate Fund</v>
          </cell>
          <cell r="Z29" t="str">
            <v>Yes</v>
          </cell>
          <cell r="AC29" t="str">
            <v>Non-Listed Fund</v>
          </cell>
          <cell r="AD29" t="str">
            <v>Core</v>
          </cell>
          <cell r="AE29" t="str">
            <v>infinite</v>
          </cell>
          <cell r="AF29" t="str">
            <v>Open end</v>
          </cell>
          <cell r="AN29" t="str">
            <v>Institutional</v>
          </cell>
          <cell r="AO29" t="str">
            <v>≤ 2</v>
          </cell>
          <cell r="AP29" t="str">
            <v>≥ 50%</v>
          </cell>
          <cell r="AQ29" t="str">
            <v>Europe</v>
          </cell>
          <cell r="AR29" t="str">
            <v>single country</v>
          </cell>
          <cell r="AT29" t="str">
            <v>Netherlands</v>
          </cell>
          <cell r="AU29" t="str">
            <v>single sector</v>
          </cell>
          <cell r="AV29" t="str">
            <v>Health Care</v>
          </cell>
          <cell r="AY29">
            <v>2016</v>
          </cell>
          <cell r="BE29" t="str">
            <v>≥ 60%</v>
          </cell>
          <cell r="BF29" t="str">
            <v>&gt; 15% - ≤ 40%</v>
          </cell>
          <cell r="BG29" t="str">
            <v>&gt; 25%</v>
          </cell>
          <cell r="BH29" t="str">
            <v>2020-12-31</v>
          </cell>
          <cell r="BI29">
            <v>327321000</v>
          </cell>
          <cell r="BJ29">
            <v>327321000</v>
          </cell>
          <cell r="BK29">
            <v>321900000</v>
          </cell>
          <cell r="BL29">
            <v>321900000</v>
          </cell>
          <cell r="BM29">
            <v>0</v>
          </cell>
          <cell r="BN29" t="str">
            <v>No</v>
          </cell>
          <cell r="BO29" t="str">
            <v>External</v>
          </cell>
          <cell r="BP29">
            <v>2</v>
          </cell>
          <cell r="BQ29">
            <v>69</v>
          </cell>
          <cell r="BR29">
            <v>227688642</v>
          </cell>
          <cell r="BS29">
            <v>227688642</v>
          </cell>
          <cell r="BT29">
            <v>272311358</v>
          </cell>
          <cell r="BU29">
            <v>272311358</v>
          </cell>
          <cell r="BV29" t="str">
            <v>Yes</v>
          </cell>
          <cell r="BW29" t="str">
            <v>Netherlands</v>
          </cell>
          <cell r="BX29" t="str">
            <v>Health Care</v>
          </cell>
          <cell r="BY29">
            <v>96.3</v>
          </cell>
        </row>
        <row r="30">
          <cell r="A30">
            <v>16092</v>
          </cell>
          <cell r="B30" t="str">
            <v>AMVEST RESIDENTIAL CORE FUND</v>
          </cell>
          <cell r="C30" t="str">
            <v>AMVEST REIM B.V.</v>
          </cell>
          <cell r="D30" t="str">
            <v>Zeeburgerkade 1184</v>
          </cell>
          <cell r="E30" t="str">
            <v>1019 VK</v>
          </cell>
          <cell r="F30" t="str">
            <v>Amsterdam</v>
          </cell>
          <cell r="G30" t="str">
            <v>Netherlands</v>
          </cell>
          <cell r="K30" t="str">
            <v>Jordy Inden</v>
          </cell>
          <cell r="L30" t="str">
            <v>jinden@amvest.nl</v>
          </cell>
          <cell r="M30" t="str">
            <v>+31204301228</v>
          </cell>
          <cell r="N30" t="str">
            <v>Mark Nieuwenbroek</v>
          </cell>
          <cell r="O30" t="str">
            <v>mnieuwenbroek@amvest.nl</v>
          </cell>
          <cell r="Q30" t="str">
            <v>Netherlands</v>
          </cell>
          <cell r="R30" t="str">
            <v>EUR</v>
          </cell>
          <cell r="S30" t="str">
            <v>IFRS</v>
          </cell>
          <cell r="T30" t="str">
            <v>Quarterly</v>
          </cell>
          <cell r="U30" t="str">
            <v>Quarterly</v>
          </cell>
          <cell r="V30" t="str">
            <v>RICS</v>
          </cell>
          <cell r="W30" t="str">
            <v>INREV NAV</v>
          </cell>
          <cell r="X30" t="str">
            <v>KPMG</v>
          </cell>
          <cell r="Y30" t="str">
            <v>Real Estate Fund</v>
          </cell>
          <cell r="Z30" t="str">
            <v>Yes</v>
          </cell>
          <cell r="AC30" t="str">
            <v>Non-Listed Fund</v>
          </cell>
          <cell r="AD30" t="str">
            <v>Core</v>
          </cell>
          <cell r="AE30" t="str">
            <v>finite</v>
          </cell>
          <cell r="AF30" t="str">
            <v>Open end</v>
          </cell>
          <cell r="AM30" t="str">
            <v>≤ 40%</v>
          </cell>
          <cell r="AN30" t="str">
            <v>Institutional</v>
          </cell>
          <cell r="AO30" t="str">
            <v>&gt; 2</v>
          </cell>
          <cell r="AP30" t="str">
            <v>≥ 50%</v>
          </cell>
          <cell r="AQ30" t="str">
            <v>Europe</v>
          </cell>
          <cell r="AR30" t="str">
            <v>single country</v>
          </cell>
          <cell r="AT30" t="str">
            <v>Netherlands</v>
          </cell>
          <cell r="AU30" t="str">
            <v>single sector</v>
          </cell>
          <cell r="AV30" t="str">
            <v>Residential</v>
          </cell>
          <cell r="AY30">
            <v>2010</v>
          </cell>
          <cell r="AZ30">
            <v>2026</v>
          </cell>
          <cell r="BA30" t="str">
            <v>Yes</v>
          </cell>
          <cell r="BB30" t="str">
            <v>Yes</v>
          </cell>
          <cell r="BC30" t="str">
            <v>4 years fixed</v>
          </cell>
          <cell r="BE30" t="str">
            <v>≥ 60%</v>
          </cell>
          <cell r="BF30" t="str">
            <v>&gt; 15% - ≤ 40%</v>
          </cell>
          <cell r="BG30" t="str">
            <v>&gt; 5 - ≤ 25%</v>
          </cell>
          <cell r="BH30" t="str">
            <v>2020-12-31</v>
          </cell>
          <cell r="BI30">
            <v>3911450000</v>
          </cell>
          <cell r="BJ30">
            <v>3911450000</v>
          </cell>
          <cell r="BK30">
            <v>3185221000</v>
          </cell>
          <cell r="BL30">
            <v>3185221000</v>
          </cell>
          <cell r="BM30">
            <v>16</v>
          </cell>
          <cell r="BN30" t="str">
            <v>No</v>
          </cell>
          <cell r="BO30" t="str">
            <v>External</v>
          </cell>
          <cell r="BP30">
            <v>24</v>
          </cell>
          <cell r="BQ30">
            <v>219</v>
          </cell>
          <cell r="BR30">
            <v>385502791</v>
          </cell>
          <cell r="BS30">
            <v>385502791</v>
          </cell>
          <cell r="BT30">
            <v>0</v>
          </cell>
          <cell r="BU30">
            <v>0</v>
          </cell>
          <cell r="BV30" t="str">
            <v>No</v>
          </cell>
          <cell r="BW30" t="str">
            <v>Netherlands</v>
          </cell>
          <cell r="BX30" t="str">
            <v>Retail</v>
          </cell>
          <cell r="BY30">
            <v>1.5</v>
          </cell>
          <cell r="BZ30" t="str">
            <v>Netherlands</v>
          </cell>
          <cell r="CA30" t="str">
            <v>Residential</v>
          </cell>
          <cell r="CB30">
            <v>97.9</v>
          </cell>
        </row>
        <row r="31">
          <cell r="A31">
            <v>563</v>
          </cell>
          <cell r="B31" t="str">
            <v>ANASTASIA FUND</v>
          </cell>
          <cell r="C31" t="str">
            <v>PRELIOS SGR S.P.A.</v>
          </cell>
          <cell r="D31" t="str">
            <v>Viale Piero e Alberto Pirelli, 21</v>
          </cell>
          <cell r="E31">
            <v>20126</v>
          </cell>
          <cell r="F31" t="str">
            <v>Milano</v>
          </cell>
          <cell r="G31" t="str">
            <v>Italy</v>
          </cell>
          <cell r="H31" t="str">
            <v>+39 02 62811</v>
          </cell>
          <cell r="I31" t="str">
            <v>+39 02 6281 6061</v>
          </cell>
          <cell r="J31" t="str">
            <v>http://www.Pirelliresgr.com</v>
          </cell>
          <cell r="K31" t="str">
            <v>Gloria Bonavita</v>
          </cell>
          <cell r="L31" t="str">
            <v>gloria.bonavita@preliossgr.com</v>
          </cell>
          <cell r="M31" t="str">
            <v>+39 02 6281 25688</v>
          </cell>
          <cell r="N31" t="str">
            <v>Massimo Tagliabue</v>
          </cell>
          <cell r="O31" t="str">
            <v>massimo.tagliabue@preliossgr.com</v>
          </cell>
          <cell r="P31" t="str">
            <v>+39 02 6281 6061</v>
          </cell>
          <cell r="Q31" t="str">
            <v>Italy</v>
          </cell>
          <cell r="R31" t="str">
            <v>EUR</v>
          </cell>
          <cell r="S31" t="str">
            <v>Local GAAP</v>
          </cell>
          <cell r="T31" t="str">
            <v>Twice per year</v>
          </cell>
          <cell r="U31" t="str">
            <v>Twice per year</v>
          </cell>
          <cell r="X31" t="str">
            <v>PriceWaterhouseCoopers</v>
          </cell>
          <cell r="Y31" t="str">
            <v>Closed Ended Fund</v>
          </cell>
          <cell r="Z31" t="str">
            <v>No</v>
          </cell>
          <cell r="AA31" t="str">
            <v>No</v>
          </cell>
          <cell r="AB31">
            <v>0</v>
          </cell>
          <cell r="AC31" t="str">
            <v>Non-Listed Fund</v>
          </cell>
          <cell r="AD31" t="str">
            <v>Core</v>
          </cell>
          <cell r="AE31" t="str">
            <v>finite</v>
          </cell>
          <cell r="AF31" t="str">
            <v>Closed end</v>
          </cell>
          <cell r="AG31">
            <v>6.5</v>
          </cell>
          <cell r="AH31">
            <v>6.5</v>
          </cell>
          <cell r="AI31" t="str">
            <v>Net</v>
          </cell>
          <cell r="AK31">
            <v>7</v>
          </cell>
          <cell r="AL31">
            <v>50</v>
          </cell>
          <cell r="AM31" t="str">
            <v>&gt; 40% - ≤ 60%</v>
          </cell>
          <cell r="AN31" t="str">
            <v>Institutional</v>
          </cell>
          <cell r="AO31" t="str">
            <v>&gt; 2</v>
          </cell>
          <cell r="AP31" t="str">
            <v>≥ 50%</v>
          </cell>
          <cell r="AQ31" t="str">
            <v>Europe</v>
          </cell>
          <cell r="AR31" t="str">
            <v>single country</v>
          </cell>
          <cell r="AT31" t="str">
            <v>Italy</v>
          </cell>
          <cell r="AU31" t="str">
            <v>single sector</v>
          </cell>
          <cell r="AV31" t="str">
            <v>Office</v>
          </cell>
          <cell r="AW31">
            <v>140000000</v>
          </cell>
          <cell r="AX31">
            <v>321000000</v>
          </cell>
          <cell r="AY31">
            <v>2010</v>
          </cell>
          <cell r="AZ31">
            <v>2020</v>
          </cell>
          <cell r="BA31" t="str">
            <v>Yes</v>
          </cell>
          <cell r="BB31" t="str">
            <v>Yes</v>
          </cell>
          <cell r="BC31" t="str">
            <v>3 years</v>
          </cell>
          <cell r="BH31" t="str">
            <v>2020-06-30</v>
          </cell>
          <cell r="BI31">
            <v>31444779</v>
          </cell>
          <cell r="BJ31">
            <v>31444779</v>
          </cell>
          <cell r="BK31">
            <v>29539070</v>
          </cell>
          <cell r="BL31">
            <v>29539070</v>
          </cell>
          <cell r="BM31">
            <v>0</v>
          </cell>
          <cell r="BP31">
            <v>12</v>
          </cell>
          <cell r="BQ31">
            <v>3</v>
          </cell>
          <cell r="BR31">
            <v>40500001.719999999</v>
          </cell>
          <cell r="BS31">
            <v>40500001.719999999</v>
          </cell>
          <cell r="BT31">
            <v>40500001.719999999</v>
          </cell>
          <cell r="BU31">
            <v>40500001.719999999</v>
          </cell>
          <cell r="BW31" t="str">
            <v>Italy</v>
          </cell>
          <cell r="BX31" t="str">
            <v>Office</v>
          </cell>
          <cell r="BY31">
            <v>98.8</v>
          </cell>
        </row>
        <row r="32">
          <cell r="A32">
            <v>16070</v>
          </cell>
          <cell r="B32" t="str">
            <v>AREIM FASTIGHETER 2 AB</v>
          </cell>
          <cell r="C32" t="str">
            <v>AREIM AB</v>
          </cell>
          <cell r="D32" t="str">
            <v>Norrlandsgatan 18</v>
          </cell>
          <cell r="E32" t="str">
            <v>111 43</v>
          </cell>
          <cell r="F32" t="str">
            <v>Stockholm</v>
          </cell>
          <cell r="G32" t="str">
            <v>Sweden</v>
          </cell>
          <cell r="H32" t="str">
            <v>+46850105500</v>
          </cell>
          <cell r="I32" t="str">
            <v>+46850105501</v>
          </cell>
          <cell r="J32" t="str">
            <v>http://www.areim.com</v>
          </cell>
          <cell r="K32" t="str">
            <v>Marika Hilldoff</v>
          </cell>
          <cell r="L32" t="str">
            <v>Marika.hilldoff@areim.se</v>
          </cell>
          <cell r="M32" t="str">
            <v>+46708915079</v>
          </cell>
          <cell r="N32" t="str">
            <v>Marika Hilldoff</v>
          </cell>
          <cell r="O32" t="str">
            <v>Marika.hilldoff@areim.se</v>
          </cell>
          <cell r="P32" t="str">
            <v>+46708915079</v>
          </cell>
          <cell r="Q32" t="str">
            <v>Sweden</v>
          </cell>
          <cell r="R32" t="str">
            <v>SEK</v>
          </cell>
          <cell r="S32" t="str">
            <v>IFRS</v>
          </cell>
          <cell r="T32" t="str">
            <v>Quarterly</v>
          </cell>
          <cell r="U32" t="str">
            <v>Twice per year</v>
          </cell>
          <cell r="V32" t="str">
            <v>RICS</v>
          </cell>
          <cell r="W32" t="str">
            <v>INREV NAV</v>
          </cell>
          <cell r="X32" t="str">
            <v>KPMG</v>
          </cell>
          <cell r="Y32" t="str">
            <v>Swedish limited liability company (AB)</v>
          </cell>
          <cell r="Z32" t="str">
            <v>Yes</v>
          </cell>
          <cell r="AA32" t="str">
            <v>Yes</v>
          </cell>
          <cell r="AB32">
            <v>0</v>
          </cell>
          <cell r="AC32" t="str">
            <v>Non-Listed Fund</v>
          </cell>
          <cell r="AD32" t="str">
            <v>Value-added</v>
          </cell>
          <cell r="AE32" t="str">
            <v>finite</v>
          </cell>
          <cell r="AF32" t="str">
            <v>Closed end</v>
          </cell>
          <cell r="AG32">
            <v>12</v>
          </cell>
          <cell r="AH32">
            <v>14</v>
          </cell>
          <cell r="AI32" t="str">
            <v>Net</v>
          </cell>
          <cell r="AM32" t="str">
            <v>&gt; 40% - ≤ 60%</v>
          </cell>
          <cell r="AN32" t="str">
            <v>Institutional</v>
          </cell>
          <cell r="AO32" t="str">
            <v>&gt; 2</v>
          </cell>
          <cell r="AP32" t="str">
            <v>≥ 50%</v>
          </cell>
          <cell r="AQ32" t="str">
            <v>Europe</v>
          </cell>
          <cell r="AR32" t="str">
            <v>single country</v>
          </cell>
          <cell r="AT32" t="str">
            <v>Sweden</v>
          </cell>
          <cell r="AU32" t="str">
            <v>multi sector</v>
          </cell>
          <cell r="AW32">
            <v>3000000000</v>
          </cell>
          <cell r="AX32">
            <v>7500000000</v>
          </cell>
          <cell r="AY32">
            <v>2012</v>
          </cell>
          <cell r="AZ32">
            <v>2021</v>
          </cell>
          <cell r="BA32" t="str">
            <v>Yes</v>
          </cell>
          <cell r="BB32" t="str">
            <v>Yes</v>
          </cell>
          <cell r="BC32" t="str">
            <v>1+1 years</v>
          </cell>
          <cell r="BD32" t="str">
            <v>No</v>
          </cell>
          <cell r="BH32" t="str">
            <v>2020-12-31</v>
          </cell>
          <cell r="BI32">
            <v>1812101768</v>
          </cell>
          <cell r="BJ32">
            <v>180227961.8290095</v>
          </cell>
          <cell r="BK32">
            <v>759218621</v>
          </cell>
          <cell r="BL32">
            <v>75510342.223484471</v>
          </cell>
          <cell r="BM32">
            <v>62</v>
          </cell>
          <cell r="BN32" t="str">
            <v>Yes</v>
          </cell>
          <cell r="BO32" t="str">
            <v>Internal</v>
          </cell>
          <cell r="BP32">
            <v>6</v>
          </cell>
          <cell r="BQ32">
            <v>3</v>
          </cell>
          <cell r="BR32">
            <v>2565700000</v>
          </cell>
          <cell r="BS32">
            <v>243816068.73508999</v>
          </cell>
          <cell r="BT32">
            <v>2393425366</v>
          </cell>
          <cell r="BU32">
            <v>227444971.5668098</v>
          </cell>
          <cell r="BV32" t="str">
            <v>No</v>
          </cell>
          <cell r="BW32" t="str">
            <v>Sweden</v>
          </cell>
          <cell r="BX32" t="str">
            <v>Office</v>
          </cell>
          <cell r="BY32">
            <v>27</v>
          </cell>
          <cell r="BZ32" t="str">
            <v>Sweden</v>
          </cell>
          <cell r="CA32" t="str">
            <v>Retail</v>
          </cell>
          <cell r="CB32">
            <v>54</v>
          </cell>
          <cell r="CC32" t="str">
            <v>Sweden</v>
          </cell>
          <cell r="CD32" t="str">
            <v>Development Residential</v>
          </cell>
          <cell r="CE32">
            <v>17</v>
          </cell>
        </row>
        <row r="33">
          <cell r="A33">
            <v>17720</v>
          </cell>
          <cell r="B33" t="str">
            <v>AREIM FASTIGHETER 3 AB</v>
          </cell>
          <cell r="C33" t="str">
            <v>AREIM AB</v>
          </cell>
          <cell r="D33" t="str">
            <v>Norrlandsgatan 18</v>
          </cell>
          <cell r="E33" t="str">
            <v>111 43</v>
          </cell>
          <cell r="F33" t="str">
            <v>Stockholm</v>
          </cell>
          <cell r="G33" t="str">
            <v>Sweden</v>
          </cell>
          <cell r="H33" t="str">
            <v>+46850105500</v>
          </cell>
          <cell r="I33" t="str">
            <v>+46850105501</v>
          </cell>
          <cell r="J33" t="str">
            <v>http://www.areim.com</v>
          </cell>
          <cell r="K33" t="str">
            <v>Jan-Phillip Holzenburg</v>
          </cell>
          <cell r="L33" t="str">
            <v>jan-phillip.holzenburg@areim.se</v>
          </cell>
          <cell r="M33" t="str">
            <v>+46854501097</v>
          </cell>
          <cell r="N33" t="str">
            <v>Jan-Phillip Holzenburg</v>
          </cell>
          <cell r="O33" t="str">
            <v>jan-phillip.holzenburg@areim.se</v>
          </cell>
          <cell r="P33" t="str">
            <v>+46854501097</v>
          </cell>
          <cell r="Q33" t="str">
            <v>Sweden</v>
          </cell>
          <cell r="R33" t="str">
            <v>SEK</v>
          </cell>
          <cell r="S33" t="str">
            <v>IFRS</v>
          </cell>
          <cell r="T33" t="str">
            <v>Quarterly</v>
          </cell>
          <cell r="U33" t="str">
            <v>Twice per year</v>
          </cell>
          <cell r="V33" t="str">
            <v>RICS</v>
          </cell>
          <cell r="W33" t="str">
            <v>INREV NAV</v>
          </cell>
          <cell r="X33" t="str">
            <v>KPMG</v>
          </cell>
          <cell r="Y33" t="str">
            <v>Real Estate Fund</v>
          </cell>
          <cell r="Z33" t="str">
            <v>Yes</v>
          </cell>
          <cell r="AA33" t="str">
            <v>Yes</v>
          </cell>
          <cell r="AC33" t="str">
            <v>Non-Listed Fund</v>
          </cell>
          <cell r="AD33" t="str">
            <v>Value-added</v>
          </cell>
          <cell r="AE33" t="str">
            <v>finite</v>
          </cell>
          <cell r="AF33" t="str">
            <v>Closed end</v>
          </cell>
          <cell r="AG33">
            <v>12</v>
          </cell>
          <cell r="AH33">
            <v>14</v>
          </cell>
          <cell r="AI33" t="str">
            <v>Net</v>
          </cell>
          <cell r="AM33" t="str">
            <v>&gt; 40% - ≤ 60%</v>
          </cell>
          <cell r="AN33" t="str">
            <v>Institutional</v>
          </cell>
          <cell r="AO33" t="str">
            <v>&gt; 2</v>
          </cell>
          <cell r="AP33" t="str">
            <v>≥ 50%</v>
          </cell>
          <cell r="AQ33" t="str">
            <v>Europe</v>
          </cell>
          <cell r="AR33" t="str">
            <v>multi country</v>
          </cell>
          <cell r="AS33" t="str">
            <v>Nordic</v>
          </cell>
          <cell r="AU33" t="str">
            <v>multi sector</v>
          </cell>
          <cell r="AW33">
            <v>4000000000</v>
          </cell>
          <cell r="AX33">
            <v>10000000000</v>
          </cell>
          <cell r="AY33">
            <v>2015</v>
          </cell>
          <cell r="AZ33">
            <v>2028</v>
          </cell>
          <cell r="BA33" t="str">
            <v>Yes</v>
          </cell>
          <cell r="BB33" t="str">
            <v>Yes</v>
          </cell>
          <cell r="BC33" t="str">
            <v>2 years fixed</v>
          </cell>
          <cell r="BD33" t="str">
            <v>No</v>
          </cell>
          <cell r="BH33" t="str">
            <v>2020-12-31</v>
          </cell>
          <cell r="BI33">
            <v>5692105404</v>
          </cell>
          <cell r="BJ33">
            <v>566125243.95418561</v>
          </cell>
          <cell r="BK33">
            <v>3077255242</v>
          </cell>
          <cell r="BL33">
            <v>306057557.07937461</v>
          </cell>
          <cell r="BM33">
            <v>30</v>
          </cell>
          <cell r="BN33" t="str">
            <v>No</v>
          </cell>
          <cell r="BO33" t="str">
            <v>Internal</v>
          </cell>
          <cell r="BP33">
            <v>9</v>
          </cell>
          <cell r="BQ33">
            <v>5</v>
          </cell>
          <cell r="BR33">
            <v>4175803000</v>
          </cell>
          <cell r="BS33">
            <v>396822649.28565109</v>
          </cell>
          <cell r="BT33">
            <v>2921491156</v>
          </cell>
          <cell r="BU33">
            <v>277626569.16251057</v>
          </cell>
          <cell r="BV33" t="str">
            <v>No</v>
          </cell>
          <cell r="BW33" t="str">
            <v>Finland</v>
          </cell>
          <cell r="BX33" t="str">
            <v>Office</v>
          </cell>
          <cell r="BY33">
            <v>33</v>
          </cell>
          <cell r="BZ33" t="str">
            <v>Sweden</v>
          </cell>
          <cell r="CA33" t="str">
            <v>Mixed</v>
          </cell>
          <cell r="CB33">
            <v>10</v>
          </cell>
          <cell r="CC33" t="str">
            <v>Sweden</v>
          </cell>
          <cell r="CD33" t="str">
            <v>Office</v>
          </cell>
          <cell r="CE33">
            <v>57</v>
          </cell>
        </row>
        <row r="34">
          <cell r="A34">
            <v>18631</v>
          </cell>
          <cell r="B34" t="str">
            <v>AREIM FASTIGHETER 4 (D) AB</v>
          </cell>
          <cell r="C34" t="str">
            <v>AREIM AB</v>
          </cell>
          <cell r="D34" t="str">
            <v>Norrlandsgatan 18</v>
          </cell>
          <cell r="E34">
            <v>11143</v>
          </cell>
          <cell r="F34" t="str">
            <v>Stockholm</v>
          </cell>
          <cell r="G34" t="str">
            <v>Sweden</v>
          </cell>
          <cell r="H34" t="str">
            <v>+46850105500</v>
          </cell>
          <cell r="I34" t="str">
            <v>+46850105501</v>
          </cell>
          <cell r="J34" t="str">
            <v>https://www.areim.se</v>
          </cell>
          <cell r="K34" t="str">
            <v>helena.ekstrom@areim.se</v>
          </cell>
          <cell r="L34" t="str">
            <v>helena.ekstrom@areim.se</v>
          </cell>
          <cell r="M34" t="str">
            <v>+4685450190</v>
          </cell>
          <cell r="N34" t="str">
            <v>Helena Ekström</v>
          </cell>
          <cell r="O34" t="str">
            <v>helena.ekstrom@areim.se</v>
          </cell>
          <cell r="P34" t="str">
            <v>+4685450190</v>
          </cell>
          <cell r="Q34" t="str">
            <v>Sweden</v>
          </cell>
          <cell r="R34" t="str">
            <v>SEK</v>
          </cell>
          <cell r="S34" t="str">
            <v>IFRS</v>
          </cell>
          <cell r="T34" t="str">
            <v>Quarterly</v>
          </cell>
          <cell r="U34" t="str">
            <v>Twice per year</v>
          </cell>
          <cell r="V34" t="str">
            <v>RICS</v>
          </cell>
          <cell r="W34" t="str">
            <v>INREV NAV</v>
          </cell>
          <cell r="X34" t="str">
            <v>KPMG</v>
          </cell>
          <cell r="Y34" t="str">
            <v>Real Estate Fund</v>
          </cell>
          <cell r="Z34" t="str">
            <v>Yes</v>
          </cell>
          <cell r="AA34" t="str">
            <v>Yes</v>
          </cell>
          <cell r="AC34" t="str">
            <v>Non-Listed Fund</v>
          </cell>
          <cell r="AD34" t="str">
            <v>Value-added</v>
          </cell>
          <cell r="AE34" t="str">
            <v>finite</v>
          </cell>
          <cell r="AF34" t="str">
            <v>Closed end</v>
          </cell>
          <cell r="AG34">
            <v>12</v>
          </cell>
          <cell r="AH34">
            <v>14</v>
          </cell>
          <cell r="AI34" t="str">
            <v>Net</v>
          </cell>
          <cell r="AM34" t="str">
            <v>&gt; 40% - ≤ 60%</v>
          </cell>
          <cell r="AN34" t="str">
            <v>Institutional</v>
          </cell>
          <cell r="AO34" t="str">
            <v>&gt; 2</v>
          </cell>
          <cell r="AP34" t="str">
            <v>≥ 50%</v>
          </cell>
          <cell r="AQ34" t="str">
            <v>Europe</v>
          </cell>
          <cell r="AR34" t="str">
            <v>multi country</v>
          </cell>
          <cell r="AS34" t="str">
            <v>Nordic</v>
          </cell>
          <cell r="AU34" t="str">
            <v>multi sector</v>
          </cell>
          <cell r="AW34">
            <v>550000000</v>
          </cell>
          <cell r="AX34">
            <v>1375000000</v>
          </cell>
          <cell r="AY34">
            <v>2018</v>
          </cell>
          <cell r="AZ34">
            <v>2028</v>
          </cell>
          <cell r="BA34" t="str">
            <v>Yes</v>
          </cell>
          <cell r="BB34" t="str">
            <v>Yes</v>
          </cell>
          <cell r="BC34" t="str">
            <v>1+1 years</v>
          </cell>
          <cell r="BD34" t="str">
            <v>No</v>
          </cell>
          <cell r="BH34" t="str">
            <v>2020-12-31</v>
          </cell>
          <cell r="BI34">
            <v>417017064</v>
          </cell>
          <cell r="BJ34">
            <v>41475670.307186432</v>
          </cell>
          <cell r="BK34">
            <v>397385000</v>
          </cell>
          <cell r="BL34">
            <v>39523105.090542004</v>
          </cell>
          <cell r="BM34">
            <v>0</v>
          </cell>
          <cell r="BN34" t="str">
            <v>Yes</v>
          </cell>
          <cell r="BO34" t="str">
            <v>Internal</v>
          </cell>
          <cell r="BP34">
            <v>2</v>
          </cell>
          <cell r="BQ34">
            <v>8</v>
          </cell>
          <cell r="BR34">
            <v>831715000</v>
          </cell>
          <cell r="BS34">
            <v>79037097.7152455</v>
          </cell>
          <cell r="BT34">
            <v>416191399</v>
          </cell>
          <cell r="BU34">
            <v>39550278.966963112</v>
          </cell>
          <cell r="BV34" t="str">
            <v>No</v>
          </cell>
          <cell r="BW34" t="str">
            <v>Denmark</v>
          </cell>
          <cell r="BX34" t="str">
            <v>Office</v>
          </cell>
          <cell r="BY34">
            <v>3.4</v>
          </cell>
          <cell r="BZ34" t="str">
            <v>Sweden</v>
          </cell>
          <cell r="CA34" t="str">
            <v>Residential</v>
          </cell>
          <cell r="CB34">
            <v>1.4</v>
          </cell>
          <cell r="CC34" t="str">
            <v>Sweden</v>
          </cell>
          <cell r="CD34" t="str">
            <v>Office</v>
          </cell>
          <cell r="CE34">
            <v>45.5</v>
          </cell>
          <cell r="CF34" t="str">
            <v>Finland</v>
          </cell>
          <cell r="CG34" t="str">
            <v>Residential</v>
          </cell>
          <cell r="CH34">
            <v>15.7</v>
          </cell>
          <cell r="CI34" t="str">
            <v>Sweden</v>
          </cell>
          <cell r="CJ34" t="str">
            <v>Industrial / Logistics</v>
          </cell>
          <cell r="CK34">
            <v>16.7</v>
          </cell>
          <cell r="CL34" t="str">
            <v>Finland</v>
          </cell>
          <cell r="CM34" t="str">
            <v>Office</v>
          </cell>
          <cell r="CN34">
            <v>1.9</v>
          </cell>
        </row>
        <row r="35">
          <cell r="A35">
            <v>18616</v>
          </cell>
          <cell r="B35" t="str">
            <v>AREIM FASTIGHETER 4 (EQ) AB</v>
          </cell>
          <cell r="C35" t="str">
            <v>AREIM AB</v>
          </cell>
          <cell r="D35" t="str">
            <v>Norrlandsgatan 18</v>
          </cell>
          <cell r="E35" t="str">
            <v>111 43</v>
          </cell>
          <cell r="F35" t="str">
            <v>Stockholm</v>
          </cell>
          <cell r="G35" t="str">
            <v>Sweden</v>
          </cell>
          <cell r="H35" t="str">
            <v>+46850105500</v>
          </cell>
          <cell r="I35" t="str">
            <v>+46850105501</v>
          </cell>
          <cell r="J35" t="str">
            <v>https://www.areim.se</v>
          </cell>
          <cell r="K35" t="str">
            <v>Helena Ekström</v>
          </cell>
          <cell r="L35" t="str">
            <v>helena.ekstrom@areim.se</v>
          </cell>
          <cell r="M35" t="str">
            <v>+46854501090</v>
          </cell>
          <cell r="N35" t="str">
            <v>Helena Ekström</v>
          </cell>
          <cell r="O35" t="str">
            <v>helena.ekstrom@areim.se</v>
          </cell>
          <cell r="P35" t="str">
            <v>+46854501090</v>
          </cell>
          <cell r="Q35" t="str">
            <v>Sweden</v>
          </cell>
          <cell r="R35" t="str">
            <v>SEK</v>
          </cell>
          <cell r="S35" t="str">
            <v>IFRS</v>
          </cell>
          <cell r="T35" t="str">
            <v>Quarterly</v>
          </cell>
          <cell r="U35" t="str">
            <v>Twice per year</v>
          </cell>
          <cell r="V35" t="str">
            <v>RICS</v>
          </cell>
          <cell r="W35" t="str">
            <v>INREV NAV</v>
          </cell>
          <cell r="X35" t="str">
            <v>KPMG</v>
          </cell>
          <cell r="Y35" t="str">
            <v>Real Estate Fund</v>
          </cell>
          <cell r="Z35" t="str">
            <v>Yes</v>
          </cell>
          <cell r="AA35" t="str">
            <v>Yes</v>
          </cell>
          <cell r="AC35" t="str">
            <v>Non-Listed Fund</v>
          </cell>
          <cell r="AD35" t="str">
            <v>Value-added</v>
          </cell>
          <cell r="AE35" t="str">
            <v>finite</v>
          </cell>
          <cell r="AF35" t="str">
            <v>Closed end</v>
          </cell>
          <cell r="AG35">
            <v>12</v>
          </cell>
          <cell r="AH35">
            <v>14</v>
          </cell>
          <cell r="AI35" t="str">
            <v>Net</v>
          </cell>
          <cell r="AJ35" t="str">
            <v>MSCI</v>
          </cell>
          <cell r="AM35" t="str">
            <v>&gt; 40% - ≤ 60%</v>
          </cell>
          <cell r="AN35" t="str">
            <v>Institutional</v>
          </cell>
          <cell r="AO35" t="str">
            <v>&gt; 2</v>
          </cell>
          <cell r="AP35" t="str">
            <v>≥ 50%</v>
          </cell>
          <cell r="AQ35" t="str">
            <v>Europe</v>
          </cell>
          <cell r="AR35" t="str">
            <v>multi country</v>
          </cell>
          <cell r="AS35" t="str">
            <v>Nordic</v>
          </cell>
          <cell r="AU35" t="str">
            <v>multi sector</v>
          </cell>
          <cell r="AW35">
            <v>4950000000</v>
          </cell>
          <cell r="AX35">
            <v>12375000000</v>
          </cell>
          <cell r="AY35">
            <v>2018</v>
          </cell>
          <cell r="AZ35">
            <v>2029</v>
          </cell>
          <cell r="BA35" t="str">
            <v>No</v>
          </cell>
          <cell r="BB35" t="str">
            <v>No</v>
          </cell>
          <cell r="BD35" t="str">
            <v>No</v>
          </cell>
          <cell r="BH35" t="str">
            <v>2020-12-31</v>
          </cell>
          <cell r="BI35">
            <v>9395431866</v>
          </cell>
          <cell r="BJ35">
            <v>934450573.14932656</v>
          </cell>
          <cell r="BK35">
            <v>2271680759</v>
          </cell>
          <cell r="BL35">
            <v>225936754.96085459</v>
          </cell>
          <cell r="BM35">
            <v>52.17</v>
          </cell>
          <cell r="BN35" t="str">
            <v>Yes</v>
          </cell>
          <cell r="BO35" t="str">
            <v>Internal</v>
          </cell>
          <cell r="BP35">
            <v>11</v>
          </cell>
          <cell r="BQ35">
            <v>8</v>
          </cell>
          <cell r="BR35">
            <v>4750173325</v>
          </cell>
          <cell r="BS35">
            <v>451404523.4874658</v>
          </cell>
          <cell r="BT35">
            <v>2362848930</v>
          </cell>
          <cell r="BU35">
            <v>224539321.48244679</v>
          </cell>
          <cell r="BV35" t="str">
            <v>No</v>
          </cell>
          <cell r="BW35" t="str">
            <v>Denmark</v>
          </cell>
          <cell r="BX35" t="str">
            <v>Office</v>
          </cell>
          <cell r="BY35">
            <v>3.4</v>
          </cell>
          <cell r="BZ35" t="str">
            <v>Sweden</v>
          </cell>
          <cell r="CA35" t="str">
            <v>Residential</v>
          </cell>
          <cell r="CB35">
            <v>1.4</v>
          </cell>
          <cell r="CC35" t="str">
            <v>Sweden</v>
          </cell>
          <cell r="CD35" t="str">
            <v>Office</v>
          </cell>
          <cell r="CE35">
            <v>45.5</v>
          </cell>
          <cell r="CF35" t="str">
            <v>Finland</v>
          </cell>
          <cell r="CG35" t="str">
            <v>Residential</v>
          </cell>
          <cell r="CH35">
            <v>15.7</v>
          </cell>
          <cell r="CI35" t="str">
            <v>Sweden</v>
          </cell>
          <cell r="CJ35" t="str">
            <v>Industrial / Logistics</v>
          </cell>
          <cell r="CK35">
            <v>16.7</v>
          </cell>
          <cell r="CL35" t="str">
            <v>Finland</v>
          </cell>
          <cell r="CM35" t="str">
            <v>Office</v>
          </cell>
          <cell r="CN35">
            <v>1.9</v>
          </cell>
        </row>
        <row r="36">
          <cell r="A36">
            <v>523</v>
          </cell>
          <cell r="B36" t="str">
            <v>AREIM I FUND L.P.</v>
          </cell>
          <cell r="C36" t="str">
            <v>AREIM MANAGEMENT LTD</v>
          </cell>
          <cell r="D36" t="str">
            <v>IFC 5</v>
          </cell>
          <cell r="E36" t="str">
            <v>JE1 1ST</v>
          </cell>
          <cell r="F36" t="str">
            <v>St Helier</v>
          </cell>
          <cell r="G36" t="str">
            <v>Jersey</v>
          </cell>
          <cell r="H36" t="str">
            <v>+441534722787</v>
          </cell>
          <cell r="I36" t="str">
            <v>+441534769770</v>
          </cell>
          <cell r="K36" t="str">
            <v>Luc Wainwright</v>
          </cell>
          <cell r="L36" t="str">
            <v>luc.wainwright@sannegroup.com</v>
          </cell>
          <cell r="M36" t="str">
            <v>+441534750533</v>
          </cell>
          <cell r="N36" t="str">
            <v>Luc Wainwright</v>
          </cell>
          <cell r="O36" t="str">
            <v>luc.wainwright@sannegroup.com</v>
          </cell>
          <cell r="P36" t="str">
            <v>+441534750533</v>
          </cell>
          <cell r="Q36" t="str">
            <v>Jersey</v>
          </cell>
          <cell r="R36" t="str">
            <v>SEK</v>
          </cell>
          <cell r="S36" t="str">
            <v>IFRS</v>
          </cell>
          <cell r="T36" t="str">
            <v>Quarterly</v>
          </cell>
          <cell r="U36" t="str">
            <v>Annually</v>
          </cell>
          <cell r="V36" t="str">
            <v>RICS</v>
          </cell>
          <cell r="W36" t="str">
            <v>INREV NAV</v>
          </cell>
          <cell r="X36" t="str">
            <v>Ernst &amp; Young AB</v>
          </cell>
          <cell r="Y36" t="str">
            <v>Limited Partnership</v>
          </cell>
          <cell r="Z36" t="str">
            <v>Yes</v>
          </cell>
          <cell r="AA36" t="str">
            <v>Yes</v>
          </cell>
          <cell r="AB36">
            <v>0</v>
          </cell>
          <cell r="AC36" t="str">
            <v>Non-Listed Fund</v>
          </cell>
          <cell r="AD36" t="str">
            <v>Value-added</v>
          </cell>
          <cell r="AE36" t="str">
            <v>finite</v>
          </cell>
          <cell r="AF36" t="str">
            <v>Closed end</v>
          </cell>
          <cell r="AG36">
            <v>12</v>
          </cell>
          <cell r="AH36">
            <v>14</v>
          </cell>
          <cell r="AI36" t="str">
            <v>Net</v>
          </cell>
          <cell r="AM36" t="str">
            <v>&gt; 60%</v>
          </cell>
          <cell r="AN36" t="str">
            <v>Institutional</v>
          </cell>
          <cell r="AO36" t="str">
            <v>&gt; 2</v>
          </cell>
          <cell r="AP36" t="str">
            <v>≥ 50%</v>
          </cell>
          <cell r="AQ36" t="str">
            <v>Europe</v>
          </cell>
          <cell r="AR36" t="str">
            <v>single country</v>
          </cell>
          <cell r="AT36" t="str">
            <v>Sweden</v>
          </cell>
          <cell r="AU36" t="str">
            <v>multi sector</v>
          </cell>
          <cell r="AY36">
            <v>2007</v>
          </cell>
          <cell r="AZ36">
            <v>2015</v>
          </cell>
          <cell r="BA36" t="str">
            <v>Yes</v>
          </cell>
          <cell r="BB36" t="str">
            <v>No</v>
          </cell>
          <cell r="BD36" t="str">
            <v>No</v>
          </cell>
          <cell r="BH36" t="str">
            <v>2020-12-31</v>
          </cell>
          <cell r="BI36">
            <v>137598496</v>
          </cell>
          <cell r="BJ36">
            <v>13685266.977134321</v>
          </cell>
          <cell r="BK36">
            <v>117904769</v>
          </cell>
          <cell r="BL36">
            <v>11726568.883735109</v>
          </cell>
          <cell r="BM36">
            <v>0</v>
          </cell>
          <cell r="BN36" t="str">
            <v>No</v>
          </cell>
          <cell r="BO36" t="str">
            <v>Internal</v>
          </cell>
          <cell r="BP36">
            <v>3</v>
          </cell>
          <cell r="BQ36">
            <v>1</v>
          </cell>
          <cell r="BR36">
            <v>2105000000</v>
          </cell>
          <cell r="BS36">
            <v>200036179.08849999</v>
          </cell>
          <cell r="BT36">
            <v>1981964594</v>
          </cell>
          <cell r="BU36">
            <v>188344239.65437061</v>
          </cell>
          <cell r="BV36" t="str">
            <v>No</v>
          </cell>
          <cell r="BW36" t="str">
            <v>Sweden</v>
          </cell>
          <cell r="BX36" t="str">
            <v>Retail</v>
          </cell>
          <cell r="BY36">
            <v>7</v>
          </cell>
        </row>
        <row r="37">
          <cell r="A37">
            <v>19339</v>
          </cell>
          <cell r="B37" t="str">
            <v>ARES EUROPEAN PROPERTY ENHANCEMENT PARTNERS I, L.P.</v>
          </cell>
          <cell r="C37" t="str">
            <v xml:space="preserve">ARES MANAGEMENT LTD. </v>
          </cell>
          <cell r="D37" t="str">
            <v>10 New Burlington Street</v>
          </cell>
          <cell r="E37" t="str">
            <v>W1S 3BE</v>
          </cell>
          <cell r="F37" t="str">
            <v>London</v>
          </cell>
          <cell r="G37" t="str">
            <v>United Kingdom</v>
          </cell>
          <cell r="H37" t="str">
            <v>+442074346320</v>
          </cell>
          <cell r="J37" t="str">
            <v>http://www.aresmgmt.com</v>
          </cell>
          <cell r="K37" t="str">
            <v>Samia Behan</v>
          </cell>
          <cell r="L37" t="str">
            <v>sbehan@aresmgmt.com</v>
          </cell>
          <cell r="M37" t="str">
            <v>+44 (0) 2074346330</v>
          </cell>
          <cell r="N37" t="str">
            <v>Daniel Taylor</v>
          </cell>
          <cell r="O37" t="str">
            <v>dtaylor@aresmgmt.com</v>
          </cell>
          <cell r="P37" t="str">
            <v>+442074346320</v>
          </cell>
          <cell r="Q37" t="str">
            <v>United States of America</v>
          </cell>
          <cell r="R37" t="str">
            <v>USD</v>
          </cell>
          <cell r="S37" t="str">
            <v>US GAAP</v>
          </cell>
          <cell r="T37" t="str">
            <v>Quarterly</v>
          </cell>
          <cell r="U37" t="str">
            <v>Annually</v>
          </cell>
          <cell r="V37" t="str">
            <v>Other - mark to market</v>
          </cell>
          <cell r="W37" t="str">
            <v>US GAAP</v>
          </cell>
          <cell r="X37" t="str">
            <v>Ernst &amp; Young</v>
          </cell>
          <cell r="Y37" t="str">
            <v>Limited Partnership</v>
          </cell>
          <cell r="Z37" t="str">
            <v>No</v>
          </cell>
          <cell r="AA37" t="str">
            <v>No</v>
          </cell>
          <cell r="AC37" t="str">
            <v>Non-Listed Fund</v>
          </cell>
          <cell r="AD37" t="str">
            <v>Value-added</v>
          </cell>
          <cell r="AE37" t="str">
            <v>finite</v>
          </cell>
          <cell r="AF37" t="str">
            <v>Closed end</v>
          </cell>
          <cell r="AG37">
            <v>10</v>
          </cell>
          <cell r="AH37">
            <v>14</v>
          </cell>
          <cell r="AI37" t="str">
            <v>Gross</v>
          </cell>
          <cell r="AJ37" t="str">
            <v>None</v>
          </cell>
          <cell r="AK37">
            <v>5</v>
          </cell>
          <cell r="AL37">
            <v>55</v>
          </cell>
          <cell r="AM37" t="str">
            <v>&gt; 40% - ≤ 60%</v>
          </cell>
          <cell r="AN37" t="str">
            <v>Institutional</v>
          </cell>
          <cell r="AO37" t="str">
            <v>≤ 2</v>
          </cell>
          <cell r="AP37" t="str">
            <v>≥ 50%</v>
          </cell>
          <cell r="AQ37" t="str">
            <v>Europe</v>
          </cell>
          <cell r="AR37" t="str">
            <v>multi country</v>
          </cell>
          <cell r="AS37" t="str">
            <v>Europe</v>
          </cell>
          <cell r="AU37" t="str">
            <v>multi sector</v>
          </cell>
          <cell r="AW37">
            <v>212000000</v>
          </cell>
          <cell r="AX37">
            <v>470000000</v>
          </cell>
          <cell r="AY37">
            <v>2012</v>
          </cell>
          <cell r="AZ37">
            <v>2022</v>
          </cell>
          <cell r="BA37" t="str">
            <v>Yes</v>
          </cell>
          <cell r="BB37" t="str">
            <v>Yes</v>
          </cell>
          <cell r="BC37" t="str">
            <v>1+1 years</v>
          </cell>
          <cell r="BD37" t="str">
            <v>No</v>
          </cell>
          <cell r="BE37" t="str">
            <v>&lt; 60%</v>
          </cell>
          <cell r="BF37" t="str">
            <v>≤ 15%</v>
          </cell>
          <cell r="BG37" t="str">
            <v>≤ 5%</v>
          </cell>
        </row>
        <row r="38">
          <cell r="A38">
            <v>19340</v>
          </cell>
          <cell r="B38" t="str">
            <v>ARES EUROPEAN PROPERTY ENHANCEMENT PARTNERS II, L.P.</v>
          </cell>
          <cell r="C38" t="str">
            <v xml:space="preserve">ARES MANAGEMENT LTD. </v>
          </cell>
          <cell r="D38" t="str">
            <v>10 New Burlington Street</v>
          </cell>
          <cell r="E38" t="str">
            <v>W1S 3BE</v>
          </cell>
          <cell r="F38" t="str">
            <v>London</v>
          </cell>
          <cell r="G38" t="str">
            <v>United Kingdom</v>
          </cell>
          <cell r="H38" t="str">
            <v>+442074346320</v>
          </cell>
          <cell r="J38" t="str">
            <v>http://www.aresmgmt.com</v>
          </cell>
          <cell r="K38" t="str">
            <v>Samia Behan</v>
          </cell>
          <cell r="L38" t="str">
            <v>sbehan@aresmgmt.com</v>
          </cell>
          <cell r="M38" t="str">
            <v>+44 (0) 2074346330</v>
          </cell>
          <cell r="N38" t="str">
            <v>Daniel Taylor`</v>
          </cell>
          <cell r="O38" t="str">
            <v>dtaylor@aresmgmt.com</v>
          </cell>
          <cell r="P38" t="str">
            <v>+442074346320</v>
          </cell>
          <cell r="Q38" t="str">
            <v>United Kingdom</v>
          </cell>
          <cell r="R38" t="str">
            <v>EUR</v>
          </cell>
          <cell r="S38" t="str">
            <v>Local GAAP</v>
          </cell>
          <cell r="T38" t="str">
            <v>Quarterly</v>
          </cell>
          <cell r="U38" t="str">
            <v>Quarterly</v>
          </cell>
          <cell r="V38" t="str">
            <v>Other - mark to market</v>
          </cell>
          <cell r="W38" t="str">
            <v>Local GAAP</v>
          </cell>
          <cell r="X38" t="str">
            <v>Ernst &amp; Young</v>
          </cell>
          <cell r="Y38" t="str">
            <v>Limited Partnership</v>
          </cell>
          <cell r="Z38" t="str">
            <v>No</v>
          </cell>
          <cell r="AA38" t="str">
            <v>No</v>
          </cell>
          <cell r="AC38" t="str">
            <v>Non-Listed Fund</v>
          </cell>
          <cell r="AD38" t="str">
            <v>Value-added</v>
          </cell>
          <cell r="AE38" t="str">
            <v>finite</v>
          </cell>
          <cell r="AF38" t="str">
            <v>Closed end</v>
          </cell>
          <cell r="AG38">
            <v>10</v>
          </cell>
          <cell r="AH38">
            <v>14</v>
          </cell>
          <cell r="AI38" t="str">
            <v>Gross</v>
          </cell>
          <cell r="AJ38" t="str">
            <v>None</v>
          </cell>
          <cell r="AK38">
            <v>5</v>
          </cell>
          <cell r="AL38">
            <v>55</v>
          </cell>
          <cell r="AM38" t="str">
            <v>&gt; 40% - ≤ 60%</v>
          </cell>
          <cell r="AN38" t="str">
            <v>Institutional</v>
          </cell>
          <cell r="AO38" t="str">
            <v>&gt; 2</v>
          </cell>
          <cell r="AP38" t="str">
            <v>≥ 50%</v>
          </cell>
          <cell r="AQ38" t="str">
            <v>Europe</v>
          </cell>
          <cell r="AR38" t="str">
            <v>multi country</v>
          </cell>
          <cell r="AS38" t="str">
            <v>Europe</v>
          </cell>
          <cell r="AU38" t="str">
            <v>multi sector</v>
          </cell>
          <cell r="AW38">
            <v>665000000</v>
          </cell>
          <cell r="AX38">
            <v>1470000000</v>
          </cell>
          <cell r="AY38">
            <v>2015</v>
          </cell>
          <cell r="AZ38">
            <v>2026</v>
          </cell>
          <cell r="BA38" t="str">
            <v>Yes</v>
          </cell>
          <cell r="BB38" t="str">
            <v>Yes</v>
          </cell>
          <cell r="BC38" t="str">
            <v>1+1 years</v>
          </cell>
          <cell r="BD38" t="str">
            <v>No</v>
          </cell>
          <cell r="BE38" t="str">
            <v>&lt; 60%</v>
          </cell>
          <cell r="BF38" t="str">
            <v>≤ 15%</v>
          </cell>
          <cell r="BG38" t="str">
            <v>≤ 5%</v>
          </cell>
        </row>
        <row r="39">
          <cell r="A39">
            <v>19341</v>
          </cell>
          <cell r="B39" t="str">
            <v>ARES EUROPEAN PROPERTY ENHANCEMENT PARTNERS III SCSP</v>
          </cell>
          <cell r="C39" t="str">
            <v xml:space="preserve">ARES MANAGEMENT LTD. </v>
          </cell>
          <cell r="D39" t="str">
            <v>10 New Burlington Street</v>
          </cell>
          <cell r="E39" t="str">
            <v>W1S 3BE</v>
          </cell>
          <cell r="F39" t="str">
            <v>London</v>
          </cell>
          <cell r="G39" t="str">
            <v>United Kingdom</v>
          </cell>
          <cell r="H39" t="str">
            <v>+442074346320</v>
          </cell>
          <cell r="J39" t="str">
            <v>http://www.aresmgmt.com</v>
          </cell>
          <cell r="K39" t="str">
            <v>Samia Behan</v>
          </cell>
          <cell r="L39" t="str">
            <v>sbehan@aresmgmt.com</v>
          </cell>
          <cell r="M39" t="str">
            <v>+44 (0) 2074346330</v>
          </cell>
          <cell r="N39" t="str">
            <v>Daniel Taylor</v>
          </cell>
          <cell r="O39" t="str">
            <v>dtaylor@aresmgmt.com</v>
          </cell>
          <cell r="P39" t="str">
            <v>+442074346320</v>
          </cell>
          <cell r="Q39" t="str">
            <v>Luxembourg</v>
          </cell>
          <cell r="R39" t="str">
            <v>EUR</v>
          </cell>
          <cell r="S39" t="str">
            <v>Local GAAP</v>
          </cell>
          <cell r="T39" t="str">
            <v>Quarterly</v>
          </cell>
          <cell r="U39" t="str">
            <v>Quarterly</v>
          </cell>
          <cell r="V39" t="str">
            <v>Other - mark to market</v>
          </cell>
          <cell r="W39" t="str">
            <v>Local GAAP</v>
          </cell>
          <cell r="X39" t="str">
            <v>Ernst &amp; Young</v>
          </cell>
          <cell r="Y39" t="str">
            <v>Limited Partnership</v>
          </cell>
          <cell r="Z39" t="str">
            <v>No</v>
          </cell>
          <cell r="AA39" t="str">
            <v>No</v>
          </cell>
          <cell r="AC39" t="str">
            <v>Non-Listed Fund</v>
          </cell>
          <cell r="AD39" t="str">
            <v>Value-added</v>
          </cell>
          <cell r="AE39" t="str">
            <v>finite</v>
          </cell>
          <cell r="AF39" t="str">
            <v>Closed end</v>
          </cell>
          <cell r="AG39">
            <v>10</v>
          </cell>
          <cell r="AH39">
            <v>14</v>
          </cell>
          <cell r="AI39" t="str">
            <v>Gross</v>
          </cell>
          <cell r="AJ39" t="str">
            <v>None</v>
          </cell>
          <cell r="AK39">
            <v>5</v>
          </cell>
          <cell r="AL39">
            <v>55</v>
          </cell>
          <cell r="AM39" t="str">
            <v>&gt; 40% - ≤ 60%</v>
          </cell>
          <cell r="AN39" t="str">
            <v>Institutional</v>
          </cell>
          <cell r="AO39" t="str">
            <v>&gt; 2</v>
          </cell>
          <cell r="AP39" t="str">
            <v>≥ 50%</v>
          </cell>
          <cell r="AQ39" t="str">
            <v>Europe</v>
          </cell>
          <cell r="AR39" t="str">
            <v>multi country</v>
          </cell>
          <cell r="AS39" t="str">
            <v>Europe</v>
          </cell>
          <cell r="AU39" t="str">
            <v>multi sector</v>
          </cell>
          <cell r="AW39">
            <v>1000000000</v>
          </cell>
          <cell r="AX39">
            <v>2200000000</v>
          </cell>
          <cell r="AY39">
            <v>2020</v>
          </cell>
          <cell r="AZ39">
            <v>2030</v>
          </cell>
          <cell r="BA39" t="str">
            <v>Yes</v>
          </cell>
          <cell r="BB39" t="str">
            <v>Yes</v>
          </cell>
          <cell r="BC39" t="str">
            <v>1+1 years</v>
          </cell>
          <cell r="BD39" t="str">
            <v>No</v>
          </cell>
          <cell r="BE39" t="str">
            <v>&lt; 60%</v>
          </cell>
          <cell r="BF39" t="str">
            <v>≤ 15%</v>
          </cell>
          <cell r="BG39" t="str">
            <v>≤ 5%</v>
          </cell>
        </row>
        <row r="40">
          <cell r="A40">
            <v>34</v>
          </cell>
          <cell r="B40" t="str">
            <v>ARES EUROPEAN REAL ESTATE FUND II</v>
          </cell>
          <cell r="C40" t="str">
            <v>ARES MANAGEMENT LTD</v>
          </cell>
          <cell r="D40" t="str">
            <v>10 New Burlington Street</v>
          </cell>
          <cell r="E40" t="str">
            <v>W1S 3BE</v>
          </cell>
          <cell r="F40" t="str">
            <v>London</v>
          </cell>
          <cell r="G40" t="str">
            <v>United Kingdom</v>
          </cell>
          <cell r="H40" t="str">
            <v>+44 (0) 20 74346320</v>
          </cell>
          <cell r="J40" t="str">
            <v>http://www.aresmgmt.com</v>
          </cell>
          <cell r="K40" t="str">
            <v>Andreas Koukos</v>
          </cell>
          <cell r="L40" t="str">
            <v>akoukos@aresmgmt.com</v>
          </cell>
          <cell r="M40" t="str">
            <v>+44 20 74346329</v>
          </cell>
          <cell r="N40" t="str">
            <v>Mr Daniel Taylor</v>
          </cell>
          <cell r="O40" t="str">
            <v>dtaylor@aresmgmt.com</v>
          </cell>
          <cell r="P40" t="str">
            <v>+44 (0) 20 74346320</v>
          </cell>
          <cell r="Q40" t="str">
            <v>United States of America</v>
          </cell>
          <cell r="R40" t="str">
            <v>USD</v>
          </cell>
          <cell r="S40" t="str">
            <v>US GAAP</v>
          </cell>
          <cell r="T40" t="str">
            <v>Quarterly</v>
          </cell>
          <cell r="U40" t="str">
            <v>Annually</v>
          </cell>
          <cell r="V40" t="str">
            <v>Other - mark to market</v>
          </cell>
          <cell r="W40" t="str">
            <v>US GAAP</v>
          </cell>
          <cell r="X40" t="str">
            <v>Ernst &amp; Young</v>
          </cell>
          <cell r="Y40" t="str">
            <v>Limited Liability Partnership</v>
          </cell>
          <cell r="Z40" t="str">
            <v>No</v>
          </cell>
          <cell r="AA40" t="str">
            <v>No</v>
          </cell>
          <cell r="AB40">
            <v>0</v>
          </cell>
          <cell r="AC40" t="str">
            <v>Non-Listed Fund</v>
          </cell>
          <cell r="AD40" t="str">
            <v>Opportunity</v>
          </cell>
          <cell r="AE40" t="str">
            <v>finite</v>
          </cell>
          <cell r="AF40" t="str">
            <v>Closed end</v>
          </cell>
          <cell r="AG40">
            <v>16</v>
          </cell>
          <cell r="AH40">
            <v>20</v>
          </cell>
          <cell r="AI40" t="str">
            <v>Gross</v>
          </cell>
          <cell r="AJ40" t="str">
            <v>None</v>
          </cell>
          <cell r="AK40">
            <v>0</v>
          </cell>
          <cell r="AL40">
            <v>70</v>
          </cell>
          <cell r="AM40" t="str">
            <v>&gt; 60%</v>
          </cell>
          <cell r="AN40" t="str">
            <v>Institutional</v>
          </cell>
          <cell r="AO40" t="str">
            <v>&gt; 2</v>
          </cell>
          <cell r="AP40" t="str">
            <v>≥ 50%</v>
          </cell>
          <cell r="AQ40" t="str">
            <v>Europe</v>
          </cell>
          <cell r="AR40" t="str">
            <v>multi country</v>
          </cell>
          <cell r="AS40" t="str">
            <v>Europe</v>
          </cell>
          <cell r="AU40" t="str">
            <v>multi sector</v>
          </cell>
          <cell r="AW40">
            <v>600000000</v>
          </cell>
          <cell r="AX40">
            <v>2000000000</v>
          </cell>
          <cell r="AY40">
            <v>2004</v>
          </cell>
          <cell r="AZ40">
            <v>2015</v>
          </cell>
          <cell r="BA40" t="str">
            <v>Yes</v>
          </cell>
          <cell r="BB40" t="str">
            <v>Yes</v>
          </cell>
          <cell r="BC40" t="str">
            <v>1+1 years</v>
          </cell>
          <cell r="BD40" t="str">
            <v>Yes</v>
          </cell>
          <cell r="BE40" t="str">
            <v>&lt; 60%</v>
          </cell>
          <cell r="BF40" t="str">
            <v>&gt; 15% - ≤ 40%</v>
          </cell>
          <cell r="BG40" t="str">
            <v>&gt; 5 - ≤ 25%</v>
          </cell>
          <cell r="BH40" t="str">
            <v>2013-06-30</v>
          </cell>
          <cell r="BI40">
            <v>907944893</v>
          </cell>
          <cell r="BJ40">
            <v>698028033.73839998</v>
          </cell>
          <cell r="BK40">
            <v>210385941</v>
          </cell>
          <cell r="BL40">
            <v>161744711.44080001</v>
          </cell>
          <cell r="BM40">
            <v>77.900000000000006</v>
          </cell>
          <cell r="BN40" t="str">
            <v>No</v>
          </cell>
          <cell r="BO40" t="str">
            <v>Internal</v>
          </cell>
          <cell r="BP40">
            <v>64</v>
          </cell>
          <cell r="BQ40">
            <v>17</v>
          </cell>
          <cell r="BR40">
            <v>601788140</v>
          </cell>
          <cell r="BS40">
            <v>469575285.64200002</v>
          </cell>
          <cell r="BT40">
            <v>3711157</v>
          </cell>
          <cell r="BU40">
            <v>2895815.8070999999</v>
          </cell>
          <cell r="BV40" t="str">
            <v>No</v>
          </cell>
          <cell r="BW40" t="str">
            <v>Germany</v>
          </cell>
          <cell r="BX40" t="str">
            <v>Retail</v>
          </cell>
          <cell r="BY40">
            <v>29.5</v>
          </cell>
          <cell r="BZ40" t="str">
            <v>France</v>
          </cell>
          <cell r="CA40" t="str">
            <v>Industrial / Logistics</v>
          </cell>
          <cell r="CB40">
            <v>5.2</v>
          </cell>
          <cell r="CC40" t="str">
            <v>United Kingdom</v>
          </cell>
          <cell r="CD40" t="str">
            <v>Retail</v>
          </cell>
          <cell r="CE40">
            <v>7.85</v>
          </cell>
          <cell r="CF40" t="str">
            <v>United Kingdom</v>
          </cell>
          <cell r="CG40" t="str">
            <v>Hotel</v>
          </cell>
          <cell r="CH40">
            <v>6</v>
          </cell>
          <cell r="CI40" t="str">
            <v>Ukraine</v>
          </cell>
          <cell r="CJ40" t="str">
            <v>Retail</v>
          </cell>
          <cell r="CK40">
            <v>17.100000000000001</v>
          </cell>
          <cell r="CL40" t="str">
            <v>Czech Republic</v>
          </cell>
          <cell r="CM40" t="str">
            <v>Industrial / Logistics</v>
          </cell>
          <cell r="CN40">
            <v>1.9</v>
          </cell>
          <cell r="CO40" t="str">
            <v>Russia</v>
          </cell>
          <cell r="CP40" t="str">
            <v>Industrial / Logistics</v>
          </cell>
          <cell r="CQ40">
            <v>7</v>
          </cell>
          <cell r="CR40" t="str">
            <v>Russia</v>
          </cell>
          <cell r="CS40" t="str">
            <v>Retail</v>
          </cell>
          <cell r="CT40">
            <v>25.45</v>
          </cell>
        </row>
        <row r="41">
          <cell r="A41">
            <v>35</v>
          </cell>
          <cell r="B41" t="str">
            <v>ARES EUROPEAN REAL ESTATE FUND III</v>
          </cell>
          <cell r="C41" t="str">
            <v xml:space="preserve">ARES MANAGEMENT LTD. </v>
          </cell>
          <cell r="D41" t="str">
            <v>10 New Burlington Street</v>
          </cell>
          <cell r="E41" t="str">
            <v>W1S 3BE</v>
          </cell>
          <cell r="F41" t="str">
            <v>London</v>
          </cell>
          <cell r="G41" t="str">
            <v>United Kingdom</v>
          </cell>
          <cell r="H41" t="str">
            <v>+44 (0) 20 74346320</v>
          </cell>
          <cell r="J41" t="str">
            <v>http://www.aresmgmt.com</v>
          </cell>
          <cell r="K41" t="str">
            <v>Samia Behan</v>
          </cell>
          <cell r="L41" t="str">
            <v>sbehan@aresmgmt.com</v>
          </cell>
          <cell r="M41" t="str">
            <v>+44 (0) 2074346330</v>
          </cell>
          <cell r="N41" t="str">
            <v>Daniel Taylor</v>
          </cell>
          <cell r="O41" t="str">
            <v>dtaylor@aresmgmt.com</v>
          </cell>
          <cell r="P41" t="str">
            <v>+44 (0) 20 74346320</v>
          </cell>
          <cell r="Q41" t="str">
            <v>United Kingdom</v>
          </cell>
          <cell r="R41" t="str">
            <v>EUR</v>
          </cell>
          <cell r="S41" t="str">
            <v>US GAAP</v>
          </cell>
          <cell r="T41" t="str">
            <v>Quarterly</v>
          </cell>
          <cell r="U41" t="str">
            <v>Annually</v>
          </cell>
          <cell r="V41" t="str">
            <v>Other - mark to market</v>
          </cell>
          <cell r="W41" t="str">
            <v>IFRS NAV</v>
          </cell>
          <cell r="X41" t="str">
            <v>Ernst &amp; Young</v>
          </cell>
          <cell r="Y41" t="str">
            <v>Limited Partnership</v>
          </cell>
          <cell r="Z41" t="str">
            <v>No</v>
          </cell>
          <cell r="AA41" t="str">
            <v>No</v>
          </cell>
          <cell r="AC41" t="str">
            <v>Non-Listed Fund</v>
          </cell>
          <cell r="AD41" t="str">
            <v>Opportunity</v>
          </cell>
          <cell r="AE41" t="str">
            <v>finite</v>
          </cell>
          <cell r="AF41" t="str">
            <v>Closed end</v>
          </cell>
          <cell r="AG41">
            <v>16</v>
          </cell>
          <cell r="AH41">
            <v>20</v>
          </cell>
          <cell r="AI41" t="str">
            <v>Gross</v>
          </cell>
          <cell r="AJ41" t="str">
            <v>None</v>
          </cell>
          <cell r="AL41">
            <v>70</v>
          </cell>
          <cell r="AM41" t="str">
            <v>&gt; 60%</v>
          </cell>
          <cell r="AN41" t="str">
            <v>Institutional</v>
          </cell>
          <cell r="AO41" t="str">
            <v>&gt; 2</v>
          </cell>
          <cell r="AP41" t="str">
            <v>≥ 50%</v>
          </cell>
          <cell r="AQ41" t="str">
            <v>Europe</v>
          </cell>
          <cell r="AR41" t="str">
            <v>multi country</v>
          </cell>
          <cell r="AS41" t="str">
            <v>Europe</v>
          </cell>
          <cell r="AU41" t="str">
            <v>multi sector</v>
          </cell>
          <cell r="AW41">
            <v>1200000000</v>
          </cell>
          <cell r="AX41">
            <v>4000000000</v>
          </cell>
          <cell r="AY41">
            <v>2007</v>
          </cell>
          <cell r="AZ41">
            <v>2016</v>
          </cell>
          <cell r="BA41" t="str">
            <v>Yes</v>
          </cell>
          <cell r="BB41" t="str">
            <v>Yes</v>
          </cell>
          <cell r="BC41" t="str">
            <v>1+1 years</v>
          </cell>
          <cell r="BD41" t="str">
            <v>Yes</v>
          </cell>
          <cell r="BE41" t="str">
            <v>&lt; 60%</v>
          </cell>
          <cell r="BF41" t="str">
            <v>&gt; 15% - ≤ 40%</v>
          </cell>
          <cell r="BG41" t="str">
            <v>&gt; 5 - ≤ 25%</v>
          </cell>
          <cell r="BH41" t="str">
            <v>2013-06-30</v>
          </cell>
          <cell r="BI41">
            <v>2272962791</v>
          </cell>
          <cell r="BJ41">
            <v>2272962791</v>
          </cell>
          <cell r="BK41">
            <v>780090278</v>
          </cell>
          <cell r="BL41">
            <v>780090278</v>
          </cell>
          <cell r="BM41">
            <v>66.099999999999994</v>
          </cell>
          <cell r="BN41" t="str">
            <v>No</v>
          </cell>
          <cell r="BO41" t="str">
            <v>Internal</v>
          </cell>
          <cell r="BP41">
            <v>56</v>
          </cell>
          <cell r="BQ41">
            <v>25</v>
          </cell>
          <cell r="BR41">
            <v>972812246</v>
          </cell>
          <cell r="BS41">
            <v>972812246</v>
          </cell>
          <cell r="BT41">
            <v>707379757</v>
          </cell>
          <cell r="BU41">
            <v>707379757</v>
          </cell>
          <cell r="BV41" t="str">
            <v>No</v>
          </cell>
          <cell r="BW41" t="str">
            <v>France</v>
          </cell>
          <cell r="BX41" t="str">
            <v>Office</v>
          </cell>
          <cell r="BY41">
            <v>6.05</v>
          </cell>
          <cell r="BZ41" t="str">
            <v>Germany</v>
          </cell>
          <cell r="CA41" t="str">
            <v>Retail</v>
          </cell>
          <cell r="CB41">
            <v>12.47</v>
          </cell>
          <cell r="CC41" t="str">
            <v>Germany</v>
          </cell>
          <cell r="CD41" t="str">
            <v>Leisure</v>
          </cell>
          <cell r="CE41">
            <v>2</v>
          </cell>
          <cell r="CF41" t="str">
            <v>Romania</v>
          </cell>
          <cell r="CG41" t="str">
            <v>Office</v>
          </cell>
          <cell r="CH41">
            <v>2.78</v>
          </cell>
          <cell r="CI41" t="str">
            <v>Romania</v>
          </cell>
          <cell r="CJ41" t="str">
            <v>Residential</v>
          </cell>
          <cell r="CK41">
            <v>0.14000000000000001</v>
          </cell>
          <cell r="CL41" t="str">
            <v>Slovakia</v>
          </cell>
          <cell r="CM41" t="str">
            <v>Mixed</v>
          </cell>
          <cell r="CN41">
            <v>8.8000000000000007</v>
          </cell>
          <cell r="CO41" t="str">
            <v>Spain</v>
          </cell>
          <cell r="CP41" t="str">
            <v>Office</v>
          </cell>
          <cell r="CQ41">
            <v>9.59</v>
          </cell>
          <cell r="CR41" t="str">
            <v>Turkey</v>
          </cell>
          <cell r="CS41" t="str">
            <v>Retail</v>
          </cell>
          <cell r="CT41">
            <v>8.94</v>
          </cell>
          <cell r="CU41" t="str">
            <v>Turkey</v>
          </cell>
          <cell r="CV41" t="str">
            <v>Residential</v>
          </cell>
          <cell r="CW41">
            <v>0.28999999999999998</v>
          </cell>
          <cell r="CX41" t="str">
            <v>Ukraine</v>
          </cell>
          <cell r="CY41" t="str">
            <v>Office</v>
          </cell>
          <cell r="CZ41">
            <v>0.3</v>
          </cell>
          <cell r="DA41" t="str">
            <v>United Kingdom</v>
          </cell>
          <cell r="DB41" t="str">
            <v>Office</v>
          </cell>
          <cell r="DC41">
            <v>3.62</v>
          </cell>
          <cell r="DD41" t="str">
            <v>United Kingdom</v>
          </cell>
          <cell r="DE41" t="str">
            <v>Mixed</v>
          </cell>
          <cell r="DF41">
            <v>13.45</v>
          </cell>
          <cell r="DG41" t="str">
            <v>United Kingdom</v>
          </cell>
          <cell r="DH41" t="str">
            <v>Health Care</v>
          </cell>
          <cell r="DI41">
            <v>0.08</v>
          </cell>
          <cell r="DJ41" t="str">
            <v>United Kingdom</v>
          </cell>
          <cell r="DK41" t="str">
            <v>Retail</v>
          </cell>
          <cell r="DL41">
            <v>8.76</v>
          </cell>
          <cell r="DM41" t="str">
            <v>United Kingdom</v>
          </cell>
          <cell r="DN41" t="str">
            <v>Residential</v>
          </cell>
          <cell r="DO41">
            <v>22.73</v>
          </cell>
        </row>
        <row r="42">
          <cell r="A42">
            <v>19337</v>
          </cell>
          <cell r="B42" t="str">
            <v>ARES EUROPEAN REAL ESTATE FUND IV</v>
          </cell>
          <cell r="C42" t="str">
            <v>ARES MANAGEMENT LTD</v>
          </cell>
          <cell r="D42" t="str">
            <v>10 New Burlington Street</v>
          </cell>
          <cell r="E42" t="str">
            <v>W1S 3BE</v>
          </cell>
          <cell r="F42" t="str">
            <v>London</v>
          </cell>
          <cell r="G42" t="str">
            <v>United Kingdom</v>
          </cell>
          <cell r="H42" t="str">
            <v>+442074346320</v>
          </cell>
          <cell r="J42" t="str">
            <v>http://www.aresmgmt.com</v>
          </cell>
          <cell r="K42" t="str">
            <v>Andre</v>
          </cell>
          <cell r="L42" t="str">
            <v>akoukos@aresmgmt.com</v>
          </cell>
          <cell r="M42" t="str">
            <v>+442074346339</v>
          </cell>
          <cell r="N42" t="str">
            <v>Daniel Taylor</v>
          </cell>
          <cell r="O42" t="str">
            <v>dtaylor@aresmgmt.com</v>
          </cell>
          <cell r="P42" t="str">
            <v>+442074346320</v>
          </cell>
          <cell r="Q42" t="str">
            <v>United Kingdom</v>
          </cell>
          <cell r="R42" t="str">
            <v>USD</v>
          </cell>
          <cell r="S42" t="str">
            <v>Local GAAP</v>
          </cell>
          <cell r="T42" t="str">
            <v>Quarterly</v>
          </cell>
          <cell r="U42" t="str">
            <v>Annually</v>
          </cell>
          <cell r="V42" t="str">
            <v>Other - mark to market</v>
          </cell>
          <cell r="W42" t="str">
            <v>US GAAP</v>
          </cell>
          <cell r="X42" t="str">
            <v>Ernst &amp; Young</v>
          </cell>
          <cell r="Y42" t="str">
            <v>Real Estate Fund</v>
          </cell>
          <cell r="Z42" t="str">
            <v>No</v>
          </cell>
          <cell r="AA42" t="str">
            <v>No</v>
          </cell>
          <cell r="AC42" t="str">
            <v>Non-Listed Fund</v>
          </cell>
          <cell r="AD42" t="str">
            <v>Opportunity</v>
          </cell>
          <cell r="AE42" t="str">
            <v>finite</v>
          </cell>
          <cell r="AF42" t="str">
            <v>Closed end</v>
          </cell>
          <cell r="AG42">
            <v>16</v>
          </cell>
          <cell r="AH42">
            <v>20</v>
          </cell>
          <cell r="AI42" t="str">
            <v>Gross</v>
          </cell>
          <cell r="AJ42" t="str">
            <v>None</v>
          </cell>
          <cell r="AK42">
            <v>0</v>
          </cell>
          <cell r="AL42">
            <v>65</v>
          </cell>
          <cell r="AM42" t="str">
            <v>&gt; 60%</v>
          </cell>
          <cell r="AN42" t="str">
            <v>Institutional</v>
          </cell>
          <cell r="AO42" t="str">
            <v>&gt; 2</v>
          </cell>
          <cell r="AP42" t="str">
            <v>≥ 50%</v>
          </cell>
          <cell r="AQ42" t="str">
            <v>Europe</v>
          </cell>
          <cell r="AR42" t="str">
            <v>multi country</v>
          </cell>
          <cell r="AS42" t="str">
            <v>Europe</v>
          </cell>
          <cell r="AU42" t="str">
            <v>multi sector</v>
          </cell>
          <cell r="AW42">
            <v>1300000000</v>
          </cell>
          <cell r="AX42">
            <v>3700000000</v>
          </cell>
          <cell r="AY42">
            <v>2013</v>
          </cell>
          <cell r="AZ42">
            <v>2024</v>
          </cell>
          <cell r="BA42" t="str">
            <v>Yes</v>
          </cell>
          <cell r="BB42" t="str">
            <v>Yes</v>
          </cell>
          <cell r="BC42" t="str">
            <v>1+1 years</v>
          </cell>
          <cell r="BD42" t="str">
            <v>No</v>
          </cell>
          <cell r="BE42" t="str">
            <v>&lt; 60%</v>
          </cell>
          <cell r="BF42" t="str">
            <v>&gt; 15% - ≤ 40%</v>
          </cell>
          <cell r="BG42" t="str">
            <v>&gt; 5 - ≤ 25%</v>
          </cell>
        </row>
        <row r="43">
          <cell r="A43">
            <v>19338</v>
          </cell>
          <cell r="B43" t="str">
            <v>ARES EUROPEAN REAL ESTATE FUND V</v>
          </cell>
          <cell r="C43" t="str">
            <v xml:space="preserve">ARES MANAGEMENT LTD. </v>
          </cell>
          <cell r="D43">
            <v>10</v>
          </cell>
          <cell r="E43" t="str">
            <v>W1S 3BE</v>
          </cell>
          <cell r="F43" t="str">
            <v>London</v>
          </cell>
          <cell r="G43" t="str">
            <v>United Kingdom</v>
          </cell>
          <cell r="H43" t="str">
            <v>+442074346320</v>
          </cell>
          <cell r="J43" t="str">
            <v>http://www.aresmgmt.com</v>
          </cell>
          <cell r="K43" t="str">
            <v>Cameron Dewar</v>
          </cell>
          <cell r="L43" t="str">
            <v>cdewar@aresmgmt.com</v>
          </cell>
          <cell r="M43" t="str">
            <v xml:space="preserve">+442074346327 </v>
          </cell>
          <cell r="N43" t="str">
            <v>Daniel Taylor</v>
          </cell>
          <cell r="O43" t="str">
            <v>dtaylor@aresmgmt.com</v>
          </cell>
          <cell r="P43" t="str">
            <v>+442074346320</v>
          </cell>
          <cell r="Q43" t="str">
            <v>Luxembourg</v>
          </cell>
          <cell r="R43" t="str">
            <v>EUR</v>
          </cell>
          <cell r="S43" t="str">
            <v>Local GAAP</v>
          </cell>
          <cell r="T43" t="str">
            <v>Quarterly</v>
          </cell>
          <cell r="U43" t="str">
            <v>Quarterly</v>
          </cell>
          <cell r="V43" t="str">
            <v>Other - mark to market</v>
          </cell>
          <cell r="W43" t="str">
            <v>INREV NAV</v>
          </cell>
          <cell r="X43" t="str">
            <v>Ernst &amp; Young</v>
          </cell>
          <cell r="Y43" t="str">
            <v>SCSp</v>
          </cell>
          <cell r="Z43" t="str">
            <v>Yes</v>
          </cell>
          <cell r="AA43" t="str">
            <v>No</v>
          </cell>
          <cell r="AC43" t="str">
            <v>Non-Listed Fund</v>
          </cell>
          <cell r="AD43" t="str">
            <v>Opportunity</v>
          </cell>
          <cell r="AE43" t="str">
            <v>finite</v>
          </cell>
          <cell r="AF43" t="str">
            <v>Closed end</v>
          </cell>
          <cell r="AG43">
            <v>16</v>
          </cell>
          <cell r="AH43">
            <v>20</v>
          </cell>
          <cell r="AI43" t="str">
            <v>Gross</v>
          </cell>
          <cell r="AJ43" t="str">
            <v>None</v>
          </cell>
          <cell r="AK43">
            <v>0</v>
          </cell>
          <cell r="AL43">
            <v>65</v>
          </cell>
          <cell r="AM43" t="str">
            <v>&gt; 60%</v>
          </cell>
          <cell r="AN43" t="str">
            <v>Institutional</v>
          </cell>
          <cell r="AO43" t="str">
            <v>&gt; 2</v>
          </cell>
          <cell r="AP43" t="str">
            <v>≥ 50%</v>
          </cell>
          <cell r="AQ43" t="str">
            <v>Europe</v>
          </cell>
          <cell r="AR43" t="str">
            <v>multi country</v>
          </cell>
          <cell r="AS43" t="str">
            <v>Europe</v>
          </cell>
          <cell r="AU43" t="str">
            <v>multi sector</v>
          </cell>
          <cell r="AW43">
            <v>1800000000</v>
          </cell>
          <cell r="AX43">
            <v>5100000000</v>
          </cell>
          <cell r="AY43">
            <v>2018</v>
          </cell>
          <cell r="AZ43">
            <v>2029</v>
          </cell>
          <cell r="BA43" t="str">
            <v>Yes</v>
          </cell>
          <cell r="BB43" t="str">
            <v>Yes</v>
          </cell>
          <cell r="BC43" t="str">
            <v>1+1 years</v>
          </cell>
          <cell r="BD43" t="str">
            <v>No</v>
          </cell>
          <cell r="BE43" t="str">
            <v>&lt; 60%</v>
          </cell>
          <cell r="BF43" t="str">
            <v>&gt; 15% - ≤ 40%</v>
          </cell>
          <cell r="BG43" t="str">
            <v>&gt; 5 - ≤ 25%</v>
          </cell>
        </row>
        <row r="44">
          <cell r="A44">
            <v>36</v>
          </cell>
          <cell r="B44" t="str">
            <v>ARLINGTON BUSINESS PARKS PARTNERSHIP</v>
          </cell>
          <cell r="C44" t="str">
            <v>GOODMAN REAL ESTATE ADVISOR LTD</v>
          </cell>
          <cell r="D44" t="str">
            <v>Arlington House, 1025 Arlington Business Park</v>
          </cell>
          <cell r="E44" t="str">
            <v>RG7 4SA</v>
          </cell>
          <cell r="F44" t="str">
            <v>Theale</v>
          </cell>
          <cell r="G44" t="str">
            <v>United Kingdom</v>
          </cell>
          <cell r="H44" t="str">
            <v>+44 (0) 118 930 4141</v>
          </cell>
          <cell r="I44" t="str">
            <v>+44 (0) 118 930 4383</v>
          </cell>
          <cell r="J44" t="str">
            <v>http://www.goodman.com</v>
          </cell>
          <cell r="K44" t="str">
            <v>Penny Savidan</v>
          </cell>
          <cell r="L44" t="str">
            <v>penny.savidan@goodman.com</v>
          </cell>
          <cell r="M44" t="str">
            <v>+44 7876 331 756</v>
          </cell>
          <cell r="N44" t="str">
            <v>Sebastian Haufe</v>
          </cell>
          <cell r="O44" t="str">
            <v>sebastian.haufe@goodman.com</v>
          </cell>
          <cell r="P44" t="str">
            <v>+44 7827 353 084</v>
          </cell>
          <cell r="Q44" t="str">
            <v>United Kingdom</v>
          </cell>
          <cell r="R44" t="str">
            <v>GBP</v>
          </cell>
          <cell r="S44" t="str">
            <v>Local GAAP</v>
          </cell>
          <cell r="T44" t="str">
            <v>Annually</v>
          </cell>
          <cell r="U44" t="str">
            <v>Quarterly</v>
          </cell>
          <cell r="V44" t="str">
            <v>RICS</v>
          </cell>
          <cell r="X44" t="str">
            <v>PriceWaterhouseCoopers</v>
          </cell>
          <cell r="Y44" t="str">
            <v>UK Limited Partnership with entry via a Jersey PUT</v>
          </cell>
          <cell r="Z44" t="str">
            <v>No</v>
          </cell>
          <cell r="AB44">
            <v>0</v>
          </cell>
          <cell r="AC44" t="str">
            <v>Non-Listed Fund</v>
          </cell>
          <cell r="AD44" t="str">
            <v>Value-added</v>
          </cell>
          <cell r="AE44" t="str">
            <v>finite</v>
          </cell>
          <cell r="AF44" t="str">
            <v>Closed end</v>
          </cell>
          <cell r="AG44">
            <v>1</v>
          </cell>
          <cell r="AH44">
            <v>1</v>
          </cell>
          <cell r="AJ44" t="str">
            <v>Bespoke IPD Benchmark</v>
          </cell>
          <cell r="AL44">
            <v>50</v>
          </cell>
          <cell r="AM44" t="str">
            <v>&gt; 40% - ≤ 60%</v>
          </cell>
          <cell r="AN44" t="str">
            <v>Institutional</v>
          </cell>
          <cell r="AO44" t="str">
            <v>&gt; 2</v>
          </cell>
          <cell r="AP44" t="str">
            <v>≥ 50%</v>
          </cell>
          <cell r="AQ44" t="str">
            <v>Europe</v>
          </cell>
          <cell r="AR44" t="str">
            <v>single country</v>
          </cell>
          <cell r="AT44" t="str">
            <v>United Kingdom</v>
          </cell>
          <cell r="AU44" t="str">
            <v>single sector</v>
          </cell>
          <cell r="AV44" t="str">
            <v>Office</v>
          </cell>
          <cell r="AW44">
            <v>750000000</v>
          </cell>
          <cell r="AX44">
            <v>1300000000</v>
          </cell>
          <cell r="AY44">
            <v>2003</v>
          </cell>
          <cell r="AZ44">
            <v>2020</v>
          </cell>
          <cell r="BA44" t="str">
            <v>Yes</v>
          </cell>
          <cell r="BH44" t="str">
            <v>2017-06-30</v>
          </cell>
          <cell r="BI44">
            <v>488700000</v>
          </cell>
          <cell r="BJ44">
            <v>555555555.53172004</v>
          </cell>
          <cell r="BK44">
            <v>309300000</v>
          </cell>
          <cell r="BL44">
            <v>351613123.23707998</v>
          </cell>
          <cell r="BM44">
            <v>31.1</v>
          </cell>
          <cell r="BN44" t="str">
            <v>No</v>
          </cell>
          <cell r="BO44" t="str">
            <v>External</v>
          </cell>
          <cell r="BP44">
            <v>9</v>
          </cell>
          <cell r="BQ44">
            <v>32</v>
          </cell>
          <cell r="BR44">
            <v>309300000</v>
          </cell>
          <cell r="BS44">
            <v>361606359.97241998</v>
          </cell>
          <cell r="BT44">
            <v>309300000</v>
          </cell>
          <cell r="BU44">
            <v>361606359.97241998</v>
          </cell>
          <cell r="BV44" t="str">
            <v>No</v>
          </cell>
          <cell r="BW44" t="str">
            <v>United Kingdom</v>
          </cell>
          <cell r="BX44" t="str">
            <v>Office</v>
          </cell>
          <cell r="BY44">
            <v>87.2</v>
          </cell>
          <cell r="BZ44" t="str">
            <v>United Kingdom</v>
          </cell>
          <cell r="CA44" t="str">
            <v>Industrial / Logistics</v>
          </cell>
          <cell r="CB44">
            <v>0.7</v>
          </cell>
          <cell r="CC44" t="str">
            <v>United Kingdom</v>
          </cell>
          <cell r="CD44" t="str">
            <v>Development Office</v>
          </cell>
          <cell r="CE44">
            <v>2</v>
          </cell>
          <cell r="CF44" t="str">
            <v>United Kingdom</v>
          </cell>
          <cell r="CG44" t="str">
            <v>Other</v>
          </cell>
          <cell r="CH44">
            <v>6.4</v>
          </cell>
        </row>
        <row r="45">
          <cell r="A45">
            <v>37</v>
          </cell>
          <cell r="B45" t="str">
            <v>ARMILLA-FONDO COMUNE DI INVESTIMENTO IMMOBILIARE DI TIPO CHIUSO</v>
          </cell>
          <cell r="C45" t="str">
            <v>PRELIOS SGR S.P.A.</v>
          </cell>
          <cell r="D45" t="str">
            <v>Via Valtellina 15/17</v>
          </cell>
          <cell r="E45">
            <v>20159</v>
          </cell>
          <cell r="F45" t="str">
            <v>Milan</v>
          </cell>
          <cell r="G45" t="str">
            <v>Italy</v>
          </cell>
          <cell r="H45" t="str">
            <v>+39 02 62811</v>
          </cell>
          <cell r="I45" t="str">
            <v>+39 02 6281 6061</v>
          </cell>
          <cell r="J45" t="str">
            <v>http://www.preliossgr.com</v>
          </cell>
          <cell r="K45" t="str">
            <v>Francesco Centrone</v>
          </cell>
          <cell r="L45" t="str">
            <v>francesco.centrone@preliossgr.com</v>
          </cell>
          <cell r="M45" t="str">
            <v>+39 02 6281 4421</v>
          </cell>
          <cell r="P45" t="str">
            <v>+39 02 6281 6061</v>
          </cell>
          <cell r="Q45" t="str">
            <v>Italy</v>
          </cell>
          <cell r="R45" t="str">
            <v>EUR</v>
          </cell>
          <cell r="S45" t="str">
            <v>Local GAAP</v>
          </cell>
          <cell r="T45" t="str">
            <v>Quarterly</v>
          </cell>
          <cell r="U45" t="str">
            <v>Quarterly</v>
          </cell>
          <cell r="W45" t="str">
            <v>Banca d’Italia Rules</v>
          </cell>
          <cell r="X45" t="str">
            <v>EY</v>
          </cell>
          <cell r="Y45" t="str">
            <v>Real Estate Fund</v>
          </cell>
          <cell r="Z45" t="str">
            <v>No</v>
          </cell>
          <cell r="AA45" t="str">
            <v>No</v>
          </cell>
          <cell r="AB45">
            <v>0</v>
          </cell>
          <cell r="AC45" t="str">
            <v>Non-Listed Fund</v>
          </cell>
          <cell r="AD45" t="str">
            <v>Core</v>
          </cell>
          <cell r="AE45" t="str">
            <v>finite</v>
          </cell>
          <cell r="AF45" t="str">
            <v>Closed end</v>
          </cell>
          <cell r="AG45">
            <v>8.5</v>
          </cell>
          <cell r="AH45">
            <v>8.5</v>
          </cell>
          <cell r="AI45" t="str">
            <v>Net</v>
          </cell>
          <cell r="AJ45" t="str">
            <v>None</v>
          </cell>
          <cell r="AK45">
            <v>9</v>
          </cell>
          <cell r="AL45">
            <v>50</v>
          </cell>
          <cell r="AM45" t="str">
            <v>&gt; 40% - ≤ 60%</v>
          </cell>
          <cell r="AN45" t="str">
            <v>Institutional</v>
          </cell>
          <cell r="AO45" t="str">
            <v>&gt; 2</v>
          </cell>
          <cell r="AP45" t="str">
            <v>≥ 50%</v>
          </cell>
          <cell r="AQ45" t="str">
            <v>Europe</v>
          </cell>
          <cell r="AR45" t="str">
            <v>single country</v>
          </cell>
          <cell r="AT45" t="str">
            <v>Italy</v>
          </cell>
          <cell r="AU45" t="str">
            <v>single sector</v>
          </cell>
          <cell r="AV45" t="str">
            <v>Office</v>
          </cell>
          <cell r="AW45">
            <v>88500000</v>
          </cell>
          <cell r="AX45">
            <v>244600000</v>
          </cell>
          <cell r="AY45">
            <v>2006</v>
          </cell>
          <cell r="AZ45">
            <v>2021</v>
          </cell>
          <cell r="BA45" t="str">
            <v>Yes</v>
          </cell>
          <cell r="BB45" t="str">
            <v>Yes</v>
          </cell>
          <cell r="BC45" t="str">
            <v>15 years</v>
          </cell>
          <cell r="BH45" t="str">
            <v>2020-06-30</v>
          </cell>
          <cell r="BI45">
            <v>185360198</v>
          </cell>
          <cell r="BJ45">
            <v>185360198</v>
          </cell>
          <cell r="BK45">
            <v>93131627</v>
          </cell>
          <cell r="BL45">
            <v>93131627</v>
          </cell>
          <cell r="BM45">
            <v>48.6</v>
          </cell>
          <cell r="BN45" t="str">
            <v>No</v>
          </cell>
          <cell r="BO45" t="str">
            <v>External</v>
          </cell>
          <cell r="BP45">
            <v>3</v>
          </cell>
          <cell r="BQ45">
            <v>13</v>
          </cell>
          <cell r="BR45">
            <v>66528250.140000001</v>
          </cell>
          <cell r="BS45">
            <v>66528250.140000001</v>
          </cell>
          <cell r="BT45">
            <v>66528250.140000001</v>
          </cell>
          <cell r="BU45">
            <v>66528250.140000001</v>
          </cell>
          <cell r="BW45" t="str">
            <v>Italy</v>
          </cell>
          <cell r="BX45" t="str">
            <v>Office</v>
          </cell>
          <cell r="BY45">
            <v>97.75</v>
          </cell>
        </row>
        <row r="46">
          <cell r="A46">
            <v>575</v>
          </cell>
          <cell r="B46" t="str">
            <v>ARMINIUS REAL ESTATE OPPORTUNITY FUND, L.P.</v>
          </cell>
          <cell r="C46" t="str">
            <v>ARMINIUS FUNDS MANAGEMENT LIMITED</v>
          </cell>
          <cell r="D46" t="str">
            <v>First Island House 19-21 Peter Street</v>
          </cell>
          <cell r="E46" t="str">
            <v>JE2 4SP</v>
          </cell>
          <cell r="F46" t="str">
            <v>St. Helier</v>
          </cell>
          <cell r="G46" t="str">
            <v>Jersey</v>
          </cell>
          <cell r="H46" t="str">
            <v>+ 44 1534 723 402</v>
          </cell>
          <cell r="I46" t="str">
            <v>+44 1534 600 198</v>
          </cell>
          <cell r="J46" t="str">
            <v>http://www.arminiusgroup.com/</v>
          </cell>
          <cell r="K46" t="str">
            <v>Peter J. Jun</v>
          </cell>
          <cell r="L46" t="str">
            <v>pjun@arminiusgroup.com</v>
          </cell>
          <cell r="M46" t="str">
            <v>+31 6 151 70977</v>
          </cell>
          <cell r="N46" t="str">
            <v>Peter J. Jun</v>
          </cell>
          <cell r="O46" t="str">
            <v>pjun@arminiusgroup.com</v>
          </cell>
          <cell r="P46" t="str">
            <v>+31 6 151 70977</v>
          </cell>
          <cell r="Q46" t="str">
            <v>Jersey</v>
          </cell>
          <cell r="R46" t="str">
            <v>EUR</v>
          </cell>
          <cell r="S46" t="str">
            <v>Local GAAP</v>
          </cell>
          <cell r="T46" t="str">
            <v>Quarterly</v>
          </cell>
          <cell r="U46" t="str">
            <v>Annually</v>
          </cell>
          <cell r="X46" t="str">
            <v>KPMG</v>
          </cell>
          <cell r="Y46" t="str">
            <v>Limited Partnership</v>
          </cell>
          <cell r="Z46" t="str">
            <v>No</v>
          </cell>
          <cell r="AA46" t="str">
            <v>No</v>
          </cell>
          <cell r="AB46">
            <v>0</v>
          </cell>
          <cell r="AC46" t="str">
            <v>Non-Listed Fund</v>
          </cell>
          <cell r="AD46" t="str">
            <v>Opportunity</v>
          </cell>
          <cell r="AE46" t="str">
            <v>finite</v>
          </cell>
          <cell r="AF46" t="str">
            <v>Closed end</v>
          </cell>
          <cell r="AG46">
            <v>20</v>
          </cell>
          <cell r="AH46">
            <v>20</v>
          </cell>
          <cell r="AI46" t="str">
            <v>Gross</v>
          </cell>
          <cell r="AL46">
            <v>75</v>
          </cell>
          <cell r="AM46" t="str">
            <v>&gt; 60%</v>
          </cell>
          <cell r="AN46" t="str">
            <v>Institutional</v>
          </cell>
          <cell r="AO46" t="str">
            <v>≤ 2</v>
          </cell>
          <cell r="AP46" t="str">
            <v>≥ 50%</v>
          </cell>
          <cell r="AQ46" t="str">
            <v>Europe</v>
          </cell>
          <cell r="AR46" t="str">
            <v>single country</v>
          </cell>
          <cell r="AT46" t="str">
            <v>Germany</v>
          </cell>
          <cell r="AU46" t="str">
            <v>multi sector</v>
          </cell>
          <cell r="AW46">
            <v>362700000</v>
          </cell>
          <cell r="AX46">
            <v>1000000000</v>
          </cell>
          <cell r="AY46">
            <v>2006</v>
          </cell>
          <cell r="AZ46">
            <v>2014</v>
          </cell>
          <cell r="BA46" t="str">
            <v>Yes</v>
          </cell>
          <cell r="BB46" t="str">
            <v>Yes</v>
          </cell>
          <cell r="BC46" t="str">
            <v>1+1 years</v>
          </cell>
          <cell r="BH46" t="str">
            <v>2010-09-30</v>
          </cell>
          <cell r="BI46">
            <v>990300000</v>
          </cell>
          <cell r="BJ46">
            <v>990300000</v>
          </cell>
          <cell r="BK46">
            <v>355800000</v>
          </cell>
          <cell r="BL46">
            <v>355800000</v>
          </cell>
          <cell r="BM46">
            <v>66.400000000000006</v>
          </cell>
          <cell r="BP46">
            <v>21</v>
          </cell>
          <cell r="BQ46">
            <v>16</v>
          </cell>
          <cell r="BR46">
            <v>362700000</v>
          </cell>
          <cell r="BS46">
            <v>362700000</v>
          </cell>
          <cell r="BU46">
            <v>0</v>
          </cell>
          <cell r="BV46" t="str">
            <v>No</v>
          </cell>
        </row>
        <row r="47">
          <cell r="A47">
            <v>17353</v>
          </cell>
          <cell r="B47" t="str">
            <v>ASR DUTCH CORE RESIDENTIAL FUND</v>
          </cell>
          <cell r="C47" t="str">
            <v>A.S.R. REAL ESTATE</v>
          </cell>
          <cell r="D47" t="str">
            <v>Archimedeslaan 10</v>
          </cell>
          <cell r="E47" t="str">
            <v>3584 BA</v>
          </cell>
          <cell r="F47" t="str">
            <v>Utrecht</v>
          </cell>
          <cell r="G47" t="str">
            <v>Netherlands</v>
          </cell>
          <cell r="H47" t="str">
            <v>+31302572380</v>
          </cell>
          <cell r="J47" t="str">
            <v>http://www.asrrealestate.nl</v>
          </cell>
          <cell r="K47" t="str">
            <v>Robbert van Dijk</v>
          </cell>
          <cell r="L47" t="str">
            <v>robbert.van.dijk@asr.nl</v>
          </cell>
          <cell r="M47" t="str">
            <v>+31621294363</v>
          </cell>
          <cell r="N47" t="str">
            <v>Robbert van Dijk</v>
          </cell>
          <cell r="O47" t="str">
            <v>robbert.van.dijk@asr.nl</v>
          </cell>
          <cell r="P47" t="str">
            <v>+31621294363</v>
          </cell>
          <cell r="Q47" t="str">
            <v>Netherlands</v>
          </cell>
          <cell r="R47" t="str">
            <v>EUR</v>
          </cell>
          <cell r="S47" t="str">
            <v>IFRS</v>
          </cell>
          <cell r="T47" t="str">
            <v>Quarterly</v>
          </cell>
          <cell r="U47" t="str">
            <v>Quarterly</v>
          </cell>
          <cell r="V47" t="str">
            <v>RICS</v>
          </cell>
          <cell r="W47" t="str">
            <v>INREV NAV</v>
          </cell>
          <cell r="X47" t="str">
            <v>EY</v>
          </cell>
          <cell r="Y47" t="str">
            <v>Real Estate Fund</v>
          </cell>
          <cell r="Z47" t="str">
            <v>Yes</v>
          </cell>
          <cell r="AA47" t="str">
            <v>No</v>
          </cell>
          <cell r="AB47">
            <v>0</v>
          </cell>
          <cell r="AC47" t="str">
            <v>Non-Listed Fund</v>
          </cell>
          <cell r="AD47" t="str">
            <v>Core</v>
          </cell>
          <cell r="AE47" t="str">
            <v>infinite</v>
          </cell>
          <cell r="AF47" t="str">
            <v>Open end</v>
          </cell>
          <cell r="AG47">
            <v>6</v>
          </cell>
          <cell r="AH47">
            <v>8</v>
          </cell>
          <cell r="AI47" t="str">
            <v>Net</v>
          </cell>
          <cell r="AJ47" t="str">
            <v>IPD Index</v>
          </cell>
          <cell r="AK47">
            <v>4</v>
          </cell>
          <cell r="AL47">
            <v>0</v>
          </cell>
          <cell r="AM47" t="str">
            <v>≤ 40%</v>
          </cell>
          <cell r="AN47" t="str">
            <v>Institutional</v>
          </cell>
          <cell r="AO47" t="str">
            <v>&gt; 2</v>
          </cell>
          <cell r="AP47" t="str">
            <v>≥ 50%</v>
          </cell>
          <cell r="AQ47" t="str">
            <v>Europe</v>
          </cell>
          <cell r="AR47" t="str">
            <v>single country</v>
          </cell>
          <cell r="AT47" t="str">
            <v>Netherlands</v>
          </cell>
          <cell r="AU47" t="str">
            <v>single sector</v>
          </cell>
          <cell r="AV47" t="str">
            <v>Residential</v>
          </cell>
          <cell r="AW47">
            <v>300000000</v>
          </cell>
          <cell r="AX47">
            <v>1500000000</v>
          </cell>
          <cell r="AY47">
            <v>2013</v>
          </cell>
          <cell r="BD47" t="str">
            <v>Yes</v>
          </cell>
          <cell r="BE47" t="str">
            <v>≥ 60%</v>
          </cell>
          <cell r="BF47" t="str">
            <v>≤ 15%</v>
          </cell>
          <cell r="BG47" t="str">
            <v>&gt; 5 - ≤ 25%</v>
          </cell>
          <cell r="BH47" t="str">
            <v>2020-12-31</v>
          </cell>
          <cell r="BI47">
            <v>1788500000</v>
          </cell>
          <cell r="BJ47">
            <v>1788500000</v>
          </cell>
          <cell r="BK47">
            <v>1778948000</v>
          </cell>
          <cell r="BL47">
            <v>1778948000</v>
          </cell>
          <cell r="BM47">
            <v>0</v>
          </cell>
          <cell r="BN47" t="str">
            <v>No</v>
          </cell>
          <cell r="BO47" t="str">
            <v>External</v>
          </cell>
          <cell r="BP47">
            <v>11</v>
          </cell>
          <cell r="BQ47">
            <v>85</v>
          </cell>
          <cell r="BR47">
            <v>1532603000</v>
          </cell>
          <cell r="BS47">
            <v>1532603000</v>
          </cell>
          <cell r="BT47">
            <v>1532603000</v>
          </cell>
          <cell r="BU47">
            <v>1532603000</v>
          </cell>
          <cell r="BV47" t="str">
            <v>No</v>
          </cell>
          <cell r="BW47" t="str">
            <v>Netherlands</v>
          </cell>
          <cell r="BX47" t="str">
            <v>Residential</v>
          </cell>
          <cell r="BY47">
            <v>96</v>
          </cell>
        </row>
        <row r="48">
          <cell r="A48">
            <v>18272</v>
          </cell>
          <cell r="B48" t="str">
            <v>ASR DUTCH MOBILITY OFFICE FUND</v>
          </cell>
          <cell r="C48" t="str">
            <v>ASR REAL ESTATE B.V.</v>
          </cell>
          <cell r="D48" t="str">
            <v>Archimedeslaan 10</v>
          </cell>
          <cell r="E48" t="str">
            <v>3584 BA</v>
          </cell>
          <cell r="F48" t="str">
            <v>Utrecht</v>
          </cell>
          <cell r="G48" t="str">
            <v>Netherlands</v>
          </cell>
          <cell r="J48" t="str">
            <v>https://asrrealestate.nl</v>
          </cell>
          <cell r="K48" t="str">
            <v>Pieter Vandeginste</v>
          </cell>
          <cell r="L48" t="str">
            <v>pieter.vandeginste@asr.nl</v>
          </cell>
          <cell r="M48" t="str">
            <v>+31622787955</v>
          </cell>
          <cell r="N48" t="str">
            <v>Luc Joosten</v>
          </cell>
          <cell r="O48" t="str">
            <v>luc.joosten@asr.nl</v>
          </cell>
          <cell r="P48" t="str">
            <v>+31683648185</v>
          </cell>
          <cell r="Q48" t="str">
            <v>Netherlands</v>
          </cell>
          <cell r="R48" t="str">
            <v>EUR</v>
          </cell>
          <cell r="S48" t="str">
            <v>IFRS</v>
          </cell>
          <cell r="T48" t="str">
            <v>Quarterly</v>
          </cell>
          <cell r="U48" t="str">
            <v>Quarterly</v>
          </cell>
          <cell r="V48" t="str">
            <v>RICS</v>
          </cell>
          <cell r="W48" t="str">
            <v>IFRS NAV</v>
          </cell>
          <cell r="X48" t="str">
            <v>EY</v>
          </cell>
          <cell r="Y48" t="str">
            <v>Real Estate Fund</v>
          </cell>
          <cell r="Z48" t="str">
            <v>Yes</v>
          </cell>
          <cell r="AA48" t="str">
            <v>Yes</v>
          </cell>
          <cell r="AB48">
            <v>0</v>
          </cell>
          <cell r="AC48" t="str">
            <v>Non-Listed Fund</v>
          </cell>
          <cell r="AD48" t="str">
            <v>Core</v>
          </cell>
          <cell r="AE48" t="str">
            <v>infinite</v>
          </cell>
          <cell r="AF48" t="str">
            <v>Open end</v>
          </cell>
          <cell r="AG48">
            <v>6</v>
          </cell>
          <cell r="AH48">
            <v>8</v>
          </cell>
          <cell r="AI48" t="str">
            <v>Net</v>
          </cell>
          <cell r="AK48">
            <v>5</v>
          </cell>
          <cell r="AL48">
            <v>15</v>
          </cell>
          <cell r="AM48" t="str">
            <v>≤ 40%</v>
          </cell>
          <cell r="AN48" t="str">
            <v>Institutional</v>
          </cell>
          <cell r="AO48" t="str">
            <v>&gt; 2</v>
          </cell>
          <cell r="AP48" t="str">
            <v>≥ 50%</v>
          </cell>
          <cell r="AQ48" t="str">
            <v>Europe</v>
          </cell>
          <cell r="AR48" t="str">
            <v>single country</v>
          </cell>
          <cell r="AT48" t="str">
            <v>Netherlands</v>
          </cell>
          <cell r="AU48" t="str">
            <v>multi sector</v>
          </cell>
          <cell r="AW48">
            <v>650000000</v>
          </cell>
          <cell r="AX48">
            <v>750000000</v>
          </cell>
          <cell r="AY48">
            <v>2016</v>
          </cell>
          <cell r="BD48" t="str">
            <v>Yes</v>
          </cell>
          <cell r="BE48" t="str">
            <v>≥ 60%</v>
          </cell>
          <cell r="BF48" t="str">
            <v>≤ 15%</v>
          </cell>
          <cell r="BG48" t="str">
            <v>≤ 5%</v>
          </cell>
          <cell r="BH48" t="str">
            <v>2020-12-31</v>
          </cell>
          <cell r="BI48">
            <v>380017000</v>
          </cell>
          <cell r="BJ48">
            <v>380017000</v>
          </cell>
          <cell r="BK48">
            <v>345621000</v>
          </cell>
          <cell r="BL48">
            <v>345621000</v>
          </cell>
          <cell r="BM48">
            <v>4.4000000000000004</v>
          </cell>
          <cell r="BN48" t="str">
            <v>No</v>
          </cell>
          <cell r="BO48" t="str">
            <v>External</v>
          </cell>
          <cell r="BP48">
            <v>6</v>
          </cell>
          <cell r="BQ48">
            <v>12</v>
          </cell>
          <cell r="BR48">
            <v>270000000</v>
          </cell>
          <cell r="BS48">
            <v>270000000</v>
          </cell>
          <cell r="BT48">
            <v>270000000</v>
          </cell>
          <cell r="BU48">
            <v>270000000</v>
          </cell>
          <cell r="BV48" t="str">
            <v>Yes</v>
          </cell>
          <cell r="BW48" t="str">
            <v>Netherlands</v>
          </cell>
          <cell r="BX48" t="str">
            <v>Office</v>
          </cell>
          <cell r="BY48">
            <v>95.1</v>
          </cell>
        </row>
        <row r="49">
          <cell r="A49">
            <v>619</v>
          </cell>
          <cell r="B49" t="str">
            <v>ASR DUTCH PRIME RETAIL FUND</v>
          </cell>
          <cell r="C49" t="str">
            <v>A.S.R. REAL ESTATE</v>
          </cell>
          <cell r="D49" t="str">
            <v>Archimedeslaan 10</v>
          </cell>
          <cell r="E49" t="str">
            <v>3584 BA</v>
          </cell>
          <cell r="F49" t="str">
            <v>Utrecht</v>
          </cell>
          <cell r="G49" t="str">
            <v>Netherlands</v>
          </cell>
          <cell r="H49" t="str">
            <v>+31302573512</v>
          </cell>
          <cell r="I49" t="str">
            <v>+31302578306</v>
          </cell>
          <cell r="J49" t="str">
            <v>http://www.asrrealestate.nl</v>
          </cell>
          <cell r="K49" t="str">
            <v>Edwin van de Woestijne</v>
          </cell>
          <cell r="L49" t="str">
            <v>edwin.van.de.woestijne@asr.nl</v>
          </cell>
          <cell r="M49" t="str">
            <v>+31302572654</v>
          </cell>
          <cell r="N49" t="str">
            <v>Luc Joosten</v>
          </cell>
          <cell r="O49" t="str">
            <v>luc.joosten@asr.nl</v>
          </cell>
          <cell r="P49" t="str">
            <v>+31302579528</v>
          </cell>
          <cell r="Q49" t="str">
            <v>Netherlands</v>
          </cell>
          <cell r="R49" t="str">
            <v>EUR</v>
          </cell>
          <cell r="S49" t="str">
            <v>IFRS</v>
          </cell>
          <cell r="T49" t="str">
            <v>Quarterly</v>
          </cell>
          <cell r="U49" t="str">
            <v>Quarterly</v>
          </cell>
          <cell r="V49" t="str">
            <v>RICS</v>
          </cell>
          <cell r="W49" t="str">
            <v>INREV NAV</v>
          </cell>
          <cell r="X49" t="str">
            <v>EY</v>
          </cell>
          <cell r="Y49" t="str">
            <v>FGR</v>
          </cell>
          <cell r="Z49" t="str">
            <v>Yes</v>
          </cell>
          <cell r="AA49" t="str">
            <v>No</v>
          </cell>
          <cell r="AB49">
            <v>0</v>
          </cell>
          <cell r="AC49" t="str">
            <v>Non-Listed Fund</v>
          </cell>
          <cell r="AD49" t="str">
            <v>Core</v>
          </cell>
          <cell r="AE49" t="str">
            <v>infinite</v>
          </cell>
          <cell r="AF49" t="str">
            <v>Open end</v>
          </cell>
          <cell r="AG49">
            <v>7</v>
          </cell>
          <cell r="AH49">
            <v>9</v>
          </cell>
          <cell r="AI49" t="str">
            <v>Net</v>
          </cell>
          <cell r="AJ49" t="str">
            <v>Not applicable</v>
          </cell>
          <cell r="AK49">
            <v>5</v>
          </cell>
          <cell r="AL49">
            <v>7</v>
          </cell>
          <cell r="AM49" t="str">
            <v>≤ 40%</v>
          </cell>
          <cell r="AN49" t="str">
            <v>Institutional</v>
          </cell>
          <cell r="AO49" t="str">
            <v>&gt; 2</v>
          </cell>
          <cell r="AP49" t="str">
            <v>≥ 50%</v>
          </cell>
          <cell r="AQ49" t="str">
            <v>Europe</v>
          </cell>
          <cell r="AR49" t="str">
            <v>single country</v>
          </cell>
          <cell r="AT49" t="str">
            <v>Netherlands</v>
          </cell>
          <cell r="AU49" t="str">
            <v>single sector</v>
          </cell>
          <cell r="AV49" t="str">
            <v>Retail</v>
          </cell>
          <cell r="AW49">
            <v>1132000000</v>
          </cell>
          <cell r="AX49">
            <v>1134000000</v>
          </cell>
          <cell r="AY49">
            <v>2011</v>
          </cell>
          <cell r="BA49" t="str">
            <v>No</v>
          </cell>
          <cell r="BB49" t="str">
            <v>No</v>
          </cell>
          <cell r="BE49" t="str">
            <v>≥ 60%</v>
          </cell>
          <cell r="BF49" t="str">
            <v>≤ 15%</v>
          </cell>
          <cell r="BG49" t="str">
            <v>≤ 5%</v>
          </cell>
          <cell r="BH49" t="str">
            <v>2020-12-31</v>
          </cell>
          <cell r="BI49">
            <v>1661177000</v>
          </cell>
          <cell r="BJ49">
            <v>1661177000</v>
          </cell>
          <cell r="BK49">
            <v>1391850000</v>
          </cell>
          <cell r="BL49">
            <v>1391850000</v>
          </cell>
          <cell r="BM49">
            <v>14</v>
          </cell>
          <cell r="BN49" t="str">
            <v>No</v>
          </cell>
          <cell r="BO49" t="str">
            <v>External</v>
          </cell>
          <cell r="BP49">
            <v>12</v>
          </cell>
          <cell r="BQ49">
            <v>213</v>
          </cell>
          <cell r="BR49">
            <v>2504630000</v>
          </cell>
          <cell r="BS49">
            <v>2504630000</v>
          </cell>
          <cell r="BT49">
            <v>2504630000</v>
          </cell>
          <cell r="BU49">
            <v>2504630000</v>
          </cell>
          <cell r="BV49" t="str">
            <v>No</v>
          </cell>
          <cell r="BW49" t="str">
            <v>Netherlands</v>
          </cell>
          <cell r="BX49" t="str">
            <v>Residential</v>
          </cell>
          <cell r="BY49">
            <v>2</v>
          </cell>
          <cell r="BZ49" t="str">
            <v>Netherlands</v>
          </cell>
          <cell r="CA49" t="str">
            <v>Retail</v>
          </cell>
          <cell r="CB49">
            <v>96</v>
          </cell>
        </row>
        <row r="50">
          <cell r="A50">
            <v>620</v>
          </cell>
          <cell r="B50" t="str">
            <v>ASR PROPERTY FUND</v>
          </cell>
          <cell r="C50" t="str">
            <v>A.S.R. REAL ESTATE</v>
          </cell>
          <cell r="D50" t="str">
            <v>Archimedeslaan 10</v>
          </cell>
          <cell r="E50" t="str">
            <v>3584 BA</v>
          </cell>
          <cell r="F50" t="str">
            <v>Utrecht</v>
          </cell>
          <cell r="G50" t="str">
            <v>Netherlands</v>
          </cell>
          <cell r="H50" t="str">
            <v>+31302579861</v>
          </cell>
          <cell r="J50" t="str">
            <v>http://www.asrrealestate.nl</v>
          </cell>
          <cell r="K50" t="str">
            <v>Rodney Zimmerman</v>
          </cell>
          <cell r="L50" t="str">
            <v>Rodney.zimmerman@asr.nl</v>
          </cell>
          <cell r="M50" t="str">
            <v>+31302579861</v>
          </cell>
          <cell r="N50" t="str">
            <v>Rodney Zimmerman</v>
          </cell>
          <cell r="O50" t="str">
            <v>Rodney.zimmerman@asr.nl</v>
          </cell>
          <cell r="P50" t="str">
            <v>+31302579861</v>
          </cell>
          <cell r="Q50" t="str">
            <v>Netherlands</v>
          </cell>
          <cell r="R50" t="str">
            <v>EUR</v>
          </cell>
          <cell r="S50" t="str">
            <v>Local GAAP</v>
          </cell>
          <cell r="T50" t="str">
            <v>Twice per year</v>
          </cell>
          <cell r="U50" t="str">
            <v>Quarterly</v>
          </cell>
          <cell r="V50" t="str">
            <v>RICS</v>
          </cell>
          <cell r="W50" t="str">
            <v>IFRS NAV</v>
          </cell>
          <cell r="X50" t="str">
            <v>EY</v>
          </cell>
          <cell r="Y50" t="str">
            <v>FBI</v>
          </cell>
          <cell r="Z50" t="str">
            <v>No</v>
          </cell>
          <cell r="AA50" t="str">
            <v>No</v>
          </cell>
          <cell r="AB50">
            <v>0</v>
          </cell>
          <cell r="AC50" t="str">
            <v>Non-Listed Fund</v>
          </cell>
          <cell r="AD50" t="str">
            <v>Core</v>
          </cell>
          <cell r="AE50" t="str">
            <v>finite</v>
          </cell>
          <cell r="AF50" t="str">
            <v>Closed end</v>
          </cell>
          <cell r="AG50">
            <v>4</v>
          </cell>
          <cell r="AH50">
            <v>6</v>
          </cell>
          <cell r="AI50" t="str">
            <v>Net</v>
          </cell>
          <cell r="AJ50" t="str">
            <v>not applicable</v>
          </cell>
          <cell r="AK50">
            <v>5</v>
          </cell>
          <cell r="AL50">
            <v>5</v>
          </cell>
          <cell r="AM50" t="str">
            <v>≤ 40%</v>
          </cell>
          <cell r="AN50" t="str">
            <v>Institutional</v>
          </cell>
          <cell r="AO50" t="str">
            <v>&gt; 2</v>
          </cell>
          <cell r="AP50" t="str">
            <v>≥ 50%</v>
          </cell>
          <cell r="AQ50" t="str">
            <v>Europe</v>
          </cell>
          <cell r="AR50" t="str">
            <v>multi country</v>
          </cell>
          <cell r="AS50" t="str">
            <v>Europe</v>
          </cell>
          <cell r="AU50" t="str">
            <v>multi sector</v>
          </cell>
          <cell r="AW50">
            <v>575000000</v>
          </cell>
          <cell r="AX50">
            <v>575000000</v>
          </cell>
          <cell r="AY50">
            <v>2006</v>
          </cell>
          <cell r="AZ50">
            <v>2030</v>
          </cell>
          <cell r="BA50" t="str">
            <v>No</v>
          </cell>
          <cell r="BB50" t="str">
            <v>No</v>
          </cell>
          <cell r="BE50" t="str">
            <v>&lt; 60%</v>
          </cell>
          <cell r="BH50" t="str">
            <v>2020-12-31</v>
          </cell>
          <cell r="BI50">
            <v>334823000</v>
          </cell>
          <cell r="BJ50">
            <v>334823000</v>
          </cell>
          <cell r="BK50">
            <v>311430000</v>
          </cell>
          <cell r="BL50">
            <v>311430000</v>
          </cell>
          <cell r="BM50">
            <v>0.8</v>
          </cell>
          <cell r="BN50" t="str">
            <v>No</v>
          </cell>
          <cell r="BO50" t="str">
            <v>External</v>
          </cell>
          <cell r="BP50">
            <v>1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V50" t="str">
            <v>Yes</v>
          </cell>
          <cell r="BW50" t="str">
            <v>Netherlands</v>
          </cell>
          <cell r="BX50" t="str">
            <v>Other</v>
          </cell>
          <cell r="BY50">
            <v>78.900000000000006</v>
          </cell>
        </row>
        <row r="51">
          <cell r="A51">
            <v>586</v>
          </cell>
          <cell r="B51" t="str">
            <v>AVIVA INVESTORS EUROPEAN PROPERTY FUND</v>
          </cell>
          <cell r="C51" t="str">
            <v>AVIVA INVESTORS</v>
          </cell>
          <cell r="D51" t="str">
            <v>1 Poultry</v>
          </cell>
          <cell r="E51" t="str">
            <v>EC2R 8EJ</v>
          </cell>
          <cell r="F51" t="str">
            <v>London</v>
          </cell>
          <cell r="G51" t="str">
            <v>United Kingdom</v>
          </cell>
          <cell r="H51" t="str">
            <v>+442078096000</v>
          </cell>
          <cell r="I51" t="str">
            <v>+442078096816</v>
          </cell>
          <cell r="J51" t="str">
            <v>http://www.avivainvestors.com</v>
          </cell>
          <cell r="K51" t="str">
            <v>Julian Taylor</v>
          </cell>
          <cell r="L51" t="str">
            <v>julian.taylor@avivainvestors.com</v>
          </cell>
          <cell r="M51" t="str">
            <v>+442078096000</v>
          </cell>
          <cell r="N51" t="str">
            <v>Leanne Marx</v>
          </cell>
          <cell r="O51" t="str">
            <v>leanne.marx@avivainvestors.com</v>
          </cell>
          <cell r="P51" t="str">
            <v>+442078096816</v>
          </cell>
          <cell r="Q51" t="str">
            <v>United Kingdom</v>
          </cell>
          <cell r="R51" t="str">
            <v>GBP</v>
          </cell>
          <cell r="S51" t="str">
            <v>Local GAAP</v>
          </cell>
          <cell r="T51" t="str">
            <v>Monthly</v>
          </cell>
          <cell r="U51" t="str">
            <v>Monthly</v>
          </cell>
          <cell r="V51" t="str">
            <v>RICS</v>
          </cell>
          <cell r="X51" t="str">
            <v>Ernst &amp; Young</v>
          </cell>
          <cell r="Y51" t="str">
            <v>Non-UCITS Retail Scheme</v>
          </cell>
          <cell r="Z51" t="str">
            <v>No</v>
          </cell>
          <cell r="AA51" t="str">
            <v>No</v>
          </cell>
          <cell r="AB51">
            <v>0</v>
          </cell>
          <cell r="AC51" t="str">
            <v>Non-Listed Fund</v>
          </cell>
          <cell r="AD51" t="str">
            <v>Core</v>
          </cell>
          <cell r="AE51" t="str">
            <v>infinite</v>
          </cell>
          <cell r="AF51" t="str">
            <v>Open end</v>
          </cell>
          <cell r="AJ51" t="str">
            <v>None</v>
          </cell>
          <cell r="AL51">
            <v>0</v>
          </cell>
          <cell r="AM51" t="str">
            <v>≤ 40%</v>
          </cell>
          <cell r="AN51" t="str">
            <v>Institutional</v>
          </cell>
          <cell r="AO51" t="str">
            <v>&gt; 2</v>
          </cell>
          <cell r="AP51" t="str">
            <v>≥ 50%</v>
          </cell>
          <cell r="AQ51" t="str">
            <v>Europe</v>
          </cell>
          <cell r="AR51" t="str">
            <v>multi country</v>
          </cell>
          <cell r="AS51" t="str">
            <v>Europe</v>
          </cell>
          <cell r="AU51" t="str">
            <v>multi sector</v>
          </cell>
          <cell r="AY51">
            <v>2006</v>
          </cell>
          <cell r="BH51" t="str">
            <v>2020-12-31</v>
          </cell>
          <cell r="BI51">
            <v>18063469.739999998</v>
          </cell>
          <cell r="BJ51">
            <v>19970052.623616889</v>
          </cell>
          <cell r="BK51">
            <v>18063469.739999998</v>
          </cell>
          <cell r="BL51">
            <v>19970052.623616889</v>
          </cell>
          <cell r="BM51">
            <v>0</v>
          </cell>
          <cell r="BN51" t="str">
            <v>No</v>
          </cell>
          <cell r="BO51" t="str">
            <v>Internal</v>
          </cell>
          <cell r="BP51">
            <v>0</v>
          </cell>
          <cell r="BQ51">
            <v>1</v>
          </cell>
          <cell r="BS51">
            <v>0</v>
          </cell>
          <cell r="BV51" t="str">
            <v>No</v>
          </cell>
          <cell r="BW51" t="str">
            <v>Poland</v>
          </cell>
          <cell r="BX51" t="str">
            <v>Industrial / Logistics</v>
          </cell>
          <cell r="BY51">
            <v>100</v>
          </cell>
        </row>
        <row r="52">
          <cell r="A52">
            <v>18184</v>
          </cell>
          <cell r="B52" t="str">
            <v>AXA CORE EUROPE FUND</v>
          </cell>
          <cell r="C52" t="str">
            <v>AXA UK REAL ASSETS</v>
          </cell>
          <cell r="D52" t="str">
            <v xml:space="preserve">155 Bishopsgate </v>
          </cell>
          <cell r="E52" t="str">
            <v>EC2M 3XJ</v>
          </cell>
          <cell r="F52" t="str">
            <v>London</v>
          </cell>
          <cell r="G52" t="str">
            <v>United Kingdom</v>
          </cell>
          <cell r="J52" t="str">
            <v>https://realassets.axa-im.com</v>
          </cell>
          <cell r="K52" t="str">
            <v>Rainer Suter</v>
          </cell>
          <cell r="L52" t="str">
            <v>rainer.suter@axa-im.com</v>
          </cell>
          <cell r="M52" t="str">
            <v>+41583607960</v>
          </cell>
          <cell r="N52" t="str">
            <v>Jamie-Lee</v>
          </cell>
          <cell r="O52" t="str">
            <v>jamie-lee.chambers@axa-im.com</v>
          </cell>
          <cell r="P52" t="str">
            <v>+442070031371</v>
          </cell>
          <cell r="Q52" t="str">
            <v>Luxembourg</v>
          </cell>
          <cell r="R52" t="str">
            <v>EUR</v>
          </cell>
          <cell r="S52" t="str">
            <v>IFRS</v>
          </cell>
          <cell r="T52" t="str">
            <v>Quarterly</v>
          </cell>
          <cell r="U52" t="str">
            <v>Quarterly</v>
          </cell>
          <cell r="V52" t="str">
            <v>RICS</v>
          </cell>
          <cell r="W52" t="str">
            <v>Adjusted INREV NAV</v>
          </cell>
          <cell r="Y52" t="str">
            <v>Real Estate Fund</v>
          </cell>
          <cell r="Z52" t="str">
            <v>Yes</v>
          </cell>
          <cell r="AC52" t="str">
            <v>Non-Listed Fund</v>
          </cell>
          <cell r="AD52" t="str">
            <v>Core</v>
          </cell>
          <cell r="AE52" t="str">
            <v>infinite</v>
          </cell>
          <cell r="AF52" t="str">
            <v>Open end</v>
          </cell>
          <cell r="AM52" t="str">
            <v>≤ 40%</v>
          </cell>
          <cell r="AN52" t="str">
            <v>Institutional</v>
          </cell>
          <cell r="AO52" t="str">
            <v>&gt; 2</v>
          </cell>
          <cell r="AP52" t="str">
            <v>≥ 50%</v>
          </cell>
          <cell r="AQ52" t="str">
            <v>Europe</v>
          </cell>
          <cell r="AR52" t="str">
            <v>multi country</v>
          </cell>
          <cell r="AS52" t="str">
            <v>Europe</v>
          </cell>
          <cell r="AU52" t="str">
            <v>multi sector</v>
          </cell>
          <cell r="AY52">
            <v>2015</v>
          </cell>
          <cell r="BE52" t="str">
            <v>≥ 60%</v>
          </cell>
          <cell r="BF52" t="str">
            <v>≤ 15%</v>
          </cell>
          <cell r="BG52" t="str">
            <v>≤ 5%</v>
          </cell>
          <cell r="BH52" t="str">
            <v>2020-12-31</v>
          </cell>
          <cell r="BI52">
            <v>4688536713</v>
          </cell>
          <cell r="BJ52">
            <v>4688536713</v>
          </cell>
          <cell r="BK52">
            <v>3296963154</v>
          </cell>
          <cell r="BL52">
            <v>3296963154</v>
          </cell>
          <cell r="BM52">
            <v>30</v>
          </cell>
          <cell r="BN52" t="str">
            <v>No</v>
          </cell>
          <cell r="BO52" t="str">
            <v>External</v>
          </cell>
          <cell r="BP52">
            <v>135</v>
          </cell>
          <cell r="BQ52">
            <v>204</v>
          </cell>
          <cell r="BR52">
            <v>3827007723</v>
          </cell>
          <cell r="BS52">
            <v>3827007723</v>
          </cell>
          <cell r="BT52">
            <v>3253160571</v>
          </cell>
          <cell r="BU52">
            <v>3253160571</v>
          </cell>
          <cell r="BV52" t="str">
            <v>Yes</v>
          </cell>
          <cell r="BW52" t="str">
            <v>Austria</v>
          </cell>
          <cell r="BX52" t="str">
            <v>Hotel</v>
          </cell>
          <cell r="BY52">
            <v>0.76</v>
          </cell>
          <cell r="BZ52" t="str">
            <v>Germany</v>
          </cell>
          <cell r="CA52" t="str">
            <v>Office</v>
          </cell>
          <cell r="CB52">
            <v>8.31</v>
          </cell>
          <cell r="CC52" t="str">
            <v>Germany</v>
          </cell>
          <cell r="CD52" t="str">
            <v>Retail</v>
          </cell>
          <cell r="CE52">
            <v>1.19</v>
          </cell>
          <cell r="CF52" t="str">
            <v>Germany</v>
          </cell>
          <cell r="CG52" t="str">
            <v>Industrial / Logistics</v>
          </cell>
          <cell r="CH52">
            <v>5.74</v>
          </cell>
          <cell r="CI52" t="str">
            <v>Germany</v>
          </cell>
          <cell r="CJ52" t="str">
            <v>Hotel</v>
          </cell>
          <cell r="CK52">
            <v>3.18</v>
          </cell>
          <cell r="CL52" t="str">
            <v>Denmark</v>
          </cell>
          <cell r="CM52" t="str">
            <v>Residential</v>
          </cell>
          <cell r="CN52">
            <v>2.63</v>
          </cell>
          <cell r="CO52" t="str">
            <v>Spain</v>
          </cell>
          <cell r="CP52" t="str">
            <v>Retail</v>
          </cell>
          <cell r="CQ52">
            <v>1.91</v>
          </cell>
          <cell r="CR52" t="str">
            <v>Finland</v>
          </cell>
          <cell r="CS52" t="str">
            <v>Residential</v>
          </cell>
          <cell r="CT52">
            <v>2.14</v>
          </cell>
          <cell r="CU52" t="str">
            <v>France</v>
          </cell>
          <cell r="CV52" t="str">
            <v>Office</v>
          </cell>
          <cell r="CW52">
            <v>16.66</v>
          </cell>
          <cell r="CX52" t="str">
            <v>France</v>
          </cell>
          <cell r="CY52" t="str">
            <v>Retail</v>
          </cell>
          <cell r="CZ52">
            <v>4.1399999999999997</v>
          </cell>
          <cell r="DA52" t="str">
            <v>France</v>
          </cell>
          <cell r="DB52" t="str">
            <v>Industrial / Logistics</v>
          </cell>
          <cell r="DC52">
            <v>2.4500000000000002</v>
          </cell>
          <cell r="DD52" t="str">
            <v>Ireland</v>
          </cell>
          <cell r="DE52" t="str">
            <v>Office</v>
          </cell>
          <cell r="DF52">
            <v>1.1100000000000001</v>
          </cell>
          <cell r="DG52" t="str">
            <v>Ireland</v>
          </cell>
          <cell r="DH52" t="str">
            <v>Residential</v>
          </cell>
          <cell r="DI52">
            <v>4.28</v>
          </cell>
          <cell r="DJ52" t="str">
            <v>Italy</v>
          </cell>
          <cell r="DK52" t="str">
            <v>Office</v>
          </cell>
          <cell r="DL52">
            <v>2.19</v>
          </cell>
          <cell r="DM52" t="str">
            <v>Italy</v>
          </cell>
          <cell r="DN52" t="str">
            <v>Retail</v>
          </cell>
          <cell r="DO52">
            <v>0.48</v>
          </cell>
          <cell r="DP52" t="str">
            <v>Italy</v>
          </cell>
          <cell r="DQ52" t="str">
            <v>Industrial / Logistics</v>
          </cell>
          <cell r="DR52">
            <v>2.69</v>
          </cell>
          <cell r="DS52" t="str">
            <v>Italy</v>
          </cell>
          <cell r="DT52" t="str">
            <v>Hotel</v>
          </cell>
          <cell r="DU52">
            <v>0.28000000000000003</v>
          </cell>
          <cell r="DV52" t="str">
            <v>Luxembourg</v>
          </cell>
          <cell r="DW52" t="str">
            <v>Office</v>
          </cell>
          <cell r="DX52">
            <v>4.08</v>
          </cell>
          <cell r="DY52" t="str">
            <v>Netherlands</v>
          </cell>
          <cell r="DZ52" t="str">
            <v>Retail</v>
          </cell>
          <cell r="EA52">
            <v>0.5</v>
          </cell>
          <cell r="EB52" t="str">
            <v>Netherlands</v>
          </cell>
          <cell r="EC52" t="str">
            <v>Industrial / Logistics</v>
          </cell>
          <cell r="ED52">
            <v>2.33</v>
          </cell>
          <cell r="EE52" t="str">
            <v>Netherlands</v>
          </cell>
          <cell r="EF52" t="str">
            <v>Hotel</v>
          </cell>
          <cell r="EG52">
            <v>0.23</v>
          </cell>
          <cell r="EH52" t="str">
            <v>Poland</v>
          </cell>
          <cell r="EI52" t="str">
            <v>Industrial / Logistics</v>
          </cell>
          <cell r="EJ52">
            <v>0.46</v>
          </cell>
          <cell r="EK52" t="str">
            <v>Portugal</v>
          </cell>
          <cell r="EL52" t="str">
            <v>Retail</v>
          </cell>
          <cell r="EM52">
            <v>2.9</v>
          </cell>
          <cell r="EN52" t="str">
            <v>Portugal</v>
          </cell>
          <cell r="EO52" t="str">
            <v>Residential</v>
          </cell>
          <cell r="EP52">
            <v>1.59</v>
          </cell>
          <cell r="EQ52" t="str">
            <v>Portugal</v>
          </cell>
          <cell r="ER52" t="str">
            <v>Hotel</v>
          </cell>
          <cell r="ES52">
            <v>0.21</v>
          </cell>
          <cell r="ET52" t="str">
            <v>United Kingdom</v>
          </cell>
          <cell r="EU52" t="str">
            <v>Office</v>
          </cell>
        </row>
        <row r="53">
          <cell r="A53">
            <v>508</v>
          </cell>
          <cell r="B53" t="str">
            <v>AXA IMMORESIDENTIAL</v>
          </cell>
          <cell r="C53" t="str">
            <v>AXA INVESTMENT MANAGERS DETSCHLAND GMBH</v>
          </cell>
          <cell r="D53" t="str">
            <v xml:space="preserve">Im MediaPark 8a </v>
          </cell>
          <cell r="E53">
            <v>50670</v>
          </cell>
          <cell r="F53" t="str">
            <v>Köln</v>
          </cell>
          <cell r="G53" t="str">
            <v>Germany</v>
          </cell>
          <cell r="J53" t="str">
            <v>http://www.axa-im.de</v>
          </cell>
          <cell r="K53" t="str">
            <v>Roland Welter</v>
          </cell>
          <cell r="L53" t="str">
            <v>roland.welter@axa-im.com</v>
          </cell>
          <cell r="M53" t="str">
            <v>+49 (0) 221 6505 5373</v>
          </cell>
          <cell r="N53" t="str">
            <v>Jamie-Lee Chambers</v>
          </cell>
          <cell r="O53" t="str">
            <v>jamie-lee.chambers@axa-im.com</v>
          </cell>
          <cell r="Q53" t="str">
            <v>Germany</v>
          </cell>
          <cell r="R53" t="str">
            <v>EUR</v>
          </cell>
          <cell r="S53" t="str">
            <v>Local GAAP</v>
          </cell>
          <cell r="T53" t="str">
            <v>Annually</v>
          </cell>
          <cell r="U53" t="str">
            <v>Annually</v>
          </cell>
          <cell r="W53" t="str">
            <v>KAGB/KARBV</v>
          </cell>
          <cell r="X53" t="str">
            <v>PricewaterhouseCoopers</v>
          </cell>
          <cell r="Y53" t="str">
            <v>Spezialfonds</v>
          </cell>
          <cell r="Z53" t="str">
            <v>No</v>
          </cell>
          <cell r="AB53">
            <v>0</v>
          </cell>
          <cell r="AC53" t="str">
            <v>Non-Listed Fund</v>
          </cell>
          <cell r="AD53" t="str">
            <v>Core</v>
          </cell>
          <cell r="AE53" t="str">
            <v>infinite</v>
          </cell>
          <cell r="AF53" t="str">
            <v>Open end</v>
          </cell>
          <cell r="AJ53" t="str">
            <v>either absolute target of  5% total return or BVi benchmark</v>
          </cell>
          <cell r="AK53">
            <v>4</v>
          </cell>
          <cell r="AM53" t="str">
            <v>&gt; 40% - ≤ 60%</v>
          </cell>
          <cell r="AN53" t="str">
            <v>Institutional</v>
          </cell>
          <cell r="AO53" t="str">
            <v>&gt; 2</v>
          </cell>
          <cell r="AP53" t="str">
            <v>≥ 50%</v>
          </cell>
          <cell r="AQ53" t="str">
            <v>Europe</v>
          </cell>
          <cell r="AR53" t="str">
            <v>single country</v>
          </cell>
          <cell r="AT53" t="str">
            <v>Germany</v>
          </cell>
          <cell r="AU53" t="str">
            <v>single sector</v>
          </cell>
          <cell r="AV53" t="str">
            <v>Residential</v>
          </cell>
          <cell r="AY53">
            <v>2009</v>
          </cell>
          <cell r="BA53" t="str">
            <v>No</v>
          </cell>
          <cell r="BB53" t="str">
            <v>No</v>
          </cell>
          <cell r="BH53" t="str">
            <v>2020-12-31</v>
          </cell>
          <cell r="BI53">
            <v>973413329</v>
          </cell>
          <cell r="BJ53">
            <v>973413329</v>
          </cell>
          <cell r="BK53">
            <v>804868329</v>
          </cell>
          <cell r="BL53">
            <v>804868329</v>
          </cell>
          <cell r="BM53">
            <v>17</v>
          </cell>
          <cell r="BN53" t="str">
            <v>No</v>
          </cell>
          <cell r="BO53" t="str">
            <v>External</v>
          </cell>
          <cell r="BP53">
            <v>28</v>
          </cell>
          <cell r="BQ53">
            <v>53</v>
          </cell>
          <cell r="BR53">
            <v>735471672</v>
          </cell>
          <cell r="BS53">
            <v>735471672</v>
          </cell>
          <cell r="BT53">
            <v>735471786</v>
          </cell>
          <cell r="BU53">
            <v>735471786</v>
          </cell>
          <cell r="BV53" t="str">
            <v>Yes</v>
          </cell>
          <cell r="BW53" t="str">
            <v>Sweden</v>
          </cell>
          <cell r="BX53" t="str">
            <v>Residential</v>
          </cell>
          <cell r="BY53">
            <v>8</v>
          </cell>
          <cell r="BZ53" t="str">
            <v>Finland</v>
          </cell>
          <cell r="CA53" t="str">
            <v>Residential</v>
          </cell>
          <cell r="CB53">
            <v>7.5</v>
          </cell>
          <cell r="CC53" t="str">
            <v>Netherlands</v>
          </cell>
          <cell r="CD53" t="str">
            <v>Residential</v>
          </cell>
          <cell r="CE53">
            <v>4.8</v>
          </cell>
          <cell r="CF53" t="str">
            <v>Denmark</v>
          </cell>
          <cell r="CG53" t="str">
            <v>Residential</v>
          </cell>
          <cell r="CH53">
            <v>18</v>
          </cell>
          <cell r="CI53" t="str">
            <v>Germany</v>
          </cell>
          <cell r="CJ53" t="str">
            <v>Residential</v>
          </cell>
          <cell r="CK53">
            <v>57.7</v>
          </cell>
        </row>
        <row r="54">
          <cell r="A54">
            <v>18182</v>
          </cell>
          <cell r="B54" t="str">
            <v>AXA IMMOVATION COMMERCIAL</v>
          </cell>
          <cell r="C54" t="str">
            <v>AXA REIM SWITZERLAND</v>
          </cell>
          <cell r="D54" t="str">
            <v>42 Affolternstrasse</v>
          </cell>
          <cell r="E54">
            <v>8050</v>
          </cell>
          <cell r="F54" t="str">
            <v>Zurich</v>
          </cell>
          <cell r="G54" t="str">
            <v>Switzerland</v>
          </cell>
          <cell r="H54" t="str">
            <v>+41 58 360 79 55</v>
          </cell>
          <cell r="J54" t="str">
            <v>https://realassets.axa-im.com/</v>
          </cell>
          <cell r="K54" t="str">
            <v>Silvan Zehnder</v>
          </cell>
          <cell r="L54" t="str">
            <v>silvan.zehnder@axa-im.com</v>
          </cell>
          <cell r="N54" t="str">
            <v>Jamie-Lee Chambers</v>
          </cell>
          <cell r="O54" t="str">
            <v>jamie-lee.chambers@axa-im.com</v>
          </cell>
          <cell r="Q54" t="str">
            <v>Switzerland</v>
          </cell>
          <cell r="R54" t="str">
            <v>CHF</v>
          </cell>
          <cell r="T54" t="str">
            <v>Twice per year</v>
          </cell>
          <cell r="U54" t="str">
            <v>Quarterly</v>
          </cell>
          <cell r="Y54" t="str">
            <v>Real Estate Collective Investment</v>
          </cell>
          <cell r="AC54" t="str">
            <v>Non-Listed Fund</v>
          </cell>
          <cell r="AD54" t="str">
            <v>Core</v>
          </cell>
          <cell r="AE54" t="str">
            <v>infinite</v>
          </cell>
          <cell r="AF54" t="str">
            <v>Open end</v>
          </cell>
          <cell r="AQ54" t="str">
            <v>Europe</v>
          </cell>
          <cell r="AR54" t="str">
            <v>single country</v>
          </cell>
          <cell r="AT54" t="str">
            <v>Switzerland</v>
          </cell>
          <cell r="AU54" t="str">
            <v>multi sector</v>
          </cell>
          <cell r="AY54">
            <v>2009</v>
          </cell>
          <cell r="BH54" t="str">
            <v>2019-03-31</v>
          </cell>
          <cell r="BI54">
            <v>634904683.13999999</v>
          </cell>
          <cell r="BJ54">
            <v>568900811.05384493</v>
          </cell>
          <cell r="BK54">
            <v>506577171.75999999</v>
          </cell>
          <cell r="BL54">
            <v>453914062.26575112</v>
          </cell>
          <cell r="BM54">
            <v>18.600000000000001</v>
          </cell>
          <cell r="BN54" t="str">
            <v>No</v>
          </cell>
          <cell r="BO54" t="str">
            <v>External</v>
          </cell>
          <cell r="BQ54">
            <v>29</v>
          </cell>
          <cell r="BS54">
            <v>0</v>
          </cell>
        </row>
        <row r="55">
          <cell r="A55">
            <v>18183</v>
          </cell>
          <cell r="B55" t="str">
            <v>AXA IMMOVATION RESIDENTIAL</v>
          </cell>
          <cell r="C55" t="str">
            <v>AXA REIM SWITZERLAND</v>
          </cell>
          <cell r="D55" t="str">
            <v>42 Affolternstrasse</v>
          </cell>
          <cell r="E55">
            <v>8050</v>
          </cell>
          <cell r="F55" t="str">
            <v>Zurich</v>
          </cell>
          <cell r="G55" t="str">
            <v>Switzerland</v>
          </cell>
          <cell r="H55" t="str">
            <v>+41 58 360 79 55</v>
          </cell>
          <cell r="J55" t="str">
            <v>https://realassets.axa-im.com</v>
          </cell>
          <cell r="K55" t="str">
            <v>Silvan Zehnder</v>
          </cell>
          <cell r="L55" t="str">
            <v>silvan.zehnder@axa-im.com</v>
          </cell>
          <cell r="M55" t="str">
            <v>+41 58 360 79 61</v>
          </cell>
          <cell r="N55" t="str">
            <v>Jamie-Lee Chambers</v>
          </cell>
          <cell r="O55" t="str">
            <v>jamie-lee.chambers@axa-im.com</v>
          </cell>
          <cell r="Q55" t="str">
            <v>Switzerland</v>
          </cell>
          <cell r="R55" t="str">
            <v>CHF</v>
          </cell>
          <cell r="T55" t="str">
            <v>Twice per year</v>
          </cell>
          <cell r="U55" t="str">
            <v>Quarterly</v>
          </cell>
          <cell r="Y55" t="str">
            <v>Real Estate Collective Investment</v>
          </cell>
          <cell r="AC55" t="str">
            <v>Non-Listed Fund</v>
          </cell>
          <cell r="AD55" t="str">
            <v>Core</v>
          </cell>
          <cell r="AE55" t="str">
            <v>infinite</v>
          </cell>
          <cell r="AF55" t="str">
            <v>Open end</v>
          </cell>
          <cell r="AQ55" t="str">
            <v>Europe</v>
          </cell>
          <cell r="AR55" t="str">
            <v>single country</v>
          </cell>
          <cell r="AT55" t="str">
            <v>Switzerland</v>
          </cell>
          <cell r="AU55" t="str">
            <v>single sector</v>
          </cell>
          <cell r="AV55" t="str">
            <v>Residential</v>
          </cell>
          <cell r="AY55">
            <v>2009</v>
          </cell>
          <cell r="BH55" t="str">
            <v>2019-03-31</v>
          </cell>
          <cell r="BI55">
            <v>460422033.49000001</v>
          </cell>
          <cell r="BJ55">
            <v>412557152.64863402</v>
          </cell>
          <cell r="BK55">
            <v>384411544.87</v>
          </cell>
          <cell r="BL55">
            <v>344448616.40244311</v>
          </cell>
          <cell r="BM55">
            <v>14.39</v>
          </cell>
          <cell r="BN55" t="str">
            <v>Yes</v>
          </cell>
          <cell r="BO55" t="str">
            <v>External</v>
          </cell>
          <cell r="BQ55">
            <v>28</v>
          </cell>
          <cell r="BS55">
            <v>0</v>
          </cell>
          <cell r="BW55" t="str">
            <v>Switzerland</v>
          </cell>
          <cell r="BX55" t="str">
            <v>Residential</v>
          </cell>
          <cell r="BY55">
            <v>84</v>
          </cell>
          <cell r="BZ55" t="str">
            <v>Switzerland</v>
          </cell>
          <cell r="CA55" t="str">
            <v>Office</v>
          </cell>
          <cell r="CB55">
            <v>3</v>
          </cell>
          <cell r="CC55" t="str">
            <v>Switzerland</v>
          </cell>
          <cell r="CD55" t="str">
            <v>Retail</v>
          </cell>
          <cell r="CE55">
            <v>3</v>
          </cell>
          <cell r="CF55" t="str">
            <v>Switzerland</v>
          </cell>
          <cell r="CG55" t="str">
            <v>Industrial / Logistics</v>
          </cell>
          <cell r="CH55">
            <v>3</v>
          </cell>
          <cell r="CI55" t="str">
            <v>Switzerland</v>
          </cell>
          <cell r="CJ55" t="str">
            <v>Parking</v>
          </cell>
          <cell r="CK55">
            <v>5</v>
          </cell>
          <cell r="CL55" t="str">
            <v>Switzerland</v>
          </cell>
          <cell r="CM55" t="str">
            <v>Other</v>
          </cell>
          <cell r="CN55">
            <v>2</v>
          </cell>
        </row>
        <row r="56">
          <cell r="A56">
            <v>18185</v>
          </cell>
          <cell r="B56" t="str">
            <v>AXA REAL INVEST EUROPA I</v>
          </cell>
          <cell r="C56" t="str">
            <v>AXA IM RE GERMANY</v>
          </cell>
          <cell r="D56" t="str">
            <v>Thurn-und-Taxis-Platz 6</v>
          </cell>
          <cell r="E56">
            <v>60313</v>
          </cell>
          <cell r="F56" t="str">
            <v>Frankfurt am Main</v>
          </cell>
          <cell r="G56" t="str">
            <v>Germany</v>
          </cell>
          <cell r="J56" t="str">
            <v>https://real.assets.axa-im.com</v>
          </cell>
          <cell r="K56" t="str">
            <v>Kerstin Bernauer</v>
          </cell>
          <cell r="L56" t="str">
            <v>Kerstin.Bernauer@axa-im.com</v>
          </cell>
          <cell r="N56" t="str">
            <v>Jamie-Lee Chambers</v>
          </cell>
          <cell r="O56" t="str">
            <v>jamie-lee.chambers@axa-im.com</v>
          </cell>
          <cell r="Q56" t="str">
            <v>Germany</v>
          </cell>
          <cell r="R56" t="str">
            <v>EUR</v>
          </cell>
          <cell r="T56" t="str">
            <v>Quarterly</v>
          </cell>
          <cell r="U56" t="str">
            <v>Quarterly</v>
          </cell>
          <cell r="V56" t="str">
            <v>Ertragswertverfahren</v>
          </cell>
          <cell r="Y56" t="str">
            <v>Real Estate Fund</v>
          </cell>
          <cell r="AC56" t="str">
            <v>Non-Listed Fund</v>
          </cell>
          <cell r="AD56" t="str">
            <v>Core</v>
          </cell>
          <cell r="AE56" t="str">
            <v>infinite</v>
          </cell>
          <cell r="AF56" t="str">
            <v>Open end</v>
          </cell>
          <cell r="AN56" t="str">
            <v>Institutional</v>
          </cell>
          <cell r="AO56" t="str">
            <v>&gt; 2</v>
          </cell>
          <cell r="AP56" t="str">
            <v>≥ 50%</v>
          </cell>
          <cell r="AQ56" t="str">
            <v>Europe</v>
          </cell>
          <cell r="AR56" t="str">
            <v>multi country</v>
          </cell>
          <cell r="AS56" t="str">
            <v>Western Europe</v>
          </cell>
          <cell r="AU56" t="str">
            <v>multi sector</v>
          </cell>
          <cell r="AY56">
            <v>2004</v>
          </cell>
          <cell r="BH56" t="str">
            <v>2018-12-31</v>
          </cell>
          <cell r="BI56">
            <v>34124471.299999997</v>
          </cell>
          <cell r="BJ56">
            <v>34124471.299999997</v>
          </cell>
          <cell r="BK56">
            <v>23474755.16</v>
          </cell>
          <cell r="BL56">
            <v>23474755.16</v>
          </cell>
          <cell r="BM56">
            <v>31.21</v>
          </cell>
          <cell r="BQ56">
            <v>5</v>
          </cell>
          <cell r="BS56">
            <v>0</v>
          </cell>
        </row>
        <row r="57">
          <cell r="A57">
            <v>53</v>
          </cell>
          <cell r="B57" t="str">
            <v>BAINBRIDGE RETAIL PROPERTIES</v>
          </cell>
          <cell r="C57" t="str">
            <v>AERIUM</v>
          </cell>
          <cell r="D57" t="str">
            <v>49 Grosvenor Street</v>
          </cell>
          <cell r="E57" t="str">
            <v>W1K 3HP</v>
          </cell>
          <cell r="F57" t="str">
            <v>London</v>
          </cell>
          <cell r="G57" t="str">
            <v>United Kingdom</v>
          </cell>
          <cell r="H57" t="str">
            <v>+44 (0) 20 7838 7900</v>
          </cell>
          <cell r="I57" t="str">
            <v>+44 (0) 20 7838 7858</v>
          </cell>
          <cell r="J57" t="str">
            <v>http://www.aerium.com</v>
          </cell>
          <cell r="K57" t="str">
            <v>Antoine Lam Chok</v>
          </cell>
          <cell r="L57" t="str">
            <v>alamchok@aerium.com</v>
          </cell>
          <cell r="M57" t="str">
            <v>+44 (0) 20 7838 7900</v>
          </cell>
          <cell r="N57" t="str">
            <v>Franck Ruimy</v>
          </cell>
          <cell r="O57" t="str">
            <v>fruimy@aerium.com</v>
          </cell>
          <cell r="P57" t="str">
            <v>+44 (0) 20 7838 7900</v>
          </cell>
          <cell r="Q57" t="str">
            <v>Luxembourg</v>
          </cell>
          <cell r="R57" t="str">
            <v>EUR</v>
          </cell>
          <cell r="S57" t="str">
            <v>IFRS</v>
          </cell>
          <cell r="T57" t="str">
            <v>Twice per year</v>
          </cell>
          <cell r="U57" t="str">
            <v>Annually</v>
          </cell>
          <cell r="X57" t="str">
            <v>Mazars</v>
          </cell>
          <cell r="Y57" t="str">
            <v>SCA</v>
          </cell>
          <cell r="AB57">
            <v>0</v>
          </cell>
          <cell r="AC57" t="str">
            <v>Non-Listed Fund</v>
          </cell>
          <cell r="AD57" t="str">
            <v>Core</v>
          </cell>
          <cell r="AE57" t="str">
            <v>finite</v>
          </cell>
          <cell r="AF57" t="str">
            <v>Closed end</v>
          </cell>
          <cell r="AG57">
            <v>12</v>
          </cell>
          <cell r="AH57">
            <v>18</v>
          </cell>
          <cell r="AK57">
            <v>7</v>
          </cell>
          <cell r="AL57">
            <v>80</v>
          </cell>
          <cell r="AM57" t="str">
            <v>&gt; 60%</v>
          </cell>
          <cell r="AN57" t="str">
            <v>Institutional and Retail</v>
          </cell>
          <cell r="AQ57" t="str">
            <v>Europe</v>
          </cell>
          <cell r="AR57" t="str">
            <v>multi country</v>
          </cell>
          <cell r="AS57" t="str">
            <v>Europe</v>
          </cell>
          <cell r="AU57" t="str">
            <v>single sector</v>
          </cell>
          <cell r="AV57" t="str">
            <v>Retail</v>
          </cell>
          <cell r="AW57">
            <v>200000000</v>
          </cell>
          <cell r="AX57">
            <v>1000000000</v>
          </cell>
          <cell r="BA57" t="str">
            <v>Yes</v>
          </cell>
          <cell r="BB57" t="str">
            <v>Yes</v>
          </cell>
          <cell r="BC57" t="str">
            <v>15 years</v>
          </cell>
          <cell r="BH57" t="str">
            <v>2009-06-30</v>
          </cell>
          <cell r="BJ57">
            <v>0</v>
          </cell>
          <cell r="BL57">
            <v>0</v>
          </cell>
          <cell r="BM57">
            <v>68</v>
          </cell>
          <cell r="BP57">
            <v>6</v>
          </cell>
          <cell r="BQ57">
            <v>37</v>
          </cell>
          <cell r="BS57">
            <v>0</v>
          </cell>
          <cell r="BV57" t="str">
            <v>No</v>
          </cell>
        </row>
        <row r="58">
          <cell r="A58">
            <v>18146</v>
          </cell>
          <cell r="B58" t="str">
            <v>BARINGS EUROPEAN CORE PROPERTY FUND</v>
          </cell>
          <cell r="C58" t="str">
            <v>BARINGS REAL ESTATE ADVISERS</v>
          </cell>
          <cell r="D58" t="str">
            <v>20 Old Bailey</v>
          </cell>
          <cell r="E58" t="str">
            <v>EC4M 7BF</v>
          </cell>
          <cell r="F58" t="str">
            <v>London</v>
          </cell>
          <cell r="G58" t="str">
            <v>United Kingdom</v>
          </cell>
          <cell r="H58" t="str">
            <v>+442076286000</v>
          </cell>
          <cell r="J58" t="str">
            <v>http://www.barings.com/</v>
          </cell>
          <cell r="K58" t="str">
            <v>Jorge Duarte</v>
          </cell>
          <cell r="L58" t="str">
            <v>jorge.duarte@barings.com</v>
          </cell>
          <cell r="M58" t="str">
            <v>+442072970913</v>
          </cell>
          <cell r="N58" t="str">
            <v>Cathy Francica</v>
          </cell>
          <cell r="O58" t="str">
            <v>cathy.francica@barings.com</v>
          </cell>
          <cell r="P58" t="str">
            <v>+442077628814</v>
          </cell>
          <cell r="Q58" t="str">
            <v>Luxembourg</v>
          </cell>
          <cell r="R58" t="str">
            <v>EUR</v>
          </cell>
          <cell r="S58" t="str">
            <v>IFRS</v>
          </cell>
          <cell r="T58" t="str">
            <v>Quarterly</v>
          </cell>
          <cell r="U58" t="str">
            <v>Quarterly</v>
          </cell>
          <cell r="V58" t="str">
            <v>RICS</v>
          </cell>
          <cell r="W58" t="str">
            <v>Adjusted INREV NAV</v>
          </cell>
          <cell r="X58" t="str">
            <v>KPMG Luxembourg</v>
          </cell>
          <cell r="Y58" t="str">
            <v>Real Estate Fund</v>
          </cell>
          <cell r="Z58" t="str">
            <v>No</v>
          </cell>
          <cell r="AA58" t="str">
            <v>Yes</v>
          </cell>
          <cell r="AB58">
            <v>3</v>
          </cell>
          <cell r="AC58" t="str">
            <v>Non-Listed Fund</v>
          </cell>
          <cell r="AD58" t="str">
            <v>Core</v>
          </cell>
          <cell r="AE58" t="str">
            <v>infinite</v>
          </cell>
          <cell r="AF58" t="str">
            <v>Open end</v>
          </cell>
          <cell r="AG58">
            <v>7</v>
          </cell>
          <cell r="AH58">
            <v>9</v>
          </cell>
          <cell r="AI58" t="str">
            <v>Net</v>
          </cell>
          <cell r="AJ58" t="str">
            <v>PEPFI</v>
          </cell>
          <cell r="AK58">
            <v>4</v>
          </cell>
          <cell r="AL58">
            <v>30</v>
          </cell>
          <cell r="AM58" t="str">
            <v>≤ 40%</v>
          </cell>
          <cell r="AN58" t="str">
            <v>Institutional</v>
          </cell>
          <cell r="AO58" t="str">
            <v>&gt; 2</v>
          </cell>
          <cell r="AP58" t="str">
            <v>≥ 50%</v>
          </cell>
          <cell r="AQ58" t="str">
            <v>Europe</v>
          </cell>
          <cell r="AR58" t="str">
            <v>multi country</v>
          </cell>
          <cell r="AS58" t="str">
            <v>Europe</v>
          </cell>
          <cell r="AU58" t="str">
            <v>multi sector</v>
          </cell>
          <cell r="AW58">
            <v>2000000000</v>
          </cell>
          <cell r="AX58">
            <v>2000000000</v>
          </cell>
          <cell r="AY58">
            <v>2015</v>
          </cell>
          <cell r="BB58" t="str">
            <v>No</v>
          </cell>
          <cell r="BD58" t="str">
            <v>No</v>
          </cell>
          <cell r="BE58" t="str">
            <v>≥ 60%</v>
          </cell>
          <cell r="BF58" t="str">
            <v>≤ 15%</v>
          </cell>
          <cell r="BG58" t="str">
            <v>≤ 5%</v>
          </cell>
          <cell r="BH58" t="str">
            <v>2020-09-30</v>
          </cell>
          <cell r="BI58">
            <v>1953985915</v>
          </cell>
          <cell r="BJ58">
            <v>1953985915</v>
          </cell>
          <cell r="BK58">
            <v>1527425215</v>
          </cell>
          <cell r="BL58">
            <v>1527425215</v>
          </cell>
          <cell r="BM58">
            <v>18.100000000000001</v>
          </cell>
          <cell r="BN58" t="str">
            <v>No</v>
          </cell>
          <cell r="BO58" t="str">
            <v>External</v>
          </cell>
          <cell r="BP58">
            <v>37</v>
          </cell>
          <cell r="BQ58">
            <v>48</v>
          </cell>
          <cell r="BR58">
            <v>1912868382</v>
          </cell>
          <cell r="BS58">
            <v>1912868382</v>
          </cell>
          <cell r="BT58">
            <v>1385991622.72</v>
          </cell>
          <cell r="BU58">
            <v>1385991622.72</v>
          </cell>
          <cell r="BV58" t="str">
            <v>Yes</v>
          </cell>
          <cell r="BW58" t="str">
            <v>Netherlands</v>
          </cell>
          <cell r="BX58" t="str">
            <v>Industrial / Logistics</v>
          </cell>
          <cell r="BY58">
            <v>3.82</v>
          </cell>
          <cell r="BZ58" t="str">
            <v>Netherlands</v>
          </cell>
          <cell r="CA58" t="str">
            <v>Office</v>
          </cell>
          <cell r="CB58">
            <v>6.37</v>
          </cell>
          <cell r="CC58" t="str">
            <v>France</v>
          </cell>
          <cell r="CD58" t="str">
            <v>Industrial / Logistics</v>
          </cell>
          <cell r="CE58">
            <v>10.51</v>
          </cell>
          <cell r="CF58" t="str">
            <v>Italy</v>
          </cell>
          <cell r="CG58" t="str">
            <v>Industrial / Logistics</v>
          </cell>
          <cell r="CH58">
            <v>0.7</v>
          </cell>
          <cell r="CI58" t="str">
            <v>Italy</v>
          </cell>
          <cell r="CJ58" t="str">
            <v>Retail</v>
          </cell>
          <cell r="CK58">
            <v>4.17</v>
          </cell>
          <cell r="CL58" t="str">
            <v>Spain</v>
          </cell>
          <cell r="CM58" t="str">
            <v>Industrial / Logistics</v>
          </cell>
          <cell r="CN58">
            <v>5.43</v>
          </cell>
          <cell r="CO58" t="str">
            <v>Spain</v>
          </cell>
          <cell r="CP58" t="str">
            <v>Retail</v>
          </cell>
          <cell r="CQ58">
            <v>11</v>
          </cell>
          <cell r="CR58" t="str">
            <v>Germany</v>
          </cell>
          <cell r="CS58" t="str">
            <v>Industrial / Logistics</v>
          </cell>
          <cell r="CT58">
            <v>7.63</v>
          </cell>
          <cell r="CU58" t="str">
            <v>Germany</v>
          </cell>
          <cell r="CV58" t="str">
            <v>Retail</v>
          </cell>
          <cell r="CW58">
            <v>2.71</v>
          </cell>
          <cell r="CX58" t="str">
            <v>Germany</v>
          </cell>
          <cell r="CY58" t="str">
            <v>Office</v>
          </cell>
          <cell r="CZ58">
            <v>9.84</v>
          </cell>
          <cell r="DA58" t="str">
            <v>Finland</v>
          </cell>
          <cell r="DB58" t="str">
            <v>Hotel</v>
          </cell>
          <cell r="DC58">
            <v>2</v>
          </cell>
          <cell r="DD58" t="str">
            <v>Sweden</v>
          </cell>
          <cell r="DE58" t="str">
            <v>Industrial / Logistics</v>
          </cell>
          <cell r="DF58">
            <v>4.8600000000000003</v>
          </cell>
          <cell r="DG58" t="str">
            <v>Sweden</v>
          </cell>
          <cell r="DH58" t="str">
            <v>Development Residential</v>
          </cell>
          <cell r="DI58">
            <v>1.72</v>
          </cell>
          <cell r="DJ58" t="str">
            <v>Sweden</v>
          </cell>
          <cell r="DK58" t="str">
            <v>Office</v>
          </cell>
          <cell r="DL58">
            <v>6.26</v>
          </cell>
          <cell r="DM58" t="str">
            <v>Sweden</v>
          </cell>
          <cell r="DN58" t="str">
            <v>Retail</v>
          </cell>
          <cell r="DO58">
            <v>1.72</v>
          </cell>
          <cell r="DP58" t="str">
            <v>United Kingdom</v>
          </cell>
          <cell r="DQ58" t="str">
            <v>Residential</v>
          </cell>
          <cell r="DR58">
            <v>2.74</v>
          </cell>
          <cell r="DS58" t="str">
            <v>United Kingdom</v>
          </cell>
          <cell r="DT58" t="str">
            <v>Office</v>
          </cell>
          <cell r="DU58">
            <v>3.59</v>
          </cell>
        </row>
        <row r="59">
          <cell r="A59">
            <v>19620</v>
          </cell>
          <cell r="B59" t="str">
            <v>BC PARTNERS EUROPEAN REAL ESTATE I</v>
          </cell>
          <cell r="C59" t="str">
            <v>BC PARTNERS MANAGEMENT LUX S.A R.L</v>
          </cell>
          <cell r="D59" t="str">
            <v xml:space="preserve">18, Rue Erasme </v>
          </cell>
          <cell r="E59" t="str">
            <v>L-1468</v>
          </cell>
          <cell r="F59" t="str">
            <v>Luxembourg</v>
          </cell>
          <cell r="G59" t="str">
            <v>Luxembourg</v>
          </cell>
          <cell r="J59" t="str">
            <v>www.bcpartners.com</v>
          </cell>
          <cell r="K59" t="str">
            <v>Steven Tsang</v>
          </cell>
          <cell r="L59" t="str">
            <v>steven.tsang@bcpartners.com</v>
          </cell>
          <cell r="M59" t="str">
            <v>+442070094810</v>
          </cell>
          <cell r="Q59" t="str">
            <v>Luxembourg</v>
          </cell>
          <cell r="R59" t="str">
            <v>EUR</v>
          </cell>
          <cell r="S59" t="str">
            <v>IFRS</v>
          </cell>
          <cell r="T59" t="str">
            <v>Quarterly</v>
          </cell>
          <cell r="U59" t="str">
            <v>Twice per year</v>
          </cell>
          <cell r="V59" t="str">
            <v>RICS</v>
          </cell>
          <cell r="W59" t="str">
            <v>INREV NAV</v>
          </cell>
          <cell r="X59" t="str">
            <v>KPMG</v>
          </cell>
          <cell r="Y59" t="str">
            <v>Limited Partnership</v>
          </cell>
          <cell r="Z59" t="str">
            <v>Yes</v>
          </cell>
          <cell r="AA59" t="str">
            <v>Yes</v>
          </cell>
          <cell r="AB59">
            <v>2</v>
          </cell>
          <cell r="AC59" t="str">
            <v>Non-Listed Fund</v>
          </cell>
          <cell r="AD59" t="str">
            <v>Value-added</v>
          </cell>
          <cell r="AE59" t="str">
            <v>finite</v>
          </cell>
          <cell r="AF59" t="str">
            <v>Closed end</v>
          </cell>
          <cell r="AG59">
            <v>18</v>
          </cell>
          <cell r="AH59">
            <v>18</v>
          </cell>
          <cell r="AI59" t="str">
            <v>Gross</v>
          </cell>
          <cell r="AM59" t="str">
            <v>&gt; 60%</v>
          </cell>
          <cell r="AN59" t="str">
            <v>Institutional and Retail</v>
          </cell>
          <cell r="AO59" t="str">
            <v>&gt; 2</v>
          </cell>
          <cell r="AP59" t="str">
            <v>≥ 50%</v>
          </cell>
          <cell r="AQ59" t="str">
            <v>Europe</v>
          </cell>
          <cell r="AR59" t="str">
            <v>multi country</v>
          </cell>
          <cell r="AS59" t="str">
            <v>Europe</v>
          </cell>
          <cell r="AU59" t="str">
            <v>multi sector</v>
          </cell>
          <cell r="AW59">
            <v>750000000</v>
          </cell>
          <cell r="AX59">
            <v>1875000000</v>
          </cell>
          <cell r="AY59">
            <v>2019</v>
          </cell>
          <cell r="AZ59">
            <v>2029</v>
          </cell>
          <cell r="BA59" t="str">
            <v>Yes</v>
          </cell>
          <cell r="BB59" t="str">
            <v>Yes</v>
          </cell>
          <cell r="BC59" t="str">
            <v>2 years fixed</v>
          </cell>
          <cell r="BD59" t="str">
            <v>Yes</v>
          </cell>
          <cell r="BE59" t="str">
            <v>&lt; 60%</v>
          </cell>
          <cell r="BF59" t="str">
            <v>&gt; 40%</v>
          </cell>
          <cell r="BG59" t="str">
            <v>&gt; 25%</v>
          </cell>
          <cell r="BH59" t="str">
            <v>2020-12-31</v>
          </cell>
          <cell r="BI59">
            <v>90186409</v>
          </cell>
          <cell r="BJ59">
            <v>90186409</v>
          </cell>
          <cell r="BK59">
            <v>31216544</v>
          </cell>
          <cell r="BL59">
            <v>31216544</v>
          </cell>
          <cell r="BM59">
            <v>65</v>
          </cell>
          <cell r="BN59" t="str">
            <v>No</v>
          </cell>
          <cell r="BO59" t="str">
            <v>External</v>
          </cell>
          <cell r="BP59">
            <v>8</v>
          </cell>
          <cell r="BQ59">
            <v>1</v>
          </cell>
          <cell r="BR59">
            <v>679855000</v>
          </cell>
          <cell r="BS59">
            <v>679855000</v>
          </cell>
          <cell r="BT59">
            <v>32912412</v>
          </cell>
          <cell r="BU59">
            <v>32912412</v>
          </cell>
          <cell r="BV59" t="str">
            <v>Yes</v>
          </cell>
          <cell r="BW59" t="str">
            <v>United Kingdom</v>
          </cell>
          <cell r="BX59" t="str">
            <v>Mixed</v>
          </cell>
          <cell r="BY59">
            <v>99</v>
          </cell>
        </row>
        <row r="60">
          <cell r="A60">
            <v>18104</v>
          </cell>
          <cell r="B60" t="str">
            <v>BEOS CORPORATE REAL ESTATE FUND GERMANY I</v>
          </cell>
          <cell r="C60" t="str">
            <v>BEOS AG</v>
          </cell>
          <cell r="D60" t="str">
            <v>Kurfuerstendamm 188</v>
          </cell>
          <cell r="E60">
            <v>10707</v>
          </cell>
          <cell r="F60" t="str">
            <v>Berlin</v>
          </cell>
          <cell r="G60" t="str">
            <v>Germany</v>
          </cell>
          <cell r="H60" t="str">
            <v>+49302800990</v>
          </cell>
          <cell r="I60" t="str">
            <v>+493028009966</v>
          </cell>
          <cell r="J60" t="str">
            <v>http://www.beos.net</v>
          </cell>
          <cell r="K60" t="str">
            <v>Steffen Uttich</v>
          </cell>
          <cell r="L60" t="str">
            <v>steffen.uttich@beos.net</v>
          </cell>
          <cell r="M60" t="str">
            <v>+493028009918</v>
          </cell>
          <cell r="N60" t="str">
            <v>Steffen Uttich</v>
          </cell>
          <cell r="O60" t="str">
            <v>steffen.uttich@beos.net</v>
          </cell>
          <cell r="P60" t="str">
            <v>+493028009918</v>
          </cell>
          <cell r="Q60" t="str">
            <v>Germany</v>
          </cell>
          <cell r="R60" t="str">
            <v>EUR</v>
          </cell>
          <cell r="S60" t="str">
            <v>KAGB</v>
          </cell>
          <cell r="T60" t="str">
            <v>Annually</v>
          </cell>
          <cell r="U60" t="str">
            <v>Annually</v>
          </cell>
          <cell r="V60" t="str">
            <v>ImmoWertV</v>
          </cell>
          <cell r="W60" t="str">
            <v>KAGB</v>
          </cell>
          <cell r="X60" t="str">
            <v>KPMG</v>
          </cell>
          <cell r="Y60" t="str">
            <v>Spezialfonds</v>
          </cell>
          <cell r="Z60" t="str">
            <v>No</v>
          </cell>
          <cell r="AA60" t="str">
            <v>Yes</v>
          </cell>
          <cell r="AB60">
            <v>0</v>
          </cell>
          <cell r="AC60" t="str">
            <v>Non-Listed Fund</v>
          </cell>
          <cell r="AD60" t="str">
            <v>Core</v>
          </cell>
          <cell r="AE60" t="str">
            <v>infinite</v>
          </cell>
          <cell r="AF60" t="str">
            <v>Open end</v>
          </cell>
          <cell r="AG60">
            <v>10</v>
          </cell>
          <cell r="AH60">
            <v>10</v>
          </cell>
          <cell r="AI60" t="str">
            <v>Net</v>
          </cell>
          <cell r="AJ60" t="str">
            <v>SFIX Germany</v>
          </cell>
          <cell r="AK60">
            <v>7</v>
          </cell>
          <cell r="AL60">
            <v>42.5</v>
          </cell>
          <cell r="AM60" t="str">
            <v>&gt; 40% - ≤ 60%</v>
          </cell>
          <cell r="AN60" t="str">
            <v>Institutional</v>
          </cell>
          <cell r="AO60" t="str">
            <v>&gt; 2</v>
          </cell>
          <cell r="AP60" t="str">
            <v>≥ 50%</v>
          </cell>
          <cell r="AQ60" t="str">
            <v>Europe</v>
          </cell>
          <cell r="AR60" t="str">
            <v>single country</v>
          </cell>
          <cell r="AT60" t="str">
            <v>Germany</v>
          </cell>
          <cell r="AU60" t="str">
            <v>multi sector</v>
          </cell>
          <cell r="AW60">
            <v>255000000</v>
          </cell>
          <cell r="AX60">
            <v>440000000</v>
          </cell>
          <cell r="AY60">
            <v>2010</v>
          </cell>
          <cell r="BD60" t="str">
            <v>No</v>
          </cell>
          <cell r="BE60" t="str">
            <v>≥ 60%</v>
          </cell>
          <cell r="BF60" t="str">
            <v>≤ 15%</v>
          </cell>
          <cell r="BG60" t="str">
            <v>≤ 5%</v>
          </cell>
          <cell r="BH60" t="str">
            <v>2020-12-31</v>
          </cell>
          <cell r="BI60">
            <v>612478912</v>
          </cell>
          <cell r="BJ60">
            <v>612478912</v>
          </cell>
          <cell r="BK60">
            <v>349942297</v>
          </cell>
          <cell r="BL60">
            <v>349942297</v>
          </cell>
          <cell r="BM60">
            <v>42.39</v>
          </cell>
          <cell r="BN60" t="str">
            <v>No</v>
          </cell>
          <cell r="BO60" t="str">
            <v>External</v>
          </cell>
          <cell r="BP60">
            <v>30</v>
          </cell>
          <cell r="BQ60">
            <v>20</v>
          </cell>
          <cell r="BR60">
            <v>255009686</v>
          </cell>
          <cell r="BS60">
            <v>255009686</v>
          </cell>
          <cell r="BT60">
            <v>255009309</v>
          </cell>
          <cell r="BU60">
            <v>255009309</v>
          </cell>
          <cell r="BV60" t="str">
            <v>No</v>
          </cell>
          <cell r="BW60" t="str">
            <v>Germany</v>
          </cell>
          <cell r="BX60" t="str">
            <v>Mixed</v>
          </cell>
          <cell r="BY60">
            <v>95.3</v>
          </cell>
        </row>
        <row r="61">
          <cell r="A61">
            <v>16084</v>
          </cell>
          <cell r="B61" t="str">
            <v>BEOS CORPORATE REAL ESTATE FUND GERMANY II</v>
          </cell>
          <cell r="C61" t="str">
            <v>BEOS AG</v>
          </cell>
          <cell r="D61" t="str">
            <v>Kurfuerstendamm 188</v>
          </cell>
          <cell r="E61">
            <v>10707</v>
          </cell>
          <cell r="F61" t="str">
            <v>Berlin</v>
          </cell>
          <cell r="G61" t="str">
            <v>Germany</v>
          </cell>
          <cell r="H61" t="str">
            <v>+49302800990</v>
          </cell>
          <cell r="I61" t="str">
            <v>+493028009966</v>
          </cell>
          <cell r="J61" t="str">
            <v>http://www.beos.net</v>
          </cell>
          <cell r="K61" t="str">
            <v>Steffen Uttich</v>
          </cell>
          <cell r="L61" t="str">
            <v>steffen.uttich@beos.net</v>
          </cell>
          <cell r="M61" t="str">
            <v>+493028009918</v>
          </cell>
          <cell r="N61" t="str">
            <v>Steffen Uttich</v>
          </cell>
          <cell r="O61" t="str">
            <v>steffen.uttich@beos.net</v>
          </cell>
          <cell r="P61" t="str">
            <v>+493028009918</v>
          </cell>
          <cell r="Q61" t="str">
            <v>Germany</v>
          </cell>
          <cell r="R61" t="str">
            <v>EUR</v>
          </cell>
          <cell r="S61" t="str">
            <v>KAGB</v>
          </cell>
          <cell r="T61" t="str">
            <v>Annually</v>
          </cell>
          <cell r="U61" t="str">
            <v>Annually</v>
          </cell>
          <cell r="V61" t="str">
            <v>Wertermittlungsverordnung (WertV)</v>
          </cell>
          <cell r="W61" t="str">
            <v>KAGB</v>
          </cell>
          <cell r="X61" t="str">
            <v>KPMG</v>
          </cell>
          <cell r="Y61" t="str">
            <v>Spezialfonds</v>
          </cell>
          <cell r="Z61" t="str">
            <v>No</v>
          </cell>
          <cell r="AA61" t="str">
            <v>Yes</v>
          </cell>
          <cell r="AB61">
            <v>0</v>
          </cell>
          <cell r="AC61" t="str">
            <v>Non-Listed Fund</v>
          </cell>
          <cell r="AD61" t="str">
            <v>Core</v>
          </cell>
          <cell r="AE61" t="str">
            <v>infinite</v>
          </cell>
          <cell r="AF61" t="str">
            <v>Open end</v>
          </cell>
          <cell r="AG61">
            <v>9</v>
          </cell>
          <cell r="AH61">
            <v>9</v>
          </cell>
          <cell r="AI61" t="str">
            <v>Net</v>
          </cell>
          <cell r="AJ61" t="str">
            <v>SFIX Germany</v>
          </cell>
          <cell r="AK61">
            <v>6.75</v>
          </cell>
          <cell r="AL61">
            <v>42.5</v>
          </cell>
          <cell r="AM61" t="str">
            <v>&gt; 40% - ≤ 60%</v>
          </cell>
          <cell r="AN61" t="str">
            <v>Institutional</v>
          </cell>
          <cell r="AO61" t="str">
            <v>&gt; 2</v>
          </cell>
          <cell r="AP61" t="str">
            <v>≥ 50%</v>
          </cell>
          <cell r="AQ61" t="str">
            <v>Europe</v>
          </cell>
          <cell r="AR61" t="str">
            <v>single country</v>
          </cell>
          <cell r="AT61" t="str">
            <v>Germany</v>
          </cell>
          <cell r="AU61" t="str">
            <v>multi sector</v>
          </cell>
          <cell r="AW61">
            <v>364000000</v>
          </cell>
          <cell r="AX61">
            <v>630000000</v>
          </cell>
          <cell r="AY61">
            <v>2012</v>
          </cell>
          <cell r="BD61" t="str">
            <v>No</v>
          </cell>
          <cell r="BE61" t="str">
            <v>≥ 60%</v>
          </cell>
          <cell r="BF61" t="str">
            <v>≤ 15%</v>
          </cell>
          <cell r="BG61" t="str">
            <v>≤ 5%</v>
          </cell>
          <cell r="BH61" t="str">
            <v>2020-12-31</v>
          </cell>
          <cell r="BI61">
            <v>804318582</v>
          </cell>
          <cell r="BJ61">
            <v>804318582</v>
          </cell>
          <cell r="BK61">
            <v>526149113</v>
          </cell>
          <cell r="BL61">
            <v>526149113</v>
          </cell>
          <cell r="BM61">
            <v>35.03</v>
          </cell>
          <cell r="BN61" t="str">
            <v>No</v>
          </cell>
          <cell r="BO61" t="str">
            <v>External</v>
          </cell>
          <cell r="BP61">
            <v>27</v>
          </cell>
          <cell r="BQ61">
            <v>19</v>
          </cell>
          <cell r="BR61">
            <v>392390000</v>
          </cell>
          <cell r="BS61">
            <v>392390000</v>
          </cell>
          <cell r="BT61">
            <v>386560191</v>
          </cell>
          <cell r="BU61">
            <v>386560191</v>
          </cell>
          <cell r="BV61" t="str">
            <v>No</v>
          </cell>
          <cell r="BW61" t="str">
            <v>Germany</v>
          </cell>
          <cell r="BX61" t="str">
            <v>Mixed</v>
          </cell>
          <cell r="BY61">
            <v>89.49</v>
          </cell>
        </row>
        <row r="62">
          <cell r="A62">
            <v>18105</v>
          </cell>
          <cell r="B62" t="str">
            <v>BEOS CORPORATE REAL ESTATE FUND GERMANY III</v>
          </cell>
          <cell r="C62" t="str">
            <v>BEOS AG</v>
          </cell>
          <cell r="D62" t="str">
            <v>Kurfuerstendamm 188</v>
          </cell>
          <cell r="E62">
            <v>10707</v>
          </cell>
          <cell r="F62" t="str">
            <v>Berlin</v>
          </cell>
          <cell r="G62" t="str">
            <v>Germany</v>
          </cell>
          <cell r="H62" t="str">
            <v>+49302800990</v>
          </cell>
          <cell r="I62" t="str">
            <v>+493028009966</v>
          </cell>
          <cell r="J62" t="str">
            <v>http://www.beos.net</v>
          </cell>
          <cell r="K62" t="str">
            <v>Steffen Uttich</v>
          </cell>
          <cell r="L62" t="str">
            <v>steffen.uttich@beos.net</v>
          </cell>
          <cell r="M62" t="str">
            <v>+493028009918</v>
          </cell>
          <cell r="N62" t="str">
            <v>Steffen Uttich</v>
          </cell>
          <cell r="O62" t="str">
            <v>steffen.uttich@beos.net</v>
          </cell>
          <cell r="P62" t="str">
            <v>+493028009918</v>
          </cell>
          <cell r="Q62" t="str">
            <v>Germany</v>
          </cell>
          <cell r="R62" t="str">
            <v>EUR</v>
          </cell>
          <cell r="S62" t="str">
            <v>KAGB</v>
          </cell>
          <cell r="T62" t="str">
            <v>Annually</v>
          </cell>
          <cell r="U62" t="str">
            <v>Annually</v>
          </cell>
          <cell r="V62" t="str">
            <v>ImmoWertV</v>
          </cell>
          <cell r="W62" t="str">
            <v>KAGB</v>
          </cell>
          <cell r="X62" t="str">
            <v>KPMG</v>
          </cell>
          <cell r="Y62" t="str">
            <v>Spezialfonds</v>
          </cell>
          <cell r="Z62" t="str">
            <v>No</v>
          </cell>
          <cell r="AA62" t="str">
            <v>Yes</v>
          </cell>
          <cell r="AB62">
            <v>0</v>
          </cell>
          <cell r="AC62" t="str">
            <v>Non-Listed Fund</v>
          </cell>
          <cell r="AD62" t="str">
            <v>Core</v>
          </cell>
          <cell r="AE62" t="str">
            <v>infinite</v>
          </cell>
          <cell r="AF62" t="str">
            <v>Open end</v>
          </cell>
          <cell r="AG62">
            <v>8</v>
          </cell>
          <cell r="AH62">
            <v>10</v>
          </cell>
          <cell r="AI62" t="str">
            <v>Net</v>
          </cell>
          <cell r="AJ62" t="str">
            <v>SFIX Germany</v>
          </cell>
          <cell r="AK62">
            <v>6.5</v>
          </cell>
          <cell r="AL62">
            <v>42.5</v>
          </cell>
          <cell r="AM62" t="str">
            <v>&gt; 40% - ≤ 60%</v>
          </cell>
          <cell r="AN62" t="str">
            <v>Institutional</v>
          </cell>
          <cell r="AO62" t="str">
            <v>&gt; 2</v>
          </cell>
          <cell r="AP62" t="str">
            <v>≥ 50%</v>
          </cell>
          <cell r="AQ62" t="str">
            <v>Europe</v>
          </cell>
          <cell r="AR62" t="str">
            <v>single country</v>
          </cell>
          <cell r="AT62" t="str">
            <v>Germany</v>
          </cell>
          <cell r="AU62" t="str">
            <v>multi sector</v>
          </cell>
          <cell r="AW62">
            <v>627500000</v>
          </cell>
          <cell r="AX62">
            <v>1100000000</v>
          </cell>
          <cell r="AY62">
            <v>2015</v>
          </cell>
          <cell r="BD62" t="str">
            <v>No</v>
          </cell>
          <cell r="BE62" t="str">
            <v>≥ 60%</v>
          </cell>
          <cell r="BF62" t="str">
            <v>≤ 15%</v>
          </cell>
          <cell r="BG62" t="str">
            <v>≤ 5%</v>
          </cell>
          <cell r="BH62" t="str">
            <v>2020-12-31</v>
          </cell>
          <cell r="BI62">
            <v>1443078809</v>
          </cell>
          <cell r="BJ62">
            <v>1443078809</v>
          </cell>
          <cell r="BK62">
            <v>805248267</v>
          </cell>
          <cell r="BL62">
            <v>805248267</v>
          </cell>
          <cell r="BM62">
            <v>43.16</v>
          </cell>
          <cell r="BN62" t="str">
            <v>No</v>
          </cell>
          <cell r="BO62" t="str">
            <v>External</v>
          </cell>
          <cell r="BP62">
            <v>42</v>
          </cell>
          <cell r="BQ62">
            <v>34</v>
          </cell>
          <cell r="BR62">
            <v>744159867</v>
          </cell>
          <cell r="BS62">
            <v>744159867</v>
          </cell>
          <cell r="BT62">
            <v>695131214</v>
          </cell>
          <cell r="BU62">
            <v>695131214</v>
          </cell>
          <cell r="BV62" t="str">
            <v>No</v>
          </cell>
          <cell r="BW62" t="str">
            <v>Germany</v>
          </cell>
          <cell r="BX62" t="str">
            <v>Mixed</v>
          </cell>
          <cell r="BY62">
            <v>97.97</v>
          </cell>
        </row>
        <row r="63">
          <cell r="A63">
            <v>19145</v>
          </cell>
          <cell r="B63" t="str">
            <v>BEOS CORPORATE REAL ESTATE FUND GERMANY IV</v>
          </cell>
          <cell r="C63" t="str">
            <v>BEOS AG</v>
          </cell>
          <cell r="D63" t="str">
            <v>Kurfürstendamm 188</v>
          </cell>
          <cell r="E63">
            <v>10707</v>
          </cell>
          <cell r="F63" t="str">
            <v>Berlin</v>
          </cell>
          <cell r="G63" t="str">
            <v>Germany</v>
          </cell>
          <cell r="H63" t="str">
            <v>+49302800990</v>
          </cell>
          <cell r="J63" t="str">
            <v>https://beos.net/</v>
          </cell>
          <cell r="K63" t="str">
            <v>Maximilian Brüne</v>
          </cell>
          <cell r="L63" t="str">
            <v>maximilian.bruene@beos.net</v>
          </cell>
          <cell r="M63" t="str">
            <v>+4930280099116</v>
          </cell>
          <cell r="N63" t="str">
            <v>Kerstin Lauerbach</v>
          </cell>
          <cell r="O63" t="str">
            <v>kerstin.lauerbach@beos.net</v>
          </cell>
          <cell r="P63" t="str">
            <v>+4930280099400</v>
          </cell>
          <cell r="Q63" t="str">
            <v>Germany</v>
          </cell>
          <cell r="R63" t="str">
            <v>EUR</v>
          </cell>
          <cell r="S63" t="str">
            <v>IFRS</v>
          </cell>
          <cell r="T63" t="str">
            <v>Annually</v>
          </cell>
          <cell r="U63" t="str">
            <v>Annually</v>
          </cell>
          <cell r="V63" t="str">
            <v>ImmoWertV</v>
          </cell>
          <cell r="X63" t="str">
            <v>KPMG</v>
          </cell>
          <cell r="Y63" t="str">
            <v>Spezialfonds</v>
          </cell>
          <cell r="Z63" t="str">
            <v>No</v>
          </cell>
          <cell r="AC63" t="str">
            <v>Non-Listed Fund</v>
          </cell>
          <cell r="AD63" t="str">
            <v>Core</v>
          </cell>
          <cell r="AE63" t="str">
            <v>infinite</v>
          </cell>
          <cell r="AF63" t="str">
            <v>Open end</v>
          </cell>
          <cell r="AG63">
            <v>7</v>
          </cell>
          <cell r="AH63">
            <v>7</v>
          </cell>
          <cell r="AK63">
            <v>5.5</v>
          </cell>
          <cell r="AL63">
            <v>45</v>
          </cell>
          <cell r="AM63" t="str">
            <v>&gt; 40% - ≤ 60%</v>
          </cell>
          <cell r="AN63" t="str">
            <v>Institutional</v>
          </cell>
          <cell r="AO63" t="str">
            <v>&gt; 2</v>
          </cell>
          <cell r="AP63" t="str">
            <v>≥ 50%</v>
          </cell>
          <cell r="AQ63" t="str">
            <v>Europe</v>
          </cell>
          <cell r="AR63" t="str">
            <v>single country</v>
          </cell>
          <cell r="AT63" t="str">
            <v>Germany</v>
          </cell>
          <cell r="AU63" t="str">
            <v>multi sector</v>
          </cell>
          <cell r="AW63">
            <v>630000000</v>
          </cell>
          <cell r="AX63">
            <v>1100000000</v>
          </cell>
          <cell r="AY63">
            <v>2018</v>
          </cell>
          <cell r="BD63" t="str">
            <v>No</v>
          </cell>
          <cell r="BE63" t="str">
            <v>≥ 60%</v>
          </cell>
          <cell r="BF63" t="str">
            <v>≤ 15%</v>
          </cell>
          <cell r="BG63" t="str">
            <v>≤ 5%</v>
          </cell>
          <cell r="BH63" t="str">
            <v>2020-12-31</v>
          </cell>
          <cell r="BI63">
            <v>1192370203</v>
          </cell>
          <cell r="BJ63">
            <v>1192370203</v>
          </cell>
          <cell r="BK63">
            <v>668754157</v>
          </cell>
          <cell r="BL63">
            <v>668754157</v>
          </cell>
          <cell r="BM63">
            <v>44.77</v>
          </cell>
          <cell r="BN63" t="str">
            <v>No</v>
          </cell>
          <cell r="BO63" t="str">
            <v>External</v>
          </cell>
          <cell r="BP63">
            <v>53</v>
          </cell>
          <cell r="BQ63">
            <v>39</v>
          </cell>
          <cell r="BR63">
            <v>991390073</v>
          </cell>
          <cell r="BS63">
            <v>991390073</v>
          </cell>
          <cell r="BT63">
            <v>906957675</v>
          </cell>
          <cell r="BU63">
            <v>906957675</v>
          </cell>
          <cell r="BV63" t="str">
            <v>No</v>
          </cell>
          <cell r="BW63" t="str">
            <v>Germany</v>
          </cell>
          <cell r="BX63" t="str">
            <v>Mixed</v>
          </cell>
          <cell r="BY63">
            <v>97.29</v>
          </cell>
        </row>
        <row r="64">
          <cell r="A64">
            <v>17872</v>
          </cell>
          <cell r="B64" t="str">
            <v>BEST VALUE EUROPE I</v>
          </cell>
          <cell r="C64" t="str">
            <v xml:space="preserve">BMO REAL ESTATE PARTNERS GMBH &amp; CO. KG				</v>
          </cell>
          <cell r="G64" t="str">
            <v>Germany</v>
          </cell>
          <cell r="Q64" t="str">
            <v>Germany</v>
          </cell>
          <cell r="R64" t="str">
            <v>EUR</v>
          </cell>
          <cell r="T64" t="str">
            <v>Quarterly</v>
          </cell>
          <cell r="U64" t="str">
            <v>Quarterly</v>
          </cell>
          <cell r="V64" t="str">
            <v>ImmoWertV</v>
          </cell>
          <cell r="W64" t="str">
            <v>KAGB</v>
          </cell>
          <cell r="Y64" t="str">
            <v>Spezialfonds</v>
          </cell>
          <cell r="AC64" t="str">
            <v>Non-Listed Fund</v>
          </cell>
          <cell r="AD64" t="str">
            <v>Core</v>
          </cell>
          <cell r="AE64" t="str">
            <v>infinite</v>
          </cell>
          <cell r="AF64" t="str">
            <v>Open end</v>
          </cell>
          <cell r="AN64" t="str">
            <v>Institutional</v>
          </cell>
          <cell r="AO64" t="str">
            <v>&gt; 2</v>
          </cell>
          <cell r="AP64" t="str">
            <v>≥ 50%</v>
          </cell>
          <cell r="AQ64" t="str">
            <v>Europe</v>
          </cell>
          <cell r="AR64" t="str">
            <v>multi country</v>
          </cell>
          <cell r="AS64" t="str">
            <v>Europe</v>
          </cell>
          <cell r="AU64" t="str">
            <v>single sector</v>
          </cell>
          <cell r="AV64" t="str">
            <v>Retail</v>
          </cell>
          <cell r="AY64">
            <v>2015</v>
          </cell>
          <cell r="BH64" t="str">
            <v>2020-12-31</v>
          </cell>
          <cell r="BI64">
            <v>427018532</v>
          </cell>
          <cell r="BJ64">
            <v>427018532</v>
          </cell>
          <cell r="BK64">
            <v>426562786.68000001</v>
          </cell>
          <cell r="BL64">
            <v>426562786.68000001</v>
          </cell>
          <cell r="BM64">
            <v>0.1</v>
          </cell>
          <cell r="BN64" t="str">
            <v>No</v>
          </cell>
          <cell r="BS64">
            <v>0</v>
          </cell>
          <cell r="BV64" t="str">
            <v>No</v>
          </cell>
        </row>
        <row r="65">
          <cell r="A65">
            <v>17871</v>
          </cell>
          <cell r="B65" t="str">
            <v xml:space="preserve">BEST VALUE GERMANY II				</v>
          </cell>
          <cell r="C65" t="str">
            <v xml:space="preserve">BMO REAL ESTATE PARTNERS GMBH &amp; CO. KG				</v>
          </cell>
          <cell r="G65" t="str">
            <v>Germany</v>
          </cell>
          <cell r="Q65" t="str">
            <v>Germany</v>
          </cell>
          <cell r="R65" t="str">
            <v>EUR</v>
          </cell>
          <cell r="T65" t="str">
            <v>Quarterly</v>
          </cell>
          <cell r="U65" t="str">
            <v>Quarterly</v>
          </cell>
          <cell r="V65" t="str">
            <v>ImmoWertV</v>
          </cell>
          <cell r="W65" t="str">
            <v>KAGB</v>
          </cell>
          <cell r="Y65" t="str">
            <v>Spezialfonds</v>
          </cell>
          <cell r="AC65" t="str">
            <v>Non-Listed Fund</v>
          </cell>
          <cell r="AD65" t="str">
            <v>Core</v>
          </cell>
          <cell r="AE65" t="str">
            <v>infinite</v>
          </cell>
          <cell r="AF65" t="str">
            <v>Open end</v>
          </cell>
          <cell r="AN65" t="str">
            <v>Institutional</v>
          </cell>
          <cell r="AO65" t="str">
            <v>&gt; 2</v>
          </cell>
          <cell r="AP65" t="str">
            <v>≥ 50%</v>
          </cell>
          <cell r="AQ65" t="str">
            <v>Europe</v>
          </cell>
          <cell r="AR65" t="str">
            <v>single country</v>
          </cell>
          <cell r="AT65" t="str">
            <v>Germany</v>
          </cell>
          <cell r="AU65" t="str">
            <v>single sector</v>
          </cell>
          <cell r="AV65" t="str">
            <v>Retail</v>
          </cell>
          <cell r="AY65">
            <v>2014</v>
          </cell>
          <cell r="BH65" t="str">
            <v>2020-12-31</v>
          </cell>
          <cell r="BI65">
            <v>465763483</v>
          </cell>
          <cell r="BJ65">
            <v>465763483</v>
          </cell>
          <cell r="BK65">
            <v>268785156.88</v>
          </cell>
          <cell r="BL65">
            <v>268785156.88</v>
          </cell>
          <cell r="BM65">
            <v>42.3</v>
          </cell>
          <cell r="BN65" t="str">
            <v>No</v>
          </cell>
          <cell r="BS65">
            <v>0</v>
          </cell>
          <cell r="BV65" t="str">
            <v>No</v>
          </cell>
        </row>
        <row r="66">
          <cell r="A66">
            <v>18383</v>
          </cell>
          <cell r="B66" t="str">
            <v>BEST VALUE GERMANY III</v>
          </cell>
          <cell r="G66" t="str">
            <v>Germany</v>
          </cell>
          <cell r="Q66" t="str">
            <v>Germany</v>
          </cell>
          <cell r="R66" t="str">
            <v>EUR</v>
          </cell>
          <cell r="T66" t="str">
            <v>Quarterly</v>
          </cell>
          <cell r="U66" t="str">
            <v>Quarterly</v>
          </cell>
          <cell r="W66" t="str">
            <v>KAGB</v>
          </cell>
          <cell r="Y66" t="str">
            <v>Spezialfonds</v>
          </cell>
          <cell r="AC66" t="str">
            <v>Non-Listed Fund</v>
          </cell>
          <cell r="AD66" t="str">
            <v>Core</v>
          </cell>
          <cell r="AE66" t="str">
            <v>infinite</v>
          </cell>
          <cell r="AF66" t="str">
            <v>Open end</v>
          </cell>
          <cell r="AN66" t="str">
            <v>Institutional</v>
          </cell>
          <cell r="AO66" t="str">
            <v>&gt; 2</v>
          </cell>
          <cell r="AP66" t="str">
            <v>≥ 50%</v>
          </cell>
          <cell r="AQ66" t="str">
            <v>Europe</v>
          </cell>
          <cell r="AR66" t="str">
            <v>single country</v>
          </cell>
          <cell r="AT66" t="str">
            <v>Germany</v>
          </cell>
          <cell r="AU66" t="str">
            <v>single sector</v>
          </cell>
          <cell r="AV66" t="str">
            <v>Retail</v>
          </cell>
          <cell r="AY66">
            <v>2017</v>
          </cell>
          <cell r="BH66" t="str">
            <v>2020-12-31</v>
          </cell>
          <cell r="BI66">
            <v>275303568</v>
          </cell>
          <cell r="BJ66">
            <v>275303568</v>
          </cell>
          <cell r="BK66">
            <v>154545400.13</v>
          </cell>
          <cell r="BL66">
            <v>154545400.13</v>
          </cell>
          <cell r="BM66">
            <v>43.9</v>
          </cell>
          <cell r="BN66" t="str">
            <v>No</v>
          </cell>
          <cell r="BS66">
            <v>0</v>
          </cell>
          <cell r="BV66" t="str">
            <v>No</v>
          </cell>
        </row>
        <row r="67">
          <cell r="A67">
            <v>328</v>
          </cell>
          <cell r="B67" t="str">
            <v>BLACKROCK EUROPE PROPERTY FUND II</v>
          </cell>
          <cell r="C67" t="str">
            <v>DRAPERS GARDENS</v>
          </cell>
          <cell r="D67" t="str">
            <v>12 Throgmorton Avenue</v>
          </cell>
          <cell r="E67" t="str">
            <v>EC2N 2DL</v>
          </cell>
          <cell r="F67" t="str">
            <v>London</v>
          </cell>
          <cell r="G67" t="str">
            <v>United Kingdom</v>
          </cell>
          <cell r="J67" t="str">
            <v>http://www.blackrock.com</v>
          </cell>
          <cell r="K67" t="str">
            <v>Alexis Gisselbrecht</v>
          </cell>
          <cell r="L67" t="str">
            <v>alexis.gisselbrecht@blackrock.com</v>
          </cell>
          <cell r="M67" t="str">
            <v>+44 207 743 4177</v>
          </cell>
          <cell r="N67" t="str">
            <v>Paul Winters</v>
          </cell>
          <cell r="O67" t="str">
            <v>paul.winters@blackrock.com</v>
          </cell>
          <cell r="P67" t="str">
            <v>+44 207 743 4052</v>
          </cell>
          <cell r="Q67" t="str">
            <v>Bermuda</v>
          </cell>
          <cell r="R67" t="str">
            <v>EUR</v>
          </cell>
          <cell r="S67" t="str">
            <v>IFRS</v>
          </cell>
          <cell r="T67" t="str">
            <v>Quarterly</v>
          </cell>
          <cell r="U67" t="str">
            <v>Annually</v>
          </cell>
          <cell r="X67" t="str">
            <v>PriceWaterhouseCoopers</v>
          </cell>
          <cell r="Y67" t="str">
            <v>Limited Partnership</v>
          </cell>
          <cell r="Z67" t="str">
            <v>No</v>
          </cell>
          <cell r="AA67" t="str">
            <v>Yes</v>
          </cell>
          <cell r="AB67">
            <v>0</v>
          </cell>
          <cell r="AC67" t="str">
            <v>Non-Listed Fund</v>
          </cell>
          <cell r="AD67" t="str">
            <v>Opportunity</v>
          </cell>
          <cell r="AE67" t="str">
            <v>finite</v>
          </cell>
          <cell r="AF67" t="str">
            <v>Closed end</v>
          </cell>
          <cell r="AG67">
            <v>17</v>
          </cell>
          <cell r="AH67">
            <v>20</v>
          </cell>
          <cell r="AI67" t="str">
            <v>Net</v>
          </cell>
          <cell r="AJ67" t="str">
            <v>absolute return</v>
          </cell>
          <cell r="AM67" t="str">
            <v>&gt; 60%</v>
          </cell>
          <cell r="AN67" t="str">
            <v>Institutional</v>
          </cell>
          <cell r="AP67" t="str">
            <v>≥ 50%</v>
          </cell>
          <cell r="AQ67" t="str">
            <v>Europe</v>
          </cell>
          <cell r="AR67" t="str">
            <v>multi country</v>
          </cell>
          <cell r="AS67" t="str">
            <v>Europe</v>
          </cell>
          <cell r="AU67" t="str">
            <v>multi sector</v>
          </cell>
          <cell r="AW67">
            <v>281000000</v>
          </cell>
          <cell r="AY67">
            <v>2005</v>
          </cell>
          <cell r="AZ67">
            <v>2014</v>
          </cell>
          <cell r="BA67" t="str">
            <v>Yes</v>
          </cell>
          <cell r="BB67" t="str">
            <v>Yes</v>
          </cell>
          <cell r="BC67" t="str">
            <v>1+1 years</v>
          </cell>
          <cell r="BH67" t="str">
            <v>2013-09-30</v>
          </cell>
          <cell r="BI67">
            <v>406188000</v>
          </cell>
          <cell r="BJ67">
            <v>406188000</v>
          </cell>
          <cell r="BK67">
            <v>133578989</v>
          </cell>
          <cell r="BL67">
            <v>133578989</v>
          </cell>
          <cell r="BM67">
            <v>63.8</v>
          </cell>
          <cell r="BN67" t="str">
            <v>No</v>
          </cell>
          <cell r="BO67" t="str">
            <v>Internal</v>
          </cell>
          <cell r="BP67">
            <v>13</v>
          </cell>
          <cell r="BQ67">
            <v>11</v>
          </cell>
          <cell r="BR67">
            <v>280861569</v>
          </cell>
          <cell r="BS67">
            <v>280861569</v>
          </cell>
          <cell r="BT67">
            <v>274147228</v>
          </cell>
          <cell r="BU67">
            <v>274147228</v>
          </cell>
          <cell r="BV67" t="str">
            <v>No</v>
          </cell>
          <cell r="BW67" t="str">
            <v>Netherlands</v>
          </cell>
          <cell r="BX67" t="str">
            <v>Office</v>
          </cell>
          <cell r="BY67">
            <v>2.0099999999999998</v>
          </cell>
          <cell r="BZ67" t="str">
            <v>Switzerland</v>
          </cell>
          <cell r="CA67" t="str">
            <v>Office</v>
          </cell>
          <cell r="CB67">
            <v>2.56</v>
          </cell>
          <cell r="CC67" t="str">
            <v>United Kingdom</v>
          </cell>
          <cell r="CD67" t="str">
            <v>Office</v>
          </cell>
          <cell r="CE67">
            <v>3.51</v>
          </cell>
          <cell r="CF67" t="str">
            <v>Germany</v>
          </cell>
          <cell r="CG67" t="str">
            <v>Industrial / Logistics</v>
          </cell>
          <cell r="CH67">
            <v>8.17</v>
          </cell>
          <cell r="CI67" t="str">
            <v>Poland</v>
          </cell>
          <cell r="CJ67" t="str">
            <v>Office</v>
          </cell>
          <cell r="CK67">
            <v>83.75</v>
          </cell>
        </row>
        <row r="68">
          <cell r="A68">
            <v>327</v>
          </cell>
          <cell r="B68" t="str">
            <v>BLACKROCK EUROPE PROPERTY FUND III</v>
          </cell>
          <cell r="C68" t="str">
            <v>BLACKROCK</v>
          </cell>
          <cell r="D68" t="str">
            <v>Drapers Gardens</v>
          </cell>
          <cell r="E68" t="str">
            <v>EC2N 2DL</v>
          </cell>
          <cell r="F68" t="str">
            <v>London</v>
          </cell>
          <cell r="G68" t="str">
            <v>United Kingdom</v>
          </cell>
          <cell r="J68" t="str">
            <v>https://www.blackrock.com</v>
          </cell>
          <cell r="K68" t="str">
            <v>Alexis Gisselbrecht</v>
          </cell>
          <cell r="L68" t="str">
            <v>alexis.gisselbrecht@blackrock.com</v>
          </cell>
          <cell r="M68" t="str">
            <v>+44 20 7743 4177</v>
          </cell>
          <cell r="N68" t="str">
            <v>Paul Winters</v>
          </cell>
          <cell r="O68" t="str">
            <v>paul.winters@blackrock.com</v>
          </cell>
          <cell r="P68" t="str">
            <v>+44 20 7743 4052</v>
          </cell>
          <cell r="Q68" t="str">
            <v>United Kingdom</v>
          </cell>
          <cell r="R68" t="str">
            <v>EUR</v>
          </cell>
          <cell r="S68" t="str">
            <v>IFRS</v>
          </cell>
          <cell r="T68" t="str">
            <v>Twice per year</v>
          </cell>
          <cell r="U68" t="str">
            <v>Annually</v>
          </cell>
          <cell r="V68" t="str">
            <v>RICS</v>
          </cell>
          <cell r="X68" t="str">
            <v>PriceWaterhouseCoopers</v>
          </cell>
          <cell r="Y68" t="str">
            <v>Limited Partnership</v>
          </cell>
          <cell r="Z68" t="str">
            <v>No</v>
          </cell>
          <cell r="AA68" t="str">
            <v>No</v>
          </cell>
          <cell r="AB68">
            <v>0</v>
          </cell>
          <cell r="AC68" t="str">
            <v>Non-Listed Fund</v>
          </cell>
          <cell r="AD68" t="str">
            <v>Opportunity</v>
          </cell>
          <cell r="AE68" t="str">
            <v>finite</v>
          </cell>
          <cell r="AF68" t="str">
            <v>Closed end</v>
          </cell>
          <cell r="AG68">
            <v>6</v>
          </cell>
          <cell r="AH68">
            <v>7</v>
          </cell>
          <cell r="AI68" t="str">
            <v>Net</v>
          </cell>
          <cell r="AJ68" t="str">
            <v>absolute return</v>
          </cell>
          <cell r="AM68" t="str">
            <v>&gt; 60%</v>
          </cell>
          <cell r="AN68" t="str">
            <v>Institutional</v>
          </cell>
          <cell r="AO68" t="str">
            <v>&gt; 2</v>
          </cell>
          <cell r="AP68" t="str">
            <v>≥ 50%</v>
          </cell>
          <cell r="AQ68" t="str">
            <v>Europe</v>
          </cell>
          <cell r="AR68" t="str">
            <v>multi country</v>
          </cell>
          <cell r="AS68" t="str">
            <v>Europe</v>
          </cell>
          <cell r="AU68" t="str">
            <v>multi sector</v>
          </cell>
          <cell r="AW68">
            <v>841560000</v>
          </cell>
          <cell r="AY68">
            <v>2007</v>
          </cell>
          <cell r="AZ68">
            <v>2017</v>
          </cell>
          <cell r="BA68" t="str">
            <v>Yes</v>
          </cell>
          <cell r="BB68" t="str">
            <v>Yes</v>
          </cell>
          <cell r="BC68" t="str">
            <v>1+1 years</v>
          </cell>
          <cell r="BH68" t="str">
            <v>2013-09-30</v>
          </cell>
          <cell r="BI68">
            <v>1708945000</v>
          </cell>
          <cell r="BJ68">
            <v>1708945000</v>
          </cell>
          <cell r="BK68">
            <v>748770000</v>
          </cell>
          <cell r="BL68">
            <v>748770000</v>
          </cell>
          <cell r="BM68">
            <v>45.36</v>
          </cell>
          <cell r="BN68" t="str">
            <v>No</v>
          </cell>
          <cell r="BO68" t="str">
            <v>Internal</v>
          </cell>
          <cell r="BP68">
            <v>27</v>
          </cell>
          <cell r="BQ68">
            <v>166</v>
          </cell>
          <cell r="BR68">
            <v>841563239</v>
          </cell>
          <cell r="BS68">
            <v>841563239</v>
          </cell>
          <cell r="BT68">
            <v>670544227</v>
          </cell>
          <cell r="BU68">
            <v>670544227</v>
          </cell>
          <cell r="BV68" t="str">
            <v>No</v>
          </cell>
          <cell r="BW68" t="str">
            <v>Greece</v>
          </cell>
          <cell r="BX68" t="str">
            <v>Development Retail</v>
          </cell>
          <cell r="BY68">
            <v>6.88</v>
          </cell>
          <cell r="BZ68" t="str">
            <v>France</v>
          </cell>
          <cell r="CA68" t="str">
            <v>Mixed</v>
          </cell>
          <cell r="CB68">
            <v>19.72</v>
          </cell>
          <cell r="CC68" t="str">
            <v>United Kingdom</v>
          </cell>
          <cell r="CD68" t="str">
            <v>Development Residential</v>
          </cell>
          <cell r="CE68">
            <v>14.21</v>
          </cell>
          <cell r="CF68" t="str">
            <v>Poland</v>
          </cell>
          <cell r="CG68" t="str">
            <v>Retail</v>
          </cell>
          <cell r="CH68">
            <v>11.31</v>
          </cell>
          <cell r="CI68" t="str">
            <v>United Kingdom</v>
          </cell>
          <cell r="CJ68" t="str">
            <v>Office</v>
          </cell>
          <cell r="CK68">
            <v>12.17</v>
          </cell>
          <cell r="CL68" t="str">
            <v>United Kingdom</v>
          </cell>
          <cell r="CM68" t="str">
            <v>Development Office</v>
          </cell>
          <cell r="CN68">
            <v>9.0299999999999994</v>
          </cell>
          <cell r="CO68" t="str">
            <v>Germany</v>
          </cell>
          <cell r="CP68" t="str">
            <v>Retail</v>
          </cell>
          <cell r="CQ68">
            <v>15.72</v>
          </cell>
          <cell r="CR68" t="str">
            <v>Italy</v>
          </cell>
          <cell r="CS68" t="str">
            <v>Office</v>
          </cell>
          <cell r="CT68">
            <v>2.57</v>
          </cell>
          <cell r="CU68" t="str">
            <v>Denmark</v>
          </cell>
          <cell r="CV68" t="str">
            <v>Retail</v>
          </cell>
          <cell r="CW68">
            <v>8.39</v>
          </cell>
        </row>
        <row r="69">
          <cell r="A69">
            <v>57</v>
          </cell>
          <cell r="B69" t="str">
            <v>BLACKROCK UK PROPERTY FUND</v>
          </cell>
          <cell r="C69" t="str">
            <v>BLACKROCK</v>
          </cell>
          <cell r="D69" t="str">
            <v>12 Throgmorton Avenue</v>
          </cell>
          <cell r="E69" t="str">
            <v>EC2N2DL</v>
          </cell>
          <cell r="F69" t="str">
            <v>London</v>
          </cell>
          <cell r="G69" t="str">
            <v>United Kingdom</v>
          </cell>
          <cell r="H69" t="str">
            <v>+44 (0) 20 7743 5625</v>
          </cell>
          <cell r="I69" t="str">
            <v>+44 (0) 20 7743 1117</v>
          </cell>
          <cell r="J69" t="str">
            <v>http://www.blackrock.com</v>
          </cell>
          <cell r="K69" t="str">
            <v>Paul Tebbit</v>
          </cell>
          <cell r="M69" t="str">
            <v>+44 20 7743 2769</v>
          </cell>
          <cell r="N69" t="str">
            <v>Sian Roberts</v>
          </cell>
          <cell r="O69" t="str">
            <v>sian.roberts@blackrock.com</v>
          </cell>
          <cell r="P69" t="str">
            <v>+44 (0) 20 7 743 1681</v>
          </cell>
          <cell r="Q69" t="str">
            <v>Jersey</v>
          </cell>
          <cell r="R69" t="str">
            <v>GBP</v>
          </cell>
          <cell r="S69" t="str">
            <v>Local GAAP</v>
          </cell>
          <cell r="T69" t="str">
            <v>Twice per year</v>
          </cell>
          <cell r="U69" t="str">
            <v>Monthly</v>
          </cell>
          <cell r="V69" t="str">
            <v>RICS</v>
          </cell>
          <cell r="W69" t="str">
            <v>FRS102</v>
          </cell>
          <cell r="X69" t="str">
            <v>Deloitte</v>
          </cell>
          <cell r="Y69" t="str">
            <v>Unit trust</v>
          </cell>
          <cell r="AB69">
            <v>0</v>
          </cell>
          <cell r="AC69" t="str">
            <v>Non-Listed Fund</v>
          </cell>
          <cell r="AD69" t="str">
            <v>Core</v>
          </cell>
          <cell r="AE69" t="str">
            <v>infinite</v>
          </cell>
          <cell r="AF69" t="str">
            <v>Open end</v>
          </cell>
          <cell r="AJ69" t="str">
            <v>IPD UK Pooled Property Fund Indices All Balanced Funds Index Weighted Average</v>
          </cell>
          <cell r="AM69" t="str">
            <v>&gt; 40% - ≤ 60%</v>
          </cell>
          <cell r="AN69" t="str">
            <v>Institutional</v>
          </cell>
          <cell r="AO69" t="str">
            <v>&gt; 2</v>
          </cell>
          <cell r="AP69" t="str">
            <v>≥ 50%</v>
          </cell>
          <cell r="AQ69" t="str">
            <v>Europe</v>
          </cell>
          <cell r="AR69" t="str">
            <v>single country</v>
          </cell>
          <cell r="AT69" t="str">
            <v>United Kingdom</v>
          </cell>
          <cell r="AU69" t="str">
            <v>multi sector</v>
          </cell>
          <cell r="AY69">
            <v>1982</v>
          </cell>
          <cell r="BB69" t="str">
            <v>No</v>
          </cell>
          <cell r="BH69" t="str">
            <v>2020-12-31</v>
          </cell>
          <cell r="BI69">
            <v>3112561712.9000001</v>
          </cell>
          <cell r="BJ69">
            <v>3441089784.8282452</v>
          </cell>
          <cell r="BK69">
            <v>2992561712.9000001</v>
          </cell>
          <cell r="BL69">
            <v>3308423893.4282451</v>
          </cell>
          <cell r="BM69">
            <v>3.86</v>
          </cell>
          <cell r="BN69" t="str">
            <v>No</v>
          </cell>
          <cell r="BO69" t="str">
            <v>External</v>
          </cell>
          <cell r="BP69">
            <v>231</v>
          </cell>
          <cell r="BQ69">
            <v>150</v>
          </cell>
          <cell r="BS69">
            <v>0</v>
          </cell>
          <cell r="BV69" t="str">
            <v>No</v>
          </cell>
          <cell r="BW69" t="str">
            <v>United Kingdom</v>
          </cell>
          <cell r="BX69" t="str">
            <v>Office</v>
          </cell>
          <cell r="BY69">
            <v>23</v>
          </cell>
          <cell r="BZ69" t="str">
            <v>United Kingdom</v>
          </cell>
          <cell r="CA69" t="str">
            <v>Retail</v>
          </cell>
          <cell r="CB69">
            <v>18</v>
          </cell>
          <cell r="CC69" t="str">
            <v>United Kingdom</v>
          </cell>
          <cell r="CD69" t="str">
            <v>Student Housing</v>
          </cell>
          <cell r="CE69">
            <v>7.5</v>
          </cell>
          <cell r="CF69" t="str">
            <v>United Kingdom</v>
          </cell>
          <cell r="CG69" t="str">
            <v>Health Care</v>
          </cell>
          <cell r="CH69">
            <v>10.4</v>
          </cell>
          <cell r="CI69" t="str">
            <v>United Kingdom</v>
          </cell>
          <cell r="CJ69" t="str">
            <v>Hotel</v>
          </cell>
          <cell r="CK69">
            <v>0.9</v>
          </cell>
          <cell r="CL69" t="str">
            <v>United Kingdom</v>
          </cell>
          <cell r="CM69" t="str">
            <v>Industrial / Logistics</v>
          </cell>
          <cell r="CN69">
            <v>36.1</v>
          </cell>
        </row>
        <row r="70">
          <cell r="A70">
            <v>58</v>
          </cell>
          <cell r="B70" t="str">
            <v>BLACKSTONE REAL ESTATE PARTNERS EUROPE III LP</v>
          </cell>
          <cell r="C70" t="str">
            <v>THE BLACKSTONE GROUP</v>
          </cell>
          <cell r="D70" t="str">
            <v>345 Park Avenue</v>
          </cell>
          <cell r="E70" t="str">
            <v>New York 10154</v>
          </cell>
          <cell r="F70" t="str">
            <v>New York</v>
          </cell>
          <cell r="H70" t="str">
            <v>+1 212 583 5000</v>
          </cell>
          <cell r="I70" t="str">
            <v>+1 212 583 5712</v>
          </cell>
          <cell r="J70" t="str">
            <v>http://www.blackstone.com</v>
          </cell>
          <cell r="K70" t="str">
            <v>Mr Michael Casey</v>
          </cell>
          <cell r="L70" t="str">
            <v>caseym@blackstone.com</v>
          </cell>
          <cell r="M70" t="str">
            <v>+1 212 583 5003</v>
          </cell>
          <cell r="N70" t="str">
            <v>Mr Chad R Pike</v>
          </cell>
          <cell r="Q70" t="str">
            <v>United Kingdom</v>
          </cell>
          <cell r="R70" t="str">
            <v>EUR</v>
          </cell>
          <cell r="S70" t="str">
            <v>US GAAP</v>
          </cell>
          <cell r="T70" t="str">
            <v>Quarterly</v>
          </cell>
          <cell r="U70" t="str">
            <v>Annually</v>
          </cell>
          <cell r="X70" t="str">
            <v>Deloitte &amp; Touche LLP</v>
          </cell>
          <cell r="Y70" t="str">
            <v>Limited Partnership</v>
          </cell>
          <cell r="AB70">
            <v>0</v>
          </cell>
          <cell r="AC70" t="str">
            <v>Non-Listed Fund</v>
          </cell>
          <cell r="AD70" t="str">
            <v>Opportunity</v>
          </cell>
          <cell r="AE70" t="str">
            <v>finite</v>
          </cell>
          <cell r="AF70" t="str">
            <v>Closed end</v>
          </cell>
          <cell r="AG70">
            <v>20</v>
          </cell>
          <cell r="AH70">
            <v>20</v>
          </cell>
          <cell r="AI70" t="str">
            <v>Gross</v>
          </cell>
          <cell r="AM70" t="str">
            <v>&gt; 60%</v>
          </cell>
          <cell r="AN70" t="str">
            <v>Institutional and Retail</v>
          </cell>
          <cell r="AP70" t="str">
            <v>≥ 50%</v>
          </cell>
          <cell r="AQ70" t="str">
            <v>Europe</v>
          </cell>
          <cell r="AR70" t="str">
            <v>multi country</v>
          </cell>
          <cell r="AS70" t="str">
            <v>Europe</v>
          </cell>
          <cell r="AU70" t="str">
            <v>multi sector</v>
          </cell>
          <cell r="AY70">
            <v>2008</v>
          </cell>
          <cell r="AZ70">
            <v>2018</v>
          </cell>
          <cell r="BA70" t="str">
            <v>Yes</v>
          </cell>
          <cell r="BB70" t="str">
            <v>No</v>
          </cell>
          <cell r="BC70" t="str">
            <v>1+1 years</v>
          </cell>
          <cell r="BH70" t="str">
            <v>2010-12-31</v>
          </cell>
          <cell r="BI70">
            <v>293000000</v>
          </cell>
          <cell r="BJ70">
            <v>293000000</v>
          </cell>
          <cell r="BL70">
            <v>0</v>
          </cell>
          <cell r="BP70">
            <v>65</v>
          </cell>
          <cell r="BQ70">
            <v>2</v>
          </cell>
          <cell r="BR70">
            <v>3405000000</v>
          </cell>
          <cell r="BS70">
            <v>3405000000</v>
          </cell>
          <cell r="BU70">
            <v>0</v>
          </cell>
          <cell r="BV70" t="str">
            <v>No</v>
          </cell>
        </row>
        <row r="71">
          <cell r="A71">
            <v>59</v>
          </cell>
          <cell r="B71" t="str">
            <v>BLACKSTONE REAL ESTATE PARTNERS INTERNATIONAL II LP</v>
          </cell>
          <cell r="C71" t="str">
            <v>THE BLACKSTONE GROUP</v>
          </cell>
          <cell r="D71" t="str">
            <v>345 Park Lane</v>
          </cell>
          <cell r="E71">
            <v>10154</v>
          </cell>
          <cell r="F71" t="str">
            <v>New York</v>
          </cell>
          <cell r="H71" t="str">
            <v>+1 212 583 5000</v>
          </cell>
          <cell r="I71" t="str">
            <v>+1 212 583 5712</v>
          </cell>
          <cell r="J71" t="str">
            <v>http://www.blackstone.com</v>
          </cell>
          <cell r="K71" t="str">
            <v>Mr. Michael Casey</v>
          </cell>
          <cell r="L71" t="str">
            <v>caseym@blackstone.com</v>
          </cell>
          <cell r="M71" t="str">
            <v>+1 212 583 5003</v>
          </cell>
          <cell r="N71" t="str">
            <v>Mr. Chad R. Pike</v>
          </cell>
          <cell r="Q71" t="str">
            <v>United Kingdom</v>
          </cell>
          <cell r="R71" t="str">
            <v>EUR</v>
          </cell>
          <cell r="S71" t="str">
            <v>US GAAP</v>
          </cell>
          <cell r="T71" t="str">
            <v>Quarterly</v>
          </cell>
          <cell r="U71" t="str">
            <v>Annually</v>
          </cell>
          <cell r="X71" t="str">
            <v>Deloitte &amp; Touche LLP</v>
          </cell>
          <cell r="Y71" t="str">
            <v>Limited Partnership</v>
          </cell>
          <cell r="AB71">
            <v>0</v>
          </cell>
          <cell r="AC71" t="str">
            <v>Non-Listed Fund</v>
          </cell>
          <cell r="AD71" t="str">
            <v>Opportunity</v>
          </cell>
          <cell r="AE71" t="str">
            <v>finite</v>
          </cell>
          <cell r="AF71" t="str">
            <v>Closed end</v>
          </cell>
          <cell r="AG71">
            <v>20</v>
          </cell>
          <cell r="AH71">
            <v>20</v>
          </cell>
          <cell r="AI71" t="str">
            <v>Gross</v>
          </cell>
          <cell r="AM71" t="str">
            <v>&gt; 60%</v>
          </cell>
          <cell r="AN71" t="str">
            <v>Institutional and Retail</v>
          </cell>
          <cell r="AP71" t="str">
            <v>≥ 50%</v>
          </cell>
          <cell r="AQ71" t="str">
            <v>Europe</v>
          </cell>
          <cell r="AR71" t="str">
            <v>multi country</v>
          </cell>
          <cell r="AS71" t="str">
            <v>Europe</v>
          </cell>
          <cell r="AU71" t="str">
            <v>multi sector</v>
          </cell>
          <cell r="AY71">
            <v>2005</v>
          </cell>
          <cell r="AZ71">
            <v>2014</v>
          </cell>
          <cell r="BA71" t="str">
            <v>Yes</v>
          </cell>
          <cell r="BB71" t="str">
            <v>No</v>
          </cell>
          <cell r="BC71" t="str">
            <v>1+1 years</v>
          </cell>
          <cell r="BH71" t="str">
            <v>2010-12-31</v>
          </cell>
          <cell r="BI71">
            <v>1222690000</v>
          </cell>
          <cell r="BJ71">
            <v>1222690000</v>
          </cell>
          <cell r="BL71">
            <v>0</v>
          </cell>
          <cell r="BP71">
            <v>41</v>
          </cell>
          <cell r="BQ71">
            <v>24</v>
          </cell>
          <cell r="BR71">
            <v>1329380000</v>
          </cell>
          <cell r="BS71">
            <v>1329380000</v>
          </cell>
          <cell r="BU71">
            <v>0</v>
          </cell>
          <cell r="BV71" t="str">
            <v>No</v>
          </cell>
        </row>
        <row r="72">
          <cell r="A72">
            <v>60</v>
          </cell>
          <cell r="B72" t="str">
            <v>BLACKSTONE REAL ESTATE PARTNERS INTERNATIONAL LP</v>
          </cell>
          <cell r="C72" t="str">
            <v>THE BLACKSTONE GROUP</v>
          </cell>
          <cell r="D72" t="str">
            <v>345 Park Avenue</v>
          </cell>
          <cell r="E72">
            <v>10154</v>
          </cell>
          <cell r="F72" t="str">
            <v>New York</v>
          </cell>
          <cell r="H72" t="str">
            <v>+1 212 583 5000</v>
          </cell>
          <cell r="I72" t="str">
            <v>+1 212 583 5712</v>
          </cell>
          <cell r="J72" t="str">
            <v>http://www.blackstone.com</v>
          </cell>
          <cell r="K72" t="str">
            <v>Mr. Michael Casey</v>
          </cell>
          <cell r="L72" t="str">
            <v>caseym@blackstone.com</v>
          </cell>
          <cell r="M72" t="str">
            <v>+1 212 583 5003</v>
          </cell>
          <cell r="N72" t="str">
            <v>Mr. Chad R. Pike</v>
          </cell>
          <cell r="Q72" t="str">
            <v>Canada</v>
          </cell>
          <cell r="R72" t="str">
            <v>EUR</v>
          </cell>
          <cell r="S72" t="str">
            <v>US GAAP</v>
          </cell>
          <cell r="T72" t="str">
            <v>Quarterly</v>
          </cell>
          <cell r="U72" t="str">
            <v>Annually</v>
          </cell>
          <cell r="X72" t="str">
            <v>Deloitte &amp; Touche LLP</v>
          </cell>
          <cell r="Y72" t="str">
            <v>Limited Partnership</v>
          </cell>
          <cell r="AB72">
            <v>0</v>
          </cell>
          <cell r="AC72" t="str">
            <v>Non-Listed Fund</v>
          </cell>
          <cell r="AD72" t="str">
            <v>Opportunity</v>
          </cell>
          <cell r="AE72" t="str">
            <v>finite</v>
          </cell>
          <cell r="AF72" t="str">
            <v>Closed end</v>
          </cell>
          <cell r="AG72">
            <v>20</v>
          </cell>
          <cell r="AH72">
            <v>20</v>
          </cell>
          <cell r="AI72" t="str">
            <v>Gross</v>
          </cell>
          <cell r="AM72" t="str">
            <v>&gt; 60%</v>
          </cell>
          <cell r="AN72" t="str">
            <v>Institutional and Retail</v>
          </cell>
          <cell r="AP72" t="str">
            <v>≥ 50%</v>
          </cell>
          <cell r="AQ72" t="str">
            <v>Europe</v>
          </cell>
          <cell r="AR72" t="str">
            <v>multi country</v>
          </cell>
          <cell r="AS72" t="str">
            <v>Europe</v>
          </cell>
          <cell r="AU72" t="str">
            <v>multi sector</v>
          </cell>
          <cell r="AY72">
            <v>2001</v>
          </cell>
          <cell r="AZ72">
            <v>2009</v>
          </cell>
          <cell r="BA72" t="str">
            <v>Yes</v>
          </cell>
          <cell r="BB72" t="str">
            <v>Yes</v>
          </cell>
          <cell r="BC72" t="str">
            <v>1+1 years</v>
          </cell>
          <cell r="BH72" t="str">
            <v>2010-12-31</v>
          </cell>
          <cell r="BI72">
            <v>1287000000</v>
          </cell>
          <cell r="BJ72">
            <v>1287000000</v>
          </cell>
          <cell r="BL72">
            <v>0</v>
          </cell>
          <cell r="BP72">
            <v>15</v>
          </cell>
          <cell r="BQ72">
            <v>3</v>
          </cell>
          <cell r="BR72">
            <v>599000000</v>
          </cell>
          <cell r="BS72">
            <v>599000000</v>
          </cell>
          <cell r="BU72">
            <v>0</v>
          </cell>
          <cell r="BV72" t="str">
            <v>No</v>
          </cell>
        </row>
        <row r="73">
          <cell r="A73">
            <v>62</v>
          </cell>
          <cell r="B73" t="str">
            <v>BLUEHOUSE ACCESSION PROPERTY (II)</v>
          </cell>
          <cell r="C73" t="str">
            <v>BLUEHOUSE CAPITAL</v>
          </cell>
          <cell r="D73" t="str">
            <v>Chrisorrogiatissis &amp; Kolokotroni Corner</v>
          </cell>
          <cell r="E73" t="str">
            <v>CY-3040</v>
          </cell>
          <cell r="F73" t="str">
            <v>Limassol</v>
          </cell>
          <cell r="G73" t="str">
            <v>Cyprus</v>
          </cell>
          <cell r="H73">
            <v>35725339316</v>
          </cell>
          <cell r="I73">
            <v>35725339316</v>
          </cell>
          <cell r="J73" t="str">
            <v>http://www.bluehousecapital.com</v>
          </cell>
          <cell r="K73" t="str">
            <v>Julia Bernard</v>
          </cell>
          <cell r="L73" t="str">
            <v>jbernard@bluehousecapital.com</v>
          </cell>
          <cell r="M73" t="str">
            <v>+30 21 03650291</v>
          </cell>
          <cell r="N73" t="str">
            <v>Julia Bernard</v>
          </cell>
          <cell r="O73" t="str">
            <v>jbernard@bluehousecapital.com</v>
          </cell>
          <cell r="P73" t="str">
            <v>+30 21 03650291</v>
          </cell>
          <cell r="Q73" t="str">
            <v>Cyprus</v>
          </cell>
          <cell r="R73" t="str">
            <v>EUR</v>
          </cell>
          <cell r="S73" t="str">
            <v>IFRS</v>
          </cell>
          <cell r="T73" t="str">
            <v>Quarterly</v>
          </cell>
          <cell r="U73" t="str">
            <v>Quarterly</v>
          </cell>
          <cell r="V73" t="str">
            <v>RICS</v>
          </cell>
          <cell r="X73" t="str">
            <v>PriceWaterhouseCoopers</v>
          </cell>
          <cell r="Y73" t="str">
            <v>Limited Partnership</v>
          </cell>
          <cell r="Z73" t="str">
            <v>Yes</v>
          </cell>
          <cell r="AA73" t="str">
            <v>Yes</v>
          </cell>
          <cell r="AB73">
            <v>3</v>
          </cell>
          <cell r="AC73" t="str">
            <v>Non-Listed Fund</v>
          </cell>
          <cell r="AD73" t="str">
            <v>Opportunity</v>
          </cell>
          <cell r="AE73" t="str">
            <v>finite</v>
          </cell>
          <cell r="AF73" t="str">
            <v>Closed end</v>
          </cell>
          <cell r="AG73">
            <v>15</v>
          </cell>
          <cell r="AH73">
            <v>20</v>
          </cell>
          <cell r="AI73" t="str">
            <v>Net</v>
          </cell>
          <cell r="AJ73" t="str">
            <v>irr</v>
          </cell>
          <cell r="AL73">
            <v>60</v>
          </cell>
          <cell r="AM73" t="str">
            <v>&gt; 60%</v>
          </cell>
          <cell r="AN73" t="str">
            <v>Institutional</v>
          </cell>
          <cell r="AP73" t="str">
            <v>≥ 50%</v>
          </cell>
          <cell r="AQ73" t="str">
            <v>Europe</v>
          </cell>
          <cell r="AR73" t="str">
            <v>multi country</v>
          </cell>
          <cell r="AS73" t="str">
            <v>Central and Eastern Europe(CEE)</v>
          </cell>
          <cell r="AU73" t="str">
            <v>multi sector</v>
          </cell>
          <cell r="AW73">
            <v>152550000</v>
          </cell>
          <cell r="AX73">
            <v>380000000</v>
          </cell>
          <cell r="AY73">
            <v>2006</v>
          </cell>
          <cell r="AZ73">
            <v>2016</v>
          </cell>
          <cell r="BA73" t="str">
            <v>Yes</v>
          </cell>
          <cell r="BB73" t="str">
            <v>Yes</v>
          </cell>
          <cell r="BC73" t="str">
            <v>3 years</v>
          </cell>
          <cell r="BH73" t="str">
            <v>2013-09-30</v>
          </cell>
          <cell r="BI73">
            <v>149162672</v>
          </cell>
          <cell r="BJ73">
            <v>149162672</v>
          </cell>
          <cell r="BK73">
            <v>67934000</v>
          </cell>
          <cell r="BL73">
            <v>67934000</v>
          </cell>
          <cell r="BM73">
            <v>57</v>
          </cell>
          <cell r="BN73" t="str">
            <v>No</v>
          </cell>
          <cell r="BO73" t="str">
            <v>External</v>
          </cell>
          <cell r="BP73">
            <v>23</v>
          </cell>
          <cell r="BQ73">
            <v>8</v>
          </cell>
          <cell r="BR73">
            <v>152550000</v>
          </cell>
          <cell r="BS73">
            <v>152550000</v>
          </cell>
          <cell r="BT73">
            <v>127836900</v>
          </cell>
          <cell r="BU73">
            <v>127836900</v>
          </cell>
          <cell r="BV73" t="str">
            <v>No</v>
          </cell>
          <cell r="BW73" t="str">
            <v>Bulgaria</v>
          </cell>
          <cell r="BX73" t="str">
            <v>Development Residential</v>
          </cell>
          <cell r="BY73">
            <v>7</v>
          </cell>
          <cell r="BZ73" t="str">
            <v>Croatia</v>
          </cell>
          <cell r="CA73" t="str">
            <v>Retail</v>
          </cell>
          <cell r="CB73">
            <v>19</v>
          </cell>
          <cell r="CC73" t="str">
            <v>Serbia and Montenegro</v>
          </cell>
          <cell r="CD73" t="str">
            <v>Office</v>
          </cell>
          <cell r="CE73">
            <v>15</v>
          </cell>
          <cell r="CF73" t="str">
            <v>Romania</v>
          </cell>
          <cell r="CG73" t="str">
            <v>Retail</v>
          </cell>
          <cell r="CH73">
            <v>6</v>
          </cell>
          <cell r="CI73" t="str">
            <v>Romania</v>
          </cell>
          <cell r="CJ73" t="str">
            <v>Office</v>
          </cell>
          <cell r="CK73">
            <v>18</v>
          </cell>
          <cell r="CL73" t="str">
            <v>Romania</v>
          </cell>
          <cell r="CM73" t="str">
            <v>Development Residential</v>
          </cell>
          <cell r="CN73">
            <v>3</v>
          </cell>
          <cell r="CO73" t="str">
            <v>Romania</v>
          </cell>
          <cell r="CP73" t="str">
            <v>Development Mixed</v>
          </cell>
          <cell r="CQ73">
            <v>32</v>
          </cell>
        </row>
        <row r="74">
          <cell r="A74">
            <v>63</v>
          </cell>
          <cell r="B74" t="str">
            <v>BLUEHOUSE ACCESSION PROPERTY (III)</v>
          </cell>
          <cell r="C74" t="str">
            <v>BLUEHOUSE CAPITAL</v>
          </cell>
          <cell r="D74" t="str">
            <v>20 Rue de la Poste</v>
          </cell>
          <cell r="E74" t="str">
            <v>L-2346 Luxembourg</v>
          </cell>
          <cell r="F74" t="str">
            <v>Luxembourg</v>
          </cell>
          <cell r="G74" t="str">
            <v>Luxembourg</v>
          </cell>
          <cell r="H74">
            <v>352472323</v>
          </cell>
          <cell r="I74">
            <v>352472323</v>
          </cell>
          <cell r="J74" t="str">
            <v>http://www.bluehousecapital.com</v>
          </cell>
          <cell r="K74" t="str">
            <v>Julia Bernard</v>
          </cell>
          <cell r="L74" t="str">
            <v>jbernard@bluehousecapital.com</v>
          </cell>
          <cell r="N74" t="str">
            <v>Julia Bernard</v>
          </cell>
          <cell r="O74" t="str">
            <v>jbernard@bluehousecapital.com</v>
          </cell>
          <cell r="Q74" t="str">
            <v>Luxembourg</v>
          </cell>
          <cell r="R74" t="str">
            <v>EUR</v>
          </cell>
          <cell r="S74" t="str">
            <v>IFRS</v>
          </cell>
          <cell r="T74" t="str">
            <v>Quarterly</v>
          </cell>
          <cell r="U74" t="str">
            <v>Quarterly</v>
          </cell>
          <cell r="V74" t="str">
            <v>RICS</v>
          </cell>
          <cell r="W74" t="str">
            <v>INREV NAV</v>
          </cell>
          <cell r="X74" t="str">
            <v>PriceWaterhouseCoopers</v>
          </cell>
          <cell r="Y74" t="str">
            <v>Closed Ended Fund</v>
          </cell>
          <cell r="Z74" t="str">
            <v>Yes</v>
          </cell>
          <cell r="AA74" t="str">
            <v>Yes</v>
          </cell>
          <cell r="AB74">
            <v>7</v>
          </cell>
          <cell r="AC74" t="str">
            <v>Non-Listed Fund</v>
          </cell>
          <cell r="AD74" t="str">
            <v>Opportunity</v>
          </cell>
          <cell r="AE74" t="str">
            <v>finite</v>
          </cell>
          <cell r="AF74" t="str">
            <v>Closed end</v>
          </cell>
          <cell r="AG74">
            <v>15</v>
          </cell>
          <cell r="AH74">
            <v>20</v>
          </cell>
          <cell r="AI74" t="str">
            <v>Net</v>
          </cell>
          <cell r="AJ74" t="str">
            <v>irr</v>
          </cell>
          <cell r="AL74">
            <v>60</v>
          </cell>
          <cell r="AM74" t="str">
            <v>&gt; 60%</v>
          </cell>
          <cell r="AN74" t="str">
            <v>Institutional</v>
          </cell>
          <cell r="AP74" t="str">
            <v>≥ 50%</v>
          </cell>
          <cell r="AQ74" t="str">
            <v>Europe</v>
          </cell>
          <cell r="AR74" t="str">
            <v>multi country</v>
          </cell>
          <cell r="AS74" t="str">
            <v>Central and Eastern Europe(CEE)</v>
          </cell>
          <cell r="AU74" t="str">
            <v>multi sector</v>
          </cell>
          <cell r="AW74">
            <v>120750000</v>
          </cell>
          <cell r="AX74">
            <v>350000000</v>
          </cell>
          <cell r="AY74">
            <v>2008</v>
          </cell>
          <cell r="AZ74">
            <v>2020</v>
          </cell>
          <cell r="BA74" t="str">
            <v>Yes</v>
          </cell>
          <cell r="BB74" t="str">
            <v>Yes</v>
          </cell>
          <cell r="BC74" t="str">
            <v>1+1+1 years</v>
          </cell>
          <cell r="BH74" t="str">
            <v>2013-09-30</v>
          </cell>
          <cell r="BI74">
            <v>230850000</v>
          </cell>
          <cell r="BJ74">
            <v>230850000</v>
          </cell>
          <cell r="BK74">
            <v>132390435</v>
          </cell>
          <cell r="BL74">
            <v>132390435</v>
          </cell>
          <cell r="BM74">
            <v>53</v>
          </cell>
          <cell r="BN74" t="str">
            <v>No</v>
          </cell>
          <cell r="BO74" t="str">
            <v>External</v>
          </cell>
          <cell r="BP74">
            <v>17</v>
          </cell>
          <cell r="BQ74">
            <v>10</v>
          </cell>
          <cell r="BR74">
            <v>120750000</v>
          </cell>
          <cell r="BS74">
            <v>120750000</v>
          </cell>
          <cell r="BT74">
            <v>100101750</v>
          </cell>
          <cell r="BU74">
            <v>100101750</v>
          </cell>
          <cell r="BV74" t="str">
            <v>No</v>
          </cell>
          <cell r="BW74" t="str">
            <v>Greece</v>
          </cell>
          <cell r="BX74" t="str">
            <v>Retail</v>
          </cell>
          <cell r="BY74">
            <v>13</v>
          </cell>
          <cell r="BZ74" t="str">
            <v>Bulgaria</v>
          </cell>
          <cell r="CA74" t="str">
            <v>Retail</v>
          </cell>
          <cell r="CB74">
            <v>17</v>
          </cell>
          <cell r="CC74" t="str">
            <v>Bulgaria</v>
          </cell>
          <cell r="CD74" t="str">
            <v>Office</v>
          </cell>
          <cell r="CE74">
            <v>13</v>
          </cell>
          <cell r="CF74" t="str">
            <v>Romania</v>
          </cell>
          <cell r="CG74" t="str">
            <v>Retail</v>
          </cell>
          <cell r="CH74">
            <v>4</v>
          </cell>
          <cell r="CI74" t="str">
            <v>Romania</v>
          </cell>
          <cell r="CJ74" t="str">
            <v>Office</v>
          </cell>
          <cell r="CK74">
            <v>5</v>
          </cell>
          <cell r="CL74" t="str">
            <v>Hungary</v>
          </cell>
          <cell r="CM74" t="str">
            <v>Office</v>
          </cell>
          <cell r="CN74">
            <v>17</v>
          </cell>
          <cell r="CO74" t="str">
            <v>Hungary</v>
          </cell>
          <cell r="CP74" t="str">
            <v>Retail</v>
          </cell>
          <cell r="CQ74">
            <v>12</v>
          </cell>
          <cell r="CR74" t="str">
            <v>Czech Republic</v>
          </cell>
          <cell r="CS74" t="str">
            <v>Retail</v>
          </cell>
          <cell r="CT74">
            <v>19</v>
          </cell>
        </row>
        <row r="75">
          <cell r="A75">
            <v>64</v>
          </cell>
          <cell r="B75" t="str">
            <v>BLUEHOUSE CAPITAL PARTNERS</v>
          </cell>
          <cell r="C75" t="str">
            <v>BLUEHOUSE CAPITAL</v>
          </cell>
          <cell r="D75" t="str">
            <v>Chrisorrogiatissis &amp; Kolokotroni Corner</v>
          </cell>
          <cell r="E75" t="str">
            <v>CY-3040</v>
          </cell>
          <cell r="F75" t="str">
            <v>Limassol</v>
          </cell>
          <cell r="G75" t="str">
            <v>Cyprus</v>
          </cell>
          <cell r="H75">
            <v>35725339316</v>
          </cell>
          <cell r="I75">
            <v>35725339316</v>
          </cell>
          <cell r="J75" t="str">
            <v>http://www.bluehousecapital.com</v>
          </cell>
          <cell r="K75" t="str">
            <v>Julia Bernard</v>
          </cell>
          <cell r="L75" t="str">
            <v>jbernard@bluehousecapital.com</v>
          </cell>
          <cell r="M75" t="str">
            <v>+30 21 03650291</v>
          </cell>
          <cell r="N75" t="str">
            <v>Julia Bernard</v>
          </cell>
          <cell r="O75" t="str">
            <v>jbernard@bluehousecapital.com</v>
          </cell>
          <cell r="P75" t="str">
            <v>+30 21 03650291</v>
          </cell>
          <cell r="Q75" t="str">
            <v>Cyprus</v>
          </cell>
          <cell r="R75" t="str">
            <v>EUR</v>
          </cell>
          <cell r="S75" t="str">
            <v>IFRS</v>
          </cell>
          <cell r="T75" t="str">
            <v>Quarterly</v>
          </cell>
          <cell r="U75" t="str">
            <v>Twice per year</v>
          </cell>
          <cell r="V75" t="str">
            <v>RICS</v>
          </cell>
          <cell r="X75" t="str">
            <v>PriceWaterhouseCoopers</v>
          </cell>
          <cell r="Y75" t="str">
            <v>Limited Partnership</v>
          </cell>
          <cell r="Z75" t="str">
            <v>Yes</v>
          </cell>
          <cell r="AA75" t="str">
            <v>No</v>
          </cell>
          <cell r="AB75">
            <v>0</v>
          </cell>
          <cell r="AC75" t="str">
            <v>Non-Listed Fund</v>
          </cell>
          <cell r="AD75" t="str">
            <v>Opportunity</v>
          </cell>
          <cell r="AE75" t="str">
            <v>finite</v>
          </cell>
          <cell r="AF75" t="str">
            <v>Closed end</v>
          </cell>
          <cell r="AG75">
            <v>15</v>
          </cell>
          <cell r="AH75">
            <v>20</v>
          </cell>
          <cell r="AI75" t="str">
            <v>Net</v>
          </cell>
          <cell r="AJ75" t="str">
            <v>IRR</v>
          </cell>
          <cell r="AL75">
            <v>60</v>
          </cell>
          <cell r="AM75" t="str">
            <v>&gt; 60%</v>
          </cell>
          <cell r="AN75" t="str">
            <v>Institutional</v>
          </cell>
          <cell r="AP75" t="str">
            <v>≥ 50%</v>
          </cell>
          <cell r="AQ75" t="str">
            <v>Europe</v>
          </cell>
          <cell r="AR75" t="str">
            <v>multi country</v>
          </cell>
          <cell r="AS75" t="str">
            <v>Central and Eastern Europe(CEE)</v>
          </cell>
          <cell r="AU75" t="str">
            <v>multi sector</v>
          </cell>
          <cell r="AX75">
            <v>200000000</v>
          </cell>
          <cell r="AY75">
            <v>2005</v>
          </cell>
          <cell r="AZ75">
            <v>2015</v>
          </cell>
          <cell r="BA75" t="str">
            <v>Yes</v>
          </cell>
          <cell r="BB75" t="str">
            <v>Yes</v>
          </cell>
          <cell r="BC75" t="str">
            <v>3 years</v>
          </cell>
          <cell r="BH75" t="str">
            <v>2013-09-30</v>
          </cell>
          <cell r="BI75">
            <v>107308997</v>
          </cell>
          <cell r="BJ75">
            <v>107308997</v>
          </cell>
          <cell r="BK75">
            <v>31079370</v>
          </cell>
          <cell r="BL75">
            <v>31079370</v>
          </cell>
          <cell r="BM75">
            <v>57</v>
          </cell>
          <cell r="BN75" t="str">
            <v>No</v>
          </cell>
          <cell r="BO75" t="str">
            <v>External</v>
          </cell>
          <cell r="BP75">
            <v>20</v>
          </cell>
          <cell r="BQ75">
            <v>8</v>
          </cell>
          <cell r="BR75">
            <v>50600000</v>
          </cell>
          <cell r="BS75">
            <v>50600000</v>
          </cell>
          <cell r="BT75">
            <v>50600000</v>
          </cell>
          <cell r="BU75">
            <v>50600000</v>
          </cell>
          <cell r="BV75" t="str">
            <v>No</v>
          </cell>
          <cell r="BW75" t="str">
            <v>Bulgaria</v>
          </cell>
          <cell r="BX75" t="str">
            <v>Office</v>
          </cell>
          <cell r="BY75">
            <v>3</v>
          </cell>
          <cell r="BZ75" t="str">
            <v>Bulgaria</v>
          </cell>
          <cell r="CA75" t="str">
            <v>Hotel</v>
          </cell>
          <cell r="CB75">
            <v>8</v>
          </cell>
          <cell r="CC75" t="str">
            <v>Romania</v>
          </cell>
          <cell r="CD75" t="str">
            <v>Office</v>
          </cell>
          <cell r="CE75">
            <v>53</v>
          </cell>
          <cell r="CF75" t="str">
            <v>Romania</v>
          </cell>
          <cell r="CG75" t="str">
            <v>Industrial / Logistics</v>
          </cell>
          <cell r="CH75">
            <v>18</v>
          </cell>
          <cell r="CI75" t="str">
            <v>Romania</v>
          </cell>
          <cell r="CJ75" t="str">
            <v>Development Mixed</v>
          </cell>
          <cell r="CK75">
            <v>12</v>
          </cell>
          <cell r="CL75" t="str">
            <v>Romania</v>
          </cell>
          <cell r="CM75" t="str">
            <v>Development Residential</v>
          </cell>
          <cell r="CN75">
            <v>6</v>
          </cell>
        </row>
        <row r="76">
          <cell r="A76">
            <v>17491</v>
          </cell>
          <cell r="B76" t="str">
            <v>BLUEHOUSE PROPERTY FUND IV</v>
          </cell>
          <cell r="C76" t="str">
            <v>BLUEHOUSE CAPITAL</v>
          </cell>
          <cell r="N76" t="str">
            <v>Danielle Apostolatos</v>
          </cell>
          <cell r="Q76" t="str">
            <v>Luxembourg</v>
          </cell>
          <cell r="R76" t="str">
            <v>EUR</v>
          </cell>
          <cell r="S76" t="str">
            <v>IFRS</v>
          </cell>
          <cell r="T76" t="str">
            <v>Quarterly</v>
          </cell>
          <cell r="U76" t="str">
            <v>Annually</v>
          </cell>
          <cell r="V76" t="str">
            <v>Other - mark to market</v>
          </cell>
          <cell r="W76" t="str">
            <v>INREV NAV</v>
          </cell>
          <cell r="X76" t="str">
            <v>PWC</v>
          </cell>
          <cell r="Y76" t="str">
            <v>Real Estate Fund</v>
          </cell>
          <cell r="Z76" t="str">
            <v>No</v>
          </cell>
          <cell r="AA76" t="str">
            <v>No</v>
          </cell>
          <cell r="AC76" t="str">
            <v>Non-Listed Fund</v>
          </cell>
          <cell r="AD76" t="str">
            <v>Opportunity</v>
          </cell>
          <cell r="AE76" t="str">
            <v>finite</v>
          </cell>
          <cell r="AF76" t="str">
            <v>Closed end</v>
          </cell>
          <cell r="AQ76" t="str">
            <v>Europe</v>
          </cell>
          <cell r="AR76" t="str">
            <v>multi country</v>
          </cell>
          <cell r="AS76" t="str">
            <v>Central and Eastern Europe(CEE)</v>
          </cell>
          <cell r="AU76" t="str">
            <v>multi sector</v>
          </cell>
        </row>
        <row r="77">
          <cell r="A77">
            <v>19629</v>
          </cell>
          <cell r="B77" t="str">
            <v>BOCCACCIO - FONDO COMUNE DI INVESTIMENTO IMMOBILIARE DI TIPO CHIUSO</v>
          </cell>
          <cell r="C77" t="str">
            <v>SAVILLS INVESTMENT MANAGEMENT SGR SPA</v>
          </cell>
          <cell r="D77" t="str">
            <v>Via San Paolo, 7</v>
          </cell>
          <cell r="E77">
            <v>20121</v>
          </cell>
          <cell r="F77" t="str">
            <v>Milan</v>
          </cell>
          <cell r="G77" t="str">
            <v>Italy</v>
          </cell>
          <cell r="Q77" t="str">
            <v>Italy</v>
          </cell>
          <cell r="R77" t="str">
            <v>EUR</v>
          </cell>
          <cell r="S77" t="str">
            <v>Local GAAP</v>
          </cell>
          <cell r="T77" t="str">
            <v>Quarterly</v>
          </cell>
          <cell r="U77" t="str">
            <v>Quarterly</v>
          </cell>
          <cell r="V77" t="str">
            <v>RICS</v>
          </cell>
          <cell r="W77" t="str">
            <v>Adjusted INREV NAV on Adjusted IFRS NAV</v>
          </cell>
          <cell r="X77" t="str">
            <v>KPMG SpA</v>
          </cell>
          <cell r="Y77" t="str">
            <v>FIA Italiano Immobiliare Riservato</v>
          </cell>
          <cell r="Z77" t="str">
            <v>Yes</v>
          </cell>
          <cell r="AB77">
            <v>0</v>
          </cell>
          <cell r="AC77" t="str">
            <v>Non-Listed Fund</v>
          </cell>
          <cell r="AD77" t="str">
            <v>Core</v>
          </cell>
          <cell r="AE77" t="str">
            <v>finite</v>
          </cell>
          <cell r="AF77" t="str">
            <v>Closed end</v>
          </cell>
          <cell r="AM77" t="str">
            <v>&gt; 40% - ≤ 60%</v>
          </cell>
          <cell r="AN77" t="str">
            <v>Institutional</v>
          </cell>
          <cell r="AO77" t="str">
            <v>&gt; 2</v>
          </cell>
          <cell r="AP77" t="str">
            <v>≥ 50%</v>
          </cell>
          <cell r="AQ77" t="str">
            <v>Europe</v>
          </cell>
          <cell r="AR77" t="str">
            <v>single country</v>
          </cell>
          <cell r="AT77" t="str">
            <v>Italy</v>
          </cell>
          <cell r="AU77" t="str">
            <v>single sector</v>
          </cell>
          <cell r="AV77" t="str">
            <v>Retail</v>
          </cell>
          <cell r="AY77">
            <v>2007</v>
          </cell>
          <cell r="AZ77">
            <v>2019</v>
          </cell>
          <cell r="BA77" t="str">
            <v>Yes</v>
          </cell>
          <cell r="BB77" t="str">
            <v>Yes</v>
          </cell>
          <cell r="BD77" t="str">
            <v>No</v>
          </cell>
          <cell r="BE77" t="str">
            <v>≥ 60%</v>
          </cell>
          <cell r="BF77" t="str">
            <v>≤ 15%</v>
          </cell>
          <cell r="BG77" t="str">
            <v>≤ 5%</v>
          </cell>
          <cell r="BH77" t="str">
            <v>2020-12-31</v>
          </cell>
          <cell r="BI77">
            <v>248941969.61000001</v>
          </cell>
          <cell r="BJ77">
            <v>248941969.61000001</v>
          </cell>
          <cell r="BK77">
            <v>176238261.84</v>
          </cell>
          <cell r="BL77">
            <v>176238261.84</v>
          </cell>
          <cell r="BM77">
            <v>27.92</v>
          </cell>
          <cell r="BN77" t="str">
            <v>Yes</v>
          </cell>
          <cell r="BO77" t="str">
            <v>External</v>
          </cell>
          <cell r="BP77">
            <v>4</v>
          </cell>
          <cell r="BQ77">
            <v>9</v>
          </cell>
          <cell r="BR77">
            <v>169293835</v>
          </cell>
          <cell r="BS77">
            <v>169293835</v>
          </cell>
          <cell r="BT77">
            <v>169293835</v>
          </cell>
          <cell r="BU77">
            <v>169293835</v>
          </cell>
          <cell r="BV77" t="str">
            <v>No</v>
          </cell>
          <cell r="BW77" t="str">
            <v>Italy</v>
          </cell>
          <cell r="BX77" t="str">
            <v>Retail</v>
          </cell>
          <cell r="BY77">
            <v>95.43</v>
          </cell>
        </row>
        <row r="78">
          <cell r="A78">
            <v>68</v>
          </cell>
          <cell r="B78" t="str">
            <v>BOUWFONDS EUROPEAN RESIDENTIAL</v>
          </cell>
          <cell r="C78" t="str">
            <v>BOUWFONDS INVESTMENT MANAGEMENT</v>
          </cell>
          <cell r="D78" t="str">
            <v>De Beek 18</v>
          </cell>
          <cell r="E78" t="str">
            <v>3871 MS</v>
          </cell>
          <cell r="F78" t="str">
            <v>Hoevelaken</v>
          </cell>
          <cell r="G78" t="str">
            <v>Netherlands</v>
          </cell>
          <cell r="H78" t="str">
            <v>+49 30 59009760</v>
          </cell>
          <cell r="I78" t="str">
            <v>+31 (0) 33 750 47 77</v>
          </cell>
          <cell r="J78" t="str">
            <v>http://www.bouwfonds.com</v>
          </cell>
          <cell r="K78" t="str">
            <v>Michiel Dubois</v>
          </cell>
          <cell r="L78" t="str">
            <v>m.dubois@bouwfonds.nl</v>
          </cell>
          <cell r="M78" t="str">
            <v>+31 (0) 33 754 47 29</v>
          </cell>
          <cell r="N78" t="str">
            <v>Michiel Dubois</v>
          </cell>
          <cell r="O78" t="str">
            <v>m.dubois@bouwfonds.nl</v>
          </cell>
          <cell r="P78" t="str">
            <v>+31 (0) 33 750 47 29</v>
          </cell>
          <cell r="Q78" t="str">
            <v>Germany</v>
          </cell>
          <cell r="R78" t="str">
            <v>EUR</v>
          </cell>
          <cell r="S78" t="str">
            <v>Local GAAP</v>
          </cell>
          <cell r="T78" t="str">
            <v>Monthly</v>
          </cell>
          <cell r="U78" t="str">
            <v>Annually</v>
          </cell>
          <cell r="V78" t="str">
            <v>ImmoWertV</v>
          </cell>
          <cell r="X78" t="str">
            <v>PriceWaterhouseCoopers</v>
          </cell>
          <cell r="Y78" t="str">
            <v>Publikumsfonds</v>
          </cell>
          <cell r="Z78" t="str">
            <v>No</v>
          </cell>
          <cell r="AA78" t="str">
            <v>Yes</v>
          </cell>
          <cell r="AB78">
            <v>0</v>
          </cell>
          <cell r="AC78" t="str">
            <v>Non-Listed Fund</v>
          </cell>
          <cell r="AD78" t="str">
            <v>Core</v>
          </cell>
          <cell r="AE78" t="str">
            <v>infinite</v>
          </cell>
          <cell r="AF78" t="str">
            <v>Open end</v>
          </cell>
          <cell r="AG78">
            <v>5</v>
          </cell>
          <cell r="AH78">
            <v>6</v>
          </cell>
          <cell r="AI78" t="str">
            <v>Net</v>
          </cell>
          <cell r="AK78">
            <v>4</v>
          </cell>
          <cell r="AL78">
            <v>30</v>
          </cell>
          <cell r="AM78" t="str">
            <v>≤ 40%</v>
          </cell>
          <cell r="AN78" t="str">
            <v>Institutional</v>
          </cell>
          <cell r="AO78" t="str">
            <v>&gt; 2</v>
          </cell>
          <cell r="AP78" t="str">
            <v>≥ 50%</v>
          </cell>
          <cell r="AQ78" t="str">
            <v>Europe</v>
          </cell>
          <cell r="AR78" t="str">
            <v>multi country</v>
          </cell>
          <cell r="AS78" t="str">
            <v>Europe</v>
          </cell>
          <cell r="AU78" t="str">
            <v>single sector</v>
          </cell>
          <cell r="AV78" t="str">
            <v>Residential</v>
          </cell>
          <cell r="AW78">
            <v>700000000</v>
          </cell>
          <cell r="AX78">
            <v>1000000000</v>
          </cell>
          <cell r="AY78">
            <v>2008</v>
          </cell>
          <cell r="BH78" t="str">
            <v>2018-03-31</v>
          </cell>
          <cell r="BI78">
            <v>1025890623.15</v>
          </cell>
          <cell r="BJ78">
            <v>1025890623.15</v>
          </cell>
          <cell r="BK78">
            <v>879400656.37</v>
          </cell>
          <cell r="BL78">
            <v>879400656.37</v>
          </cell>
          <cell r="BM78">
            <v>24.7</v>
          </cell>
          <cell r="BN78" t="str">
            <v>No</v>
          </cell>
          <cell r="BO78" t="str">
            <v>External</v>
          </cell>
          <cell r="BP78">
            <v>81</v>
          </cell>
          <cell r="BQ78">
            <v>80</v>
          </cell>
          <cell r="BS78">
            <v>0</v>
          </cell>
          <cell r="BT78">
            <v>744335259.34000003</v>
          </cell>
          <cell r="BW78" t="str">
            <v>Germany</v>
          </cell>
          <cell r="BX78" t="str">
            <v>Retail</v>
          </cell>
          <cell r="BY78">
            <v>1.3</v>
          </cell>
          <cell r="BZ78" t="str">
            <v>Germany</v>
          </cell>
          <cell r="CA78" t="str">
            <v>Parking</v>
          </cell>
          <cell r="CB78">
            <v>1.7</v>
          </cell>
          <cell r="CC78" t="str">
            <v>Germany</v>
          </cell>
          <cell r="CD78" t="str">
            <v>Residential</v>
          </cell>
          <cell r="CE78">
            <v>29.2</v>
          </cell>
          <cell r="CF78" t="str">
            <v>Germany</v>
          </cell>
          <cell r="CG78" t="str">
            <v>Other</v>
          </cell>
          <cell r="CH78">
            <v>0.1</v>
          </cell>
          <cell r="CI78" t="str">
            <v>Germany</v>
          </cell>
          <cell r="CJ78" t="str">
            <v>Student Housing</v>
          </cell>
          <cell r="CK78">
            <v>8.5</v>
          </cell>
          <cell r="CL78" t="str">
            <v>Denmark</v>
          </cell>
          <cell r="CM78" t="str">
            <v>Retail</v>
          </cell>
          <cell r="CN78">
            <v>0.1</v>
          </cell>
          <cell r="CO78" t="str">
            <v>Denmark</v>
          </cell>
          <cell r="CP78" t="str">
            <v>Residential</v>
          </cell>
          <cell r="CQ78">
            <v>13.2</v>
          </cell>
          <cell r="CR78" t="str">
            <v>France</v>
          </cell>
          <cell r="CS78" t="str">
            <v>Retail</v>
          </cell>
          <cell r="CT78">
            <v>0.1</v>
          </cell>
          <cell r="CU78" t="str">
            <v>France</v>
          </cell>
          <cell r="CV78" t="str">
            <v>Residential</v>
          </cell>
          <cell r="CW78">
            <v>2.8</v>
          </cell>
          <cell r="CX78" t="str">
            <v>France</v>
          </cell>
          <cell r="CY78" t="str">
            <v>Student Housing</v>
          </cell>
          <cell r="CZ78">
            <v>10.6</v>
          </cell>
          <cell r="DA78" t="str">
            <v>Netherlands</v>
          </cell>
          <cell r="DB78" t="str">
            <v>Retail</v>
          </cell>
          <cell r="DC78">
            <v>1.3</v>
          </cell>
          <cell r="DD78" t="str">
            <v>Netherlands</v>
          </cell>
          <cell r="DE78" t="str">
            <v>Parking</v>
          </cell>
          <cell r="DF78">
            <v>0.6</v>
          </cell>
          <cell r="DG78" t="str">
            <v>Netherlands</v>
          </cell>
          <cell r="DH78" t="str">
            <v>Residential</v>
          </cell>
          <cell r="DI78">
            <v>23.1</v>
          </cell>
          <cell r="DJ78" t="str">
            <v>Netherlands</v>
          </cell>
          <cell r="DK78" t="str">
            <v>Office</v>
          </cell>
          <cell r="DL78">
            <v>0.1</v>
          </cell>
          <cell r="DM78" t="str">
            <v>Sweden</v>
          </cell>
          <cell r="DN78" t="str">
            <v>Residential</v>
          </cell>
          <cell r="DO78">
            <v>1.9</v>
          </cell>
          <cell r="DP78" t="str">
            <v>Netherlands</v>
          </cell>
          <cell r="DQ78" t="str">
            <v>Other</v>
          </cell>
          <cell r="DR78">
            <v>0.1</v>
          </cell>
          <cell r="DS78" t="str">
            <v>France</v>
          </cell>
          <cell r="DT78" t="str">
            <v>Parking</v>
          </cell>
          <cell r="DU78">
            <v>0.1</v>
          </cell>
          <cell r="DV78" t="str">
            <v>Netherlands</v>
          </cell>
          <cell r="DW78" t="str">
            <v>Student Housing</v>
          </cell>
          <cell r="DX78">
            <v>5.2</v>
          </cell>
        </row>
        <row r="79">
          <cell r="A79">
            <v>590</v>
          </cell>
          <cell r="B79" t="str">
            <v>BOUWINVEST DUTCH INSTITUTIONAL OFFICE FUND NV</v>
          </cell>
          <cell r="C79" t="str">
            <v>BOUWINVEST REAL ESTATE INVESTMENT MANAGEMENT BV</v>
          </cell>
          <cell r="D79" t="str">
            <v>La Guardiaweg 4</v>
          </cell>
          <cell r="E79" t="str">
            <v>1043 DG</v>
          </cell>
          <cell r="F79" t="str">
            <v>Amsterdam</v>
          </cell>
          <cell r="G79" t="str">
            <v>Netherlands</v>
          </cell>
          <cell r="H79" t="str">
            <v>+31206771600</v>
          </cell>
          <cell r="I79" t="str">
            <v>+31206771700</v>
          </cell>
          <cell r="J79" t="str">
            <v>http://www.bouwinvest.nl</v>
          </cell>
          <cell r="K79" t="str">
            <v>Bas Jochims</v>
          </cell>
          <cell r="O79" t="str">
            <v>clientmanagement@bouwinvest.nl</v>
          </cell>
          <cell r="Q79" t="str">
            <v>Netherlands</v>
          </cell>
          <cell r="R79" t="str">
            <v>EUR</v>
          </cell>
          <cell r="S79" t="str">
            <v>IFRS</v>
          </cell>
          <cell r="T79" t="str">
            <v>Quarterly</v>
          </cell>
          <cell r="U79" t="str">
            <v>Quarterly</v>
          </cell>
          <cell r="V79" t="str">
            <v>RICS</v>
          </cell>
          <cell r="W79" t="str">
            <v>INREV NAV</v>
          </cell>
          <cell r="X79" t="str">
            <v>Deloitte</v>
          </cell>
          <cell r="Y79" t="str">
            <v>Real Estate Fund</v>
          </cell>
          <cell r="Z79" t="str">
            <v>Yes</v>
          </cell>
          <cell r="AA79" t="str">
            <v>Yes</v>
          </cell>
          <cell r="AB79">
            <v>4</v>
          </cell>
          <cell r="AC79" t="str">
            <v>Non-Listed Fund</v>
          </cell>
          <cell r="AD79" t="str">
            <v>Core</v>
          </cell>
          <cell r="AE79" t="str">
            <v>infinite</v>
          </cell>
          <cell r="AF79" t="str">
            <v>Closed end</v>
          </cell>
          <cell r="AG79">
            <v>6</v>
          </cell>
          <cell r="AH79">
            <v>7.5</v>
          </cell>
          <cell r="AI79" t="str">
            <v>Net</v>
          </cell>
          <cell r="AJ79" t="str">
            <v>Absolute return target</v>
          </cell>
          <cell r="AL79">
            <v>0</v>
          </cell>
          <cell r="AM79" t="str">
            <v>≤ 40%</v>
          </cell>
          <cell r="AN79" t="str">
            <v>Institutional</v>
          </cell>
          <cell r="AO79" t="str">
            <v>&gt; 2</v>
          </cell>
          <cell r="AP79" t="str">
            <v>≥ 50%</v>
          </cell>
          <cell r="AQ79" t="str">
            <v>Europe</v>
          </cell>
          <cell r="AR79" t="str">
            <v>single country</v>
          </cell>
          <cell r="AT79" t="str">
            <v>Netherlands</v>
          </cell>
          <cell r="AU79" t="str">
            <v>single sector</v>
          </cell>
          <cell r="AV79" t="str">
            <v>Office</v>
          </cell>
          <cell r="AY79">
            <v>2010</v>
          </cell>
          <cell r="BE79" t="str">
            <v>≥ 60%</v>
          </cell>
          <cell r="BH79" t="str">
            <v>2020-12-31</v>
          </cell>
          <cell r="BI79">
            <v>1252446000</v>
          </cell>
          <cell r="BJ79">
            <v>1252446000</v>
          </cell>
          <cell r="BK79">
            <v>1154720000</v>
          </cell>
          <cell r="BL79">
            <v>1154720000</v>
          </cell>
          <cell r="BM79">
            <v>0</v>
          </cell>
          <cell r="BN79" t="str">
            <v>No</v>
          </cell>
          <cell r="BO79" t="str">
            <v>External</v>
          </cell>
          <cell r="BP79">
            <v>4</v>
          </cell>
          <cell r="BQ79">
            <v>18</v>
          </cell>
          <cell r="BR79">
            <v>1180543000</v>
          </cell>
          <cell r="BS79">
            <v>1180543000</v>
          </cell>
          <cell r="BT79">
            <v>1030893000</v>
          </cell>
          <cell r="BU79">
            <v>1030893000</v>
          </cell>
          <cell r="BV79" t="str">
            <v>Yes</v>
          </cell>
          <cell r="BW79" t="str">
            <v>Netherlands</v>
          </cell>
          <cell r="BX79" t="str">
            <v>Office</v>
          </cell>
          <cell r="BY79">
            <v>97.5</v>
          </cell>
        </row>
        <row r="80">
          <cell r="A80">
            <v>588</v>
          </cell>
          <cell r="B80" t="str">
            <v>BOUWINVEST DUTCH INSTITUTIONAL RESIDENTIAL FUND NV</v>
          </cell>
          <cell r="C80" t="str">
            <v>BOUWINVEST REAL ESTATE INVESTMENT MANAGEMENT BV</v>
          </cell>
          <cell r="D80" t="str">
            <v>La Guardiaweg 4</v>
          </cell>
          <cell r="E80" t="str">
            <v>1043 DG</v>
          </cell>
          <cell r="F80" t="str">
            <v>Amsterdam</v>
          </cell>
          <cell r="G80" t="str">
            <v>Netherlands</v>
          </cell>
          <cell r="H80" t="str">
            <v>+31206771600</v>
          </cell>
          <cell r="I80" t="str">
            <v>+31206771700</v>
          </cell>
          <cell r="J80" t="str">
            <v>http://www.bouwinvest.nl</v>
          </cell>
          <cell r="K80" t="str">
            <v>Michiel de Bruine</v>
          </cell>
          <cell r="O80" t="str">
            <v>clientmanagement@bouwinvest.nl</v>
          </cell>
          <cell r="Q80" t="str">
            <v>Netherlands</v>
          </cell>
          <cell r="R80" t="str">
            <v>EUR</v>
          </cell>
          <cell r="S80" t="str">
            <v>IFRS</v>
          </cell>
          <cell r="T80" t="str">
            <v>Quarterly</v>
          </cell>
          <cell r="U80" t="str">
            <v>Quarterly</v>
          </cell>
          <cell r="V80" t="str">
            <v>RICS</v>
          </cell>
          <cell r="W80" t="str">
            <v>INREV NAV</v>
          </cell>
          <cell r="X80" t="str">
            <v>Deloitte</v>
          </cell>
          <cell r="Y80" t="str">
            <v>Real Estate Fund</v>
          </cell>
          <cell r="Z80" t="str">
            <v>Yes</v>
          </cell>
          <cell r="AA80" t="str">
            <v>Yes</v>
          </cell>
          <cell r="AB80">
            <v>4</v>
          </cell>
          <cell r="AC80" t="str">
            <v>Non-Listed Fund</v>
          </cell>
          <cell r="AD80" t="str">
            <v>Core</v>
          </cell>
          <cell r="AE80" t="str">
            <v>infinite</v>
          </cell>
          <cell r="AF80" t="str">
            <v>Closed end</v>
          </cell>
          <cell r="AG80">
            <v>5.5</v>
          </cell>
          <cell r="AH80">
            <v>7</v>
          </cell>
          <cell r="AI80" t="str">
            <v>Net</v>
          </cell>
          <cell r="AJ80" t="str">
            <v>Absolute return target.</v>
          </cell>
          <cell r="AL80">
            <v>0</v>
          </cell>
          <cell r="AM80" t="str">
            <v>≤ 40%</v>
          </cell>
          <cell r="AN80" t="str">
            <v>Institutional</v>
          </cell>
          <cell r="AO80" t="str">
            <v>&gt; 2</v>
          </cell>
          <cell r="AP80" t="str">
            <v>≥ 50%</v>
          </cell>
          <cell r="AQ80" t="str">
            <v>Europe</v>
          </cell>
          <cell r="AR80" t="str">
            <v>single country</v>
          </cell>
          <cell r="AT80" t="str">
            <v>Netherlands</v>
          </cell>
          <cell r="AU80" t="str">
            <v>single sector</v>
          </cell>
          <cell r="AV80" t="str">
            <v>Residential</v>
          </cell>
          <cell r="AY80">
            <v>2010</v>
          </cell>
          <cell r="BE80" t="str">
            <v>≥ 60%</v>
          </cell>
          <cell r="BF80" t="str">
            <v>≤ 15%</v>
          </cell>
          <cell r="BH80" t="str">
            <v>2020-12-31</v>
          </cell>
          <cell r="BI80">
            <v>7087309000</v>
          </cell>
          <cell r="BJ80">
            <v>7087309000</v>
          </cell>
          <cell r="BK80">
            <v>6937638000</v>
          </cell>
          <cell r="BL80">
            <v>6937638000</v>
          </cell>
          <cell r="BM80">
            <v>0</v>
          </cell>
          <cell r="BN80" t="str">
            <v>No</v>
          </cell>
          <cell r="BO80" t="str">
            <v>External</v>
          </cell>
          <cell r="BP80">
            <v>19</v>
          </cell>
          <cell r="BQ80">
            <v>268</v>
          </cell>
          <cell r="BR80">
            <v>4604339000</v>
          </cell>
          <cell r="BS80">
            <v>4604339000</v>
          </cell>
          <cell r="BT80">
            <v>4221339000</v>
          </cell>
          <cell r="BU80">
            <v>4221339000</v>
          </cell>
          <cell r="BV80" t="str">
            <v>Yes</v>
          </cell>
          <cell r="BW80" t="str">
            <v>Netherlands</v>
          </cell>
          <cell r="BX80" t="str">
            <v>Residential</v>
          </cell>
          <cell r="BY80">
            <v>96.4</v>
          </cell>
        </row>
        <row r="81">
          <cell r="A81">
            <v>589</v>
          </cell>
          <cell r="B81" t="str">
            <v>BOUWINVEST DUTCH INSTITUTIONAL RETAIL FUND NV</v>
          </cell>
          <cell r="C81" t="str">
            <v>BOUWINVEST REAL ESTATE INVESTMENT MANAGEMENT BV</v>
          </cell>
          <cell r="D81" t="str">
            <v>La Guardiaweg 4</v>
          </cell>
          <cell r="E81" t="str">
            <v>1043 DG</v>
          </cell>
          <cell r="F81" t="str">
            <v>Amsterdam</v>
          </cell>
          <cell r="G81" t="str">
            <v>Netherlands</v>
          </cell>
          <cell r="H81" t="str">
            <v>+31206771600</v>
          </cell>
          <cell r="I81" t="str">
            <v>+31206771700</v>
          </cell>
          <cell r="J81" t="str">
            <v>http://www.bouwinvest.nl</v>
          </cell>
          <cell r="K81" t="str">
            <v>Collin Boelhouwer</v>
          </cell>
          <cell r="O81" t="str">
            <v>clientmanagement@bouwinvest.nl</v>
          </cell>
          <cell r="Q81" t="str">
            <v>Netherlands</v>
          </cell>
          <cell r="R81" t="str">
            <v>EUR</v>
          </cell>
          <cell r="S81" t="str">
            <v>IFRS</v>
          </cell>
          <cell r="T81" t="str">
            <v>Quarterly</v>
          </cell>
          <cell r="U81" t="str">
            <v>Quarterly</v>
          </cell>
          <cell r="V81" t="str">
            <v>RICS</v>
          </cell>
          <cell r="W81" t="str">
            <v>INREV NAV</v>
          </cell>
          <cell r="X81" t="str">
            <v>Deloitte</v>
          </cell>
          <cell r="Y81" t="str">
            <v>Real Estate Fund</v>
          </cell>
          <cell r="Z81" t="str">
            <v>Yes</v>
          </cell>
          <cell r="AA81" t="str">
            <v>Yes</v>
          </cell>
          <cell r="AB81">
            <v>4</v>
          </cell>
          <cell r="AC81" t="str">
            <v>Non-Listed Fund</v>
          </cell>
          <cell r="AD81" t="str">
            <v>Core</v>
          </cell>
          <cell r="AE81" t="str">
            <v>infinite</v>
          </cell>
          <cell r="AF81" t="str">
            <v>Closed end</v>
          </cell>
          <cell r="AG81">
            <v>6</v>
          </cell>
          <cell r="AH81">
            <v>7.5</v>
          </cell>
          <cell r="AI81" t="str">
            <v>Net</v>
          </cell>
          <cell r="AJ81" t="str">
            <v>Absolute return target</v>
          </cell>
          <cell r="AL81">
            <v>0</v>
          </cell>
          <cell r="AM81" t="str">
            <v>≤ 40%</v>
          </cell>
          <cell r="AN81" t="str">
            <v>Institutional</v>
          </cell>
          <cell r="AO81" t="str">
            <v>&gt; 2</v>
          </cell>
          <cell r="AP81" t="str">
            <v>≥ 50%</v>
          </cell>
          <cell r="AQ81" t="str">
            <v>Europe</v>
          </cell>
          <cell r="AR81" t="str">
            <v>single country</v>
          </cell>
          <cell r="AT81" t="str">
            <v>Netherlands</v>
          </cell>
          <cell r="AU81" t="str">
            <v>single sector</v>
          </cell>
          <cell r="AV81" t="str">
            <v>Retail</v>
          </cell>
          <cell r="AY81">
            <v>2010</v>
          </cell>
          <cell r="BE81" t="str">
            <v>≥ 60%</v>
          </cell>
          <cell r="BF81" t="str">
            <v>≤ 15%</v>
          </cell>
          <cell r="BH81" t="str">
            <v>2020-12-31</v>
          </cell>
          <cell r="BI81">
            <v>967500000</v>
          </cell>
          <cell r="BJ81">
            <v>967500000</v>
          </cell>
          <cell r="BK81">
            <v>951025000</v>
          </cell>
          <cell r="BL81">
            <v>951025000</v>
          </cell>
          <cell r="BM81">
            <v>0</v>
          </cell>
          <cell r="BN81" t="str">
            <v>No</v>
          </cell>
          <cell r="BO81" t="str">
            <v>External</v>
          </cell>
          <cell r="BP81">
            <v>6</v>
          </cell>
          <cell r="BQ81">
            <v>59</v>
          </cell>
          <cell r="BR81">
            <v>984962000</v>
          </cell>
          <cell r="BS81">
            <v>984962000</v>
          </cell>
          <cell r="BT81">
            <v>894961000</v>
          </cell>
          <cell r="BU81">
            <v>894961000</v>
          </cell>
          <cell r="BV81" t="str">
            <v>Yes</v>
          </cell>
          <cell r="BW81" t="str">
            <v>Netherlands</v>
          </cell>
          <cell r="BX81" t="str">
            <v>Retail</v>
          </cell>
          <cell r="BY81">
            <v>98.9</v>
          </cell>
        </row>
        <row r="82">
          <cell r="A82">
            <v>76</v>
          </cell>
          <cell r="B82" t="str">
            <v>BPT HANSA LUX. SICAV-SIF</v>
          </cell>
          <cell r="C82" t="str">
            <v>NORTHERN HORIZON CAPITAL A/S</v>
          </cell>
          <cell r="D82" t="str">
            <v>Christian IX's gade 2, 2nd floor</v>
          </cell>
          <cell r="E82">
            <v>1111</v>
          </cell>
          <cell r="F82" t="str">
            <v>Copenhagen</v>
          </cell>
          <cell r="G82" t="str">
            <v>Denmark</v>
          </cell>
          <cell r="H82" t="str">
            <v>+45 33 69 07 33</v>
          </cell>
          <cell r="I82" t="str">
            <v>+45 33 69 07 35</v>
          </cell>
          <cell r="J82" t="str">
            <v>http://www.bptam.com</v>
          </cell>
          <cell r="K82" t="str">
            <v>Georg Haider</v>
          </cell>
          <cell r="L82" t="str">
            <v>georg.haider@nh-cap.com</v>
          </cell>
          <cell r="M82" t="str">
            <v>+49 30 20 21 59 886</v>
          </cell>
          <cell r="N82" t="str">
            <v>Georg Haider</v>
          </cell>
          <cell r="O82" t="str">
            <v>georg.haider@nh-cap.com</v>
          </cell>
          <cell r="P82" t="str">
            <v>+49 30 20 21 59 886</v>
          </cell>
          <cell r="Q82" t="str">
            <v>Luxembourg</v>
          </cell>
          <cell r="R82" t="str">
            <v>EUR</v>
          </cell>
          <cell r="S82" t="str">
            <v>IFRS</v>
          </cell>
          <cell r="T82" t="str">
            <v>Quarterly</v>
          </cell>
          <cell r="U82" t="str">
            <v>Annually</v>
          </cell>
          <cell r="V82" t="str">
            <v>RICS</v>
          </cell>
          <cell r="W82" t="str">
            <v>IFRS NAV</v>
          </cell>
          <cell r="X82" t="str">
            <v>Ernst &amp; Young</v>
          </cell>
          <cell r="Y82" t="str">
            <v>SICAV-SIF</v>
          </cell>
          <cell r="Z82" t="str">
            <v>Yes</v>
          </cell>
          <cell r="AA82" t="str">
            <v>Yes</v>
          </cell>
          <cell r="AB82">
            <v>5</v>
          </cell>
          <cell r="AC82" t="str">
            <v>Non-Listed Fund</v>
          </cell>
          <cell r="AD82" t="str">
            <v>Core</v>
          </cell>
          <cell r="AE82" t="str">
            <v>finite</v>
          </cell>
          <cell r="AF82" t="str">
            <v>Closed end</v>
          </cell>
          <cell r="AG82">
            <v>7</v>
          </cell>
          <cell r="AH82">
            <v>7</v>
          </cell>
          <cell r="AI82" t="str">
            <v>Net</v>
          </cell>
          <cell r="AJ82" t="str">
            <v>Absolut Return</v>
          </cell>
          <cell r="AK82">
            <v>5</v>
          </cell>
          <cell r="AL82">
            <v>70</v>
          </cell>
          <cell r="AM82" t="str">
            <v>&gt; 60%</v>
          </cell>
          <cell r="AN82" t="str">
            <v>Institutional</v>
          </cell>
          <cell r="AO82" t="str">
            <v>&gt; 2</v>
          </cell>
          <cell r="AP82" t="str">
            <v>≥ 50%</v>
          </cell>
          <cell r="AQ82" t="str">
            <v>Europe</v>
          </cell>
          <cell r="AR82" t="str">
            <v>single country</v>
          </cell>
          <cell r="AT82" t="str">
            <v>Germany</v>
          </cell>
          <cell r="AU82" t="str">
            <v>multi sector</v>
          </cell>
          <cell r="AW82">
            <v>300000000</v>
          </cell>
          <cell r="AX82">
            <v>1000000000</v>
          </cell>
          <cell r="AY82">
            <v>2007</v>
          </cell>
          <cell r="AZ82">
            <v>2022</v>
          </cell>
          <cell r="BA82" t="str">
            <v>Yes</v>
          </cell>
          <cell r="BB82" t="str">
            <v>No</v>
          </cell>
          <cell r="BH82" t="str">
            <v>2020-12-31</v>
          </cell>
          <cell r="BI82">
            <v>59028000</v>
          </cell>
          <cell r="BJ82">
            <v>59028000</v>
          </cell>
          <cell r="BK82">
            <v>32026000</v>
          </cell>
          <cell r="BL82">
            <v>32026000</v>
          </cell>
          <cell r="BM82">
            <v>36</v>
          </cell>
          <cell r="BN82" t="str">
            <v>No</v>
          </cell>
          <cell r="BO82" t="str">
            <v>External</v>
          </cell>
          <cell r="BP82">
            <v>15</v>
          </cell>
          <cell r="BQ82">
            <v>3</v>
          </cell>
          <cell r="BR82">
            <v>24300000</v>
          </cell>
          <cell r="BS82">
            <v>24300000</v>
          </cell>
          <cell r="BT82">
            <v>24300000</v>
          </cell>
          <cell r="BU82">
            <v>24300000</v>
          </cell>
          <cell r="BV82" t="str">
            <v>No</v>
          </cell>
          <cell r="BW82" t="str">
            <v>Germany</v>
          </cell>
          <cell r="BX82" t="str">
            <v>Office</v>
          </cell>
          <cell r="BY82">
            <v>92</v>
          </cell>
        </row>
        <row r="83">
          <cell r="A83">
            <v>17238</v>
          </cell>
          <cell r="B83" t="str">
            <v>BROCKTON CAPITAL FUND I</v>
          </cell>
          <cell r="C83" t="str">
            <v>BROCKTON CAPITAL LLP</v>
          </cell>
          <cell r="D83" t="str">
            <v xml:space="preserve">89 Wardour Street </v>
          </cell>
          <cell r="E83" t="str">
            <v>W1F 0UB</v>
          </cell>
          <cell r="F83" t="str">
            <v>London</v>
          </cell>
          <cell r="G83" t="str">
            <v>United Kingdom</v>
          </cell>
          <cell r="H83" t="str">
            <v>+44 (0) 207 220 2500</v>
          </cell>
          <cell r="I83">
            <v>442077343655</v>
          </cell>
          <cell r="J83" t="str">
            <v>http://www.brocktoncapital.com</v>
          </cell>
          <cell r="K83" t="str">
            <v>Jason Blank</v>
          </cell>
          <cell r="L83" t="str">
            <v>blank@brocktoncapital.com</v>
          </cell>
          <cell r="M83" t="str">
            <v>+44 (0) 207 220 2500</v>
          </cell>
          <cell r="N83" t="str">
            <v>Sara Roure</v>
          </cell>
          <cell r="O83" t="str">
            <v>roure@brocktoncapital.com</v>
          </cell>
          <cell r="P83" t="str">
            <v>+44 (0)207 220 2590</v>
          </cell>
          <cell r="Q83" t="str">
            <v>Guernsey</v>
          </cell>
          <cell r="R83" t="str">
            <v>GBP</v>
          </cell>
          <cell r="T83" t="str">
            <v>Quarterly</v>
          </cell>
          <cell r="U83" t="str">
            <v>Quarterly</v>
          </cell>
          <cell r="AC83" t="str">
            <v>Non-Listed Fund</v>
          </cell>
          <cell r="AD83" t="str">
            <v>Opportunity</v>
          </cell>
          <cell r="AE83" t="str">
            <v>finite</v>
          </cell>
          <cell r="AF83" t="str">
            <v>Closed end</v>
          </cell>
          <cell r="AG83">
            <v>18</v>
          </cell>
          <cell r="AH83">
            <v>20</v>
          </cell>
          <cell r="AI83" t="str">
            <v>Gross</v>
          </cell>
          <cell r="AN83" t="str">
            <v>Institutional</v>
          </cell>
          <cell r="AO83" t="str">
            <v>&gt; 2</v>
          </cell>
          <cell r="AP83" t="str">
            <v>≥ 50%</v>
          </cell>
          <cell r="AQ83" t="str">
            <v>Europe</v>
          </cell>
          <cell r="AR83" t="str">
            <v>single country</v>
          </cell>
          <cell r="AT83" t="str">
            <v>United Kingdom</v>
          </cell>
          <cell r="AU83" t="str">
            <v>multi sector</v>
          </cell>
          <cell r="AY83">
            <v>2006</v>
          </cell>
        </row>
        <row r="84">
          <cell r="A84">
            <v>19328</v>
          </cell>
          <cell r="B84" t="str">
            <v>BUDAPEST SHOPINVEST</v>
          </cell>
          <cell r="C84" t="str">
            <v>DWS GRUNDBESITZ GMBH</v>
          </cell>
          <cell r="D84" t="str">
            <v>Mainzer Landstr. 11-17</v>
          </cell>
          <cell r="E84" t="str">
            <v xml:space="preserve">60329 </v>
          </cell>
          <cell r="F84" t="str">
            <v>Frankfurt am Main</v>
          </cell>
          <cell r="G84" t="str">
            <v>Germany</v>
          </cell>
          <cell r="K84" t="str">
            <v>Thomas Köhler</v>
          </cell>
          <cell r="L84" t="str">
            <v>thomas-d.koehler@dws.com</v>
          </cell>
          <cell r="M84" t="str">
            <v>+49 (69) 910 - 14934</v>
          </cell>
          <cell r="Q84" t="str">
            <v>Germany</v>
          </cell>
          <cell r="R84" t="str">
            <v>EUR</v>
          </cell>
          <cell r="S84" t="str">
            <v>HGB</v>
          </cell>
          <cell r="T84" t="str">
            <v>Annually</v>
          </cell>
          <cell r="U84" t="str">
            <v>Annually</v>
          </cell>
          <cell r="V84" t="str">
            <v>ImmoWertV</v>
          </cell>
          <cell r="W84" t="str">
            <v>KAGB</v>
          </cell>
          <cell r="X84" t="str">
            <v>BDO</v>
          </cell>
          <cell r="Y84" t="str">
            <v>Publikumsfonds</v>
          </cell>
          <cell r="Z84" t="str">
            <v>No</v>
          </cell>
          <cell r="AC84" t="str">
            <v>Non-Listed Fund</v>
          </cell>
          <cell r="AD84" t="str">
            <v>Core</v>
          </cell>
          <cell r="AE84" t="str">
            <v>finite</v>
          </cell>
          <cell r="AF84" t="str">
            <v>Closed end</v>
          </cell>
          <cell r="AN84" t="str">
            <v>Retail</v>
          </cell>
          <cell r="AO84" t="str">
            <v>&gt; 2</v>
          </cell>
          <cell r="AP84" t="str">
            <v>&lt; 50%</v>
          </cell>
          <cell r="AQ84" t="str">
            <v>Europe</v>
          </cell>
          <cell r="AR84" t="str">
            <v>single country</v>
          </cell>
          <cell r="AT84" t="str">
            <v>Hungary</v>
          </cell>
          <cell r="AU84" t="str">
            <v>single sector</v>
          </cell>
          <cell r="AV84" t="str">
            <v>Retail</v>
          </cell>
          <cell r="AY84">
            <v>2002</v>
          </cell>
          <cell r="BH84" t="str">
            <v>2018-12-31</v>
          </cell>
          <cell r="BI84">
            <v>225000000</v>
          </cell>
          <cell r="BJ84">
            <v>225000000</v>
          </cell>
          <cell r="BK84">
            <v>41664000</v>
          </cell>
          <cell r="BL84">
            <v>41664000</v>
          </cell>
          <cell r="BM84">
            <v>15.99</v>
          </cell>
          <cell r="BN84" t="str">
            <v>Yes</v>
          </cell>
          <cell r="BO84" t="str">
            <v>External</v>
          </cell>
          <cell r="BP84">
            <v>0</v>
          </cell>
          <cell r="BQ84">
            <v>1</v>
          </cell>
          <cell r="BS84">
            <v>0</v>
          </cell>
          <cell r="BV84" t="str">
            <v>No</v>
          </cell>
          <cell r="BW84" t="str">
            <v>Hungary</v>
          </cell>
          <cell r="BX84" t="str">
            <v>Retail</v>
          </cell>
          <cell r="BY84">
            <v>100</v>
          </cell>
        </row>
        <row r="85">
          <cell r="A85">
            <v>627</v>
          </cell>
          <cell r="B85" t="str">
            <v>CAESAR FUND</v>
          </cell>
          <cell r="C85" t="str">
            <v>AXA REIM SGR S.P.A</v>
          </cell>
          <cell r="D85" t="str">
            <v>Corso di Porta Romana no. 68</v>
          </cell>
          <cell r="E85">
            <v>20146</v>
          </cell>
          <cell r="F85" t="str">
            <v>Milan</v>
          </cell>
          <cell r="G85" t="str">
            <v>Italy</v>
          </cell>
          <cell r="J85" t="str">
            <v>https://realassets.axa-im.com</v>
          </cell>
          <cell r="K85" t="str">
            <v>Lorenzo Scarfi</v>
          </cell>
          <cell r="L85" t="str">
            <v>lorenzo.scarfi@axa-im.com</v>
          </cell>
          <cell r="M85" t="str">
            <v>+390258442018</v>
          </cell>
          <cell r="N85" t="str">
            <v>Jamie-Lee Chambers</v>
          </cell>
          <cell r="O85" t="str">
            <v>jamie-lee.chambers@axa-im.com</v>
          </cell>
          <cell r="Q85" t="str">
            <v>Italy</v>
          </cell>
          <cell r="R85" t="str">
            <v>EUR</v>
          </cell>
          <cell r="S85" t="str">
            <v>Local GAAP</v>
          </cell>
          <cell r="T85" t="str">
            <v>Quarterly</v>
          </cell>
          <cell r="U85" t="str">
            <v>Twice per year</v>
          </cell>
          <cell r="V85" t="str">
            <v>Other - mark to market</v>
          </cell>
          <cell r="W85" t="str">
            <v>Bank of Italy Gaap - similar to IFRS</v>
          </cell>
          <cell r="X85" t="str">
            <v>Mazars</v>
          </cell>
          <cell r="Y85" t="str">
            <v>Real Estate Fund</v>
          </cell>
          <cell r="Z85" t="str">
            <v>No</v>
          </cell>
          <cell r="AB85">
            <v>0</v>
          </cell>
          <cell r="AC85" t="str">
            <v>Non-Listed Fund</v>
          </cell>
          <cell r="AD85" t="str">
            <v>Core</v>
          </cell>
          <cell r="AE85" t="str">
            <v>finite</v>
          </cell>
          <cell r="AF85" t="str">
            <v>Closed end</v>
          </cell>
          <cell r="AG85">
            <v>8</v>
          </cell>
          <cell r="AH85">
            <v>8</v>
          </cell>
          <cell r="AN85" t="str">
            <v>Institutional</v>
          </cell>
          <cell r="AO85" t="str">
            <v>&gt; 2</v>
          </cell>
          <cell r="AP85" t="str">
            <v>≥ 50%</v>
          </cell>
          <cell r="AQ85" t="str">
            <v>Europe</v>
          </cell>
          <cell r="AR85" t="str">
            <v>multi country</v>
          </cell>
          <cell r="AS85" t="str">
            <v>Europe</v>
          </cell>
          <cell r="AU85" t="str">
            <v>single sector</v>
          </cell>
          <cell r="AV85" t="str">
            <v>Office</v>
          </cell>
          <cell r="AW85">
            <v>200000000</v>
          </cell>
          <cell r="AY85">
            <v>2012</v>
          </cell>
          <cell r="AZ85">
            <v>2020</v>
          </cell>
          <cell r="BA85" t="str">
            <v>Yes</v>
          </cell>
          <cell r="BB85" t="str">
            <v>Yes</v>
          </cell>
          <cell r="BC85" t="str">
            <v>1+1+1 years</v>
          </cell>
          <cell r="BH85" t="str">
            <v>2020-12-31</v>
          </cell>
          <cell r="BI85">
            <v>14699714</v>
          </cell>
          <cell r="BJ85">
            <v>14699714</v>
          </cell>
          <cell r="BK85">
            <v>14699714</v>
          </cell>
          <cell r="BL85">
            <v>14699714</v>
          </cell>
          <cell r="BM85">
            <v>0</v>
          </cell>
          <cell r="BN85" t="str">
            <v>Yes</v>
          </cell>
          <cell r="BO85" t="str">
            <v>External</v>
          </cell>
          <cell r="BP85">
            <v>12</v>
          </cell>
          <cell r="BQ85">
            <v>0</v>
          </cell>
          <cell r="BR85">
            <v>209000000</v>
          </cell>
          <cell r="BS85">
            <v>209000000</v>
          </cell>
          <cell r="BT85">
            <v>209000000</v>
          </cell>
          <cell r="BU85">
            <v>209000000</v>
          </cell>
          <cell r="BV85" t="str">
            <v>No</v>
          </cell>
        </row>
        <row r="86">
          <cell r="A86">
            <v>81</v>
          </cell>
          <cell r="B86" t="str">
            <v>CAPITAL FRANCE HôTEL</v>
          </cell>
          <cell r="C86" t="str">
            <v>ALGONQUIN ASSET MANAGEMENT FRANCE</v>
          </cell>
          <cell r="D86" t="str">
            <v>60, rue Pierre Charron</v>
          </cell>
          <cell r="E86">
            <v>75008</v>
          </cell>
          <cell r="F86" t="str">
            <v>Paris</v>
          </cell>
          <cell r="G86" t="str">
            <v>France</v>
          </cell>
          <cell r="H86" t="str">
            <v>+33 (0) 1 80 27 18 30</v>
          </cell>
          <cell r="I86" t="str">
            <v>+33 (0) 1 80 27 18 34</v>
          </cell>
          <cell r="K86" t="str">
            <v>Frédéric de Brem</v>
          </cell>
          <cell r="L86" t="str">
            <v>fdebrem@algonquin-amf.com</v>
          </cell>
          <cell r="M86" t="str">
            <v>+33 (0) 1 80 27 18 30</v>
          </cell>
          <cell r="N86" t="str">
            <v>Frédéric de Brem</v>
          </cell>
          <cell r="O86" t="str">
            <v>fdebrem@algonquin-amf.com</v>
          </cell>
          <cell r="P86" t="str">
            <v>+33 (0) 1 80 27 18 30</v>
          </cell>
          <cell r="Q86" t="str">
            <v>France</v>
          </cell>
          <cell r="R86" t="str">
            <v>EUR</v>
          </cell>
          <cell r="S86" t="str">
            <v>Local GAAP</v>
          </cell>
          <cell r="T86" t="str">
            <v>Quarterly</v>
          </cell>
          <cell r="U86" t="str">
            <v>Annually</v>
          </cell>
          <cell r="X86" t="str">
            <v>Mazars &amp; Guerard</v>
          </cell>
          <cell r="Y86" t="str">
            <v>Limited Partnership</v>
          </cell>
          <cell r="Z86" t="str">
            <v>Yes</v>
          </cell>
          <cell r="AA86" t="str">
            <v>Yes</v>
          </cell>
          <cell r="AB86">
            <v>6</v>
          </cell>
          <cell r="AC86" t="str">
            <v>Non-Listed Fund</v>
          </cell>
          <cell r="AD86" t="str">
            <v>Core</v>
          </cell>
          <cell r="AE86" t="str">
            <v>finite</v>
          </cell>
          <cell r="AF86" t="str">
            <v>Closed end</v>
          </cell>
          <cell r="AG86">
            <v>7.5</v>
          </cell>
          <cell r="AH86">
            <v>10</v>
          </cell>
          <cell r="AI86" t="str">
            <v>Gross</v>
          </cell>
          <cell r="AJ86" t="str">
            <v>None</v>
          </cell>
          <cell r="AL86">
            <v>15</v>
          </cell>
          <cell r="AM86" t="str">
            <v>≤ 40%</v>
          </cell>
          <cell r="AN86" t="str">
            <v>Institutional</v>
          </cell>
          <cell r="AP86" t="str">
            <v>≥ 50%</v>
          </cell>
          <cell r="AQ86" t="str">
            <v>Europe</v>
          </cell>
          <cell r="AR86" t="str">
            <v>multi country</v>
          </cell>
          <cell r="AS86" t="str">
            <v>Europe</v>
          </cell>
          <cell r="AU86" t="str">
            <v>single sector</v>
          </cell>
          <cell r="AV86" t="str">
            <v>Hotel</v>
          </cell>
          <cell r="AW86">
            <v>1000000000</v>
          </cell>
          <cell r="AX86">
            <v>1000000000</v>
          </cell>
          <cell r="AY86">
            <v>2007</v>
          </cell>
          <cell r="AZ86">
            <v>2015</v>
          </cell>
          <cell r="BA86" t="str">
            <v>Yes</v>
          </cell>
          <cell r="BB86" t="str">
            <v>Yes</v>
          </cell>
          <cell r="BC86" t="str">
            <v>3 years</v>
          </cell>
          <cell r="BH86" t="str">
            <v>2009-06-30</v>
          </cell>
          <cell r="BI86">
            <v>300000000</v>
          </cell>
          <cell r="BJ86">
            <v>300000000</v>
          </cell>
          <cell r="BK86">
            <v>300000000</v>
          </cell>
          <cell r="BL86">
            <v>300000000</v>
          </cell>
          <cell r="BP86">
            <v>2</v>
          </cell>
          <cell r="BQ86">
            <v>12</v>
          </cell>
          <cell r="BR86">
            <v>300000000</v>
          </cell>
          <cell r="BS86">
            <v>300000000</v>
          </cell>
          <cell r="BU86">
            <v>0</v>
          </cell>
          <cell r="BV86" t="str">
            <v>Yes</v>
          </cell>
        </row>
        <row r="87">
          <cell r="A87">
            <v>17506</v>
          </cell>
          <cell r="B87" t="str">
            <v>CAPMAN NORDIC REAL ESTATE</v>
          </cell>
          <cell r="C87" t="str">
            <v>CAPMAN PLC</v>
          </cell>
          <cell r="D87" t="str">
            <v>Ludviginkatu 6, 4 fl.</v>
          </cell>
          <cell r="E87">
            <v>130</v>
          </cell>
          <cell r="F87" t="str">
            <v>Helsinki</v>
          </cell>
          <cell r="G87" t="str">
            <v>Finland</v>
          </cell>
          <cell r="H87" t="str">
            <v>+358 207 207 500</v>
          </cell>
          <cell r="J87" t="str">
            <v>http://www.capman.com/</v>
          </cell>
          <cell r="K87" t="str">
            <v>Mika Matikainen</v>
          </cell>
          <cell r="L87" t="str">
            <v>mika.matikainen@capman.com</v>
          </cell>
          <cell r="M87" t="str">
            <v>+358 40 5190707</v>
          </cell>
          <cell r="N87" t="str">
            <v>Nigel Pedroz</v>
          </cell>
          <cell r="O87" t="str">
            <v>nigel.pedroz@capman.com</v>
          </cell>
          <cell r="P87" t="str">
            <v>0203 640 8681</v>
          </cell>
          <cell r="Q87" t="str">
            <v>Luxembourg</v>
          </cell>
          <cell r="R87" t="str">
            <v>EUR</v>
          </cell>
          <cell r="S87" t="str">
            <v>IFRS</v>
          </cell>
          <cell r="T87" t="str">
            <v>Annually</v>
          </cell>
          <cell r="U87" t="str">
            <v>Annually</v>
          </cell>
          <cell r="V87" t="str">
            <v>RICS</v>
          </cell>
          <cell r="W87" t="str">
            <v>IFRS NAV</v>
          </cell>
          <cell r="X87" t="str">
            <v>EY</v>
          </cell>
          <cell r="Y87" t="str">
            <v>FCP</v>
          </cell>
          <cell r="Z87" t="str">
            <v>Yes</v>
          </cell>
          <cell r="AA87" t="str">
            <v>Yes</v>
          </cell>
          <cell r="AB87">
            <v>1</v>
          </cell>
          <cell r="AC87" t="str">
            <v>Non-Listed Fund</v>
          </cell>
          <cell r="AD87" t="str">
            <v>Value-added</v>
          </cell>
          <cell r="AE87" t="str">
            <v>finite</v>
          </cell>
          <cell r="AF87" t="str">
            <v>Closed end</v>
          </cell>
          <cell r="AG87">
            <v>16</v>
          </cell>
          <cell r="AH87">
            <v>18</v>
          </cell>
          <cell r="AI87" t="str">
            <v>Gross</v>
          </cell>
          <cell r="AJ87" t="str">
            <v>Absolute return</v>
          </cell>
          <cell r="AK87">
            <v>6</v>
          </cell>
          <cell r="AL87">
            <v>60</v>
          </cell>
          <cell r="AM87" t="str">
            <v>&gt; 40% - ≤ 60%</v>
          </cell>
          <cell r="AN87" t="str">
            <v>Institutional</v>
          </cell>
          <cell r="AO87" t="str">
            <v>&gt; 2</v>
          </cell>
          <cell r="AP87" t="str">
            <v>≥ 50%</v>
          </cell>
          <cell r="AQ87" t="str">
            <v>Europe</v>
          </cell>
          <cell r="AR87" t="str">
            <v>multi country</v>
          </cell>
          <cell r="AS87" t="str">
            <v>Nordic</v>
          </cell>
          <cell r="AU87" t="str">
            <v>multi sector</v>
          </cell>
          <cell r="AW87">
            <v>250000000</v>
          </cell>
          <cell r="AX87">
            <v>625000000</v>
          </cell>
          <cell r="AY87">
            <v>2014</v>
          </cell>
          <cell r="AZ87">
            <v>2022</v>
          </cell>
          <cell r="BA87" t="str">
            <v>No</v>
          </cell>
          <cell r="BB87" t="str">
            <v>No</v>
          </cell>
          <cell r="BD87" t="str">
            <v>No</v>
          </cell>
          <cell r="BE87" t="str">
            <v>&lt; 60%</v>
          </cell>
          <cell r="BF87" t="str">
            <v>≤ 15%</v>
          </cell>
          <cell r="BG87" t="str">
            <v>&gt; 5 - ≤ 25%</v>
          </cell>
          <cell r="BH87" t="str">
            <v>2020-12-31</v>
          </cell>
          <cell r="BI87">
            <v>414312714</v>
          </cell>
          <cell r="BJ87">
            <v>414312714</v>
          </cell>
          <cell r="BK87">
            <v>201787158</v>
          </cell>
          <cell r="BL87">
            <v>201787158</v>
          </cell>
          <cell r="BM87">
            <v>40</v>
          </cell>
          <cell r="BN87" t="str">
            <v>No</v>
          </cell>
          <cell r="BO87" t="str">
            <v>External</v>
          </cell>
          <cell r="BP87">
            <v>30</v>
          </cell>
          <cell r="BQ87">
            <v>9</v>
          </cell>
          <cell r="BR87">
            <v>273263158</v>
          </cell>
          <cell r="BS87">
            <v>273263158</v>
          </cell>
          <cell r="BT87">
            <v>275837431</v>
          </cell>
          <cell r="BU87">
            <v>275837431</v>
          </cell>
          <cell r="BV87" t="str">
            <v>No</v>
          </cell>
          <cell r="BW87" t="str">
            <v>Sweden</v>
          </cell>
          <cell r="BX87" t="str">
            <v>Retail</v>
          </cell>
          <cell r="BY87">
            <v>19.32</v>
          </cell>
          <cell r="BZ87" t="str">
            <v>Norway</v>
          </cell>
          <cell r="CA87" t="str">
            <v>Office</v>
          </cell>
          <cell r="CB87">
            <v>8.99</v>
          </cell>
          <cell r="CC87" t="str">
            <v>Finland</v>
          </cell>
          <cell r="CD87" t="str">
            <v>Office</v>
          </cell>
          <cell r="CE87">
            <v>0.33</v>
          </cell>
          <cell r="CF87" t="str">
            <v>Denmark</v>
          </cell>
          <cell r="CG87" t="str">
            <v>Retail</v>
          </cell>
          <cell r="CH87">
            <v>29.27</v>
          </cell>
          <cell r="CI87" t="str">
            <v>Denmark</v>
          </cell>
          <cell r="CJ87" t="str">
            <v>Residential</v>
          </cell>
          <cell r="CK87">
            <v>42.07</v>
          </cell>
        </row>
        <row r="88">
          <cell r="A88">
            <v>84</v>
          </cell>
          <cell r="B88" t="str">
            <v>CAPMAN RE II KY</v>
          </cell>
          <cell r="C88" t="str">
            <v>CAPMAN REAL ESTATE LIMITED</v>
          </cell>
          <cell r="D88" t="str">
            <v>Korkeavuorenkatu 32</v>
          </cell>
          <cell r="E88">
            <v>130</v>
          </cell>
          <cell r="F88" t="str">
            <v>Helsinki</v>
          </cell>
          <cell r="G88" t="str">
            <v>Finland</v>
          </cell>
          <cell r="H88" t="str">
            <v>+358 (0) 207 207 500</v>
          </cell>
          <cell r="I88" t="str">
            <v>+358 (0) 207 207 540</v>
          </cell>
          <cell r="J88" t="str">
            <v>http://www.capman.com</v>
          </cell>
          <cell r="K88" t="str">
            <v>Kalle Myllymäki</v>
          </cell>
          <cell r="L88" t="str">
            <v>kalle.myllymaki@capman.com</v>
          </cell>
          <cell r="M88" t="str">
            <v>+358 (0) 50 3566 940</v>
          </cell>
          <cell r="N88" t="str">
            <v>Mika Matikainen</v>
          </cell>
          <cell r="O88" t="str">
            <v>mika.matikainen@capman.com</v>
          </cell>
          <cell r="P88" t="str">
            <v>+358 (0) 207 207 540</v>
          </cell>
          <cell r="Q88" t="str">
            <v>Finland</v>
          </cell>
          <cell r="R88" t="str">
            <v>EUR</v>
          </cell>
          <cell r="S88" t="str">
            <v>Local GAAP</v>
          </cell>
          <cell r="T88" t="str">
            <v>Quarterly</v>
          </cell>
          <cell r="U88" t="str">
            <v>Twice per year</v>
          </cell>
          <cell r="W88" t="str">
            <v>INREV NAV</v>
          </cell>
          <cell r="X88" t="str">
            <v>Ernst &amp; Young</v>
          </cell>
          <cell r="Y88" t="str">
            <v>Limited Partnership</v>
          </cell>
          <cell r="Z88" t="str">
            <v>Yes</v>
          </cell>
          <cell r="AA88" t="str">
            <v>Yes</v>
          </cell>
          <cell r="AB88">
            <v>0</v>
          </cell>
          <cell r="AC88" t="str">
            <v>Non-Listed Fund</v>
          </cell>
          <cell r="AD88" t="str">
            <v>Opportunity</v>
          </cell>
          <cell r="AE88" t="str">
            <v>finite</v>
          </cell>
          <cell r="AF88" t="str">
            <v>Closed end</v>
          </cell>
          <cell r="AG88">
            <v>14</v>
          </cell>
          <cell r="AH88">
            <v>14</v>
          </cell>
          <cell r="AI88" t="str">
            <v>Net</v>
          </cell>
          <cell r="AL88">
            <v>75</v>
          </cell>
          <cell r="AM88" t="str">
            <v>&gt; 60%</v>
          </cell>
          <cell r="AN88" t="str">
            <v>Institutional</v>
          </cell>
          <cell r="AO88" t="str">
            <v>&gt; 2</v>
          </cell>
          <cell r="AP88" t="str">
            <v>≥ 50%</v>
          </cell>
          <cell r="AQ88" t="str">
            <v>Europe</v>
          </cell>
          <cell r="AR88" t="str">
            <v>single country</v>
          </cell>
          <cell r="AT88" t="str">
            <v>Finland</v>
          </cell>
          <cell r="AU88" t="str">
            <v>multi sector</v>
          </cell>
          <cell r="AW88">
            <v>150000000</v>
          </cell>
          <cell r="AX88">
            <v>600000000</v>
          </cell>
          <cell r="AY88">
            <v>2006</v>
          </cell>
          <cell r="AZ88">
            <v>2016</v>
          </cell>
          <cell r="BA88" t="str">
            <v>Yes</v>
          </cell>
          <cell r="BB88" t="str">
            <v>Yes</v>
          </cell>
          <cell r="BC88" t="str">
            <v>1+1+1 years</v>
          </cell>
          <cell r="BH88" t="str">
            <v>2020-12-31</v>
          </cell>
          <cell r="BI88">
            <v>41184923</v>
          </cell>
          <cell r="BJ88">
            <v>41184923</v>
          </cell>
          <cell r="BK88">
            <v>38875237.57</v>
          </cell>
          <cell r="BL88">
            <v>38875237.57</v>
          </cell>
          <cell r="BM88">
            <v>0</v>
          </cell>
          <cell r="BN88" t="str">
            <v>No</v>
          </cell>
          <cell r="BO88" t="str">
            <v>External</v>
          </cell>
          <cell r="BP88">
            <v>15</v>
          </cell>
          <cell r="BQ88">
            <v>3</v>
          </cell>
          <cell r="BR88">
            <v>150000000</v>
          </cell>
          <cell r="BS88">
            <v>150000000</v>
          </cell>
          <cell r="BT88">
            <v>150000000</v>
          </cell>
          <cell r="BU88">
            <v>150000000</v>
          </cell>
          <cell r="BV88" t="str">
            <v>No</v>
          </cell>
          <cell r="BW88" t="str">
            <v>Finland</v>
          </cell>
          <cell r="BX88" t="str">
            <v>Other</v>
          </cell>
          <cell r="BY88">
            <v>4.13</v>
          </cell>
          <cell r="BZ88" t="str">
            <v>Finland</v>
          </cell>
          <cell r="CA88" t="str">
            <v>Retail</v>
          </cell>
          <cell r="CB88">
            <v>82.43</v>
          </cell>
          <cell r="CC88" t="str">
            <v>Finland</v>
          </cell>
          <cell r="CD88" t="str">
            <v>Office</v>
          </cell>
          <cell r="CE88">
            <v>9.35</v>
          </cell>
        </row>
        <row r="89">
          <cell r="A89">
            <v>83</v>
          </cell>
          <cell r="B89" t="str">
            <v>CAPMAN REAL ESTATE I KY</v>
          </cell>
          <cell r="C89" t="str">
            <v>CAPMAN REAL ESTATE LIMITED</v>
          </cell>
          <cell r="D89" t="str">
            <v>Korkeavuorenkatu 32</v>
          </cell>
          <cell r="E89">
            <v>130</v>
          </cell>
          <cell r="F89" t="str">
            <v>Helsinki</v>
          </cell>
          <cell r="G89" t="str">
            <v>Finland</v>
          </cell>
          <cell r="H89" t="str">
            <v>+358 (0) 207 207 500</v>
          </cell>
          <cell r="I89" t="str">
            <v>+358 (0) 207 207 540</v>
          </cell>
          <cell r="J89" t="str">
            <v>http://www.capman.com</v>
          </cell>
          <cell r="K89" t="str">
            <v>Kalle Myllymäki</v>
          </cell>
          <cell r="L89" t="str">
            <v>kalle.myllymaki@capman.com</v>
          </cell>
          <cell r="M89" t="str">
            <v>+358 (0) 50 3566 940</v>
          </cell>
          <cell r="N89" t="str">
            <v>Mika Matikainen</v>
          </cell>
          <cell r="O89" t="str">
            <v>mika.matikainen@capman.com</v>
          </cell>
          <cell r="P89" t="str">
            <v>+358 (0) 207 207 540</v>
          </cell>
          <cell r="Q89" t="str">
            <v>Finland</v>
          </cell>
          <cell r="R89" t="str">
            <v>EUR</v>
          </cell>
          <cell r="S89" t="str">
            <v>Local GAAP</v>
          </cell>
          <cell r="T89" t="str">
            <v>Quarterly</v>
          </cell>
          <cell r="U89" t="str">
            <v>Twice per year</v>
          </cell>
          <cell r="W89" t="str">
            <v>INREV NAV</v>
          </cell>
          <cell r="X89" t="str">
            <v>Ernst &amp; Young</v>
          </cell>
          <cell r="Y89" t="str">
            <v>Limited Partnership</v>
          </cell>
          <cell r="Z89" t="str">
            <v>Yes</v>
          </cell>
          <cell r="AA89" t="str">
            <v>Yes</v>
          </cell>
          <cell r="AB89">
            <v>0</v>
          </cell>
          <cell r="AC89" t="str">
            <v>Non-Listed Fund</v>
          </cell>
          <cell r="AD89" t="str">
            <v>Value-added</v>
          </cell>
          <cell r="AE89" t="str">
            <v>finite</v>
          </cell>
          <cell r="AF89" t="str">
            <v>Closed end</v>
          </cell>
          <cell r="AG89">
            <v>10.5</v>
          </cell>
          <cell r="AH89">
            <v>11</v>
          </cell>
          <cell r="AI89" t="str">
            <v>Net</v>
          </cell>
          <cell r="AL89">
            <v>75</v>
          </cell>
          <cell r="AM89" t="str">
            <v>&gt; 60%</v>
          </cell>
          <cell r="AN89" t="str">
            <v>Institutional</v>
          </cell>
          <cell r="AO89" t="str">
            <v>&gt; 2</v>
          </cell>
          <cell r="AP89" t="str">
            <v>≥ 50%</v>
          </cell>
          <cell r="AQ89" t="str">
            <v>Europe</v>
          </cell>
          <cell r="AR89" t="str">
            <v>single country</v>
          </cell>
          <cell r="AT89" t="str">
            <v>Finland</v>
          </cell>
          <cell r="AU89" t="str">
            <v>multi sector</v>
          </cell>
          <cell r="AW89">
            <v>100000000</v>
          </cell>
          <cell r="AX89">
            <v>500000000</v>
          </cell>
          <cell r="AY89">
            <v>2005</v>
          </cell>
          <cell r="AZ89">
            <v>2015</v>
          </cell>
          <cell r="BA89" t="str">
            <v>Yes</v>
          </cell>
          <cell r="BB89" t="str">
            <v>Yes</v>
          </cell>
          <cell r="BC89" t="str">
            <v>1+1+1 years</v>
          </cell>
          <cell r="BH89" t="str">
            <v>2020-12-31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 t="str">
            <v>No</v>
          </cell>
          <cell r="BO89" t="str">
            <v>External</v>
          </cell>
          <cell r="BP89">
            <v>10</v>
          </cell>
          <cell r="BQ89">
            <v>0</v>
          </cell>
          <cell r="BR89">
            <v>100000000</v>
          </cell>
          <cell r="BS89">
            <v>100000000</v>
          </cell>
          <cell r="BT89">
            <v>100000000</v>
          </cell>
          <cell r="BU89">
            <v>100000000</v>
          </cell>
          <cell r="BV89" t="str">
            <v>No</v>
          </cell>
        </row>
        <row r="90">
          <cell r="A90">
            <v>580</v>
          </cell>
          <cell r="B90" t="str">
            <v>CARBON NEUTRAL REAL ESTATE</v>
          </cell>
          <cell r="C90" t="str">
            <v>THREADNEEDLE ASSET MANAGEMENT LTD</v>
          </cell>
          <cell r="D90" t="str">
            <v>Cannon Place, 78 Cannon Street</v>
          </cell>
          <cell r="E90" t="str">
            <v>EC4N 6AG</v>
          </cell>
          <cell r="F90" t="str">
            <v>London</v>
          </cell>
          <cell r="G90" t="str">
            <v>United Kingdom</v>
          </cell>
          <cell r="H90" t="str">
            <v>+442074645000</v>
          </cell>
          <cell r="I90" t="str">
            <v>+442074645050</v>
          </cell>
          <cell r="J90" t="str">
            <v>http://www.columbiathreadneedle.com</v>
          </cell>
          <cell r="K90" t="str">
            <v>Joseph Vullo</v>
          </cell>
          <cell r="N90" t="str">
            <v>James Allum</v>
          </cell>
          <cell r="O90" t="str">
            <v>James.Allum@threadneedle.com</v>
          </cell>
          <cell r="P90" t="str">
            <v>+442074645782</v>
          </cell>
          <cell r="Q90" t="str">
            <v>Jersey</v>
          </cell>
          <cell r="R90" t="str">
            <v>GBP</v>
          </cell>
          <cell r="S90" t="str">
            <v>Local GAAP</v>
          </cell>
          <cell r="T90" t="str">
            <v>Annually</v>
          </cell>
          <cell r="U90" t="str">
            <v>Monthly</v>
          </cell>
          <cell r="V90" t="str">
            <v>RICS</v>
          </cell>
          <cell r="W90" t="str">
            <v>UK GAAP</v>
          </cell>
          <cell r="X90" t="str">
            <v>Price Waterhouse Coopers</v>
          </cell>
          <cell r="Y90" t="str">
            <v>Unit trust</v>
          </cell>
          <cell r="Z90" t="str">
            <v>No</v>
          </cell>
          <cell r="AA90" t="str">
            <v>Yes</v>
          </cell>
          <cell r="AB90">
            <v>3</v>
          </cell>
          <cell r="AC90" t="str">
            <v>Non-Listed Fund</v>
          </cell>
          <cell r="AD90" t="str">
            <v>Value-added</v>
          </cell>
          <cell r="AE90" t="str">
            <v>infinite</v>
          </cell>
          <cell r="AF90" t="str">
            <v>Open end</v>
          </cell>
          <cell r="AG90">
            <v>15</v>
          </cell>
          <cell r="AH90">
            <v>15</v>
          </cell>
          <cell r="AI90" t="str">
            <v>Net</v>
          </cell>
          <cell r="AJ90" t="str">
            <v>MSCI Index Total Return for the Office Sector</v>
          </cell>
          <cell r="AL90">
            <v>0</v>
          </cell>
          <cell r="AM90" t="str">
            <v>≤ 40%</v>
          </cell>
          <cell r="AN90" t="str">
            <v>Institutional</v>
          </cell>
          <cell r="AO90" t="str">
            <v>&gt; 2</v>
          </cell>
          <cell r="AP90" t="str">
            <v>≥ 50%</v>
          </cell>
          <cell r="AQ90" t="str">
            <v>Europe</v>
          </cell>
          <cell r="AR90" t="str">
            <v>single country</v>
          </cell>
          <cell r="AT90" t="str">
            <v>United Kingdom</v>
          </cell>
          <cell r="AU90" t="str">
            <v>single sector</v>
          </cell>
          <cell r="AV90" t="str">
            <v>Office</v>
          </cell>
          <cell r="AW90">
            <v>300000000</v>
          </cell>
          <cell r="AX90">
            <v>300000000</v>
          </cell>
          <cell r="AY90">
            <v>2010</v>
          </cell>
          <cell r="BA90" t="str">
            <v>Yes</v>
          </cell>
          <cell r="BD90" t="str">
            <v>Yes</v>
          </cell>
          <cell r="BF90" t="str">
            <v>&gt; 15% - ≤ 40%</v>
          </cell>
          <cell r="BG90" t="str">
            <v>&gt; 25%</v>
          </cell>
          <cell r="BH90" t="str">
            <v>2020-12-31</v>
          </cell>
          <cell r="BI90">
            <v>195384100.81</v>
          </cell>
          <cell r="BJ90">
            <v>216006715.82788429</v>
          </cell>
          <cell r="BK90">
            <v>195384100.81</v>
          </cell>
          <cell r="BL90">
            <v>216006715.82788429</v>
          </cell>
          <cell r="BN90" t="str">
            <v>No</v>
          </cell>
          <cell r="BO90" t="str">
            <v>External</v>
          </cell>
          <cell r="BP90">
            <v>8</v>
          </cell>
          <cell r="BQ90">
            <v>6</v>
          </cell>
          <cell r="BS90">
            <v>0</v>
          </cell>
          <cell r="BW90" t="str">
            <v>United Kingdom</v>
          </cell>
          <cell r="BX90" t="str">
            <v>Office</v>
          </cell>
          <cell r="BY90">
            <v>100</v>
          </cell>
        </row>
        <row r="91">
          <cell r="A91">
            <v>85</v>
          </cell>
          <cell r="B91" t="str">
            <v>CARLYLE EUROPE REAL ESTATE PARTNERS</v>
          </cell>
          <cell r="C91" t="str">
            <v>CARLYLE INVESTMENT MANAGEMENT L.L.C</v>
          </cell>
          <cell r="D91" t="str">
            <v>30 Boulevard Royal</v>
          </cell>
          <cell r="E91" t="str">
            <v>L-2449</v>
          </cell>
          <cell r="F91" t="str">
            <v>Luxembourg</v>
          </cell>
          <cell r="G91" t="str">
            <v>Luxembourg</v>
          </cell>
          <cell r="H91" t="str">
            <v>+352 2686 21 99</v>
          </cell>
          <cell r="I91" t="str">
            <v>+352 2886 21 11</v>
          </cell>
          <cell r="J91" t="str">
            <v>http://www.thecarlylegroup.com</v>
          </cell>
          <cell r="K91" t="str">
            <v>Oussama Daher</v>
          </cell>
          <cell r="L91" t="str">
            <v>oussama.daher@carlyle.com</v>
          </cell>
          <cell r="M91" t="str">
            <v>+35226862302</v>
          </cell>
          <cell r="N91" t="str">
            <v>Sara Roure</v>
          </cell>
          <cell r="O91" t="str">
            <v>sara.roure@carlyle.com</v>
          </cell>
          <cell r="P91" t="str">
            <v>+44 (0) 20 7894 3418</v>
          </cell>
          <cell r="Q91" t="str">
            <v>United States of America</v>
          </cell>
          <cell r="R91" t="str">
            <v>EUR</v>
          </cell>
          <cell r="S91" t="str">
            <v>IFRS</v>
          </cell>
          <cell r="T91" t="str">
            <v>Quarterly</v>
          </cell>
          <cell r="U91" t="str">
            <v>Quarterly</v>
          </cell>
          <cell r="X91" t="str">
            <v>PriceWaterhouseCoopers</v>
          </cell>
          <cell r="Y91" t="str">
            <v>Limited Partnership</v>
          </cell>
          <cell r="AB91">
            <v>0</v>
          </cell>
          <cell r="AC91" t="str">
            <v>Non-Listed Fund</v>
          </cell>
          <cell r="AD91" t="str">
            <v>Opportunity</v>
          </cell>
          <cell r="AE91" t="str">
            <v>finite</v>
          </cell>
          <cell r="AF91" t="str">
            <v>Closed end</v>
          </cell>
          <cell r="AG91">
            <v>20</v>
          </cell>
          <cell r="AH91">
            <v>20</v>
          </cell>
          <cell r="AI91" t="str">
            <v>Net</v>
          </cell>
          <cell r="AJ91" t="str">
            <v>None</v>
          </cell>
          <cell r="AM91" t="str">
            <v>&gt; 60%</v>
          </cell>
          <cell r="AN91" t="str">
            <v>Institutional</v>
          </cell>
          <cell r="AQ91" t="str">
            <v>Europe</v>
          </cell>
          <cell r="AR91" t="str">
            <v>multi country</v>
          </cell>
          <cell r="AS91" t="str">
            <v>Europe</v>
          </cell>
          <cell r="AU91" t="str">
            <v>multi sector</v>
          </cell>
          <cell r="AX91">
            <v>2000000000</v>
          </cell>
          <cell r="AY91">
            <v>2002</v>
          </cell>
          <cell r="AZ91">
            <v>2010</v>
          </cell>
          <cell r="BA91" t="str">
            <v>Yes</v>
          </cell>
          <cell r="BB91" t="str">
            <v>Yes</v>
          </cell>
          <cell r="BC91" t="str">
            <v>5 years</v>
          </cell>
          <cell r="BH91" t="str">
            <v>2006-12-31</v>
          </cell>
          <cell r="BI91">
            <v>2000000000</v>
          </cell>
          <cell r="BJ91">
            <v>2000000000</v>
          </cell>
          <cell r="BK91">
            <v>637000000</v>
          </cell>
          <cell r="BL91">
            <v>637000000</v>
          </cell>
          <cell r="BM91">
            <v>74</v>
          </cell>
          <cell r="BP91">
            <v>15</v>
          </cell>
          <cell r="BR91">
            <v>430000000</v>
          </cell>
          <cell r="BS91">
            <v>430000000</v>
          </cell>
          <cell r="BU91">
            <v>0</v>
          </cell>
          <cell r="BV91" t="str">
            <v>No</v>
          </cell>
        </row>
        <row r="92">
          <cell r="A92">
            <v>86</v>
          </cell>
          <cell r="B92" t="str">
            <v>CARLYLE EUROPE REAL ESTATE PARTNERS II</v>
          </cell>
          <cell r="C92" t="str">
            <v>CARLYLE INVESTMENT MANAGEMENT L.L.C</v>
          </cell>
          <cell r="D92" t="str">
            <v>30 Boulevard Royal</v>
          </cell>
          <cell r="E92" t="str">
            <v>L-2449</v>
          </cell>
          <cell r="F92" t="str">
            <v>Luxembourg</v>
          </cell>
          <cell r="G92" t="str">
            <v>Luxembourg</v>
          </cell>
          <cell r="H92" t="str">
            <v>+352 2686 21 99</v>
          </cell>
          <cell r="I92" t="str">
            <v>+352 2886 21 11</v>
          </cell>
          <cell r="J92" t="str">
            <v>http://www.thecarlylegroup.com</v>
          </cell>
          <cell r="K92" t="str">
            <v>Oussama Daher</v>
          </cell>
          <cell r="L92" t="str">
            <v>oussama.daher@carlyle.com</v>
          </cell>
          <cell r="M92" t="str">
            <v>+35326862302</v>
          </cell>
          <cell r="N92" t="str">
            <v>Sara Roure</v>
          </cell>
          <cell r="O92" t="str">
            <v>sara.roure@carlyle.com</v>
          </cell>
          <cell r="P92" t="str">
            <v>+44 (0) 20 7894 3418</v>
          </cell>
          <cell r="Q92" t="str">
            <v>United States of America</v>
          </cell>
          <cell r="R92" t="str">
            <v>EUR</v>
          </cell>
          <cell r="T92" t="str">
            <v>Quarterly</v>
          </cell>
          <cell r="U92" t="str">
            <v>Quarterly</v>
          </cell>
          <cell r="X92" t="str">
            <v>PWC</v>
          </cell>
          <cell r="Y92" t="str">
            <v>Limited Partnership</v>
          </cell>
          <cell r="AB92">
            <v>0</v>
          </cell>
          <cell r="AC92" t="str">
            <v>Non-Listed Fund</v>
          </cell>
          <cell r="AD92" t="str">
            <v>Opportunity</v>
          </cell>
          <cell r="AE92" t="str">
            <v>finite</v>
          </cell>
          <cell r="AF92" t="str">
            <v>Closed end</v>
          </cell>
          <cell r="AG92">
            <v>20</v>
          </cell>
          <cell r="AH92">
            <v>20</v>
          </cell>
          <cell r="AM92" t="str">
            <v>&gt; 60%</v>
          </cell>
          <cell r="AN92" t="str">
            <v>Institutional</v>
          </cell>
          <cell r="AO92" t="str">
            <v>&gt; 2</v>
          </cell>
          <cell r="AP92" t="str">
            <v>≥ 50%</v>
          </cell>
          <cell r="AQ92" t="str">
            <v>Europe</v>
          </cell>
          <cell r="AR92" t="str">
            <v>multi country</v>
          </cell>
          <cell r="AS92" t="str">
            <v>Europe</v>
          </cell>
          <cell r="AU92" t="str">
            <v>multi sector</v>
          </cell>
          <cell r="AX92">
            <v>2000000000</v>
          </cell>
          <cell r="AY92">
            <v>2005</v>
          </cell>
          <cell r="BA92" t="str">
            <v>Yes</v>
          </cell>
          <cell r="BB92" t="str">
            <v>Yes</v>
          </cell>
          <cell r="BH92" t="str">
            <v>2006-12-31</v>
          </cell>
          <cell r="BI92">
            <v>1700000000</v>
          </cell>
          <cell r="BJ92">
            <v>1700000000</v>
          </cell>
          <cell r="BK92">
            <v>422000000</v>
          </cell>
          <cell r="BL92">
            <v>422000000</v>
          </cell>
          <cell r="BS92">
            <v>0</v>
          </cell>
          <cell r="BV92" t="str">
            <v>No</v>
          </cell>
        </row>
        <row r="93">
          <cell r="A93">
            <v>634</v>
          </cell>
          <cell r="B93" t="str">
            <v>CARLYLE EUROPE REAL ESTATE PARTNERS III</v>
          </cell>
          <cell r="C93" t="str">
            <v>CARLYLE INVESTMENT MANAGEMENT L.L.C.</v>
          </cell>
          <cell r="D93" t="str">
            <v>30 Boulevard Royal</v>
          </cell>
          <cell r="E93" t="str">
            <v>L-2449</v>
          </cell>
          <cell r="F93" t="str">
            <v>Luxembourg</v>
          </cell>
          <cell r="G93" t="str">
            <v>Luxembourg</v>
          </cell>
          <cell r="H93" t="str">
            <v>+352 2686 21 99</v>
          </cell>
          <cell r="I93" t="str">
            <v>+352 2686 21 10</v>
          </cell>
          <cell r="J93" t="str">
            <v>http://www.carlyle.com</v>
          </cell>
          <cell r="K93" t="str">
            <v>Sara Roure</v>
          </cell>
          <cell r="L93" t="str">
            <v>sara.roure@carlyle.com</v>
          </cell>
          <cell r="M93" t="str">
            <v>+44 (0) 20 7894 3418</v>
          </cell>
          <cell r="N93" t="str">
            <v>Oussama Daher</v>
          </cell>
          <cell r="O93" t="str">
            <v>oussama.daher@carlyle.com</v>
          </cell>
          <cell r="P93" t="str">
            <v>+352 2 686 2302</v>
          </cell>
          <cell r="Q93" t="str">
            <v>United States of America</v>
          </cell>
          <cell r="R93" t="str">
            <v>EUR</v>
          </cell>
          <cell r="T93" t="str">
            <v>Quarterly</v>
          </cell>
          <cell r="U93" t="str">
            <v>Quarterly</v>
          </cell>
          <cell r="X93" t="str">
            <v>PWC</v>
          </cell>
          <cell r="Y93" t="str">
            <v>Limited Partnership</v>
          </cell>
          <cell r="AB93">
            <v>0</v>
          </cell>
          <cell r="AC93" t="str">
            <v>Non-Listed Fund</v>
          </cell>
          <cell r="AD93" t="str">
            <v>Opportunity</v>
          </cell>
          <cell r="AE93" t="str">
            <v>finite</v>
          </cell>
          <cell r="AF93" t="str">
            <v>Closed end</v>
          </cell>
          <cell r="AG93">
            <v>20</v>
          </cell>
          <cell r="AH93">
            <v>20</v>
          </cell>
          <cell r="AJ93" t="str">
            <v>None</v>
          </cell>
          <cell r="AQ93" t="str">
            <v>Europe</v>
          </cell>
          <cell r="AR93" t="str">
            <v>multi country</v>
          </cell>
          <cell r="AS93" t="str">
            <v>Europe</v>
          </cell>
          <cell r="AU93" t="str">
            <v>multi sector</v>
          </cell>
          <cell r="BH93" t="str">
            <v>2011-12-31</v>
          </cell>
          <cell r="BJ93">
            <v>0</v>
          </cell>
          <cell r="BL93">
            <v>0</v>
          </cell>
          <cell r="BS93">
            <v>0</v>
          </cell>
        </row>
        <row r="94">
          <cell r="A94">
            <v>87</v>
          </cell>
          <cell r="B94" t="str">
            <v>CATALYST EUROPEAN PROPERTY FUND LP</v>
          </cell>
          <cell r="C94" t="str">
            <v>CATALYST CAPITAL LLP</v>
          </cell>
          <cell r="D94" t="str">
            <v>33 Cavendish Square</v>
          </cell>
          <cell r="E94" t="str">
            <v>W1G 0PW</v>
          </cell>
          <cell r="F94" t="str">
            <v>London</v>
          </cell>
          <cell r="G94" t="str">
            <v>United Kingdom</v>
          </cell>
          <cell r="H94" t="str">
            <v>+44 (0) 20 7290 5100</v>
          </cell>
          <cell r="I94" t="str">
            <v>+44 (0) 20 7290 5115</v>
          </cell>
          <cell r="J94" t="str">
            <v>http://www.catalystcapital.com</v>
          </cell>
          <cell r="K94" t="str">
            <v>Peter Kasch</v>
          </cell>
          <cell r="L94" t="str">
            <v>pkasch@catalystcapital.com</v>
          </cell>
          <cell r="M94" t="str">
            <v>+44 (0) 20 7290 5100</v>
          </cell>
          <cell r="N94" t="str">
            <v>Chris Christofi</v>
          </cell>
          <cell r="O94" t="str">
            <v>cchristofi@catalystcapital.com</v>
          </cell>
          <cell r="P94" t="str">
            <v>+44 (0) 20 7290 5100</v>
          </cell>
          <cell r="Q94" t="str">
            <v>United Kingdom</v>
          </cell>
          <cell r="R94" t="str">
            <v>EUR</v>
          </cell>
          <cell r="S94" t="str">
            <v>Local GAAP</v>
          </cell>
          <cell r="T94" t="str">
            <v>Quarterly</v>
          </cell>
          <cell r="U94" t="str">
            <v>Annually</v>
          </cell>
          <cell r="X94" t="str">
            <v>Ernst &amp; Young</v>
          </cell>
          <cell r="Y94" t="str">
            <v>Limited Partnership</v>
          </cell>
          <cell r="Z94" t="str">
            <v>Yes</v>
          </cell>
          <cell r="AA94" t="str">
            <v>No</v>
          </cell>
          <cell r="AB94">
            <v>0</v>
          </cell>
          <cell r="AC94" t="str">
            <v>Non-Listed Fund</v>
          </cell>
          <cell r="AD94" t="str">
            <v>Opportunity</v>
          </cell>
          <cell r="AE94" t="str">
            <v>finite</v>
          </cell>
          <cell r="AF94" t="str">
            <v>Closed end</v>
          </cell>
          <cell r="AG94">
            <v>14</v>
          </cell>
          <cell r="AH94">
            <v>25</v>
          </cell>
          <cell r="AI94" t="str">
            <v>Net</v>
          </cell>
          <cell r="AJ94" t="str">
            <v>None</v>
          </cell>
          <cell r="AK94">
            <v>5</v>
          </cell>
          <cell r="AL94">
            <v>70</v>
          </cell>
          <cell r="AM94" t="str">
            <v>&gt; 60%</v>
          </cell>
          <cell r="AN94" t="str">
            <v>Institutional</v>
          </cell>
          <cell r="AO94" t="str">
            <v>&gt; 2</v>
          </cell>
          <cell r="AP94" t="str">
            <v>≥ 50%</v>
          </cell>
          <cell r="AQ94" t="str">
            <v>Europe</v>
          </cell>
          <cell r="AR94" t="str">
            <v>multi country</v>
          </cell>
          <cell r="AS94" t="str">
            <v>Europe</v>
          </cell>
          <cell r="AU94" t="str">
            <v>multi sector</v>
          </cell>
          <cell r="AW94">
            <v>228000000</v>
          </cell>
          <cell r="AX94">
            <v>700000000</v>
          </cell>
          <cell r="AY94">
            <v>2007</v>
          </cell>
          <cell r="AZ94">
            <v>2015</v>
          </cell>
          <cell r="BA94" t="str">
            <v>Yes</v>
          </cell>
          <cell r="BB94" t="str">
            <v>Yes</v>
          </cell>
          <cell r="BC94" t="str">
            <v>1 year</v>
          </cell>
          <cell r="BD94" t="str">
            <v>No</v>
          </cell>
          <cell r="BE94" t="str">
            <v>&lt; 60%</v>
          </cell>
          <cell r="BF94" t="str">
            <v>≤ 15%</v>
          </cell>
          <cell r="BG94" t="str">
            <v>&gt; 5 - ≤ 25%</v>
          </cell>
          <cell r="BH94" t="str">
            <v>2013-06-30</v>
          </cell>
          <cell r="BI94">
            <v>544600000</v>
          </cell>
          <cell r="BJ94">
            <v>544600000</v>
          </cell>
          <cell r="BK94">
            <v>186459000</v>
          </cell>
          <cell r="BL94">
            <v>186459000</v>
          </cell>
          <cell r="BM94">
            <v>58</v>
          </cell>
          <cell r="BN94" t="str">
            <v>No</v>
          </cell>
          <cell r="BO94" t="str">
            <v>External</v>
          </cell>
          <cell r="BP94">
            <v>7</v>
          </cell>
          <cell r="BQ94">
            <v>37</v>
          </cell>
          <cell r="BR94">
            <v>228000000</v>
          </cell>
          <cell r="BS94">
            <v>228000000</v>
          </cell>
          <cell r="BT94">
            <v>211000000</v>
          </cell>
          <cell r="BU94">
            <v>211000000</v>
          </cell>
          <cell r="BV94" t="str">
            <v>No</v>
          </cell>
        </row>
        <row r="95">
          <cell r="A95">
            <v>18445</v>
          </cell>
          <cell r="B95" t="str">
            <v>CATELLA BAVARIA</v>
          </cell>
          <cell r="C95" t="str">
            <v>CATELLA REAL ESTATE AG</v>
          </cell>
          <cell r="D95" t="str">
            <v>Alter Hof 5</v>
          </cell>
          <cell r="E95">
            <v>80331</v>
          </cell>
          <cell r="F95" t="str">
            <v>Munich</v>
          </cell>
          <cell r="G95" t="str">
            <v>Germany</v>
          </cell>
          <cell r="N95" t="str">
            <v>Tobias Weber</v>
          </cell>
          <cell r="O95" t="str">
            <v>tobias.weber@catella-investment.com</v>
          </cell>
          <cell r="Q95" t="str">
            <v>Germany</v>
          </cell>
          <cell r="R95" t="str">
            <v>EUR</v>
          </cell>
          <cell r="S95" t="str">
            <v>Local GAAP</v>
          </cell>
          <cell r="T95" t="str">
            <v>Monthly</v>
          </cell>
          <cell r="U95" t="str">
            <v>Quarterly</v>
          </cell>
          <cell r="V95" t="str">
            <v>ImmoWertV</v>
          </cell>
          <cell r="W95" t="str">
            <v>BVI</v>
          </cell>
          <cell r="Y95" t="str">
            <v>Publikumsfonds</v>
          </cell>
          <cell r="Z95" t="str">
            <v>No</v>
          </cell>
          <cell r="AC95" t="str">
            <v>Non-Listed Fund</v>
          </cell>
          <cell r="AD95" t="str">
            <v>Core</v>
          </cell>
          <cell r="AE95" t="str">
            <v>infinite</v>
          </cell>
          <cell r="AF95" t="str">
            <v>Open end</v>
          </cell>
          <cell r="AM95" t="str">
            <v>≤ 40%</v>
          </cell>
          <cell r="AN95" t="str">
            <v>Institutional</v>
          </cell>
          <cell r="AO95" t="str">
            <v>&gt; 2</v>
          </cell>
          <cell r="AP95" t="str">
            <v>≥ 50%</v>
          </cell>
          <cell r="AQ95" t="str">
            <v>Europe</v>
          </cell>
          <cell r="AR95" t="str">
            <v>single country</v>
          </cell>
          <cell r="AT95" t="str">
            <v>Germany</v>
          </cell>
          <cell r="AU95" t="str">
            <v>multi sector</v>
          </cell>
          <cell r="AW95">
            <v>250</v>
          </cell>
          <cell r="AX95">
            <v>300</v>
          </cell>
          <cell r="AY95">
            <v>2016</v>
          </cell>
          <cell r="BD95" t="str">
            <v>No</v>
          </cell>
          <cell r="BE95" t="str">
            <v>&lt; 60%</v>
          </cell>
          <cell r="BF95" t="str">
            <v>≤ 15%</v>
          </cell>
          <cell r="BG95" t="str">
            <v>≤ 5%</v>
          </cell>
          <cell r="BH95" t="str">
            <v>2020-12-31</v>
          </cell>
          <cell r="BI95">
            <v>147085569.09999999</v>
          </cell>
          <cell r="BJ95">
            <v>147085569.09999999</v>
          </cell>
          <cell r="BK95">
            <v>112204408.3</v>
          </cell>
          <cell r="BL95">
            <v>112204408.3</v>
          </cell>
          <cell r="BM95">
            <v>28.2</v>
          </cell>
          <cell r="BN95" t="str">
            <v>No</v>
          </cell>
          <cell r="BO95" t="str">
            <v>Internal</v>
          </cell>
          <cell r="BP95">
            <v>20</v>
          </cell>
          <cell r="BQ95">
            <v>4</v>
          </cell>
          <cell r="BR95">
            <v>0</v>
          </cell>
          <cell r="BS95">
            <v>0</v>
          </cell>
          <cell r="BT95">
            <v>0</v>
          </cell>
          <cell r="BV95" t="str">
            <v>Yes</v>
          </cell>
          <cell r="BW95" t="str">
            <v>Germany</v>
          </cell>
          <cell r="BX95" t="str">
            <v>Retail</v>
          </cell>
          <cell r="BY95">
            <v>20</v>
          </cell>
          <cell r="BZ95" t="str">
            <v>Germany</v>
          </cell>
          <cell r="CA95" t="str">
            <v>Health Care</v>
          </cell>
          <cell r="CB95">
            <v>8</v>
          </cell>
          <cell r="CC95" t="str">
            <v>Germany</v>
          </cell>
          <cell r="CD95" t="str">
            <v>Other</v>
          </cell>
          <cell r="CE95">
            <v>4</v>
          </cell>
          <cell r="CF95" t="str">
            <v>Germany</v>
          </cell>
          <cell r="CG95" t="str">
            <v>Residential</v>
          </cell>
          <cell r="CH95">
            <v>1</v>
          </cell>
          <cell r="CI95" t="str">
            <v>Germany</v>
          </cell>
          <cell r="CJ95" t="str">
            <v>Hotel</v>
          </cell>
          <cell r="CK95">
            <v>13</v>
          </cell>
          <cell r="CL95" t="str">
            <v>Germany</v>
          </cell>
          <cell r="CM95" t="str">
            <v>Office</v>
          </cell>
          <cell r="CN95">
            <v>54</v>
          </cell>
        </row>
        <row r="96">
          <cell r="A96">
            <v>19148</v>
          </cell>
          <cell r="B96" t="str">
            <v>CATELLA DUTCH RESIDENTIAL II</v>
          </cell>
          <cell r="C96" t="str">
            <v>CATELLA REAL ESTATE AG</v>
          </cell>
          <cell r="D96" t="str">
            <v>Alter Hof 5</v>
          </cell>
          <cell r="E96">
            <v>80331</v>
          </cell>
          <cell r="F96" t="str">
            <v>Munich</v>
          </cell>
          <cell r="G96" t="str">
            <v>Germany</v>
          </cell>
          <cell r="K96" t="str">
            <v>Axel Bertram</v>
          </cell>
          <cell r="L96" t="str">
            <v>axel.bertram@catella-investment.com</v>
          </cell>
          <cell r="N96" t="str">
            <v>Nadine Kratzer</v>
          </cell>
          <cell r="O96" t="str">
            <v>nadine.kratzer@catella-investment.com</v>
          </cell>
          <cell r="Q96" t="str">
            <v>Germany</v>
          </cell>
          <cell r="R96" t="str">
            <v>EUR</v>
          </cell>
          <cell r="S96" t="str">
            <v>Local GAAP</v>
          </cell>
          <cell r="T96" t="str">
            <v>Monthly</v>
          </cell>
          <cell r="U96" t="str">
            <v>Annually</v>
          </cell>
          <cell r="V96" t="str">
            <v>ImmoWertV</v>
          </cell>
          <cell r="W96" t="str">
            <v>BVI</v>
          </cell>
          <cell r="Y96" t="str">
            <v>Spezialfonds</v>
          </cell>
          <cell r="Z96" t="str">
            <v>No</v>
          </cell>
          <cell r="AC96" t="str">
            <v>Non-Listed Fund</v>
          </cell>
          <cell r="AD96" t="str">
            <v>Core</v>
          </cell>
          <cell r="AE96" t="str">
            <v>finite</v>
          </cell>
          <cell r="AF96" t="str">
            <v>Open end</v>
          </cell>
          <cell r="AG96">
            <v>4.5</v>
          </cell>
          <cell r="AH96">
            <v>5.5</v>
          </cell>
          <cell r="AI96" t="str">
            <v>Net</v>
          </cell>
          <cell r="AK96">
            <v>3.75</v>
          </cell>
          <cell r="AL96">
            <v>45</v>
          </cell>
          <cell r="AM96" t="str">
            <v>&gt; 40% - ≤ 60%</v>
          </cell>
          <cell r="AN96" t="str">
            <v>Institutional</v>
          </cell>
          <cell r="AO96" t="str">
            <v>&gt; 2</v>
          </cell>
          <cell r="AP96" t="str">
            <v>≥ 50%</v>
          </cell>
          <cell r="AQ96" t="str">
            <v>Europe</v>
          </cell>
          <cell r="AR96" t="str">
            <v>single country</v>
          </cell>
          <cell r="AT96" t="str">
            <v>Netherlands</v>
          </cell>
          <cell r="AU96" t="str">
            <v>single sector</v>
          </cell>
          <cell r="AV96" t="str">
            <v>Residential</v>
          </cell>
          <cell r="AW96">
            <v>200000000</v>
          </cell>
          <cell r="AX96">
            <v>375000000</v>
          </cell>
          <cell r="AY96">
            <v>2018</v>
          </cell>
          <cell r="AZ96">
            <v>2028</v>
          </cell>
          <cell r="BB96" t="str">
            <v>No</v>
          </cell>
          <cell r="BD96" t="str">
            <v>No</v>
          </cell>
          <cell r="BE96" t="str">
            <v>≥ 60%</v>
          </cell>
          <cell r="BF96" t="str">
            <v>≤ 15%</v>
          </cell>
          <cell r="BG96" t="str">
            <v>≤ 5%</v>
          </cell>
          <cell r="BH96" t="str">
            <v>2020-12-31</v>
          </cell>
          <cell r="BI96">
            <v>193520334.72999999</v>
          </cell>
          <cell r="BJ96">
            <v>193520334.72999999</v>
          </cell>
          <cell r="BK96">
            <v>157388748.5</v>
          </cell>
          <cell r="BL96">
            <v>157388748.5</v>
          </cell>
          <cell r="BM96">
            <v>20.399999999999999</v>
          </cell>
          <cell r="BN96" t="str">
            <v>No</v>
          </cell>
          <cell r="BO96" t="str">
            <v>Internal</v>
          </cell>
          <cell r="BP96">
            <v>5</v>
          </cell>
          <cell r="BQ96">
            <v>9</v>
          </cell>
          <cell r="BR96">
            <v>0</v>
          </cell>
          <cell r="BS96">
            <v>0</v>
          </cell>
          <cell r="BT96">
            <v>0</v>
          </cell>
          <cell r="BV96" t="str">
            <v>No</v>
          </cell>
          <cell r="BW96" t="str">
            <v>Netherlands</v>
          </cell>
          <cell r="BX96" t="str">
            <v>Other</v>
          </cell>
          <cell r="BY96">
            <v>2</v>
          </cell>
          <cell r="BZ96" t="str">
            <v>Netherlands</v>
          </cell>
          <cell r="CA96" t="str">
            <v>Residential</v>
          </cell>
          <cell r="CB96">
            <v>85</v>
          </cell>
        </row>
        <row r="97">
          <cell r="A97">
            <v>18211</v>
          </cell>
          <cell r="B97" t="str">
            <v>CATELLA EUROPEAN RESIDENTIAL (CER)</v>
          </cell>
          <cell r="C97" t="str">
            <v>CATELLA REAL ESTATE AG</v>
          </cell>
          <cell r="D97" t="str">
            <v>Alter Hof 5</v>
          </cell>
          <cell r="E97">
            <v>80331</v>
          </cell>
          <cell r="F97" t="str">
            <v>München</v>
          </cell>
          <cell r="G97" t="str">
            <v>Germany</v>
          </cell>
          <cell r="N97" t="str">
            <v>Tina Starflinger</v>
          </cell>
          <cell r="O97" t="str">
            <v>tina.starflinger@catella.de</v>
          </cell>
          <cell r="Q97" t="str">
            <v>Germany</v>
          </cell>
          <cell r="R97" t="str">
            <v>EUR</v>
          </cell>
          <cell r="S97" t="str">
            <v>KARBV</v>
          </cell>
          <cell r="T97" t="str">
            <v>Quarterly</v>
          </cell>
          <cell r="U97" t="str">
            <v>Quarterly</v>
          </cell>
          <cell r="V97" t="str">
            <v>ImmoWertV</v>
          </cell>
          <cell r="W97" t="str">
            <v>BVI</v>
          </cell>
          <cell r="Y97" t="str">
            <v>Publikumsfonds</v>
          </cell>
          <cell r="Z97" t="str">
            <v>Yes</v>
          </cell>
          <cell r="AC97" t="str">
            <v>Non-Listed Fund</v>
          </cell>
          <cell r="AD97" t="str">
            <v>Core</v>
          </cell>
          <cell r="AE97" t="str">
            <v>infinite</v>
          </cell>
          <cell r="AF97" t="str">
            <v>Open end</v>
          </cell>
          <cell r="AG97">
            <v>5</v>
          </cell>
          <cell r="AH97">
            <v>6</v>
          </cell>
          <cell r="AK97">
            <v>4</v>
          </cell>
          <cell r="AM97" t="str">
            <v>≤ 40%</v>
          </cell>
          <cell r="AN97" t="str">
            <v>Institutional</v>
          </cell>
          <cell r="AO97" t="str">
            <v>&gt; 2</v>
          </cell>
          <cell r="AP97" t="str">
            <v>≥ 50%</v>
          </cell>
          <cell r="AQ97" t="str">
            <v>Europe</v>
          </cell>
          <cell r="AR97" t="str">
            <v>multi country</v>
          </cell>
          <cell r="AS97" t="str">
            <v>Europe</v>
          </cell>
          <cell r="AU97" t="str">
            <v>single sector</v>
          </cell>
          <cell r="AV97" t="str">
            <v>Residential</v>
          </cell>
          <cell r="AW97">
            <v>700000000</v>
          </cell>
          <cell r="AX97">
            <v>1000000000</v>
          </cell>
          <cell r="AY97">
            <v>2008</v>
          </cell>
          <cell r="BD97" t="str">
            <v>No</v>
          </cell>
          <cell r="BE97" t="str">
            <v>≥ 60%</v>
          </cell>
          <cell r="BF97" t="str">
            <v>≤ 15%</v>
          </cell>
          <cell r="BG97" t="str">
            <v>≤ 5%</v>
          </cell>
          <cell r="BH97" t="str">
            <v>2020-12-31</v>
          </cell>
          <cell r="BI97">
            <v>1558243416</v>
          </cell>
          <cell r="BJ97">
            <v>1558243416</v>
          </cell>
          <cell r="BK97">
            <v>1348574224</v>
          </cell>
          <cell r="BL97">
            <v>1348574224</v>
          </cell>
          <cell r="BM97">
            <v>25.5</v>
          </cell>
          <cell r="BN97" t="str">
            <v>Yes</v>
          </cell>
          <cell r="BO97" t="str">
            <v>Internal</v>
          </cell>
          <cell r="BP97">
            <v>85</v>
          </cell>
          <cell r="BQ97">
            <v>70</v>
          </cell>
          <cell r="BR97">
            <v>1004336954</v>
          </cell>
          <cell r="BS97">
            <v>1004336954</v>
          </cell>
          <cell r="BT97">
            <v>1004336954</v>
          </cell>
          <cell r="BU97">
            <v>1004336954</v>
          </cell>
          <cell r="BV97" t="str">
            <v>No</v>
          </cell>
          <cell r="BW97" t="str">
            <v>Germany</v>
          </cell>
          <cell r="BX97" t="str">
            <v>Residential</v>
          </cell>
          <cell r="BY97">
            <v>38.700000000000003</v>
          </cell>
          <cell r="BZ97" t="str">
            <v>Netherlands</v>
          </cell>
          <cell r="CA97" t="str">
            <v>Residential</v>
          </cell>
          <cell r="CB97">
            <v>24</v>
          </cell>
          <cell r="CC97" t="str">
            <v>Denmark</v>
          </cell>
          <cell r="CD97" t="str">
            <v>Residential</v>
          </cell>
          <cell r="CE97">
            <v>12.8</v>
          </cell>
          <cell r="CF97" t="str">
            <v>France</v>
          </cell>
          <cell r="CG97" t="str">
            <v>Residential</v>
          </cell>
          <cell r="CH97">
            <v>13.4</v>
          </cell>
          <cell r="CI97" t="str">
            <v>Poland</v>
          </cell>
          <cell r="CJ97" t="str">
            <v>Residential</v>
          </cell>
          <cell r="CK97">
            <v>2.9</v>
          </cell>
          <cell r="CL97" t="str">
            <v>Spain</v>
          </cell>
          <cell r="CM97" t="str">
            <v>Residential</v>
          </cell>
          <cell r="CN97">
            <v>7.1</v>
          </cell>
          <cell r="CO97" t="str">
            <v>Austria</v>
          </cell>
          <cell r="CP97" t="str">
            <v>Residential</v>
          </cell>
          <cell r="CQ97">
            <v>1.1000000000000001</v>
          </cell>
        </row>
        <row r="98">
          <cell r="A98">
            <v>18345</v>
          </cell>
          <cell r="B98" t="str">
            <v>CATELLA EUROPEAN STUDENT HOUSING FUND</v>
          </cell>
          <cell r="C98" t="str">
            <v>CATELLA REAL ESTATE AG</v>
          </cell>
          <cell r="D98" t="str">
            <v>Alter Hof 5 / 4. OG</v>
          </cell>
          <cell r="E98" t="str">
            <v xml:space="preserve">80331 </v>
          </cell>
          <cell r="F98" t="str">
            <v>München</v>
          </cell>
          <cell r="G98" t="str">
            <v>Germany</v>
          </cell>
          <cell r="I98" t="str">
            <v xml:space="preserve">+49 89 189 16 65 66 </v>
          </cell>
          <cell r="J98" t="str">
            <v>http://www.catella.com/Immobilienfonds</v>
          </cell>
          <cell r="K98" t="str">
            <v>Solvejg Rosenbaum</v>
          </cell>
          <cell r="L98" t="str">
            <v>solvejg.rosenbaum@catella-investment.com</v>
          </cell>
          <cell r="M98" t="str">
            <v>+49 (0)152 566 45 878</v>
          </cell>
          <cell r="Q98" t="str">
            <v>Germany</v>
          </cell>
          <cell r="R98" t="str">
            <v>EUR</v>
          </cell>
          <cell r="S98" t="str">
            <v>Local GAAP</v>
          </cell>
          <cell r="T98" t="str">
            <v>Monthly</v>
          </cell>
          <cell r="U98" t="str">
            <v>Annually</v>
          </cell>
          <cell r="V98" t="str">
            <v>ImmoWertV</v>
          </cell>
          <cell r="W98" t="str">
            <v>BVI</v>
          </cell>
          <cell r="X98" t="str">
            <v>PWC</v>
          </cell>
          <cell r="Y98" t="str">
            <v>Spezialfonds</v>
          </cell>
          <cell r="Z98" t="str">
            <v>No</v>
          </cell>
          <cell r="AA98" t="str">
            <v>Yes</v>
          </cell>
          <cell r="AC98" t="str">
            <v>Non-Listed Fund</v>
          </cell>
          <cell r="AD98" t="str">
            <v>Core</v>
          </cell>
          <cell r="AE98" t="str">
            <v>finite</v>
          </cell>
          <cell r="AF98" t="str">
            <v>Open end</v>
          </cell>
          <cell r="AM98" t="str">
            <v>≤ 40%</v>
          </cell>
          <cell r="AN98" t="str">
            <v>Institutional</v>
          </cell>
          <cell r="AO98" t="str">
            <v>&gt; 2</v>
          </cell>
          <cell r="AP98" t="str">
            <v>≥ 50%</v>
          </cell>
          <cell r="AQ98" t="str">
            <v>Europe</v>
          </cell>
          <cell r="AR98" t="str">
            <v>multi country</v>
          </cell>
          <cell r="AS98" t="str">
            <v>Western Europe</v>
          </cell>
          <cell r="AU98" t="str">
            <v>single sector</v>
          </cell>
          <cell r="AV98" t="str">
            <v>Student Housing</v>
          </cell>
          <cell r="AW98">
            <v>240000000</v>
          </cell>
          <cell r="AX98">
            <v>400000000</v>
          </cell>
          <cell r="AY98">
            <v>2013</v>
          </cell>
          <cell r="BB98" t="str">
            <v>No</v>
          </cell>
          <cell r="BE98" t="str">
            <v>≥ 60%</v>
          </cell>
          <cell r="BH98" t="str">
            <v>2020-12-31</v>
          </cell>
          <cell r="BI98">
            <v>433912418</v>
          </cell>
          <cell r="BJ98">
            <v>433912418</v>
          </cell>
          <cell r="BK98">
            <v>279677266</v>
          </cell>
          <cell r="BL98">
            <v>279677266</v>
          </cell>
          <cell r="BM98">
            <v>35.92</v>
          </cell>
          <cell r="BN98" t="str">
            <v>Yes</v>
          </cell>
          <cell r="BO98" t="str">
            <v>Internal</v>
          </cell>
          <cell r="BP98">
            <v>17</v>
          </cell>
          <cell r="BQ98">
            <v>17</v>
          </cell>
          <cell r="BR98">
            <v>239902970</v>
          </cell>
          <cell r="BS98">
            <v>239902970</v>
          </cell>
          <cell r="BT98">
            <v>239902970</v>
          </cell>
          <cell r="BU98">
            <v>239902970</v>
          </cell>
          <cell r="BV98" t="str">
            <v>No</v>
          </cell>
          <cell r="BW98" t="str">
            <v>Netherlands</v>
          </cell>
          <cell r="BX98" t="str">
            <v>Residential</v>
          </cell>
          <cell r="BY98">
            <v>35.1</v>
          </cell>
          <cell r="BZ98" t="str">
            <v>Spain</v>
          </cell>
          <cell r="CA98" t="str">
            <v>Residential</v>
          </cell>
          <cell r="CB98">
            <v>4</v>
          </cell>
          <cell r="CC98" t="str">
            <v>United Kingdom</v>
          </cell>
          <cell r="CD98" t="str">
            <v>Residential</v>
          </cell>
          <cell r="CE98">
            <v>16.2</v>
          </cell>
          <cell r="CF98" t="str">
            <v>France</v>
          </cell>
          <cell r="CG98" t="str">
            <v>Residential</v>
          </cell>
          <cell r="CH98">
            <v>7.4</v>
          </cell>
          <cell r="CI98" t="str">
            <v>Germany</v>
          </cell>
          <cell r="CJ98" t="str">
            <v>Residential</v>
          </cell>
          <cell r="CK98">
            <v>37.299999999999997</v>
          </cell>
        </row>
        <row r="99">
          <cell r="A99">
            <v>16076</v>
          </cell>
          <cell r="B99" t="str">
            <v>CATELLA MAX</v>
          </cell>
          <cell r="C99" t="str">
            <v>CATELLA REAL ESTATE AG</v>
          </cell>
          <cell r="D99" t="str">
            <v>Alter Hof 5</v>
          </cell>
          <cell r="E99">
            <v>80331</v>
          </cell>
          <cell r="F99" t="str">
            <v>Munich</v>
          </cell>
          <cell r="G99" t="str">
            <v>Germany</v>
          </cell>
          <cell r="H99" t="str">
            <v>+4989166511</v>
          </cell>
          <cell r="I99" t="str">
            <v>+4989166566</v>
          </cell>
          <cell r="J99" t="str">
            <v>https://catella-realestate.de</v>
          </cell>
          <cell r="K99" t="str">
            <v>Thomas Küebler</v>
          </cell>
          <cell r="L99" t="str">
            <v>thomas.kuebler@catella-investment.com</v>
          </cell>
          <cell r="M99" t="str">
            <v>+49 189 16 65 285</v>
          </cell>
          <cell r="N99" t="str">
            <v>Carolin von Miller</v>
          </cell>
          <cell r="O99" t="str">
            <v>carolin.miller@catella.de</v>
          </cell>
          <cell r="P99" t="str">
            <v>+49 89 189 16 65 37</v>
          </cell>
          <cell r="Q99" t="str">
            <v>Germany</v>
          </cell>
          <cell r="R99" t="str">
            <v>EUR</v>
          </cell>
          <cell r="T99" t="str">
            <v>Monthly</v>
          </cell>
          <cell r="U99" t="str">
            <v>Quarterly</v>
          </cell>
          <cell r="V99" t="str">
            <v>Other - mark to market</v>
          </cell>
          <cell r="W99" t="str">
            <v>BVI</v>
          </cell>
          <cell r="X99" t="str">
            <v>PWC</v>
          </cell>
          <cell r="Y99" t="str">
            <v>Spezialfonds</v>
          </cell>
          <cell r="Z99" t="str">
            <v>No</v>
          </cell>
          <cell r="AA99" t="str">
            <v>Yes</v>
          </cell>
          <cell r="AB99">
            <v>8</v>
          </cell>
          <cell r="AC99" t="str">
            <v>Non-Listed Fund</v>
          </cell>
          <cell r="AD99" t="str">
            <v>Core</v>
          </cell>
          <cell r="AE99" t="str">
            <v>infinite</v>
          </cell>
          <cell r="AF99" t="str">
            <v>Open end</v>
          </cell>
          <cell r="AK99">
            <v>4</v>
          </cell>
          <cell r="AL99">
            <v>30</v>
          </cell>
          <cell r="AN99" t="str">
            <v>Institutional and Retail</v>
          </cell>
          <cell r="AO99" t="str">
            <v>&gt; 2</v>
          </cell>
          <cell r="AP99" t="str">
            <v>≥ 50%</v>
          </cell>
          <cell r="AQ99" t="str">
            <v>Europe</v>
          </cell>
          <cell r="AR99" t="str">
            <v>single country</v>
          </cell>
          <cell r="AT99" t="str">
            <v>Germany</v>
          </cell>
          <cell r="AU99" t="str">
            <v>multi sector</v>
          </cell>
          <cell r="AW99">
            <v>180000000</v>
          </cell>
          <cell r="AX99">
            <v>250000000</v>
          </cell>
          <cell r="AY99">
            <v>2010</v>
          </cell>
          <cell r="BH99" t="str">
            <v>2020-12-31</v>
          </cell>
          <cell r="BI99">
            <v>477237863.38999999</v>
          </cell>
          <cell r="BJ99">
            <v>477237863.38999999</v>
          </cell>
          <cell r="BK99">
            <v>345323724.01999998</v>
          </cell>
          <cell r="BL99">
            <v>345323724.01999998</v>
          </cell>
          <cell r="BM99">
            <v>25.5</v>
          </cell>
          <cell r="BN99" t="str">
            <v>No</v>
          </cell>
          <cell r="BO99" t="str">
            <v>Internal</v>
          </cell>
          <cell r="BP99">
            <v>86</v>
          </cell>
          <cell r="BQ99">
            <v>14</v>
          </cell>
          <cell r="BR99">
            <v>0</v>
          </cell>
          <cell r="BS99">
            <v>0</v>
          </cell>
          <cell r="BT99">
            <v>0</v>
          </cell>
          <cell r="BV99" t="str">
            <v>No</v>
          </cell>
          <cell r="BW99" t="str">
            <v>Germany</v>
          </cell>
          <cell r="BX99" t="str">
            <v>Residential</v>
          </cell>
          <cell r="BY99">
            <v>40</v>
          </cell>
          <cell r="BZ99" t="str">
            <v>Germany</v>
          </cell>
          <cell r="CA99" t="str">
            <v>Student Housing</v>
          </cell>
          <cell r="CB99">
            <v>8</v>
          </cell>
          <cell r="CC99" t="str">
            <v>Germany</v>
          </cell>
          <cell r="CD99" t="str">
            <v>Retail</v>
          </cell>
          <cell r="CE99">
            <v>10</v>
          </cell>
          <cell r="CF99" t="str">
            <v>Germany</v>
          </cell>
          <cell r="CG99" t="str">
            <v>Office</v>
          </cell>
          <cell r="CH99">
            <v>35</v>
          </cell>
        </row>
        <row r="100">
          <cell r="A100">
            <v>18443</v>
          </cell>
          <cell r="B100" t="str">
            <v>CATELLA MODERNES WOHNEN</v>
          </cell>
          <cell r="C100" t="str">
            <v>CATELLA RESIDENTIAL INVESTMENT MANAGEMENT GMBH</v>
          </cell>
          <cell r="G100" t="str">
            <v>Germany</v>
          </cell>
          <cell r="N100" t="str">
            <v>Tobias Weber</v>
          </cell>
          <cell r="O100" t="str">
            <v>tobias.weber@catella-investment.com</v>
          </cell>
          <cell r="Q100" t="str">
            <v>Germany</v>
          </cell>
          <cell r="R100" t="str">
            <v>EUR</v>
          </cell>
          <cell r="S100" t="str">
            <v>Local GAAP</v>
          </cell>
          <cell r="T100" t="str">
            <v>Monthly</v>
          </cell>
          <cell r="U100" t="str">
            <v>Quarterly</v>
          </cell>
          <cell r="V100" t="str">
            <v>ImmoWertV</v>
          </cell>
          <cell r="W100" t="str">
            <v>BVI</v>
          </cell>
          <cell r="Y100" t="str">
            <v>Publikumsfonds</v>
          </cell>
          <cell r="Z100" t="str">
            <v>No</v>
          </cell>
          <cell r="AC100" t="str">
            <v>Non-Listed Fund</v>
          </cell>
          <cell r="AD100" t="str">
            <v>Core</v>
          </cell>
          <cell r="AE100" t="str">
            <v>infinite</v>
          </cell>
          <cell r="AF100" t="str">
            <v>Open end</v>
          </cell>
          <cell r="AG100">
            <v>3.5</v>
          </cell>
          <cell r="AH100">
            <v>4.5</v>
          </cell>
          <cell r="AI100" t="str">
            <v>Net</v>
          </cell>
          <cell r="AL100">
            <v>30</v>
          </cell>
          <cell r="AM100" t="str">
            <v>≤ 40%</v>
          </cell>
          <cell r="AN100" t="str">
            <v>Institutional</v>
          </cell>
          <cell r="AO100" t="str">
            <v>&gt; 2</v>
          </cell>
          <cell r="AP100" t="str">
            <v>≥ 50%</v>
          </cell>
          <cell r="AQ100" t="str">
            <v>Europe</v>
          </cell>
          <cell r="AR100" t="str">
            <v>multi country</v>
          </cell>
          <cell r="AS100" t="str">
            <v>Europe</v>
          </cell>
          <cell r="AU100" t="str">
            <v>single sector</v>
          </cell>
          <cell r="AV100" t="str">
            <v>Residential</v>
          </cell>
          <cell r="AW100">
            <v>300</v>
          </cell>
          <cell r="AX100">
            <v>400</v>
          </cell>
          <cell r="AY100">
            <v>2017</v>
          </cell>
          <cell r="BD100" t="str">
            <v>No</v>
          </cell>
          <cell r="BE100" t="str">
            <v>≥ 60%</v>
          </cell>
          <cell r="BF100" t="str">
            <v>≤ 15%</v>
          </cell>
          <cell r="BG100" t="str">
            <v>≤ 5%</v>
          </cell>
          <cell r="BH100" t="str">
            <v>2020-12-31</v>
          </cell>
          <cell r="BI100">
            <v>403986758.82999998</v>
          </cell>
          <cell r="BJ100">
            <v>403986758.82999998</v>
          </cell>
          <cell r="BK100">
            <v>350901911.70999998</v>
          </cell>
          <cell r="BL100">
            <v>350901911.70999998</v>
          </cell>
          <cell r="BM100">
            <v>17.399999999999999</v>
          </cell>
          <cell r="BN100" t="str">
            <v>No</v>
          </cell>
          <cell r="BO100" t="str">
            <v>Internal</v>
          </cell>
          <cell r="BP100">
            <v>29</v>
          </cell>
          <cell r="BQ100">
            <v>11</v>
          </cell>
          <cell r="BR100">
            <v>350154936</v>
          </cell>
          <cell r="BS100">
            <v>350154936</v>
          </cell>
          <cell r="BT100">
            <v>350154936</v>
          </cell>
          <cell r="BU100">
            <v>350154936</v>
          </cell>
          <cell r="BV100" t="str">
            <v>No</v>
          </cell>
          <cell r="BW100" t="str">
            <v>France</v>
          </cell>
          <cell r="BX100" t="str">
            <v>Residential</v>
          </cell>
          <cell r="BY100">
            <v>4.8</v>
          </cell>
          <cell r="BZ100" t="str">
            <v>Netherlands</v>
          </cell>
          <cell r="CA100" t="str">
            <v>Residential</v>
          </cell>
          <cell r="CB100">
            <v>23.9</v>
          </cell>
          <cell r="CC100" t="str">
            <v>Germany</v>
          </cell>
          <cell r="CD100" t="str">
            <v>Residential</v>
          </cell>
          <cell r="CE100">
            <v>71.3</v>
          </cell>
        </row>
        <row r="101">
          <cell r="A101">
            <v>18212</v>
          </cell>
          <cell r="B101" t="str">
            <v>CATELLA MULTITENANT STIFTUNGSFONDS (CMS)</v>
          </cell>
          <cell r="C101" t="str">
            <v>CATELLA REAL ESTATE AG</v>
          </cell>
          <cell r="D101" t="str">
            <v>Alter Hof 5</v>
          </cell>
          <cell r="E101">
            <v>80331</v>
          </cell>
          <cell r="F101" t="str">
            <v>München</v>
          </cell>
          <cell r="G101" t="str">
            <v>Germany</v>
          </cell>
          <cell r="K101" t="str">
            <v>Markus Mayer</v>
          </cell>
          <cell r="L101" t="str">
            <v>markus.mayer@catella.de</v>
          </cell>
          <cell r="N101" t="str">
            <v>Heiko Böhnke</v>
          </cell>
          <cell r="O101" t="str">
            <v>heiko.boehnke@catella.de</v>
          </cell>
          <cell r="Q101" t="str">
            <v>Germany</v>
          </cell>
          <cell r="R101" t="str">
            <v>EUR</v>
          </cell>
          <cell r="S101" t="str">
            <v>KARBV</v>
          </cell>
          <cell r="T101" t="str">
            <v>Monthly</v>
          </cell>
          <cell r="U101" t="str">
            <v>Annually</v>
          </cell>
          <cell r="V101" t="str">
            <v>ImmoWertV</v>
          </cell>
          <cell r="W101" t="str">
            <v>BVI</v>
          </cell>
          <cell r="Y101" t="str">
            <v>Spezialfonds</v>
          </cell>
          <cell r="Z101" t="str">
            <v>Yes</v>
          </cell>
          <cell r="AC101" t="str">
            <v>Non-Listed Fund</v>
          </cell>
          <cell r="AD101" t="str">
            <v>Core</v>
          </cell>
          <cell r="AE101" t="str">
            <v>infinite</v>
          </cell>
          <cell r="AF101" t="str">
            <v>Open end</v>
          </cell>
          <cell r="AG101">
            <v>5</v>
          </cell>
          <cell r="AH101">
            <v>6</v>
          </cell>
          <cell r="AK101">
            <v>4</v>
          </cell>
          <cell r="AL101">
            <v>50</v>
          </cell>
          <cell r="AN101" t="str">
            <v>Institutional</v>
          </cell>
          <cell r="AO101" t="str">
            <v>&gt; 2</v>
          </cell>
          <cell r="AP101" t="str">
            <v>≥ 50%</v>
          </cell>
          <cell r="AQ101" t="str">
            <v>Europe</v>
          </cell>
          <cell r="AR101" t="str">
            <v>single country</v>
          </cell>
          <cell r="AT101" t="str">
            <v>Germany</v>
          </cell>
          <cell r="AU101" t="str">
            <v>multi sector</v>
          </cell>
          <cell r="AY101">
            <v>2013</v>
          </cell>
          <cell r="BH101" t="str">
            <v>2020-12-31</v>
          </cell>
          <cell r="BI101">
            <v>107998761.22</v>
          </cell>
          <cell r="BJ101">
            <v>107998761.22</v>
          </cell>
          <cell r="BK101">
            <v>76363522.799999997</v>
          </cell>
          <cell r="BL101">
            <v>76363522.799999997</v>
          </cell>
          <cell r="BM101">
            <v>29.2</v>
          </cell>
          <cell r="BN101" t="str">
            <v>No</v>
          </cell>
          <cell r="BO101" t="str">
            <v>Internal</v>
          </cell>
          <cell r="BP101">
            <v>38</v>
          </cell>
          <cell r="BQ101">
            <v>6</v>
          </cell>
          <cell r="BR101">
            <v>0</v>
          </cell>
          <cell r="BS101">
            <v>0</v>
          </cell>
          <cell r="BT101">
            <v>0</v>
          </cell>
          <cell r="BV101" t="str">
            <v>No</v>
          </cell>
          <cell r="BW101" t="str">
            <v>Germany</v>
          </cell>
          <cell r="BX101" t="str">
            <v>Other</v>
          </cell>
          <cell r="BY101">
            <v>12</v>
          </cell>
          <cell r="BZ101" t="str">
            <v>Germany</v>
          </cell>
          <cell r="CA101" t="str">
            <v>Industrial / Logistics</v>
          </cell>
          <cell r="CB101">
            <v>9</v>
          </cell>
          <cell r="CC101" t="str">
            <v>Germany</v>
          </cell>
          <cell r="CD101" t="str">
            <v>Retail</v>
          </cell>
          <cell r="CE101">
            <v>21</v>
          </cell>
          <cell r="CF101" t="str">
            <v>Germany</v>
          </cell>
          <cell r="CG101" t="str">
            <v>Residential</v>
          </cell>
          <cell r="CH101">
            <v>11</v>
          </cell>
          <cell r="CI101" t="str">
            <v>Germany</v>
          </cell>
          <cell r="CJ101" t="str">
            <v>Office</v>
          </cell>
          <cell r="CK101">
            <v>40</v>
          </cell>
        </row>
        <row r="102">
          <cell r="A102">
            <v>18279</v>
          </cell>
          <cell r="B102" t="str">
            <v>CATELLA PARKEN EUROPA (CPE)</v>
          </cell>
          <cell r="C102" t="str">
            <v>CATELLA REAL ESTATE AG</v>
          </cell>
          <cell r="D102" t="str">
            <v>Alter Hof 5</v>
          </cell>
          <cell r="E102">
            <v>80331</v>
          </cell>
          <cell r="F102" t="str">
            <v>München</v>
          </cell>
          <cell r="G102" t="str">
            <v>Germany</v>
          </cell>
          <cell r="J102" t="str">
            <v>http://www.catella.com/de/Deutschland/Immobilienfonds/</v>
          </cell>
          <cell r="K102" t="str">
            <v>Axel Bertram</v>
          </cell>
          <cell r="L102" t="str">
            <v>axel.bertram@catella.de</v>
          </cell>
          <cell r="N102" t="str">
            <v>Heiko Böhnke</v>
          </cell>
          <cell r="O102" t="str">
            <v>heiko.boehnke@catella.de</v>
          </cell>
          <cell r="Q102" t="str">
            <v>Germany</v>
          </cell>
          <cell r="R102" t="str">
            <v>EUR</v>
          </cell>
          <cell r="S102" t="str">
            <v>KARBV</v>
          </cell>
          <cell r="T102" t="str">
            <v>Monthly</v>
          </cell>
          <cell r="U102" t="str">
            <v>Annually</v>
          </cell>
          <cell r="V102" t="str">
            <v>ImmoWertV</v>
          </cell>
          <cell r="W102" t="str">
            <v>BVI</v>
          </cell>
          <cell r="Y102" t="str">
            <v>Spezialfonds</v>
          </cell>
          <cell r="Z102" t="str">
            <v>No</v>
          </cell>
          <cell r="AC102" t="str">
            <v>Non-Listed Fund</v>
          </cell>
          <cell r="AD102" t="str">
            <v>Core</v>
          </cell>
          <cell r="AE102" t="str">
            <v>finite</v>
          </cell>
          <cell r="AF102" t="str">
            <v>Open end</v>
          </cell>
          <cell r="AG102">
            <v>5</v>
          </cell>
          <cell r="AH102">
            <v>6</v>
          </cell>
          <cell r="AI102" t="str">
            <v>Net</v>
          </cell>
          <cell r="AK102">
            <v>4</v>
          </cell>
          <cell r="AL102">
            <v>5</v>
          </cell>
          <cell r="AM102" t="str">
            <v>&gt; 40%</v>
          </cell>
          <cell r="AN102" t="str">
            <v>Institutional</v>
          </cell>
          <cell r="AO102" t="str">
            <v>&gt; 2</v>
          </cell>
          <cell r="AP102" t="str">
            <v>≥ 50%</v>
          </cell>
          <cell r="AQ102" t="str">
            <v>Europe</v>
          </cell>
          <cell r="AR102" t="str">
            <v>multi country</v>
          </cell>
          <cell r="AS102" t="str">
            <v>Europe</v>
          </cell>
          <cell r="AU102" t="str">
            <v>single sector</v>
          </cell>
          <cell r="AV102" t="str">
            <v>Parking</v>
          </cell>
          <cell r="AW102">
            <v>150</v>
          </cell>
          <cell r="AX102">
            <v>300</v>
          </cell>
          <cell r="AY102">
            <v>2016</v>
          </cell>
          <cell r="AZ102">
            <v>2027</v>
          </cell>
          <cell r="BE102" t="str">
            <v>≥ 60%</v>
          </cell>
          <cell r="BF102" t="str">
            <v>≤ 15%</v>
          </cell>
          <cell r="BG102" t="str">
            <v>≤ 5%</v>
          </cell>
          <cell r="BH102" t="str">
            <v>2020-12-31</v>
          </cell>
          <cell r="BI102">
            <v>133720122.23</v>
          </cell>
          <cell r="BJ102">
            <v>133720122.23</v>
          </cell>
          <cell r="BK102">
            <v>131749966.55</v>
          </cell>
          <cell r="BL102">
            <v>131749966.55</v>
          </cell>
          <cell r="BM102">
            <v>40.6</v>
          </cell>
          <cell r="BN102" t="str">
            <v>No</v>
          </cell>
          <cell r="BO102" t="str">
            <v>Internal</v>
          </cell>
          <cell r="BP102">
            <v>15</v>
          </cell>
          <cell r="BQ102">
            <v>9</v>
          </cell>
          <cell r="BR102">
            <v>0</v>
          </cell>
          <cell r="BS102">
            <v>0</v>
          </cell>
          <cell r="BT102">
            <v>0</v>
          </cell>
          <cell r="BV102" t="str">
            <v>No</v>
          </cell>
          <cell r="BW102" t="str">
            <v>Netherlands</v>
          </cell>
          <cell r="BX102" t="str">
            <v>Parking</v>
          </cell>
          <cell r="BY102">
            <v>30</v>
          </cell>
          <cell r="BZ102" t="str">
            <v>Germany</v>
          </cell>
          <cell r="CA102" t="str">
            <v>Parking</v>
          </cell>
          <cell r="CB102">
            <v>3</v>
          </cell>
          <cell r="CC102" t="str">
            <v>Ireland</v>
          </cell>
          <cell r="CD102" t="str">
            <v>Parking</v>
          </cell>
          <cell r="CE102">
            <v>30</v>
          </cell>
          <cell r="CF102" t="str">
            <v>Denmark</v>
          </cell>
          <cell r="CG102" t="str">
            <v>Parking</v>
          </cell>
          <cell r="CH102">
            <v>10</v>
          </cell>
          <cell r="CI102" t="str">
            <v>Italy</v>
          </cell>
          <cell r="CJ102" t="str">
            <v>Parking</v>
          </cell>
          <cell r="CK102">
            <v>12</v>
          </cell>
          <cell r="CL102" t="str">
            <v>United Kingdom</v>
          </cell>
          <cell r="CM102" t="str">
            <v>Parking</v>
          </cell>
          <cell r="CN102">
            <v>13</v>
          </cell>
        </row>
        <row r="103">
          <cell r="A103">
            <v>16075</v>
          </cell>
          <cell r="B103" t="str">
            <v>CATELLA SCANDIA CHANCES</v>
          </cell>
          <cell r="C103" t="str">
            <v>CATELLA REAL ESTATE AG</v>
          </cell>
          <cell r="D103" t="str">
            <v>Alter Hof 5</v>
          </cell>
          <cell r="E103">
            <v>80331</v>
          </cell>
          <cell r="F103" t="str">
            <v>Munich</v>
          </cell>
          <cell r="G103" t="str">
            <v>Germany</v>
          </cell>
          <cell r="H103" t="str">
            <v>+4989166511</v>
          </cell>
          <cell r="I103" t="str">
            <v>+4989166566</v>
          </cell>
          <cell r="J103" t="str">
            <v>http://catella-realestate.de</v>
          </cell>
          <cell r="K103" t="str">
            <v>Axel Bertram</v>
          </cell>
          <cell r="L103" t="str">
            <v>axel.bertram@catella.de</v>
          </cell>
          <cell r="M103" t="str">
            <v>+49 89 189 16 65 32</v>
          </cell>
          <cell r="N103" t="str">
            <v>Alexandra Boos</v>
          </cell>
          <cell r="O103" t="str">
            <v>alexandra.boos@catella.de</v>
          </cell>
          <cell r="P103" t="str">
            <v>+49 89 189 16 65 35</v>
          </cell>
          <cell r="Q103" t="str">
            <v>Germany</v>
          </cell>
          <cell r="R103" t="str">
            <v>EUR</v>
          </cell>
          <cell r="T103" t="str">
            <v>Monthly</v>
          </cell>
          <cell r="U103" t="str">
            <v>Annually</v>
          </cell>
          <cell r="V103" t="str">
            <v>Other - mark to market</v>
          </cell>
          <cell r="X103" t="str">
            <v>PWC</v>
          </cell>
          <cell r="Y103" t="str">
            <v>Spezialfonds</v>
          </cell>
          <cell r="Z103" t="str">
            <v>No</v>
          </cell>
          <cell r="AA103" t="str">
            <v>Yes</v>
          </cell>
          <cell r="AB103">
            <v>8</v>
          </cell>
          <cell r="AC103" t="str">
            <v>Non-Listed Fund</v>
          </cell>
          <cell r="AD103" t="str">
            <v>Core</v>
          </cell>
          <cell r="AE103" t="str">
            <v>finite</v>
          </cell>
          <cell r="AF103" t="str">
            <v>Open end</v>
          </cell>
          <cell r="AK103">
            <v>4</v>
          </cell>
          <cell r="AL103">
            <v>40</v>
          </cell>
          <cell r="AN103" t="str">
            <v>Institutional and Retail</v>
          </cell>
          <cell r="AO103" t="str">
            <v>&gt; 2</v>
          </cell>
          <cell r="AP103" t="str">
            <v>≥ 50%</v>
          </cell>
          <cell r="AQ103" t="str">
            <v>Europe</v>
          </cell>
          <cell r="AR103" t="str">
            <v>multi country</v>
          </cell>
          <cell r="AS103" t="str">
            <v>Nordic</v>
          </cell>
          <cell r="AU103" t="str">
            <v>multi sector</v>
          </cell>
          <cell r="AW103">
            <v>200000000</v>
          </cell>
          <cell r="AX103">
            <v>350000000</v>
          </cell>
          <cell r="AY103">
            <v>2011</v>
          </cell>
          <cell r="AZ103">
            <v>2021</v>
          </cell>
          <cell r="BA103" t="str">
            <v>Yes</v>
          </cell>
          <cell r="BB103" t="str">
            <v>Yes</v>
          </cell>
          <cell r="BC103">
            <v>9</v>
          </cell>
          <cell r="BH103" t="str">
            <v>2020-12-31</v>
          </cell>
          <cell r="BI103">
            <v>133537538</v>
          </cell>
          <cell r="BJ103">
            <v>133537538</v>
          </cell>
          <cell r="BK103">
            <v>130103028.3</v>
          </cell>
          <cell r="BL103">
            <v>130103028.3</v>
          </cell>
          <cell r="BM103">
            <v>36.1</v>
          </cell>
          <cell r="BN103" t="str">
            <v>No</v>
          </cell>
          <cell r="BO103" t="str">
            <v>Internal</v>
          </cell>
          <cell r="BP103">
            <v>8</v>
          </cell>
          <cell r="BQ103">
            <v>6</v>
          </cell>
          <cell r="BR103">
            <v>0</v>
          </cell>
          <cell r="BS103">
            <v>0</v>
          </cell>
          <cell r="BT103">
            <v>0</v>
          </cell>
          <cell r="BV103" t="str">
            <v>No</v>
          </cell>
          <cell r="BW103" t="str">
            <v>Finland</v>
          </cell>
          <cell r="BX103" t="str">
            <v>Industrial / Logistics</v>
          </cell>
          <cell r="BY103">
            <v>2</v>
          </cell>
          <cell r="BZ103" t="str">
            <v>Finland</v>
          </cell>
          <cell r="CA103" t="str">
            <v>Retail</v>
          </cell>
          <cell r="CB103">
            <v>2</v>
          </cell>
          <cell r="CC103" t="str">
            <v>Finland</v>
          </cell>
          <cell r="CD103" t="str">
            <v>Office</v>
          </cell>
          <cell r="CE103">
            <v>3</v>
          </cell>
          <cell r="CF103" t="str">
            <v>Finland</v>
          </cell>
          <cell r="CG103" t="str">
            <v>Other</v>
          </cell>
          <cell r="CH103">
            <v>1</v>
          </cell>
          <cell r="CI103" t="str">
            <v>Norway</v>
          </cell>
          <cell r="CJ103" t="str">
            <v>Industrial / Logistics</v>
          </cell>
          <cell r="CK103">
            <v>3</v>
          </cell>
          <cell r="CL103" t="str">
            <v>Norway</v>
          </cell>
          <cell r="CM103" t="str">
            <v>Retail</v>
          </cell>
          <cell r="CN103">
            <v>5</v>
          </cell>
          <cell r="CO103" t="str">
            <v>Norway</v>
          </cell>
          <cell r="CP103" t="str">
            <v>Office</v>
          </cell>
          <cell r="CQ103">
            <v>6</v>
          </cell>
          <cell r="CR103" t="str">
            <v>Norway</v>
          </cell>
          <cell r="CS103" t="str">
            <v>Other</v>
          </cell>
          <cell r="CT103">
            <v>2</v>
          </cell>
          <cell r="CU103" t="str">
            <v>Denmark</v>
          </cell>
          <cell r="CV103" t="str">
            <v>Industrial / Logistics</v>
          </cell>
          <cell r="CW103">
            <v>6</v>
          </cell>
          <cell r="CX103" t="str">
            <v>Denmark</v>
          </cell>
          <cell r="CY103" t="str">
            <v>Retail</v>
          </cell>
          <cell r="CZ103">
            <v>10</v>
          </cell>
          <cell r="DA103" t="str">
            <v>Denmark</v>
          </cell>
          <cell r="DB103" t="str">
            <v>Office</v>
          </cell>
          <cell r="DC103">
            <v>11</v>
          </cell>
          <cell r="DD103" t="str">
            <v>Denmark</v>
          </cell>
          <cell r="DE103" t="str">
            <v>Other</v>
          </cell>
          <cell r="DF103">
            <v>4</v>
          </cell>
          <cell r="DG103" t="str">
            <v>Sweden</v>
          </cell>
          <cell r="DH103" t="str">
            <v>Industrial / Logistics</v>
          </cell>
          <cell r="DI103">
            <v>8</v>
          </cell>
          <cell r="DJ103" t="str">
            <v>Sweden</v>
          </cell>
          <cell r="DK103" t="str">
            <v>Retail</v>
          </cell>
          <cell r="DL103">
            <v>13</v>
          </cell>
          <cell r="DM103" t="str">
            <v>Sweden</v>
          </cell>
          <cell r="DN103" t="str">
            <v>Office</v>
          </cell>
          <cell r="DO103">
            <v>16</v>
          </cell>
          <cell r="DP103" t="str">
            <v>Sweden</v>
          </cell>
          <cell r="DQ103" t="str">
            <v>Other</v>
          </cell>
          <cell r="DR103">
            <v>4</v>
          </cell>
        </row>
        <row r="104">
          <cell r="A104">
            <v>18194</v>
          </cell>
          <cell r="B104" t="str">
            <v>CATELLA WOHNEN EUROPA (CWE)</v>
          </cell>
          <cell r="C104" t="str">
            <v>CATELLA REAL ESTATE AG</v>
          </cell>
          <cell r="D104" t="str">
            <v>Alter Hof 5</v>
          </cell>
          <cell r="E104">
            <v>80331</v>
          </cell>
          <cell r="F104" t="str">
            <v xml:space="preserve">München </v>
          </cell>
          <cell r="G104" t="str">
            <v>Germany</v>
          </cell>
          <cell r="K104" t="str">
            <v>Viktoria Hoffmann</v>
          </cell>
          <cell r="L104" t="str">
            <v>viktoria.hoffmann@catella.de</v>
          </cell>
          <cell r="Q104" t="str">
            <v>Germany</v>
          </cell>
          <cell r="R104" t="str">
            <v>EUR</v>
          </cell>
          <cell r="S104" t="str">
            <v>Local GAAP</v>
          </cell>
          <cell r="T104" t="str">
            <v>Twice per year</v>
          </cell>
          <cell r="U104" t="str">
            <v>Quarterly</v>
          </cell>
          <cell r="V104" t="str">
            <v>ImmoWertV</v>
          </cell>
          <cell r="W104" t="str">
            <v>BVI</v>
          </cell>
          <cell r="Y104" t="str">
            <v>Publikumsfonds</v>
          </cell>
          <cell r="Z104" t="str">
            <v>Yes</v>
          </cell>
          <cell r="AC104" t="str">
            <v>Non-Listed Fund</v>
          </cell>
          <cell r="AD104" t="str">
            <v>Core</v>
          </cell>
          <cell r="AE104" t="str">
            <v>infinite</v>
          </cell>
          <cell r="AF104" t="str">
            <v>Open end</v>
          </cell>
          <cell r="AG104">
            <v>3</v>
          </cell>
          <cell r="AH104">
            <v>4</v>
          </cell>
          <cell r="AL104">
            <v>25</v>
          </cell>
          <cell r="AM104" t="str">
            <v>≤ 40%</v>
          </cell>
          <cell r="AN104" t="str">
            <v>Institutional and Retail</v>
          </cell>
          <cell r="AO104" t="str">
            <v>&gt; 2</v>
          </cell>
          <cell r="AP104" t="str">
            <v>&lt; 50%</v>
          </cell>
          <cell r="AQ104" t="str">
            <v>Europe</v>
          </cell>
          <cell r="AR104" t="str">
            <v>multi country</v>
          </cell>
          <cell r="AS104" t="str">
            <v>Europe</v>
          </cell>
          <cell r="AU104" t="str">
            <v>multi sector</v>
          </cell>
          <cell r="AX104">
            <v>1000</v>
          </cell>
          <cell r="AY104">
            <v>2016</v>
          </cell>
          <cell r="BD104" t="str">
            <v>No</v>
          </cell>
          <cell r="BE104" t="str">
            <v>≥ 60%</v>
          </cell>
          <cell r="BF104" t="str">
            <v>≤ 15%</v>
          </cell>
          <cell r="BG104" t="str">
            <v>≤ 5%</v>
          </cell>
          <cell r="BH104" t="str">
            <v>2020-12-31</v>
          </cell>
          <cell r="BI104">
            <v>1177419958</v>
          </cell>
          <cell r="BJ104">
            <v>1177419958</v>
          </cell>
          <cell r="BK104">
            <v>1039498413</v>
          </cell>
          <cell r="BL104">
            <v>1039498413</v>
          </cell>
          <cell r="BM104">
            <v>27.3</v>
          </cell>
          <cell r="BN104" t="str">
            <v>Yes</v>
          </cell>
          <cell r="BO104" t="str">
            <v>Internal</v>
          </cell>
          <cell r="BP104">
            <v>47</v>
          </cell>
          <cell r="BQ104">
            <v>50</v>
          </cell>
          <cell r="BR104">
            <v>1008015178</v>
          </cell>
          <cell r="BS104">
            <v>1008015178</v>
          </cell>
          <cell r="BT104">
            <v>1008015178</v>
          </cell>
          <cell r="BU104">
            <v>1008015178</v>
          </cell>
          <cell r="BV104" t="str">
            <v>Yes</v>
          </cell>
          <cell r="BW104" t="str">
            <v>Poland</v>
          </cell>
          <cell r="BX104" t="str">
            <v>Residential</v>
          </cell>
          <cell r="BY104">
            <v>3.2</v>
          </cell>
          <cell r="BZ104" t="str">
            <v>France</v>
          </cell>
          <cell r="CA104" t="str">
            <v>Residential</v>
          </cell>
          <cell r="CB104">
            <v>9.1999999999999993</v>
          </cell>
          <cell r="CC104" t="str">
            <v>Netherlands</v>
          </cell>
          <cell r="CD104" t="str">
            <v>Residential</v>
          </cell>
          <cell r="CE104">
            <v>9.4</v>
          </cell>
          <cell r="CF104" t="str">
            <v>Finland</v>
          </cell>
          <cell r="CG104" t="str">
            <v>Residential</v>
          </cell>
          <cell r="CH104">
            <v>10.3</v>
          </cell>
          <cell r="CI104" t="str">
            <v>Spain</v>
          </cell>
          <cell r="CJ104" t="str">
            <v>Residential</v>
          </cell>
          <cell r="CK104">
            <v>15.8</v>
          </cell>
          <cell r="CL104" t="str">
            <v>Denmark</v>
          </cell>
          <cell r="CM104" t="str">
            <v>Residential</v>
          </cell>
          <cell r="CN104">
            <v>19.899999999999999</v>
          </cell>
          <cell r="CO104" t="str">
            <v>Germany</v>
          </cell>
          <cell r="CP104" t="str">
            <v>Residential</v>
          </cell>
          <cell r="CQ104">
            <v>32.200000000000003</v>
          </cell>
        </row>
        <row r="105">
          <cell r="A105">
            <v>17511</v>
          </cell>
          <cell r="B105" t="str">
            <v>CBRE DUTCH OFFICE FUND FGR</v>
          </cell>
          <cell r="C105" t="str">
            <v>CBRE GLOBAL INVESTORS</v>
          </cell>
          <cell r="D105" t="str">
            <v>PO Box 75620</v>
          </cell>
          <cell r="E105" t="str">
            <v>1118 ZR</v>
          </cell>
          <cell r="F105" t="str">
            <v>Schiphol</v>
          </cell>
          <cell r="G105" t="str">
            <v>Netherlands</v>
          </cell>
          <cell r="H105" t="str">
            <v>+31202022271</v>
          </cell>
          <cell r="I105" t="str">
            <v>+31202022301</v>
          </cell>
          <cell r="J105" t="str">
            <v>http://www.cbreglobalinvestors.com</v>
          </cell>
          <cell r="K105" t="str">
            <v>Ronald van der Waals</v>
          </cell>
          <cell r="L105" t="str">
            <v>Investor.Services.EMEA@cbreglobalinvestors.com</v>
          </cell>
          <cell r="M105" t="str">
            <v>+31202022200</v>
          </cell>
          <cell r="N105" t="str">
            <v>Yme Bouma</v>
          </cell>
          <cell r="O105" t="str">
            <v>Investor.Services.EMEA@cbreglobalinvestors.com</v>
          </cell>
          <cell r="P105" t="str">
            <v>+31202022301</v>
          </cell>
          <cell r="Q105" t="str">
            <v>Netherlands</v>
          </cell>
          <cell r="R105" t="str">
            <v>EUR</v>
          </cell>
          <cell r="S105" t="str">
            <v>IFRS</v>
          </cell>
          <cell r="T105" t="str">
            <v>Quarterly</v>
          </cell>
          <cell r="U105" t="str">
            <v>Quarterly</v>
          </cell>
          <cell r="V105" t="str">
            <v>RICS</v>
          </cell>
          <cell r="W105" t="str">
            <v>INREV NAV</v>
          </cell>
          <cell r="X105" t="str">
            <v>Deloitte</v>
          </cell>
          <cell r="Y105" t="str">
            <v>FGR (Fund for joint account)</v>
          </cell>
          <cell r="Z105" t="str">
            <v>Yes</v>
          </cell>
          <cell r="AA105" t="str">
            <v>Yes</v>
          </cell>
          <cell r="AB105">
            <v>1</v>
          </cell>
          <cell r="AC105" t="str">
            <v>Non-Listed Fund</v>
          </cell>
          <cell r="AD105" t="str">
            <v>Core</v>
          </cell>
          <cell r="AE105" t="str">
            <v>infinite</v>
          </cell>
          <cell r="AF105" t="str">
            <v>Open end</v>
          </cell>
          <cell r="AG105">
            <v>6</v>
          </cell>
          <cell r="AH105">
            <v>8</v>
          </cell>
          <cell r="AI105" t="str">
            <v>Net</v>
          </cell>
          <cell r="AJ105" t="str">
            <v>ROZ/IPD Dutch Office Property Index (standing investments)</v>
          </cell>
          <cell r="AL105">
            <v>20</v>
          </cell>
          <cell r="AM105" t="str">
            <v>≤ 40%</v>
          </cell>
          <cell r="AN105" t="str">
            <v>Institutional</v>
          </cell>
          <cell r="AO105" t="str">
            <v>&gt; 2</v>
          </cell>
          <cell r="AP105" t="str">
            <v>≥ 50%</v>
          </cell>
          <cell r="AQ105" t="str">
            <v>Europe</v>
          </cell>
          <cell r="AR105" t="str">
            <v>single country</v>
          </cell>
          <cell r="AT105" t="str">
            <v>Netherlands</v>
          </cell>
          <cell r="AU105" t="str">
            <v>single sector</v>
          </cell>
          <cell r="AV105" t="str">
            <v>Office</v>
          </cell>
          <cell r="AY105">
            <v>2014</v>
          </cell>
          <cell r="BD105" t="str">
            <v>Yes</v>
          </cell>
          <cell r="BF105" t="str">
            <v>≤ 15%</v>
          </cell>
          <cell r="BH105" t="str">
            <v>2020-12-31</v>
          </cell>
          <cell r="BI105">
            <v>2697918323</v>
          </cell>
          <cell r="BJ105">
            <v>2697918323</v>
          </cell>
          <cell r="BK105">
            <v>1981629644</v>
          </cell>
          <cell r="BL105">
            <v>1981629644</v>
          </cell>
          <cell r="BM105">
            <v>14.7</v>
          </cell>
          <cell r="BN105" t="str">
            <v>No</v>
          </cell>
          <cell r="BO105" t="str">
            <v>External</v>
          </cell>
          <cell r="BP105">
            <v>21</v>
          </cell>
          <cell r="BQ105">
            <v>11</v>
          </cell>
          <cell r="BR105">
            <v>975048000</v>
          </cell>
          <cell r="BS105">
            <v>975048000</v>
          </cell>
          <cell r="BT105">
            <v>975048000</v>
          </cell>
          <cell r="BU105">
            <v>975048000</v>
          </cell>
          <cell r="BV105" t="str">
            <v>No</v>
          </cell>
          <cell r="BW105" t="str">
            <v>Netherlands</v>
          </cell>
          <cell r="BX105" t="str">
            <v>Office</v>
          </cell>
          <cell r="BY105">
            <v>100</v>
          </cell>
        </row>
        <row r="106">
          <cell r="A106">
            <v>18277</v>
          </cell>
          <cell r="B106" t="str">
            <v>CBRE DUTCH RESIDENTIAL FUND FGR</v>
          </cell>
          <cell r="C106" t="str">
            <v>CBRE GLOBAL INVESTORS</v>
          </cell>
          <cell r="D106" t="str">
            <v>PO Box 75620</v>
          </cell>
          <cell r="E106" t="str">
            <v>1118 ZR</v>
          </cell>
          <cell r="F106" t="str">
            <v>Schiphol</v>
          </cell>
          <cell r="G106" t="str">
            <v>Netherlands</v>
          </cell>
          <cell r="H106" t="str">
            <v>+31202022200</v>
          </cell>
          <cell r="I106" t="str">
            <v>+31202022301</v>
          </cell>
          <cell r="J106" t="str">
            <v>http://www.cbreglobalinvestors.com</v>
          </cell>
          <cell r="K106" t="str">
            <v>Paul Oremus</v>
          </cell>
          <cell r="L106" t="str">
            <v>Investor.Services.EMEA@cbreglobalinvestors.com</v>
          </cell>
          <cell r="M106" t="str">
            <v>+31202022200</v>
          </cell>
          <cell r="N106" t="str">
            <v>Yme Bouma</v>
          </cell>
          <cell r="O106" t="str">
            <v>Investor.Services.EMEA@cbre.com</v>
          </cell>
          <cell r="P106" t="str">
            <v>+31202022200</v>
          </cell>
          <cell r="Q106" t="str">
            <v>Netherlands</v>
          </cell>
          <cell r="R106" t="str">
            <v>EUR</v>
          </cell>
          <cell r="S106" t="str">
            <v>IFRS</v>
          </cell>
          <cell r="T106" t="str">
            <v>Quarterly</v>
          </cell>
          <cell r="U106" t="str">
            <v>Quarterly</v>
          </cell>
          <cell r="V106" t="str">
            <v>RICS</v>
          </cell>
          <cell r="W106" t="str">
            <v>Fund Valution Principles</v>
          </cell>
          <cell r="X106" t="str">
            <v>Deloitte</v>
          </cell>
          <cell r="Y106" t="str">
            <v>FGR</v>
          </cell>
          <cell r="Z106" t="str">
            <v>Yes</v>
          </cell>
          <cell r="AA106" t="str">
            <v>Yes</v>
          </cell>
          <cell r="AB106">
            <v>3</v>
          </cell>
          <cell r="AC106" t="str">
            <v>Non-Listed Fund</v>
          </cell>
          <cell r="AD106" t="str">
            <v>Core</v>
          </cell>
          <cell r="AE106" t="str">
            <v>infinite</v>
          </cell>
          <cell r="AF106" t="str">
            <v>Open end</v>
          </cell>
          <cell r="AG106">
            <v>6</v>
          </cell>
          <cell r="AH106">
            <v>8</v>
          </cell>
          <cell r="AI106" t="str">
            <v>Net</v>
          </cell>
          <cell r="AM106" t="str">
            <v>≤ 40%</v>
          </cell>
          <cell r="AN106" t="str">
            <v>Institutional</v>
          </cell>
          <cell r="AO106" t="str">
            <v>&gt; 2</v>
          </cell>
          <cell r="AP106" t="str">
            <v>≥ 50%</v>
          </cell>
          <cell r="AQ106" t="str">
            <v>Europe</v>
          </cell>
          <cell r="AR106" t="str">
            <v>single country</v>
          </cell>
          <cell r="AT106" t="str">
            <v>Netherlands</v>
          </cell>
          <cell r="AU106" t="str">
            <v>single sector</v>
          </cell>
          <cell r="AV106" t="str">
            <v>Residential</v>
          </cell>
          <cell r="AY106">
            <v>2017</v>
          </cell>
          <cell r="BD106" t="str">
            <v>Yes</v>
          </cell>
          <cell r="BH106" t="str">
            <v>2020-12-31</v>
          </cell>
          <cell r="BI106">
            <v>2588214000</v>
          </cell>
          <cell r="BJ106">
            <v>2588214000</v>
          </cell>
          <cell r="BK106">
            <v>2465784000</v>
          </cell>
          <cell r="BL106">
            <v>2465784000</v>
          </cell>
          <cell r="BM106">
            <v>0</v>
          </cell>
          <cell r="BN106" t="str">
            <v>No</v>
          </cell>
          <cell r="BO106" t="str">
            <v>External</v>
          </cell>
          <cell r="BP106">
            <v>46</v>
          </cell>
          <cell r="BQ106">
            <v>134</v>
          </cell>
          <cell r="BR106">
            <v>1965371000</v>
          </cell>
          <cell r="BS106">
            <v>1965371000</v>
          </cell>
          <cell r="BT106">
            <v>1813370761</v>
          </cell>
          <cell r="BU106">
            <v>1813370761</v>
          </cell>
          <cell r="BV106" t="str">
            <v>Yes</v>
          </cell>
          <cell r="BW106" t="str">
            <v>Netherlands</v>
          </cell>
          <cell r="BX106" t="str">
            <v>Residential</v>
          </cell>
          <cell r="BY106">
            <v>100</v>
          </cell>
        </row>
        <row r="107">
          <cell r="A107">
            <v>17956</v>
          </cell>
          <cell r="B107" t="str">
            <v>CBRE DUTCH RETAIL FUND FGR</v>
          </cell>
          <cell r="C107" t="str">
            <v>CBRE GLOBAL INVESTORS</v>
          </cell>
          <cell r="D107" t="str">
            <v>PO Box 75620</v>
          </cell>
          <cell r="E107" t="str">
            <v>1118 ZR</v>
          </cell>
          <cell r="F107" t="str">
            <v>Schiphol</v>
          </cell>
          <cell r="G107" t="str">
            <v>Netherlands</v>
          </cell>
          <cell r="H107" t="str">
            <v>+31202022271</v>
          </cell>
          <cell r="I107" t="str">
            <v>+31202022301</v>
          </cell>
          <cell r="J107" t="str">
            <v>http://www.cbreglobalinvestors.com</v>
          </cell>
          <cell r="K107" t="str">
            <v>Rik Eertink</v>
          </cell>
          <cell r="L107" t="str">
            <v>Investor.Services.EMEA@cbreglobalinvestors.com</v>
          </cell>
          <cell r="M107" t="str">
            <v>+31202022200</v>
          </cell>
          <cell r="N107" t="str">
            <v>Yme Bouma</v>
          </cell>
          <cell r="O107" t="str">
            <v>Investor.Services.EMEA@cbreglobalinvestors.com</v>
          </cell>
          <cell r="P107" t="str">
            <v>+31202022301</v>
          </cell>
          <cell r="Q107" t="str">
            <v>Netherlands</v>
          </cell>
          <cell r="R107" t="str">
            <v>EUR</v>
          </cell>
          <cell r="S107" t="str">
            <v>IFRS</v>
          </cell>
          <cell r="T107" t="str">
            <v>Quarterly</v>
          </cell>
          <cell r="U107" t="str">
            <v>Quarterly</v>
          </cell>
          <cell r="V107" t="str">
            <v>RICS</v>
          </cell>
          <cell r="W107" t="str">
            <v>INREV NAV</v>
          </cell>
          <cell r="X107" t="str">
            <v>Deloitte</v>
          </cell>
          <cell r="Y107" t="str">
            <v>FGR (Fund for joint account)</v>
          </cell>
          <cell r="Z107" t="str">
            <v>Yes</v>
          </cell>
          <cell r="AA107" t="str">
            <v>Yes</v>
          </cell>
          <cell r="AB107">
            <v>3</v>
          </cell>
          <cell r="AC107" t="str">
            <v>Non-Listed Fund</v>
          </cell>
          <cell r="AD107" t="str">
            <v>Core</v>
          </cell>
          <cell r="AE107" t="str">
            <v>infinite</v>
          </cell>
          <cell r="AF107" t="str">
            <v>Open end</v>
          </cell>
          <cell r="AG107">
            <v>6</v>
          </cell>
          <cell r="AH107">
            <v>8</v>
          </cell>
          <cell r="AI107" t="str">
            <v>Net</v>
          </cell>
          <cell r="AJ107" t="str">
            <v>ROZ/IPD Dutch Retail Property Index (standing investments)</v>
          </cell>
          <cell r="AL107">
            <v>20</v>
          </cell>
          <cell r="AM107" t="str">
            <v>≤ 40%</v>
          </cell>
          <cell r="AN107" t="str">
            <v>Institutional</v>
          </cell>
          <cell r="AO107" t="str">
            <v>&gt; 2</v>
          </cell>
          <cell r="AP107" t="str">
            <v>≥ 50%</v>
          </cell>
          <cell r="AQ107" t="str">
            <v>Europe</v>
          </cell>
          <cell r="AR107" t="str">
            <v>single country</v>
          </cell>
          <cell r="AT107" t="str">
            <v>Netherlands</v>
          </cell>
          <cell r="AU107" t="str">
            <v>single sector</v>
          </cell>
          <cell r="AV107" t="str">
            <v>Retail</v>
          </cell>
          <cell r="AY107">
            <v>2016</v>
          </cell>
          <cell r="BD107" t="str">
            <v>Yes</v>
          </cell>
          <cell r="BH107" t="str">
            <v>2020-12-31</v>
          </cell>
          <cell r="BI107">
            <v>1452679000</v>
          </cell>
          <cell r="BJ107">
            <v>1452679000</v>
          </cell>
          <cell r="BK107">
            <v>985088000</v>
          </cell>
          <cell r="BL107">
            <v>985088000</v>
          </cell>
          <cell r="BM107">
            <v>20.7</v>
          </cell>
          <cell r="BN107" t="str">
            <v>No</v>
          </cell>
          <cell r="BO107" t="str">
            <v>External</v>
          </cell>
          <cell r="BP107">
            <v>38</v>
          </cell>
          <cell r="BQ107">
            <v>54</v>
          </cell>
          <cell r="BR107">
            <v>1342437000</v>
          </cell>
          <cell r="BS107">
            <v>1342437000</v>
          </cell>
          <cell r="BT107">
            <v>1342437000</v>
          </cell>
          <cell r="BU107">
            <v>1342437000</v>
          </cell>
          <cell r="BV107" t="str">
            <v>No</v>
          </cell>
          <cell r="BW107" t="str">
            <v>Netherlands</v>
          </cell>
          <cell r="BX107" t="str">
            <v>Retail</v>
          </cell>
          <cell r="BY107">
            <v>84.6</v>
          </cell>
          <cell r="BZ107" t="str">
            <v>Netherlands</v>
          </cell>
          <cell r="CA107" t="str">
            <v>Office</v>
          </cell>
          <cell r="CB107">
            <v>0.4</v>
          </cell>
          <cell r="CC107" t="str">
            <v>Netherlands</v>
          </cell>
          <cell r="CD107" t="str">
            <v>Residential</v>
          </cell>
          <cell r="CE107">
            <v>1</v>
          </cell>
          <cell r="CF107" t="str">
            <v>Netherlands</v>
          </cell>
          <cell r="CG107" t="str">
            <v>Parking</v>
          </cell>
          <cell r="CH107">
            <v>9.5</v>
          </cell>
        </row>
        <row r="108">
          <cell r="A108">
            <v>18564</v>
          </cell>
          <cell r="B108" t="str">
            <v>CBRE EUROPE VALUE PARTNERS 2 SCSP SICAV-RAIF</v>
          </cell>
          <cell r="C108" t="str">
            <v>CBRE GLOBAL INVESTORS</v>
          </cell>
          <cell r="D108" t="str">
            <v>26-28 Rue Edward Steichen</v>
          </cell>
          <cell r="E108" t="str">
            <v>L-2540</v>
          </cell>
          <cell r="F108" t="str">
            <v>Luxembourg</v>
          </cell>
          <cell r="G108" t="str">
            <v>Luxembourg</v>
          </cell>
          <cell r="H108" t="str">
            <v>+35226386928</v>
          </cell>
          <cell r="I108" t="str">
            <v>+35226386944</v>
          </cell>
          <cell r="J108" t="str">
            <v>http://www.cbreglobalinvestors.com</v>
          </cell>
          <cell r="K108" t="str">
            <v>CBRE Global Investors Luxembourg AIFM S.á r.l</v>
          </cell>
          <cell r="L108" t="str">
            <v>EVP2luxembourg@cbreglobalinvestors.com</v>
          </cell>
          <cell r="M108" t="str">
            <v>+35226386928</v>
          </cell>
          <cell r="N108" t="str">
            <v>Yme Bouma</v>
          </cell>
          <cell r="O108" t="str">
            <v>Investor.Services.EMEA@cbre.com</v>
          </cell>
          <cell r="P108" t="str">
            <v>+31202022320</v>
          </cell>
          <cell r="Q108" t="str">
            <v>Luxembourg</v>
          </cell>
          <cell r="R108" t="str">
            <v>EUR</v>
          </cell>
          <cell r="S108" t="str">
            <v>INREV NAV Guidelines</v>
          </cell>
          <cell r="T108" t="str">
            <v>Quarterly</v>
          </cell>
          <cell r="U108" t="str">
            <v>Quarterly</v>
          </cell>
          <cell r="V108" t="str">
            <v>by revenues and DCF analysis</v>
          </cell>
          <cell r="W108" t="str">
            <v>INREV NAV</v>
          </cell>
          <cell r="X108" t="str">
            <v>Ernst &amp; Young</v>
          </cell>
          <cell r="Y108" t="str">
            <v>SICAV</v>
          </cell>
          <cell r="Z108" t="str">
            <v>Yes</v>
          </cell>
          <cell r="AA108" t="str">
            <v>No</v>
          </cell>
          <cell r="AC108" t="str">
            <v>Non-Listed Fund</v>
          </cell>
          <cell r="AD108" t="str">
            <v>Value-added</v>
          </cell>
          <cell r="AE108" t="str">
            <v>finite</v>
          </cell>
          <cell r="AF108" t="str">
            <v>Closed end</v>
          </cell>
          <cell r="AG108">
            <v>14</v>
          </cell>
          <cell r="AI108" t="str">
            <v>Net</v>
          </cell>
          <cell r="AM108" t="str">
            <v>&gt; 40% - ≤ 60%</v>
          </cell>
          <cell r="AN108" t="str">
            <v>Institutional</v>
          </cell>
          <cell r="AO108" t="str">
            <v>&gt; 2</v>
          </cell>
          <cell r="AP108" t="str">
            <v>≥ 50%</v>
          </cell>
          <cell r="AQ108" t="str">
            <v>Europe</v>
          </cell>
          <cell r="AR108" t="str">
            <v>multi country</v>
          </cell>
          <cell r="AS108" t="str">
            <v>Europe</v>
          </cell>
          <cell r="AU108" t="str">
            <v>multi sector</v>
          </cell>
          <cell r="AY108">
            <v>2017</v>
          </cell>
          <cell r="AZ108">
            <v>2027</v>
          </cell>
          <cell r="BA108" t="str">
            <v>No</v>
          </cell>
          <cell r="BD108" t="str">
            <v>Yes</v>
          </cell>
          <cell r="BH108" t="str">
            <v>2020-06-30</v>
          </cell>
          <cell r="BI108">
            <v>908732000</v>
          </cell>
          <cell r="BJ108">
            <v>908732000</v>
          </cell>
          <cell r="BK108">
            <v>408733000</v>
          </cell>
          <cell r="BL108">
            <v>408733000</v>
          </cell>
          <cell r="BM108">
            <v>30.7</v>
          </cell>
          <cell r="BN108" t="str">
            <v>No</v>
          </cell>
          <cell r="BO108" t="str">
            <v>External</v>
          </cell>
          <cell r="BP108">
            <v>12</v>
          </cell>
          <cell r="BQ108">
            <v>41</v>
          </cell>
          <cell r="BR108">
            <v>600898368</v>
          </cell>
          <cell r="BS108">
            <v>600898368</v>
          </cell>
          <cell r="BT108">
            <v>363977964</v>
          </cell>
          <cell r="BU108">
            <v>363977964</v>
          </cell>
          <cell r="BV108" t="str">
            <v>No</v>
          </cell>
          <cell r="BW108" t="str">
            <v>United Kingdom</v>
          </cell>
          <cell r="BX108" t="str">
            <v>Office</v>
          </cell>
          <cell r="BY108">
            <v>5</v>
          </cell>
          <cell r="BZ108" t="str">
            <v>Germany</v>
          </cell>
          <cell r="CA108" t="str">
            <v>Residential</v>
          </cell>
          <cell r="CB108">
            <v>7.4</v>
          </cell>
          <cell r="CC108" t="str">
            <v>France</v>
          </cell>
          <cell r="CD108" t="str">
            <v>Industrial / Logistics</v>
          </cell>
          <cell r="CE108">
            <v>1.4</v>
          </cell>
          <cell r="CF108" t="str">
            <v>Spain</v>
          </cell>
          <cell r="CG108" t="str">
            <v>Industrial / Logistics</v>
          </cell>
          <cell r="CH108">
            <v>39.1</v>
          </cell>
          <cell r="CI108" t="str">
            <v>Denmark</v>
          </cell>
          <cell r="CJ108" t="str">
            <v>Retail</v>
          </cell>
          <cell r="CK108">
            <v>4.5</v>
          </cell>
          <cell r="CL108" t="str">
            <v>Spain</v>
          </cell>
          <cell r="CM108" t="str">
            <v>Retail</v>
          </cell>
          <cell r="CN108">
            <v>6.3</v>
          </cell>
          <cell r="CO108" t="str">
            <v>Spain</v>
          </cell>
          <cell r="CP108" t="str">
            <v>Development Industrial/Logistcis</v>
          </cell>
          <cell r="CQ108">
            <v>22.1</v>
          </cell>
          <cell r="CR108" t="str">
            <v>France</v>
          </cell>
          <cell r="CS108" t="str">
            <v>Development Industrial/Logistcis</v>
          </cell>
          <cell r="CT108">
            <v>3.5</v>
          </cell>
          <cell r="CU108" t="str">
            <v>Sweden</v>
          </cell>
          <cell r="CV108" t="str">
            <v>Development Residential</v>
          </cell>
          <cell r="CW108">
            <v>1.4</v>
          </cell>
          <cell r="CX108" t="str">
            <v>Poland</v>
          </cell>
          <cell r="CY108" t="str">
            <v>Development Industrial/Logistcis</v>
          </cell>
          <cell r="CZ108">
            <v>1.6</v>
          </cell>
        </row>
        <row r="109">
          <cell r="A109">
            <v>19343</v>
          </cell>
          <cell r="B109" t="str">
            <v>CBRE EUROPEAN CO-INVESTMENT FUND BV</v>
          </cell>
          <cell r="C109" t="str">
            <v>CBRE GLOBAL INVESTORS</v>
          </cell>
          <cell r="D109" t="str">
            <v>Schiphol Boulevard 281</v>
          </cell>
          <cell r="E109" t="str">
            <v>1118 BH</v>
          </cell>
          <cell r="F109" t="str">
            <v>Schiphol</v>
          </cell>
          <cell r="G109" t="str">
            <v>Netherlands</v>
          </cell>
          <cell r="H109" t="str">
            <v>+31202022200</v>
          </cell>
          <cell r="I109" t="str">
            <v>+31202022301</v>
          </cell>
          <cell r="J109" t="str">
            <v>http://www.cbreglobalinvestors.com</v>
          </cell>
          <cell r="K109" t="str">
            <v>Christina Forrest</v>
          </cell>
          <cell r="L109" t="str">
            <v>ECF@CBREGlobalinvestors.com</v>
          </cell>
          <cell r="M109" t="str">
            <v>+442078099376</v>
          </cell>
          <cell r="N109" t="str">
            <v>Laura Forde</v>
          </cell>
          <cell r="O109" t="str">
            <v>ECF@CBREGlobalinvestors.com</v>
          </cell>
          <cell r="P109" t="str">
            <v>+447825203022</v>
          </cell>
          <cell r="Q109" t="str">
            <v>Netherlands</v>
          </cell>
          <cell r="R109" t="str">
            <v>EUR</v>
          </cell>
          <cell r="S109" t="str">
            <v>IFRS</v>
          </cell>
          <cell r="T109" t="str">
            <v>Quarterly</v>
          </cell>
          <cell r="U109" t="str">
            <v>Quarterly</v>
          </cell>
          <cell r="V109" t="str">
            <v>?</v>
          </cell>
          <cell r="X109" t="str">
            <v>Ernst &amp; Young</v>
          </cell>
          <cell r="Y109" t="str">
            <v>Dutch B.V.</v>
          </cell>
          <cell r="Z109" t="str">
            <v>No</v>
          </cell>
          <cell r="AA109" t="str">
            <v>No</v>
          </cell>
          <cell r="AC109" t="str">
            <v>Non-Listed Fund</v>
          </cell>
          <cell r="AD109" t="str">
            <v>Core</v>
          </cell>
          <cell r="AE109" t="str">
            <v>finite</v>
          </cell>
          <cell r="AF109" t="str">
            <v>Closed end</v>
          </cell>
          <cell r="AG109">
            <v>15</v>
          </cell>
          <cell r="AI109" t="str">
            <v>Net</v>
          </cell>
          <cell r="AJ109" t="str">
            <v>Net IRR</v>
          </cell>
          <cell r="AM109" t="str">
            <v>&gt; 60%</v>
          </cell>
          <cell r="AN109" t="str">
            <v>Institutional</v>
          </cell>
          <cell r="AO109" t="str">
            <v>&gt; 2</v>
          </cell>
          <cell r="AP109" t="str">
            <v>≥ 50%</v>
          </cell>
          <cell r="AQ109" t="str">
            <v>Europe</v>
          </cell>
          <cell r="AR109" t="str">
            <v>multi country</v>
          </cell>
          <cell r="AS109" t="str">
            <v>Europe</v>
          </cell>
          <cell r="AU109" t="str">
            <v>multi sector</v>
          </cell>
          <cell r="AW109">
            <v>373598000</v>
          </cell>
          <cell r="AY109">
            <v>2015</v>
          </cell>
          <cell r="AZ109">
            <v>2022</v>
          </cell>
          <cell r="BA109" t="str">
            <v>No</v>
          </cell>
          <cell r="BD109" t="str">
            <v>Yes</v>
          </cell>
          <cell r="BH109" t="str">
            <v>2020-06-30</v>
          </cell>
          <cell r="BI109">
            <v>206621671</v>
          </cell>
          <cell r="BJ109">
            <v>206621671</v>
          </cell>
          <cell r="BK109">
            <v>198913046</v>
          </cell>
          <cell r="BL109">
            <v>198913046</v>
          </cell>
          <cell r="BM109">
            <v>47</v>
          </cell>
          <cell r="BN109" t="str">
            <v>No</v>
          </cell>
          <cell r="BO109" t="str">
            <v>External</v>
          </cell>
          <cell r="BP109">
            <v>8</v>
          </cell>
          <cell r="BQ109">
            <v>41</v>
          </cell>
          <cell r="BR109">
            <v>315326676</v>
          </cell>
          <cell r="BS109">
            <v>315326676</v>
          </cell>
          <cell r="BT109">
            <v>288900000</v>
          </cell>
          <cell r="BU109">
            <v>288900000</v>
          </cell>
          <cell r="BV109" t="str">
            <v>No</v>
          </cell>
          <cell r="BW109" t="str">
            <v>Sweden</v>
          </cell>
          <cell r="BX109" t="str">
            <v>Retail</v>
          </cell>
          <cell r="BY109">
            <v>28.4</v>
          </cell>
          <cell r="BZ109" t="str">
            <v>Denmark</v>
          </cell>
          <cell r="CA109" t="str">
            <v>Retail</v>
          </cell>
          <cell r="CB109">
            <v>33.5</v>
          </cell>
          <cell r="CC109" t="str">
            <v>United Kingdom</v>
          </cell>
          <cell r="CD109" t="str">
            <v>Industrial / Logistics</v>
          </cell>
          <cell r="CE109">
            <v>38.1</v>
          </cell>
        </row>
        <row r="110">
          <cell r="A110">
            <v>278</v>
          </cell>
          <cell r="B110" t="str">
            <v xml:space="preserve">CBRE EUROPEAN INDUSTRIAL FUND </v>
          </cell>
          <cell r="C110" t="str">
            <v>CBRE GLOBAL INVESTORS</v>
          </cell>
          <cell r="D110" t="str">
            <v>PO Box 75620</v>
          </cell>
          <cell r="E110" t="str">
            <v>1118 ZR</v>
          </cell>
          <cell r="F110" t="str">
            <v>Schiphol</v>
          </cell>
          <cell r="G110" t="str">
            <v>Netherlands</v>
          </cell>
          <cell r="H110" t="str">
            <v>+31202022200</v>
          </cell>
          <cell r="I110" t="str">
            <v>+31202022301</v>
          </cell>
          <cell r="J110" t="str">
            <v>http://www.cbreglobalinvestors.com</v>
          </cell>
          <cell r="K110" t="str">
            <v>Laurie Lagarde</v>
          </cell>
          <cell r="L110" t="str">
            <v>Investor.Services.EMEA@cbreglobalinvestors.com</v>
          </cell>
          <cell r="M110" t="str">
            <v>+33673758660</v>
          </cell>
          <cell r="N110" t="str">
            <v>Yme Bouma</v>
          </cell>
          <cell r="O110" t="str">
            <v>Investor.Services.EMEA@cbreglobalinvestors.com</v>
          </cell>
          <cell r="P110" t="str">
            <v>+31202022301</v>
          </cell>
          <cell r="Q110" t="str">
            <v>Netherlands</v>
          </cell>
          <cell r="R110" t="str">
            <v>EUR</v>
          </cell>
          <cell r="S110" t="str">
            <v>IFRS</v>
          </cell>
          <cell r="T110" t="str">
            <v>Quarterly</v>
          </cell>
          <cell r="U110" t="str">
            <v>Annually</v>
          </cell>
          <cell r="V110" t="str">
            <v>RICS</v>
          </cell>
          <cell r="W110" t="str">
            <v>INREV NAV</v>
          </cell>
          <cell r="X110" t="str">
            <v>Ernst &amp; Young</v>
          </cell>
          <cell r="Y110" t="str">
            <v>Dutch FGR</v>
          </cell>
          <cell r="Z110" t="str">
            <v>Yes</v>
          </cell>
          <cell r="AB110">
            <v>0</v>
          </cell>
          <cell r="AC110" t="str">
            <v>Non-Listed Fund</v>
          </cell>
          <cell r="AD110" t="str">
            <v>Core</v>
          </cell>
          <cell r="AE110" t="str">
            <v>infinite</v>
          </cell>
          <cell r="AF110" t="str">
            <v>Open end</v>
          </cell>
          <cell r="AG110">
            <v>10</v>
          </cell>
          <cell r="AH110">
            <v>11</v>
          </cell>
          <cell r="AI110" t="str">
            <v>Net</v>
          </cell>
          <cell r="AJ110" t="str">
            <v>None</v>
          </cell>
          <cell r="AL110">
            <v>50</v>
          </cell>
          <cell r="AM110" t="str">
            <v>&gt; 40% - ≤ 60%</v>
          </cell>
          <cell r="AN110" t="str">
            <v>Institutional</v>
          </cell>
          <cell r="AO110" t="str">
            <v>&gt; 2</v>
          </cell>
          <cell r="AP110" t="str">
            <v>≥ 50%</v>
          </cell>
          <cell r="AQ110" t="str">
            <v>Europe</v>
          </cell>
          <cell r="AR110" t="str">
            <v>multi country</v>
          </cell>
          <cell r="AS110" t="str">
            <v>Europe</v>
          </cell>
          <cell r="AU110" t="str">
            <v>single sector</v>
          </cell>
          <cell r="AV110" t="str">
            <v>Industrial / Logistics</v>
          </cell>
          <cell r="AW110">
            <v>500000000</v>
          </cell>
          <cell r="AX110">
            <v>1000000000</v>
          </cell>
          <cell r="AY110">
            <v>2005</v>
          </cell>
          <cell r="BB110" t="str">
            <v>No</v>
          </cell>
          <cell r="BD110" t="str">
            <v>Yes</v>
          </cell>
          <cell r="BF110" t="str">
            <v>≤ 15%</v>
          </cell>
          <cell r="BG110" t="str">
            <v>≤ 5%</v>
          </cell>
          <cell r="BH110" t="str">
            <v>2020-12-31</v>
          </cell>
          <cell r="BI110">
            <v>1342846670</v>
          </cell>
          <cell r="BJ110">
            <v>1342846670</v>
          </cell>
          <cell r="BK110">
            <v>958408639</v>
          </cell>
          <cell r="BL110">
            <v>958408639</v>
          </cell>
          <cell r="BM110">
            <v>22.2</v>
          </cell>
          <cell r="BN110" t="str">
            <v>No</v>
          </cell>
          <cell r="BO110" t="str">
            <v>External</v>
          </cell>
          <cell r="BP110">
            <v>18</v>
          </cell>
          <cell r="BQ110">
            <v>46</v>
          </cell>
          <cell r="BR110">
            <v>850891000</v>
          </cell>
          <cell r="BS110">
            <v>850891000</v>
          </cell>
          <cell r="BT110">
            <v>750891000</v>
          </cell>
          <cell r="BU110">
            <v>750891000</v>
          </cell>
          <cell r="BV110" t="str">
            <v>No</v>
          </cell>
          <cell r="BW110" t="str">
            <v>France</v>
          </cell>
          <cell r="BX110" t="str">
            <v>Industrial / Logistics</v>
          </cell>
          <cell r="BY110">
            <v>29.05</v>
          </cell>
          <cell r="BZ110" t="str">
            <v>Germany</v>
          </cell>
          <cell r="CA110" t="str">
            <v>Industrial / Logistics</v>
          </cell>
          <cell r="CB110">
            <v>18.52</v>
          </cell>
          <cell r="CC110" t="str">
            <v>Spain</v>
          </cell>
          <cell r="CD110" t="str">
            <v>Industrial / Logistics</v>
          </cell>
          <cell r="CE110">
            <v>6.56</v>
          </cell>
          <cell r="CF110" t="str">
            <v>Portugal</v>
          </cell>
          <cell r="CG110" t="str">
            <v>Industrial / Logistics</v>
          </cell>
          <cell r="CH110">
            <v>5.03</v>
          </cell>
          <cell r="CI110" t="str">
            <v>Italy</v>
          </cell>
          <cell r="CJ110" t="str">
            <v>Industrial / Logistics</v>
          </cell>
          <cell r="CK110">
            <v>15.34</v>
          </cell>
          <cell r="CL110" t="str">
            <v>Netherlands</v>
          </cell>
          <cell r="CM110" t="str">
            <v>Industrial / Logistics</v>
          </cell>
          <cell r="CN110">
            <v>14.66</v>
          </cell>
          <cell r="CO110" t="str">
            <v>Belgium</v>
          </cell>
          <cell r="CP110" t="str">
            <v>Industrial / Logistics</v>
          </cell>
          <cell r="CQ110">
            <v>9.2799999999999994</v>
          </cell>
          <cell r="CR110" t="str">
            <v>Spain</v>
          </cell>
          <cell r="CS110" t="str">
            <v>Development Industrial/Logistcis</v>
          </cell>
          <cell r="CT110">
            <v>0.18</v>
          </cell>
          <cell r="CU110" t="str">
            <v>Netherlands</v>
          </cell>
          <cell r="CV110" t="str">
            <v>Development Industrial/Logistcis</v>
          </cell>
          <cell r="CW110">
            <v>1.38</v>
          </cell>
        </row>
        <row r="111">
          <cell r="A111">
            <v>553</v>
          </cell>
          <cell r="B111" t="str">
            <v>CBRE EUROPEAN SHOPPING CENTRE FUND</v>
          </cell>
          <cell r="C111" t="str">
            <v>CBRE GLOBAL INVESTORS</v>
          </cell>
          <cell r="D111" t="str">
            <v>PO Box 75620</v>
          </cell>
          <cell r="E111" t="str">
            <v>1118 ZR</v>
          </cell>
          <cell r="F111" t="str">
            <v>Schiphol</v>
          </cell>
          <cell r="G111" t="str">
            <v>Netherlands</v>
          </cell>
          <cell r="H111" t="str">
            <v>+31202022200</v>
          </cell>
          <cell r="I111" t="str">
            <v>+31202022301</v>
          </cell>
          <cell r="J111" t="str">
            <v>http://www.cbreglobalinvestors.com</v>
          </cell>
          <cell r="K111" t="str">
            <v>Rik Eertink</v>
          </cell>
          <cell r="L111" t="str">
            <v>Investor.Services.EMEA@cbreglobalinvestors.com</v>
          </cell>
          <cell r="M111" t="str">
            <v>+31202022255</v>
          </cell>
          <cell r="N111" t="str">
            <v>Yme Bouma</v>
          </cell>
          <cell r="O111" t="str">
            <v>Investor.Services.EMEA@cbreglobalinvestors.com</v>
          </cell>
          <cell r="P111" t="str">
            <v>+31202022301</v>
          </cell>
          <cell r="Q111" t="str">
            <v>Netherlands</v>
          </cell>
          <cell r="R111" t="str">
            <v>EUR</v>
          </cell>
          <cell r="S111" t="str">
            <v>IFRS</v>
          </cell>
          <cell r="T111" t="str">
            <v>Quarterly</v>
          </cell>
          <cell r="U111" t="str">
            <v>Quarterly</v>
          </cell>
          <cell r="V111" t="str">
            <v>RICS</v>
          </cell>
          <cell r="W111" t="str">
            <v>INREV NAV</v>
          </cell>
          <cell r="X111" t="str">
            <v>Ernst &amp; Young</v>
          </cell>
          <cell r="Y111" t="str">
            <v>CV</v>
          </cell>
          <cell r="Z111" t="str">
            <v>Yes</v>
          </cell>
          <cell r="AB111">
            <v>0</v>
          </cell>
          <cell r="AC111" t="str">
            <v>Non-Listed Fund</v>
          </cell>
          <cell r="AD111" t="str">
            <v>Core</v>
          </cell>
          <cell r="AE111" t="str">
            <v>finite</v>
          </cell>
          <cell r="AF111" t="str">
            <v>Closed end</v>
          </cell>
          <cell r="AG111">
            <v>11</v>
          </cell>
          <cell r="AH111">
            <v>13</v>
          </cell>
          <cell r="AI111" t="str">
            <v>Net</v>
          </cell>
          <cell r="AJ111" t="str">
            <v>Target IRR</v>
          </cell>
          <cell r="AL111">
            <v>30</v>
          </cell>
          <cell r="AM111" t="str">
            <v>&gt; 40% - ≤ 60%</v>
          </cell>
          <cell r="AN111" t="str">
            <v>Institutional</v>
          </cell>
          <cell r="AO111" t="str">
            <v>&gt; 2</v>
          </cell>
          <cell r="AP111" t="str">
            <v>≥ 50%</v>
          </cell>
          <cell r="AQ111" t="str">
            <v>Europe</v>
          </cell>
          <cell r="AR111" t="str">
            <v>multi country</v>
          </cell>
          <cell r="AS111" t="str">
            <v>Europe</v>
          </cell>
          <cell r="AU111" t="str">
            <v>single sector</v>
          </cell>
          <cell r="AV111" t="str">
            <v>Retail</v>
          </cell>
          <cell r="AW111">
            <v>750000000</v>
          </cell>
          <cell r="AX111">
            <v>1500000000</v>
          </cell>
          <cell r="AY111">
            <v>2010</v>
          </cell>
          <cell r="AZ111">
            <v>2017</v>
          </cell>
          <cell r="BA111" t="str">
            <v>Yes</v>
          </cell>
          <cell r="BB111" t="str">
            <v>Yes</v>
          </cell>
          <cell r="BC111" t="str">
            <v>3 years fixed</v>
          </cell>
          <cell r="BH111" t="str">
            <v>2020-12-31</v>
          </cell>
          <cell r="BI111">
            <v>133812502</v>
          </cell>
          <cell r="BJ111">
            <v>133812502</v>
          </cell>
          <cell r="BK111">
            <v>73350000</v>
          </cell>
          <cell r="BL111">
            <v>73350000</v>
          </cell>
          <cell r="BM111">
            <v>41.3</v>
          </cell>
          <cell r="BN111" t="str">
            <v>No</v>
          </cell>
          <cell r="BO111" t="str">
            <v>External</v>
          </cell>
          <cell r="BP111">
            <v>25</v>
          </cell>
          <cell r="BQ111">
            <v>2</v>
          </cell>
          <cell r="BR111">
            <v>304452000</v>
          </cell>
          <cell r="BS111">
            <v>304452000</v>
          </cell>
          <cell r="BT111">
            <v>304452000</v>
          </cell>
          <cell r="BU111">
            <v>304452000</v>
          </cell>
          <cell r="BV111" t="str">
            <v>No</v>
          </cell>
          <cell r="BW111" t="str">
            <v>Poland</v>
          </cell>
          <cell r="BX111" t="str">
            <v>Retail</v>
          </cell>
          <cell r="BY111">
            <v>56.8</v>
          </cell>
          <cell r="BZ111" t="str">
            <v>Germany</v>
          </cell>
          <cell r="CA111" t="str">
            <v>Retail</v>
          </cell>
          <cell r="CB111">
            <v>43.2</v>
          </cell>
        </row>
        <row r="112">
          <cell r="A112">
            <v>17690</v>
          </cell>
          <cell r="B112" t="str">
            <v>CBRE EUROPEAN SHOPPING CENTRE FUND II SCA SICAF-SIF</v>
          </cell>
          <cell r="C112" t="str">
            <v>CBRE GLOBAL INVESTORS</v>
          </cell>
          <cell r="D112" t="str">
            <v>26-28 Rue Edward Steichen</v>
          </cell>
          <cell r="E112" t="str">
            <v>L-2540</v>
          </cell>
          <cell r="F112" t="str">
            <v>Luxembourg</v>
          </cell>
          <cell r="G112" t="str">
            <v>Luxembourg</v>
          </cell>
          <cell r="H112" t="str">
            <v>+352267329</v>
          </cell>
          <cell r="I112" t="str">
            <v>+35226386944</v>
          </cell>
          <cell r="J112" t="str">
            <v>http://www.cbreglobalinvestors.com</v>
          </cell>
          <cell r="K112" t="str">
            <v>Rik Eertink</v>
          </cell>
          <cell r="L112" t="str">
            <v>Investor.Services.EMEA@cbreglobalinvestors.com</v>
          </cell>
          <cell r="M112" t="str">
            <v>+31202022255</v>
          </cell>
          <cell r="N112" t="str">
            <v>Yme Bouma</v>
          </cell>
          <cell r="O112" t="str">
            <v>Investor.Services.EMEA@cbreglobalinvestors.com</v>
          </cell>
          <cell r="P112" t="str">
            <v>+31202022328</v>
          </cell>
          <cell r="Q112" t="str">
            <v>Luxembourg</v>
          </cell>
          <cell r="R112" t="str">
            <v>EUR</v>
          </cell>
          <cell r="S112" t="str">
            <v>INREV</v>
          </cell>
          <cell r="T112" t="str">
            <v>Quarterly</v>
          </cell>
          <cell r="U112" t="str">
            <v>Quarterly</v>
          </cell>
          <cell r="V112" t="str">
            <v>RICS</v>
          </cell>
          <cell r="W112" t="str">
            <v>INREV NAV</v>
          </cell>
          <cell r="X112" t="str">
            <v>Ernst &amp; Young</v>
          </cell>
          <cell r="Y112" t="str">
            <v>SICAV</v>
          </cell>
          <cell r="Z112" t="str">
            <v>Yes</v>
          </cell>
          <cell r="AA112" t="str">
            <v>No</v>
          </cell>
          <cell r="AC112" t="str">
            <v>Non-Listed Fund</v>
          </cell>
          <cell r="AD112" t="str">
            <v>Core</v>
          </cell>
          <cell r="AE112" t="str">
            <v>finite</v>
          </cell>
          <cell r="AF112" t="str">
            <v>Closed end</v>
          </cell>
          <cell r="AG112">
            <v>11</v>
          </cell>
          <cell r="AH112">
            <v>13</v>
          </cell>
          <cell r="AI112" t="str">
            <v>Net</v>
          </cell>
          <cell r="AJ112" t="str">
            <v>Target IRR</v>
          </cell>
          <cell r="AM112" t="str">
            <v>&gt; 40% - ≤ 60%</v>
          </cell>
          <cell r="AN112" t="str">
            <v>Institutional</v>
          </cell>
          <cell r="AO112" t="str">
            <v>&gt; 2</v>
          </cell>
          <cell r="AP112" t="str">
            <v>≥ 50%</v>
          </cell>
          <cell r="AQ112" t="str">
            <v>Europe</v>
          </cell>
          <cell r="AR112" t="str">
            <v>multi country</v>
          </cell>
          <cell r="AS112" t="str">
            <v>Europe</v>
          </cell>
          <cell r="AU112" t="str">
            <v>single sector</v>
          </cell>
          <cell r="AV112" t="str">
            <v>Retail</v>
          </cell>
          <cell r="AW112">
            <v>500000000</v>
          </cell>
          <cell r="AX112">
            <v>1000000000</v>
          </cell>
          <cell r="AY112">
            <v>2015</v>
          </cell>
          <cell r="AZ112">
            <v>2024</v>
          </cell>
          <cell r="BA112" t="str">
            <v>No</v>
          </cell>
          <cell r="BB112" t="str">
            <v>No</v>
          </cell>
          <cell r="BD112" t="str">
            <v>Yes</v>
          </cell>
          <cell r="BH112" t="str">
            <v>2020-12-31</v>
          </cell>
          <cell r="BI112">
            <v>1074072000</v>
          </cell>
          <cell r="BJ112">
            <v>1074072000</v>
          </cell>
          <cell r="BK112">
            <v>453498403</v>
          </cell>
          <cell r="BL112">
            <v>453498403</v>
          </cell>
          <cell r="BM112">
            <v>52</v>
          </cell>
          <cell r="BN112" t="str">
            <v>No</v>
          </cell>
          <cell r="BO112" t="str">
            <v>External</v>
          </cell>
          <cell r="BP112">
            <v>23</v>
          </cell>
          <cell r="BQ112">
            <v>11</v>
          </cell>
          <cell r="BR112">
            <v>663161377</v>
          </cell>
          <cell r="BS112">
            <v>663161377</v>
          </cell>
          <cell r="BT112">
            <v>631096000</v>
          </cell>
          <cell r="BU112">
            <v>631096000</v>
          </cell>
          <cell r="BV112" t="str">
            <v>No</v>
          </cell>
          <cell r="BW112" t="str">
            <v>Italy</v>
          </cell>
          <cell r="BX112" t="str">
            <v>Retail</v>
          </cell>
          <cell r="BY112">
            <v>18.100000000000001</v>
          </cell>
          <cell r="BZ112" t="str">
            <v>Belgium</v>
          </cell>
          <cell r="CA112" t="str">
            <v>Retail</v>
          </cell>
          <cell r="CB112">
            <v>23.3</v>
          </cell>
          <cell r="CC112" t="str">
            <v>Finland</v>
          </cell>
          <cell r="CD112" t="str">
            <v>Retail</v>
          </cell>
          <cell r="CE112">
            <v>12.2</v>
          </cell>
          <cell r="CF112" t="str">
            <v>Germany</v>
          </cell>
          <cell r="CG112" t="str">
            <v>Retail</v>
          </cell>
          <cell r="CH112">
            <v>5</v>
          </cell>
          <cell r="CI112" t="str">
            <v>Spain</v>
          </cell>
          <cell r="CJ112" t="str">
            <v>Retail</v>
          </cell>
          <cell r="CK112">
            <v>4.0999999999999996</v>
          </cell>
          <cell r="CL112" t="str">
            <v>Poland</v>
          </cell>
          <cell r="CM112" t="str">
            <v>Retail</v>
          </cell>
          <cell r="CN112">
            <v>19.2</v>
          </cell>
          <cell r="CO112" t="str">
            <v>Sweden</v>
          </cell>
          <cell r="CP112" t="str">
            <v>Retail</v>
          </cell>
          <cell r="CQ112">
            <v>18.100000000000001</v>
          </cell>
        </row>
        <row r="113">
          <cell r="A113">
            <v>275</v>
          </cell>
          <cell r="B113" t="str">
            <v>CBRE LOGISTICS PROPERTY FUND EUROPE</v>
          </cell>
          <cell r="C113" t="str">
            <v>CBRE GLOBAL INVESTORS</v>
          </cell>
          <cell r="D113" t="str">
            <v>PO Box 75620</v>
          </cell>
          <cell r="E113" t="str">
            <v>1118 ZR</v>
          </cell>
          <cell r="F113" t="str">
            <v>Schiphol</v>
          </cell>
          <cell r="G113" t="str">
            <v>Netherlands</v>
          </cell>
          <cell r="H113" t="str">
            <v>+31202022200</v>
          </cell>
          <cell r="I113" t="str">
            <v>+31202022301</v>
          </cell>
          <cell r="J113" t="str">
            <v>http://www.cbreglobalinvestors.com</v>
          </cell>
          <cell r="K113" t="str">
            <v>Laurie Lagarde</v>
          </cell>
          <cell r="L113" t="str">
            <v>Investor.Services.EMEA@cbreglobalinvestors.com</v>
          </cell>
          <cell r="M113" t="str">
            <v>+33673758660</v>
          </cell>
          <cell r="N113" t="str">
            <v>Yme Bouma</v>
          </cell>
          <cell r="O113" t="str">
            <v>Investor.Services.EMEA@cbreglobalinvestors.com</v>
          </cell>
          <cell r="P113" t="str">
            <v>+31202022301</v>
          </cell>
          <cell r="Q113" t="str">
            <v>Netherlands</v>
          </cell>
          <cell r="R113" t="str">
            <v>EUR</v>
          </cell>
          <cell r="S113" t="str">
            <v>IFRS</v>
          </cell>
          <cell r="T113" t="str">
            <v>Quarterly</v>
          </cell>
          <cell r="U113" t="str">
            <v>Annually</v>
          </cell>
          <cell r="V113" t="str">
            <v>RICS</v>
          </cell>
          <cell r="W113" t="str">
            <v>INREV NAV</v>
          </cell>
          <cell r="X113" t="str">
            <v>Ernst &amp; Young</v>
          </cell>
          <cell r="Y113" t="str">
            <v>CV</v>
          </cell>
          <cell r="Z113" t="str">
            <v>Yes</v>
          </cell>
          <cell r="AA113" t="str">
            <v>Yes</v>
          </cell>
          <cell r="AB113">
            <v>0</v>
          </cell>
          <cell r="AC113" t="str">
            <v>Non-Listed Fund</v>
          </cell>
          <cell r="AD113" t="str">
            <v>Core</v>
          </cell>
          <cell r="AE113" t="str">
            <v>finite</v>
          </cell>
          <cell r="AF113" t="str">
            <v>Closed end</v>
          </cell>
          <cell r="AG113">
            <v>12</v>
          </cell>
          <cell r="AH113">
            <v>12</v>
          </cell>
          <cell r="AI113" t="str">
            <v>Net</v>
          </cell>
          <cell r="AJ113" t="str">
            <v>None</v>
          </cell>
          <cell r="AM113" t="str">
            <v>&gt; 40% - ≤ 60%</v>
          </cell>
          <cell r="AN113" t="str">
            <v>Institutional</v>
          </cell>
          <cell r="AO113" t="str">
            <v>&gt; 2</v>
          </cell>
          <cell r="AP113" t="str">
            <v>≥ 50%</v>
          </cell>
          <cell r="AQ113" t="str">
            <v>Europe</v>
          </cell>
          <cell r="AR113" t="str">
            <v>multi country</v>
          </cell>
          <cell r="AS113" t="str">
            <v>Europe</v>
          </cell>
          <cell r="AU113" t="str">
            <v>single sector</v>
          </cell>
          <cell r="AV113" t="str">
            <v>Industrial / Logistics</v>
          </cell>
          <cell r="AW113">
            <v>250000000</v>
          </cell>
          <cell r="AX113">
            <v>500000000</v>
          </cell>
          <cell r="AY113">
            <v>2002</v>
          </cell>
          <cell r="AZ113">
            <v>2012</v>
          </cell>
          <cell r="BA113" t="str">
            <v>Yes</v>
          </cell>
          <cell r="BB113" t="str">
            <v>Yes</v>
          </cell>
          <cell r="BC113" t="str">
            <v>2 years</v>
          </cell>
          <cell r="BH113" t="str">
            <v>2020-12-31</v>
          </cell>
          <cell r="BI113">
            <v>13277860</v>
          </cell>
          <cell r="BJ113">
            <v>13277860</v>
          </cell>
          <cell r="BK113">
            <v>11781889</v>
          </cell>
          <cell r="BL113">
            <v>11781889</v>
          </cell>
          <cell r="BM113">
            <v>0</v>
          </cell>
          <cell r="BN113" t="str">
            <v>No</v>
          </cell>
          <cell r="BO113" t="str">
            <v>External</v>
          </cell>
          <cell r="BP113">
            <v>20</v>
          </cell>
          <cell r="BQ113">
            <v>0</v>
          </cell>
          <cell r="BR113">
            <v>250000000</v>
          </cell>
          <cell r="BS113">
            <v>250000000</v>
          </cell>
          <cell r="BT113">
            <v>250000000</v>
          </cell>
          <cell r="BU113">
            <v>250000000</v>
          </cell>
          <cell r="BV113" t="str">
            <v>No</v>
          </cell>
        </row>
        <row r="114">
          <cell r="A114">
            <v>18600</v>
          </cell>
          <cell r="B114" t="str">
            <v>CBRE LOGISTICS VENTURE SCSP</v>
          </cell>
          <cell r="C114" t="str">
            <v>CBRE GLOBAL INVESTORS</v>
          </cell>
          <cell r="D114" t="str">
            <v>4, Rue du Fort Wallis</v>
          </cell>
          <cell r="E114" t="str">
            <v xml:space="preserve">L-2714 </v>
          </cell>
          <cell r="F114" t="str">
            <v>Luxembourg</v>
          </cell>
          <cell r="G114" t="str">
            <v>Luxembourg</v>
          </cell>
          <cell r="H114" t="str">
            <v>+352 26 38 69 28</v>
          </cell>
          <cell r="I114" t="str">
            <v>+352 26 38 69 44</v>
          </cell>
          <cell r="J114" t="str">
            <v>http://www.cbreglobalinvestors.com</v>
          </cell>
          <cell r="K114" t="str">
            <v>Pierre-David Baylac</v>
          </cell>
          <cell r="L114" t="str">
            <v>pierre.david.baylac@cbreglobalinvestors.com</v>
          </cell>
          <cell r="M114" t="str">
            <v>+33 1 7677 6749</v>
          </cell>
          <cell r="N114" t="str">
            <v>Yme Bouma</v>
          </cell>
          <cell r="O114" t="str">
            <v>Investor.Services.EMEA@cbre.com</v>
          </cell>
          <cell r="P114" t="str">
            <v>+31 20 202 2320</v>
          </cell>
          <cell r="Q114" t="str">
            <v>Luxembourg</v>
          </cell>
          <cell r="R114" t="str">
            <v>EUR</v>
          </cell>
          <cell r="S114" t="str">
            <v>INREV NAV Guidelines</v>
          </cell>
          <cell r="T114" t="str">
            <v>Quarterly</v>
          </cell>
          <cell r="U114" t="str">
            <v>Quarterly</v>
          </cell>
          <cell r="V114" t="str">
            <v>DCF analysis</v>
          </cell>
          <cell r="W114" t="str">
            <v>INREV NAV</v>
          </cell>
          <cell r="X114" t="str">
            <v>Ernst &amp; Young</v>
          </cell>
          <cell r="Y114" t="str">
            <v>SCSp</v>
          </cell>
          <cell r="Z114" t="str">
            <v>Yes</v>
          </cell>
          <cell r="AC114" t="str">
            <v>Non-Listed Fund</v>
          </cell>
          <cell r="AD114" t="str">
            <v>Core</v>
          </cell>
          <cell r="AE114" t="str">
            <v>infinite</v>
          </cell>
          <cell r="AF114" t="str">
            <v>Open end</v>
          </cell>
          <cell r="AG114">
            <v>8</v>
          </cell>
          <cell r="AH114">
            <v>10</v>
          </cell>
          <cell r="AI114" t="str">
            <v>Net</v>
          </cell>
          <cell r="AM114" t="str">
            <v>≤ 40%</v>
          </cell>
          <cell r="AN114" t="str">
            <v>Institutional</v>
          </cell>
          <cell r="AO114" t="str">
            <v>&gt; 2</v>
          </cell>
          <cell r="AP114" t="str">
            <v>≥ 50%</v>
          </cell>
          <cell r="AQ114" t="str">
            <v>Europe</v>
          </cell>
          <cell r="AR114" t="str">
            <v>multi country</v>
          </cell>
          <cell r="AS114" t="str">
            <v>Europe</v>
          </cell>
          <cell r="AU114" t="str">
            <v>single sector</v>
          </cell>
          <cell r="AV114" t="str">
            <v>Industrial / Logistics</v>
          </cell>
          <cell r="AY114">
            <v>2018</v>
          </cell>
          <cell r="BD114" t="str">
            <v>No</v>
          </cell>
          <cell r="BH114" t="str">
            <v>2020-12-31</v>
          </cell>
          <cell r="BI114">
            <v>641842477</v>
          </cell>
          <cell r="BJ114">
            <v>641842477</v>
          </cell>
          <cell r="BK114">
            <v>407779716</v>
          </cell>
          <cell r="BL114">
            <v>407779716</v>
          </cell>
          <cell r="BM114">
            <v>29.2</v>
          </cell>
          <cell r="BN114" t="str">
            <v>No</v>
          </cell>
          <cell r="BO114" t="str">
            <v>External</v>
          </cell>
          <cell r="BP114">
            <v>10</v>
          </cell>
          <cell r="BQ114">
            <v>9</v>
          </cell>
          <cell r="BR114">
            <v>436991633</v>
          </cell>
          <cell r="BS114">
            <v>436991633</v>
          </cell>
          <cell r="BT114">
            <v>337891632</v>
          </cell>
          <cell r="BU114">
            <v>337891632</v>
          </cell>
          <cell r="BV114" t="str">
            <v>No</v>
          </cell>
          <cell r="BW114" t="str">
            <v>Belgium</v>
          </cell>
          <cell r="BX114" t="str">
            <v>Industrial / Logistics</v>
          </cell>
          <cell r="BY114">
            <v>17.8</v>
          </cell>
          <cell r="BZ114" t="str">
            <v>Spain</v>
          </cell>
          <cell r="CA114" t="str">
            <v>Industrial / Logistics</v>
          </cell>
          <cell r="CB114">
            <v>4.2</v>
          </cell>
          <cell r="CC114" t="str">
            <v>Poland</v>
          </cell>
          <cell r="CD114" t="str">
            <v>Industrial / Logistics</v>
          </cell>
          <cell r="CE114">
            <v>5.2</v>
          </cell>
          <cell r="CF114" t="str">
            <v>Denmark</v>
          </cell>
          <cell r="CG114" t="str">
            <v>Industrial / Logistics</v>
          </cell>
          <cell r="CH114">
            <v>8.1</v>
          </cell>
          <cell r="CI114" t="str">
            <v>Italy</v>
          </cell>
          <cell r="CJ114" t="str">
            <v>Industrial / Logistics</v>
          </cell>
          <cell r="CK114">
            <v>12.9</v>
          </cell>
          <cell r="CL114" t="str">
            <v>Belgium</v>
          </cell>
          <cell r="CM114" t="str">
            <v>Development Industrial/Logistcis</v>
          </cell>
          <cell r="CN114">
            <v>3.7</v>
          </cell>
          <cell r="CO114" t="str">
            <v>France</v>
          </cell>
          <cell r="CP114" t="str">
            <v>Industrial / Logistics</v>
          </cell>
          <cell r="CQ114">
            <v>48.1</v>
          </cell>
        </row>
        <row r="115">
          <cell r="A115">
            <v>284</v>
          </cell>
          <cell r="B115" t="str">
            <v>CBRE NORDIC PROPERTY FUND</v>
          </cell>
          <cell r="C115" t="str">
            <v>CBRE GLOBAL INVESTORS</v>
          </cell>
          <cell r="D115" t="str">
            <v>PO Box 75620</v>
          </cell>
          <cell r="E115" t="str">
            <v>1118 ZR</v>
          </cell>
          <cell r="F115" t="str">
            <v>Schiphol</v>
          </cell>
          <cell r="G115" t="str">
            <v>Netherlands</v>
          </cell>
          <cell r="H115" t="str">
            <v>+31202022200</v>
          </cell>
          <cell r="I115" t="str">
            <v>+31202022301</v>
          </cell>
          <cell r="J115" t="str">
            <v>http://www.cbreglobalinvestors.com</v>
          </cell>
          <cell r="K115" t="str">
            <v>CBRE Global Investors</v>
          </cell>
          <cell r="L115" t="str">
            <v>Investor.Services.EMEA@cbreglobalinvestors.com</v>
          </cell>
          <cell r="M115" t="str">
            <v>+31202022271</v>
          </cell>
          <cell r="N115" t="str">
            <v>Yme Bouma</v>
          </cell>
          <cell r="O115" t="str">
            <v>Investor.Services.EMEA@cbreglobalinvestors.com</v>
          </cell>
          <cell r="P115" t="str">
            <v>+31202022301</v>
          </cell>
          <cell r="Q115" t="str">
            <v>Netherlands</v>
          </cell>
          <cell r="R115" t="str">
            <v>EUR</v>
          </cell>
          <cell r="S115" t="str">
            <v>IFRS</v>
          </cell>
          <cell r="T115" t="str">
            <v>Quarterly</v>
          </cell>
          <cell r="U115" t="str">
            <v>Annually</v>
          </cell>
          <cell r="V115" t="str">
            <v>RICS</v>
          </cell>
          <cell r="W115" t="str">
            <v>INREV NAV</v>
          </cell>
          <cell r="X115" t="str">
            <v>Ernst &amp; Young</v>
          </cell>
          <cell r="Y115" t="str">
            <v>Dutch FGR</v>
          </cell>
          <cell r="Z115" t="str">
            <v>Yes</v>
          </cell>
          <cell r="AA115" t="str">
            <v>Yes</v>
          </cell>
          <cell r="AB115">
            <v>0</v>
          </cell>
          <cell r="AC115" t="str">
            <v>Non-Listed Fund</v>
          </cell>
          <cell r="AD115" t="str">
            <v>Core</v>
          </cell>
          <cell r="AE115" t="str">
            <v>finite</v>
          </cell>
          <cell r="AF115" t="str">
            <v>Closed end</v>
          </cell>
          <cell r="AG115">
            <v>8</v>
          </cell>
          <cell r="AH115">
            <v>10</v>
          </cell>
          <cell r="AI115" t="str">
            <v>Net</v>
          </cell>
          <cell r="AJ115" t="str">
            <v>None</v>
          </cell>
          <cell r="AL115">
            <v>50</v>
          </cell>
          <cell r="AM115" t="str">
            <v>&gt; 60%</v>
          </cell>
          <cell r="AN115" t="str">
            <v>Institutional</v>
          </cell>
          <cell r="AO115" t="str">
            <v>&gt; 2</v>
          </cell>
          <cell r="AP115" t="str">
            <v>≥ 50%</v>
          </cell>
          <cell r="AQ115" t="str">
            <v>Europe</v>
          </cell>
          <cell r="AR115" t="str">
            <v>multi country</v>
          </cell>
          <cell r="AS115" t="str">
            <v>Europe</v>
          </cell>
          <cell r="AU115" t="str">
            <v>multi sector</v>
          </cell>
          <cell r="AW115">
            <v>1250000000</v>
          </cell>
          <cell r="AX115">
            <v>2500000000</v>
          </cell>
          <cell r="AY115">
            <v>2006</v>
          </cell>
          <cell r="AZ115">
            <v>2018</v>
          </cell>
          <cell r="BA115" t="str">
            <v>Yes</v>
          </cell>
          <cell r="BB115" t="str">
            <v>Yes</v>
          </cell>
          <cell r="BC115" t="str">
            <v>2 years fixed</v>
          </cell>
          <cell r="BD115" t="str">
            <v>Yes</v>
          </cell>
          <cell r="BH115" t="str">
            <v>2020-12-31</v>
          </cell>
          <cell r="BI115">
            <v>5134443</v>
          </cell>
          <cell r="BJ115">
            <v>5134443</v>
          </cell>
          <cell r="BK115">
            <v>4934896</v>
          </cell>
          <cell r="BL115">
            <v>4934896</v>
          </cell>
          <cell r="BM115">
            <v>0</v>
          </cell>
          <cell r="BN115" t="str">
            <v>No</v>
          </cell>
          <cell r="BO115" t="str">
            <v>External</v>
          </cell>
          <cell r="BP115">
            <v>29</v>
          </cell>
          <cell r="BQ115">
            <v>0</v>
          </cell>
          <cell r="BR115">
            <v>526398000</v>
          </cell>
          <cell r="BS115">
            <v>526398000</v>
          </cell>
          <cell r="BT115">
            <v>526398000</v>
          </cell>
          <cell r="BU115">
            <v>526398000</v>
          </cell>
          <cell r="BV115" t="str">
            <v>No</v>
          </cell>
        </row>
        <row r="116">
          <cell r="A116">
            <v>554</v>
          </cell>
          <cell r="B116" t="str">
            <v>CBRE PAN EUROPEAN CORE FUND</v>
          </cell>
          <cell r="C116" t="str">
            <v>CBRE GLOBAL INVESTORS</v>
          </cell>
          <cell r="D116" t="str">
            <v>26-28 Rue Edward Steichen</v>
          </cell>
          <cell r="E116" t="str">
            <v>L-2540</v>
          </cell>
          <cell r="F116" t="str">
            <v>Luxembourg</v>
          </cell>
          <cell r="G116" t="str">
            <v>Luxembourg</v>
          </cell>
          <cell r="H116" t="str">
            <v>+352267329</v>
          </cell>
          <cell r="I116" t="str">
            <v>+35226386944</v>
          </cell>
          <cell r="J116" t="str">
            <v>http://www.cbreglobalinvestors.com</v>
          </cell>
          <cell r="K116" t="str">
            <v>Richard Everett</v>
          </cell>
          <cell r="L116" t="str">
            <v>richard.everett@cbreglobalinvestors.com</v>
          </cell>
          <cell r="M116" t="str">
            <v>+442078099136</v>
          </cell>
          <cell r="N116" t="str">
            <v>Gemma Badger</v>
          </cell>
          <cell r="O116" t="str">
            <v>gemma.badger@cbreglobalinvestors.com</v>
          </cell>
          <cell r="P116" t="str">
            <v>+442078099000</v>
          </cell>
          <cell r="Q116" t="str">
            <v>Luxembourg</v>
          </cell>
          <cell r="R116" t="str">
            <v>EUR</v>
          </cell>
          <cell r="S116" t="str">
            <v>IFRS</v>
          </cell>
          <cell r="T116" t="str">
            <v>Quarterly</v>
          </cell>
          <cell r="U116" t="str">
            <v>Quarterly</v>
          </cell>
          <cell r="V116" t="str">
            <v>RICS</v>
          </cell>
          <cell r="W116" t="str">
            <v>INREV NAV</v>
          </cell>
          <cell r="X116" t="str">
            <v>Ernst &amp; Young</v>
          </cell>
          <cell r="Y116" t="str">
            <v>SICAV</v>
          </cell>
          <cell r="Z116" t="str">
            <v>Yes</v>
          </cell>
          <cell r="AA116" t="str">
            <v>Yes</v>
          </cell>
          <cell r="AB116">
            <v>10</v>
          </cell>
          <cell r="AC116" t="str">
            <v>Non-Listed Fund</v>
          </cell>
          <cell r="AD116" t="str">
            <v>Core</v>
          </cell>
          <cell r="AE116" t="str">
            <v>infinite</v>
          </cell>
          <cell r="AF116" t="str">
            <v>Open end</v>
          </cell>
          <cell r="AG116">
            <v>8</v>
          </cell>
          <cell r="AH116">
            <v>10</v>
          </cell>
          <cell r="AI116" t="str">
            <v>Net</v>
          </cell>
          <cell r="AJ116" t="str">
            <v>Absolute return</v>
          </cell>
          <cell r="AK116">
            <v>4.5</v>
          </cell>
          <cell r="AL116">
            <v>30</v>
          </cell>
          <cell r="AM116" t="str">
            <v>≤ 40%</v>
          </cell>
          <cell r="AN116" t="str">
            <v>Institutional</v>
          </cell>
          <cell r="AO116" t="str">
            <v>&gt; 2</v>
          </cell>
          <cell r="AP116" t="str">
            <v>≥ 50%</v>
          </cell>
          <cell r="AQ116" t="str">
            <v>Europe</v>
          </cell>
          <cell r="AR116" t="str">
            <v>multi country</v>
          </cell>
          <cell r="AS116" t="str">
            <v>Europe</v>
          </cell>
          <cell r="AU116" t="str">
            <v>multi sector</v>
          </cell>
          <cell r="AW116">
            <v>3000000000</v>
          </cell>
          <cell r="AX116">
            <v>3500000000</v>
          </cell>
          <cell r="AY116">
            <v>2010</v>
          </cell>
          <cell r="BA116" t="str">
            <v>No</v>
          </cell>
          <cell r="BB116" t="str">
            <v>No</v>
          </cell>
          <cell r="BD116" t="str">
            <v>No</v>
          </cell>
          <cell r="BH116" t="str">
            <v>2020-12-31</v>
          </cell>
          <cell r="BI116">
            <v>5328000000</v>
          </cell>
          <cell r="BJ116">
            <v>5328000000</v>
          </cell>
          <cell r="BK116">
            <v>4407000000</v>
          </cell>
          <cell r="BL116">
            <v>4407000000</v>
          </cell>
          <cell r="BM116">
            <v>15.8</v>
          </cell>
          <cell r="BN116" t="str">
            <v>No</v>
          </cell>
          <cell r="BO116" t="str">
            <v>External</v>
          </cell>
          <cell r="BP116">
            <v>131</v>
          </cell>
          <cell r="BQ116">
            <v>72</v>
          </cell>
          <cell r="BR116">
            <v>5099399856</v>
          </cell>
          <cell r="BS116">
            <v>5099399856</v>
          </cell>
          <cell r="BT116">
            <v>4076601856</v>
          </cell>
          <cell r="BU116">
            <v>4076601856</v>
          </cell>
          <cell r="BV116" t="str">
            <v>Yes</v>
          </cell>
          <cell r="BW116" t="str">
            <v>United Kingdom</v>
          </cell>
          <cell r="BX116" t="str">
            <v>Office</v>
          </cell>
          <cell r="BY116">
            <v>5</v>
          </cell>
          <cell r="BZ116" t="str">
            <v>United Kingdom</v>
          </cell>
          <cell r="CA116" t="str">
            <v>Retail</v>
          </cell>
          <cell r="CB116">
            <v>4.7</v>
          </cell>
          <cell r="CC116" t="str">
            <v>Sweden</v>
          </cell>
          <cell r="CD116" t="str">
            <v>Office</v>
          </cell>
          <cell r="CE116">
            <v>2.2999999999999998</v>
          </cell>
          <cell r="CF116" t="str">
            <v>Poland</v>
          </cell>
          <cell r="CG116" t="str">
            <v>Industrial / Logistics</v>
          </cell>
          <cell r="CH116">
            <v>6.9</v>
          </cell>
          <cell r="CI116" t="str">
            <v>Norway</v>
          </cell>
          <cell r="CJ116" t="str">
            <v>Hotel</v>
          </cell>
          <cell r="CK116">
            <v>2</v>
          </cell>
          <cell r="CL116" t="str">
            <v>Norway</v>
          </cell>
          <cell r="CM116" t="str">
            <v>Retail</v>
          </cell>
          <cell r="CN116">
            <v>0.5</v>
          </cell>
          <cell r="CO116" t="str">
            <v>Netherlands</v>
          </cell>
          <cell r="CP116" t="str">
            <v>Residential</v>
          </cell>
          <cell r="CQ116">
            <v>10.3</v>
          </cell>
          <cell r="CR116" t="str">
            <v>Netherlands</v>
          </cell>
          <cell r="CS116" t="str">
            <v>Industrial / Logistics</v>
          </cell>
          <cell r="CT116">
            <v>5.5</v>
          </cell>
          <cell r="CU116" t="str">
            <v>Netherlands</v>
          </cell>
          <cell r="CV116" t="str">
            <v>Office</v>
          </cell>
          <cell r="CW116">
            <v>1</v>
          </cell>
          <cell r="CX116" t="str">
            <v>Italy</v>
          </cell>
          <cell r="CY116" t="str">
            <v>Retail</v>
          </cell>
          <cell r="CZ116">
            <v>4.9000000000000004</v>
          </cell>
          <cell r="DA116" t="str">
            <v>Germany</v>
          </cell>
          <cell r="DB116" t="str">
            <v>Hotel</v>
          </cell>
          <cell r="DC116">
            <v>1.6</v>
          </cell>
          <cell r="DD116" t="str">
            <v>Germany</v>
          </cell>
          <cell r="DE116" t="str">
            <v>Industrial / Logistics</v>
          </cell>
          <cell r="DF116">
            <v>7.7</v>
          </cell>
          <cell r="DG116" t="str">
            <v>Germany</v>
          </cell>
          <cell r="DH116" t="str">
            <v>Office</v>
          </cell>
          <cell r="DI116">
            <v>6.5</v>
          </cell>
          <cell r="DJ116" t="str">
            <v>Germany</v>
          </cell>
          <cell r="DK116" t="str">
            <v>Retail</v>
          </cell>
          <cell r="DL116">
            <v>10.1</v>
          </cell>
          <cell r="DM116" t="str">
            <v>France</v>
          </cell>
          <cell r="DN116" t="str">
            <v>Industrial / Logistics</v>
          </cell>
          <cell r="DO116">
            <v>6.4</v>
          </cell>
          <cell r="DP116" t="str">
            <v>France</v>
          </cell>
          <cell r="DQ116" t="str">
            <v>Office</v>
          </cell>
          <cell r="DR116">
            <v>10.199999999999999</v>
          </cell>
          <cell r="DS116" t="str">
            <v>France</v>
          </cell>
          <cell r="DT116" t="str">
            <v>Retail</v>
          </cell>
          <cell r="DU116">
            <v>3.1</v>
          </cell>
          <cell r="DV116" t="str">
            <v>Czech Republic</v>
          </cell>
          <cell r="DW116" t="str">
            <v>Industrial / Logistics</v>
          </cell>
          <cell r="DX116">
            <v>3.7</v>
          </cell>
          <cell r="DY116" t="str">
            <v>Czech Republic</v>
          </cell>
          <cell r="DZ116" t="str">
            <v>Retail</v>
          </cell>
          <cell r="EA116">
            <v>1.2</v>
          </cell>
          <cell r="EB116" t="str">
            <v>Belgium</v>
          </cell>
          <cell r="EC116" t="str">
            <v>Industrial / Logistics</v>
          </cell>
          <cell r="ED116">
            <v>1.5</v>
          </cell>
        </row>
        <row r="117">
          <cell r="A117">
            <v>18563</v>
          </cell>
          <cell r="B117" t="str">
            <v>CBRE PAN-EUROPEAN LOGISTICS VENTURE</v>
          </cell>
          <cell r="C117" t="str">
            <v>CBRE GLOBAL INVESTORS</v>
          </cell>
          <cell r="D117" t="str">
            <v>26-28 Rue Edward Steichen</v>
          </cell>
          <cell r="E117" t="str">
            <v>L-2540</v>
          </cell>
          <cell r="F117" t="str">
            <v>Luxembourg</v>
          </cell>
          <cell r="G117" t="str">
            <v>Luxembourg</v>
          </cell>
          <cell r="H117" t="str">
            <v>+35226386928</v>
          </cell>
          <cell r="I117" t="str">
            <v>+35226386944</v>
          </cell>
          <cell r="J117" t="str">
            <v>http://www.cbreglobalinvestors.com</v>
          </cell>
          <cell r="K117" t="str">
            <v>Laurie Lagarde</v>
          </cell>
          <cell r="L117" t="str">
            <v>laurie.lagarde@cbreglobalinvestors.com</v>
          </cell>
          <cell r="M117" t="str">
            <v>+33673758660</v>
          </cell>
          <cell r="N117" t="str">
            <v>Yme Bouma</v>
          </cell>
          <cell r="O117" t="str">
            <v>Investor.Services.EMEA@cbre.com</v>
          </cell>
          <cell r="P117" t="str">
            <v>+31202022320</v>
          </cell>
          <cell r="Q117" t="str">
            <v>Luxembourg</v>
          </cell>
          <cell r="R117" t="str">
            <v>EUR</v>
          </cell>
          <cell r="S117" t="str">
            <v>INREV NAV Guidelines</v>
          </cell>
          <cell r="T117" t="str">
            <v>Quarterly</v>
          </cell>
          <cell r="U117" t="str">
            <v>Quarterly</v>
          </cell>
          <cell r="V117" t="str">
            <v>DCF analysis</v>
          </cell>
          <cell r="W117" t="str">
            <v>INREV NAV</v>
          </cell>
          <cell r="X117" t="str">
            <v>Ernst &amp; Young</v>
          </cell>
          <cell r="Y117" t="str">
            <v>Limited Partnership</v>
          </cell>
          <cell r="Z117" t="str">
            <v>Yes</v>
          </cell>
          <cell r="AA117" t="str">
            <v>No</v>
          </cell>
          <cell r="AC117" t="str">
            <v>Non-Listed Fund</v>
          </cell>
          <cell r="AD117" t="str">
            <v>Core</v>
          </cell>
          <cell r="AE117" t="str">
            <v>finite</v>
          </cell>
          <cell r="AF117" t="str">
            <v>Closed end</v>
          </cell>
          <cell r="AM117" t="str">
            <v>≤ 40%</v>
          </cell>
          <cell r="AN117" t="str">
            <v>Institutional</v>
          </cell>
          <cell r="AO117" t="str">
            <v>&gt; 2</v>
          </cell>
          <cell r="AP117" t="str">
            <v>≥ 50%</v>
          </cell>
          <cell r="AQ117" t="str">
            <v>Europe</v>
          </cell>
          <cell r="AR117" t="str">
            <v>multi country</v>
          </cell>
          <cell r="AS117" t="str">
            <v>Western Europe</v>
          </cell>
          <cell r="AU117" t="str">
            <v>single sector</v>
          </cell>
          <cell r="AV117" t="str">
            <v>Industrial / Logistics</v>
          </cell>
          <cell r="AY117">
            <v>2015</v>
          </cell>
          <cell r="AZ117">
            <v>2020</v>
          </cell>
          <cell r="BA117" t="str">
            <v>No</v>
          </cell>
          <cell r="BB117" t="str">
            <v>Yes</v>
          </cell>
          <cell r="BC117" t="str">
            <v>1+1+1 years</v>
          </cell>
          <cell r="BD117" t="str">
            <v>Yes</v>
          </cell>
          <cell r="BH117" t="str">
            <v>2020-12-31</v>
          </cell>
          <cell r="BI117">
            <v>2043576</v>
          </cell>
          <cell r="BJ117">
            <v>2043576</v>
          </cell>
          <cell r="BK117">
            <v>1701041</v>
          </cell>
          <cell r="BL117">
            <v>1701041</v>
          </cell>
          <cell r="BM117">
            <v>0</v>
          </cell>
          <cell r="BN117" t="str">
            <v>No</v>
          </cell>
          <cell r="BO117" t="str">
            <v>External</v>
          </cell>
          <cell r="BP117">
            <v>12</v>
          </cell>
          <cell r="BQ117">
            <v>0</v>
          </cell>
          <cell r="BR117">
            <v>237300001</v>
          </cell>
          <cell r="BS117">
            <v>237300001</v>
          </cell>
          <cell r="BT117">
            <v>237300001</v>
          </cell>
          <cell r="BU117">
            <v>237300001</v>
          </cell>
          <cell r="BV117" t="str">
            <v>No</v>
          </cell>
          <cell r="BW117" t="str">
            <v>Netherlands</v>
          </cell>
          <cell r="BX117" t="str">
            <v>Industrial / Logistics</v>
          </cell>
          <cell r="BY117">
            <v>0</v>
          </cell>
          <cell r="BZ117" t="str">
            <v>Spain</v>
          </cell>
          <cell r="CA117" t="str">
            <v>Industrial / Logistics</v>
          </cell>
          <cell r="CB117">
            <v>0</v>
          </cell>
          <cell r="CC117" t="str">
            <v>Germany</v>
          </cell>
          <cell r="CD117" t="str">
            <v>Industrial / Logistics</v>
          </cell>
          <cell r="CE117">
            <v>0</v>
          </cell>
        </row>
        <row r="118">
          <cell r="A118">
            <v>276</v>
          </cell>
          <cell r="B118" t="str">
            <v>CBRE PROPERTY FUND CENTRAL AND EASTERN EUROPE</v>
          </cell>
          <cell r="C118" t="str">
            <v>CBRE GLOBAL INVESTORS</v>
          </cell>
          <cell r="D118" t="str">
            <v>PO Box 75620</v>
          </cell>
          <cell r="E118" t="str">
            <v>1118 ZR</v>
          </cell>
          <cell r="F118" t="str">
            <v>Schiphol</v>
          </cell>
          <cell r="G118" t="str">
            <v>Netherlands</v>
          </cell>
          <cell r="H118" t="str">
            <v>+31 20 202 2271</v>
          </cell>
          <cell r="I118" t="str">
            <v>+31 20 202 2301</v>
          </cell>
          <cell r="J118" t="str">
            <v>http://www.cbreglobalinvestors.com</v>
          </cell>
          <cell r="K118" t="str">
            <v>Robert Snincak</v>
          </cell>
          <cell r="L118" t="str">
            <v>Investor.Services.EMEA@cbreglobalinvestors.com</v>
          </cell>
          <cell r="M118" t="str">
            <v>+420 296 502 100</v>
          </cell>
          <cell r="N118" t="str">
            <v>Yme Bouma</v>
          </cell>
          <cell r="O118" t="str">
            <v>Investor.Services.EMEA@cbreglobalinvestors.com</v>
          </cell>
          <cell r="P118" t="str">
            <v>+31 20 202 2301</v>
          </cell>
          <cell r="Q118" t="str">
            <v>Netherlands</v>
          </cell>
          <cell r="R118" t="str">
            <v>EUR</v>
          </cell>
          <cell r="S118" t="str">
            <v>IFRS</v>
          </cell>
          <cell r="T118" t="str">
            <v>Quarterly</v>
          </cell>
          <cell r="U118" t="str">
            <v>Annually</v>
          </cell>
          <cell r="V118" t="str">
            <v>RICS</v>
          </cell>
          <cell r="W118" t="str">
            <v>INREV NAV</v>
          </cell>
          <cell r="X118" t="str">
            <v>Ernst &amp; Young</v>
          </cell>
          <cell r="Y118" t="str">
            <v>Dutch FGR</v>
          </cell>
          <cell r="Z118" t="str">
            <v>Yes</v>
          </cell>
          <cell r="AB118">
            <v>0</v>
          </cell>
          <cell r="AC118" t="str">
            <v>Non-Listed Fund</v>
          </cell>
          <cell r="AD118" t="str">
            <v>Core</v>
          </cell>
          <cell r="AE118" t="str">
            <v>infinite</v>
          </cell>
          <cell r="AF118" t="str">
            <v>Open end</v>
          </cell>
          <cell r="AG118">
            <v>10</v>
          </cell>
          <cell r="AH118">
            <v>11</v>
          </cell>
          <cell r="AI118" t="str">
            <v>Net</v>
          </cell>
          <cell r="AJ118" t="str">
            <v>None</v>
          </cell>
          <cell r="AL118">
            <v>60</v>
          </cell>
          <cell r="AM118" t="str">
            <v>≤ 40%</v>
          </cell>
          <cell r="AN118" t="str">
            <v>Institutional</v>
          </cell>
          <cell r="AO118" t="str">
            <v>&gt; 2</v>
          </cell>
          <cell r="AP118" t="str">
            <v>≥ 50%</v>
          </cell>
          <cell r="AQ118" t="str">
            <v>Europe</v>
          </cell>
          <cell r="AR118" t="str">
            <v>multi country</v>
          </cell>
          <cell r="AS118" t="str">
            <v>Central and Eastern Europe(CEE)</v>
          </cell>
          <cell r="AU118" t="str">
            <v>multi sector</v>
          </cell>
          <cell r="AW118">
            <v>400000000</v>
          </cell>
          <cell r="AX118">
            <v>1000000000</v>
          </cell>
          <cell r="AY118">
            <v>2006</v>
          </cell>
          <cell r="BH118" t="str">
            <v>2020-12-31</v>
          </cell>
          <cell r="BI118">
            <v>163283155</v>
          </cell>
          <cell r="BJ118">
            <v>163283155</v>
          </cell>
          <cell r="BK118">
            <v>126943060</v>
          </cell>
          <cell r="BL118">
            <v>126943060</v>
          </cell>
          <cell r="BM118">
            <v>13.5</v>
          </cell>
          <cell r="BN118" t="str">
            <v>No</v>
          </cell>
          <cell r="BO118" t="str">
            <v>External</v>
          </cell>
          <cell r="BP118">
            <v>3</v>
          </cell>
          <cell r="BQ118">
            <v>2</v>
          </cell>
          <cell r="BR118">
            <v>123975000</v>
          </cell>
          <cell r="BS118">
            <v>123975000</v>
          </cell>
          <cell r="BT118">
            <v>123975000</v>
          </cell>
          <cell r="BU118">
            <v>123975000</v>
          </cell>
          <cell r="BV118" t="str">
            <v>No</v>
          </cell>
          <cell r="BW118" t="str">
            <v>Slovakia</v>
          </cell>
          <cell r="BX118" t="str">
            <v>Retail</v>
          </cell>
          <cell r="BY118">
            <v>87</v>
          </cell>
          <cell r="BZ118" t="str">
            <v>Hungary</v>
          </cell>
          <cell r="CA118" t="str">
            <v>Office</v>
          </cell>
          <cell r="CB118">
            <v>13</v>
          </cell>
        </row>
        <row r="119">
          <cell r="A119">
            <v>287</v>
          </cell>
          <cell r="B119" t="str">
            <v>CBRE RETAIL PROPERTY FUND IBERICA</v>
          </cell>
          <cell r="C119" t="str">
            <v>CBRE GLOBAL INVESTORS</v>
          </cell>
          <cell r="D119" t="str">
            <v>PO Box 75620</v>
          </cell>
          <cell r="E119" t="str">
            <v>1118 ZR</v>
          </cell>
          <cell r="F119" t="str">
            <v>Schiphol</v>
          </cell>
          <cell r="G119" t="str">
            <v>Netherlands</v>
          </cell>
          <cell r="H119" t="str">
            <v>+31202022200</v>
          </cell>
          <cell r="I119" t="str">
            <v>+31202022301</v>
          </cell>
          <cell r="J119" t="str">
            <v>http://www.cbreglobalinvestors.com</v>
          </cell>
          <cell r="K119" t="str">
            <v>Antonio Simonatelero</v>
          </cell>
          <cell r="L119" t="str">
            <v>Investor.Services.EMEA@cbreglobalinvestors.com</v>
          </cell>
          <cell r="M119" t="str">
            <v>+34915668065</v>
          </cell>
          <cell r="N119" t="str">
            <v>Yme Bouma</v>
          </cell>
          <cell r="O119" t="str">
            <v>Investor.Services.EMEA@cbreglobalinvestors.com</v>
          </cell>
          <cell r="P119" t="str">
            <v>+31202022320</v>
          </cell>
          <cell r="Q119" t="str">
            <v>Netherlands</v>
          </cell>
          <cell r="R119" t="str">
            <v>EUR</v>
          </cell>
          <cell r="S119" t="str">
            <v>IFRS</v>
          </cell>
          <cell r="T119" t="str">
            <v>Quarterly</v>
          </cell>
          <cell r="U119" t="str">
            <v>Annually</v>
          </cell>
          <cell r="V119" t="str">
            <v>RICS</v>
          </cell>
          <cell r="W119" t="str">
            <v>INREV NAV</v>
          </cell>
          <cell r="X119" t="str">
            <v>Ernst &amp; Young</v>
          </cell>
          <cell r="Y119" t="str">
            <v>FGR</v>
          </cell>
          <cell r="Z119" t="str">
            <v>Yes</v>
          </cell>
          <cell r="AA119" t="str">
            <v>Yes</v>
          </cell>
          <cell r="AB119">
            <v>3</v>
          </cell>
          <cell r="AC119" t="str">
            <v>Non-Listed Fund</v>
          </cell>
          <cell r="AD119" t="str">
            <v>Core</v>
          </cell>
          <cell r="AE119" t="str">
            <v>infinite</v>
          </cell>
          <cell r="AF119" t="str">
            <v>Open end</v>
          </cell>
          <cell r="AG119">
            <v>11</v>
          </cell>
          <cell r="AH119">
            <v>14</v>
          </cell>
          <cell r="AI119" t="str">
            <v>Net</v>
          </cell>
          <cell r="AJ119" t="str">
            <v>None</v>
          </cell>
          <cell r="AL119">
            <v>50</v>
          </cell>
          <cell r="AM119" t="str">
            <v>&gt; 40% - ≤ 60%</v>
          </cell>
          <cell r="AN119" t="str">
            <v>Institutional</v>
          </cell>
          <cell r="AO119" t="str">
            <v>&gt; 2</v>
          </cell>
          <cell r="AP119" t="str">
            <v>≥ 50%</v>
          </cell>
          <cell r="AQ119" t="str">
            <v>Europe</v>
          </cell>
          <cell r="AR119" t="str">
            <v>multi country</v>
          </cell>
          <cell r="AS119" t="str">
            <v>Southern Europe</v>
          </cell>
          <cell r="AU119" t="str">
            <v>single sector</v>
          </cell>
          <cell r="AV119" t="str">
            <v>Retail</v>
          </cell>
          <cell r="AW119">
            <v>500000000</v>
          </cell>
          <cell r="AX119">
            <v>1000000000</v>
          </cell>
          <cell r="AY119">
            <v>2000</v>
          </cell>
          <cell r="AZ119">
            <v>2019</v>
          </cell>
          <cell r="BA119" t="str">
            <v>Yes</v>
          </cell>
          <cell r="BB119" t="str">
            <v>Yes</v>
          </cell>
          <cell r="BC119" t="str">
            <v>2 years</v>
          </cell>
          <cell r="BD119" t="str">
            <v>Yes</v>
          </cell>
          <cell r="BH119" t="str">
            <v>2020-12-31</v>
          </cell>
          <cell r="BI119">
            <v>985154000</v>
          </cell>
          <cell r="BJ119">
            <v>985154000</v>
          </cell>
          <cell r="BK119">
            <v>521032000</v>
          </cell>
          <cell r="BL119">
            <v>521032000</v>
          </cell>
          <cell r="BM119">
            <v>33</v>
          </cell>
          <cell r="BN119" t="str">
            <v>No</v>
          </cell>
          <cell r="BO119" t="str">
            <v>External</v>
          </cell>
          <cell r="BP119">
            <v>4</v>
          </cell>
          <cell r="BQ119">
            <v>4</v>
          </cell>
          <cell r="BR119">
            <v>311114000</v>
          </cell>
          <cell r="BS119">
            <v>311114000</v>
          </cell>
          <cell r="BT119">
            <v>322674685</v>
          </cell>
          <cell r="BU119">
            <v>322674685</v>
          </cell>
          <cell r="BV119" t="str">
            <v>No</v>
          </cell>
          <cell r="BW119" t="str">
            <v>Portugal</v>
          </cell>
          <cell r="BX119" t="str">
            <v>Retail</v>
          </cell>
          <cell r="BY119">
            <v>85</v>
          </cell>
          <cell r="BZ119" t="str">
            <v>Spain</v>
          </cell>
          <cell r="CA119" t="str">
            <v>Retail</v>
          </cell>
          <cell r="CB119">
            <v>15</v>
          </cell>
        </row>
        <row r="120">
          <cell r="A120">
            <v>19344</v>
          </cell>
          <cell r="B120" t="str">
            <v>CBRE UK AFFORDABLE HOUSING FUND</v>
          </cell>
          <cell r="C120" t="str">
            <v>CBRE GLOBAL INVESTORS (UK FUNDS) LIMITED</v>
          </cell>
          <cell r="D120" t="str">
            <v>Third Floor, One New Change</v>
          </cell>
          <cell r="E120" t="str">
            <v>EC4M 9AF</v>
          </cell>
          <cell r="F120" t="str">
            <v>London</v>
          </cell>
          <cell r="G120" t="str">
            <v>United Kingdom</v>
          </cell>
          <cell r="H120" t="str">
            <v>+44(0)2078099000</v>
          </cell>
          <cell r="I120" t="str">
            <v>+44(0)2078099001</v>
          </cell>
          <cell r="K120" t="str">
            <v>Dhananjai Dhananjai</v>
          </cell>
          <cell r="L120" t="str">
            <v>dhananjai.d@cbreglobalinvestors.com</v>
          </cell>
          <cell r="M120" t="str">
            <v>+44(0)2078099035</v>
          </cell>
          <cell r="N120" t="str">
            <v>Helene Sterzl</v>
          </cell>
          <cell r="O120" t="str">
            <v>helene.sterzl@cbreglobalinvestors.com</v>
          </cell>
          <cell r="P120" t="str">
            <v>+44(0)2078099000</v>
          </cell>
          <cell r="Q120" t="str">
            <v>United Kingdom</v>
          </cell>
          <cell r="R120" t="str">
            <v>GBP</v>
          </cell>
          <cell r="S120" t="str">
            <v>Local GAAP</v>
          </cell>
          <cell r="T120" t="str">
            <v>Quarterly</v>
          </cell>
          <cell r="U120" t="str">
            <v>Monthly</v>
          </cell>
          <cell r="V120" t="str">
            <v>RICS</v>
          </cell>
          <cell r="W120" t="str">
            <v>Local GAAP</v>
          </cell>
          <cell r="X120" t="str">
            <v>Deloitte LLP</v>
          </cell>
          <cell r="Y120" t="str">
            <v>Real Estate Collective Investment</v>
          </cell>
          <cell r="Z120" t="str">
            <v>No</v>
          </cell>
          <cell r="AA120" t="str">
            <v>No</v>
          </cell>
          <cell r="AB120">
            <v>0</v>
          </cell>
          <cell r="AC120" t="str">
            <v>Non-Listed Fund</v>
          </cell>
          <cell r="AD120" t="str">
            <v>Core</v>
          </cell>
          <cell r="AE120" t="str">
            <v>infinite</v>
          </cell>
          <cell r="AF120" t="str">
            <v>Open end</v>
          </cell>
          <cell r="AH120">
            <v>6</v>
          </cell>
          <cell r="AK120">
            <v>4</v>
          </cell>
          <cell r="AM120" t="str">
            <v>≤ 40%</v>
          </cell>
          <cell r="AN120" t="str">
            <v>Institutional</v>
          </cell>
          <cell r="AO120" t="str">
            <v>&gt; 2</v>
          </cell>
          <cell r="AP120" t="str">
            <v>≥ 50%</v>
          </cell>
          <cell r="AQ120" t="str">
            <v>Europe</v>
          </cell>
          <cell r="AR120" t="str">
            <v>single country</v>
          </cell>
          <cell r="AT120" t="str">
            <v>United Kingdom</v>
          </cell>
          <cell r="AU120" t="str">
            <v>single sector</v>
          </cell>
          <cell r="AV120" t="str">
            <v>Development Residential</v>
          </cell>
          <cell r="AW120">
            <v>1000000000</v>
          </cell>
          <cell r="AX120">
            <v>1000000000</v>
          </cell>
          <cell r="AY120">
            <v>2018</v>
          </cell>
          <cell r="BD120" t="str">
            <v>No</v>
          </cell>
          <cell r="BF120" t="str">
            <v>≤ 15%</v>
          </cell>
          <cell r="BG120" t="str">
            <v>&gt; 5 - ≤ 25%</v>
          </cell>
          <cell r="BH120" t="str">
            <v>2020-12-31</v>
          </cell>
          <cell r="BI120">
            <v>81352712</v>
          </cell>
          <cell r="BJ120">
            <v>89939417.127395645</v>
          </cell>
          <cell r="BK120">
            <v>98502066</v>
          </cell>
          <cell r="BL120">
            <v>108898869.9219303</v>
          </cell>
          <cell r="BM120">
            <v>0</v>
          </cell>
          <cell r="BN120" t="str">
            <v>No</v>
          </cell>
          <cell r="BO120" t="str">
            <v>External</v>
          </cell>
          <cell r="BP120">
            <v>12</v>
          </cell>
          <cell r="BQ120">
            <v>12</v>
          </cell>
          <cell r="BR120">
            <v>244000000</v>
          </cell>
          <cell r="BS120">
            <v>267900902.1724</v>
          </cell>
          <cell r="BT120">
            <v>103700000</v>
          </cell>
          <cell r="BU120">
            <v>113857883.42327</v>
          </cell>
          <cell r="BV120" t="str">
            <v>Yes</v>
          </cell>
          <cell r="BW120" t="str">
            <v>United Kingdom</v>
          </cell>
          <cell r="BX120" t="str">
            <v>Residential</v>
          </cell>
          <cell r="BY120">
            <v>82.59</v>
          </cell>
        </row>
        <row r="121">
          <cell r="A121">
            <v>19147</v>
          </cell>
          <cell r="B121" t="str">
            <v>CBRE UK LONG INCOME FUND</v>
          </cell>
          <cell r="C121" t="str">
            <v>CBRE GLOBAL INVESTORS (UK FUNDS) LIMITED</v>
          </cell>
          <cell r="D121" t="str">
            <v>Third Floor, One New Change</v>
          </cell>
          <cell r="E121" t="str">
            <v>EC4M 9AF</v>
          </cell>
          <cell r="F121" t="str">
            <v>London</v>
          </cell>
          <cell r="G121" t="str">
            <v>United Kingdom</v>
          </cell>
          <cell r="H121">
            <v>2078099000</v>
          </cell>
          <cell r="I121">
            <v>2078099001</v>
          </cell>
          <cell r="K121" t="str">
            <v>CBRE Global Investors (UK) Limited</v>
          </cell>
          <cell r="L121" t="str">
            <v>cbreuklif@cbreglobalinvestors.com</v>
          </cell>
          <cell r="M121">
            <v>2078099035</v>
          </cell>
          <cell r="N121" t="str">
            <v>Andrew Davey</v>
          </cell>
          <cell r="O121" t="str">
            <v>cbreuklif@cbreglobalinvestors.com</v>
          </cell>
          <cell r="P121">
            <v>2078099035</v>
          </cell>
          <cell r="Q121" t="str">
            <v>United Kingdom</v>
          </cell>
          <cell r="R121" t="str">
            <v>GBP</v>
          </cell>
          <cell r="S121" t="str">
            <v>Local GAAP</v>
          </cell>
          <cell r="T121" t="str">
            <v>Quarterly</v>
          </cell>
          <cell r="U121" t="str">
            <v>Quarterly</v>
          </cell>
          <cell r="V121" t="str">
            <v>RICS</v>
          </cell>
          <cell r="W121" t="str">
            <v>IFRS NAV</v>
          </cell>
          <cell r="X121" t="str">
            <v>Ernst&amp; Young LLP</v>
          </cell>
          <cell r="Y121" t="str">
            <v>Real Estate Collective Investment</v>
          </cell>
          <cell r="Z121" t="str">
            <v>No</v>
          </cell>
          <cell r="AA121" t="str">
            <v>No</v>
          </cell>
          <cell r="AB121">
            <v>0</v>
          </cell>
          <cell r="AC121" t="str">
            <v>Non-Listed Fund</v>
          </cell>
          <cell r="AD121" t="str">
            <v>Core</v>
          </cell>
          <cell r="AE121" t="str">
            <v>finite</v>
          </cell>
          <cell r="AF121" t="str">
            <v>Open end</v>
          </cell>
          <cell r="AK121">
            <v>4</v>
          </cell>
          <cell r="AM121" t="str">
            <v>≤ 40%</v>
          </cell>
          <cell r="AN121" t="str">
            <v>Institutional</v>
          </cell>
          <cell r="AO121" t="str">
            <v>&gt; 2</v>
          </cell>
          <cell r="AP121" t="str">
            <v>≥ 50%</v>
          </cell>
          <cell r="AQ121" t="str">
            <v>Europe</v>
          </cell>
          <cell r="AR121" t="str">
            <v>single country</v>
          </cell>
          <cell r="AT121" t="str">
            <v>United Kingdom</v>
          </cell>
          <cell r="AU121" t="str">
            <v>multi sector</v>
          </cell>
          <cell r="AW121">
            <v>1500000000</v>
          </cell>
          <cell r="AX121">
            <v>1500000000</v>
          </cell>
          <cell r="AY121">
            <v>2018</v>
          </cell>
          <cell r="BA121" t="str">
            <v>No</v>
          </cell>
          <cell r="BD121" t="str">
            <v>No</v>
          </cell>
          <cell r="BF121" t="str">
            <v>≤ 15%</v>
          </cell>
          <cell r="BG121" t="str">
            <v>≤ 5%</v>
          </cell>
          <cell r="BH121" t="str">
            <v>2020-12-31</v>
          </cell>
          <cell r="BI121">
            <v>174736038</v>
          </cell>
          <cell r="BJ121">
            <v>193179268.67478561</v>
          </cell>
          <cell r="BK121">
            <v>186075755</v>
          </cell>
          <cell r="BL121">
            <v>205715882.54169169</v>
          </cell>
          <cell r="BM121">
            <v>0</v>
          </cell>
          <cell r="BN121" t="str">
            <v>No</v>
          </cell>
          <cell r="BO121" t="str">
            <v>External</v>
          </cell>
          <cell r="BP121">
            <v>6</v>
          </cell>
          <cell r="BQ121">
            <v>32</v>
          </cell>
          <cell r="BR121">
            <v>300000000</v>
          </cell>
          <cell r="BS121">
            <v>329386355.13</v>
          </cell>
          <cell r="BT121">
            <v>190506180</v>
          </cell>
          <cell r="BU121">
            <v>209167120.86646569</v>
          </cell>
          <cell r="BV121" t="str">
            <v>Yes</v>
          </cell>
          <cell r="BW121" t="str">
            <v>United Kingdom</v>
          </cell>
          <cell r="BX121" t="str">
            <v>Other</v>
          </cell>
          <cell r="BY121">
            <v>24</v>
          </cell>
          <cell r="BZ121" t="str">
            <v>United Kingdom</v>
          </cell>
          <cell r="CA121" t="str">
            <v>Industrial / Logistics</v>
          </cell>
          <cell r="CB121">
            <v>6</v>
          </cell>
          <cell r="CC121" t="str">
            <v>United Kingdom</v>
          </cell>
          <cell r="CD121" t="str">
            <v>Hotel</v>
          </cell>
          <cell r="CE121">
            <v>19</v>
          </cell>
          <cell r="CF121" t="str">
            <v>United Kingdom</v>
          </cell>
          <cell r="CG121" t="str">
            <v>Retail</v>
          </cell>
          <cell r="CH121">
            <v>50</v>
          </cell>
        </row>
        <row r="122">
          <cell r="A122">
            <v>274</v>
          </cell>
          <cell r="B122" t="str">
            <v>CBRE UK PROPERTY PAIF</v>
          </cell>
          <cell r="C122" t="str">
            <v>CBRE GLOBAL INVESTORS</v>
          </cell>
          <cell r="D122" t="str">
            <v>One New Change, 3rd Floor</v>
          </cell>
          <cell r="E122" t="str">
            <v>EC4M 9 AF</v>
          </cell>
          <cell r="F122" t="str">
            <v>London</v>
          </cell>
          <cell r="G122" t="str">
            <v>United Kingdom</v>
          </cell>
          <cell r="H122" t="str">
            <v>+44 (0) 20 78099000</v>
          </cell>
          <cell r="I122" t="str">
            <v>+44 (0) 20 78099035</v>
          </cell>
          <cell r="J122" t="str">
            <v>http://www.cbreglobalinvestors.com</v>
          </cell>
          <cell r="K122" t="str">
            <v>Hannah Marshall</v>
          </cell>
          <cell r="L122" t="str">
            <v>Hannah.Marshall@cbreglobalinvestors.com</v>
          </cell>
          <cell r="M122" t="str">
            <v>+44 (0) 20 78099338</v>
          </cell>
          <cell r="N122" t="str">
            <v xml:space="preserve">Investor Relations </v>
          </cell>
          <cell r="O122" t="str">
            <v>helene.sterzl@cbreglobalinvestors.com</v>
          </cell>
          <cell r="P122" t="str">
            <v>+44 (0) 20 78099096</v>
          </cell>
          <cell r="Q122" t="str">
            <v>United Kingdom</v>
          </cell>
          <cell r="R122" t="str">
            <v>GBP</v>
          </cell>
          <cell r="S122" t="str">
            <v>IFRS</v>
          </cell>
          <cell r="T122" t="str">
            <v>Annually</v>
          </cell>
          <cell r="U122" t="str">
            <v>Monthly</v>
          </cell>
          <cell r="V122" t="str">
            <v>RICS</v>
          </cell>
          <cell r="W122" t="str">
            <v>UK GAAP</v>
          </cell>
          <cell r="X122" t="str">
            <v>Ernst &amp; Young</v>
          </cell>
          <cell r="Y122" t="str">
            <v>Property Authorised Investment Fund</v>
          </cell>
          <cell r="Z122" t="str">
            <v>No</v>
          </cell>
          <cell r="AA122" t="str">
            <v>Yes</v>
          </cell>
          <cell r="AB122">
            <v>0</v>
          </cell>
          <cell r="AC122" t="str">
            <v>Non-Listed Fund</v>
          </cell>
          <cell r="AD122" t="str">
            <v>Core</v>
          </cell>
          <cell r="AE122" t="str">
            <v>finite</v>
          </cell>
          <cell r="AF122" t="str">
            <v>Open end</v>
          </cell>
          <cell r="AI122" t="str">
            <v>Gross</v>
          </cell>
          <cell r="AJ122" t="str">
            <v>IPD UK Pooled Property Fund Indices All Balanced Funds Index</v>
          </cell>
          <cell r="AK122">
            <v>5</v>
          </cell>
          <cell r="AN122" t="str">
            <v>Institutional</v>
          </cell>
          <cell r="AO122" t="str">
            <v>&gt; 2</v>
          </cell>
          <cell r="AP122" t="str">
            <v>≥ 50%</v>
          </cell>
          <cell r="AQ122" t="str">
            <v>Europe</v>
          </cell>
          <cell r="AR122" t="str">
            <v>single country</v>
          </cell>
          <cell r="AT122" t="str">
            <v>United Kingdom</v>
          </cell>
          <cell r="AU122" t="str">
            <v>multi sector</v>
          </cell>
          <cell r="AW122">
            <v>2000000000</v>
          </cell>
          <cell r="AX122">
            <v>2000000000</v>
          </cell>
          <cell r="AY122">
            <v>1997</v>
          </cell>
          <cell r="AZ122">
            <v>2025</v>
          </cell>
          <cell r="BA122" t="str">
            <v>Yes</v>
          </cell>
          <cell r="BB122" t="str">
            <v>No</v>
          </cell>
          <cell r="BH122" t="str">
            <v>2020-12-31</v>
          </cell>
          <cell r="BI122">
            <v>1323720000</v>
          </cell>
          <cell r="BJ122">
            <v>1463437448.0334001</v>
          </cell>
          <cell r="BK122">
            <v>1444502050</v>
          </cell>
          <cell r="BL122">
            <v>1596967934.1031449</v>
          </cell>
          <cell r="BM122">
            <v>0</v>
          </cell>
          <cell r="BN122" t="str">
            <v>No</v>
          </cell>
          <cell r="BO122" t="str">
            <v>External</v>
          </cell>
          <cell r="BP122">
            <v>46</v>
          </cell>
          <cell r="BQ122">
            <v>59</v>
          </cell>
          <cell r="BR122">
            <v>1444502050</v>
          </cell>
          <cell r="BS122">
            <v>1585997550.75771</v>
          </cell>
          <cell r="BT122">
            <v>1444502050</v>
          </cell>
          <cell r="BU122">
            <v>1585997550.75771</v>
          </cell>
          <cell r="BV122" t="str">
            <v>Yes</v>
          </cell>
          <cell r="BW122" t="str">
            <v>United Kingdom</v>
          </cell>
          <cell r="BX122" t="str">
            <v>Other</v>
          </cell>
          <cell r="BY122">
            <v>6.5</v>
          </cell>
          <cell r="BZ122" t="str">
            <v>United Kingdom</v>
          </cell>
          <cell r="CA122" t="str">
            <v>Industrial / Logistics</v>
          </cell>
          <cell r="CB122">
            <v>41.7</v>
          </cell>
          <cell r="CC122" t="str">
            <v>United Kingdom</v>
          </cell>
          <cell r="CD122" t="str">
            <v>Retail</v>
          </cell>
          <cell r="CE122">
            <v>25.3</v>
          </cell>
          <cell r="CF122" t="str">
            <v>United Kingdom</v>
          </cell>
          <cell r="CG122" t="str">
            <v>Office</v>
          </cell>
          <cell r="CH122">
            <v>17.5</v>
          </cell>
        </row>
        <row r="123">
          <cell r="A123">
            <v>18387</v>
          </cell>
          <cell r="B123" t="str">
            <v>CEFI WOHNEN</v>
          </cell>
          <cell r="C123" t="str">
            <v>PATRIZIA WOHNINVEST KVG MBH</v>
          </cell>
          <cell r="D123" t="str">
            <v>Fuggerstr. 26</v>
          </cell>
          <cell r="E123">
            <v>86150</v>
          </cell>
          <cell r="F123" t="str">
            <v>Augsburg</v>
          </cell>
          <cell r="G123" t="str">
            <v>Germany</v>
          </cell>
          <cell r="Q123" t="str">
            <v>Germany</v>
          </cell>
          <cell r="R123" t="str">
            <v>EUR</v>
          </cell>
          <cell r="T123" t="str">
            <v>Monthly</v>
          </cell>
          <cell r="U123" t="str">
            <v>Annually</v>
          </cell>
          <cell r="V123" t="str">
            <v>ImmoWertV</v>
          </cell>
          <cell r="W123" t="str">
            <v>KAGB</v>
          </cell>
          <cell r="Y123" t="str">
            <v>Spezialfonds</v>
          </cell>
          <cell r="Z123" t="str">
            <v>No</v>
          </cell>
          <cell r="AC123" t="str">
            <v>Non-Listed Fund</v>
          </cell>
          <cell r="AD123" t="str">
            <v>Core</v>
          </cell>
          <cell r="AE123" t="str">
            <v>infinite</v>
          </cell>
          <cell r="AF123" t="str">
            <v>Open end</v>
          </cell>
          <cell r="AN123" t="str">
            <v>Institutional</v>
          </cell>
          <cell r="AO123" t="str">
            <v>&gt; 2</v>
          </cell>
          <cell r="AP123" t="str">
            <v>≥ 50%</v>
          </cell>
          <cell r="AQ123" t="str">
            <v>Europe</v>
          </cell>
          <cell r="AR123" t="str">
            <v>multi country</v>
          </cell>
          <cell r="AS123" t="str">
            <v>Europe</v>
          </cell>
          <cell r="AU123" t="str">
            <v>single sector</v>
          </cell>
          <cell r="AV123" t="str">
            <v>Residential</v>
          </cell>
          <cell r="AY123">
            <v>2017</v>
          </cell>
          <cell r="BH123" t="str">
            <v>2020-12-31</v>
          </cell>
          <cell r="BI123">
            <v>174205569</v>
          </cell>
          <cell r="BJ123">
            <v>174205569</v>
          </cell>
          <cell r="BK123">
            <v>173419442</v>
          </cell>
          <cell r="BL123">
            <v>173419442</v>
          </cell>
          <cell r="BM123">
            <v>34.44</v>
          </cell>
          <cell r="BN123" t="str">
            <v>No</v>
          </cell>
          <cell r="BO123" t="str">
            <v>External</v>
          </cell>
          <cell r="BP123">
            <v>6</v>
          </cell>
          <cell r="BQ123">
            <v>5</v>
          </cell>
          <cell r="BR123">
            <v>150000000</v>
          </cell>
          <cell r="BS123">
            <v>150000000</v>
          </cell>
          <cell r="BT123">
            <v>162964460.56999999</v>
          </cell>
          <cell r="BU123">
            <v>162964460.56999999</v>
          </cell>
          <cell r="BV123" t="str">
            <v>No</v>
          </cell>
          <cell r="BW123" t="str">
            <v>Germany</v>
          </cell>
          <cell r="BX123" t="str">
            <v>Residential</v>
          </cell>
          <cell r="BY123">
            <v>21</v>
          </cell>
          <cell r="BZ123" t="str">
            <v>Denmark</v>
          </cell>
          <cell r="CA123" t="str">
            <v>Residential</v>
          </cell>
          <cell r="CB123">
            <v>60</v>
          </cell>
          <cell r="CC123" t="str">
            <v>Netherlands</v>
          </cell>
          <cell r="CD123" t="str">
            <v>Residential</v>
          </cell>
          <cell r="CE123">
            <v>19</v>
          </cell>
        </row>
        <row r="124">
          <cell r="A124">
            <v>232</v>
          </cell>
          <cell r="B124" t="str">
            <v>CENTRAL LONDON OFFICE FUND</v>
          </cell>
          <cell r="C124" t="str">
            <v>HENDERSON GLOBAL INVESTORS</v>
          </cell>
          <cell r="D124" t="str">
            <v>201 Bishopsgate</v>
          </cell>
          <cell r="E124" t="str">
            <v>EC2M 3AE</v>
          </cell>
          <cell r="F124" t="str">
            <v>London</v>
          </cell>
          <cell r="G124" t="str">
            <v>United Kingdom</v>
          </cell>
          <cell r="H124" t="str">
            <v>+44 (0) 20 7818 1818</v>
          </cell>
          <cell r="I124" t="str">
            <v>+44 (0) 20 7818 1819</v>
          </cell>
          <cell r="J124" t="str">
            <v>http://www.henderson.com/property</v>
          </cell>
          <cell r="K124" t="str">
            <v>Clive Castle</v>
          </cell>
          <cell r="L124" t="str">
            <v>clive.castle@henderson.com</v>
          </cell>
          <cell r="M124" t="str">
            <v>+44 (0) 20 7818 5603</v>
          </cell>
          <cell r="N124" t="str">
            <v>Wayne Saville</v>
          </cell>
          <cell r="O124" t="str">
            <v>wayne.saville@henderson.com</v>
          </cell>
          <cell r="P124" t="str">
            <v>+44 (0) 20 7818 1819</v>
          </cell>
          <cell r="Q124" t="str">
            <v>Jersey</v>
          </cell>
          <cell r="R124" t="str">
            <v>GBP</v>
          </cell>
          <cell r="S124" t="str">
            <v>Local GAAP</v>
          </cell>
          <cell r="T124" t="str">
            <v>Twice per year</v>
          </cell>
          <cell r="U124" t="str">
            <v>Monthly</v>
          </cell>
          <cell r="V124" t="str">
            <v>RICS</v>
          </cell>
          <cell r="W124" t="str">
            <v>UK GAAP</v>
          </cell>
          <cell r="X124" t="str">
            <v>KPMG</v>
          </cell>
          <cell r="Y124" t="str">
            <v>Property Unit Trust</v>
          </cell>
          <cell r="AA124" t="str">
            <v>Yes</v>
          </cell>
          <cell r="AB124">
            <v>3</v>
          </cell>
          <cell r="AC124" t="str">
            <v>Non-Listed Fund</v>
          </cell>
          <cell r="AD124" t="str">
            <v>Value-added</v>
          </cell>
          <cell r="AE124" t="str">
            <v>finite</v>
          </cell>
          <cell r="AF124" t="str">
            <v>Closed end</v>
          </cell>
          <cell r="AJ124" t="str">
            <v>Central London Office Component of the IPD UK Annual Universe</v>
          </cell>
          <cell r="AM124" t="str">
            <v>&gt; 40% - ≤ 60%</v>
          </cell>
          <cell r="AN124" t="str">
            <v>Institutional</v>
          </cell>
          <cell r="AO124" t="str">
            <v>&gt; 2</v>
          </cell>
          <cell r="AP124" t="str">
            <v>≥ 50%</v>
          </cell>
          <cell r="AQ124" t="str">
            <v>Europe</v>
          </cell>
          <cell r="AR124" t="str">
            <v>single country</v>
          </cell>
          <cell r="AT124" t="str">
            <v>United Kingdom</v>
          </cell>
          <cell r="AU124" t="str">
            <v>single sector</v>
          </cell>
          <cell r="AV124" t="str">
            <v>Office</v>
          </cell>
          <cell r="AY124">
            <v>2004</v>
          </cell>
          <cell r="AZ124">
            <v>2021</v>
          </cell>
          <cell r="BA124" t="str">
            <v>Yes</v>
          </cell>
          <cell r="BB124" t="str">
            <v>Yes</v>
          </cell>
          <cell r="BC124" t="str">
            <v>2 years</v>
          </cell>
          <cell r="BH124" t="str">
            <v>2020-12-31</v>
          </cell>
          <cell r="BI124">
            <v>318262206</v>
          </cell>
          <cell r="BJ124">
            <v>351854493.81600362</v>
          </cell>
          <cell r="BK124">
            <v>313140713</v>
          </cell>
          <cell r="BL124">
            <v>346192431.86480469</v>
          </cell>
          <cell r="BM124">
            <v>0</v>
          </cell>
          <cell r="BN124" t="str">
            <v>No</v>
          </cell>
          <cell r="BO124" t="str">
            <v>External</v>
          </cell>
          <cell r="BP124">
            <v>45</v>
          </cell>
          <cell r="BQ124">
            <v>7</v>
          </cell>
          <cell r="BR124">
            <v>0</v>
          </cell>
          <cell r="BS124">
            <v>0</v>
          </cell>
          <cell r="BT124">
            <v>0</v>
          </cell>
          <cell r="BV124" t="str">
            <v>Yes</v>
          </cell>
          <cell r="BW124" t="str">
            <v>United Kingdom</v>
          </cell>
          <cell r="BX124" t="str">
            <v>Office</v>
          </cell>
          <cell r="BY124">
            <v>68</v>
          </cell>
        </row>
        <row r="125">
          <cell r="A125">
            <v>95</v>
          </cell>
          <cell r="B125" t="str">
            <v>CHARTERHOUSE LONDON RESIDENTIAL PROPERTY FUND</v>
          </cell>
          <cell r="C125" t="str">
            <v>HSBC SPECIALIST INVESTMENTS LTD</v>
          </cell>
          <cell r="D125" t="str">
            <v>8 Canada Square, Level 21</v>
          </cell>
          <cell r="E125" t="str">
            <v>E14 5HQ</v>
          </cell>
          <cell r="F125" t="str">
            <v>London</v>
          </cell>
          <cell r="G125" t="str">
            <v>United Kingdom</v>
          </cell>
          <cell r="H125" t="str">
            <v>+44 (0) 20 7991 8888</v>
          </cell>
          <cell r="I125" t="str">
            <v>+44 (0) 20 7991 4308</v>
          </cell>
          <cell r="J125" t="str">
            <v>http://www.specialistinvestments.hsbc.com</v>
          </cell>
          <cell r="K125" t="str">
            <v>Sandra Lowe</v>
          </cell>
          <cell r="L125" t="str">
            <v>hsil.enquiries@hsbcib.com</v>
          </cell>
          <cell r="M125" t="str">
            <v>+44 (0) 20 7991 3798</v>
          </cell>
          <cell r="N125" t="str">
            <v>Andrew Moffat</v>
          </cell>
          <cell r="O125" t="str">
            <v>hsil.enquiries@hsbcib.com</v>
          </cell>
          <cell r="P125" t="str">
            <v>+44 (0) 20 7991 8888</v>
          </cell>
          <cell r="Q125" t="str">
            <v>United Kingdom</v>
          </cell>
          <cell r="R125" t="str">
            <v>GBP</v>
          </cell>
          <cell r="T125" t="str">
            <v>Quarterly</v>
          </cell>
          <cell r="U125" t="str">
            <v>Quarterly</v>
          </cell>
          <cell r="Y125" t="str">
            <v>Limited Partnership</v>
          </cell>
          <cell r="AB125">
            <v>0</v>
          </cell>
          <cell r="AC125" t="str">
            <v>Non-Listed Fund</v>
          </cell>
          <cell r="AD125" t="str">
            <v>Core</v>
          </cell>
          <cell r="AE125" t="str">
            <v>finite</v>
          </cell>
          <cell r="AF125" t="str">
            <v>Closed end</v>
          </cell>
          <cell r="AJ125" t="str">
            <v>Nationwide House Price Index, Halifax House Price</v>
          </cell>
          <cell r="AM125" t="str">
            <v>&gt; 40% - ≤ 60%</v>
          </cell>
          <cell r="AN125" t="str">
            <v>Institutional</v>
          </cell>
          <cell r="AP125" t="str">
            <v>≥ 50%</v>
          </cell>
          <cell r="AQ125" t="str">
            <v>Europe</v>
          </cell>
          <cell r="AR125" t="str">
            <v>single country</v>
          </cell>
          <cell r="AT125" t="str">
            <v>United Kingdom</v>
          </cell>
          <cell r="AU125" t="str">
            <v>single sector</v>
          </cell>
          <cell r="AV125" t="str">
            <v>Residential</v>
          </cell>
          <cell r="AY125">
            <v>1999</v>
          </cell>
          <cell r="AZ125">
            <v>2009</v>
          </cell>
          <cell r="BH125" t="str">
            <v>2008-06-30</v>
          </cell>
          <cell r="BI125">
            <v>202530000</v>
          </cell>
          <cell r="BJ125">
            <v>255997920</v>
          </cell>
          <cell r="BK125">
            <v>191840000</v>
          </cell>
          <cell r="BL125">
            <v>242485760</v>
          </cell>
          <cell r="BP125">
            <v>7</v>
          </cell>
          <cell r="BR125">
            <v>115890000</v>
          </cell>
          <cell r="BS125">
            <v>145986633</v>
          </cell>
          <cell r="BU125">
            <v>0</v>
          </cell>
          <cell r="BV125" t="str">
            <v>No</v>
          </cell>
        </row>
        <row r="126">
          <cell r="A126">
            <v>98</v>
          </cell>
          <cell r="B126" t="str">
            <v>CIT REAL ESTATE FUND LIMITED PARTNERSHIP</v>
          </cell>
          <cell r="C126" t="str">
            <v>CIT GROUP PLC</v>
          </cell>
          <cell r="D126" t="str">
            <v>One Marina Drive, Paradise Island</v>
          </cell>
          <cell r="E126" t="str">
            <v>PO Box SS-19140</v>
          </cell>
          <cell r="F126" t="str">
            <v>Nassau</v>
          </cell>
          <cell r="G126" t="str">
            <v>Bahamas</v>
          </cell>
          <cell r="H126" t="str">
            <v>+1 (1) 242 363 1501</v>
          </cell>
          <cell r="I126" t="str">
            <v>+1 (1) 242 363 1502</v>
          </cell>
          <cell r="J126" t="str">
            <v>http://www.cit.co.uk</v>
          </cell>
          <cell r="K126" t="str">
            <v>Craig Johnston</v>
          </cell>
          <cell r="L126" t="str">
            <v>cj@cit.co.uk</v>
          </cell>
          <cell r="M126" t="str">
            <v>+1 (1) 242 363 1501</v>
          </cell>
          <cell r="N126" t="str">
            <v>Craig Johnston</v>
          </cell>
          <cell r="O126" t="str">
            <v>cj@cit.co.uk</v>
          </cell>
          <cell r="P126" t="str">
            <v>+1 (1) 242 363 1501</v>
          </cell>
          <cell r="Q126" t="str">
            <v>United Kingdom</v>
          </cell>
          <cell r="R126" t="str">
            <v>GBP</v>
          </cell>
          <cell r="S126" t="str">
            <v>Local GAAP</v>
          </cell>
          <cell r="T126" t="str">
            <v>Quarterly</v>
          </cell>
          <cell r="U126" t="str">
            <v>Twice per year</v>
          </cell>
          <cell r="X126" t="str">
            <v>Deloitte &amp; Touche LLP</v>
          </cell>
          <cell r="Y126" t="str">
            <v>Limited Partnership</v>
          </cell>
          <cell r="Z126" t="str">
            <v>No</v>
          </cell>
          <cell r="AA126" t="str">
            <v>Yes</v>
          </cell>
          <cell r="AB126">
            <v>0</v>
          </cell>
          <cell r="AC126" t="str">
            <v>Non-Listed Fund</v>
          </cell>
          <cell r="AD126" t="str">
            <v>Value-added</v>
          </cell>
          <cell r="AE126" t="str">
            <v>finite</v>
          </cell>
          <cell r="AF126" t="str">
            <v>Closed end</v>
          </cell>
          <cell r="AG126">
            <v>18</v>
          </cell>
          <cell r="AH126">
            <v>18</v>
          </cell>
          <cell r="AI126" t="str">
            <v>Net</v>
          </cell>
          <cell r="AK126">
            <v>8</v>
          </cell>
          <cell r="AL126">
            <v>75</v>
          </cell>
          <cell r="AM126" t="str">
            <v>&gt; 60%</v>
          </cell>
          <cell r="AN126" t="str">
            <v>Institutional</v>
          </cell>
          <cell r="AP126" t="str">
            <v>≥ 50%</v>
          </cell>
          <cell r="AQ126" t="str">
            <v>Europe</v>
          </cell>
          <cell r="AR126" t="str">
            <v>single country</v>
          </cell>
          <cell r="AT126" t="str">
            <v>United Kingdom</v>
          </cell>
          <cell r="AU126" t="str">
            <v>multi sector</v>
          </cell>
          <cell r="AW126">
            <v>225030000</v>
          </cell>
          <cell r="AX126">
            <v>900130000</v>
          </cell>
          <cell r="AY126">
            <v>2005</v>
          </cell>
          <cell r="AZ126">
            <v>2013</v>
          </cell>
          <cell r="BA126" t="str">
            <v>Yes</v>
          </cell>
          <cell r="BB126" t="str">
            <v>Yes</v>
          </cell>
          <cell r="BC126" t="str">
            <v>23 years</v>
          </cell>
          <cell r="BH126" t="str">
            <v>2011-12-31</v>
          </cell>
          <cell r="BI126">
            <v>762000000</v>
          </cell>
          <cell r="BJ126">
            <v>909523200</v>
          </cell>
          <cell r="BK126">
            <v>165060000</v>
          </cell>
          <cell r="BL126">
            <v>197015616</v>
          </cell>
          <cell r="BP126">
            <v>16</v>
          </cell>
          <cell r="BQ126">
            <v>12</v>
          </cell>
          <cell r="BR126">
            <v>211500000</v>
          </cell>
          <cell r="BS126">
            <v>244324800</v>
          </cell>
          <cell r="BU126">
            <v>0</v>
          </cell>
          <cell r="BV126" t="str">
            <v>No</v>
          </cell>
        </row>
        <row r="127">
          <cell r="A127">
            <v>99</v>
          </cell>
          <cell r="B127" t="str">
            <v>CITY PARKING</v>
          </cell>
          <cell r="C127" t="str">
            <v>QUANTUM IMMOBILIEN KAPITALVERWALTUNGSGESELLSCHAFT MBH</v>
          </cell>
          <cell r="D127" t="str">
            <v>Dornbusch 4</v>
          </cell>
          <cell r="E127">
            <v>20095</v>
          </cell>
          <cell r="F127" t="str">
            <v>Hamburg</v>
          </cell>
          <cell r="G127" t="str">
            <v>Germany</v>
          </cell>
          <cell r="H127" t="str">
            <v>+49404143300</v>
          </cell>
          <cell r="I127" t="str">
            <v>+4940414330511</v>
          </cell>
          <cell r="J127" t="str">
            <v>http://www.quantum.ag</v>
          </cell>
          <cell r="N127" t="str">
            <v>Johanna Jachczik</v>
          </cell>
          <cell r="O127" t="str">
            <v>jj@quantum.ag</v>
          </cell>
          <cell r="P127" t="str">
            <v>+4940414330544</v>
          </cell>
          <cell r="Q127" t="str">
            <v>Germany</v>
          </cell>
          <cell r="R127" t="str">
            <v>EUR</v>
          </cell>
          <cell r="S127" t="str">
            <v>Local GAAP</v>
          </cell>
          <cell r="T127" t="str">
            <v>Monthly</v>
          </cell>
          <cell r="U127" t="str">
            <v>Annually</v>
          </cell>
          <cell r="W127" t="str">
            <v>INREV NAV</v>
          </cell>
          <cell r="X127" t="str">
            <v>KPMG</v>
          </cell>
          <cell r="Y127" t="str">
            <v>Spezialfonds</v>
          </cell>
          <cell r="Z127" t="str">
            <v>No</v>
          </cell>
          <cell r="AA127" t="str">
            <v>Yes</v>
          </cell>
          <cell r="AB127">
            <v>3</v>
          </cell>
          <cell r="AC127" t="str">
            <v>Non-Listed Fund</v>
          </cell>
          <cell r="AD127" t="str">
            <v>Core</v>
          </cell>
          <cell r="AE127" t="str">
            <v>infinite</v>
          </cell>
          <cell r="AF127" t="str">
            <v>Open end</v>
          </cell>
          <cell r="AG127">
            <v>10</v>
          </cell>
          <cell r="AH127">
            <v>10</v>
          </cell>
          <cell r="AI127" t="str">
            <v>Net</v>
          </cell>
          <cell r="AJ127" t="str">
            <v>None</v>
          </cell>
          <cell r="AK127">
            <v>6.5</v>
          </cell>
          <cell r="AL127">
            <v>50</v>
          </cell>
          <cell r="AM127" t="str">
            <v>&gt; 40% - ≤ 60%</v>
          </cell>
          <cell r="AN127" t="str">
            <v>Institutional</v>
          </cell>
          <cell r="AO127" t="str">
            <v>&gt; 2</v>
          </cell>
          <cell r="AP127" t="str">
            <v>≥ 50%</v>
          </cell>
          <cell r="AQ127" t="str">
            <v>Europe</v>
          </cell>
          <cell r="AR127" t="str">
            <v>single country</v>
          </cell>
          <cell r="AT127" t="str">
            <v>Germany</v>
          </cell>
          <cell r="AU127" t="str">
            <v>single sector</v>
          </cell>
          <cell r="AV127" t="str">
            <v>Parking</v>
          </cell>
          <cell r="AW127">
            <v>127000000</v>
          </cell>
          <cell r="AX127">
            <v>250000000</v>
          </cell>
          <cell r="AY127">
            <v>2008</v>
          </cell>
          <cell r="BA127" t="str">
            <v>No</v>
          </cell>
          <cell r="BB127" t="str">
            <v>No</v>
          </cell>
          <cell r="BH127" t="str">
            <v>2020-12-31</v>
          </cell>
          <cell r="BI127">
            <v>174520844</v>
          </cell>
          <cell r="BJ127">
            <v>174520844</v>
          </cell>
          <cell r="BK127">
            <v>113829712</v>
          </cell>
          <cell r="BL127">
            <v>113829712</v>
          </cell>
          <cell r="BM127">
            <v>39.299999999999997</v>
          </cell>
          <cell r="BN127" t="str">
            <v>No</v>
          </cell>
          <cell r="BO127" t="str">
            <v>External</v>
          </cell>
          <cell r="BP127">
            <v>8</v>
          </cell>
          <cell r="BQ127">
            <v>14</v>
          </cell>
          <cell r="BR127">
            <v>119273656</v>
          </cell>
          <cell r="BS127">
            <v>119273656</v>
          </cell>
          <cell r="BT127">
            <v>93822146</v>
          </cell>
          <cell r="BU127">
            <v>93822146</v>
          </cell>
          <cell r="BV127" t="str">
            <v>No</v>
          </cell>
          <cell r="BW127" t="str">
            <v>Germany</v>
          </cell>
          <cell r="BX127" t="str">
            <v>Parking</v>
          </cell>
          <cell r="BY127">
            <v>100</v>
          </cell>
        </row>
        <row r="128">
          <cell r="A128">
            <v>17493</v>
          </cell>
          <cell r="B128" t="str">
            <v>CLEARBELL PROPERTY PARTNERS II LP</v>
          </cell>
          <cell r="C128" t="str">
            <v>CLEARBELL CAPITAL</v>
          </cell>
          <cell r="D128" t="str">
            <v>2 Harewood Place</v>
          </cell>
          <cell r="E128" t="str">
            <v>W1S 1BX</v>
          </cell>
          <cell r="F128" t="str">
            <v>London</v>
          </cell>
          <cell r="G128" t="str">
            <v>United Kingdom</v>
          </cell>
          <cell r="H128">
            <v>2074947620</v>
          </cell>
          <cell r="J128" t="str">
            <v>http://www.clearbell.com</v>
          </cell>
          <cell r="K128" t="str">
            <v>Manish Chande</v>
          </cell>
          <cell r="M128">
            <v>2074947620</v>
          </cell>
          <cell r="N128" t="str">
            <v>Sian Morgan</v>
          </cell>
          <cell r="O128" t="str">
            <v>sian@clearbell.com</v>
          </cell>
          <cell r="P128">
            <v>2074947620</v>
          </cell>
          <cell r="Q128" t="str">
            <v>United Kingdom</v>
          </cell>
          <cell r="R128" t="str">
            <v>GBP</v>
          </cell>
          <cell r="S128" t="str">
            <v>Local GAAP</v>
          </cell>
          <cell r="T128" t="str">
            <v>Quarterly</v>
          </cell>
          <cell r="U128" t="str">
            <v>Annually</v>
          </cell>
          <cell r="V128" t="str">
            <v>RICS</v>
          </cell>
          <cell r="W128" t="str">
            <v>Uk gaap</v>
          </cell>
          <cell r="X128" t="str">
            <v>Deloitte</v>
          </cell>
          <cell r="Y128" t="str">
            <v>Limited Partnership</v>
          </cell>
          <cell r="Z128" t="str">
            <v>No</v>
          </cell>
          <cell r="AA128" t="str">
            <v>No</v>
          </cell>
          <cell r="AB128">
            <v>0</v>
          </cell>
          <cell r="AC128" t="str">
            <v>Non-Listed Fund</v>
          </cell>
          <cell r="AD128" t="str">
            <v>Opportunity</v>
          </cell>
          <cell r="AE128" t="str">
            <v>finite</v>
          </cell>
          <cell r="AF128" t="str">
            <v>Closed end</v>
          </cell>
          <cell r="AG128">
            <v>18</v>
          </cell>
          <cell r="AH128">
            <v>20</v>
          </cell>
          <cell r="AI128" t="str">
            <v>Gross</v>
          </cell>
          <cell r="AJ128" t="str">
            <v>None</v>
          </cell>
          <cell r="AK128">
            <v>0</v>
          </cell>
          <cell r="AL128">
            <v>40</v>
          </cell>
          <cell r="AM128" t="str">
            <v>&gt; 60%</v>
          </cell>
          <cell r="AN128" t="str">
            <v>Institutional</v>
          </cell>
          <cell r="AO128" t="str">
            <v>&gt; 2</v>
          </cell>
          <cell r="AP128" t="str">
            <v>≥ 50%</v>
          </cell>
          <cell r="AQ128" t="str">
            <v>Europe</v>
          </cell>
          <cell r="AR128" t="str">
            <v>single country</v>
          </cell>
          <cell r="AT128" t="str">
            <v>United Kingdom</v>
          </cell>
          <cell r="AU128" t="str">
            <v>multi sector</v>
          </cell>
          <cell r="AW128">
            <v>400000000</v>
          </cell>
          <cell r="AX128">
            <v>1000000000</v>
          </cell>
          <cell r="AY128">
            <v>2013</v>
          </cell>
          <cell r="AZ128">
            <v>2022</v>
          </cell>
          <cell r="BA128" t="str">
            <v>Yes</v>
          </cell>
          <cell r="BB128" t="str">
            <v>Yes</v>
          </cell>
          <cell r="BC128" t="str">
            <v>1+1 years</v>
          </cell>
          <cell r="BD128" t="str">
            <v>No</v>
          </cell>
          <cell r="BF128" t="str">
            <v>&gt; 15% - ≤ 40%</v>
          </cell>
          <cell r="BG128" t="str">
            <v>&gt; 5 - ≤ 25%</v>
          </cell>
          <cell r="BH128" t="str">
            <v>2020-09-30</v>
          </cell>
          <cell r="BI128">
            <v>158729000</v>
          </cell>
          <cell r="BJ128">
            <v>174374518.40592951</v>
          </cell>
          <cell r="BK128">
            <v>158528000</v>
          </cell>
          <cell r="BL128">
            <v>174153706.341344</v>
          </cell>
          <cell r="BM128">
            <v>0</v>
          </cell>
          <cell r="BN128" t="str">
            <v>Yes</v>
          </cell>
          <cell r="BO128" t="str">
            <v>External</v>
          </cell>
          <cell r="BP128">
            <v>49</v>
          </cell>
          <cell r="BQ128">
            <v>60</v>
          </cell>
          <cell r="BR128">
            <v>400000000</v>
          </cell>
          <cell r="BS128">
            <v>439164143.24000001</v>
          </cell>
          <cell r="BT128">
            <v>355675000</v>
          </cell>
          <cell r="BU128">
            <v>390499266.61721748</v>
          </cell>
          <cell r="BV128" t="str">
            <v>No</v>
          </cell>
          <cell r="BW128" t="str">
            <v>United Kingdom</v>
          </cell>
          <cell r="BX128" t="str">
            <v>Residential</v>
          </cell>
          <cell r="BY128">
            <v>4</v>
          </cell>
          <cell r="BZ128" t="str">
            <v>United Kingdom</v>
          </cell>
          <cell r="CA128" t="str">
            <v>Hotel</v>
          </cell>
          <cell r="CB128">
            <v>6</v>
          </cell>
          <cell r="CC128" t="str">
            <v>United Kingdom</v>
          </cell>
          <cell r="CD128" t="str">
            <v>Leisure</v>
          </cell>
          <cell r="CE128">
            <v>10</v>
          </cell>
          <cell r="CF128" t="str">
            <v>United Kingdom</v>
          </cell>
          <cell r="CG128" t="str">
            <v>Retail</v>
          </cell>
          <cell r="CH128">
            <v>11</v>
          </cell>
          <cell r="CI128" t="str">
            <v>United Kingdom</v>
          </cell>
          <cell r="CJ128" t="str">
            <v>Industrial / Logistics</v>
          </cell>
          <cell r="CK128">
            <v>30</v>
          </cell>
          <cell r="CL128" t="str">
            <v>United Kingdom</v>
          </cell>
          <cell r="CM128" t="str">
            <v>Office</v>
          </cell>
          <cell r="CN128">
            <v>39</v>
          </cell>
        </row>
        <row r="129">
          <cell r="A129">
            <v>18407</v>
          </cell>
          <cell r="B129" t="str">
            <v>CLEARBELL PROPERTY PARTNERS III LP</v>
          </cell>
          <cell r="C129" t="str">
            <v>CLEARBELL FUND MANAGEMENT LIMITED</v>
          </cell>
          <cell r="D129" t="str">
            <v>2 Harewood Place</v>
          </cell>
          <cell r="E129" t="str">
            <v>W1S 1BX</v>
          </cell>
          <cell r="F129" t="str">
            <v>London</v>
          </cell>
          <cell r="G129" t="str">
            <v>United Kingdom</v>
          </cell>
          <cell r="H129" t="str">
            <v>0207 494 7620</v>
          </cell>
          <cell r="J129" t="str">
            <v>http://www.clearbell.com</v>
          </cell>
          <cell r="K129" t="str">
            <v>Manish Chande</v>
          </cell>
          <cell r="M129">
            <v>2074947620</v>
          </cell>
          <cell r="N129" t="str">
            <v>Sian Morgan</v>
          </cell>
          <cell r="O129" t="str">
            <v>sian@clearbell.com</v>
          </cell>
          <cell r="P129">
            <v>2074947620</v>
          </cell>
          <cell r="Q129" t="str">
            <v>United Kingdom</v>
          </cell>
          <cell r="R129" t="str">
            <v>GBP</v>
          </cell>
          <cell r="S129" t="str">
            <v>Local GAAP</v>
          </cell>
          <cell r="T129" t="str">
            <v>Quarterly</v>
          </cell>
          <cell r="U129" t="str">
            <v>Annually</v>
          </cell>
          <cell r="V129" t="str">
            <v>RICS</v>
          </cell>
          <cell r="W129" t="str">
            <v>UK GAAP</v>
          </cell>
          <cell r="X129" t="str">
            <v>Deloitte</v>
          </cell>
          <cell r="Y129" t="str">
            <v>Limited Partnership</v>
          </cell>
          <cell r="Z129" t="str">
            <v>No</v>
          </cell>
          <cell r="AA129" t="str">
            <v>No</v>
          </cell>
          <cell r="AB129">
            <v>0</v>
          </cell>
          <cell r="AC129" t="str">
            <v>Non-Listed Fund</v>
          </cell>
          <cell r="AD129" t="str">
            <v>Opportunity</v>
          </cell>
          <cell r="AE129" t="str">
            <v>finite</v>
          </cell>
          <cell r="AF129" t="str">
            <v>Closed end</v>
          </cell>
          <cell r="AG129">
            <v>12</v>
          </cell>
          <cell r="AH129">
            <v>15</v>
          </cell>
          <cell r="AI129" t="str">
            <v>Net</v>
          </cell>
          <cell r="AJ129" t="str">
            <v>None</v>
          </cell>
          <cell r="AL129">
            <v>55</v>
          </cell>
          <cell r="AM129" t="str">
            <v>&gt; 40% - ≤ 60%</v>
          </cell>
          <cell r="AN129" t="str">
            <v>Institutional</v>
          </cell>
          <cell r="AO129" t="str">
            <v>&gt; 2</v>
          </cell>
          <cell r="AP129" t="str">
            <v>≥ 50%</v>
          </cell>
          <cell r="AQ129" t="str">
            <v>Europe</v>
          </cell>
          <cell r="AR129" t="str">
            <v>single country</v>
          </cell>
          <cell r="AT129" t="str">
            <v>United Kingdom</v>
          </cell>
          <cell r="AU129" t="str">
            <v>multi sector</v>
          </cell>
          <cell r="AW129">
            <v>400000000</v>
          </cell>
          <cell r="AX129">
            <v>1000000000</v>
          </cell>
          <cell r="AY129">
            <v>2017</v>
          </cell>
          <cell r="AZ129">
            <v>2025</v>
          </cell>
          <cell r="BA129" t="str">
            <v>Yes</v>
          </cell>
          <cell r="BB129" t="str">
            <v>Yes</v>
          </cell>
          <cell r="BC129" t="str">
            <v>1+1 years</v>
          </cell>
          <cell r="BD129" t="str">
            <v>No</v>
          </cell>
          <cell r="BF129" t="str">
            <v>≤ 15%</v>
          </cell>
          <cell r="BG129" t="str">
            <v>≤ 5%</v>
          </cell>
          <cell r="BH129" t="str">
            <v>2019-06-30</v>
          </cell>
          <cell r="BI129">
            <v>158162000</v>
          </cell>
          <cell r="BJ129">
            <v>176762743.5025554</v>
          </cell>
          <cell r="BK129">
            <v>114440000</v>
          </cell>
          <cell r="BL129">
            <v>127898789.63614801</v>
          </cell>
          <cell r="BM129">
            <v>27</v>
          </cell>
          <cell r="BN129" t="str">
            <v>No</v>
          </cell>
          <cell r="BO129" t="str">
            <v>Internal</v>
          </cell>
          <cell r="BP129">
            <v>18</v>
          </cell>
          <cell r="BQ129">
            <v>30</v>
          </cell>
          <cell r="BR129">
            <v>309275000</v>
          </cell>
          <cell r="BS129">
            <v>359603914.99098498</v>
          </cell>
          <cell r="BT129">
            <v>108246250</v>
          </cell>
          <cell r="BU129">
            <v>125861370.24684469</v>
          </cell>
          <cell r="BV129" t="str">
            <v>No</v>
          </cell>
          <cell r="BW129" t="str">
            <v>United Kingdom</v>
          </cell>
          <cell r="BX129" t="str">
            <v>Retail</v>
          </cell>
          <cell r="BY129">
            <v>10</v>
          </cell>
          <cell r="BZ129" t="str">
            <v>United Kingdom</v>
          </cell>
          <cell r="CA129" t="str">
            <v>Hotel</v>
          </cell>
          <cell r="CB129">
            <v>19</v>
          </cell>
          <cell r="CC129" t="str">
            <v>United Kingdom</v>
          </cell>
          <cell r="CD129" t="str">
            <v>Office</v>
          </cell>
          <cell r="CE129">
            <v>25</v>
          </cell>
          <cell r="CF129" t="str">
            <v>United Kingdom</v>
          </cell>
          <cell r="CG129" t="str">
            <v>Industrial / Logistics</v>
          </cell>
          <cell r="CH129">
            <v>46</v>
          </cell>
        </row>
        <row r="130">
          <cell r="A130">
            <v>19640</v>
          </cell>
          <cell r="B130" t="str">
            <v>CLEARBELL UK STRATEGIC TRUST</v>
          </cell>
          <cell r="C130" t="str">
            <v>CLEARBELL MANAGEMENT LIMITED</v>
          </cell>
          <cell r="D130" t="str">
            <v>2 Harewood Place</v>
          </cell>
          <cell r="E130" t="str">
            <v>W1S 1BX</v>
          </cell>
          <cell r="F130" t="str">
            <v>London</v>
          </cell>
          <cell r="G130" t="str">
            <v>United Kingdom</v>
          </cell>
          <cell r="H130" t="str">
            <v>+442074947600</v>
          </cell>
          <cell r="J130" t="str">
            <v>www.clearbell.com</v>
          </cell>
          <cell r="K130" t="str">
            <v>Adris Hussain</v>
          </cell>
          <cell r="L130" t="str">
            <v>adris@clearbell.com</v>
          </cell>
          <cell r="M130" t="str">
            <v>+442074947620</v>
          </cell>
          <cell r="N130" t="str">
            <v>Sophie Ahad</v>
          </cell>
          <cell r="O130" t="str">
            <v>Sophie@clearbell.com</v>
          </cell>
          <cell r="P130" t="str">
            <v>+442074947600</v>
          </cell>
          <cell r="Q130" t="str">
            <v>United Kingdom</v>
          </cell>
          <cell r="R130" t="str">
            <v>GBP</v>
          </cell>
          <cell r="S130" t="str">
            <v>Local GAAP</v>
          </cell>
          <cell r="T130" t="str">
            <v>Quarterly</v>
          </cell>
          <cell r="U130" t="str">
            <v>Quarterly</v>
          </cell>
          <cell r="V130" t="str">
            <v>RICS</v>
          </cell>
          <cell r="W130" t="str">
            <v>INREV NAV</v>
          </cell>
          <cell r="X130" t="str">
            <v>Deloitte LLP</v>
          </cell>
          <cell r="Y130" t="str">
            <v>Unit trust</v>
          </cell>
          <cell r="Z130" t="str">
            <v>Yes</v>
          </cell>
          <cell r="AA130" t="str">
            <v>Yes</v>
          </cell>
          <cell r="AB130">
            <v>1</v>
          </cell>
          <cell r="AC130" t="str">
            <v>Non-Listed Fund</v>
          </cell>
          <cell r="AD130" t="str">
            <v>Opportunity</v>
          </cell>
          <cell r="AE130" t="str">
            <v>finite</v>
          </cell>
          <cell r="AF130" t="str">
            <v>Closed end</v>
          </cell>
          <cell r="AG130">
            <v>10</v>
          </cell>
          <cell r="AH130">
            <v>12</v>
          </cell>
          <cell r="AI130" t="str">
            <v>Net</v>
          </cell>
          <cell r="AM130" t="str">
            <v>≤ 40%</v>
          </cell>
          <cell r="AN130" t="str">
            <v>Institutional</v>
          </cell>
          <cell r="AO130" t="str">
            <v>&gt; 2</v>
          </cell>
          <cell r="AP130" t="str">
            <v>≥ 50%</v>
          </cell>
          <cell r="AQ130" t="str">
            <v>Europe</v>
          </cell>
          <cell r="AR130" t="str">
            <v>single country</v>
          </cell>
          <cell r="AT130" t="str">
            <v>United Kingdom</v>
          </cell>
          <cell r="AU130" t="str">
            <v>multi sector</v>
          </cell>
          <cell r="AY130">
            <v>2020</v>
          </cell>
          <cell r="BA130" t="str">
            <v>Yes</v>
          </cell>
          <cell r="BB130" t="str">
            <v>Yes</v>
          </cell>
          <cell r="BC130" t="str">
            <v>1+1 years</v>
          </cell>
        </row>
        <row r="131">
          <cell r="A131">
            <v>19311</v>
          </cell>
          <cell r="B131" t="str">
            <v>COIMA CORE FUND VII</v>
          </cell>
          <cell r="C131" t="str">
            <v>COIMA SGR</v>
          </cell>
          <cell r="D131" t="str">
            <v>Piazza Gae Aulenti, 12</v>
          </cell>
          <cell r="E131">
            <v>10154</v>
          </cell>
          <cell r="F131" t="str">
            <v>Milano</v>
          </cell>
          <cell r="G131" t="str">
            <v>Italy</v>
          </cell>
          <cell r="Q131" t="str">
            <v>Italy</v>
          </cell>
          <cell r="R131" t="str">
            <v>EUR</v>
          </cell>
          <cell r="T131" t="str">
            <v>Twice per year</v>
          </cell>
          <cell r="U131" t="str">
            <v>Twice per year</v>
          </cell>
          <cell r="V131" t="str">
            <v>NAV</v>
          </cell>
          <cell r="W131" t="str">
            <v>ITA GAAP</v>
          </cell>
          <cell r="Y131" t="str">
            <v>Real Estate Fund</v>
          </cell>
          <cell r="Z131" t="str">
            <v>No</v>
          </cell>
          <cell r="AC131" t="str">
            <v>Non-Listed Fund</v>
          </cell>
          <cell r="AD131" t="str">
            <v>Value-added</v>
          </cell>
          <cell r="AE131" t="str">
            <v>finite</v>
          </cell>
          <cell r="AF131" t="str">
            <v>Closed end</v>
          </cell>
          <cell r="AG131">
            <v>10</v>
          </cell>
          <cell r="AI131" t="str">
            <v>Net</v>
          </cell>
          <cell r="AM131" t="str">
            <v>&gt; 60%</v>
          </cell>
          <cell r="AN131" t="str">
            <v>Institutional</v>
          </cell>
          <cell r="AO131" t="str">
            <v>≤ 2</v>
          </cell>
          <cell r="AP131" t="str">
            <v>≥ 50%</v>
          </cell>
          <cell r="AQ131" t="str">
            <v>Europe</v>
          </cell>
          <cell r="AR131" t="str">
            <v>single country</v>
          </cell>
          <cell r="AT131" t="str">
            <v>Italy</v>
          </cell>
          <cell r="AU131" t="str">
            <v>single sector</v>
          </cell>
          <cell r="AV131" t="str">
            <v>Office</v>
          </cell>
          <cell r="AY131">
            <v>2019</v>
          </cell>
          <cell r="AZ131">
            <v>2025</v>
          </cell>
          <cell r="BA131" t="str">
            <v>No</v>
          </cell>
          <cell r="BD131" t="str">
            <v>No</v>
          </cell>
          <cell r="BE131" t="str">
            <v>≥ 60%</v>
          </cell>
          <cell r="BF131" t="str">
            <v>≤ 15%</v>
          </cell>
          <cell r="BG131" t="str">
            <v>&gt; 5 - ≤ 25%</v>
          </cell>
          <cell r="BH131" t="str">
            <v>2020-12-31</v>
          </cell>
          <cell r="BI131">
            <v>134353453.33000001</v>
          </cell>
          <cell r="BJ131">
            <v>134353453.33000001</v>
          </cell>
          <cell r="BK131">
            <v>44043014.520000003</v>
          </cell>
          <cell r="BL131">
            <v>44043014.520000003</v>
          </cell>
          <cell r="BM131">
            <v>62.9</v>
          </cell>
          <cell r="BN131" t="str">
            <v>Yes</v>
          </cell>
          <cell r="BO131" t="str">
            <v>External</v>
          </cell>
          <cell r="BP131">
            <v>1</v>
          </cell>
          <cell r="BQ131">
            <v>7</v>
          </cell>
          <cell r="BR131">
            <v>52000000</v>
          </cell>
          <cell r="BS131">
            <v>52000000</v>
          </cell>
          <cell r="BT131">
            <v>51000000</v>
          </cell>
          <cell r="BU131">
            <v>51000000</v>
          </cell>
          <cell r="BV131" t="str">
            <v>No</v>
          </cell>
          <cell r="BW131" t="str">
            <v>Italy</v>
          </cell>
          <cell r="BX131" t="str">
            <v>Office</v>
          </cell>
          <cell r="BY131">
            <v>95.6</v>
          </cell>
        </row>
        <row r="132">
          <cell r="A132">
            <v>17853</v>
          </cell>
          <cell r="B132" t="str">
            <v>COIMA LOGISTICS I</v>
          </cell>
          <cell r="C132" t="str">
            <v>COIMA SGR</v>
          </cell>
          <cell r="D132" t="str">
            <v>Via della Moscova, 18</v>
          </cell>
          <cell r="E132">
            <v>20121</v>
          </cell>
          <cell r="F132" t="str">
            <v>Milan</v>
          </cell>
          <cell r="G132" t="str">
            <v>Italy</v>
          </cell>
          <cell r="H132" t="str">
            <v>+39 0265506601</v>
          </cell>
          <cell r="J132" t="str">
            <v>http://www.coimasgr.com</v>
          </cell>
          <cell r="K132" t="str">
            <v>Teresa Montanarin</v>
          </cell>
          <cell r="L132" t="str">
            <v>teresa.montanarini@coimasgr.com</v>
          </cell>
          <cell r="M132" t="str">
            <v>+39 0265506601</v>
          </cell>
          <cell r="N132" t="str">
            <v>Kelly Russell</v>
          </cell>
          <cell r="O132" t="str">
            <v>kelly.russell@coimasgr.com</v>
          </cell>
          <cell r="P132" t="str">
            <v>+39 0265506601</v>
          </cell>
          <cell r="Q132" t="str">
            <v>Italy</v>
          </cell>
          <cell r="R132" t="str">
            <v>EUR</v>
          </cell>
          <cell r="S132" t="str">
            <v>Local GAAP</v>
          </cell>
          <cell r="T132" t="str">
            <v>Twice per year</v>
          </cell>
          <cell r="U132" t="str">
            <v>Twice per year</v>
          </cell>
          <cell r="V132" t="str">
            <v>NAV</v>
          </cell>
          <cell r="X132" t="str">
            <v>Ernst&amp;Young</v>
          </cell>
          <cell r="Y132" t="str">
            <v>Real Estate Fund</v>
          </cell>
          <cell r="Z132" t="str">
            <v>No</v>
          </cell>
          <cell r="AA132" t="str">
            <v>Yes</v>
          </cell>
          <cell r="AB132">
            <v>2</v>
          </cell>
          <cell r="AC132" t="str">
            <v>Non-Listed Fund</v>
          </cell>
          <cell r="AD132" t="str">
            <v>Core</v>
          </cell>
          <cell r="AE132" t="str">
            <v>finite</v>
          </cell>
          <cell r="AF132" t="str">
            <v>Closed end</v>
          </cell>
          <cell r="AG132">
            <v>6</v>
          </cell>
          <cell r="AH132">
            <v>6</v>
          </cell>
          <cell r="AL132">
            <v>50</v>
          </cell>
          <cell r="AM132" t="str">
            <v>&gt; 60%</v>
          </cell>
          <cell r="AN132" t="str">
            <v>Institutional</v>
          </cell>
          <cell r="AO132" t="str">
            <v>&gt; 2</v>
          </cell>
          <cell r="AP132" t="str">
            <v>≥ 50%</v>
          </cell>
          <cell r="AQ132" t="str">
            <v>Europe</v>
          </cell>
          <cell r="AR132" t="str">
            <v>single country</v>
          </cell>
          <cell r="AT132" t="str">
            <v>Italy</v>
          </cell>
          <cell r="AU132" t="str">
            <v>single sector</v>
          </cell>
          <cell r="AV132" t="str">
            <v>Industrial / Logistics</v>
          </cell>
          <cell r="AW132">
            <v>40000000</v>
          </cell>
          <cell r="AX132">
            <v>80000000</v>
          </cell>
          <cell r="AY132">
            <v>2013</v>
          </cell>
          <cell r="AZ132">
            <v>2028</v>
          </cell>
          <cell r="BA132" t="str">
            <v>Yes</v>
          </cell>
          <cell r="BB132" t="str">
            <v>Yes</v>
          </cell>
          <cell r="BC132" t="str">
            <v>3 years fixed</v>
          </cell>
          <cell r="BD132" t="str">
            <v>No</v>
          </cell>
          <cell r="BH132" t="str">
            <v>2020-06-30</v>
          </cell>
          <cell r="BI132">
            <v>95874495</v>
          </cell>
          <cell r="BJ132">
            <v>95874495</v>
          </cell>
          <cell r="BK132">
            <v>55284778</v>
          </cell>
          <cell r="BL132">
            <v>55284778</v>
          </cell>
          <cell r="BM132">
            <v>47</v>
          </cell>
          <cell r="BN132" t="str">
            <v>No</v>
          </cell>
          <cell r="BO132" t="str">
            <v>Internal</v>
          </cell>
          <cell r="BP132">
            <v>3</v>
          </cell>
          <cell r="BQ132">
            <v>2</v>
          </cell>
          <cell r="BR132">
            <v>41000000</v>
          </cell>
          <cell r="BS132">
            <v>41000000</v>
          </cell>
          <cell r="BT132">
            <v>41000000</v>
          </cell>
          <cell r="BU132">
            <v>41000000</v>
          </cell>
          <cell r="BW132" t="str">
            <v>Italy</v>
          </cell>
          <cell r="BX132" t="str">
            <v>Industrial / Logistics</v>
          </cell>
          <cell r="BY132">
            <v>100</v>
          </cell>
        </row>
        <row r="133">
          <cell r="A133">
            <v>17854</v>
          </cell>
          <cell r="B133" t="str">
            <v>COIMA OPPORTUNITY FUND I</v>
          </cell>
          <cell r="C133" t="str">
            <v>COIMA SGR</v>
          </cell>
          <cell r="D133" t="str">
            <v>Piazza Gae Aulenti 12</v>
          </cell>
          <cell r="E133">
            <v>20154</v>
          </cell>
          <cell r="F133" t="str">
            <v>Milan</v>
          </cell>
          <cell r="G133" t="str">
            <v>Italy</v>
          </cell>
          <cell r="H133" t="str">
            <v>+390265506601</v>
          </cell>
          <cell r="J133" t="str">
            <v>http://www.coimasgr.com</v>
          </cell>
          <cell r="K133" t="str">
            <v>Francesco Veronesi</v>
          </cell>
          <cell r="L133" t="str">
            <v>francesco.veronesi@coimasgr.com</v>
          </cell>
          <cell r="M133" t="str">
            <v>+390265506601</v>
          </cell>
          <cell r="N133" t="str">
            <v>Kelly Russell</v>
          </cell>
          <cell r="O133" t="str">
            <v>kelly.russell@coimasgr.com</v>
          </cell>
          <cell r="P133" t="str">
            <v>+390265506601</v>
          </cell>
          <cell r="Q133" t="str">
            <v>Italy</v>
          </cell>
          <cell r="R133" t="str">
            <v>EUR</v>
          </cell>
          <cell r="S133" t="str">
            <v>Local GAAP</v>
          </cell>
          <cell r="T133" t="str">
            <v>Twice per year</v>
          </cell>
          <cell r="U133" t="str">
            <v>Twice per year</v>
          </cell>
          <cell r="V133" t="str">
            <v>NAV</v>
          </cell>
          <cell r="W133" t="str">
            <v>ITA GAAP</v>
          </cell>
          <cell r="X133" t="str">
            <v>Ernst&amp;Young</v>
          </cell>
          <cell r="Y133" t="str">
            <v>Real Estate Fund</v>
          </cell>
          <cell r="Z133" t="str">
            <v>No</v>
          </cell>
          <cell r="AA133" t="str">
            <v>Yes</v>
          </cell>
          <cell r="AB133">
            <v>2</v>
          </cell>
          <cell r="AC133" t="str">
            <v>Non-Listed Fund</v>
          </cell>
          <cell r="AD133" t="str">
            <v>Value-added</v>
          </cell>
          <cell r="AE133" t="str">
            <v>finite</v>
          </cell>
          <cell r="AF133" t="str">
            <v>Closed end</v>
          </cell>
          <cell r="AG133">
            <v>8</v>
          </cell>
          <cell r="AH133">
            <v>10</v>
          </cell>
          <cell r="AI133" t="str">
            <v>Gross</v>
          </cell>
          <cell r="AM133" t="str">
            <v>&gt; 60%</v>
          </cell>
          <cell r="AN133" t="str">
            <v>Institutional</v>
          </cell>
          <cell r="AO133" t="str">
            <v>&gt; 2</v>
          </cell>
          <cell r="AP133" t="str">
            <v>≥ 50%</v>
          </cell>
          <cell r="AQ133" t="str">
            <v>Europe</v>
          </cell>
          <cell r="AR133" t="str">
            <v>multi country</v>
          </cell>
          <cell r="AS133" t="str">
            <v>Europe</v>
          </cell>
          <cell r="AU133" t="str">
            <v>multi sector</v>
          </cell>
          <cell r="AW133">
            <v>70000000</v>
          </cell>
          <cell r="AX133">
            <v>200000000</v>
          </cell>
          <cell r="AY133">
            <v>2011</v>
          </cell>
          <cell r="AZ133">
            <v>2019</v>
          </cell>
          <cell r="BA133" t="str">
            <v>Yes</v>
          </cell>
          <cell r="BB133" t="str">
            <v>Yes</v>
          </cell>
          <cell r="BC133" t="str">
            <v>2 years fixed</v>
          </cell>
          <cell r="BD133" t="str">
            <v>No</v>
          </cell>
          <cell r="BE133" t="str">
            <v>&lt; 60%</v>
          </cell>
          <cell r="BF133" t="str">
            <v>≤ 15%</v>
          </cell>
          <cell r="BG133" t="str">
            <v>≤ 5%</v>
          </cell>
          <cell r="BH133" t="str">
            <v>2020-12-31</v>
          </cell>
          <cell r="BJ133">
            <v>0</v>
          </cell>
          <cell r="BL133">
            <v>0</v>
          </cell>
          <cell r="BS133">
            <v>0</v>
          </cell>
          <cell r="BW133" t="str">
            <v>Italy</v>
          </cell>
          <cell r="BX133" t="str">
            <v>Office</v>
          </cell>
          <cell r="BY133">
            <v>98</v>
          </cell>
        </row>
        <row r="134">
          <cell r="A134">
            <v>32</v>
          </cell>
          <cell r="B134" t="str">
            <v>COMMERCIAL REAL ESTATE DENMARK P/S</v>
          </cell>
          <cell r="C134" t="str">
            <v>FOKUS ASSET MANAGEMENT A/S</v>
          </cell>
          <cell r="D134" t="str">
            <v>Bomhusvej 13, 1. th</v>
          </cell>
          <cell r="E134">
            <v>2100</v>
          </cell>
          <cell r="F134" t="str">
            <v>København Ø</v>
          </cell>
          <cell r="G134" t="str">
            <v>Denmark</v>
          </cell>
          <cell r="H134" t="str">
            <v>+4575100075</v>
          </cell>
          <cell r="J134" t="str">
            <v>http://www.fokusasset.dk</v>
          </cell>
          <cell r="K134" t="str">
            <v>Mads Larsen</v>
          </cell>
          <cell r="L134" t="str">
            <v>mads.larsen@fokusasset.dk</v>
          </cell>
          <cell r="M134" t="str">
            <v>+4523844020</v>
          </cell>
          <cell r="N134" t="str">
            <v>Tonny Nielsen</v>
          </cell>
          <cell r="O134" t="str">
            <v>tonny.nielsen@fokusasset.dk</v>
          </cell>
          <cell r="P134" t="str">
            <v>+4521430996</v>
          </cell>
          <cell r="Q134" t="str">
            <v>Denmark</v>
          </cell>
          <cell r="R134" t="str">
            <v>DKK</v>
          </cell>
          <cell r="S134" t="str">
            <v>Local GAAP</v>
          </cell>
          <cell r="T134" t="str">
            <v>Quarterly</v>
          </cell>
          <cell r="U134" t="str">
            <v>Twice per year</v>
          </cell>
          <cell r="V134" t="str">
            <v>RICS</v>
          </cell>
          <cell r="W134" t="str">
            <v>INREV NAV</v>
          </cell>
          <cell r="X134" t="str">
            <v>Deloitte</v>
          </cell>
          <cell r="Y134" t="str">
            <v>Limited Partnership</v>
          </cell>
          <cell r="Z134" t="str">
            <v>Yes</v>
          </cell>
          <cell r="AA134" t="str">
            <v>Yes</v>
          </cell>
          <cell r="AB134">
            <v>5</v>
          </cell>
          <cell r="AC134" t="str">
            <v>Non-Listed Fund</v>
          </cell>
          <cell r="AD134" t="str">
            <v>Core</v>
          </cell>
          <cell r="AE134" t="str">
            <v>infinite</v>
          </cell>
          <cell r="AF134" t="str">
            <v>Open end</v>
          </cell>
          <cell r="AG134">
            <v>10</v>
          </cell>
          <cell r="AH134">
            <v>10</v>
          </cell>
          <cell r="AI134" t="str">
            <v>Net</v>
          </cell>
          <cell r="AK134">
            <v>4</v>
          </cell>
          <cell r="AL134">
            <v>60</v>
          </cell>
          <cell r="AM134" t="str">
            <v>&gt; 40% - ≤ 60%</v>
          </cell>
          <cell r="AN134" t="str">
            <v>Institutional</v>
          </cell>
          <cell r="AO134" t="str">
            <v>&gt; 2</v>
          </cell>
          <cell r="AP134" t="str">
            <v>≥ 50%</v>
          </cell>
          <cell r="AQ134" t="str">
            <v>Europe</v>
          </cell>
          <cell r="AR134" t="str">
            <v>single country</v>
          </cell>
          <cell r="AT134" t="str">
            <v>Denmark</v>
          </cell>
          <cell r="AU134" t="str">
            <v>single sector</v>
          </cell>
          <cell r="AV134" t="str">
            <v>Office</v>
          </cell>
          <cell r="AW134">
            <v>3500000000</v>
          </cell>
          <cell r="AX134">
            <v>10000000000</v>
          </cell>
          <cell r="AY134">
            <v>2004</v>
          </cell>
          <cell r="BA134" t="str">
            <v>Yes</v>
          </cell>
          <cell r="BB134" t="str">
            <v>No</v>
          </cell>
          <cell r="BD134" t="str">
            <v>Yes</v>
          </cell>
          <cell r="BE134" t="str">
            <v>≥ 60%</v>
          </cell>
          <cell r="BF134" t="str">
            <v>≤ 15%</v>
          </cell>
          <cell r="BG134" t="str">
            <v>&gt; 5 - ≤ 25%</v>
          </cell>
          <cell r="BH134" t="str">
            <v>2020-12-31</v>
          </cell>
          <cell r="BI134">
            <v>7658806000</v>
          </cell>
          <cell r="BJ134">
            <v>1029526111.569159</v>
          </cell>
          <cell r="BK134">
            <v>3632512000</v>
          </cell>
          <cell r="BL134">
            <v>488296211.52282882</v>
          </cell>
          <cell r="BM134">
            <v>68.5</v>
          </cell>
          <cell r="BN134" t="str">
            <v>Yes</v>
          </cell>
          <cell r="BO134" t="str">
            <v>External</v>
          </cell>
          <cell r="BP134">
            <v>33</v>
          </cell>
          <cell r="BQ134">
            <v>38</v>
          </cell>
          <cell r="BR134">
            <v>0</v>
          </cell>
          <cell r="BS134">
            <v>0</v>
          </cell>
          <cell r="BT134">
            <v>1963500000</v>
          </cell>
          <cell r="BV134" t="str">
            <v>No</v>
          </cell>
          <cell r="BW134" t="str">
            <v>Denmark</v>
          </cell>
          <cell r="BX134" t="str">
            <v>Industrial / Logistics</v>
          </cell>
          <cell r="BY134">
            <v>11.9</v>
          </cell>
          <cell r="BZ134" t="str">
            <v>Denmark</v>
          </cell>
          <cell r="CA134" t="str">
            <v>Retail</v>
          </cell>
          <cell r="CB134">
            <v>4.7</v>
          </cell>
          <cell r="CC134" t="str">
            <v>Denmark</v>
          </cell>
          <cell r="CD134" t="str">
            <v>Office</v>
          </cell>
          <cell r="CE134">
            <v>83.4</v>
          </cell>
        </row>
        <row r="135">
          <cell r="A135">
            <v>19294</v>
          </cell>
          <cell r="B135" t="str">
            <v>COMMERZ REAL INSTITUTIONAL EUROPEAN HOTEL FUND</v>
          </cell>
          <cell r="C135" t="str">
            <v>COMMERZ REAL FUND MANAGEMENT</v>
          </cell>
          <cell r="D135" t="str">
            <v>25, Rue Edward Steichen</v>
          </cell>
          <cell r="E135" t="str">
            <v>L-2540</v>
          </cell>
          <cell r="F135" t="str">
            <v>Luxembourg</v>
          </cell>
          <cell r="G135" t="str">
            <v>Luxembourg</v>
          </cell>
          <cell r="H135" t="str">
            <v>+352 4779 112502</v>
          </cell>
          <cell r="J135" t="str">
            <v>http://www.commerzreal.com</v>
          </cell>
          <cell r="K135" t="str">
            <v>Josef Afrem-Barsom</v>
          </cell>
          <cell r="L135" t="str">
            <v>Josef.Afrem-Barsom@Commerzreal.com</v>
          </cell>
          <cell r="M135" t="str">
            <v>+49 211 77082539</v>
          </cell>
          <cell r="N135" t="str">
            <v>Arnd Ludwig</v>
          </cell>
          <cell r="O135" t="str">
            <v>Arnd.Ludwig@Commerzreal.com</v>
          </cell>
          <cell r="P135" t="str">
            <v>+352 4779 113169</v>
          </cell>
          <cell r="Q135" t="str">
            <v>Luxembourg</v>
          </cell>
          <cell r="R135" t="str">
            <v>EUR</v>
          </cell>
          <cell r="S135" t="str">
            <v>IFRS</v>
          </cell>
          <cell r="T135" t="str">
            <v>Annually</v>
          </cell>
          <cell r="U135" t="str">
            <v>Annually</v>
          </cell>
          <cell r="V135" t="str">
            <v>RICS</v>
          </cell>
          <cell r="W135" t="str">
            <v>IFRS NAV</v>
          </cell>
          <cell r="X135" t="str">
            <v>KPMG Luxembourg</v>
          </cell>
          <cell r="Y135" t="str">
            <v>SCA</v>
          </cell>
          <cell r="Z135" t="str">
            <v>No</v>
          </cell>
          <cell r="AA135" t="str">
            <v>No</v>
          </cell>
          <cell r="AC135" t="str">
            <v>Non-Listed Fund</v>
          </cell>
          <cell r="AD135" t="str">
            <v>Core</v>
          </cell>
          <cell r="AE135" t="str">
            <v>infinite</v>
          </cell>
          <cell r="AF135" t="str">
            <v>Open end</v>
          </cell>
          <cell r="AG135">
            <v>5.5</v>
          </cell>
          <cell r="AH135">
            <v>6</v>
          </cell>
          <cell r="AI135" t="str">
            <v>Net</v>
          </cell>
          <cell r="AK135">
            <v>5</v>
          </cell>
          <cell r="AL135">
            <v>60</v>
          </cell>
          <cell r="AM135" t="str">
            <v>&gt; 40% - ≤ 60%</v>
          </cell>
          <cell r="AN135" t="str">
            <v>Institutional</v>
          </cell>
          <cell r="AO135" t="str">
            <v>&gt; 2</v>
          </cell>
          <cell r="AP135" t="str">
            <v>≥ 50%</v>
          </cell>
          <cell r="AQ135" t="str">
            <v>Europe</v>
          </cell>
          <cell r="AR135" t="str">
            <v>multi country</v>
          </cell>
          <cell r="AS135" t="str">
            <v>Europe</v>
          </cell>
          <cell r="AU135" t="str">
            <v>single sector</v>
          </cell>
          <cell r="AV135" t="str">
            <v>Hotel</v>
          </cell>
          <cell r="AW135">
            <v>100000000</v>
          </cell>
          <cell r="AX135">
            <v>250000000</v>
          </cell>
          <cell r="AY135">
            <v>2019</v>
          </cell>
          <cell r="BD135" t="str">
            <v>No</v>
          </cell>
          <cell r="BF135" t="str">
            <v>≤ 15%</v>
          </cell>
          <cell r="BH135" t="str">
            <v>2020-09-30</v>
          </cell>
          <cell r="BI135">
            <v>19205919.620000001</v>
          </cell>
          <cell r="BJ135">
            <v>19205919.620000001</v>
          </cell>
          <cell r="BK135">
            <v>12582838.640000001</v>
          </cell>
          <cell r="BL135">
            <v>12582838.640000001</v>
          </cell>
          <cell r="BM135">
            <v>39</v>
          </cell>
          <cell r="BN135" t="str">
            <v>No</v>
          </cell>
          <cell r="BO135" t="str">
            <v>Internal</v>
          </cell>
          <cell r="BP135">
            <v>2</v>
          </cell>
          <cell r="BQ135">
            <v>1</v>
          </cell>
          <cell r="BR135">
            <v>63030000</v>
          </cell>
          <cell r="BS135">
            <v>63030000</v>
          </cell>
          <cell r="BT135">
            <v>13630000</v>
          </cell>
          <cell r="BU135">
            <v>13630000</v>
          </cell>
          <cell r="BV135" t="str">
            <v>Yes</v>
          </cell>
          <cell r="BW135" t="str">
            <v>Spain</v>
          </cell>
          <cell r="BX135" t="str">
            <v>Development Hotel</v>
          </cell>
          <cell r="BY135">
            <v>96</v>
          </cell>
        </row>
        <row r="136">
          <cell r="A136">
            <v>18310</v>
          </cell>
          <cell r="B136" t="str">
            <v>COMMERZ REAL INSTITUTIONAL HOTEL FUND</v>
          </cell>
          <cell r="C136" t="str">
            <v>COMMERZ REAL KAPITALVERWALTUNGSGESELLSCHAFT MBH</v>
          </cell>
          <cell r="D136" t="str">
            <v>Mercedesstr. 6</v>
          </cell>
          <cell r="E136">
            <v>40470</v>
          </cell>
          <cell r="F136" t="str">
            <v>Düsseldorf</v>
          </cell>
          <cell r="G136" t="str">
            <v>Germany</v>
          </cell>
          <cell r="H136" t="str">
            <v>+4921177080</v>
          </cell>
          <cell r="J136" t="str">
            <v>http://www.commerzreal.com</v>
          </cell>
          <cell r="K136" t="str">
            <v>Stefan Mattiske</v>
          </cell>
          <cell r="L136" t="str">
            <v>stefan.mattiske@commerzreal.com</v>
          </cell>
          <cell r="M136" t="str">
            <v>+4921177082407</v>
          </cell>
          <cell r="N136" t="str">
            <v>Heiko Szczodrowski</v>
          </cell>
          <cell r="O136" t="str">
            <v>heiko.szczodrowski@commerzreal.com</v>
          </cell>
          <cell r="P136" t="str">
            <v>+4921177082665</v>
          </cell>
          <cell r="Q136" t="str">
            <v>Germany</v>
          </cell>
          <cell r="R136" t="str">
            <v>EUR</v>
          </cell>
          <cell r="S136" t="str">
            <v>Local GAAP</v>
          </cell>
          <cell r="T136" t="str">
            <v>Annually</v>
          </cell>
          <cell r="U136" t="str">
            <v>Annually</v>
          </cell>
          <cell r="V136" t="str">
            <v>ImmoWertV</v>
          </cell>
          <cell r="W136" t="str">
            <v>Local GAAP</v>
          </cell>
          <cell r="Y136" t="str">
            <v>Spezialfonds</v>
          </cell>
          <cell r="Z136" t="str">
            <v>No</v>
          </cell>
          <cell r="AA136" t="str">
            <v>No</v>
          </cell>
          <cell r="AC136" t="str">
            <v>Non-Listed Fund</v>
          </cell>
          <cell r="AD136" t="str">
            <v>Core</v>
          </cell>
          <cell r="AE136" t="str">
            <v>infinite</v>
          </cell>
          <cell r="AF136" t="str">
            <v>Open end</v>
          </cell>
          <cell r="AG136">
            <v>4.5</v>
          </cell>
          <cell r="AH136">
            <v>6</v>
          </cell>
          <cell r="AK136">
            <v>4</v>
          </cell>
          <cell r="AL136">
            <v>50</v>
          </cell>
          <cell r="AM136" t="str">
            <v>&gt; 40% - ≤ 60%</v>
          </cell>
          <cell r="AN136" t="str">
            <v>Institutional</v>
          </cell>
          <cell r="AO136" t="str">
            <v>&gt; 2</v>
          </cell>
          <cell r="AP136" t="str">
            <v>≥ 50%</v>
          </cell>
          <cell r="AQ136" t="str">
            <v>Global</v>
          </cell>
          <cell r="AR136" t="str">
            <v>multi country</v>
          </cell>
          <cell r="AU136" t="str">
            <v>single sector</v>
          </cell>
          <cell r="AV136" t="str">
            <v>Hotel</v>
          </cell>
          <cell r="AW136">
            <v>1000000000</v>
          </cell>
          <cell r="AX136">
            <v>2000000000</v>
          </cell>
          <cell r="AY136">
            <v>2018</v>
          </cell>
          <cell r="BB136" t="str">
            <v>No</v>
          </cell>
          <cell r="BD136" t="str">
            <v>No</v>
          </cell>
          <cell r="BE136" t="str">
            <v>≥ 60%</v>
          </cell>
          <cell r="BF136" t="str">
            <v>≤ 15%</v>
          </cell>
          <cell r="BH136" t="str">
            <v>2020-12-31</v>
          </cell>
          <cell r="BI136">
            <v>152249457</v>
          </cell>
          <cell r="BJ136">
            <v>152249457</v>
          </cell>
          <cell r="BK136">
            <v>85671181.480000004</v>
          </cell>
          <cell r="BL136">
            <v>85671181.480000004</v>
          </cell>
          <cell r="BM136">
            <v>41.5</v>
          </cell>
          <cell r="BN136" t="str">
            <v>Yes</v>
          </cell>
          <cell r="BO136" t="str">
            <v>External</v>
          </cell>
          <cell r="BP136">
            <v>17</v>
          </cell>
          <cell r="BQ136">
            <v>4</v>
          </cell>
          <cell r="BS136">
            <v>0</v>
          </cell>
          <cell r="BV136" t="str">
            <v>Yes</v>
          </cell>
          <cell r="BW136" t="str">
            <v>Portugal</v>
          </cell>
          <cell r="BX136" t="str">
            <v>Hotel</v>
          </cell>
          <cell r="BY136">
            <v>20</v>
          </cell>
          <cell r="BZ136" t="str">
            <v>Germany</v>
          </cell>
          <cell r="CA136" t="str">
            <v>Hotel</v>
          </cell>
          <cell r="CB136">
            <v>65</v>
          </cell>
          <cell r="CC136" t="str">
            <v>Australia</v>
          </cell>
          <cell r="CD136" t="str">
            <v>Hotel</v>
          </cell>
          <cell r="CE136">
            <v>15</v>
          </cell>
        </row>
        <row r="137">
          <cell r="A137">
            <v>19293</v>
          </cell>
          <cell r="B137" t="str">
            <v>COMMERZ REAL INSTITUTIONAL SMART LIVING EUROPE FUND</v>
          </cell>
          <cell r="C137" t="str">
            <v>COMMERZ REAL KAPITALVERWALTUNGSGESELLSCHAFT</v>
          </cell>
          <cell r="D137" t="str">
            <v>Mercedesstr. 6</v>
          </cell>
          <cell r="E137">
            <v>40470</v>
          </cell>
          <cell r="F137" t="str">
            <v>Düsseldorf</v>
          </cell>
          <cell r="G137" t="str">
            <v>Germany</v>
          </cell>
          <cell r="H137" t="str">
            <v>+49 211 7708 0</v>
          </cell>
          <cell r="J137" t="str">
            <v>http://www.commerzreal.com</v>
          </cell>
          <cell r="K137" t="str">
            <v>Ulrike Kühner-Leipholz</v>
          </cell>
          <cell r="L137" t="str">
            <v>ulrike.kuehner-leipholz@commerzreal.com</v>
          </cell>
          <cell r="M137" t="str">
            <v>+49 211 7708 2254</v>
          </cell>
          <cell r="N137" t="str">
            <v>Heiko Szczodrowski</v>
          </cell>
          <cell r="O137" t="str">
            <v>heiko.szczodrowski@commerzreal.com</v>
          </cell>
          <cell r="P137" t="str">
            <v>+49 211 7708 2665</v>
          </cell>
          <cell r="Q137" t="str">
            <v>Germany</v>
          </cell>
          <cell r="R137" t="str">
            <v>EUR</v>
          </cell>
          <cell r="S137" t="str">
            <v>Local GAAP</v>
          </cell>
          <cell r="T137" t="str">
            <v>Annually</v>
          </cell>
          <cell r="U137" t="str">
            <v>Annually</v>
          </cell>
          <cell r="V137" t="str">
            <v>ImmoWertV</v>
          </cell>
          <cell r="W137" t="str">
            <v>Local GAAP</v>
          </cell>
          <cell r="X137" t="str">
            <v>CACEIS Bank S. A. Germany Branch</v>
          </cell>
          <cell r="Y137" t="str">
            <v>Spezialfonds</v>
          </cell>
          <cell r="Z137" t="str">
            <v>No</v>
          </cell>
          <cell r="AA137" t="str">
            <v>No</v>
          </cell>
          <cell r="AC137" t="str">
            <v>Non-Listed Fund</v>
          </cell>
          <cell r="AD137" t="str">
            <v>Core</v>
          </cell>
          <cell r="AE137" t="str">
            <v>infinite</v>
          </cell>
          <cell r="AF137" t="str">
            <v>Open end</v>
          </cell>
          <cell r="AG137">
            <v>4.5</v>
          </cell>
          <cell r="AH137">
            <v>5</v>
          </cell>
          <cell r="AK137">
            <v>4.5</v>
          </cell>
          <cell r="AM137" t="str">
            <v>&gt; 40% - ≤ 60%</v>
          </cell>
          <cell r="AN137" t="str">
            <v>Institutional</v>
          </cell>
          <cell r="AO137" t="str">
            <v>&gt; 2</v>
          </cell>
          <cell r="AP137" t="str">
            <v>≥ 50%</v>
          </cell>
          <cell r="AQ137" t="str">
            <v>Europe</v>
          </cell>
          <cell r="AR137" t="str">
            <v>multi country</v>
          </cell>
          <cell r="AS137" t="str">
            <v>Europe</v>
          </cell>
          <cell r="AU137" t="str">
            <v>single sector</v>
          </cell>
          <cell r="AV137" t="str">
            <v>Student Housing</v>
          </cell>
          <cell r="AW137">
            <v>250000000</v>
          </cell>
          <cell r="AX137">
            <v>500000000</v>
          </cell>
          <cell r="AY137">
            <v>2019</v>
          </cell>
          <cell r="BD137" t="str">
            <v>No</v>
          </cell>
          <cell r="BE137" t="str">
            <v>≥ 60%</v>
          </cell>
          <cell r="BF137" t="str">
            <v>≤ 15%</v>
          </cell>
          <cell r="BH137" t="str">
            <v>2020-12-31</v>
          </cell>
          <cell r="BI137">
            <v>38669748.270000003</v>
          </cell>
          <cell r="BJ137">
            <v>38669748.270000003</v>
          </cell>
          <cell r="BK137">
            <v>38669748.270000003</v>
          </cell>
          <cell r="BL137">
            <v>38669748.270000003</v>
          </cell>
          <cell r="BM137">
            <v>0</v>
          </cell>
          <cell r="BN137" t="str">
            <v>No</v>
          </cell>
          <cell r="BO137" t="str">
            <v>Internal</v>
          </cell>
          <cell r="BP137">
            <v>12</v>
          </cell>
          <cell r="BQ137">
            <v>1</v>
          </cell>
          <cell r="BS137">
            <v>0</v>
          </cell>
          <cell r="BV137" t="str">
            <v>Yes</v>
          </cell>
          <cell r="BW137" t="str">
            <v>Germany</v>
          </cell>
          <cell r="BX137" t="str">
            <v>Development Student Housing</v>
          </cell>
          <cell r="BY137">
            <v>73</v>
          </cell>
        </row>
        <row r="138">
          <cell r="A138">
            <v>18309</v>
          </cell>
          <cell r="B138" t="str">
            <v>COMMERZ REAL INSTITUTIONAL SMART LIVING FUND</v>
          </cell>
          <cell r="C138" t="str">
            <v>COMMERZ REAL KAPITALVERWALTUNGSGESELLSCHAFT MBH</v>
          </cell>
          <cell r="D138" t="str">
            <v>Mercedesstr. 6</v>
          </cell>
          <cell r="E138">
            <v>40470</v>
          </cell>
          <cell r="F138" t="str">
            <v>Düsseldorf</v>
          </cell>
          <cell r="G138" t="str">
            <v>Germany</v>
          </cell>
          <cell r="H138" t="str">
            <v>+49 211 7708 0</v>
          </cell>
          <cell r="J138" t="str">
            <v>http://www.commerzreal.com</v>
          </cell>
          <cell r="K138" t="str">
            <v>Stephanie Hanfland</v>
          </cell>
          <cell r="L138" t="str">
            <v>stephanie.hanfland@commerzreal.com</v>
          </cell>
          <cell r="M138" t="str">
            <v>+49 211 7708 2367</v>
          </cell>
          <cell r="N138" t="str">
            <v>Heiko Szczodrowski</v>
          </cell>
          <cell r="O138" t="str">
            <v>heiko.szczodrowski@commerzreal.com</v>
          </cell>
          <cell r="P138" t="str">
            <v>+49 211 7708 2665</v>
          </cell>
          <cell r="Q138" t="str">
            <v>Germany</v>
          </cell>
          <cell r="R138" t="str">
            <v>EUR</v>
          </cell>
          <cell r="S138" t="str">
            <v>Local GAAP</v>
          </cell>
          <cell r="T138" t="str">
            <v>Annually</v>
          </cell>
          <cell r="U138" t="str">
            <v>Annually</v>
          </cell>
          <cell r="V138" t="str">
            <v>ImmoWertV</v>
          </cell>
          <cell r="W138" t="str">
            <v>Local GAAP</v>
          </cell>
          <cell r="X138" t="str">
            <v>CACEIS Bank S. A. Germany Branch</v>
          </cell>
          <cell r="Y138" t="str">
            <v>Spezialfonds</v>
          </cell>
          <cell r="Z138" t="str">
            <v>No</v>
          </cell>
          <cell r="AA138" t="str">
            <v>No</v>
          </cell>
          <cell r="AC138" t="str">
            <v>Non-Listed Fund</v>
          </cell>
          <cell r="AD138" t="str">
            <v>Core</v>
          </cell>
          <cell r="AE138" t="str">
            <v>infinite</v>
          </cell>
          <cell r="AF138" t="str">
            <v>Open end</v>
          </cell>
          <cell r="AG138">
            <v>4</v>
          </cell>
          <cell r="AH138">
            <v>5</v>
          </cell>
          <cell r="AK138">
            <v>4</v>
          </cell>
          <cell r="AL138">
            <v>40</v>
          </cell>
          <cell r="AM138" t="str">
            <v>&gt; 40% - ≤ 60%</v>
          </cell>
          <cell r="AN138" t="str">
            <v>Institutional</v>
          </cell>
          <cell r="AO138" t="str">
            <v>&gt; 2</v>
          </cell>
          <cell r="AP138" t="str">
            <v>≥ 50%</v>
          </cell>
          <cell r="AQ138" t="str">
            <v>Europe</v>
          </cell>
          <cell r="AR138" t="str">
            <v>single country</v>
          </cell>
          <cell r="AT138" t="str">
            <v>Germany</v>
          </cell>
          <cell r="AU138" t="str">
            <v>single sector</v>
          </cell>
          <cell r="AV138" t="str">
            <v>Student Housing</v>
          </cell>
          <cell r="AW138">
            <v>180000000</v>
          </cell>
          <cell r="AX138">
            <v>300000000</v>
          </cell>
          <cell r="AY138">
            <v>2017</v>
          </cell>
          <cell r="BB138" t="str">
            <v>No</v>
          </cell>
          <cell r="BD138" t="str">
            <v>No</v>
          </cell>
          <cell r="BE138" t="str">
            <v>≥ 60%</v>
          </cell>
          <cell r="BF138" t="str">
            <v>≤ 15%</v>
          </cell>
          <cell r="BH138" t="str">
            <v>2019-06-30</v>
          </cell>
          <cell r="BI138">
            <v>72692348.269999996</v>
          </cell>
          <cell r="BJ138">
            <v>72692348.269999996</v>
          </cell>
          <cell r="BK138">
            <v>54342248.270000003</v>
          </cell>
          <cell r="BL138">
            <v>54342248.270000003</v>
          </cell>
          <cell r="BM138">
            <v>25.25</v>
          </cell>
          <cell r="BN138" t="str">
            <v>No</v>
          </cell>
          <cell r="BO138" t="str">
            <v>Internal</v>
          </cell>
          <cell r="BP138">
            <v>18</v>
          </cell>
          <cell r="BQ138">
            <v>6</v>
          </cell>
          <cell r="BS138">
            <v>0</v>
          </cell>
          <cell r="BV138" t="str">
            <v>Yes</v>
          </cell>
          <cell r="BW138" t="str">
            <v>Germany</v>
          </cell>
          <cell r="BX138" t="str">
            <v>Student Housing</v>
          </cell>
          <cell r="BY138">
            <v>92</v>
          </cell>
          <cell r="BZ138" t="str">
            <v>Germany</v>
          </cell>
          <cell r="CA138" t="str">
            <v>Development Student Housing</v>
          </cell>
          <cell r="CB138">
            <v>3</v>
          </cell>
        </row>
        <row r="139">
          <cell r="A139">
            <v>104</v>
          </cell>
          <cell r="B139" t="str">
            <v>COMUNE DI MILANO I</v>
          </cell>
          <cell r="C139" t="str">
            <v>BNP PARIBAS REAL ESTATE INVESTMENT MANAGEMENT ITALY SGR</v>
          </cell>
          <cell r="D139" t="str">
            <v>Piazza Lina Bo Bardi, 3</v>
          </cell>
          <cell r="E139">
            <v>20124</v>
          </cell>
          <cell r="F139" t="str">
            <v>Milan</v>
          </cell>
          <cell r="G139" t="str">
            <v>Italy</v>
          </cell>
          <cell r="J139" t="str">
            <v>http://www.reim.bnpparibas.it</v>
          </cell>
          <cell r="Q139" t="str">
            <v>Italy</v>
          </cell>
          <cell r="R139" t="str">
            <v>EUR</v>
          </cell>
          <cell r="S139" t="str">
            <v>Local GAAP</v>
          </cell>
          <cell r="T139" t="str">
            <v>Twice per year</v>
          </cell>
          <cell r="U139" t="str">
            <v>Twice per year</v>
          </cell>
          <cell r="V139" t="str">
            <v>RICS</v>
          </cell>
          <cell r="X139" t="str">
            <v>Mazars S.p.A.</v>
          </cell>
          <cell r="Y139" t="str">
            <v>Real Estate Fund</v>
          </cell>
          <cell r="Z139" t="str">
            <v>No</v>
          </cell>
          <cell r="AC139" t="str">
            <v>Non-Listed Fund</v>
          </cell>
          <cell r="AD139" t="str">
            <v>Value-added</v>
          </cell>
          <cell r="AE139" t="str">
            <v>finite</v>
          </cell>
          <cell r="AF139" t="str">
            <v>Closed end</v>
          </cell>
          <cell r="AG139">
            <v>12</v>
          </cell>
          <cell r="AH139">
            <v>12</v>
          </cell>
          <cell r="AI139" t="str">
            <v>Gross</v>
          </cell>
          <cell r="AJ139" t="str">
            <v>None</v>
          </cell>
          <cell r="AN139" t="str">
            <v>Institutional</v>
          </cell>
          <cell r="AO139" t="str">
            <v>&gt; 2</v>
          </cell>
          <cell r="AP139" t="str">
            <v>≥ 50%</v>
          </cell>
          <cell r="AQ139" t="str">
            <v>Europe</v>
          </cell>
          <cell r="AR139" t="str">
            <v>single country</v>
          </cell>
          <cell r="AT139" t="str">
            <v>Italy</v>
          </cell>
          <cell r="AU139" t="str">
            <v>multi sector</v>
          </cell>
          <cell r="AY139">
            <v>2008</v>
          </cell>
          <cell r="AZ139">
            <v>2013</v>
          </cell>
          <cell r="BA139" t="str">
            <v>Yes</v>
          </cell>
          <cell r="BB139" t="str">
            <v>Yes</v>
          </cell>
          <cell r="BC139" t="str">
            <v>6 years</v>
          </cell>
          <cell r="BH139" t="str">
            <v>2018-12-31</v>
          </cell>
          <cell r="BI139">
            <v>90530472</v>
          </cell>
          <cell r="BJ139">
            <v>90530472</v>
          </cell>
          <cell r="BK139">
            <v>65414710</v>
          </cell>
          <cell r="BL139">
            <v>65414710</v>
          </cell>
          <cell r="BM139">
            <v>26</v>
          </cell>
          <cell r="BN139" t="str">
            <v>No</v>
          </cell>
          <cell r="BO139" t="str">
            <v>External</v>
          </cell>
          <cell r="BP139">
            <v>1</v>
          </cell>
          <cell r="BQ139">
            <v>39</v>
          </cell>
          <cell r="BR139">
            <v>102000100</v>
          </cell>
          <cell r="BS139">
            <v>102000100</v>
          </cell>
          <cell r="BT139">
            <v>102000100</v>
          </cell>
          <cell r="BU139">
            <v>102000100</v>
          </cell>
          <cell r="BV139" t="str">
            <v>No</v>
          </cell>
          <cell r="BW139" t="str">
            <v>Italy</v>
          </cell>
          <cell r="BX139" t="str">
            <v>Other</v>
          </cell>
          <cell r="BY139">
            <v>6</v>
          </cell>
          <cell r="BZ139" t="str">
            <v>Italy</v>
          </cell>
          <cell r="CA139" t="str">
            <v>Parking</v>
          </cell>
          <cell r="CB139">
            <v>23</v>
          </cell>
          <cell r="CC139" t="str">
            <v>Italy</v>
          </cell>
          <cell r="CD139" t="str">
            <v>Office</v>
          </cell>
          <cell r="CE139">
            <v>1</v>
          </cell>
          <cell r="CF139" t="str">
            <v>Italy</v>
          </cell>
          <cell r="CG139" t="str">
            <v>Retail</v>
          </cell>
          <cell r="CH139">
            <v>3</v>
          </cell>
          <cell r="CI139" t="str">
            <v>Italy</v>
          </cell>
          <cell r="CJ139" t="str">
            <v>Residential</v>
          </cell>
          <cell r="CK139">
            <v>61</v>
          </cell>
        </row>
        <row r="140">
          <cell r="A140">
            <v>19342</v>
          </cell>
          <cell r="B140" t="str">
            <v>CONREN LAND BüRO- UND GESCHäFTSHäUSER D</v>
          </cell>
          <cell r="G140" t="str">
            <v>Germany</v>
          </cell>
          <cell r="N140" t="str">
            <v>Laura Meindl</v>
          </cell>
          <cell r="O140" t="str">
            <v>laura.meindl@conrenland.com</v>
          </cell>
          <cell r="P140" t="str">
            <v>+49 (0)696976643017</v>
          </cell>
          <cell r="Q140" t="str">
            <v>Germany</v>
          </cell>
          <cell r="R140" t="str">
            <v>EUR</v>
          </cell>
          <cell r="T140" t="str">
            <v>Quarterly</v>
          </cell>
          <cell r="U140" t="str">
            <v>Quarterly</v>
          </cell>
          <cell r="V140" t="str">
            <v>RICS</v>
          </cell>
          <cell r="Y140" t="str">
            <v>Spezialfonds</v>
          </cell>
          <cell r="AC140" t="str">
            <v>Non-Listed Fund</v>
          </cell>
          <cell r="AD140" t="str">
            <v>Core</v>
          </cell>
          <cell r="AE140" t="str">
            <v>finite</v>
          </cell>
          <cell r="AF140" t="str">
            <v>Open end</v>
          </cell>
          <cell r="AN140" t="str">
            <v>Institutional</v>
          </cell>
          <cell r="AO140" t="str">
            <v>&gt; 2</v>
          </cell>
          <cell r="AP140" t="str">
            <v>≥ 50%</v>
          </cell>
          <cell r="AQ140" t="str">
            <v>Europe</v>
          </cell>
          <cell r="AR140" t="str">
            <v>single country</v>
          </cell>
          <cell r="AT140" t="str">
            <v>Germany</v>
          </cell>
          <cell r="AU140" t="str">
            <v>single sector</v>
          </cell>
          <cell r="AV140" t="str">
            <v>Office</v>
          </cell>
          <cell r="AY140">
            <v>2018</v>
          </cell>
          <cell r="BH140" t="str">
            <v>2020-12-31</v>
          </cell>
          <cell r="BI140">
            <v>265249713</v>
          </cell>
          <cell r="BJ140">
            <v>265249713</v>
          </cell>
          <cell r="BK140">
            <v>154012845</v>
          </cell>
          <cell r="BL140">
            <v>154012845</v>
          </cell>
          <cell r="BM140">
            <v>39.89</v>
          </cell>
          <cell r="BN140" t="str">
            <v>Yes</v>
          </cell>
          <cell r="BO140" t="str">
            <v>External</v>
          </cell>
          <cell r="BP140">
            <v>16</v>
          </cell>
          <cell r="BQ140">
            <v>5</v>
          </cell>
          <cell r="BR140">
            <v>190500000</v>
          </cell>
          <cell r="BS140">
            <v>190500000</v>
          </cell>
          <cell r="BT140">
            <v>140597477.75999999</v>
          </cell>
          <cell r="BU140">
            <v>140597477.75999999</v>
          </cell>
          <cell r="BV140" t="str">
            <v>Yes</v>
          </cell>
          <cell r="BW140" t="str">
            <v>Germany</v>
          </cell>
          <cell r="BX140" t="str">
            <v>Office</v>
          </cell>
          <cell r="BY140">
            <v>100</v>
          </cell>
        </row>
        <row r="141">
          <cell r="A141">
            <v>105</v>
          </cell>
          <cell r="B141" t="str">
            <v>CONTINENTAL RETAIL FUND</v>
          </cell>
          <cell r="C141" t="str">
            <v>IMORENDIMENTO SGFII, SA</v>
          </cell>
          <cell r="D141" t="str">
            <v>Praça Bom Sucesso 127, Esc 210</v>
          </cell>
          <cell r="E141" t="str">
            <v>4050 146</v>
          </cell>
          <cell r="F141" t="str">
            <v>Porto</v>
          </cell>
          <cell r="G141" t="str">
            <v>Portugal</v>
          </cell>
          <cell r="H141" t="str">
            <v>+351 22 607 5660</v>
          </cell>
          <cell r="I141" t="str">
            <v>+351 22 607 5661</v>
          </cell>
          <cell r="J141" t="str">
            <v>http://www.imorendimento.com</v>
          </cell>
          <cell r="N141" t="str">
            <v>Armando Lacerda Queiroz</v>
          </cell>
          <cell r="O141" t="str">
            <v>lqueiroz@imorendimento.pt</v>
          </cell>
          <cell r="P141" t="str">
            <v>+351 22 607 5660</v>
          </cell>
          <cell r="Q141" t="str">
            <v>Portugal</v>
          </cell>
          <cell r="R141" t="str">
            <v>EUR</v>
          </cell>
          <cell r="T141" t="str">
            <v>Annually</v>
          </cell>
          <cell r="U141" t="str">
            <v>Annually</v>
          </cell>
          <cell r="X141" t="str">
            <v>KPMG</v>
          </cell>
          <cell r="Y141" t="str">
            <v>Real Estate Fund</v>
          </cell>
          <cell r="Z141" t="str">
            <v>No</v>
          </cell>
          <cell r="AB141">
            <v>0</v>
          </cell>
          <cell r="AC141" t="str">
            <v>Non-Listed Fund</v>
          </cell>
          <cell r="AD141" t="str">
            <v>Value-added</v>
          </cell>
          <cell r="AE141" t="str">
            <v>finite</v>
          </cell>
          <cell r="AF141" t="str">
            <v>Closed end</v>
          </cell>
          <cell r="AG141">
            <v>0</v>
          </cell>
          <cell r="AH141">
            <v>12</v>
          </cell>
          <cell r="AI141" t="str">
            <v>Net</v>
          </cell>
          <cell r="AJ141" t="str">
            <v>IPD</v>
          </cell>
          <cell r="AM141" t="str">
            <v>&gt; 60%</v>
          </cell>
          <cell r="AN141" t="str">
            <v>Institutional</v>
          </cell>
          <cell r="AQ141" t="str">
            <v>Europe</v>
          </cell>
          <cell r="AR141" t="str">
            <v>single country</v>
          </cell>
          <cell r="AT141" t="str">
            <v>Portugal</v>
          </cell>
          <cell r="AU141" t="str">
            <v>single sector</v>
          </cell>
          <cell r="AV141" t="str">
            <v>Retail</v>
          </cell>
          <cell r="AY141">
            <v>2004</v>
          </cell>
          <cell r="AZ141">
            <v>2014</v>
          </cell>
          <cell r="BA141" t="str">
            <v>Yes</v>
          </cell>
          <cell r="BB141" t="str">
            <v>No</v>
          </cell>
          <cell r="BC141" t="str">
            <v>5 years</v>
          </cell>
          <cell r="BH141" t="str">
            <v>2010-12-31</v>
          </cell>
          <cell r="BJ141">
            <v>0</v>
          </cell>
          <cell r="BK141">
            <v>40000000</v>
          </cell>
          <cell r="BL141">
            <v>40000000</v>
          </cell>
          <cell r="BP141">
            <v>1</v>
          </cell>
          <cell r="BQ141">
            <v>1</v>
          </cell>
          <cell r="BS141">
            <v>0</v>
          </cell>
          <cell r="BV141" t="str">
            <v>No</v>
          </cell>
        </row>
        <row r="142">
          <cell r="A142">
            <v>110</v>
          </cell>
          <cell r="B142" t="str">
            <v>CORDEA SAVILLS UK PROPERTY VENTURES NO. 1</v>
          </cell>
          <cell r="C142" t="str">
            <v>SAVILLS INVESTMENT MANAGEMENT (UK) LIMITED</v>
          </cell>
          <cell r="D142" t="str">
            <v>33 Margaret Street, London</v>
          </cell>
          <cell r="E142" t="str">
            <v>W1G 0JD</v>
          </cell>
          <cell r="F142" t="str">
            <v>London</v>
          </cell>
          <cell r="G142" t="str">
            <v>United Kingdom</v>
          </cell>
          <cell r="H142" t="str">
            <v>+44 (0) 20 7877 4770</v>
          </cell>
          <cell r="I142" t="str">
            <v>+44 (0) 20 7877 4777</v>
          </cell>
          <cell r="J142" t="str">
            <v>http://www.savillsim.com</v>
          </cell>
          <cell r="K142" t="str">
            <v>Richard Lake</v>
          </cell>
          <cell r="L142" t="str">
            <v>richard.lake@savillsim.com</v>
          </cell>
          <cell r="M142" t="str">
            <v>+44 (0)20 7409 9932</v>
          </cell>
          <cell r="N142" t="str">
            <v>Liberty Greenish</v>
          </cell>
          <cell r="O142" t="str">
            <v>liberty.greenish@savillsim.com</v>
          </cell>
          <cell r="P142" t="str">
            <v>+44 (0) 20 7409 9987</v>
          </cell>
          <cell r="Q142" t="str">
            <v>United Kingdom</v>
          </cell>
          <cell r="R142" t="str">
            <v>GBP</v>
          </cell>
          <cell r="S142" t="str">
            <v>Local GAAP</v>
          </cell>
          <cell r="T142" t="str">
            <v>Quarterly</v>
          </cell>
          <cell r="U142" t="str">
            <v>Quarterly</v>
          </cell>
          <cell r="W142" t="str">
            <v>INREV NAV</v>
          </cell>
          <cell r="X142" t="str">
            <v>KPMG</v>
          </cell>
          <cell r="Y142" t="str">
            <v>Limited Partnership</v>
          </cell>
          <cell r="Z142" t="str">
            <v>Yes</v>
          </cell>
          <cell r="AA142" t="str">
            <v>No</v>
          </cell>
          <cell r="AB142">
            <v>0</v>
          </cell>
          <cell r="AC142" t="str">
            <v>Non-Listed Fund</v>
          </cell>
          <cell r="AD142" t="str">
            <v>Opportunity</v>
          </cell>
          <cell r="AE142" t="str">
            <v>finite</v>
          </cell>
          <cell r="AF142" t="str">
            <v>Closed end</v>
          </cell>
          <cell r="AG142">
            <v>20</v>
          </cell>
          <cell r="AH142">
            <v>20</v>
          </cell>
          <cell r="AI142" t="str">
            <v>Net</v>
          </cell>
          <cell r="AJ142" t="str">
            <v>20%</v>
          </cell>
          <cell r="AL142">
            <v>25</v>
          </cell>
          <cell r="AM142" t="str">
            <v>&gt; 60%</v>
          </cell>
          <cell r="AN142" t="str">
            <v>Institutional and Retail</v>
          </cell>
          <cell r="AO142" t="str">
            <v>&gt; 2</v>
          </cell>
          <cell r="AP142" t="str">
            <v>≥ 50%</v>
          </cell>
          <cell r="AQ142" t="str">
            <v>Europe</v>
          </cell>
          <cell r="AR142" t="str">
            <v>single country</v>
          </cell>
          <cell r="AT142" t="str">
            <v>United Kingdom</v>
          </cell>
          <cell r="AU142" t="str">
            <v>single sector</v>
          </cell>
          <cell r="AV142" t="str">
            <v>Other</v>
          </cell>
          <cell r="AY142">
            <v>2008</v>
          </cell>
          <cell r="AZ142">
            <v>2014</v>
          </cell>
          <cell r="BA142" t="str">
            <v>Yes</v>
          </cell>
          <cell r="BB142" t="str">
            <v>Yes</v>
          </cell>
          <cell r="BC142" t="str">
            <v>2 years</v>
          </cell>
          <cell r="BH142" t="str">
            <v>2019-06-30</v>
          </cell>
          <cell r="BI142">
            <v>12538854</v>
          </cell>
          <cell r="BJ142">
            <v>14013493.97085261</v>
          </cell>
          <cell r="BK142">
            <v>12521954</v>
          </cell>
          <cell r="BL142">
            <v>13994606.435507881</v>
          </cell>
          <cell r="BM142">
            <v>0</v>
          </cell>
          <cell r="BN142" t="str">
            <v>No</v>
          </cell>
          <cell r="BO142" t="str">
            <v>External</v>
          </cell>
          <cell r="BP142">
            <v>6</v>
          </cell>
          <cell r="BQ142">
            <v>9</v>
          </cell>
          <cell r="BR142">
            <v>66241720</v>
          </cell>
          <cell r="BS142">
            <v>77021362.372440815</v>
          </cell>
          <cell r="BT142">
            <v>50919214</v>
          </cell>
          <cell r="BU142">
            <v>59205395.530397788</v>
          </cell>
          <cell r="BV142" t="str">
            <v>No</v>
          </cell>
          <cell r="BW142" t="str">
            <v>United Kingdom</v>
          </cell>
          <cell r="BX142" t="str">
            <v>Development Mixed</v>
          </cell>
          <cell r="BY142">
            <v>100</v>
          </cell>
        </row>
        <row r="143">
          <cell r="A143">
            <v>542</v>
          </cell>
          <cell r="B143" t="str">
            <v>CORNERSTONE GERMAN RETAIL FUND</v>
          </cell>
          <cell r="C143" t="str">
            <v>CORNERSTONE REAL ESTATE ADVISERS</v>
          </cell>
          <cell r="D143" t="str">
            <v>30 Old Burlington Street</v>
          </cell>
          <cell r="E143" t="str">
            <v>W1S 3AR</v>
          </cell>
          <cell r="F143" t="str">
            <v>London</v>
          </cell>
          <cell r="G143" t="str">
            <v>United Kingdom</v>
          </cell>
          <cell r="H143" t="str">
            <v>+44 (0)20 7297 0900</v>
          </cell>
          <cell r="I143" t="str">
            <v>+44 (0)20 7297 0999</v>
          </cell>
          <cell r="J143" t="str">
            <v>http://www.cornerstoneadvisers.com</v>
          </cell>
          <cell r="K143" t="str">
            <v>Peter de Haas</v>
          </cell>
          <cell r="L143" t="str">
            <v>PdeHaas@cornerstoneadvisers-eu.com</v>
          </cell>
          <cell r="M143" t="str">
            <v>+31 10 405 60 31</v>
          </cell>
          <cell r="N143" t="str">
            <v>Peter de Haas</v>
          </cell>
          <cell r="O143" t="str">
            <v>PdeHaas@cornerstoneadvisers-eu.com</v>
          </cell>
          <cell r="P143" t="str">
            <v>+44 (0)20 7297 0999</v>
          </cell>
          <cell r="Q143" t="str">
            <v>Netherlands</v>
          </cell>
          <cell r="R143" t="str">
            <v>EUR</v>
          </cell>
          <cell r="S143" t="str">
            <v>IFRS</v>
          </cell>
          <cell r="T143" t="str">
            <v>Quarterly</v>
          </cell>
          <cell r="U143" t="str">
            <v>Quarterly</v>
          </cell>
          <cell r="V143" t="str">
            <v>RICS</v>
          </cell>
          <cell r="W143" t="str">
            <v>INREV NAV</v>
          </cell>
          <cell r="X143" t="str">
            <v>Deloitte</v>
          </cell>
          <cell r="Y143" t="str">
            <v>CV</v>
          </cell>
          <cell r="Z143" t="str">
            <v>Yes</v>
          </cell>
          <cell r="AB143">
            <v>0</v>
          </cell>
          <cell r="AC143" t="str">
            <v>Non-Listed Fund</v>
          </cell>
          <cell r="AD143" t="str">
            <v>Value-added</v>
          </cell>
          <cell r="AE143" t="str">
            <v>finite</v>
          </cell>
          <cell r="AF143" t="str">
            <v>Closed end</v>
          </cell>
          <cell r="AG143">
            <v>16</v>
          </cell>
          <cell r="AH143">
            <v>16</v>
          </cell>
          <cell r="AI143" t="str">
            <v>Net</v>
          </cell>
          <cell r="AJ143" t="str">
            <v>IPD</v>
          </cell>
          <cell r="AK143">
            <v>6</v>
          </cell>
          <cell r="AL143">
            <v>75</v>
          </cell>
          <cell r="AM143" t="str">
            <v>&gt; 60%</v>
          </cell>
          <cell r="AN143" t="str">
            <v>Institutional</v>
          </cell>
          <cell r="AO143" t="str">
            <v>&gt; 2</v>
          </cell>
          <cell r="AP143" t="str">
            <v>≥ 50%</v>
          </cell>
          <cell r="AQ143" t="str">
            <v>Europe</v>
          </cell>
          <cell r="AR143" t="str">
            <v>single country</v>
          </cell>
          <cell r="AT143" t="str">
            <v>Germany</v>
          </cell>
          <cell r="AU143" t="str">
            <v>single sector</v>
          </cell>
          <cell r="AV143" t="str">
            <v>Retail</v>
          </cell>
          <cell r="AW143">
            <v>48500000</v>
          </cell>
          <cell r="AX143">
            <v>120000000</v>
          </cell>
          <cell r="AY143">
            <v>2008</v>
          </cell>
          <cell r="AZ143">
            <v>2015</v>
          </cell>
          <cell r="BA143" t="str">
            <v>Yes</v>
          </cell>
          <cell r="BB143" t="str">
            <v>Yes</v>
          </cell>
          <cell r="BC143" t="str">
            <v>3 years</v>
          </cell>
          <cell r="BH143" t="str">
            <v>2019-03-31</v>
          </cell>
          <cell r="BI143">
            <v>28568358</v>
          </cell>
          <cell r="BJ143">
            <v>28568358</v>
          </cell>
          <cell r="BK143">
            <v>21189992</v>
          </cell>
          <cell r="BL143">
            <v>21189992</v>
          </cell>
          <cell r="BM143">
            <v>17.5</v>
          </cell>
          <cell r="BN143" t="str">
            <v>No</v>
          </cell>
          <cell r="BO143" t="str">
            <v>External</v>
          </cell>
          <cell r="BP143">
            <v>0</v>
          </cell>
          <cell r="BQ143">
            <v>2</v>
          </cell>
          <cell r="BR143">
            <v>48493123</v>
          </cell>
          <cell r="BS143">
            <v>48493123</v>
          </cell>
          <cell r="BT143">
            <v>48493123</v>
          </cell>
          <cell r="BU143">
            <v>48493123</v>
          </cell>
          <cell r="BV143" t="str">
            <v>No</v>
          </cell>
          <cell r="BW143" t="str">
            <v>Germany</v>
          </cell>
          <cell r="BX143" t="str">
            <v>Retail</v>
          </cell>
          <cell r="BY143">
            <v>82.5</v>
          </cell>
        </row>
        <row r="144">
          <cell r="A144">
            <v>16080</v>
          </cell>
          <cell r="B144" t="str">
            <v>CREDIT MUTUEL PIERRE 1</v>
          </cell>
          <cell r="C144" t="str">
            <v>LA FRANCAISE REM</v>
          </cell>
          <cell r="D144" t="str">
            <v>128, boulevard Raspail</v>
          </cell>
          <cell r="E144">
            <v>75006</v>
          </cell>
          <cell r="F144" t="str">
            <v>Paris</v>
          </cell>
          <cell r="G144" t="str">
            <v>France</v>
          </cell>
          <cell r="H144" t="str">
            <v>+33144561000</v>
          </cell>
          <cell r="I144" t="str">
            <v>+33144561138</v>
          </cell>
          <cell r="J144" t="str">
            <v>https://lafrancaise-am.com</v>
          </cell>
          <cell r="K144" t="str">
            <v>Penin</v>
          </cell>
          <cell r="L144" t="str">
            <v>mopenin@lafrancaise-am.com</v>
          </cell>
          <cell r="N144" t="str">
            <v>SCPI</v>
          </cell>
          <cell r="P144" t="str">
            <v>+33153624060</v>
          </cell>
          <cell r="Q144" t="str">
            <v>France</v>
          </cell>
          <cell r="R144" t="str">
            <v>EUR</v>
          </cell>
          <cell r="S144" t="str">
            <v>IFRS</v>
          </cell>
          <cell r="T144" t="str">
            <v>Quarterly</v>
          </cell>
          <cell r="U144" t="str">
            <v>Annually</v>
          </cell>
          <cell r="V144" t="str">
            <v>Other - mark to market</v>
          </cell>
          <cell r="X144" t="str">
            <v>Deloitte</v>
          </cell>
          <cell r="Y144" t="str">
            <v>SCPI</v>
          </cell>
          <cell r="Z144" t="str">
            <v>No</v>
          </cell>
          <cell r="AA144" t="str">
            <v>Yes</v>
          </cell>
          <cell r="AC144" t="str">
            <v>Non-Listed Fund</v>
          </cell>
          <cell r="AD144" t="str">
            <v>Core</v>
          </cell>
          <cell r="AE144" t="str">
            <v>infinite</v>
          </cell>
          <cell r="AF144" t="str">
            <v>Open end</v>
          </cell>
          <cell r="AK144">
            <v>5</v>
          </cell>
          <cell r="AL144">
            <v>0</v>
          </cell>
          <cell r="AM144" t="str">
            <v>≤ 40%</v>
          </cell>
          <cell r="AN144" t="str">
            <v>Institutional and Retail</v>
          </cell>
          <cell r="AO144" t="str">
            <v>&gt; 2</v>
          </cell>
          <cell r="AP144" t="str">
            <v>&lt; 50%</v>
          </cell>
          <cell r="AQ144" t="str">
            <v>Europe</v>
          </cell>
          <cell r="AR144" t="str">
            <v>single country</v>
          </cell>
          <cell r="AT144" t="str">
            <v>France</v>
          </cell>
          <cell r="AU144" t="str">
            <v>multi sector</v>
          </cell>
          <cell r="AY144">
            <v>1973</v>
          </cell>
          <cell r="BH144" t="str">
            <v>2015-03-31</v>
          </cell>
          <cell r="BI144">
            <v>834671569</v>
          </cell>
          <cell r="BJ144">
            <v>834671569</v>
          </cell>
          <cell r="BK144">
            <v>818222369</v>
          </cell>
          <cell r="BL144">
            <v>818222369</v>
          </cell>
          <cell r="BM144">
            <v>2.0099999999999998</v>
          </cell>
          <cell r="BN144" t="str">
            <v>No</v>
          </cell>
          <cell r="BO144" t="str">
            <v>Internal</v>
          </cell>
          <cell r="BP144">
            <v>205</v>
          </cell>
          <cell r="BQ144">
            <v>174</v>
          </cell>
          <cell r="BS144">
            <v>0</v>
          </cell>
          <cell r="BW144" t="str">
            <v>France</v>
          </cell>
          <cell r="BX144" t="str">
            <v>Office</v>
          </cell>
          <cell r="BY144">
            <v>87.11</v>
          </cell>
          <cell r="BZ144" t="str">
            <v>France</v>
          </cell>
          <cell r="CA144" t="str">
            <v>Retail</v>
          </cell>
          <cell r="CB144">
            <v>10.220000000000001</v>
          </cell>
          <cell r="CC144" t="str">
            <v>France</v>
          </cell>
          <cell r="CD144" t="str">
            <v>Industrial / Logistics</v>
          </cell>
          <cell r="CE144">
            <v>1.49</v>
          </cell>
          <cell r="CF144" t="str">
            <v>France</v>
          </cell>
          <cell r="CG144" t="str">
            <v>Industrial / Logistics</v>
          </cell>
          <cell r="CH144">
            <v>1.18</v>
          </cell>
        </row>
        <row r="145">
          <cell r="A145">
            <v>111</v>
          </cell>
          <cell r="B145" t="str">
            <v>CREDIT SUISSE 1A IMMO PK</v>
          </cell>
          <cell r="C145" t="str">
            <v>CREDIT SUISSE ASSET MANAGEMENT (SWITZERLAND)</v>
          </cell>
          <cell r="D145" t="str">
            <v>AIIA 275</v>
          </cell>
          <cell r="E145">
            <v>8070</v>
          </cell>
          <cell r="F145" t="str">
            <v>Zurich</v>
          </cell>
          <cell r="G145" t="str">
            <v>Switzerland</v>
          </cell>
          <cell r="H145" t="str">
            <v>+41 (0) 44 332 58 08</v>
          </cell>
          <cell r="I145" t="str">
            <v>+41 (0) 44 337 20 82</v>
          </cell>
          <cell r="J145" t="str">
            <v>http://www.credit-suisse.com/ch/realestate</v>
          </cell>
          <cell r="K145" t="str">
            <v>Thomas Vonaesch</v>
          </cell>
          <cell r="L145" t="str">
            <v>thomas.vonaesch@credit-suisse.com</v>
          </cell>
          <cell r="M145" t="str">
            <v>+41 (0) 44 332 58 08</v>
          </cell>
          <cell r="N145" t="str">
            <v>Ulrich Braun</v>
          </cell>
          <cell r="O145" t="str">
            <v>ulrich.braun@credit-suisse.com</v>
          </cell>
          <cell r="P145" t="str">
            <v>+41 (0) 44 337 20 82</v>
          </cell>
          <cell r="Q145" t="str">
            <v>Switzerland</v>
          </cell>
          <cell r="R145" t="str">
            <v>CHF</v>
          </cell>
          <cell r="T145" t="str">
            <v>Twice per year</v>
          </cell>
          <cell r="U145" t="str">
            <v>Annually</v>
          </cell>
          <cell r="X145" t="str">
            <v>KPMG</v>
          </cell>
          <cell r="Y145" t="str">
            <v>Semi-Open Real Estate Fund (Swiss real estate fund)</v>
          </cell>
          <cell r="Z145" t="str">
            <v>No</v>
          </cell>
          <cell r="AA145" t="str">
            <v>No</v>
          </cell>
          <cell r="AB145">
            <v>0</v>
          </cell>
          <cell r="AC145" t="str">
            <v>Non-Listed Fund</v>
          </cell>
          <cell r="AD145" t="str">
            <v>Core</v>
          </cell>
          <cell r="AE145" t="str">
            <v>infinite</v>
          </cell>
          <cell r="AF145" t="str">
            <v>Closed end</v>
          </cell>
          <cell r="AG145">
            <v>5</v>
          </cell>
          <cell r="AH145">
            <v>6</v>
          </cell>
          <cell r="AJ145" t="str">
            <v>SWX Immofonds Index</v>
          </cell>
          <cell r="AK145">
            <v>4</v>
          </cell>
          <cell r="AL145">
            <v>20</v>
          </cell>
          <cell r="AM145" t="str">
            <v>≤ 40%</v>
          </cell>
          <cell r="AN145" t="str">
            <v>Institutional</v>
          </cell>
          <cell r="AO145" t="str">
            <v>&gt; 2</v>
          </cell>
          <cell r="AP145" t="str">
            <v>≥ 50%</v>
          </cell>
          <cell r="AQ145" t="str">
            <v>Europe</v>
          </cell>
          <cell r="AR145" t="str">
            <v>single country</v>
          </cell>
          <cell r="AT145" t="str">
            <v>Switzerland</v>
          </cell>
          <cell r="AU145" t="str">
            <v>multi sector</v>
          </cell>
          <cell r="AW145">
            <v>4000000000</v>
          </cell>
          <cell r="AX145">
            <v>5000000000</v>
          </cell>
          <cell r="AY145">
            <v>1999</v>
          </cell>
          <cell r="BE145" t="str">
            <v>≥ 60%</v>
          </cell>
          <cell r="BF145" t="str">
            <v>≤ 15%</v>
          </cell>
          <cell r="BG145" t="str">
            <v>≤ 5%</v>
          </cell>
          <cell r="BH145" t="str">
            <v>2020-12-31</v>
          </cell>
          <cell r="BI145">
            <v>4565543847</v>
          </cell>
          <cell r="BJ145">
            <v>4210085018.777277</v>
          </cell>
          <cell r="BK145">
            <v>3475323126</v>
          </cell>
          <cell r="BL145">
            <v>3204745440.7424102</v>
          </cell>
          <cell r="BM145">
            <v>17.2</v>
          </cell>
          <cell r="BN145" t="str">
            <v>No</v>
          </cell>
          <cell r="BO145" t="str">
            <v>Internal</v>
          </cell>
          <cell r="BP145">
            <v>363</v>
          </cell>
          <cell r="BQ145">
            <v>116</v>
          </cell>
          <cell r="BR145">
            <v>3475323126</v>
          </cell>
          <cell r="BS145">
            <v>3218255167.5472069</v>
          </cell>
          <cell r="BT145">
            <v>3475323126</v>
          </cell>
          <cell r="BU145">
            <v>3218255167.5472069</v>
          </cell>
          <cell r="BV145" t="str">
            <v>No</v>
          </cell>
          <cell r="BW145" t="str">
            <v>Switzerland</v>
          </cell>
          <cell r="BX145" t="str">
            <v>Mixed</v>
          </cell>
          <cell r="BY145">
            <v>100</v>
          </cell>
        </row>
        <row r="146">
          <cell r="A146">
            <v>17494</v>
          </cell>
          <cell r="B146" t="str">
            <v>CREDIT SUISSE ANLAGESTIFTUNG REAL ESTATE GERMANY</v>
          </cell>
          <cell r="C146" t="str">
            <v>CREDIT SUISSE AG</v>
          </cell>
          <cell r="D146" t="str">
            <v>SDRP 2</v>
          </cell>
          <cell r="E146">
            <v>8070</v>
          </cell>
          <cell r="F146" t="str">
            <v>Zurich</v>
          </cell>
          <cell r="G146" t="str">
            <v>Switzerland</v>
          </cell>
          <cell r="H146" t="str">
            <v>+41443325808</v>
          </cell>
          <cell r="I146" t="str">
            <v>+41443372082</v>
          </cell>
          <cell r="J146" t="str">
            <v>http://www.credit-suisse.com</v>
          </cell>
          <cell r="K146" t="str">
            <v>Francisca Fariña Fischer</v>
          </cell>
          <cell r="L146" t="str">
            <v>francisca.farinafischer@credit-suisse.com</v>
          </cell>
          <cell r="M146" t="str">
            <v>+41 44 333 97 94</v>
          </cell>
          <cell r="N146" t="str">
            <v>Ulrich Braun</v>
          </cell>
          <cell r="O146" t="str">
            <v>ulrich.braun@credit-suisse.com</v>
          </cell>
          <cell r="P146" t="str">
            <v>+41443325808</v>
          </cell>
          <cell r="Q146" t="str">
            <v>Switzerland</v>
          </cell>
          <cell r="R146" t="str">
            <v>EUR</v>
          </cell>
          <cell r="S146" t="str">
            <v>IFRS</v>
          </cell>
          <cell r="T146" t="str">
            <v>Twice per year</v>
          </cell>
          <cell r="U146" t="str">
            <v>Twice per year</v>
          </cell>
          <cell r="V146" t="str">
            <v>Other - mark to market</v>
          </cell>
          <cell r="W146" t="str">
            <v>OAK NAV</v>
          </cell>
          <cell r="X146" t="str">
            <v>KPMG AG</v>
          </cell>
          <cell r="Y146" t="str">
            <v>Anlagestiftung</v>
          </cell>
          <cell r="Z146" t="str">
            <v>No</v>
          </cell>
          <cell r="AA146" t="str">
            <v>No</v>
          </cell>
          <cell r="AC146" t="str">
            <v>Non-Listed Fund</v>
          </cell>
          <cell r="AD146" t="str">
            <v>Core</v>
          </cell>
          <cell r="AE146" t="str">
            <v>infinite</v>
          </cell>
          <cell r="AF146" t="str">
            <v>Open end</v>
          </cell>
          <cell r="AG146">
            <v>5</v>
          </cell>
          <cell r="AH146">
            <v>6</v>
          </cell>
          <cell r="AI146" t="str">
            <v>Gross</v>
          </cell>
          <cell r="AJ146" t="str">
            <v>KGAST Immo-Index</v>
          </cell>
          <cell r="AK146">
            <v>0</v>
          </cell>
          <cell r="AL146">
            <v>20</v>
          </cell>
          <cell r="AM146" t="str">
            <v>≤ 40%</v>
          </cell>
          <cell r="AN146" t="str">
            <v>Institutional</v>
          </cell>
          <cell r="AO146" t="str">
            <v>&gt; 2</v>
          </cell>
          <cell r="AP146" t="str">
            <v>≥ 50%</v>
          </cell>
          <cell r="AQ146" t="str">
            <v>Europe</v>
          </cell>
          <cell r="AR146" t="str">
            <v>single country</v>
          </cell>
          <cell r="AT146" t="str">
            <v>Germany</v>
          </cell>
          <cell r="AU146" t="str">
            <v>multi sector</v>
          </cell>
          <cell r="AW146">
            <v>1000</v>
          </cell>
          <cell r="AX146">
            <v>1200</v>
          </cell>
          <cell r="AY146">
            <v>2014</v>
          </cell>
          <cell r="BD146" t="str">
            <v>No</v>
          </cell>
          <cell r="BE146" t="str">
            <v>≥ 60%</v>
          </cell>
          <cell r="BF146" t="str">
            <v>≤ 15%</v>
          </cell>
          <cell r="BG146" t="str">
            <v>≤ 5%</v>
          </cell>
          <cell r="BH146" t="str">
            <v>2020-09-30</v>
          </cell>
          <cell r="BI146">
            <v>778177597</v>
          </cell>
          <cell r="BJ146">
            <v>778177597</v>
          </cell>
          <cell r="BK146">
            <v>609896000</v>
          </cell>
          <cell r="BL146">
            <v>609896000</v>
          </cell>
          <cell r="BM146">
            <v>20.6</v>
          </cell>
          <cell r="BN146" t="str">
            <v>Yes</v>
          </cell>
          <cell r="BO146" t="str">
            <v>External</v>
          </cell>
          <cell r="BP146">
            <v>37</v>
          </cell>
          <cell r="BQ146">
            <v>21</v>
          </cell>
          <cell r="BR146">
            <v>609896000</v>
          </cell>
          <cell r="BS146">
            <v>609896000</v>
          </cell>
          <cell r="BT146">
            <v>609896000</v>
          </cell>
          <cell r="BU146">
            <v>609896000</v>
          </cell>
          <cell r="BV146" t="str">
            <v>Yes</v>
          </cell>
          <cell r="BW146" t="str">
            <v>Germany</v>
          </cell>
          <cell r="BX146" t="str">
            <v>Office</v>
          </cell>
          <cell r="BY146">
            <v>100</v>
          </cell>
        </row>
        <row r="147">
          <cell r="A147">
            <v>112</v>
          </cell>
          <cell r="B147" t="str">
            <v>CREDIT SUISSE ANLAGESTIFTUNG REAL ESTATE SWITZERLAND</v>
          </cell>
          <cell r="C147" t="str">
            <v>CREDIT SUISSE ASSET MANAGEMENT (SWITZERLAND)</v>
          </cell>
          <cell r="D147" t="str">
            <v>AIIA 275</v>
          </cell>
          <cell r="E147">
            <v>8070</v>
          </cell>
          <cell r="F147" t="str">
            <v>Zurich</v>
          </cell>
          <cell r="G147" t="str">
            <v>Switzerland</v>
          </cell>
          <cell r="H147" t="str">
            <v>+41 44 332 58 08</v>
          </cell>
          <cell r="I147" t="str">
            <v>+41 44 337 20 82</v>
          </cell>
          <cell r="J147" t="str">
            <v>http://www.credit-suisse.com/ch/realestate</v>
          </cell>
          <cell r="K147" t="str">
            <v>Andreas Roth</v>
          </cell>
          <cell r="L147" t="str">
            <v>andreas.roth@credit-suisse.com</v>
          </cell>
          <cell r="M147" t="str">
            <v>+41 (0) 44 332 58 08</v>
          </cell>
          <cell r="N147" t="str">
            <v>Ulrich Braun</v>
          </cell>
          <cell r="O147" t="str">
            <v>ulrich.braun@credit-suisse.com</v>
          </cell>
          <cell r="P147" t="str">
            <v>+41 44 337 20 82</v>
          </cell>
          <cell r="Q147" t="str">
            <v>Switzerland</v>
          </cell>
          <cell r="R147" t="str">
            <v>CHF</v>
          </cell>
          <cell r="T147" t="str">
            <v>Annually</v>
          </cell>
          <cell r="U147" t="str">
            <v>Annually</v>
          </cell>
          <cell r="X147" t="str">
            <v>KPMG</v>
          </cell>
          <cell r="Y147" t="str">
            <v>Anlagestiftung</v>
          </cell>
          <cell r="Z147" t="str">
            <v>No</v>
          </cell>
          <cell r="AA147" t="str">
            <v>Yes</v>
          </cell>
          <cell r="AB147">
            <v>9</v>
          </cell>
          <cell r="AC147" t="str">
            <v>Non-Listed Fund</v>
          </cell>
          <cell r="AD147" t="str">
            <v>Core</v>
          </cell>
          <cell r="AE147" t="str">
            <v>infinite</v>
          </cell>
          <cell r="AF147" t="str">
            <v>Open end</v>
          </cell>
          <cell r="AG147">
            <v>5</v>
          </cell>
          <cell r="AH147">
            <v>6</v>
          </cell>
          <cell r="AI147" t="str">
            <v>Gross</v>
          </cell>
          <cell r="AJ147" t="str">
            <v>KGAST Immo Index Schweiz</v>
          </cell>
          <cell r="AL147">
            <v>20</v>
          </cell>
          <cell r="AM147" t="str">
            <v>≤ 40%</v>
          </cell>
          <cell r="AN147" t="str">
            <v>Institutional</v>
          </cell>
          <cell r="AO147" t="str">
            <v>&gt; 2</v>
          </cell>
          <cell r="AP147" t="str">
            <v>≥ 50%</v>
          </cell>
          <cell r="AQ147" t="str">
            <v>Europe</v>
          </cell>
          <cell r="AR147" t="str">
            <v>single country</v>
          </cell>
          <cell r="AT147" t="str">
            <v>Switzerland</v>
          </cell>
          <cell r="AU147" t="str">
            <v>multi sector</v>
          </cell>
          <cell r="AW147">
            <v>4000000000</v>
          </cell>
          <cell r="AX147">
            <v>5000000000</v>
          </cell>
          <cell r="AY147">
            <v>2002</v>
          </cell>
          <cell r="BH147" t="str">
            <v>2020-12-31</v>
          </cell>
          <cell r="BI147">
            <v>7993010794</v>
          </cell>
          <cell r="BJ147">
            <v>7370700211.5107422</v>
          </cell>
          <cell r="BK147">
            <v>5970688919</v>
          </cell>
          <cell r="BL147">
            <v>5505829932.2169218</v>
          </cell>
          <cell r="BM147">
            <v>23.7</v>
          </cell>
          <cell r="BN147" t="str">
            <v>No</v>
          </cell>
          <cell r="BO147" t="str">
            <v>Internal</v>
          </cell>
          <cell r="BP147">
            <v>715</v>
          </cell>
          <cell r="BQ147">
            <v>256</v>
          </cell>
          <cell r="BR147">
            <v>5970688919</v>
          </cell>
          <cell r="BS147">
            <v>5529039968.5812111</v>
          </cell>
          <cell r="BT147">
            <v>5970688919</v>
          </cell>
          <cell r="BU147">
            <v>5529039968.5812111</v>
          </cell>
          <cell r="BV147" t="str">
            <v>No</v>
          </cell>
          <cell r="BW147" t="str">
            <v>Switzerland</v>
          </cell>
          <cell r="BX147" t="str">
            <v>Mixed</v>
          </cell>
          <cell r="BY147">
            <v>100</v>
          </cell>
        </row>
        <row r="148">
          <cell r="A148">
            <v>576</v>
          </cell>
          <cell r="B148" t="str">
            <v>CREDIT SUISSE ANLAGESTIFTUNG REAL ESTATE SWITZERLAND COMMERCIAL</v>
          </cell>
          <cell r="C148" t="str">
            <v>CREDIT SUISSE</v>
          </cell>
          <cell r="D148" t="str">
            <v>AIIA 275</v>
          </cell>
          <cell r="E148">
            <v>8070</v>
          </cell>
          <cell r="F148" t="str">
            <v>Zurich</v>
          </cell>
          <cell r="G148" t="str">
            <v>Switzerland</v>
          </cell>
          <cell r="H148" t="str">
            <v>+41 (0) 44 332 58 08</v>
          </cell>
          <cell r="I148" t="str">
            <v>+41 (0) 44 337 20 82</v>
          </cell>
          <cell r="J148" t="str">
            <v>http://www.credit-suisse.com/ch/realestate</v>
          </cell>
          <cell r="K148" t="str">
            <v>Stefan Bangerter</v>
          </cell>
          <cell r="L148" t="str">
            <v>stefan.bangerter@credit-suisse.com</v>
          </cell>
          <cell r="M148" t="str">
            <v>+41 (0)44 333 41 72</v>
          </cell>
          <cell r="N148" t="str">
            <v>Ulrich Braun</v>
          </cell>
          <cell r="O148" t="str">
            <v>ulrich.braun@credit-suisse.com</v>
          </cell>
          <cell r="P148" t="str">
            <v>+41 (0) 44 337 20 82</v>
          </cell>
          <cell r="Q148" t="str">
            <v>Switzerland</v>
          </cell>
          <cell r="R148" t="str">
            <v>CHF</v>
          </cell>
          <cell r="T148" t="str">
            <v>Annually</v>
          </cell>
          <cell r="U148" t="str">
            <v>Annually</v>
          </cell>
          <cell r="X148" t="str">
            <v>KPMG</v>
          </cell>
          <cell r="Y148" t="str">
            <v>Anlagestiftung</v>
          </cell>
          <cell r="Z148" t="str">
            <v>No</v>
          </cell>
          <cell r="AA148" t="str">
            <v>Yes</v>
          </cell>
          <cell r="AB148">
            <v>9</v>
          </cell>
          <cell r="AC148" t="str">
            <v>Non-Listed Fund</v>
          </cell>
          <cell r="AD148" t="str">
            <v>Core</v>
          </cell>
          <cell r="AE148" t="str">
            <v>infinite</v>
          </cell>
          <cell r="AF148" t="str">
            <v>Open end</v>
          </cell>
          <cell r="AG148">
            <v>4</v>
          </cell>
          <cell r="AH148">
            <v>5</v>
          </cell>
          <cell r="AI148" t="str">
            <v>Gross</v>
          </cell>
          <cell r="AJ148" t="str">
            <v>KGAST Immo-Index</v>
          </cell>
          <cell r="AL148">
            <v>25</v>
          </cell>
          <cell r="AM148" t="str">
            <v>≤ 40%</v>
          </cell>
          <cell r="AN148" t="str">
            <v>Institutional</v>
          </cell>
          <cell r="AO148" t="str">
            <v>&gt; 2</v>
          </cell>
          <cell r="AP148" t="str">
            <v>≥ 50%</v>
          </cell>
          <cell r="AQ148" t="str">
            <v>Europe</v>
          </cell>
          <cell r="AR148" t="str">
            <v>single country</v>
          </cell>
          <cell r="AT148" t="str">
            <v>Switzerland</v>
          </cell>
          <cell r="AU148" t="str">
            <v>multi sector</v>
          </cell>
          <cell r="AW148">
            <v>1000000000</v>
          </cell>
          <cell r="AX148">
            <v>1250000000</v>
          </cell>
          <cell r="AY148">
            <v>2010</v>
          </cell>
          <cell r="BH148" t="str">
            <v>2020-12-31</v>
          </cell>
          <cell r="BI148">
            <v>1791219483</v>
          </cell>
          <cell r="BJ148">
            <v>1651760789.829138</v>
          </cell>
          <cell r="BK148">
            <v>1293604647</v>
          </cell>
          <cell r="BL148">
            <v>1192888673.7412529</v>
          </cell>
          <cell r="BM148">
            <v>22.4</v>
          </cell>
          <cell r="BN148" t="str">
            <v>No</v>
          </cell>
          <cell r="BO148" t="str">
            <v>Internal</v>
          </cell>
          <cell r="BP148">
            <v>540</v>
          </cell>
          <cell r="BQ148">
            <v>25</v>
          </cell>
          <cell r="BR148">
            <v>1293604647</v>
          </cell>
          <cell r="BS148">
            <v>1197917341.505594</v>
          </cell>
          <cell r="BT148">
            <v>1293604647</v>
          </cell>
          <cell r="BU148">
            <v>1197917341.505594</v>
          </cell>
          <cell r="BV148" t="str">
            <v>No</v>
          </cell>
          <cell r="BW148" t="str">
            <v>Switzerland</v>
          </cell>
          <cell r="BX148" t="str">
            <v>Office</v>
          </cell>
          <cell r="BY148">
            <v>100</v>
          </cell>
        </row>
        <row r="149">
          <cell r="A149">
            <v>113</v>
          </cell>
          <cell r="B149" t="str">
            <v>CREDIT SUISSE ANLAGESTIFTUNG REAL ESTATE SWITZERLAND RESIDENTIAL</v>
          </cell>
          <cell r="C149" t="str">
            <v>CREDIT SUISSE ASSET MANAGEMENT (SWITZERLAND)</v>
          </cell>
          <cell r="D149" t="str">
            <v>AIIA 275</v>
          </cell>
          <cell r="E149">
            <v>8070</v>
          </cell>
          <cell r="F149" t="str">
            <v>Zurich</v>
          </cell>
          <cell r="G149" t="str">
            <v>Switzerland</v>
          </cell>
          <cell r="H149" t="str">
            <v>+41 (0) 44 332 58 08</v>
          </cell>
          <cell r="I149" t="str">
            <v>+41 (0) 44 337 20 82</v>
          </cell>
          <cell r="J149" t="str">
            <v>http://www.credit-suisse.com/ch/realestate</v>
          </cell>
          <cell r="K149" t="str">
            <v>Andreas Roth</v>
          </cell>
          <cell r="L149" t="str">
            <v>andreas.roth@credit-suisse.com</v>
          </cell>
          <cell r="M149" t="str">
            <v>+41 (0) 44 332 58 08</v>
          </cell>
          <cell r="N149" t="str">
            <v>Ulrich Braun</v>
          </cell>
          <cell r="O149" t="str">
            <v>ulrich.braun@credit-suisse.com</v>
          </cell>
          <cell r="P149" t="str">
            <v>+41 (0) 44 337 20 82</v>
          </cell>
          <cell r="Q149" t="str">
            <v>Switzerland</v>
          </cell>
          <cell r="R149" t="str">
            <v>CHF</v>
          </cell>
          <cell r="T149" t="str">
            <v>Annually</v>
          </cell>
          <cell r="U149" t="str">
            <v>Annually</v>
          </cell>
          <cell r="X149" t="str">
            <v>KPMG</v>
          </cell>
          <cell r="Y149" t="str">
            <v>Anlagestiftung</v>
          </cell>
          <cell r="Z149" t="str">
            <v>No</v>
          </cell>
          <cell r="AA149" t="str">
            <v>Yes</v>
          </cell>
          <cell r="AB149">
            <v>9</v>
          </cell>
          <cell r="AC149" t="str">
            <v>Non-Listed Fund</v>
          </cell>
          <cell r="AD149" t="str">
            <v>Core</v>
          </cell>
          <cell r="AE149" t="str">
            <v>infinite</v>
          </cell>
          <cell r="AF149" t="str">
            <v>Open end</v>
          </cell>
          <cell r="AG149">
            <v>5</v>
          </cell>
          <cell r="AH149">
            <v>6</v>
          </cell>
          <cell r="AI149" t="str">
            <v>Gross</v>
          </cell>
          <cell r="AJ149" t="str">
            <v>KGAST Immo Index Schweiz</v>
          </cell>
          <cell r="AL149">
            <v>25</v>
          </cell>
          <cell r="AM149" t="str">
            <v>≤ 40%</v>
          </cell>
          <cell r="AN149" t="str">
            <v>Institutional</v>
          </cell>
          <cell r="AO149" t="str">
            <v>&gt; 2</v>
          </cell>
          <cell r="AP149" t="str">
            <v>≥ 50%</v>
          </cell>
          <cell r="AQ149" t="str">
            <v>Europe</v>
          </cell>
          <cell r="AR149" t="str">
            <v>single country</v>
          </cell>
          <cell r="AT149" t="str">
            <v>Switzerland</v>
          </cell>
          <cell r="AU149" t="str">
            <v>single sector</v>
          </cell>
          <cell r="AV149" t="str">
            <v>Residential</v>
          </cell>
          <cell r="AW149">
            <v>750000000</v>
          </cell>
          <cell r="AX149">
            <v>1000000000</v>
          </cell>
          <cell r="AY149">
            <v>2006</v>
          </cell>
          <cell r="BH149" t="str">
            <v>2020-12-31</v>
          </cell>
          <cell r="BI149">
            <v>1088367647</v>
          </cell>
          <cell r="BJ149">
            <v>1003630778.525425</v>
          </cell>
          <cell r="BK149">
            <v>896442689</v>
          </cell>
          <cell r="BL149">
            <v>826648491.75225055</v>
          </cell>
          <cell r="BM149">
            <v>19.100000000000001</v>
          </cell>
          <cell r="BN149" t="str">
            <v>No</v>
          </cell>
          <cell r="BO149" t="str">
            <v>Internal</v>
          </cell>
          <cell r="BP149">
            <v>270</v>
          </cell>
          <cell r="BQ149">
            <v>110</v>
          </cell>
          <cell r="BR149">
            <v>896442689</v>
          </cell>
          <cell r="BS149">
            <v>830133260.04154813</v>
          </cell>
          <cell r="BT149">
            <v>896442689</v>
          </cell>
          <cell r="BU149">
            <v>830133260.04154813</v>
          </cell>
          <cell r="BV149" t="str">
            <v>No</v>
          </cell>
          <cell r="BW149" t="str">
            <v>Switzerland</v>
          </cell>
          <cell r="BX149" t="str">
            <v>Residential</v>
          </cell>
          <cell r="BY149">
            <v>100</v>
          </cell>
        </row>
        <row r="150">
          <cell r="A150">
            <v>114</v>
          </cell>
          <cell r="B150" t="str">
            <v>CREDIT SUISSE REAL ESTATE FUND INTERNATIONAL</v>
          </cell>
          <cell r="C150" t="str">
            <v>CREDIT SUISSE ASSET MANAGEMENT (SWITZERLAND)</v>
          </cell>
          <cell r="D150" t="str">
            <v>AIIA 275</v>
          </cell>
          <cell r="E150">
            <v>8070</v>
          </cell>
          <cell r="F150" t="str">
            <v>Zurich</v>
          </cell>
          <cell r="G150" t="str">
            <v>Switzerland</v>
          </cell>
          <cell r="H150" t="str">
            <v>+41 (0) 44 332 58 08</v>
          </cell>
          <cell r="I150" t="str">
            <v>+41 (0) 44 337 20 82</v>
          </cell>
          <cell r="J150" t="str">
            <v>http://www.credit-suisse.com/ch/realestate</v>
          </cell>
          <cell r="K150" t="str">
            <v>Rainer Scherwey</v>
          </cell>
          <cell r="L150" t="str">
            <v>rainer.scherwey@credit-suisse.com</v>
          </cell>
          <cell r="M150" t="str">
            <v>+41 (0) 44 334 62 06</v>
          </cell>
          <cell r="N150" t="str">
            <v>Ulrich Braun</v>
          </cell>
          <cell r="O150" t="str">
            <v>ulrich.braun@credit-suisse.com</v>
          </cell>
          <cell r="P150" t="str">
            <v>+41 (0) 44 337 20 82</v>
          </cell>
          <cell r="Q150" t="str">
            <v>Switzerland</v>
          </cell>
          <cell r="R150" t="str">
            <v>CHF</v>
          </cell>
          <cell r="T150" t="str">
            <v>Twice per year</v>
          </cell>
          <cell r="U150" t="str">
            <v>Twice per year</v>
          </cell>
          <cell r="X150" t="str">
            <v>KPMG</v>
          </cell>
          <cell r="Y150" t="str">
            <v>Semi-Open Real Estate Fund (Swiss real estate fund)</v>
          </cell>
          <cell r="Z150" t="str">
            <v>No</v>
          </cell>
          <cell r="AA150" t="str">
            <v>No</v>
          </cell>
          <cell r="AB150">
            <v>0</v>
          </cell>
          <cell r="AC150" t="str">
            <v>Non-Listed Fund</v>
          </cell>
          <cell r="AD150" t="str">
            <v>Core</v>
          </cell>
          <cell r="AE150" t="str">
            <v>infinite</v>
          </cell>
          <cell r="AF150" t="str">
            <v>Open end</v>
          </cell>
          <cell r="AG150">
            <v>5</v>
          </cell>
          <cell r="AH150">
            <v>6</v>
          </cell>
          <cell r="AI150" t="str">
            <v>Gross</v>
          </cell>
          <cell r="AJ150" t="str">
            <v>SXI Real Estate Funds</v>
          </cell>
          <cell r="AK150">
            <v>4</v>
          </cell>
          <cell r="AL150">
            <v>25</v>
          </cell>
          <cell r="AM150" t="str">
            <v>&gt; 40% - ≤ 60%</v>
          </cell>
          <cell r="AN150" t="str">
            <v>Institutional</v>
          </cell>
          <cell r="AO150" t="str">
            <v>&gt; 2</v>
          </cell>
          <cell r="AP150" t="str">
            <v>≥ 50%</v>
          </cell>
          <cell r="AQ150" t="str">
            <v>Global</v>
          </cell>
          <cell r="AR150" t="str">
            <v>multi country</v>
          </cell>
          <cell r="AU150" t="str">
            <v>multi sector</v>
          </cell>
          <cell r="AW150">
            <v>3000000000</v>
          </cell>
          <cell r="AX150">
            <v>4000000000</v>
          </cell>
          <cell r="AY150">
            <v>2005</v>
          </cell>
          <cell r="BH150" t="str">
            <v>2020-12-31</v>
          </cell>
          <cell r="BI150">
            <v>4432379000</v>
          </cell>
          <cell r="BJ150">
            <v>4087287966.2966919</v>
          </cell>
          <cell r="BK150">
            <v>3324534824</v>
          </cell>
          <cell r="BL150">
            <v>3065697039.8220668</v>
          </cell>
          <cell r="BM150">
            <v>17.7</v>
          </cell>
          <cell r="BN150" t="str">
            <v>No</v>
          </cell>
          <cell r="BO150" t="str">
            <v>Internal</v>
          </cell>
          <cell r="BP150">
            <v>320</v>
          </cell>
          <cell r="BQ150">
            <v>41</v>
          </cell>
          <cell r="BR150">
            <v>3324534824</v>
          </cell>
          <cell r="BS150">
            <v>3078620602.7820859</v>
          </cell>
          <cell r="BT150">
            <v>3324534824</v>
          </cell>
          <cell r="BU150">
            <v>3078620602.7820859</v>
          </cell>
          <cell r="BV150" t="str">
            <v>No</v>
          </cell>
          <cell r="BW150" t="str">
            <v>Chile</v>
          </cell>
          <cell r="BX150" t="str">
            <v>Office</v>
          </cell>
          <cell r="BY150">
            <v>1</v>
          </cell>
          <cell r="BZ150" t="str">
            <v>South Korea</v>
          </cell>
          <cell r="CA150" t="str">
            <v>Industrial / Logistics</v>
          </cell>
          <cell r="CB150">
            <v>3</v>
          </cell>
          <cell r="CC150" t="str">
            <v>Ireland</v>
          </cell>
          <cell r="CD150" t="str">
            <v>Office</v>
          </cell>
          <cell r="CE150">
            <v>3</v>
          </cell>
          <cell r="CF150" t="str">
            <v>Netherlands</v>
          </cell>
          <cell r="CG150" t="str">
            <v>Office</v>
          </cell>
          <cell r="CH150">
            <v>4</v>
          </cell>
          <cell r="CI150" t="str">
            <v>New Zealand</v>
          </cell>
          <cell r="CJ150" t="str">
            <v>Office</v>
          </cell>
          <cell r="CK150">
            <v>4</v>
          </cell>
          <cell r="CL150" t="str">
            <v>Australia</v>
          </cell>
          <cell r="CM150" t="str">
            <v>Office</v>
          </cell>
          <cell r="CN150">
            <v>8</v>
          </cell>
          <cell r="CO150" t="str">
            <v>Poland</v>
          </cell>
          <cell r="CP150" t="str">
            <v>Office</v>
          </cell>
          <cell r="CQ150">
            <v>9</v>
          </cell>
          <cell r="CR150" t="str">
            <v>Japan</v>
          </cell>
          <cell r="CS150" t="str">
            <v>Mixed</v>
          </cell>
          <cell r="CT150">
            <v>9</v>
          </cell>
          <cell r="CU150" t="str">
            <v>Germany</v>
          </cell>
          <cell r="CV150" t="str">
            <v>Mixed</v>
          </cell>
          <cell r="CW150">
            <v>11</v>
          </cell>
          <cell r="CX150" t="str">
            <v>United Kingdom</v>
          </cell>
          <cell r="CY150" t="str">
            <v>Office</v>
          </cell>
          <cell r="CZ150">
            <v>12</v>
          </cell>
          <cell r="DA150" t="str">
            <v>Canada</v>
          </cell>
          <cell r="DB150" t="str">
            <v>Mixed</v>
          </cell>
          <cell r="DC150">
            <v>12</v>
          </cell>
          <cell r="DD150" t="str">
            <v>United States of America</v>
          </cell>
          <cell r="DE150" t="str">
            <v>Office</v>
          </cell>
          <cell r="DF150">
            <v>24</v>
          </cell>
        </row>
        <row r="151">
          <cell r="A151">
            <v>19332</v>
          </cell>
          <cell r="B151" t="str">
            <v>DB GEMAN RESIDENTIAL SA</v>
          </cell>
          <cell r="C151" t="str">
            <v>DWS GRUNDBESITZ GMBH</v>
          </cell>
          <cell r="D151" t="str">
            <v>Mainzer Landstr. 11-17</v>
          </cell>
          <cell r="E151" t="str">
            <v xml:space="preserve">60329 </v>
          </cell>
          <cell r="F151" t="str">
            <v>Frankfurt am Main</v>
          </cell>
          <cell r="G151" t="str">
            <v>Germany</v>
          </cell>
          <cell r="K151" t="str">
            <v>Burkhard Meldt</v>
          </cell>
          <cell r="L151" t="str">
            <v>burkhard.meldt@dws.com</v>
          </cell>
          <cell r="M151" t="str">
            <v>+49 (69) 910 - 14940</v>
          </cell>
          <cell r="Q151" t="str">
            <v>Luxembourg</v>
          </cell>
          <cell r="R151" t="str">
            <v>EUR</v>
          </cell>
          <cell r="S151" t="str">
            <v>Lux GAAP</v>
          </cell>
          <cell r="T151" t="str">
            <v>Annually</v>
          </cell>
          <cell r="U151" t="str">
            <v>Annually</v>
          </cell>
          <cell r="V151" t="str">
            <v>ImmoWertV</v>
          </cell>
          <cell r="W151" t="str">
            <v>KAGB</v>
          </cell>
          <cell r="X151" t="str">
            <v>KPMG</v>
          </cell>
          <cell r="Y151" t="str">
            <v>Publikumsfonds</v>
          </cell>
          <cell r="Z151" t="str">
            <v>No</v>
          </cell>
          <cell r="AC151" t="str">
            <v>Non-Listed Fund</v>
          </cell>
          <cell r="AD151" t="str">
            <v>Core</v>
          </cell>
          <cell r="AE151" t="str">
            <v>finite</v>
          </cell>
          <cell r="AF151" t="str">
            <v>Closed end</v>
          </cell>
          <cell r="AN151" t="str">
            <v>Institutional and Retail</v>
          </cell>
          <cell r="AO151" t="str">
            <v>&gt; 2</v>
          </cell>
          <cell r="AP151" t="str">
            <v>&lt; 50%</v>
          </cell>
          <cell r="AQ151" t="str">
            <v>Europe</v>
          </cell>
          <cell r="AR151" t="str">
            <v>single country</v>
          </cell>
          <cell r="AT151" t="str">
            <v>Germany</v>
          </cell>
          <cell r="AU151" t="str">
            <v>single sector</v>
          </cell>
          <cell r="AV151" t="str">
            <v>Residential</v>
          </cell>
          <cell r="AY151">
            <v>2013</v>
          </cell>
          <cell r="BH151" t="str">
            <v>2018-12-31</v>
          </cell>
          <cell r="BI151">
            <v>85020000</v>
          </cell>
          <cell r="BJ151">
            <v>85020000</v>
          </cell>
          <cell r="BK151">
            <v>56792250</v>
          </cell>
          <cell r="BL151">
            <v>56792250</v>
          </cell>
          <cell r="BM151">
            <v>37.409999999999997</v>
          </cell>
          <cell r="BN151" t="str">
            <v>Yes</v>
          </cell>
          <cell r="BO151" t="str">
            <v>External</v>
          </cell>
          <cell r="BP151">
            <v>0</v>
          </cell>
          <cell r="BQ151">
            <v>26</v>
          </cell>
          <cell r="BS151">
            <v>0</v>
          </cell>
          <cell r="BV151" t="str">
            <v>No</v>
          </cell>
          <cell r="BW151" t="str">
            <v>Germany</v>
          </cell>
          <cell r="BX151" t="str">
            <v>Residential</v>
          </cell>
          <cell r="BY151">
            <v>100</v>
          </cell>
        </row>
        <row r="152">
          <cell r="A152">
            <v>19303</v>
          </cell>
          <cell r="B152" t="str">
            <v>DB IMMOBILIENFONDS 1 WIELAND KG</v>
          </cell>
          <cell r="C152" t="str">
            <v>DWS GRUNDBESITZ GMBH</v>
          </cell>
          <cell r="D152" t="str">
            <v>Mainzer Landstraße 11-17</v>
          </cell>
          <cell r="E152">
            <v>60329</v>
          </cell>
          <cell r="F152" t="str">
            <v xml:space="preserve">Frankfurt am Main				</v>
          </cell>
          <cell r="G152" t="str">
            <v>Germany</v>
          </cell>
          <cell r="K152" t="str">
            <v>Toralf Steinhaus</v>
          </cell>
          <cell r="L152" t="str">
            <v>toralf.steinhaus@dws.com</v>
          </cell>
          <cell r="M152" t="str">
            <v>+49 (69) 910 - 14939</v>
          </cell>
          <cell r="Q152" t="str">
            <v>Germany</v>
          </cell>
          <cell r="R152" t="str">
            <v>EUR</v>
          </cell>
          <cell r="S152" t="str">
            <v>HGB</v>
          </cell>
          <cell r="T152" t="str">
            <v>Annually</v>
          </cell>
          <cell r="U152" t="str">
            <v>Annually</v>
          </cell>
          <cell r="V152" t="str">
            <v>ImmoWertV</v>
          </cell>
          <cell r="W152" t="str">
            <v>KAGB</v>
          </cell>
          <cell r="X152" t="str">
            <v xml:space="preserve">KPMG AG Wirtschaftsprüfungsgesellschaft			</v>
          </cell>
          <cell r="Y152" t="str">
            <v>Publikumsfonds</v>
          </cell>
          <cell r="Z152" t="str">
            <v>No</v>
          </cell>
          <cell r="AC152" t="str">
            <v>Non-Listed Fund</v>
          </cell>
          <cell r="AD152" t="str">
            <v>Core</v>
          </cell>
          <cell r="AE152" t="str">
            <v>finite</v>
          </cell>
          <cell r="AF152" t="str">
            <v>Closed end</v>
          </cell>
          <cell r="AK152">
            <v>7.5</v>
          </cell>
          <cell r="AN152" t="str">
            <v>Retail</v>
          </cell>
          <cell r="AO152" t="str">
            <v>&gt; 2</v>
          </cell>
          <cell r="AP152" t="str">
            <v>&lt; 50%</v>
          </cell>
          <cell r="AQ152" t="str">
            <v>Europe</v>
          </cell>
          <cell r="AR152" t="str">
            <v>single country</v>
          </cell>
          <cell r="AT152" t="str">
            <v>Germany</v>
          </cell>
          <cell r="AU152" t="str">
            <v>single sector</v>
          </cell>
          <cell r="AV152" t="str">
            <v>Office</v>
          </cell>
          <cell r="AY152">
            <v>1992</v>
          </cell>
          <cell r="AZ152">
            <v>2024</v>
          </cell>
          <cell r="BD152" t="str">
            <v>No</v>
          </cell>
          <cell r="BH152" t="str">
            <v>2018-12-31</v>
          </cell>
          <cell r="BI152">
            <v>137280000</v>
          </cell>
          <cell r="BJ152">
            <v>137280000</v>
          </cell>
          <cell r="BK152">
            <v>52500000</v>
          </cell>
          <cell r="BL152">
            <v>52500000</v>
          </cell>
          <cell r="BM152">
            <v>13.31</v>
          </cell>
          <cell r="BN152" t="str">
            <v>No</v>
          </cell>
          <cell r="BO152" t="str">
            <v>External</v>
          </cell>
          <cell r="BS152">
            <v>0</v>
          </cell>
          <cell r="BV152" t="str">
            <v>No</v>
          </cell>
        </row>
        <row r="153">
          <cell r="A153">
            <v>19319</v>
          </cell>
          <cell r="B153" t="str">
            <v>DB IMMOBILIENFONDS 11 SPREESCHLANGE WIELAND KG</v>
          </cell>
          <cell r="C153" t="str">
            <v>DWS GRUNDBESITZ GMBH</v>
          </cell>
          <cell r="D153" t="str">
            <v>Mainzer Landstr. 11-17</v>
          </cell>
          <cell r="E153" t="str">
            <v xml:space="preserve">60329 </v>
          </cell>
          <cell r="F153" t="str">
            <v>Frankfurt am Main</v>
          </cell>
          <cell r="G153" t="str">
            <v>Germany</v>
          </cell>
          <cell r="K153" t="str">
            <v>Juliane Germann</v>
          </cell>
          <cell r="L153" t="str">
            <v>juliane.germann@dws.com</v>
          </cell>
          <cell r="M153" t="str">
            <v>+49 (69) 910 - 14962</v>
          </cell>
          <cell r="Q153" t="str">
            <v>Germany</v>
          </cell>
          <cell r="R153" t="str">
            <v>EUR</v>
          </cell>
          <cell r="S153" t="str">
            <v>HGB</v>
          </cell>
          <cell r="T153" t="str">
            <v>Annually</v>
          </cell>
          <cell r="U153" t="str">
            <v>Annually</v>
          </cell>
          <cell r="V153" t="str">
            <v>ImmoWertV</v>
          </cell>
          <cell r="W153" t="str">
            <v>KAGB</v>
          </cell>
          <cell r="X153" t="str">
            <v>BDO</v>
          </cell>
          <cell r="Y153" t="str">
            <v>Publikumsfonds</v>
          </cell>
          <cell r="Z153" t="str">
            <v>No</v>
          </cell>
          <cell r="AC153" t="str">
            <v>Non-Listed Fund</v>
          </cell>
          <cell r="AD153" t="str">
            <v>Core</v>
          </cell>
          <cell r="AE153" t="str">
            <v>finite</v>
          </cell>
          <cell r="AF153" t="str">
            <v>Closed end</v>
          </cell>
          <cell r="AN153" t="str">
            <v>Retail</v>
          </cell>
          <cell r="AO153" t="str">
            <v>&gt; 2</v>
          </cell>
          <cell r="AP153" t="str">
            <v>&lt; 50%</v>
          </cell>
          <cell r="AQ153" t="str">
            <v>Europe</v>
          </cell>
          <cell r="AR153" t="str">
            <v>single country</v>
          </cell>
          <cell r="AT153" t="str">
            <v>Germany</v>
          </cell>
          <cell r="AU153" t="str">
            <v>single sector</v>
          </cell>
          <cell r="AV153" t="str">
            <v>Residential</v>
          </cell>
          <cell r="AY153">
            <v>1998</v>
          </cell>
          <cell r="AZ153">
            <v>2028</v>
          </cell>
          <cell r="BH153" t="str">
            <v>2018-12-31</v>
          </cell>
          <cell r="BI153">
            <v>111270000</v>
          </cell>
          <cell r="BJ153">
            <v>111270000</v>
          </cell>
          <cell r="BK153">
            <v>68109080</v>
          </cell>
          <cell r="BL153">
            <v>68109080</v>
          </cell>
          <cell r="BM153">
            <v>41.11</v>
          </cell>
          <cell r="BN153" t="str">
            <v>Yes</v>
          </cell>
          <cell r="BO153" t="str">
            <v>External</v>
          </cell>
          <cell r="BP153">
            <v>0</v>
          </cell>
          <cell r="BQ153">
            <v>610</v>
          </cell>
          <cell r="BS153">
            <v>0</v>
          </cell>
          <cell r="BV153" t="str">
            <v>No</v>
          </cell>
          <cell r="BW153" t="str">
            <v>Germany</v>
          </cell>
          <cell r="BX153" t="str">
            <v>Residential</v>
          </cell>
          <cell r="BY153">
            <v>100</v>
          </cell>
        </row>
        <row r="154">
          <cell r="A154">
            <v>19320</v>
          </cell>
          <cell r="B154" t="str">
            <v>DB IMMOBILIENFONDS 12 MAIN-TAUNUS ZENTRUM KG</v>
          </cell>
          <cell r="C154" t="str">
            <v>DWS GRUNDBESITZ GMBH</v>
          </cell>
          <cell r="D154" t="str">
            <v>Mainzer Landstr. 11-17</v>
          </cell>
          <cell r="E154" t="str">
            <v xml:space="preserve">60329 </v>
          </cell>
          <cell r="F154" t="str">
            <v>Frankfurt am Main</v>
          </cell>
          <cell r="G154" t="str">
            <v>Germany</v>
          </cell>
          <cell r="K154" t="str">
            <v>Juliane Germann</v>
          </cell>
          <cell r="L154" t="str">
            <v>juliane.germann@dws.com</v>
          </cell>
          <cell r="M154" t="str">
            <v>+49 (69) 910 - 14962</v>
          </cell>
          <cell r="Q154" t="str">
            <v>Germany</v>
          </cell>
          <cell r="R154" t="str">
            <v>EUR</v>
          </cell>
          <cell r="S154" t="str">
            <v>HGB</v>
          </cell>
          <cell r="T154" t="str">
            <v>Annually</v>
          </cell>
          <cell r="U154" t="str">
            <v>Annually</v>
          </cell>
          <cell r="V154" t="str">
            <v>ImmoWertV</v>
          </cell>
          <cell r="W154" t="str">
            <v>KAGB</v>
          </cell>
          <cell r="X154" t="str">
            <v>KPMG</v>
          </cell>
          <cell r="Y154" t="str">
            <v>Publikumsfonds</v>
          </cell>
          <cell r="Z154" t="str">
            <v>No</v>
          </cell>
          <cell r="AC154" t="str">
            <v>Non-Listed Fund</v>
          </cell>
          <cell r="AD154" t="str">
            <v>Core</v>
          </cell>
          <cell r="AE154" t="str">
            <v>finite</v>
          </cell>
          <cell r="AF154" t="str">
            <v>Closed end</v>
          </cell>
          <cell r="AN154" t="str">
            <v>Retail</v>
          </cell>
          <cell r="AO154" t="str">
            <v>&gt; 2</v>
          </cell>
          <cell r="AP154" t="str">
            <v>&lt; 50%</v>
          </cell>
          <cell r="AQ154" t="str">
            <v>Europe</v>
          </cell>
          <cell r="AR154" t="str">
            <v>single country</v>
          </cell>
          <cell r="AT154" t="str">
            <v>Germany</v>
          </cell>
          <cell r="AU154" t="str">
            <v>single sector</v>
          </cell>
          <cell r="AV154" t="str">
            <v>Retail</v>
          </cell>
          <cell r="AY154">
            <v>1999</v>
          </cell>
          <cell r="BH154" t="str">
            <v>2018-12-31</v>
          </cell>
          <cell r="BI154">
            <v>671700000</v>
          </cell>
          <cell r="BJ154">
            <v>671700000</v>
          </cell>
          <cell r="BK154">
            <v>212498000</v>
          </cell>
          <cell r="BL154">
            <v>212498000</v>
          </cell>
          <cell r="BM154">
            <v>14.88</v>
          </cell>
          <cell r="BN154" t="str">
            <v>Yes</v>
          </cell>
          <cell r="BO154" t="str">
            <v>External</v>
          </cell>
          <cell r="BP154">
            <v>0</v>
          </cell>
          <cell r="BQ154">
            <v>1</v>
          </cell>
          <cell r="BS154">
            <v>0</v>
          </cell>
          <cell r="BV154" t="str">
            <v>No</v>
          </cell>
          <cell r="BW154" t="str">
            <v>Germany</v>
          </cell>
          <cell r="BX154" t="str">
            <v>Retail</v>
          </cell>
          <cell r="BY154">
            <v>100</v>
          </cell>
        </row>
        <row r="155">
          <cell r="A155">
            <v>19327</v>
          </cell>
          <cell r="B155" t="str">
            <v>DB IMMOBILIENFONDS 13 CALIFORNIA</v>
          </cell>
          <cell r="C155" t="str">
            <v>DWS GRUNDBESITZ GMBH</v>
          </cell>
          <cell r="D155" t="str">
            <v>Mainzer Landstr. 11-17</v>
          </cell>
          <cell r="E155" t="str">
            <v xml:space="preserve">60329 </v>
          </cell>
          <cell r="F155" t="str">
            <v>Frankfurt am Main</v>
          </cell>
          <cell r="G155" t="str">
            <v>Germany</v>
          </cell>
          <cell r="K155" t="str">
            <v>Herbert Knötgen</v>
          </cell>
          <cell r="L155" t="str">
            <v>herbert.knoetgen@dws.com</v>
          </cell>
          <cell r="M155" t="str">
            <v>+49 (69) 910 - 14935</v>
          </cell>
          <cell r="Q155" t="str">
            <v>United States of America</v>
          </cell>
          <cell r="R155" t="str">
            <v>USD</v>
          </cell>
          <cell r="S155" t="str">
            <v>US GAAP</v>
          </cell>
          <cell r="T155" t="str">
            <v>Annually</v>
          </cell>
          <cell r="U155" t="str">
            <v>Annually</v>
          </cell>
          <cell r="V155" t="str">
            <v>ImmoWertV</v>
          </cell>
          <cell r="W155" t="str">
            <v>KAGB</v>
          </cell>
          <cell r="X155" t="str">
            <v>Immowitz</v>
          </cell>
          <cell r="Y155" t="str">
            <v>Publikumsfonds</v>
          </cell>
          <cell r="Z155" t="str">
            <v>No</v>
          </cell>
          <cell r="AC155" t="str">
            <v>Non-Listed Fund</v>
          </cell>
          <cell r="AD155" t="str">
            <v>Core</v>
          </cell>
          <cell r="AE155" t="str">
            <v>finite</v>
          </cell>
          <cell r="AF155" t="str">
            <v>Closed end</v>
          </cell>
          <cell r="AN155" t="str">
            <v>Retail</v>
          </cell>
          <cell r="AO155" t="str">
            <v>&gt; 2</v>
          </cell>
          <cell r="AP155" t="str">
            <v>&lt; 50%</v>
          </cell>
          <cell r="AQ155" t="str">
            <v>North America</v>
          </cell>
          <cell r="AR155" t="str">
            <v>single country</v>
          </cell>
          <cell r="AT155" t="str">
            <v>United States of America</v>
          </cell>
          <cell r="AU155" t="str">
            <v>single sector</v>
          </cell>
          <cell r="AV155" t="str">
            <v>Retail</v>
          </cell>
          <cell r="AY155">
            <v>1999</v>
          </cell>
        </row>
        <row r="156">
          <cell r="A156">
            <v>19321</v>
          </cell>
          <cell r="B156" t="str">
            <v>DB IMMOBILIENFONDS 17 CITY GALERIE AUGSBURG</v>
          </cell>
          <cell r="C156" t="str">
            <v>DWS GRUNDBESITZ GMBH</v>
          </cell>
          <cell r="D156" t="str">
            <v>Mainzer Landstr. 11-17</v>
          </cell>
          <cell r="E156" t="str">
            <v xml:space="preserve">60329 </v>
          </cell>
          <cell r="F156" t="str">
            <v>Frankfurt am Main</v>
          </cell>
          <cell r="G156" t="str">
            <v>Germany</v>
          </cell>
          <cell r="K156" t="str">
            <v>Thomas Köhler</v>
          </cell>
          <cell r="L156" t="str">
            <v>thomas-d.koehler@dws.com</v>
          </cell>
          <cell r="M156" t="str">
            <v>+49 (69) 910 - 14934</v>
          </cell>
          <cell r="Q156" t="str">
            <v>Germany</v>
          </cell>
          <cell r="R156" t="str">
            <v>EUR</v>
          </cell>
          <cell r="S156" t="str">
            <v>HGB</v>
          </cell>
          <cell r="T156" t="str">
            <v>Annually</v>
          </cell>
          <cell r="U156" t="str">
            <v>Annually</v>
          </cell>
          <cell r="V156" t="str">
            <v>ImmoWertV</v>
          </cell>
          <cell r="W156" t="str">
            <v>KAGB</v>
          </cell>
          <cell r="X156" t="str">
            <v>BDO</v>
          </cell>
          <cell r="Y156" t="str">
            <v>Publikumsfonds</v>
          </cell>
          <cell r="Z156" t="str">
            <v>No</v>
          </cell>
          <cell r="AC156" t="str">
            <v>Non-Listed Fund</v>
          </cell>
          <cell r="AD156" t="str">
            <v>Core</v>
          </cell>
          <cell r="AE156" t="str">
            <v>finite</v>
          </cell>
          <cell r="AF156" t="str">
            <v>Closed end</v>
          </cell>
          <cell r="AN156" t="str">
            <v>Retail</v>
          </cell>
          <cell r="AO156" t="str">
            <v>&gt; 2</v>
          </cell>
          <cell r="AP156" t="str">
            <v>&lt; 50%</v>
          </cell>
          <cell r="AQ156" t="str">
            <v>Europe</v>
          </cell>
          <cell r="AR156" t="str">
            <v>single country</v>
          </cell>
          <cell r="AT156" t="str">
            <v>Germany</v>
          </cell>
          <cell r="AU156" t="str">
            <v>single sector</v>
          </cell>
          <cell r="AV156" t="str">
            <v>Retail</v>
          </cell>
          <cell r="AY156">
            <v>2000</v>
          </cell>
          <cell r="BH156" t="str">
            <v>2018-12-31</v>
          </cell>
          <cell r="BI156">
            <v>250000000</v>
          </cell>
          <cell r="BJ156">
            <v>250000000</v>
          </cell>
          <cell r="BK156">
            <v>154800000</v>
          </cell>
          <cell r="BL156">
            <v>154800000</v>
          </cell>
          <cell r="BM156">
            <v>39.06</v>
          </cell>
          <cell r="BN156" t="str">
            <v>Yes</v>
          </cell>
          <cell r="BO156" t="str">
            <v>External</v>
          </cell>
          <cell r="BP156">
            <v>0</v>
          </cell>
          <cell r="BQ156">
            <v>1</v>
          </cell>
          <cell r="BS156">
            <v>0</v>
          </cell>
          <cell r="BV156" t="str">
            <v>No</v>
          </cell>
          <cell r="BW156" t="str">
            <v>Germany</v>
          </cell>
          <cell r="BX156" t="str">
            <v>Retail</v>
          </cell>
          <cell r="BY156">
            <v>100</v>
          </cell>
        </row>
        <row r="157">
          <cell r="A157">
            <v>19315</v>
          </cell>
          <cell r="B157" t="str">
            <v>DB IMMOBILIENFONDS 5 WIELAND KG</v>
          </cell>
          <cell r="C157" t="str">
            <v>DWS GRUNDBESITZ GMBH</v>
          </cell>
          <cell r="D157" t="str">
            <v>Mainzer Landstr. 11-17</v>
          </cell>
          <cell r="E157" t="str">
            <v xml:space="preserve">60329 </v>
          </cell>
          <cell r="F157" t="str">
            <v>Frankfurt am Main</v>
          </cell>
          <cell r="G157" t="str">
            <v>Germany</v>
          </cell>
          <cell r="K157" t="str">
            <v>Herbert Knötgen</v>
          </cell>
          <cell r="L157" t="str">
            <v>herbert.knoetgen@dws.com</v>
          </cell>
          <cell r="M157" t="str">
            <v>+49 (69) 910 - 14935</v>
          </cell>
          <cell r="Q157" t="str">
            <v>Germany</v>
          </cell>
          <cell r="R157" t="str">
            <v>EUR</v>
          </cell>
          <cell r="S157" t="str">
            <v>HGB</v>
          </cell>
          <cell r="T157" t="str">
            <v>Annually</v>
          </cell>
          <cell r="U157" t="str">
            <v>Annually</v>
          </cell>
          <cell r="V157" t="str">
            <v>ImmoWertV</v>
          </cell>
          <cell r="W157" t="str">
            <v>KAGB</v>
          </cell>
          <cell r="X157" t="str">
            <v>KPMG</v>
          </cell>
          <cell r="Y157" t="str">
            <v>Publikumsfonds</v>
          </cell>
          <cell r="Z157" t="str">
            <v>No</v>
          </cell>
          <cell r="AC157" t="str">
            <v>Non-Listed Fund</v>
          </cell>
          <cell r="AD157" t="str">
            <v>Core</v>
          </cell>
          <cell r="AE157" t="str">
            <v>finite</v>
          </cell>
          <cell r="AF157" t="str">
            <v>Closed end</v>
          </cell>
          <cell r="AN157" t="str">
            <v>Retail</v>
          </cell>
          <cell r="AO157" t="str">
            <v>&gt; 2</v>
          </cell>
          <cell r="AP157" t="str">
            <v>&lt; 50%</v>
          </cell>
          <cell r="AQ157" t="str">
            <v>Europe</v>
          </cell>
          <cell r="AR157" t="str">
            <v>single country</v>
          </cell>
          <cell r="AT157" t="str">
            <v>Germany</v>
          </cell>
          <cell r="AU157" t="str">
            <v>single sector</v>
          </cell>
          <cell r="AV157" t="str">
            <v>Mixed</v>
          </cell>
          <cell r="AY157">
            <v>1995</v>
          </cell>
          <cell r="AZ157">
            <v>2022</v>
          </cell>
          <cell r="BH157" t="str">
            <v>2018-12-31</v>
          </cell>
          <cell r="BI157">
            <v>22134112</v>
          </cell>
          <cell r="BJ157">
            <v>22134112</v>
          </cell>
          <cell r="BK157">
            <v>7300000</v>
          </cell>
          <cell r="BL157">
            <v>7300000</v>
          </cell>
          <cell r="BM157">
            <v>41.6</v>
          </cell>
          <cell r="BN157" t="str">
            <v>Yes</v>
          </cell>
          <cell r="BO157" t="str">
            <v>External</v>
          </cell>
          <cell r="BP157">
            <v>0</v>
          </cell>
          <cell r="BQ157">
            <v>1</v>
          </cell>
          <cell r="BS157">
            <v>0</v>
          </cell>
          <cell r="BV157" t="str">
            <v>No</v>
          </cell>
          <cell r="BW157" t="str">
            <v>Germany</v>
          </cell>
          <cell r="BX157" t="str">
            <v>Office</v>
          </cell>
          <cell r="BY157">
            <v>100</v>
          </cell>
        </row>
        <row r="158">
          <cell r="A158">
            <v>19316</v>
          </cell>
          <cell r="B158" t="str">
            <v>DB IMMOBILIENFONDS 7</v>
          </cell>
          <cell r="C158" t="str">
            <v>DWS GRUNDBESITZ GMBH</v>
          </cell>
          <cell r="D158" t="str">
            <v>Mainzer Landstr. 11-17</v>
          </cell>
          <cell r="E158" t="str">
            <v xml:space="preserve">60329 </v>
          </cell>
          <cell r="F158" t="str">
            <v>Frankfurt am Main</v>
          </cell>
          <cell r="G158" t="str">
            <v>Germany</v>
          </cell>
          <cell r="K158" t="str">
            <v>Herbert Knötgen</v>
          </cell>
          <cell r="L158" t="str">
            <v>herbert.knoetgen@dws.com</v>
          </cell>
          <cell r="M158" t="str">
            <v>+49 (69) 910 - 14935</v>
          </cell>
          <cell r="Q158" t="str">
            <v>Germany</v>
          </cell>
          <cell r="R158" t="str">
            <v>EUR</v>
          </cell>
          <cell r="S158" t="str">
            <v>HGB</v>
          </cell>
          <cell r="T158" t="str">
            <v>Annually</v>
          </cell>
          <cell r="U158" t="str">
            <v>Annually</v>
          </cell>
          <cell r="V158" t="str">
            <v>ImmoWertV</v>
          </cell>
          <cell r="W158" t="str">
            <v>KAGB</v>
          </cell>
          <cell r="X158" t="str">
            <v>BDO</v>
          </cell>
          <cell r="Y158" t="str">
            <v>Publikumsfonds</v>
          </cell>
          <cell r="Z158" t="str">
            <v>No</v>
          </cell>
          <cell r="AC158" t="str">
            <v>Non-Listed Fund</v>
          </cell>
          <cell r="AD158" t="str">
            <v>Core</v>
          </cell>
          <cell r="AE158" t="str">
            <v>finite</v>
          </cell>
          <cell r="AF158" t="str">
            <v>Closed end</v>
          </cell>
          <cell r="AN158" t="str">
            <v>Retail</v>
          </cell>
          <cell r="AO158" t="str">
            <v>&gt; 2</v>
          </cell>
          <cell r="AP158" t="str">
            <v>&lt; 50%</v>
          </cell>
          <cell r="AQ158" t="str">
            <v>Europe</v>
          </cell>
          <cell r="AR158" t="str">
            <v>single country</v>
          </cell>
          <cell r="AT158" t="str">
            <v>Germany</v>
          </cell>
          <cell r="AU158" t="str">
            <v>single sector</v>
          </cell>
          <cell r="AV158" t="str">
            <v>Retail</v>
          </cell>
          <cell r="AY158">
            <v>1997</v>
          </cell>
          <cell r="BH158" t="str">
            <v>2018-12-31</v>
          </cell>
          <cell r="BI158">
            <v>155916000</v>
          </cell>
          <cell r="BJ158">
            <v>155916000</v>
          </cell>
          <cell r="BK158">
            <v>110227000</v>
          </cell>
          <cell r="BL158">
            <v>110227000</v>
          </cell>
          <cell r="BM158">
            <v>34.659999999999997</v>
          </cell>
          <cell r="BN158" t="str">
            <v>Yes</v>
          </cell>
          <cell r="BO158" t="str">
            <v>External</v>
          </cell>
          <cell r="BP158">
            <v>0</v>
          </cell>
          <cell r="BQ158">
            <v>1</v>
          </cell>
          <cell r="BS158">
            <v>0</v>
          </cell>
          <cell r="BV158" t="str">
            <v>No</v>
          </cell>
          <cell r="BW158" t="str">
            <v>Germany</v>
          </cell>
          <cell r="BX158" t="str">
            <v>Retail</v>
          </cell>
          <cell r="BY158">
            <v>100</v>
          </cell>
        </row>
        <row r="159">
          <cell r="A159">
            <v>17529</v>
          </cell>
          <cell r="B159" t="str">
            <v>DEFO-IMMOBILIENFONDS 1</v>
          </cell>
          <cell r="C159" t="str">
            <v>UNION INVESTMENT INSTITUTIONAL PROPERTY GMBH</v>
          </cell>
          <cell r="D159" t="str">
            <v>Valentinskamp 70</v>
          </cell>
          <cell r="E159">
            <v>20355</v>
          </cell>
          <cell r="F159" t="str">
            <v>Hamburg</v>
          </cell>
          <cell r="G159" t="str">
            <v>Germany</v>
          </cell>
          <cell r="H159" t="str">
            <v>+4940349190</v>
          </cell>
          <cell r="I159" t="str">
            <v>+494034919190</v>
          </cell>
          <cell r="J159" t="str">
            <v>http://institutional.union-investment.de/startseite-institutionelle-kunden/asset-klassen/immobilien.html</v>
          </cell>
          <cell r="K159" t="str">
            <v>Wolfgang Kessler</v>
          </cell>
          <cell r="L159" t="str">
            <v>wolfgang.kessler@union-investment.de</v>
          </cell>
          <cell r="M159" t="str">
            <v>+4940349194730</v>
          </cell>
          <cell r="N159" t="str">
            <v>Jörn Stobbe</v>
          </cell>
          <cell r="O159" t="str">
            <v>Joern.Stobbe@union-investment.de</v>
          </cell>
          <cell r="P159" t="str">
            <v>+4940349194455</v>
          </cell>
          <cell r="Q159" t="str">
            <v>Germany</v>
          </cell>
          <cell r="R159" t="str">
            <v>EUR</v>
          </cell>
          <cell r="S159" t="str">
            <v>German Trade Law/ Investement Law</v>
          </cell>
          <cell r="T159" t="str">
            <v>Quarterly</v>
          </cell>
          <cell r="U159" t="str">
            <v>Annually</v>
          </cell>
          <cell r="V159" t="str">
            <v>ImmoWertV</v>
          </cell>
          <cell r="W159" t="str">
            <v>InvRBV - German Investment Law {no INREV-based calculation method}</v>
          </cell>
          <cell r="X159" t="str">
            <v>KPMG</v>
          </cell>
          <cell r="Y159" t="str">
            <v>Spezialfonds</v>
          </cell>
          <cell r="Z159" t="str">
            <v>No</v>
          </cell>
          <cell r="AA159" t="str">
            <v>No</v>
          </cell>
          <cell r="AC159" t="str">
            <v>Non-Listed Fund</v>
          </cell>
          <cell r="AD159" t="str">
            <v>Core</v>
          </cell>
          <cell r="AE159" t="str">
            <v>infinite</v>
          </cell>
          <cell r="AF159" t="str">
            <v>Open end</v>
          </cell>
          <cell r="AG159">
            <v>4</v>
          </cell>
          <cell r="AH159">
            <v>4</v>
          </cell>
          <cell r="AK159">
            <v>3</v>
          </cell>
          <cell r="AL159">
            <v>25</v>
          </cell>
          <cell r="AM159" t="str">
            <v>≤ 40%</v>
          </cell>
          <cell r="AN159" t="str">
            <v>Institutional</v>
          </cell>
          <cell r="AO159" t="str">
            <v>&gt; 2</v>
          </cell>
          <cell r="AP159" t="str">
            <v>≥ 50%</v>
          </cell>
          <cell r="AQ159" t="str">
            <v>Europe</v>
          </cell>
          <cell r="AR159" t="str">
            <v>multi country</v>
          </cell>
          <cell r="AS159" t="str">
            <v>Europe</v>
          </cell>
          <cell r="AU159" t="str">
            <v>multi sector</v>
          </cell>
          <cell r="AW159">
            <v>860000000</v>
          </cell>
          <cell r="AX159">
            <v>1100000000</v>
          </cell>
          <cell r="AY159">
            <v>1977</v>
          </cell>
          <cell r="BF159" t="str">
            <v>≤ 15%</v>
          </cell>
          <cell r="BG159" t="str">
            <v>≤ 5%</v>
          </cell>
          <cell r="BH159" t="str">
            <v>2020-12-31</v>
          </cell>
          <cell r="BI159">
            <v>737135734.29999995</v>
          </cell>
          <cell r="BJ159">
            <v>737135734.29999995</v>
          </cell>
          <cell r="BK159">
            <v>486226830.60000002</v>
          </cell>
          <cell r="BL159">
            <v>486226830.60000002</v>
          </cell>
          <cell r="BM159">
            <v>33</v>
          </cell>
          <cell r="BN159" t="str">
            <v>Yes</v>
          </cell>
          <cell r="BO159" t="str">
            <v>External</v>
          </cell>
          <cell r="BP159">
            <v>9</v>
          </cell>
          <cell r="BQ159">
            <v>18</v>
          </cell>
          <cell r="BR159">
            <v>0</v>
          </cell>
          <cell r="BS159">
            <v>0</v>
          </cell>
          <cell r="BT159">
            <v>0</v>
          </cell>
          <cell r="BV159" t="str">
            <v>No</v>
          </cell>
          <cell r="BW159" t="str">
            <v>Italy</v>
          </cell>
          <cell r="BX159" t="str">
            <v>Industrial / Logistics</v>
          </cell>
          <cell r="BY159">
            <v>3.3</v>
          </cell>
          <cell r="BZ159" t="str">
            <v>United Kingdom</v>
          </cell>
          <cell r="CA159" t="str">
            <v>Residential</v>
          </cell>
          <cell r="CB159">
            <v>3.9</v>
          </cell>
          <cell r="CC159" t="str">
            <v>Italy</v>
          </cell>
          <cell r="CD159" t="str">
            <v>Office</v>
          </cell>
          <cell r="CE159">
            <v>4.8</v>
          </cell>
          <cell r="CF159" t="str">
            <v>Poland</v>
          </cell>
          <cell r="CG159" t="str">
            <v>Hotel</v>
          </cell>
          <cell r="CH159">
            <v>36.299999999999997</v>
          </cell>
          <cell r="CI159" t="str">
            <v>Austria</v>
          </cell>
          <cell r="CJ159" t="str">
            <v>Hotel</v>
          </cell>
          <cell r="CK159">
            <v>7.6</v>
          </cell>
          <cell r="CL159" t="str">
            <v>Norway</v>
          </cell>
          <cell r="CM159" t="str">
            <v>Other</v>
          </cell>
          <cell r="CN159">
            <v>5</v>
          </cell>
          <cell r="CO159" t="str">
            <v>Poland</v>
          </cell>
          <cell r="CP159" t="str">
            <v>Retail</v>
          </cell>
          <cell r="CQ159">
            <v>6.8</v>
          </cell>
          <cell r="CR159" t="str">
            <v>Poland</v>
          </cell>
          <cell r="CS159" t="str">
            <v>Industrial / Logistics</v>
          </cell>
          <cell r="CT159">
            <v>5.9</v>
          </cell>
          <cell r="CU159" t="str">
            <v>Germany</v>
          </cell>
          <cell r="CV159" t="str">
            <v>Office</v>
          </cell>
          <cell r="CW159">
            <v>26.4</v>
          </cell>
        </row>
        <row r="160">
          <cell r="A160">
            <v>18635</v>
          </cell>
          <cell r="B160" t="str">
            <v>DEKA-IMMOBILIEN FOKUS LOGISTIK TSCHECHIEN</v>
          </cell>
          <cell r="G160" t="str">
            <v>Germany</v>
          </cell>
          <cell r="Q160" t="str">
            <v>Germany</v>
          </cell>
          <cell r="R160" t="str">
            <v>EUR</v>
          </cell>
          <cell r="T160" t="str">
            <v>Annually</v>
          </cell>
          <cell r="U160" t="str">
            <v>Quarterly</v>
          </cell>
          <cell r="Y160" t="str">
            <v>Spezialfonds</v>
          </cell>
          <cell r="AC160" t="str">
            <v>Non-Listed Fund</v>
          </cell>
          <cell r="AD160" t="str">
            <v>Core</v>
          </cell>
          <cell r="AE160" t="str">
            <v>infinite</v>
          </cell>
          <cell r="AF160" t="str">
            <v>Open end</v>
          </cell>
          <cell r="AN160" t="str">
            <v>Institutional</v>
          </cell>
          <cell r="AO160" t="str">
            <v>&gt; 2</v>
          </cell>
          <cell r="AP160" t="str">
            <v>≥ 50%</v>
          </cell>
          <cell r="AQ160" t="str">
            <v>Europe</v>
          </cell>
          <cell r="AR160" t="str">
            <v>single country</v>
          </cell>
          <cell r="AT160" t="str">
            <v>Czech Republic</v>
          </cell>
          <cell r="AU160" t="str">
            <v>single sector</v>
          </cell>
          <cell r="AV160" t="str">
            <v>Industrial / Logistics</v>
          </cell>
          <cell r="AY160">
            <v>2018</v>
          </cell>
          <cell r="BH160" t="str">
            <v>2020-12-31</v>
          </cell>
          <cell r="BI160">
            <v>134495833</v>
          </cell>
          <cell r="BJ160">
            <v>134495833</v>
          </cell>
          <cell r="BK160">
            <v>122116265</v>
          </cell>
          <cell r="BL160">
            <v>122116265</v>
          </cell>
          <cell r="BM160">
            <v>43.1</v>
          </cell>
          <cell r="BN160" t="str">
            <v>No</v>
          </cell>
          <cell r="BO160" t="str">
            <v>External</v>
          </cell>
          <cell r="BP160">
            <v>19</v>
          </cell>
          <cell r="BQ160">
            <v>5</v>
          </cell>
          <cell r="BR160">
            <v>120000000</v>
          </cell>
          <cell r="BS160">
            <v>120000000</v>
          </cell>
          <cell r="BT160">
            <v>120000000</v>
          </cell>
          <cell r="BU160">
            <v>120000000</v>
          </cell>
          <cell r="BV160" t="str">
            <v>No</v>
          </cell>
          <cell r="BW160" t="str">
            <v>Czech Republic</v>
          </cell>
          <cell r="BX160" t="str">
            <v>Industrial / Logistics</v>
          </cell>
          <cell r="BY160">
            <v>100</v>
          </cell>
        </row>
        <row r="161">
          <cell r="A161">
            <v>18634</v>
          </cell>
          <cell r="B161" t="str">
            <v>DEKA-IMMOBILIEN FOKUS PRAG</v>
          </cell>
          <cell r="G161" t="str">
            <v>Germany</v>
          </cell>
          <cell r="Q161" t="str">
            <v>Germany</v>
          </cell>
          <cell r="R161" t="str">
            <v>EUR</v>
          </cell>
          <cell r="T161" t="str">
            <v>Annually</v>
          </cell>
          <cell r="U161" t="str">
            <v>Quarterly</v>
          </cell>
          <cell r="Y161" t="str">
            <v>Spezialfonds</v>
          </cell>
          <cell r="AC161" t="str">
            <v>Non-Listed Fund</v>
          </cell>
          <cell r="AD161" t="str">
            <v>Core</v>
          </cell>
          <cell r="AE161" t="str">
            <v>infinite</v>
          </cell>
          <cell r="AF161" t="str">
            <v>Open end</v>
          </cell>
          <cell r="AN161" t="str">
            <v>Institutional</v>
          </cell>
          <cell r="AO161" t="str">
            <v>&gt; 2</v>
          </cell>
          <cell r="AP161" t="str">
            <v>≥ 50%</v>
          </cell>
          <cell r="AQ161" t="str">
            <v>Europe</v>
          </cell>
          <cell r="AR161" t="str">
            <v>single country</v>
          </cell>
          <cell r="AT161" t="str">
            <v>Czech Republic</v>
          </cell>
          <cell r="AU161" t="str">
            <v>single sector</v>
          </cell>
          <cell r="AV161" t="str">
            <v>Office</v>
          </cell>
          <cell r="AY161">
            <v>2016</v>
          </cell>
          <cell r="BH161" t="str">
            <v>2020-12-31</v>
          </cell>
          <cell r="BI161">
            <v>231101578</v>
          </cell>
          <cell r="BJ161">
            <v>231101578</v>
          </cell>
          <cell r="BK161">
            <v>207443209</v>
          </cell>
          <cell r="BL161">
            <v>207443209</v>
          </cell>
          <cell r="BM161">
            <v>44.5</v>
          </cell>
          <cell r="BN161" t="str">
            <v>No</v>
          </cell>
          <cell r="BO161" t="str">
            <v>External</v>
          </cell>
          <cell r="BP161">
            <v>34</v>
          </cell>
          <cell r="BQ161">
            <v>9</v>
          </cell>
          <cell r="BR161">
            <v>195000000</v>
          </cell>
          <cell r="BS161">
            <v>195000000</v>
          </cell>
          <cell r="BT161">
            <v>195000000</v>
          </cell>
          <cell r="BU161">
            <v>195000000</v>
          </cell>
          <cell r="BV161" t="str">
            <v>No</v>
          </cell>
          <cell r="BW161" t="str">
            <v>Czech Republic</v>
          </cell>
          <cell r="BX161" t="str">
            <v>Office</v>
          </cell>
          <cell r="BY161">
            <v>100</v>
          </cell>
        </row>
        <row r="162">
          <cell r="A162">
            <v>19589</v>
          </cell>
          <cell r="B162" t="str">
            <v>DEKA-IMMOBILIENMETROPOLEN</v>
          </cell>
          <cell r="C162" t="str">
            <v>DEKA IMMOBILIEN INVESTMENT GMBH</v>
          </cell>
          <cell r="D162" t="str">
            <v>Taunusanlage 1</v>
          </cell>
          <cell r="E162">
            <v>60329</v>
          </cell>
          <cell r="F162" t="str">
            <v>Frankfurt am Main</v>
          </cell>
          <cell r="G162" t="str">
            <v>Germany</v>
          </cell>
          <cell r="Q162" t="str">
            <v>Germany</v>
          </cell>
          <cell r="R162" t="str">
            <v>EUR</v>
          </cell>
          <cell r="T162" t="str">
            <v>Quarterly</v>
          </cell>
          <cell r="U162" t="str">
            <v>Quarterly</v>
          </cell>
          <cell r="Y162" t="str">
            <v>Publikumsfonds</v>
          </cell>
          <cell r="Z162" t="str">
            <v>No</v>
          </cell>
          <cell r="AB162">
            <v>0</v>
          </cell>
          <cell r="AC162" t="str">
            <v>Non-Listed Fund</v>
          </cell>
          <cell r="AD162" t="str">
            <v>Core</v>
          </cell>
          <cell r="AE162" t="str">
            <v>infinite</v>
          </cell>
          <cell r="AF162" t="str">
            <v>Open end</v>
          </cell>
          <cell r="AN162" t="str">
            <v>Retail</v>
          </cell>
          <cell r="AO162" t="str">
            <v>&gt; 2</v>
          </cell>
          <cell r="AP162" t="str">
            <v>&lt; 50%</v>
          </cell>
          <cell r="AQ162" t="str">
            <v>Global</v>
          </cell>
          <cell r="AR162" t="str">
            <v>multi country</v>
          </cell>
          <cell r="AU162" t="str">
            <v>multi sector</v>
          </cell>
          <cell r="AY162">
            <v>2019</v>
          </cell>
          <cell r="BH162" t="str">
            <v>2020-12-31</v>
          </cell>
          <cell r="BI162">
            <v>593917687</v>
          </cell>
          <cell r="BJ162">
            <v>593917687</v>
          </cell>
          <cell r="BK162">
            <v>525546776</v>
          </cell>
          <cell r="BL162">
            <v>525546776</v>
          </cell>
          <cell r="BM162">
            <v>17.600000000000001</v>
          </cell>
          <cell r="BN162" t="str">
            <v>No</v>
          </cell>
          <cell r="BO162" t="str">
            <v>External</v>
          </cell>
          <cell r="BP162">
            <v>0</v>
          </cell>
          <cell r="BQ162">
            <v>4</v>
          </cell>
          <cell r="BR162">
            <v>0</v>
          </cell>
          <cell r="BS162">
            <v>0</v>
          </cell>
          <cell r="BT162">
            <v>0</v>
          </cell>
          <cell r="BV162" t="str">
            <v>No</v>
          </cell>
          <cell r="BW162" t="str">
            <v>France</v>
          </cell>
          <cell r="BX162" t="str">
            <v>Office</v>
          </cell>
          <cell r="BY162">
            <v>21.9</v>
          </cell>
          <cell r="BZ162" t="str">
            <v>Germany</v>
          </cell>
          <cell r="CA162" t="str">
            <v>Office</v>
          </cell>
          <cell r="CB162">
            <v>16.399999999999999</v>
          </cell>
          <cell r="CC162" t="str">
            <v>Ireland</v>
          </cell>
          <cell r="CD162" t="str">
            <v>Office</v>
          </cell>
          <cell r="CE162">
            <v>42.5</v>
          </cell>
          <cell r="CF162" t="str">
            <v>United Kingdom</v>
          </cell>
          <cell r="CG162" t="str">
            <v>Office</v>
          </cell>
          <cell r="CH162">
            <v>19.2</v>
          </cell>
        </row>
        <row r="163">
          <cell r="A163">
            <v>126</v>
          </cell>
          <cell r="B163" t="str">
            <v>DEKA-S-PROPERTYFUND NO. 1</v>
          </cell>
          <cell r="C163" t="str">
            <v>DEKA IMMOBILIEN INVESTMENT</v>
          </cell>
          <cell r="D163" t="str">
            <v>Taunusanlage 1</v>
          </cell>
          <cell r="E163">
            <v>60329</v>
          </cell>
          <cell r="F163" t="str">
            <v>Frankfurt am Main</v>
          </cell>
          <cell r="G163" t="str">
            <v>Germany</v>
          </cell>
          <cell r="H163" t="str">
            <v>+49 (0) 69 7147 0</v>
          </cell>
          <cell r="I163" t="str">
            <v>+49 (0) 69 7147 43849</v>
          </cell>
          <cell r="J163" t="str">
            <v>http://www.deka-immobilien.de</v>
          </cell>
          <cell r="K163" t="str">
            <v>Andreas Nagel</v>
          </cell>
          <cell r="L163" t="str">
            <v>andreas.nagel@deka.de</v>
          </cell>
          <cell r="M163" t="str">
            <v>+49 (0) 69 7147 3217</v>
          </cell>
          <cell r="N163" t="str">
            <v>Michaela Graefe</v>
          </cell>
          <cell r="O163" t="str">
            <v>andreas.nagel@deka.de</v>
          </cell>
          <cell r="P163" t="str">
            <v>+49 (0) 69 7147 3217</v>
          </cell>
          <cell r="Q163" t="str">
            <v>Germany</v>
          </cell>
          <cell r="R163" t="str">
            <v>EUR</v>
          </cell>
          <cell r="S163" t="str">
            <v>IFRS</v>
          </cell>
          <cell r="T163" t="str">
            <v>Annually</v>
          </cell>
          <cell r="U163" t="str">
            <v>Annually</v>
          </cell>
          <cell r="V163" t="str">
            <v>ImmoWertV</v>
          </cell>
          <cell r="Y163" t="str">
            <v>Spezialfonds</v>
          </cell>
          <cell r="Z163" t="str">
            <v>No</v>
          </cell>
          <cell r="AA163" t="str">
            <v>Yes</v>
          </cell>
          <cell r="AB163">
            <v>5</v>
          </cell>
          <cell r="AC163" t="str">
            <v>Non-Listed Fund</v>
          </cell>
          <cell r="AD163" t="str">
            <v>Value-added</v>
          </cell>
          <cell r="AE163" t="str">
            <v>finite</v>
          </cell>
          <cell r="AF163" t="str">
            <v>Closed end</v>
          </cell>
          <cell r="AG163">
            <v>10</v>
          </cell>
          <cell r="AH163">
            <v>10</v>
          </cell>
          <cell r="AJ163" t="str">
            <v>None</v>
          </cell>
          <cell r="AK163">
            <v>6</v>
          </cell>
          <cell r="AL163">
            <v>67</v>
          </cell>
          <cell r="AM163" t="str">
            <v>&gt; 60%</v>
          </cell>
          <cell r="AN163" t="str">
            <v>Institutional</v>
          </cell>
          <cell r="AO163" t="str">
            <v>&gt; 2</v>
          </cell>
          <cell r="AP163" t="str">
            <v>≥ 50%</v>
          </cell>
          <cell r="AQ163" t="str">
            <v>Europe</v>
          </cell>
          <cell r="AR163" t="str">
            <v>multi country</v>
          </cell>
          <cell r="AS163" t="str">
            <v>Europe</v>
          </cell>
          <cell r="AU163" t="str">
            <v>multi sector</v>
          </cell>
          <cell r="AW163">
            <v>275000000</v>
          </cell>
          <cell r="AX163">
            <v>750000000</v>
          </cell>
          <cell r="AY163">
            <v>2003</v>
          </cell>
          <cell r="AZ163">
            <v>2017</v>
          </cell>
          <cell r="BA163" t="str">
            <v>Yes</v>
          </cell>
          <cell r="BB163" t="str">
            <v>Yes</v>
          </cell>
          <cell r="BC163" t="str">
            <v>2 years</v>
          </cell>
          <cell r="BH163" t="str">
            <v>2020-06-30</v>
          </cell>
          <cell r="BI163">
            <v>38329000</v>
          </cell>
          <cell r="BJ163">
            <v>38329000</v>
          </cell>
          <cell r="BK163">
            <v>38871000</v>
          </cell>
          <cell r="BL163">
            <v>38871000</v>
          </cell>
          <cell r="BM163">
            <v>0</v>
          </cell>
          <cell r="BN163" t="str">
            <v>No</v>
          </cell>
          <cell r="BO163" t="str">
            <v>External</v>
          </cell>
          <cell r="BP163">
            <v>9</v>
          </cell>
          <cell r="BQ163">
            <v>2</v>
          </cell>
          <cell r="BR163">
            <v>220000000</v>
          </cell>
          <cell r="BS163">
            <v>220000000</v>
          </cell>
          <cell r="BT163">
            <v>60000000</v>
          </cell>
          <cell r="BU163">
            <v>60000000</v>
          </cell>
          <cell r="BV163" t="str">
            <v>No</v>
          </cell>
          <cell r="BW163" t="str">
            <v>Poland</v>
          </cell>
          <cell r="BX163" t="str">
            <v>Office</v>
          </cell>
          <cell r="BY163">
            <v>47.6</v>
          </cell>
          <cell r="BZ163" t="str">
            <v>Portugal</v>
          </cell>
          <cell r="CA163" t="str">
            <v>Retail</v>
          </cell>
          <cell r="CB163">
            <v>52.4</v>
          </cell>
        </row>
        <row r="164">
          <cell r="A164">
            <v>127</v>
          </cell>
          <cell r="B164" t="str">
            <v>DEKA-S-PROPERTYFUND NO. 2</v>
          </cell>
          <cell r="C164" t="str">
            <v>DEKA IMMOBILIEN INVESTMENT</v>
          </cell>
          <cell r="D164" t="str">
            <v>Taunusanlage 1</v>
          </cell>
          <cell r="E164">
            <v>60329</v>
          </cell>
          <cell r="F164" t="str">
            <v>Frankfurt am Main</v>
          </cell>
          <cell r="G164" t="str">
            <v>Germany</v>
          </cell>
          <cell r="H164" t="str">
            <v>+49 (0) 69 7147 0</v>
          </cell>
          <cell r="I164" t="str">
            <v>+49 (0) 69 7147 43849</v>
          </cell>
          <cell r="J164" t="str">
            <v>http://www.deka-immobilien.de</v>
          </cell>
          <cell r="K164" t="str">
            <v>Bernd Hartmann</v>
          </cell>
          <cell r="L164" t="str">
            <v>bernd.hartmann@deka.de</v>
          </cell>
          <cell r="M164" t="str">
            <v>+49 (0) 69 7147 5437</v>
          </cell>
          <cell r="N164" t="str">
            <v>Michaela Graefe</v>
          </cell>
          <cell r="O164" t="str">
            <v>michaela.graefe@deka.de</v>
          </cell>
          <cell r="P164" t="str">
            <v>+49 (0) 69 7147 3504</v>
          </cell>
          <cell r="Q164" t="str">
            <v>Germany</v>
          </cell>
          <cell r="R164" t="str">
            <v>EUR</v>
          </cell>
          <cell r="S164" t="str">
            <v>Local GAAP</v>
          </cell>
          <cell r="T164" t="str">
            <v>Twice per year</v>
          </cell>
          <cell r="U164" t="str">
            <v>Annually</v>
          </cell>
          <cell r="V164" t="str">
            <v>ImmoWertV</v>
          </cell>
          <cell r="X164" t="str">
            <v>HSA Horwath</v>
          </cell>
          <cell r="Y164" t="str">
            <v>Spezialfonds</v>
          </cell>
          <cell r="Z164" t="str">
            <v>No</v>
          </cell>
          <cell r="AA164" t="str">
            <v>Yes</v>
          </cell>
          <cell r="AB164">
            <v>5</v>
          </cell>
          <cell r="AC164" t="str">
            <v>Non-Listed Fund</v>
          </cell>
          <cell r="AD164" t="str">
            <v>Value-added</v>
          </cell>
          <cell r="AE164" t="str">
            <v>finite</v>
          </cell>
          <cell r="AF164" t="str">
            <v>Closed end</v>
          </cell>
          <cell r="AG164">
            <v>10</v>
          </cell>
          <cell r="AH164">
            <v>10</v>
          </cell>
          <cell r="AJ164" t="str">
            <v>none</v>
          </cell>
          <cell r="AK164">
            <v>6</v>
          </cell>
          <cell r="AL164">
            <v>67</v>
          </cell>
          <cell r="AM164" t="str">
            <v>&gt; 60%</v>
          </cell>
          <cell r="AN164" t="str">
            <v>Institutional</v>
          </cell>
          <cell r="AO164" t="str">
            <v>&gt; 2</v>
          </cell>
          <cell r="AP164" t="str">
            <v>≥ 50%</v>
          </cell>
          <cell r="AQ164" t="str">
            <v>Europe</v>
          </cell>
          <cell r="AR164" t="str">
            <v>multi country</v>
          </cell>
          <cell r="AS164" t="str">
            <v>Europe</v>
          </cell>
          <cell r="AU164" t="str">
            <v>multi sector</v>
          </cell>
          <cell r="AW164">
            <v>220000000</v>
          </cell>
          <cell r="AX164">
            <v>660000000</v>
          </cell>
          <cell r="AY164">
            <v>2007</v>
          </cell>
          <cell r="AZ164">
            <v>2015</v>
          </cell>
          <cell r="BA164" t="str">
            <v>Yes</v>
          </cell>
          <cell r="BB164" t="str">
            <v>Yes</v>
          </cell>
          <cell r="BC164" t="str">
            <v>2 years</v>
          </cell>
          <cell r="BH164" t="str">
            <v>2020-06-30</v>
          </cell>
          <cell r="BI164">
            <v>39969000</v>
          </cell>
          <cell r="BJ164">
            <v>39969000</v>
          </cell>
          <cell r="BK164">
            <v>41648000</v>
          </cell>
          <cell r="BL164">
            <v>41648000</v>
          </cell>
          <cell r="BM164">
            <v>0</v>
          </cell>
          <cell r="BN164" t="str">
            <v>No</v>
          </cell>
          <cell r="BO164" t="str">
            <v>External</v>
          </cell>
          <cell r="BP164">
            <v>14</v>
          </cell>
          <cell r="BQ164">
            <v>2</v>
          </cell>
          <cell r="BR164">
            <v>209000000</v>
          </cell>
          <cell r="BS164">
            <v>209000000</v>
          </cell>
          <cell r="BT164">
            <v>50050000</v>
          </cell>
          <cell r="BU164">
            <v>50050000</v>
          </cell>
          <cell r="BV164" t="str">
            <v>No</v>
          </cell>
          <cell r="BW164" t="str">
            <v>Poland</v>
          </cell>
          <cell r="BX164" t="str">
            <v>Office</v>
          </cell>
          <cell r="BY164">
            <v>100</v>
          </cell>
        </row>
        <row r="165">
          <cell r="A165">
            <v>19577</v>
          </cell>
          <cell r="B165" t="str">
            <v>DEUTSCHLAND SELEKTIV IMMOBILIEN INVEST II</v>
          </cell>
          <cell r="C165" t="str">
            <v>WARBURG-HIH INVEST REAL ESTATE GMBH</v>
          </cell>
          <cell r="D165" t="str">
            <v>Gertrudenstraße 9</v>
          </cell>
          <cell r="E165">
            <v>20095</v>
          </cell>
          <cell r="F165" t="str">
            <v>Hamburg</v>
          </cell>
          <cell r="G165" t="str">
            <v>Germany</v>
          </cell>
          <cell r="H165" t="str">
            <v>+494032823617</v>
          </cell>
          <cell r="Q165" t="str">
            <v>Germany</v>
          </cell>
          <cell r="R165" t="str">
            <v>EUR</v>
          </cell>
          <cell r="S165" t="str">
            <v>German Capital Investment Law</v>
          </cell>
          <cell r="T165" t="str">
            <v>Quarterly</v>
          </cell>
          <cell r="U165" t="str">
            <v>Annually</v>
          </cell>
          <cell r="V165" t="str">
            <v>ImmoWertV</v>
          </cell>
          <cell r="W165" t="str">
            <v>BVI-Method</v>
          </cell>
          <cell r="Y165" t="str">
            <v>Spezialfonds</v>
          </cell>
          <cell r="Z165" t="str">
            <v>No</v>
          </cell>
          <cell r="AB165">
            <v>0</v>
          </cell>
          <cell r="AC165" t="str">
            <v>Non-Listed Fund</v>
          </cell>
          <cell r="AD165" t="str">
            <v>Core</v>
          </cell>
          <cell r="AE165" t="str">
            <v>infinite</v>
          </cell>
          <cell r="AF165" t="str">
            <v>Open end</v>
          </cell>
          <cell r="AM165" t="str">
            <v>&gt; 40% - ≤ 60%</v>
          </cell>
          <cell r="AN165" t="str">
            <v>Institutional</v>
          </cell>
          <cell r="AO165" t="str">
            <v>&gt; 2</v>
          </cell>
          <cell r="AP165" t="str">
            <v>≥ 50%</v>
          </cell>
          <cell r="AQ165" t="str">
            <v>Europe</v>
          </cell>
          <cell r="AR165" t="str">
            <v>single country</v>
          </cell>
          <cell r="AT165" t="str">
            <v>Germany</v>
          </cell>
          <cell r="AU165" t="str">
            <v>multi sector</v>
          </cell>
          <cell r="AY165">
            <v>2020</v>
          </cell>
          <cell r="BH165" t="str">
            <v>2020-12-31</v>
          </cell>
          <cell r="BI165">
            <v>26894537.850000001</v>
          </cell>
          <cell r="BJ165">
            <v>26894537.850000001</v>
          </cell>
          <cell r="BK165">
            <v>15244505.84</v>
          </cell>
          <cell r="BL165">
            <v>15244505.84</v>
          </cell>
          <cell r="BM165">
            <v>45.38</v>
          </cell>
          <cell r="BN165" t="str">
            <v>No</v>
          </cell>
          <cell r="BO165" t="str">
            <v>External</v>
          </cell>
          <cell r="BP165">
            <v>4</v>
          </cell>
          <cell r="BQ165">
            <v>1</v>
          </cell>
          <cell r="BR165">
            <v>43001000</v>
          </cell>
          <cell r="BS165">
            <v>43001000</v>
          </cell>
          <cell r="BT165">
            <v>15001000</v>
          </cell>
          <cell r="BU165">
            <v>15001000</v>
          </cell>
          <cell r="BV165" t="str">
            <v>No</v>
          </cell>
          <cell r="BW165" t="str">
            <v>Germany</v>
          </cell>
          <cell r="BX165" t="str">
            <v>Retail</v>
          </cell>
          <cell r="BY165">
            <v>29.27</v>
          </cell>
          <cell r="BZ165" t="str">
            <v>Germany</v>
          </cell>
          <cell r="CA165" t="str">
            <v>Parking</v>
          </cell>
          <cell r="CB165">
            <v>3.03</v>
          </cell>
          <cell r="CC165" t="str">
            <v>Germany</v>
          </cell>
          <cell r="CD165" t="str">
            <v>Office</v>
          </cell>
          <cell r="CE165">
            <v>61.43</v>
          </cell>
          <cell r="CF165" t="str">
            <v>Germany</v>
          </cell>
          <cell r="CG165" t="str">
            <v>Other</v>
          </cell>
          <cell r="CH165">
            <v>6.27</v>
          </cell>
        </row>
        <row r="166">
          <cell r="A166">
            <v>17531</v>
          </cell>
          <cell r="B166" t="str">
            <v>DIFA-FONDS NR. 3</v>
          </cell>
          <cell r="C166" t="str">
            <v>UNION INVESTMENT REAL ESTATE GMBH</v>
          </cell>
          <cell r="D166" t="str">
            <v>Valentinskamp 70</v>
          </cell>
          <cell r="E166">
            <v>20355</v>
          </cell>
          <cell r="F166" t="str">
            <v>Hamburg</v>
          </cell>
          <cell r="G166" t="str">
            <v>Germany</v>
          </cell>
          <cell r="H166" t="str">
            <v>+4940349190</v>
          </cell>
          <cell r="I166" t="str">
            <v>+494034919190</v>
          </cell>
          <cell r="J166" t="str">
            <v>http://institutional.union-investment.de/startseite-institutionelle-kunden/asset-klassen/immobilien.html</v>
          </cell>
          <cell r="K166" t="str">
            <v>Carsten Thiel</v>
          </cell>
          <cell r="L166" t="str">
            <v>carsten.thiel@union-investment.de</v>
          </cell>
          <cell r="M166" t="str">
            <v>+4940349194341</v>
          </cell>
          <cell r="N166" t="str">
            <v>Jörn Stobbe</v>
          </cell>
          <cell r="O166" t="str">
            <v>Joern.Stobbe@union-investment.de</v>
          </cell>
          <cell r="P166" t="str">
            <v>+4940349194455</v>
          </cell>
          <cell r="Q166" t="str">
            <v>Germany</v>
          </cell>
          <cell r="R166" t="str">
            <v>EUR</v>
          </cell>
          <cell r="S166" t="str">
            <v>German Trade Law / Investment Law</v>
          </cell>
          <cell r="T166" t="str">
            <v>Quarterly</v>
          </cell>
          <cell r="U166" t="str">
            <v>Quarterly</v>
          </cell>
          <cell r="V166" t="str">
            <v>ImmoWertV</v>
          </cell>
          <cell r="W166" t="str">
            <v>InvRBV - German Investment Law {no INREV-based calculation method}</v>
          </cell>
          <cell r="X166" t="str">
            <v>KPMG</v>
          </cell>
          <cell r="Y166" t="str">
            <v>Spezialfonds</v>
          </cell>
          <cell r="Z166" t="str">
            <v>No</v>
          </cell>
          <cell r="AA166" t="str">
            <v>No</v>
          </cell>
          <cell r="AC166" t="str">
            <v>Non-Listed Fund</v>
          </cell>
          <cell r="AD166" t="str">
            <v>Core</v>
          </cell>
          <cell r="AE166" t="str">
            <v>infinite</v>
          </cell>
          <cell r="AF166" t="str">
            <v>Open end</v>
          </cell>
          <cell r="AG166">
            <v>3</v>
          </cell>
          <cell r="AH166">
            <v>4</v>
          </cell>
          <cell r="AM166" t="str">
            <v>≤ 40%</v>
          </cell>
          <cell r="AN166" t="str">
            <v>Institutional</v>
          </cell>
          <cell r="AO166" t="str">
            <v>&gt; 2</v>
          </cell>
          <cell r="AP166" t="str">
            <v>≥ 50%</v>
          </cell>
          <cell r="AQ166" t="str">
            <v>Europe</v>
          </cell>
          <cell r="AR166" t="str">
            <v>multi country</v>
          </cell>
          <cell r="AS166" t="str">
            <v>Europe</v>
          </cell>
          <cell r="AU166" t="str">
            <v>multi sector</v>
          </cell>
          <cell r="AW166">
            <v>300000000</v>
          </cell>
          <cell r="AX166">
            <v>300000000</v>
          </cell>
          <cell r="AY166">
            <v>1989</v>
          </cell>
          <cell r="BD166" t="str">
            <v>No</v>
          </cell>
          <cell r="BE166" t="str">
            <v>≥ 60%</v>
          </cell>
          <cell r="BF166" t="str">
            <v>≤ 15%</v>
          </cell>
          <cell r="BG166" t="str">
            <v>≤ 5%</v>
          </cell>
          <cell r="BH166" t="str">
            <v>2020-12-31</v>
          </cell>
          <cell r="BI166">
            <v>346748331.5</v>
          </cell>
          <cell r="BJ166">
            <v>346748331.5</v>
          </cell>
          <cell r="BK166">
            <v>298528254.30000001</v>
          </cell>
          <cell r="BL166">
            <v>298528254.30000001</v>
          </cell>
          <cell r="BM166">
            <v>12.8</v>
          </cell>
          <cell r="BN166" t="str">
            <v>Yes</v>
          </cell>
          <cell r="BO166" t="str">
            <v>External</v>
          </cell>
          <cell r="BP166">
            <v>8</v>
          </cell>
          <cell r="BQ166">
            <v>18</v>
          </cell>
          <cell r="BR166">
            <v>0</v>
          </cell>
          <cell r="BS166">
            <v>0</v>
          </cell>
          <cell r="BT166">
            <v>0</v>
          </cell>
          <cell r="BV166" t="str">
            <v>No</v>
          </cell>
          <cell r="BW166" t="str">
            <v>Ireland</v>
          </cell>
          <cell r="BX166" t="str">
            <v>Office</v>
          </cell>
          <cell r="BY166">
            <v>6.7</v>
          </cell>
          <cell r="BZ166" t="str">
            <v>Germany</v>
          </cell>
          <cell r="CA166" t="str">
            <v>Retail</v>
          </cell>
          <cell r="CB166">
            <v>6.4</v>
          </cell>
          <cell r="CC166" t="str">
            <v>Germany</v>
          </cell>
          <cell r="CD166" t="str">
            <v>Office</v>
          </cell>
          <cell r="CE166">
            <v>51.5</v>
          </cell>
          <cell r="CF166" t="str">
            <v>Germany</v>
          </cell>
          <cell r="CG166" t="str">
            <v>Hotel</v>
          </cell>
          <cell r="CH166">
            <v>22.9</v>
          </cell>
          <cell r="CI166" t="str">
            <v>Poland</v>
          </cell>
          <cell r="CJ166" t="str">
            <v>Retail</v>
          </cell>
          <cell r="CK166">
            <v>7.5</v>
          </cell>
          <cell r="CL166" t="str">
            <v>Finland</v>
          </cell>
          <cell r="CM166" t="str">
            <v>Office</v>
          </cell>
          <cell r="CN166">
            <v>5</v>
          </cell>
        </row>
        <row r="167">
          <cell r="A167">
            <v>17499</v>
          </cell>
          <cell r="B167" t="str">
            <v>DNB SCANDINAVIAN PROPERTY FUND</v>
          </cell>
          <cell r="C167" t="str">
            <v xml:space="preserve">DNB REAL ESTATE INVESTMENT MANAGEMENT </v>
          </cell>
          <cell r="D167" t="str">
            <v>Solheimsgaten 7b</v>
          </cell>
          <cell r="E167">
            <v>5058</v>
          </cell>
          <cell r="F167" t="str">
            <v>Bergen</v>
          </cell>
          <cell r="G167" t="str">
            <v>Norway</v>
          </cell>
          <cell r="H167" t="str">
            <v>+4781544100</v>
          </cell>
          <cell r="J167" t="str">
            <v>https://dnb.no</v>
          </cell>
          <cell r="K167" t="str">
            <v>Terje Ulriksen</v>
          </cell>
          <cell r="L167" t="str">
            <v>terje.ulriksen@dnb.no</v>
          </cell>
          <cell r="M167" t="str">
            <v>+4790883188</v>
          </cell>
          <cell r="N167" t="str">
            <v>Stein Berge Monsen</v>
          </cell>
          <cell r="O167" t="str">
            <v>stein.monsen@dnb.no</v>
          </cell>
          <cell r="P167" t="str">
            <v>+4790556483</v>
          </cell>
          <cell r="Q167" t="str">
            <v>Norway</v>
          </cell>
          <cell r="R167" t="str">
            <v>NOK</v>
          </cell>
          <cell r="S167" t="str">
            <v>Local GAAP</v>
          </cell>
          <cell r="T167" t="str">
            <v>Quarterly</v>
          </cell>
          <cell r="U167" t="str">
            <v>Quarterly</v>
          </cell>
          <cell r="V167" t="str">
            <v>Other - mark to market</v>
          </cell>
          <cell r="W167" t="str">
            <v>NAV based on real property values and all other assets and liabilities</v>
          </cell>
          <cell r="X167" t="str">
            <v>EY</v>
          </cell>
          <cell r="Y167" t="str">
            <v>Real Estate Fund</v>
          </cell>
          <cell r="Z167" t="str">
            <v>No</v>
          </cell>
          <cell r="AC167" t="str">
            <v>Non-Listed Fund</v>
          </cell>
          <cell r="AD167" t="str">
            <v>Core</v>
          </cell>
          <cell r="AE167" t="str">
            <v>infinite</v>
          </cell>
          <cell r="AF167" t="str">
            <v>Open end</v>
          </cell>
          <cell r="AG167">
            <v>7</v>
          </cell>
          <cell r="AH167">
            <v>9</v>
          </cell>
          <cell r="AI167" t="str">
            <v>Gross</v>
          </cell>
          <cell r="AJ167" t="str">
            <v>IPD Index</v>
          </cell>
          <cell r="AK167">
            <v>5</v>
          </cell>
          <cell r="AL167">
            <v>0</v>
          </cell>
          <cell r="AM167" t="str">
            <v>≤ 40%</v>
          </cell>
          <cell r="AN167" t="str">
            <v>Institutional</v>
          </cell>
          <cell r="AO167" t="str">
            <v>&gt; 2</v>
          </cell>
          <cell r="AP167" t="str">
            <v>≥ 50%</v>
          </cell>
          <cell r="AQ167" t="str">
            <v>Europe</v>
          </cell>
          <cell r="AR167" t="str">
            <v>multi country</v>
          </cell>
          <cell r="AS167" t="str">
            <v>Nordic</v>
          </cell>
          <cell r="AU167" t="str">
            <v>multi sector</v>
          </cell>
          <cell r="AW167">
            <v>12500000000</v>
          </cell>
          <cell r="AX167">
            <v>12500000000</v>
          </cell>
          <cell r="AY167">
            <v>2007</v>
          </cell>
          <cell r="BD167" t="str">
            <v>No</v>
          </cell>
          <cell r="BE167" t="str">
            <v>≥ 60%</v>
          </cell>
          <cell r="BF167" t="str">
            <v>≤ 15%</v>
          </cell>
          <cell r="BG167" t="str">
            <v>≤ 5%</v>
          </cell>
          <cell r="BH167" t="str">
            <v>2020-12-31</v>
          </cell>
          <cell r="BI167">
            <v>10634003768</v>
          </cell>
          <cell r="BJ167">
            <v>1010914480.641409</v>
          </cell>
          <cell r="BK167">
            <v>10634003768</v>
          </cell>
          <cell r="BL167">
            <v>1010914480.641409</v>
          </cell>
          <cell r="BM167">
            <v>0</v>
          </cell>
          <cell r="BN167" t="str">
            <v>No</v>
          </cell>
          <cell r="BO167" t="str">
            <v>External</v>
          </cell>
          <cell r="BP167">
            <v>56</v>
          </cell>
          <cell r="BQ167">
            <v>14</v>
          </cell>
          <cell r="BR167">
            <v>8941328819</v>
          </cell>
          <cell r="BS167">
            <v>811025346.93992651</v>
          </cell>
          <cell r="BT167">
            <v>8941328819</v>
          </cell>
          <cell r="BU167">
            <v>811025346.93992651</v>
          </cell>
          <cell r="BV167" t="str">
            <v>No</v>
          </cell>
          <cell r="BW167" t="str">
            <v>Norway</v>
          </cell>
          <cell r="BX167" t="str">
            <v>Development</v>
          </cell>
          <cell r="BY167">
            <v>3</v>
          </cell>
          <cell r="BZ167" t="str">
            <v>Norway</v>
          </cell>
          <cell r="CA167" t="str">
            <v>Hotel</v>
          </cell>
          <cell r="CB167">
            <v>8</v>
          </cell>
          <cell r="CC167" t="str">
            <v>Sweden</v>
          </cell>
          <cell r="CD167" t="str">
            <v>Retail</v>
          </cell>
          <cell r="CE167">
            <v>1</v>
          </cell>
          <cell r="CF167" t="str">
            <v>Norway</v>
          </cell>
          <cell r="CG167" t="str">
            <v>Retail</v>
          </cell>
          <cell r="CH167">
            <v>17</v>
          </cell>
          <cell r="CI167" t="str">
            <v>Sweden</v>
          </cell>
          <cell r="CJ167" t="str">
            <v>Office</v>
          </cell>
          <cell r="CK167">
            <v>6</v>
          </cell>
          <cell r="CL167" t="str">
            <v>Norway</v>
          </cell>
          <cell r="CM167" t="str">
            <v>Office</v>
          </cell>
          <cell r="CN167">
            <v>62</v>
          </cell>
        </row>
        <row r="168">
          <cell r="A168">
            <v>17503</v>
          </cell>
          <cell r="B168" t="str">
            <v>DOMUS-DEUTSCHLAND-FONDS</v>
          </cell>
          <cell r="C168" t="str">
            <v>DEKA IMMOBILIEN INVESTMENT GMBH</v>
          </cell>
          <cell r="D168" t="str">
            <v>Taunusanlage 1</v>
          </cell>
          <cell r="E168">
            <v>60329</v>
          </cell>
          <cell r="F168" t="str">
            <v>Frankfurt am Main</v>
          </cell>
          <cell r="G168" t="str">
            <v>Germany</v>
          </cell>
          <cell r="J168" t="str">
            <v>http://www.deka-immobilien.de/</v>
          </cell>
          <cell r="K168" t="str">
            <v>Andreas Barak</v>
          </cell>
          <cell r="L168" t="str">
            <v>andreas.barak@deka.de</v>
          </cell>
          <cell r="M168" t="str">
            <v>+496971477743</v>
          </cell>
          <cell r="N168" t="str">
            <v>Michaela Graefe</v>
          </cell>
          <cell r="O168" t="str">
            <v>michaela.graefe@deka.de</v>
          </cell>
          <cell r="P168" t="str">
            <v>+496971473504</v>
          </cell>
          <cell r="Q168" t="str">
            <v>Germany</v>
          </cell>
          <cell r="R168" t="str">
            <v>EUR</v>
          </cell>
          <cell r="S168" t="str">
            <v>German HGB</v>
          </cell>
          <cell r="T168" t="str">
            <v>Annually</v>
          </cell>
          <cell r="U168" t="str">
            <v>Annually</v>
          </cell>
          <cell r="X168" t="str">
            <v>KPMG</v>
          </cell>
          <cell r="Y168" t="str">
            <v>Spezialfonds</v>
          </cell>
          <cell r="Z168" t="str">
            <v>No</v>
          </cell>
          <cell r="AA168" t="str">
            <v>Yes</v>
          </cell>
          <cell r="AB168">
            <v>10</v>
          </cell>
          <cell r="AC168" t="str">
            <v>Non-Listed Fund</v>
          </cell>
          <cell r="AD168" t="str">
            <v>Core</v>
          </cell>
          <cell r="AE168" t="str">
            <v>infinite</v>
          </cell>
          <cell r="AF168" t="str">
            <v>Open end</v>
          </cell>
          <cell r="AK168">
            <v>4.5</v>
          </cell>
          <cell r="AM168" t="str">
            <v>&gt; 40% - ≤ 60%</v>
          </cell>
          <cell r="AN168" t="str">
            <v>Institutional</v>
          </cell>
          <cell r="AO168" t="str">
            <v>&gt; 2</v>
          </cell>
          <cell r="AP168" t="str">
            <v>≥ 50%</v>
          </cell>
          <cell r="AQ168" t="str">
            <v>Europe</v>
          </cell>
          <cell r="AR168" t="str">
            <v>single country</v>
          </cell>
          <cell r="AT168" t="str">
            <v>Germany</v>
          </cell>
          <cell r="AU168" t="str">
            <v>multi sector</v>
          </cell>
          <cell r="AW168">
            <v>470500000</v>
          </cell>
          <cell r="AX168">
            <v>980000000</v>
          </cell>
          <cell r="AY168">
            <v>2013</v>
          </cell>
          <cell r="BH168" t="str">
            <v>2020-12-31</v>
          </cell>
          <cell r="BI168">
            <v>835448688</v>
          </cell>
          <cell r="BJ168">
            <v>835448688</v>
          </cell>
          <cell r="BK168">
            <v>508243524</v>
          </cell>
          <cell r="BL168">
            <v>508243524</v>
          </cell>
          <cell r="BM168">
            <v>38.9</v>
          </cell>
          <cell r="BN168" t="str">
            <v>No</v>
          </cell>
          <cell r="BO168" t="str">
            <v>External</v>
          </cell>
          <cell r="BP168">
            <v>33</v>
          </cell>
          <cell r="BQ168">
            <v>18</v>
          </cell>
          <cell r="BR168">
            <v>470500000</v>
          </cell>
          <cell r="BS168">
            <v>470500000</v>
          </cell>
          <cell r="BT168">
            <v>470499103</v>
          </cell>
          <cell r="BU168">
            <v>470499103</v>
          </cell>
          <cell r="BV168" t="str">
            <v>No</v>
          </cell>
          <cell r="BW168" t="str">
            <v>Germany</v>
          </cell>
          <cell r="BX168" t="str">
            <v>Industrial / Logistics</v>
          </cell>
          <cell r="BY168">
            <v>7.4</v>
          </cell>
          <cell r="BZ168" t="str">
            <v>Germany</v>
          </cell>
          <cell r="CA168" t="str">
            <v>Hotel</v>
          </cell>
          <cell r="CB168">
            <v>10.5</v>
          </cell>
          <cell r="CC168" t="str">
            <v>Germany</v>
          </cell>
          <cell r="CD168" t="str">
            <v>Retail</v>
          </cell>
          <cell r="CE168">
            <v>20.7</v>
          </cell>
          <cell r="CF168" t="str">
            <v>Germany</v>
          </cell>
          <cell r="CG168" t="str">
            <v>Mixed</v>
          </cell>
          <cell r="CH168">
            <v>7.3</v>
          </cell>
          <cell r="CI168" t="str">
            <v>Germany</v>
          </cell>
          <cell r="CJ168" t="str">
            <v>Office</v>
          </cell>
          <cell r="CK168">
            <v>54.1</v>
          </cell>
        </row>
        <row r="169">
          <cell r="A169">
            <v>18632</v>
          </cell>
          <cell r="B169" t="str">
            <v>DOMUS-DEUTSCHLAND-FONDS NR.2</v>
          </cell>
          <cell r="G169" t="str">
            <v>Germany</v>
          </cell>
          <cell r="Q169" t="str">
            <v>Germany</v>
          </cell>
          <cell r="R169" t="str">
            <v>EUR</v>
          </cell>
          <cell r="T169" t="str">
            <v>Annually</v>
          </cell>
          <cell r="U169" t="str">
            <v>Quarterly</v>
          </cell>
          <cell r="Y169" t="str">
            <v>Spezialfonds</v>
          </cell>
          <cell r="AC169" t="str">
            <v>Non-Listed Fund</v>
          </cell>
          <cell r="AD169" t="str">
            <v>Core</v>
          </cell>
          <cell r="AE169" t="str">
            <v>infinite</v>
          </cell>
          <cell r="AF169" t="str">
            <v>Open end</v>
          </cell>
          <cell r="AN169" t="str">
            <v>Institutional</v>
          </cell>
          <cell r="AO169" t="str">
            <v>&gt; 2</v>
          </cell>
          <cell r="AP169" t="str">
            <v>≥ 50%</v>
          </cell>
          <cell r="AQ169" t="str">
            <v>Europe</v>
          </cell>
          <cell r="AR169" t="str">
            <v>single country</v>
          </cell>
          <cell r="AT169" t="str">
            <v>Germany</v>
          </cell>
          <cell r="AU169" t="str">
            <v>multi sector</v>
          </cell>
          <cell r="AY169">
            <v>2018</v>
          </cell>
          <cell r="BH169" t="str">
            <v>2020-12-31</v>
          </cell>
          <cell r="BI169">
            <v>552579881</v>
          </cell>
          <cell r="BJ169">
            <v>552579881</v>
          </cell>
          <cell r="BK169">
            <v>329114540</v>
          </cell>
          <cell r="BL169">
            <v>329114540</v>
          </cell>
          <cell r="BM169">
            <v>48.2</v>
          </cell>
          <cell r="BN169" t="str">
            <v>No</v>
          </cell>
          <cell r="BO169" t="str">
            <v>External</v>
          </cell>
          <cell r="BP169">
            <v>51</v>
          </cell>
          <cell r="BQ169">
            <v>12</v>
          </cell>
          <cell r="BR169">
            <v>467000000</v>
          </cell>
          <cell r="BS169">
            <v>467000000</v>
          </cell>
          <cell r="BT169">
            <v>326664555</v>
          </cell>
          <cell r="BU169">
            <v>326664555</v>
          </cell>
          <cell r="BV169" t="str">
            <v>No</v>
          </cell>
          <cell r="BW169" t="str">
            <v>Germany</v>
          </cell>
          <cell r="BX169" t="str">
            <v>Office</v>
          </cell>
          <cell r="BY169">
            <v>69.2</v>
          </cell>
          <cell r="BZ169" t="str">
            <v>Germany</v>
          </cell>
          <cell r="CA169" t="str">
            <v>Mixed</v>
          </cell>
          <cell r="CB169">
            <v>6.5</v>
          </cell>
          <cell r="CC169" t="str">
            <v>Germany</v>
          </cell>
          <cell r="CD169" t="str">
            <v>Retail</v>
          </cell>
          <cell r="CE169">
            <v>15.9</v>
          </cell>
          <cell r="CF169" t="str">
            <v>Germany</v>
          </cell>
          <cell r="CG169" t="str">
            <v>Hotel</v>
          </cell>
          <cell r="CH169">
            <v>6.1</v>
          </cell>
          <cell r="CI169" t="str">
            <v>Germany</v>
          </cell>
          <cell r="CJ169" t="str">
            <v>Industrial / Logistics</v>
          </cell>
          <cell r="CK169">
            <v>2.2999999999999998</v>
          </cell>
        </row>
        <row r="170">
          <cell r="A170">
            <v>18633</v>
          </cell>
          <cell r="B170" t="str">
            <v>DOMUS-EINZELHANDEL-DEUTSCHLAND</v>
          </cell>
          <cell r="G170" t="str">
            <v>Germany</v>
          </cell>
          <cell r="Q170" t="str">
            <v>Germany</v>
          </cell>
          <cell r="R170" t="str">
            <v>EUR</v>
          </cell>
          <cell r="T170" t="str">
            <v>Annually</v>
          </cell>
          <cell r="U170" t="str">
            <v>Quarterly</v>
          </cell>
          <cell r="Y170" t="str">
            <v>Spezialfonds</v>
          </cell>
          <cell r="AC170" t="str">
            <v>Non-Listed Fund</v>
          </cell>
          <cell r="AD170" t="str">
            <v>Core</v>
          </cell>
          <cell r="AE170" t="str">
            <v>infinite</v>
          </cell>
          <cell r="AF170" t="str">
            <v>Open end</v>
          </cell>
          <cell r="AN170" t="str">
            <v>Institutional</v>
          </cell>
          <cell r="AO170" t="str">
            <v>&gt; 2</v>
          </cell>
          <cell r="AP170" t="str">
            <v>≥ 50%</v>
          </cell>
          <cell r="AQ170" t="str">
            <v>Europe</v>
          </cell>
          <cell r="AR170" t="str">
            <v>single country</v>
          </cell>
          <cell r="AT170" t="str">
            <v>Germany</v>
          </cell>
          <cell r="AU170" t="str">
            <v>single sector</v>
          </cell>
          <cell r="AV170" t="str">
            <v>Retail</v>
          </cell>
          <cell r="AY170">
            <v>2015</v>
          </cell>
          <cell r="BH170" t="str">
            <v>2020-12-31</v>
          </cell>
          <cell r="BI170">
            <v>684334060</v>
          </cell>
          <cell r="BJ170">
            <v>684334060</v>
          </cell>
          <cell r="BK170">
            <v>386745409</v>
          </cell>
          <cell r="BL170">
            <v>386745409</v>
          </cell>
          <cell r="BM170">
            <v>47.2</v>
          </cell>
          <cell r="BN170" t="str">
            <v>No</v>
          </cell>
          <cell r="BO170" t="str">
            <v>External</v>
          </cell>
          <cell r="BP170">
            <v>30</v>
          </cell>
          <cell r="BQ170">
            <v>58</v>
          </cell>
          <cell r="BR170">
            <v>399000000</v>
          </cell>
          <cell r="BS170">
            <v>399000000</v>
          </cell>
          <cell r="BT170">
            <v>398999838</v>
          </cell>
          <cell r="BU170">
            <v>398999838</v>
          </cell>
          <cell r="BV170" t="str">
            <v>No</v>
          </cell>
          <cell r="BW170" t="str">
            <v>Germany</v>
          </cell>
          <cell r="BX170" t="str">
            <v>Mixed</v>
          </cell>
          <cell r="BY170">
            <v>6.1</v>
          </cell>
          <cell r="BZ170" t="str">
            <v>Germany</v>
          </cell>
          <cell r="CA170" t="str">
            <v>Retail</v>
          </cell>
          <cell r="CB170">
            <v>93.9</v>
          </cell>
        </row>
        <row r="171">
          <cell r="A171">
            <v>19326</v>
          </cell>
          <cell r="B171" t="str">
            <v>DWS ACCESS DEUTSCHE BANK TüRME</v>
          </cell>
          <cell r="C171" t="str">
            <v>DWS GRUNDBESITZ GMBH</v>
          </cell>
          <cell r="D171" t="str">
            <v>Mainzer Landstr. 11-17</v>
          </cell>
          <cell r="E171" t="str">
            <v xml:space="preserve">60329 </v>
          </cell>
          <cell r="F171" t="str">
            <v>Frankfurt am Main</v>
          </cell>
          <cell r="G171" t="str">
            <v>Germany</v>
          </cell>
          <cell r="K171" t="str">
            <v>Thomas Köhler</v>
          </cell>
          <cell r="L171" t="str">
            <v>thomas-d.koehler@dws.com</v>
          </cell>
          <cell r="M171" t="str">
            <v>+49 (69) 910 - 14934</v>
          </cell>
          <cell r="Q171" t="str">
            <v>Germany</v>
          </cell>
          <cell r="R171" t="str">
            <v>EUR</v>
          </cell>
          <cell r="S171" t="str">
            <v>HGB</v>
          </cell>
          <cell r="T171" t="str">
            <v>Annually</v>
          </cell>
          <cell r="U171" t="str">
            <v>Annually</v>
          </cell>
          <cell r="V171" t="str">
            <v>ImmoWertV</v>
          </cell>
          <cell r="W171" t="str">
            <v>KAGB</v>
          </cell>
          <cell r="X171" t="str">
            <v>KPMG</v>
          </cell>
          <cell r="Y171" t="str">
            <v>Publikumsfonds</v>
          </cell>
          <cell r="Z171" t="str">
            <v>No</v>
          </cell>
          <cell r="AC171" t="str">
            <v>Non-Listed Fund</v>
          </cell>
          <cell r="AD171" t="str">
            <v>Core</v>
          </cell>
          <cell r="AE171" t="str">
            <v>finite</v>
          </cell>
          <cell r="AF171" t="str">
            <v>Closed end</v>
          </cell>
          <cell r="AN171" t="str">
            <v>Retail</v>
          </cell>
          <cell r="AO171" t="str">
            <v>&gt; 2</v>
          </cell>
          <cell r="AP171" t="str">
            <v>&lt; 50%</v>
          </cell>
          <cell r="AQ171" t="str">
            <v>Europe</v>
          </cell>
          <cell r="AR171" t="str">
            <v>single country</v>
          </cell>
          <cell r="AT171" t="str">
            <v>Germany</v>
          </cell>
          <cell r="AU171" t="str">
            <v>single sector</v>
          </cell>
          <cell r="AV171" t="str">
            <v>Office</v>
          </cell>
          <cell r="AY171">
            <v>2011</v>
          </cell>
          <cell r="BH171" t="str">
            <v>2018-12-31</v>
          </cell>
          <cell r="BI171">
            <v>678800000</v>
          </cell>
          <cell r="BJ171">
            <v>678800000</v>
          </cell>
          <cell r="BK171">
            <v>397460000</v>
          </cell>
          <cell r="BL171">
            <v>397460000</v>
          </cell>
          <cell r="BM171">
            <v>45.01</v>
          </cell>
          <cell r="BN171" t="str">
            <v>Yes</v>
          </cell>
          <cell r="BO171" t="str">
            <v>External</v>
          </cell>
          <cell r="BS171">
            <v>0</v>
          </cell>
          <cell r="BV171" t="str">
            <v>No</v>
          </cell>
          <cell r="BW171" t="str">
            <v>Germany</v>
          </cell>
          <cell r="BX171" t="str">
            <v>Office</v>
          </cell>
          <cell r="BY171">
            <v>100</v>
          </cell>
        </row>
        <row r="172">
          <cell r="A172">
            <v>19330</v>
          </cell>
          <cell r="B172" t="str">
            <v>DWS ACCESS MARMARAPARK</v>
          </cell>
          <cell r="C172" t="str">
            <v>DWS GRUNDBESITZ GMBH</v>
          </cell>
          <cell r="D172" t="str">
            <v>Mainzer Landstr. 11-17</v>
          </cell>
          <cell r="E172" t="str">
            <v xml:space="preserve">60329 </v>
          </cell>
          <cell r="F172" t="str">
            <v>Frankfurt am Main</v>
          </cell>
          <cell r="G172" t="str">
            <v>Germany</v>
          </cell>
          <cell r="K172" t="str">
            <v>Herbert Knötgen</v>
          </cell>
          <cell r="L172" t="str">
            <v>herbert.knoetgen@dws.com</v>
          </cell>
          <cell r="M172" t="str">
            <v>+49 (69) 910 - 14935</v>
          </cell>
          <cell r="Q172" t="str">
            <v>Luxembourg</v>
          </cell>
          <cell r="R172" t="str">
            <v>EUR</v>
          </cell>
          <cell r="S172" t="str">
            <v>Lux GAAP</v>
          </cell>
          <cell r="T172" t="str">
            <v>Annually</v>
          </cell>
          <cell r="U172" t="str">
            <v>Annually</v>
          </cell>
          <cell r="V172" t="str">
            <v>ImmoWertV</v>
          </cell>
          <cell r="W172" t="str">
            <v>KAGB</v>
          </cell>
          <cell r="X172" t="str">
            <v>PWC</v>
          </cell>
          <cell r="Y172" t="str">
            <v>Publikumsfonds</v>
          </cell>
          <cell r="Z172" t="str">
            <v>No</v>
          </cell>
          <cell r="AC172" t="str">
            <v>Non-Listed Fund</v>
          </cell>
          <cell r="AD172" t="str">
            <v>Core</v>
          </cell>
          <cell r="AE172" t="str">
            <v>finite</v>
          </cell>
          <cell r="AF172" t="str">
            <v>Closed end</v>
          </cell>
          <cell r="AN172" t="str">
            <v>Retail</v>
          </cell>
          <cell r="AO172" t="str">
            <v>&gt; 2</v>
          </cell>
          <cell r="AP172" t="str">
            <v>&lt; 50%</v>
          </cell>
          <cell r="AQ172" t="str">
            <v>Europe</v>
          </cell>
          <cell r="AR172" t="str">
            <v>single country</v>
          </cell>
          <cell r="AT172" t="str">
            <v>Turkey</v>
          </cell>
          <cell r="AU172" t="str">
            <v>single sector</v>
          </cell>
          <cell r="AV172" t="str">
            <v>Retail</v>
          </cell>
          <cell r="AY172">
            <v>2011</v>
          </cell>
          <cell r="BH172" t="str">
            <v>2018-12-31</v>
          </cell>
          <cell r="BI172">
            <v>236200000</v>
          </cell>
          <cell r="BJ172">
            <v>236200000</v>
          </cell>
          <cell r="BK172">
            <v>91520000</v>
          </cell>
          <cell r="BL172">
            <v>91520000</v>
          </cell>
          <cell r="BM172">
            <v>30.54</v>
          </cell>
          <cell r="BN172" t="str">
            <v>Yes</v>
          </cell>
          <cell r="BO172" t="str">
            <v>External</v>
          </cell>
          <cell r="BS172">
            <v>0</v>
          </cell>
          <cell r="BV172" t="str">
            <v>No</v>
          </cell>
          <cell r="BW172" t="str">
            <v>Turkey</v>
          </cell>
          <cell r="BX172" t="str">
            <v>Retail</v>
          </cell>
          <cell r="BY172">
            <v>100</v>
          </cell>
        </row>
        <row r="173">
          <cell r="A173">
            <v>19331</v>
          </cell>
          <cell r="B173" t="str">
            <v>DWS ACCESS WASSERKRAFT BETA</v>
          </cell>
          <cell r="C173" t="str">
            <v>DWS GRUNDBESITZ GMBH</v>
          </cell>
          <cell r="D173" t="str">
            <v>Mainzer Landstr. 11-17</v>
          </cell>
          <cell r="E173" t="str">
            <v xml:space="preserve">60329 </v>
          </cell>
          <cell r="F173" t="str">
            <v>Frankfurt am Main</v>
          </cell>
          <cell r="G173" t="str">
            <v>Germany</v>
          </cell>
          <cell r="K173" t="str">
            <v>Clemens Grünewald</v>
          </cell>
          <cell r="L173" t="str">
            <v>clemens.gruenewald@dws.com</v>
          </cell>
          <cell r="M173" t="str">
            <v>+49 (69) 910 - 14947</v>
          </cell>
          <cell r="Q173" t="str">
            <v>Germany</v>
          </cell>
          <cell r="R173" t="str">
            <v>EUR</v>
          </cell>
          <cell r="S173" t="str">
            <v>HGB</v>
          </cell>
          <cell r="T173" t="str">
            <v>Annually</v>
          </cell>
          <cell r="U173" t="str">
            <v>Annually</v>
          </cell>
          <cell r="V173" t="str">
            <v>DCF</v>
          </cell>
          <cell r="W173" t="str">
            <v>DCF</v>
          </cell>
          <cell r="X173" t="str">
            <v>KPMG</v>
          </cell>
          <cell r="Y173" t="str">
            <v>Publikumsfonds</v>
          </cell>
          <cell r="Z173" t="str">
            <v>No</v>
          </cell>
          <cell r="AC173" t="str">
            <v>Non-Listed Fund</v>
          </cell>
          <cell r="AD173" t="str">
            <v>Core</v>
          </cell>
          <cell r="AE173" t="str">
            <v>finite</v>
          </cell>
          <cell r="AF173" t="str">
            <v>Closed end</v>
          </cell>
          <cell r="AN173" t="str">
            <v>Institutional and Retail</v>
          </cell>
          <cell r="AO173" t="str">
            <v>&gt; 2</v>
          </cell>
          <cell r="AP173" t="str">
            <v>≥ 50%</v>
          </cell>
          <cell r="AQ173" t="str">
            <v>Europe</v>
          </cell>
          <cell r="AR173" t="str">
            <v>multi country</v>
          </cell>
          <cell r="AS173" t="str">
            <v>Europe</v>
          </cell>
          <cell r="AU173" t="str">
            <v>single sector</v>
          </cell>
          <cell r="AV173" t="str">
            <v>Other</v>
          </cell>
          <cell r="AY173">
            <v>2011</v>
          </cell>
        </row>
        <row r="174">
          <cell r="A174">
            <v>19323</v>
          </cell>
          <cell r="B174" t="str">
            <v>DWS ACCESS WOHNEN</v>
          </cell>
          <cell r="C174" t="str">
            <v>DWS GRUNDBESITZ GMBH</v>
          </cell>
          <cell r="D174" t="str">
            <v>Mainzer Landstr. 11-17</v>
          </cell>
          <cell r="E174" t="str">
            <v xml:space="preserve">60329 </v>
          </cell>
          <cell r="F174" t="str">
            <v>Frankfurt am Main</v>
          </cell>
          <cell r="G174" t="str">
            <v>Germany</v>
          </cell>
          <cell r="K174" t="str">
            <v>Toralf Steinhaus</v>
          </cell>
          <cell r="L174" t="str">
            <v>toralf.steinhaus@dws.com</v>
          </cell>
          <cell r="M174" t="str">
            <v>+49 (69) 910 - 14939</v>
          </cell>
          <cell r="Q174" t="str">
            <v>Germany</v>
          </cell>
          <cell r="R174" t="str">
            <v>EUR</v>
          </cell>
          <cell r="S174" t="str">
            <v>HGB</v>
          </cell>
          <cell r="T174" t="str">
            <v>Annually</v>
          </cell>
          <cell r="U174" t="str">
            <v>Annually</v>
          </cell>
          <cell r="V174" t="str">
            <v>ImmoWertV</v>
          </cell>
          <cell r="W174" t="str">
            <v>KAGB</v>
          </cell>
          <cell r="X174" t="str">
            <v>EY</v>
          </cell>
          <cell r="Y174" t="str">
            <v>Publikumsfonds</v>
          </cell>
          <cell r="Z174" t="str">
            <v>No</v>
          </cell>
          <cell r="AC174" t="str">
            <v>Non-Listed Fund</v>
          </cell>
          <cell r="AD174" t="str">
            <v>Core</v>
          </cell>
          <cell r="AE174" t="str">
            <v>finite</v>
          </cell>
          <cell r="AF174" t="str">
            <v>Closed end</v>
          </cell>
          <cell r="AN174" t="str">
            <v>Retail</v>
          </cell>
          <cell r="AO174" t="str">
            <v>&gt; 2</v>
          </cell>
          <cell r="AP174" t="str">
            <v>&lt; 50%</v>
          </cell>
          <cell r="AQ174" t="str">
            <v>Europe</v>
          </cell>
          <cell r="AR174" t="str">
            <v>single country</v>
          </cell>
          <cell r="AT174" t="str">
            <v>Germany</v>
          </cell>
          <cell r="AU174" t="str">
            <v>single sector</v>
          </cell>
          <cell r="AV174" t="str">
            <v>Residential</v>
          </cell>
          <cell r="AY174">
            <v>2009</v>
          </cell>
          <cell r="BH174" t="str">
            <v>2018-12-31</v>
          </cell>
          <cell r="BI174">
            <v>97775000</v>
          </cell>
          <cell r="BJ174">
            <v>97775000</v>
          </cell>
          <cell r="BK174">
            <v>65281885</v>
          </cell>
          <cell r="BL174">
            <v>65281885</v>
          </cell>
          <cell r="BM174">
            <v>36.04</v>
          </cell>
          <cell r="BN174" t="str">
            <v>Yes</v>
          </cell>
          <cell r="BO174" t="str">
            <v>External</v>
          </cell>
          <cell r="BP174">
            <v>0</v>
          </cell>
          <cell r="BQ174">
            <v>35</v>
          </cell>
          <cell r="BS174">
            <v>0</v>
          </cell>
          <cell r="BV174" t="str">
            <v>No</v>
          </cell>
          <cell r="BW174" t="str">
            <v>Germany</v>
          </cell>
          <cell r="BX174" t="str">
            <v>Residential</v>
          </cell>
          <cell r="BY174">
            <v>100</v>
          </cell>
        </row>
        <row r="175">
          <cell r="A175">
            <v>19324</v>
          </cell>
          <cell r="B175" t="str">
            <v>DWS ACCESS WOHNEN 2</v>
          </cell>
          <cell r="C175" t="str">
            <v>DWS GRUNDBESITZ GMBH</v>
          </cell>
          <cell r="D175" t="str">
            <v>Mainzer Landstr. 11-17</v>
          </cell>
          <cell r="E175" t="str">
            <v xml:space="preserve">60329 </v>
          </cell>
          <cell r="F175" t="str">
            <v>Frankfurt am Main</v>
          </cell>
          <cell r="G175" t="str">
            <v>Germany</v>
          </cell>
          <cell r="K175" t="str">
            <v>Toralf Steinhaus</v>
          </cell>
          <cell r="L175" t="str">
            <v>toralf.steinhaus@dws.com</v>
          </cell>
          <cell r="M175" t="str">
            <v>+49 (69) 910 - 14939</v>
          </cell>
          <cell r="Q175" t="str">
            <v>Germany</v>
          </cell>
          <cell r="R175" t="str">
            <v>EUR</v>
          </cell>
          <cell r="S175" t="str">
            <v>HGB</v>
          </cell>
          <cell r="T175" t="str">
            <v>Annually</v>
          </cell>
          <cell r="U175" t="str">
            <v>Annually</v>
          </cell>
          <cell r="V175" t="str">
            <v>ImmoWertV</v>
          </cell>
          <cell r="W175" t="str">
            <v>KAGB</v>
          </cell>
          <cell r="X175" t="str">
            <v>EY</v>
          </cell>
          <cell r="Y175" t="str">
            <v>Publikumsfonds</v>
          </cell>
          <cell r="Z175" t="str">
            <v>No</v>
          </cell>
          <cell r="AC175" t="str">
            <v>Non-Listed Fund</v>
          </cell>
          <cell r="AD175" t="str">
            <v>Core</v>
          </cell>
          <cell r="AE175" t="str">
            <v>finite</v>
          </cell>
          <cell r="AF175" t="str">
            <v>Closed end</v>
          </cell>
          <cell r="AN175" t="str">
            <v>Retail</v>
          </cell>
          <cell r="AO175" t="str">
            <v>&gt; 2</v>
          </cell>
          <cell r="AP175" t="str">
            <v>&lt; 50%</v>
          </cell>
          <cell r="AQ175" t="str">
            <v>Europe</v>
          </cell>
          <cell r="AR175" t="str">
            <v>single country</v>
          </cell>
          <cell r="AT175" t="str">
            <v>Germany</v>
          </cell>
          <cell r="AU175" t="str">
            <v>single sector</v>
          </cell>
          <cell r="AV175" t="str">
            <v>Residential</v>
          </cell>
          <cell r="AY175">
            <v>2010</v>
          </cell>
          <cell r="BH175" t="str">
            <v>2018-12-31</v>
          </cell>
          <cell r="BI175">
            <v>162969000</v>
          </cell>
          <cell r="BJ175">
            <v>162969000</v>
          </cell>
          <cell r="BK175">
            <v>113159765</v>
          </cell>
          <cell r="BL175">
            <v>113159765</v>
          </cell>
          <cell r="BM175">
            <v>38.770000000000003</v>
          </cell>
          <cell r="BN175" t="str">
            <v>Yes</v>
          </cell>
          <cell r="BO175" t="str">
            <v>External</v>
          </cell>
          <cell r="BS175">
            <v>0</v>
          </cell>
          <cell r="BV175" t="str">
            <v>No</v>
          </cell>
          <cell r="BW175" t="str">
            <v>Germany</v>
          </cell>
          <cell r="BX175" t="str">
            <v>Residential</v>
          </cell>
          <cell r="BY175">
            <v>100</v>
          </cell>
        </row>
        <row r="176">
          <cell r="A176">
            <v>19325</v>
          </cell>
          <cell r="B176" t="str">
            <v>DWS ACCESS WOHNEN 3</v>
          </cell>
          <cell r="C176" t="str">
            <v>DWS GRUNDBESITZ GMBH</v>
          </cell>
          <cell r="D176" t="str">
            <v>Mainzer Landstr. 11-17</v>
          </cell>
          <cell r="E176" t="str">
            <v xml:space="preserve">60329 </v>
          </cell>
          <cell r="F176" t="str">
            <v>Frankfurt am Main</v>
          </cell>
          <cell r="G176" t="str">
            <v>Germany</v>
          </cell>
          <cell r="K176" t="str">
            <v>Toralf Steinhaus</v>
          </cell>
          <cell r="L176" t="str">
            <v>toralf.steinhaus@dws.com</v>
          </cell>
          <cell r="M176" t="str">
            <v>+49 (69) 910 - 14939</v>
          </cell>
          <cell r="Q176" t="str">
            <v>Germany</v>
          </cell>
          <cell r="R176" t="str">
            <v>EUR</v>
          </cell>
          <cell r="S176" t="str">
            <v>HGB</v>
          </cell>
          <cell r="T176" t="str">
            <v>Annually</v>
          </cell>
          <cell r="U176" t="str">
            <v>Annually</v>
          </cell>
          <cell r="V176" t="str">
            <v>ImmoWertV</v>
          </cell>
          <cell r="W176" t="str">
            <v>KAGB</v>
          </cell>
          <cell r="X176" t="str">
            <v>EY</v>
          </cell>
          <cell r="Y176" t="str">
            <v>Publikumsfonds</v>
          </cell>
          <cell r="Z176" t="str">
            <v>No</v>
          </cell>
          <cell r="AC176" t="str">
            <v>Non-Listed Fund</v>
          </cell>
          <cell r="AD176" t="str">
            <v>Core</v>
          </cell>
          <cell r="AE176" t="str">
            <v>finite</v>
          </cell>
          <cell r="AF176" t="str">
            <v>Closed end</v>
          </cell>
          <cell r="AN176" t="str">
            <v>Retail</v>
          </cell>
          <cell r="AO176" t="str">
            <v>&gt; 2</v>
          </cell>
          <cell r="AP176" t="str">
            <v>&lt; 50%</v>
          </cell>
          <cell r="AQ176" t="str">
            <v>Europe</v>
          </cell>
          <cell r="AR176" t="str">
            <v>single country</v>
          </cell>
          <cell r="AT176" t="str">
            <v>Germany</v>
          </cell>
          <cell r="AU176" t="str">
            <v>single sector</v>
          </cell>
          <cell r="AV176" t="str">
            <v>Residential</v>
          </cell>
          <cell r="AY176">
            <v>2012</v>
          </cell>
          <cell r="BH176" t="str">
            <v>2018-12-31</v>
          </cell>
          <cell r="BI176">
            <v>75525000</v>
          </cell>
          <cell r="BJ176">
            <v>75525000</v>
          </cell>
          <cell r="BK176">
            <v>63676165</v>
          </cell>
          <cell r="BL176">
            <v>63676165</v>
          </cell>
          <cell r="BM176">
            <v>43.59</v>
          </cell>
          <cell r="BN176" t="str">
            <v>Yes</v>
          </cell>
          <cell r="BO176" t="str">
            <v>External</v>
          </cell>
          <cell r="BP176">
            <v>0</v>
          </cell>
          <cell r="BQ176">
            <v>38</v>
          </cell>
          <cell r="BS176">
            <v>0</v>
          </cell>
          <cell r="BV176" t="str">
            <v>No</v>
          </cell>
          <cell r="BW176" t="str">
            <v>Germany</v>
          </cell>
          <cell r="BX176" t="str">
            <v>Residential</v>
          </cell>
          <cell r="BY176">
            <v>100</v>
          </cell>
        </row>
        <row r="177">
          <cell r="A177">
            <v>19333</v>
          </cell>
          <cell r="B177" t="str">
            <v>DWS ACCESS WOHNEN INSTITUTIONAL NOTES</v>
          </cell>
          <cell r="C177" t="str">
            <v>DWS GRUNDBESITZ GMBH</v>
          </cell>
          <cell r="D177" t="str">
            <v>Mainzer Landstr. 11-17</v>
          </cell>
          <cell r="E177" t="str">
            <v xml:space="preserve">60329 </v>
          </cell>
          <cell r="F177" t="str">
            <v>Frankfurt am Main</v>
          </cell>
          <cell r="G177" t="str">
            <v>Germany</v>
          </cell>
          <cell r="K177" t="str">
            <v>Burkhard Meldt</v>
          </cell>
          <cell r="L177" t="str">
            <v>burkhard.meldt@dws.com</v>
          </cell>
          <cell r="M177" t="str">
            <v>+49 (69) 910 - 14940</v>
          </cell>
          <cell r="Q177" t="str">
            <v>Luxembourg</v>
          </cell>
          <cell r="R177" t="str">
            <v>EUR</v>
          </cell>
          <cell r="S177" t="str">
            <v>IFRS</v>
          </cell>
          <cell r="T177" t="str">
            <v>Annually</v>
          </cell>
          <cell r="U177" t="str">
            <v>Annually</v>
          </cell>
          <cell r="V177" t="str">
            <v>ImmoWertV</v>
          </cell>
          <cell r="W177" t="str">
            <v>KAGB</v>
          </cell>
          <cell r="X177" t="str">
            <v>EY</v>
          </cell>
          <cell r="Y177" t="str">
            <v>Publikumsfonds</v>
          </cell>
          <cell r="Z177" t="str">
            <v>No</v>
          </cell>
          <cell r="AC177" t="str">
            <v>Non-Listed Fund</v>
          </cell>
          <cell r="AD177" t="str">
            <v>Core</v>
          </cell>
          <cell r="AE177" t="str">
            <v>finite</v>
          </cell>
          <cell r="AF177" t="str">
            <v>Closed end</v>
          </cell>
          <cell r="AN177" t="str">
            <v>Institutional and Retail</v>
          </cell>
          <cell r="AO177" t="str">
            <v>&gt; 2</v>
          </cell>
          <cell r="AP177" t="str">
            <v>&lt; 50%</v>
          </cell>
          <cell r="AQ177" t="str">
            <v>Europe</v>
          </cell>
          <cell r="AR177" t="str">
            <v>single country</v>
          </cell>
          <cell r="AT177" t="str">
            <v>Germany</v>
          </cell>
          <cell r="AU177" t="str">
            <v>single sector</v>
          </cell>
          <cell r="AV177" t="str">
            <v>Residential</v>
          </cell>
          <cell r="AY177">
            <v>2012</v>
          </cell>
          <cell r="BH177" t="str">
            <v>2018-12-31</v>
          </cell>
          <cell r="BI177">
            <v>29160000</v>
          </cell>
          <cell r="BJ177">
            <v>29160000</v>
          </cell>
          <cell r="BK177">
            <v>19504800</v>
          </cell>
          <cell r="BL177">
            <v>19504800</v>
          </cell>
          <cell r="BM177">
            <v>47.96</v>
          </cell>
          <cell r="BN177" t="str">
            <v>Yes</v>
          </cell>
          <cell r="BO177" t="str">
            <v>External</v>
          </cell>
          <cell r="BP177">
            <v>10</v>
          </cell>
          <cell r="BQ177">
            <v>22</v>
          </cell>
          <cell r="BS177">
            <v>0</v>
          </cell>
          <cell r="BV177" t="str">
            <v>No</v>
          </cell>
          <cell r="BW177" t="str">
            <v>Germany</v>
          </cell>
          <cell r="BX177" t="str">
            <v>Residential</v>
          </cell>
          <cell r="BY177">
            <v>100</v>
          </cell>
        </row>
        <row r="178">
          <cell r="A178">
            <v>45</v>
          </cell>
          <cell r="B178" t="str">
            <v>EAST CAPITAL BALTIC PROPERTY FUND AB</v>
          </cell>
          <cell r="C178" t="str">
            <v>EAST CAPITAL REAL ESTATE AS</v>
          </cell>
          <cell r="D178" t="str">
            <v>Tartu mnt. 2</v>
          </cell>
          <cell r="E178" t="str">
            <v>EE-10145</v>
          </cell>
          <cell r="F178" t="str">
            <v>Tallin</v>
          </cell>
          <cell r="G178" t="str">
            <v>Estonia</v>
          </cell>
          <cell r="H178" t="str">
            <v>+3726406650</v>
          </cell>
          <cell r="I178" t="str">
            <v>+3726144540</v>
          </cell>
          <cell r="J178" t="str">
            <v>http://www.eastcapital.com</v>
          </cell>
          <cell r="K178" t="str">
            <v>Madis Raidma</v>
          </cell>
          <cell r="L178" t="str">
            <v>madis.raidman@eastcapital.com</v>
          </cell>
          <cell r="M178" t="str">
            <v>+3726406655</v>
          </cell>
          <cell r="N178" t="str">
            <v>Torbjörn Odenhagen</v>
          </cell>
          <cell r="O178" t="str">
            <v>torbjorn.odenhagen@eastcapital.com</v>
          </cell>
          <cell r="P178" t="str">
            <v>+46 (0) 8 505 885 16</v>
          </cell>
          <cell r="Q178" t="str">
            <v>Sweden</v>
          </cell>
          <cell r="R178" t="str">
            <v>EUR</v>
          </cell>
          <cell r="S178" t="str">
            <v>IFRS</v>
          </cell>
          <cell r="T178" t="str">
            <v>Annually</v>
          </cell>
          <cell r="U178" t="str">
            <v>Annually</v>
          </cell>
          <cell r="V178" t="str">
            <v>RICS</v>
          </cell>
          <cell r="X178" t="str">
            <v>KPMG</v>
          </cell>
          <cell r="Y178" t="str">
            <v>Limited Liability Company</v>
          </cell>
          <cell r="Z178" t="str">
            <v>No</v>
          </cell>
          <cell r="AA178" t="str">
            <v>No</v>
          </cell>
          <cell r="AB178">
            <v>0</v>
          </cell>
          <cell r="AC178" t="str">
            <v>Non-Listed Fund</v>
          </cell>
          <cell r="AD178" t="str">
            <v>Value-added</v>
          </cell>
          <cell r="AE178" t="str">
            <v>finite</v>
          </cell>
          <cell r="AF178" t="str">
            <v>Closed end</v>
          </cell>
          <cell r="AG178">
            <v>15</v>
          </cell>
          <cell r="AH178">
            <v>15</v>
          </cell>
          <cell r="AJ178" t="str">
            <v>None</v>
          </cell>
          <cell r="AK178">
            <v>5</v>
          </cell>
          <cell r="AL178">
            <v>65</v>
          </cell>
          <cell r="AM178" t="str">
            <v>&gt; 60%</v>
          </cell>
          <cell r="AN178" t="str">
            <v>Institutional and Retail</v>
          </cell>
          <cell r="AO178" t="str">
            <v>&gt; 2</v>
          </cell>
          <cell r="AP178" t="str">
            <v>≥ 50%</v>
          </cell>
          <cell r="AQ178" t="str">
            <v>Europe</v>
          </cell>
          <cell r="AR178" t="str">
            <v>multi country</v>
          </cell>
          <cell r="AS178" t="str">
            <v>Central and Eastern Europe(CEE)</v>
          </cell>
          <cell r="AU178" t="str">
            <v>multi sector</v>
          </cell>
          <cell r="AW178">
            <v>55100000</v>
          </cell>
          <cell r="AX178">
            <v>150000000</v>
          </cell>
          <cell r="AY178">
            <v>2005</v>
          </cell>
          <cell r="AZ178">
            <v>2014</v>
          </cell>
          <cell r="BA178" t="str">
            <v>Yes</v>
          </cell>
          <cell r="BB178" t="str">
            <v>Yes</v>
          </cell>
          <cell r="BC178" t="str">
            <v>1+1 years</v>
          </cell>
          <cell r="BH178" t="str">
            <v>2012-03-31</v>
          </cell>
          <cell r="BI178">
            <v>121600000</v>
          </cell>
          <cell r="BJ178">
            <v>121600000</v>
          </cell>
          <cell r="BK178">
            <v>35200000</v>
          </cell>
          <cell r="BL178">
            <v>35200000</v>
          </cell>
          <cell r="BM178">
            <v>81.400000000000006</v>
          </cell>
          <cell r="BN178" t="str">
            <v>No</v>
          </cell>
          <cell r="BO178" t="str">
            <v>External</v>
          </cell>
          <cell r="BP178">
            <v>5</v>
          </cell>
          <cell r="BQ178">
            <v>16</v>
          </cell>
          <cell r="BR178">
            <v>55100000</v>
          </cell>
          <cell r="BS178">
            <v>55100000</v>
          </cell>
          <cell r="BT178">
            <v>55100000</v>
          </cell>
          <cell r="BU178">
            <v>55100000</v>
          </cell>
          <cell r="BW178" t="str">
            <v>Estonia</v>
          </cell>
          <cell r="BX178" t="str">
            <v>Office</v>
          </cell>
          <cell r="BY178">
            <v>17.8</v>
          </cell>
          <cell r="BZ178" t="str">
            <v>Estonia</v>
          </cell>
          <cell r="CA178" t="str">
            <v>Retail</v>
          </cell>
          <cell r="CB178">
            <v>34.700000000000003</v>
          </cell>
          <cell r="CC178" t="str">
            <v>Estonia</v>
          </cell>
          <cell r="CD178" t="str">
            <v>Industrial / Logistics</v>
          </cell>
          <cell r="CE178">
            <v>14.8</v>
          </cell>
          <cell r="CF178" t="str">
            <v>Latvia</v>
          </cell>
          <cell r="CG178" t="str">
            <v>Office</v>
          </cell>
          <cell r="CH178">
            <v>11.2</v>
          </cell>
          <cell r="CI178" t="str">
            <v>Latvia</v>
          </cell>
          <cell r="CJ178" t="str">
            <v>Retail</v>
          </cell>
          <cell r="CK178">
            <v>1.3</v>
          </cell>
          <cell r="CL178" t="str">
            <v>Latvia</v>
          </cell>
          <cell r="CM178" t="str">
            <v>Industrial / Logistics</v>
          </cell>
          <cell r="CN178">
            <v>0.3</v>
          </cell>
          <cell r="CO178" t="str">
            <v>Lithuania</v>
          </cell>
          <cell r="CP178" t="str">
            <v>Office</v>
          </cell>
          <cell r="CQ178">
            <v>7.4</v>
          </cell>
          <cell r="CR178" t="str">
            <v>Lithuania</v>
          </cell>
          <cell r="CS178" t="str">
            <v>Retail</v>
          </cell>
          <cell r="CT178">
            <v>4.8</v>
          </cell>
          <cell r="CU178" t="str">
            <v>Lithuania</v>
          </cell>
          <cell r="CV178" t="str">
            <v>Industrial / Logistics</v>
          </cell>
          <cell r="CW178">
            <v>0.2</v>
          </cell>
        </row>
        <row r="179">
          <cell r="A179">
            <v>630</v>
          </cell>
          <cell r="B179" t="str">
            <v>EAST CAPITAL BALTIC PROPERTY FUND II AB</v>
          </cell>
          <cell r="C179" t="str">
            <v>EAST CAPITAL PRIVATE EQUITY AS</v>
          </cell>
          <cell r="D179" t="str">
            <v>Tartu mnt. 2</v>
          </cell>
          <cell r="E179" t="str">
            <v>EE-10145</v>
          </cell>
          <cell r="F179" t="str">
            <v>Tallin</v>
          </cell>
          <cell r="G179" t="str">
            <v>Estonia</v>
          </cell>
          <cell r="H179" t="str">
            <v>+372 640 6650</v>
          </cell>
          <cell r="I179" t="str">
            <v>+372 614 4540</v>
          </cell>
          <cell r="J179" t="str">
            <v>http://www.eastcapital.com</v>
          </cell>
          <cell r="K179" t="str">
            <v>Tornbjorn Odenhagen</v>
          </cell>
          <cell r="L179" t="str">
            <v>tornbjorn.odenhagen@eastcapital.com</v>
          </cell>
          <cell r="M179" t="str">
            <v>+46 8 505 88 516</v>
          </cell>
          <cell r="N179" t="str">
            <v>Madis Raidma</v>
          </cell>
          <cell r="O179" t="str">
            <v>madis.raidma@eastcapital.com</v>
          </cell>
          <cell r="P179" t="str">
            <v>+372 640 6655</v>
          </cell>
          <cell r="Q179" t="str">
            <v>Luxembourg</v>
          </cell>
          <cell r="R179" t="str">
            <v>EUR</v>
          </cell>
          <cell r="S179" t="str">
            <v>IFRS</v>
          </cell>
          <cell r="T179" t="str">
            <v>Annually</v>
          </cell>
          <cell r="U179" t="str">
            <v>Annually</v>
          </cell>
          <cell r="V179" t="str">
            <v>RICS</v>
          </cell>
          <cell r="X179" t="str">
            <v>KPMG</v>
          </cell>
          <cell r="Y179" t="str">
            <v>SICAV-SIF SCA</v>
          </cell>
          <cell r="Z179" t="str">
            <v>No</v>
          </cell>
          <cell r="AA179" t="str">
            <v>No</v>
          </cell>
          <cell r="AB179">
            <v>0</v>
          </cell>
          <cell r="AC179" t="str">
            <v>Non-Listed Fund</v>
          </cell>
          <cell r="AD179" t="str">
            <v>Value-added</v>
          </cell>
          <cell r="AE179" t="str">
            <v>finite</v>
          </cell>
          <cell r="AF179" t="str">
            <v>Closed end</v>
          </cell>
          <cell r="AG179">
            <v>15</v>
          </cell>
          <cell r="AH179">
            <v>15</v>
          </cell>
          <cell r="AJ179" t="str">
            <v>None</v>
          </cell>
          <cell r="AK179">
            <v>5</v>
          </cell>
          <cell r="AL179">
            <v>65</v>
          </cell>
          <cell r="AN179" t="str">
            <v>Institutional and Retail</v>
          </cell>
          <cell r="AO179" t="str">
            <v>&gt; 2</v>
          </cell>
          <cell r="AP179" t="str">
            <v>≥ 50%</v>
          </cell>
          <cell r="AQ179" t="str">
            <v>Europe</v>
          </cell>
          <cell r="AR179" t="str">
            <v>multi country</v>
          </cell>
          <cell r="AS179" t="str">
            <v>Central and Eastern Europe(CEE)</v>
          </cell>
          <cell r="AU179" t="str">
            <v>multi sector</v>
          </cell>
          <cell r="AW179">
            <v>50000000</v>
          </cell>
          <cell r="AX179">
            <v>150000000</v>
          </cell>
          <cell r="AY179">
            <v>2011</v>
          </cell>
          <cell r="AZ179">
            <v>2019</v>
          </cell>
          <cell r="BA179" t="str">
            <v>Yes</v>
          </cell>
          <cell r="BB179" t="str">
            <v>Yes</v>
          </cell>
          <cell r="BC179" t="str">
            <v>1 year</v>
          </cell>
          <cell r="BH179" t="str">
            <v>2012-12-31</v>
          </cell>
          <cell r="BJ179">
            <v>0</v>
          </cell>
          <cell r="BL179">
            <v>0</v>
          </cell>
          <cell r="BS179">
            <v>0</v>
          </cell>
          <cell r="BV179" t="str">
            <v>Yes</v>
          </cell>
        </row>
        <row r="180">
          <cell r="A180">
            <v>17476</v>
          </cell>
          <cell r="B180" t="str">
            <v>ECE EUROPEAN PRIME SHOPPING CENTRE II A SCSP SIF</v>
          </cell>
          <cell r="C180" t="str">
            <v>ECE REAL ESTATE PARTNERS S.à R.L.</v>
          </cell>
          <cell r="D180" t="str">
            <v>17, rue Edmond Reuter</v>
          </cell>
          <cell r="E180">
            <v>5326</v>
          </cell>
          <cell r="F180" t="str">
            <v>Contern</v>
          </cell>
          <cell r="G180" t="str">
            <v>Luxembourg</v>
          </cell>
          <cell r="H180" t="str">
            <v>+352 26785929 20</v>
          </cell>
          <cell r="N180" t="str">
            <v>José María Ortiz</v>
          </cell>
          <cell r="O180" t="str">
            <v>JoseMaria.Ortiz@ece.com</v>
          </cell>
          <cell r="P180" t="str">
            <v>+352 26785929 20</v>
          </cell>
          <cell r="Q180" t="str">
            <v>Luxembourg</v>
          </cell>
          <cell r="R180" t="str">
            <v>EUR</v>
          </cell>
          <cell r="S180" t="str">
            <v>IFRS</v>
          </cell>
          <cell r="T180" t="str">
            <v>Quarterly</v>
          </cell>
          <cell r="U180" t="str">
            <v>Twice per year</v>
          </cell>
          <cell r="V180" t="str">
            <v>Other - mark to market</v>
          </cell>
          <cell r="W180" t="str">
            <v>INREV NAV</v>
          </cell>
          <cell r="X180" t="str">
            <v>Ernst and Young</v>
          </cell>
          <cell r="Y180" t="str">
            <v>Spezialfonds</v>
          </cell>
          <cell r="Z180" t="str">
            <v>Yes</v>
          </cell>
          <cell r="AA180" t="str">
            <v>Yes</v>
          </cell>
          <cell r="AB180">
            <v>3</v>
          </cell>
          <cell r="AC180" t="str">
            <v>Non-Listed Fund</v>
          </cell>
          <cell r="AD180" t="str">
            <v>Value-added</v>
          </cell>
          <cell r="AE180" t="str">
            <v>finite</v>
          </cell>
          <cell r="AF180" t="str">
            <v>Closed end</v>
          </cell>
          <cell r="AG180">
            <v>12</v>
          </cell>
          <cell r="AH180">
            <v>14</v>
          </cell>
          <cell r="AI180" t="str">
            <v>Gross</v>
          </cell>
          <cell r="AK180">
            <v>5</v>
          </cell>
          <cell r="AL180">
            <v>50</v>
          </cell>
          <cell r="AM180" t="str">
            <v>&gt; 40% - ≤ 60%</v>
          </cell>
          <cell r="AN180" t="str">
            <v>Institutional</v>
          </cell>
          <cell r="AO180" t="str">
            <v>&gt; 2</v>
          </cell>
          <cell r="AP180" t="str">
            <v>≥ 50%</v>
          </cell>
          <cell r="AQ180" t="str">
            <v>Europe</v>
          </cell>
          <cell r="AR180" t="str">
            <v>multi country</v>
          </cell>
          <cell r="AS180" t="str">
            <v>Europe</v>
          </cell>
          <cell r="AU180" t="str">
            <v>single sector</v>
          </cell>
          <cell r="AV180" t="str">
            <v>Retail</v>
          </cell>
          <cell r="AW180">
            <v>528700000</v>
          </cell>
          <cell r="AY180">
            <v>2014</v>
          </cell>
          <cell r="AZ180">
            <v>2024</v>
          </cell>
          <cell r="BA180" t="str">
            <v>Yes</v>
          </cell>
          <cell r="BB180" t="str">
            <v>Yes</v>
          </cell>
          <cell r="BC180" t="str">
            <v>1+1+1 years</v>
          </cell>
          <cell r="BD180" t="str">
            <v>No</v>
          </cell>
          <cell r="BE180" t="str">
            <v>≥ 60%</v>
          </cell>
          <cell r="BF180" t="str">
            <v>≤ 15%</v>
          </cell>
          <cell r="BG180" t="str">
            <v>≤ 5%</v>
          </cell>
          <cell r="BH180" t="str">
            <v>2020-09-30</v>
          </cell>
          <cell r="BI180">
            <v>201391257</v>
          </cell>
          <cell r="BJ180">
            <v>201391257</v>
          </cell>
          <cell r="BK180">
            <v>189551144</v>
          </cell>
          <cell r="BL180">
            <v>189551144</v>
          </cell>
          <cell r="BM180">
            <v>58.77</v>
          </cell>
          <cell r="BN180" t="str">
            <v>No</v>
          </cell>
          <cell r="BO180" t="str">
            <v>Internal</v>
          </cell>
          <cell r="BP180">
            <v>5</v>
          </cell>
          <cell r="BQ180">
            <v>11</v>
          </cell>
          <cell r="BR180">
            <v>217500000</v>
          </cell>
          <cell r="BS180">
            <v>217500000</v>
          </cell>
          <cell r="BT180">
            <v>186387454</v>
          </cell>
          <cell r="BU180">
            <v>186387454</v>
          </cell>
          <cell r="BV180" t="str">
            <v>No</v>
          </cell>
          <cell r="BW180" t="str">
            <v>Hungary</v>
          </cell>
          <cell r="BX180" t="str">
            <v>Retail</v>
          </cell>
          <cell r="BY180">
            <v>7</v>
          </cell>
          <cell r="BZ180" t="str">
            <v>Italy</v>
          </cell>
          <cell r="CA180" t="str">
            <v>Retail</v>
          </cell>
          <cell r="CB180">
            <v>16</v>
          </cell>
          <cell r="CC180" t="str">
            <v>Spain</v>
          </cell>
          <cell r="CD180" t="str">
            <v>Retail</v>
          </cell>
          <cell r="CE180">
            <v>17</v>
          </cell>
          <cell r="CF180" t="str">
            <v>Poland</v>
          </cell>
          <cell r="CG180" t="str">
            <v>Retail</v>
          </cell>
          <cell r="CH180">
            <v>25</v>
          </cell>
          <cell r="CI180" t="str">
            <v>Germany</v>
          </cell>
          <cell r="CJ180" t="str">
            <v>Retail</v>
          </cell>
          <cell r="CK180">
            <v>35</v>
          </cell>
        </row>
        <row r="181">
          <cell r="A181">
            <v>17477</v>
          </cell>
          <cell r="B181" t="str">
            <v>ECE EUROPEAN PRIME SHOPPING CENTRE II B, SCSP</v>
          </cell>
          <cell r="C181" t="str">
            <v>ECE REAL ESTATE PARTNERS S.à R.L.</v>
          </cell>
          <cell r="D181" t="str">
            <v>17, rue Edmond Reuter</v>
          </cell>
          <cell r="E181">
            <v>5326</v>
          </cell>
          <cell r="F181" t="str">
            <v>Contern</v>
          </cell>
          <cell r="G181" t="str">
            <v>Luxembourg</v>
          </cell>
          <cell r="H181" t="str">
            <v>+352 26785929 20</v>
          </cell>
          <cell r="N181" t="str">
            <v>José María Ortiz</v>
          </cell>
          <cell r="O181" t="str">
            <v>josemaria.ortiz@ece.com</v>
          </cell>
          <cell r="P181" t="str">
            <v>+352 26785929 20</v>
          </cell>
          <cell r="Q181" t="str">
            <v>Luxembourg</v>
          </cell>
          <cell r="R181" t="str">
            <v>EUR</v>
          </cell>
          <cell r="S181" t="str">
            <v>IFRS</v>
          </cell>
          <cell r="T181" t="str">
            <v>Quarterly</v>
          </cell>
          <cell r="U181" t="str">
            <v>Twice per year</v>
          </cell>
          <cell r="V181" t="str">
            <v>Other - mark to market</v>
          </cell>
          <cell r="W181" t="str">
            <v>INREV NAV</v>
          </cell>
          <cell r="X181" t="str">
            <v>Ernst and Young</v>
          </cell>
          <cell r="Y181" t="str">
            <v>SCSp</v>
          </cell>
          <cell r="Z181" t="str">
            <v>Yes</v>
          </cell>
          <cell r="AA181" t="str">
            <v>Yes</v>
          </cell>
          <cell r="AB181">
            <v>3</v>
          </cell>
          <cell r="AC181" t="str">
            <v>Non-Listed Fund</v>
          </cell>
          <cell r="AD181" t="str">
            <v>Value-added</v>
          </cell>
          <cell r="AE181" t="str">
            <v>finite</v>
          </cell>
          <cell r="AF181" t="str">
            <v>Closed end</v>
          </cell>
          <cell r="AG181">
            <v>12</v>
          </cell>
          <cell r="AH181">
            <v>14</v>
          </cell>
          <cell r="AI181" t="str">
            <v>Gross</v>
          </cell>
          <cell r="AK181">
            <v>5</v>
          </cell>
          <cell r="AL181">
            <v>50</v>
          </cell>
          <cell r="AM181" t="str">
            <v>&gt; 40% - ≤ 60%</v>
          </cell>
          <cell r="AN181" t="str">
            <v>Institutional</v>
          </cell>
          <cell r="AO181" t="str">
            <v>&gt; 2</v>
          </cell>
          <cell r="AP181" t="str">
            <v>≥ 50%</v>
          </cell>
          <cell r="AQ181" t="str">
            <v>Europe</v>
          </cell>
          <cell r="AR181" t="str">
            <v>multi country</v>
          </cell>
          <cell r="AS181" t="str">
            <v>Europe</v>
          </cell>
          <cell r="AU181" t="str">
            <v>single sector</v>
          </cell>
          <cell r="AV181" t="str">
            <v>Retail</v>
          </cell>
          <cell r="AW181">
            <v>528700000</v>
          </cell>
          <cell r="AY181">
            <v>2014</v>
          </cell>
          <cell r="AZ181">
            <v>2024</v>
          </cell>
          <cell r="BA181" t="str">
            <v>Yes</v>
          </cell>
          <cell r="BB181" t="str">
            <v>Yes</v>
          </cell>
          <cell r="BC181" t="str">
            <v>1+1+1 years</v>
          </cell>
          <cell r="BD181" t="str">
            <v>No</v>
          </cell>
          <cell r="BE181" t="str">
            <v>≥ 60%</v>
          </cell>
          <cell r="BF181" t="str">
            <v>≤ 15%</v>
          </cell>
          <cell r="BG181" t="str">
            <v>≤ 5%</v>
          </cell>
          <cell r="BH181" t="str">
            <v>2020-09-30</v>
          </cell>
          <cell r="BI181">
            <v>203756491</v>
          </cell>
          <cell r="BJ181">
            <v>203756491</v>
          </cell>
          <cell r="BK181">
            <v>191814286</v>
          </cell>
          <cell r="BL181">
            <v>191814286</v>
          </cell>
          <cell r="BM181">
            <v>58.77</v>
          </cell>
          <cell r="BN181" t="str">
            <v>No</v>
          </cell>
          <cell r="BO181" t="str">
            <v>Internal</v>
          </cell>
          <cell r="BP181">
            <v>4</v>
          </cell>
          <cell r="BQ181">
            <v>11</v>
          </cell>
          <cell r="BR181">
            <v>220000000</v>
          </cell>
          <cell r="BS181">
            <v>220000000</v>
          </cell>
          <cell r="BT181">
            <v>188529838</v>
          </cell>
          <cell r="BU181">
            <v>188529838</v>
          </cell>
          <cell r="BV181" t="str">
            <v>No</v>
          </cell>
          <cell r="BW181" t="str">
            <v>Spain</v>
          </cell>
          <cell r="BX181" t="str">
            <v>Retail</v>
          </cell>
          <cell r="BY181">
            <v>17</v>
          </cell>
          <cell r="BZ181" t="str">
            <v>Hungary</v>
          </cell>
          <cell r="CA181" t="str">
            <v>Retail</v>
          </cell>
          <cell r="CB181">
            <v>7</v>
          </cell>
          <cell r="CC181" t="str">
            <v>Poland</v>
          </cell>
          <cell r="CD181" t="str">
            <v>Retail</v>
          </cell>
          <cell r="CE181">
            <v>25</v>
          </cell>
          <cell r="CF181" t="str">
            <v>Italy</v>
          </cell>
          <cell r="CG181" t="str">
            <v>Retail</v>
          </cell>
          <cell r="CH181">
            <v>16</v>
          </cell>
          <cell r="CI181" t="str">
            <v>Germany</v>
          </cell>
          <cell r="CJ181" t="str">
            <v>Retail</v>
          </cell>
          <cell r="CK181">
            <v>35</v>
          </cell>
        </row>
        <row r="182">
          <cell r="A182">
            <v>17479</v>
          </cell>
          <cell r="B182" t="str">
            <v>ECE EUROPEAN PRIME SHOPPING CENTRE II C SCSP SIF</v>
          </cell>
          <cell r="C182" t="str">
            <v>ECE REAL ESTATE PARTNERS S.à R.L.</v>
          </cell>
          <cell r="D182" t="str">
            <v>17, rue Edmond Reuter</v>
          </cell>
          <cell r="E182">
            <v>5326</v>
          </cell>
          <cell r="F182" t="str">
            <v>Contern</v>
          </cell>
          <cell r="G182" t="str">
            <v>Luxembourg</v>
          </cell>
          <cell r="H182" t="str">
            <v>+352 26785929 20</v>
          </cell>
          <cell r="N182" t="str">
            <v>José María Ortiz</v>
          </cell>
          <cell r="O182" t="str">
            <v>josemaria.ortiz@ece.com</v>
          </cell>
          <cell r="P182" t="str">
            <v>+352 26785929 20</v>
          </cell>
          <cell r="Q182" t="str">
            <v>Luxembourg</v>
          </cell>
          <cell r="R182" t="str">
            <v>EUR</v>
          </cell>
          <cell r="S182" t="str">
            <v>IFRS</v>
          </cell>
          <cell r="T182" t="str">
            <v>Quarterly</v>
          </cell>
          <cell r="U182" t="str">
            <v>Twice per year</v>
          </cell>
          <cell r="V182" t="str">
            <v>Other - mark to market</v>
          </cell>
          <cell r="W182" t="str">
            <v>INREV NAV</v>
          </cell>
          <cell r="X182" t="str">
            <v>Ernst and Young</v>
          </cell>
          <cell r="Y182" t="str">
            <v>Spezialfonds</v>
          </cell>
          <cell r="Z182" t="str">
            <v>Yes</v>
          </cell>
          <cell r="AA182" t="str">
            <v>Yes</v>
          </cell>
          <cell r="AB182">
            <v>3</v>
          </cell>
          <cell r="AC182" t="str">
            <v>Non-Listed Fund</v>
          </cell>
          <cell r="AD182" t="str">
            <v>Value-added</v>
          </cell>
          <cell r="AE182" t="str">
            <v>finite</v>
          </cell>
          <cell r="AF182" t="str">
            <v>Closed end</v>
          </cell>
          <cell r="AG182">
            <v>12</v>
          </cell>
          <cell r="AH182">
            <v>14</v>
          </cell>
          <cell r="AI182" t="str">
            <v>Gross</v>
          </cell>
          <cell r="AK182">
            <v>5</v>
          </cell>
          <cell r="AL182">
            <v>50</v>
          </cell>
          <cell r="AM182" t="str">
            <v>&gt; 40% - ≤ 60%</v>
          </cell>
          <cell r="AN182" t="str">
            <v>Institutional</v>
          </cell>
          <cell r="AO182" t="str">
            <v>&gt; 2</v>
          </cell>
          <cell r="AP182" t="str">
            <v>≥ 50%</v>
          </cell>
          <cell r="AQ182" t="str">
            <v>Europe</v>
          </cell>
          <cell r="AR182" t="str">
            <v>multi country</v>
          </cell>
          <cell r="AS182" t="str">
            <v>Europe</v>
          </cell>
          <cell r="AU182" t="str">
            <v>single sector</v>
          </cell>
          <cell r="AV182" t="str">
            <v>Retail</v>
          </cell>
          <cell r="AW182">
            <v>528700000</v>
          </cell>
          <cell r="AY182">
            <v>2014</v>
          </cell>
          <cell r="AZ182">
            <v>2024</v>
          </cell>
          <cell r="BA182" t="str">
            <v>Yes</v>
          </cell>
          <cell r="BB182" t="str">
            <v>Yes</v>
          </cell>
          <cell r="BD182" t="str">
            <v>No</v>
          </cell>
          <cell r="BE182" t="str">
            <v>≥ 60%</v>
          </cell>
          <cell r="BF182" t="str">
            <v>≤ 15%</v>
          </cell>
          <cell r="BG182" t="str">
            <v>≤ 5%</v>
          </cell>
          <cell r="BH182" t="str">
            <v>2020-09-30</v>
          </cell>
          <cell r="BI182">
            <v>382507229</v>
          </cell>
          <cell r="BJ182">
            <v>382507229</v>
          </cell>
          <cell r="BK182">
            <v>361010998</v>
          </cell>
          <cell r="BL182">
            <v>361010998</v>
          </cell>
          <cell r="BM182">
            <v>58.77</v>
          </cell>
          <cell r="BN182" t="str">
            <v>No</v>
          </cell>
          <cell r="BO182" t="str">
            <v>Internal</v>
          </cell>
          <cell r="BP182">
            <v>6</v>
          </cell>
          <cell r="BQ182">
            <v>11</v>
          </cell>
          <cell r="BR182">
            <v>412500000</v>
          </cell>
          <cell r="BS182">
            <v>412500000</v>
          </cell>
          <cell r="BT182">
            <v>353473404</v>
          </cell>
          <cell r="BU182">
            <v>353473404</v>
          </cell>
          <cell r="BV182" t="str">
            <v>No</v>
          </cell>
          <cell r="BW182" t="str">
            <v>Spain</v>
          </cell>
          <cell r="BX182" t="str">
            <v>Retail</v>
          </cell>
          <cell r="BY182">
            <v>17</v>
          </cell>
          <cell r="BZ182" t="str">
            <v>Hungary</v>
          </cell>
          <cell r="CA182" t="str">
            <v>Retail</v>
          </cell>
          <cell r="CB182">
            <v>6</v>
          </cell>
          <cell r="CC182" t="str">
            <v>Poland</v>
          </cell>
          <cell r="CD182" t="str">
            <v>Retail</v>
          </cell>
          <cell r="CE182">
            <v>26</v>
          </cell>
          <cell r="CF182" t="str">
            <v>Italy</v>
          </cell>
          <cell r="CG182" t="str">
            <v>Retail</v>
          </cell>
          <cell r="CH182">
            <v>16</v>
          </cell>
          <cell r="CI182" t="str">
            <v>Germany</v>
          </cell>
          <cell r="CJ182" t="str">
            <v>Retail</v>
          </cell>
          <cell r="CK182">
            <v>35</v>
          </cell>
        </row>
        <row r="183">
          <cell r="A183">
            <v>16082</v>
          </cell>
          <cell r="B183" t="str">
            <v>ECE EUROPEAN PRIME SHOPPING CENTRE SCS SICAF SIF A</v>
          </cell>
          <cell r="C183" t="str">
            <v>ECE EUROPEAN PRIME SHOPPING CENTER GP FUND A  S.à R.L.</v>
          </cell>
          <cell r="D183" t="str">
            <v>17, rue Edmond Reuter</v>
          </cell>
          <cell r="E183" t="str">
            <v xml:space="preserve">L5326				</v>
          </cell>
          <cell r="F183" t="str">
            <v xml:space="preserve">Contern						</v>
          </cell>
          <cell r="G183" t="str">
            <v>Luxembourg</v>
          </cell>
          <cell r="H183" t="str">
            <v xml:space="preserve">26785929				</v>
          </cell>
          <cell r="I183">
            <v>26785979</v>
          </cell>
          <cell r="J183" t="str">
            <v>https://ece.com</v>
          </cell>
          <cell r="K183" t="str">
            <v>José María Ortiz</v>
          </cell>
          <cell r="L183" t="str">
            <v>josemaria.ortiz@ece.com</v>
          </cell>
          <cell r="M183">
            <v>2678592920</v>
          </cell>
          <cell r="N183" t="str">
            <v xml:space="preserve">José María Ortiz								</v>
          </cell>
          <cell r="O183" t="str">
            <v>josemaria.ortiz@ece.com</v>
          </cell>
          <cell r="P183">
            <v>2678592920</v>
          </cell>
          <cell r="Q183" t="str">
            <v>Luxembourg</v>
          </cell>
          <cell r="R183" t="str">
            <v>EUR</v>
          </cell>
          <cell r="S183" t="str">
            <v>IFRS</v>
          </cell>
          <cell r="T183" t="str">
            <v>Quarterly</v>
          </cell>
          <cell r="U183" t="str">
            <v>Twice per year</v>
          </cell>
          <cell r="V183" t="str">
            <v>RICS</v>
          </cell>
          <cell r="W183" t="str">
            <v>INREV NAV</v>
          </cell>
          <cell r="X183" t="str">
            <v>Ernst &amp; Young</v>
          </cell>
          <cell r="Y183" t="str">
            <v>SCS</v>
          </cell>
          <cell r="Z183" t="str">
            <v>Yes</v>
          </cell>
          <cell r="AA183" t="str">
            <v>Yes</v>
          </cell>
          <cell r="AB183">
            <v>6</v>
          </cell>
          <cell r="AC183" t="str">
            <v>Non-Listed Fund</v>
          </cell>
          <cell r="AD183" t="str">
            <v>Value-added</v>
          </cell>
          <cell r="AE183" t="str">
            <v>finite</v>
          </cell>
          <cell r="AF183" t="str">
            <v>Closed end</v>
          </cell>
          <cell r="AG183">
            <v>10</v>
          </cell>
          <cell r="AH183">
            <v>12</v>
          </cell>
          <cell r="AI183" t="str">
            <v>Net</v>
          </cell>
          <cell r="AK183">
            <v>5</v>
          </cell>
          <cell r="AL183">
            <v>50</v>
          </cell>
          <cell r="AM183" t="str">
            <v>&gt; 40% - ≤ 60%</v>
          </cell>
          <cell r="AN183" t="str">
            <v>Institutional</v>
          </cell>
          <cell r="AO183" t="str">
            <v>&gt; 2</v>
          </cell>
          <cell r="AP183" t="str">
            <v>≥ 50%</v>
          </cell>
          <cell r="AQ183" t="str">
            <v>Europe</v>
          </cell>
          <cell r="AR183" t="str">
            <v>multi country</v>
          </cell>
          <cell r="AS183" t="str">
            <v>Europe</v>
          </cell>
          <cell r="AU183" t="str">
            <v>single sector</v>
          </cell>
          <cell r="AV183" t="str">
            <v>Retail</v>
          </cell>
          <cell r="AW183">
            <v>250000000</v>
          </cell>
          <cell r="AX183">
            <v>500000000</v>
          </cell>
          <cell r="AY183">
            <v>2011</v>
          </cell>
          <cell r="AZ183">
            <v>2020</v>
          </cell>
          <cell r="BA183" t="str">
            <v>Yes</v>
          </cell>
          <cell r="BB183" t="str">
            <v>Yes</v>
          </cell>
          <cell r="BC183" t="str">
            <v>1+1+1 years</v>
          </cell>
          <cell r="BD183" t="str">
            <v>No</v>
          </cell>
          <cell r="BE183" t="str">
            <v>&lt; 60%</v>
          </cell>
          <cell r="BF183" t="str">
            <v>&gt; 40%</v>
          </cell>
          <cell r="BG183" t="str">
            <v>&gt; 5 - ≤ 25%</v>
          </cell>
          <cell r="BH183" t="str">
            <v>2020-09-30</v>
          </cell>
          <cell r="BI183">
            <v>46368465</v>
          </cell>
          <cell r="BJ183">
            <v>46368465</v>
          </cell>
          <cell r="BK183">
            <v>32976136</v>
          </cell>
          <cell r="BL183">
            <v>32976136</v>
          </cell>
          <cell r="BM183">
            <v>63</v>
          </cell>
          <cell r="BN183" t="str">
            <v>No</v>
          </cell>
          <cell r="BO183" t="str">
            <v>External</v>
          </cell>
          <cell r="BP183">
            <v>4</v>
          </cell>
          <cell r="BQ183">
            <v>2</v>
          </cell>
          <cell r="BR183">
            <v>300000000</v>
          </cell>
          <cell r="BS183">
            <v>300000000</v>
          </cell>
          <cell r="BT183">
            <v>300000000</v>
          </cell>
          <cell r="BU183">
            <v>300000000</v>
          </cell>
          <cell r="BV183" t="str">
            <v>No</v>
          </cell>
          <cell r="BW183" t="str">
            <v>Poland</v>
          </cell>
          <cell r="BX183" t="str">
            <v>Retail</v>
          </cell>
          <cell r="BY183">
            <v>39</v>
          </cell>
          <cell r="BZ183" t="str">
            <v>Austria</v>
          </cell>
          <cell r="CA183" t="str">
            <v>Retail</v>
          </cell>
          <cell r="CB183">
            <v>61</v>
          </cell>
        </row>
        <row r="184">
          <cell r="A184">
            <v>16680</v>
          </cell>
          <cell r="B184" t="str">
            <v>ECE EUROPEAN PRIME SHOPPING CENTRE SCS SICAF SIF B</v>
          </cell>
          <cell r="C184" t="str">
            <v>ECE EUROPEAN PRIME SHOPPING CENTER GP FUND B  S.à R.L.</v>
          </cell>
          <cell r="D184" t="str">
            <v>17, rue Edmond Reuter</v>
          </cell>
          <cell r="E184" t="str">
            <v>L5326</v>
          </cell>
          <cell r="F184" t="str">
            <v xml:space="preserve">Contern	</v>
          </cell>
          <cell r="G184" t="str">
            <v>Luxembourg</v>
          </cell>
          <cell r="H184" t="str">
            <v xml:space="preserve">26785929	</v>
          </cell>
          <cell r="I184">
            <v>26785979</v>
          </cell>
          <cell r="J184" t="str">
            <v>https://ece.com</v>
          </cell>
          <cell r="K184" t="str">
            <v>José María Ortiz</v>
          </cell>
          <cell r="L184" t="str">
            <v>josemaria.ortiz@ece.com</v>
          </cell>
          <cell r="M184">
            <v>2678592920</v>
          </cell>
          <cell r="N184" t="str">
            <v xml:space="preserve">José María Ortiz						</v>
          </cell>
          <cell r="O184" t="str">
            <v>josemaria.ortiz@ece.com</v>
          </cell>
          <cell r="P184">
            <v>2678592920</v>
          </cell>
          <cell r="Q184" t="str">
            <v>Luxembourg</v>
          </cell>
          <cell r="R184" t="str">
            <v>EUR</v>
          </cell>
          <cell r="S184" t="str">
            <v>IFRS</v>
          </cell>
          <cell r="T184" t="str">
            <v>Quarterly</v>
          </cell>
          <cell r="U184" t="str">
            <v>Twice per year</v>
          </cell>
          <cell r="V184" t="str">
            <v>RICS</v>
          </cell>
          <cell r="W184" t="str">
            <v>INREV NAV</v>
          </cell>
          <cell r="X184" t="str">
            <v>Ernst&amp;Young</v>
          </cell>
          <cell r="Y184" t="str">
            <v>SCS</v>
          </cell>
          <cell r="Z184" t="str">
            <v>Yes</v>
          </cell>
          <cell r="AA184" t="str">
            <v>Yes</v>
          </cell>
          <cell r="AB184">
            <v>6</v>
          </cell>
          <cell r="AC184" t="str">
            <v>Non-Listed Fund</v>
          </cell>
          <cell r="AD184" t="str">
            <v>Value-added</v>
          </cell>
          <cell r="AE184" t="str">
            <v>finite</v>
          </cell>
          <cell r="AF184" t="str">
            <v>Closed end</v>
          </cell>
          <cell r="AG184">
            <v>10</v>
          </cell>
          <cell r="AH184">
            <v>12</v>
          </cell>
          <cell r="AI184" t="str">
            <v>Net</v>
          </cell>
          <cell r="AK184">
            <v>5</v>
          </cell>
          <cell r="AL184">
            <v>50</v>
          </cell>
          <cell r="AN184" t="str">
            <v>Institutional</v>
          </cell>
          <cell r="AO184" t="str">
            <v>&gt; 2</v>
          </cell>
          <cell r="AP184" t="str">
            <v>≥ 50%</v>
          </cell>
          <cell r="AQ184" t="str">
            <v>Europe</v>
          </cell>
          <cell r="AR184" t="str">
            <v>multi country</v>
          </cell>
          <cell r="AS184" t="str">
            <v>Europe</v>
          </cell>
          <cell r="AU184" t="str">
            <v>single sector</v>
          </cell>
          <cell r="AV184" t="str">
            <v>Retail</v>
          </cell>
          <cell r="AW184">
            <v>250000000</v>
          </cell>
          <cell r="AX184">
            <v>500000000</v>
          </cell>
          <cell r="AY184">
            <v>2011</v>
          </cell>
          <cell r="AZ184">
            <v>2020</v>
          </cell>
          <cell r="BA184" t="str">
            <v>Yes</v>
          </cell>
          <cell r="BB184" t="str">
            <v>Yes</v>
          </cell>
          <cell r="BC184" t="str">
            <v>1+1+1 years</v>
          </cell>
          <cell r="BD184" t="str">
            <v>No</v>
          </cell>
          <cell r="BE184" t="str">
            <v>≥ 60%</v>
          </cell>
          <cell r="BF184" t="str">
            <v>&gt; 40%</v>
          </cell>
          <cell r="BG184" t="str">
            <v>&gt; 5 - ≤ 25%</v>
          </cell>
          <cell r="BH184" t="str">
            <v>2020-09-30</v>
          </cell>
          <cell r="BI184">
            <v>42312678</v>
          </cell>
          <cell r="BJ184">
            <v>42312678</v>
          </cell>
          <cell r="BK184">
            <v>30425147</v>
          </cell>
          <cell r="BL184">
            <v>30425147</v>
          </cell>
          <cell r="BM184">
            <v>63</v>
          </cell>
          <cell r="BN184" t="str">
            <v>No</v>
          </cell>
          <cell r="BO184" t="str">
            <v>External</v>
          </cell>
          <cell r="BP184">
            <v>14</v>
          </cell>
          <cell r="BQ184">
            <v>2</v>
          </cell>
          <cell r="BR184">
            <v>275500000</v>
          </cell>
          <cell r="BS184">
            <v>275500000</v>
          </cell>
          <cell r="BT184">
            <v>275500000</v>
          </cell>
          <cell r="BU184">
            <v>275500000</v>
          </cell>
          <cell r="BV184" t="str">
            <v>No</v>
          </cell>
          <cell r="BW184" t="str">
            <v>Poland</v>
          </cell>
          <cell r="BX184" t="str">
            <v>Other</v>
          </cell>
          <cell r="BY184">
            <v>39</v>
          </cell>
          <cell r="BZ184" t="str">
            <v>Austria</v>
          </cell>
          <cell r="CA184" t="str">
            <v>Other</v>
          </cell>
          <cell r="CB184">
            <v>61</v>
          </cell>
        </row>
        <row r="185">
          <cell r="A185">
            <v>16681</v>
          </cell>
          <cell r="B185" t="str">
            <v>ECE EUROPEAN PRIME SHOPPING CENTRE SCS SICAF SIF C</v>
          </cell>
          <cell r="C185" t="str">
            <v>ECE EUROPEAN PRIME SHOPPING CENTER GP FUND C  S.à R.L.</v>
          </cell>
          <cell r="D185" t="str">
            <v>17, rue Edmond Reuter</v>
          </cell>
          <cell r="E185" t="str">
            <v>L5326</v>
          </cell>
          <cell r="F185" t="str">
            <v xml:space="preserve">Contern	</v>
          </cell>
          <cell r="G185" t="str">
            <v>Luxembourg</v>
          </cell>
          <cell r="H185" t="str">
            <v xml:space="preserve">26785929	</v>
          </cell>
          <cell r="I185">
            <v>26785979</v>
          </cell>
          <cell r="J185" t="str">
            <v>https://ece.com</v>
          </cell>
          <cell r="K185" t="str">
            <v>José María Ortiz</v>
          </cell>
          <cell r="L185" t="str">
            <v>josemaria.ortiz@ece.com</v>
          </cell>
          <cell r="M185">
            <v>2678592920</v>
          </cell>
          <cell r="N185" t="str">
            <v xml:space="preserve">José María Ortiz	</v>
          </cell>
          <cell r="O185" t="str">
            <v>josemaria.ortiz@ece.com</v>
          </cell>
          <cell r="P185">
            <v>2678592920</v>
          </cell>
          <cell r="Q185" t="str">
            <v>Luxembourg</v>
          </cell>
          <cell r="R185" t="str">
            <v>EUR</v>
          </cell>
          <cell r="S185" t="str">
            <v>IFRS</v>
          </cell>
          <cell r="T185" t="str">
            <v>Quarterly</v>
          </cell>
          <cell r="U185" t="str">
            <v>Twice per year</v>
          </cell>
          <cell r="V185" t="str">
            <v>RICS</v>
          </cell>
          <cell r="W185" t="str">
            <v>INREV NAV</v>
          </cell>
          <cell r="X185" t="str">
            <v>Ernst &amp; Young</v>
          </cell>
          <cell r="Y185" t="str">
            <v>SCS</v>
          </cell>
          <cell r="Z185" t="str">
            <v>Yes</v>
          </cell>
          <cell r="AA185" t="str">
            <v>Yes</v>
          </cell>
          <cell r="AB185">
            <v>6</v>
          </cell>
          <cell r="AC185" t="str">
            <v>Non-Listed Fund</v>
          </cell>
          <cell r="AD185" t="str">
            <v>Value-added</v>
          </cell>
          <cell r="AE185" t="str">
            <v>finite</v>
          </cell>
          <cell r="AF185" t="str">
            <v>Closed end</v>
          </cell>
          <cell r="AG185">
            <v>10</v>
          </cell>
          <cell r="AH185">
            <v>12</v>
          </cell>
          <cell r="AI185" t="str">
            <v>Net</v>
          </cell>
          <cell r="AK185">
            <v>5</v>
          </cell>
          <cell r="AL185">
            <v>50</v>
          </cell>
          <cell r="AM185" t="str">
            <v>&gt; 40% - ≤ 60%</v>
          </cell>
          <cell r="AN185" t="str">
            <v>Institutional</v>
          </cell>
          <cell r="AO185" t="str">
            <v>&gt; 2</v>
          </cell>
          <cell r="AP185" t="str">
            <v>≥ 50%</v>
          </cell>
          <cell r="AQ185" t="str">
            <v>Europe</v>
          </cell>
          <cell r="AR185" t="str">
            <v>multi country</v>
          </cell>
          <cell r="AS185" t="str">
            <v>Europe</v>
          </cell>
          <cell r="AU185" t="str">
            <v>single sector</v>
          </cell>
          <cell r="AV185" t="str">
            <v>Retail</v>
          </cell>
          <cell r="AW185">
            <v>250000000</v>
          </cell>
          <cell r="AX185">
            <v>500000000</v>
          </cell>
          <cell r="AY185">
            <v>2011</v>
          </cell>
          <cell r="AZ185">
            <v>2020</v>
          </cell>
          <cell r="BA185" t="str">
            <v>Yes</v>
          </cell>
          <cell r="BB185" t="str">
            <v>Yes</v>
          </cell>
          <cell r="BC185" t="str">
            <v>1+1+1 years</v>
          </cell>
          <cell r="BD185" t="str">
            <v>No</v>
          </cell>
          <cell r="BE185" t="str">
            <v>&lt; 60%</v>
          </cell>
          <cell r="BF185" t="str">
            <v>&gt; 40%</v>
          </cell>
          <cell r="BG185" t="str">
            <v>&gt; 5 - ≤ 25%</v>
          </cell>
          <cell r="BH185" t="str">
            <v>2020-09-30</v>
          </cell>
          <cell r="BI185">
            <v>29734217</v>
          </cell>
          <cell r="BJ185">
            <v>29734217</v>
          </cell>
          <cell r="BK185">
            <v>21059780</v>
          </cell>
          <cell r="BL185">
            <v>21059780</v>
          </cell>
          <cell r="BM185">
            <v>63</v>
          </cell>
          <cell r="BN185" t="str">
            <v>No</v>
          </cell>
          <cell r="BO185" t="str">
            <v>Internal</v>
          </cell>
          <cell r="BP185">
            <v>4</v>
          </cell>
          <cell r="BQ185">
            <v>2</v>
          </cell>
          <cell r="BR185">
            <v>200000000</v>
          </cell>
          <cell r="BS185">
            <v>200000000</v>
          </cell>
          <cell r="BT185">
            <v>200000000</v>
          </cell>
          <cell r="BU185">
            <v>200000000</v>
          </cell>
          <cell r="BV185" t="str">
            <v>No</v>
          </cell>
          <cell r="BW185" t="str">
            <v>Poland</v>
          </cell>
          <cell r="BX185" t="str">
            <v>Retail</v>
          </cell>
          <cell r="BY185">
            <v>39</v>
          </cell>
          <cell r="BZ185" t="str">
            <v>Austria</v>
          </cell>
          <cell r="CA185" t="str">
            <v>Retail</v>
          </cell>
          <cell r="CB185">
            <v>61</v>
          </cell>
        </row>
        <row r="186">
          <cell r="A186">
            <v>19659</v>
          </cell>
          <cell r="B186" t="str">
            <v>ECE PREFERRED EQUITY FUND SCSP</v>
          </cell>
          <cell r="C186" t="str">
            <v>ECE REAL ESTATE PARTNERS S.à R.L.</v>
          </cell>
          <cell r="D186" t="str">
            <v>19, rue Edmond Reuter</v>
          </cell>
          <cell r="E186">
            <v>5326</v>
          </cell>
          <cell r="F186" t="str">
            <v>Contern</v>
          </cell>
          <cell r="G186" t="str">
            <v>Luxembourg</v>
          </cell>
          <cell r="J186" t="str">
            <v>https://www.ecerep.com/</v>
          </cell>
          <cell r="K186" t="str">
            <v>José María Ortiz</v>
          </cell>
          <cell r="L186" t="str">
            <v>JoseMaria.Ortiz@ece.com</v>
          </cell>
          <cell r="Q186" t="str">
            <v>Luxembourg</v>
          </cell>
          <cell r="R186" t="str">
            <v>EUR</v>
          </cell>
          <cell r="S186" t="str">
            <v>Local GAAP</v>
          </cell>
          <cell r="T186" t="str">
            <v>Quarterly</v>
          </cell>
          <cell r="U186" t="str">
            <v>Quarterly</v>
          </cell>
          <cell r="V186" t="str">
            <v>RICS</v>
          </cell>
          <cell r="W186" t="str">
            <v>INREV NAV</v>
          </cell>
          <cell r="X186" t="str">
            <v>BDO</v>
          </cell>
          <cell r="Y186" t="str">
            <v>Investment Fund</v>
          </cell>
          <cell r="Z186" t="str">
            <v>Yes</v>
          </cell>
          <cell r="AB186">
            <v>0</v>
          </cell>
          <cell r="AC186" t="str">
            <v>Non-Listed Fund</v>
          </cell>
          <cell r="AD186" t="str">
            <v>Value-added</v>
          </cell>
          <cell r="AE186" t="str">
            <v>finite</v>
          </cell>
          <cell r="AF186" t="str">
            <v>Closed end</v>
          </cell>
          <cell r="AM186" t="str">
            <v>&gt; 40% - ≤ 60%</v>
          </cell>
          <cell r="AN186" t="str">
            <v>Institutional</v>
          </cell>
          <cell r="AO186" t="str">
            <v>&gt; 2</v>
          </cell>
          <cell r="AP186" t="str">
            <v>≥ 50%</v>
          </cell>
          <cell r="AQ186" t="str">
            <v>Europe</v>
          </cell>
          <cell r="AR186" t="str">
            <v>single country</v>
          </cell>
          <cell r="AT186" t="str">
            <v>Germany</v>
          </cell>
          <cell r="AU186" t="str">
            <v>single sector</v>
          </cell>
          <cell r="AV186" t="str">
            <v>Retail</v>
          </cell>
          <cell r="AY186">
            <v>2020</v>
          </cell>
          <cell r="AZ186">
            <v>2031</v>
          </cell>
          <cell r="BA186" t="str">
            <v>Yes</v>
          </cell>
          <cell r="BB186" t="str">
            <v>Yes</v>
          </cell>
          <cell r="BC186" t="str">
            <v>1+1+1 years</v>
          </cell>
          <cell r="BD186" t="str">
            <v>No</v>
          </cell>
          <cell r="BE186" t="str">
            <v>&lt; 60%</v>
          </cell>
          <cell r="BF186" t="str">
            <v>≤ 15%</v>
          </cell>
          <cell r="BG186" t="str">
            <v>≤ 5%</v>
          </cell>
          <cell r="BH186" t="str">
            <v>2020-09-30</v>
          </cell>
          <cell r="BI186">
            <v>503861172</v>
          </cell>
          <cell r="BJ186">
            <v>503861172</v>
          </cell>
          <cell r="BK186">
            <v>113883107</v>
          </cell>
          <cell r="BL186">
            <v>113883107</v>
          </cell>
          <cell r="BM186">
            <v>48.8</v>
          </cell>
          <cell r="BN186" t="str">
            <v>Yes</v>
          </cell>
          <cell r="BO186" t="str">
            <v>External</v>
          </cell>
          <cell r="BP186">
            <v>15</v>
          </cell>
          <cell r="BQ186">
            <v>3</v>
          </cell>
          <cell r="BR186">
            <v>113600000</v>
          </cell>
          <cell r="BS186">
            <v>113600000</v>
          </cell>
          <cell r="BT186">
            <v>113600000</v>
          </cell>
          <cell r="BU186">
            <v>113600000</v>
          </cell>
          <cell r="BV186" t="str">
            <v>Yes</v>
          </cell>
          <cell r="BW186" t="str">
            <v>Germany</v>
          </cell>
          <cell r="BX186" t="str">
            <v>Retail</v>
          </cell>
          <cell r="BY186">
            <v>100</v>
          </cell>
        </row>
        <row r="187">
          <cell r="A187">
            <v>19313</v>
          </cell>
          <cell r="B187" t="str">
            <v>EINKAUFSCENTER IMMOBILIENFONDS</v>
          </cell>
          <cell r="C187" t="str">
            <v>DWS GRUNDBESITZ GMBH</v>
          </cell>
          <cell r="D187" t="str">
            <v>Mainzer Landstr. 11-17</v>
          </cell>
          <cell r="E187" t="str">
            <v xml:space="preserve">60329 </v>
          </cell>
          <cell r="F187" t="str">
            <v>Frankfurt am Main</v>
          </cell>
          <cell r="G187" t="str">
            <v>Germany</v>
          </cell>
          <cell r="K187" t="str">
            <v>Juliane Germann</v>
          </cell>
          <cell r="L187" t="str">
            <v>juliane.germann@dws.com</v>
          </cell>
          <cell r="M187" t="str">
            <v>+49 (69) 910 - 14962</v>
          </cell>
          <cell r="Q187" t="str">
            <v>Germany</v>
          </cell>
          <cell r="R187" t="str">
            <v>EUR</v>
          </cell>
          <cell r="S187" t="str">
            <v>HGB</v>
          </cell>
          <cell r="T187" t="str">
            <v>Annually</v>
          </cell>
          <cell r="U187" t="str">
            <v>Annually</v>
          </cell>
          <cell r="V187" t="str">
            <v>ImmoWertV</v>
          </cell>
          <cell r="W187" t="str">
            <v>KAGB</v>
          </cell>
          <cell r="X187" t="str">
            <v>BDO</v>
          </cell>
          <cell r="Y187" t="str">
            <v>Publikumsfonds</v>
          </cell>
          <cell r="Z187" t="str">
            <v>No</v>
          </cell>
          <cell r="AC187" t="str">
            <v>Non-Listed Fund</v>
          </cell>
          <cell r="AD187" t="str">
            <v>Core</v>
          </cell>
          <cell r="AE187" t="str">
            <v>finite</v>
          </cell>
          <cell r="AF187" t="str">
            <v>Closed end</v>
          </cell>
          <cell r="AK187">
            <v>60</v>
          </cell>
          <cell r="AN187" t="str">
            <v>Retail</v>
          </cell>
          <cell r="AO187" t="str">
            <v>&gt; 2</v>
          </cell>
          <cell r="AP187" t="str">
            <v>&lt; 50%</v>
          </cell>
          <cell r="AQ187" t="str">
            <v>Europe</v>
          </cell>
          <cell r="AR187" t="str">
            <v>single country</v>
          </cell>
          <cell r="AT187" t="str">
            <v>Germany</v>
          </cell>
          <cell r="AU187" t="str">
            <v>single sector</v>
          </cell>
          <cell r="AV187" t="str">
            <v>Retail</v>
          </cell>
          <cell r="AY187">
            <v>1975</v>
          </cell>
          <cell r="BH187" t="str">
            <v>2018-12-31</v>
          </cell>
          <cell r="BI187">
            <v>814380000</v>
          </cell>
          <cell r="BJ187">
            <v>814380000</v>
          </cell>
          <cell r="BK187">
            <v>519225810</v>
          </cell>
          <cell r="BL187">
            <v>519225810</v>
          </cell>
          <cell r="BM187">
            <v>27.68</v>
          </cell>
          <cell r="BN187" t="str">
            <v>Yes</v>
          </cell>
          <cell r="BO187" t="str">
            <v>External</v>
          </cell>
          <cell r="BP187">
            <v>0</v>
          </cell>
          <cell r="BQ187">
            <v>17</v>
          </cell>
          <cell r="BS187">
            <v>0</v>
          </cell>
          <cell r="BV187" t="str">
            <v>No</v>
          </cell>
          <cell r="BW187" t="str">
            <v>Germany</v>
          </cell>
          <cell r="BX187" t="str">
            <v>Mixed</v>
          </cell>
          <cell r="BY187">
            <v>100</v>
          </cell>
        </row>
        <row r="188">
          <cell r="A188">
            <v>137</v>
          </cell>
          <cell r="B188" t="str">
            <v>ENCORE+</v>
          </cell>
          <cell r="C188" t="str">
            <v>LASALLE INVESTMENT MANAGEMENT</v>
          </cell>
          <cell r="D188" t="str">
            <v>112 Avenue Kléber, Cedex 16</v>
          </cell>
          <cell r="E188" t="str">
            <v xml:space="preserve">75784 </v>
          </cell>
          <cell r="F188" t="str">
            <v>Paris</v>
          </cell>
          <cell r="G188" t="str">
            <v>France</v>
          </cell>
          <cell r="H188" t="str">
            <v>+33156434646</v>
          </cell>
          <cell r="I188" t="str">
            <v>+33156434640</v>
          </cell>
          <cell r="J188" t="str">
            <v>http://www.lasalle.com</v>
          </cell>
          <cell r="K188" t="str">
            <v>David Ironside</v>
          </cell>
          <cell r="L188" t="str">
            <v>david.ironside@lasalle.com</v>
          </cell>
          <cell r="M188" t="str">
            <v>+498921111330</v>
          </cell>
          <cell r="N188" t="str">
            <v>Matthew Harris</v>
          </cell>
          <cell r="O188" t="str">
            <v>matthew.harris@lasalle.com</v>
          </cell>
          <cell r="P188" t="str">
            <v>+33156434674</v>
          </cell>
          <cell r="Q188" t="str">
            <v>Luxembourg</v>
          </cell>
          <cell r="R188" t="str">
            <v>EUR</v>
          </cell>
          <cell r="S188" t="str">
            <v>Local GAAP</v>
          </cell>
          <cell r="T188" t="str">
            <v>Quarterly</v>
          </cell>
          <cell r="U188" t="str">
            <v>Monthly</v>
          </cell>
          <cell r="V188" t="str">
            <v>RICS</v>
          </cell>
          <cell r="W188" t="str">
            <v>INREV NAV</v>
          </cell>
          <cell r="X188" t="str">
            <v>PwC</v>
          </cell>
          <cell r="Y188" t="str">
            <v>FCP</v>
          </cell>
          <cell r="Z188" t="str">
            <v>Yes</v>
          </cell>
          <cell r="AA188" t="str">
            <v>No</v>
          </cell>
          <cell r="AB188">
            <v>0</v>
          </cell>
          <cell r="AC188" t="str">
            <v>Non-Listed Fund</v>
          </cell>
          <cell r="AD188" t="str">
            <v>Core</v>
          </cell>
          <cell r="AE188" t="str">
            <v>infinite</v>
          </cell>
          <cell r="AF188" t="str">
            <v>Open end</v>
          </cell>
          <cell r="AG188">
            <v>6.5</v>
          </cell>
          <cell r="AH188">
            <v>8.5</v>
          </cell>
          <cell r="AI188" t="str">
            <v>Net</v>
          </cell>
          <cell r="AJ188" t="str">
            <v>Absolute return</v>
          </cell>
          <cell r="AK188">
            <v>5</v>
          </cell>
          <cell r="AL188">
            <v>30</v>
          </cell>
          <cell r="AM188" t="str">
            <v>&gt; 40% - ≤ 60%</v>
          </cell>
          <cell r="AN188" t="str">
            <v>Institutional</v>
          </cell>
          <cell r="AO188" t="str">
            <v>&gt; 2</v>
          </cell>
          <cell r="AP188" t="str">
            <v>≥ 50%</v>
          </cell>
          <cell r="AQ188" t="str">
            <v>Europe</v>
          </cell>
          <cell r="AR188" t="str">
            <v>multi country</v>
          </cell>
          <cell r="AS188" t="str">
            <v>Europe</v>
          </cell>
          <cell r="AU188" t="str">
            <v>multi sector</v>
          </cell>
          <cell r="AX188">
            <v>5000000000</v>
          </cell>
          <cell r="AY188">
            <v>2006</v>
          </cell>
          <cell r="BD188" t="str">
            <v>No</v>
          </cell>
          <cell r="BG188" t="str">
            <v>≤ 5%</v>
          </cell>
          <cell r="BH188" t="str">
            <v>2020-12-31</v>
          </cell>
          <cell r="BI188">
            <v>3272313385</v>
          </cell>
          <cell r="BJ188">
            <v>3272313385</v>
          </cell>
          <cell r="BK188">
            <v>2433349001</v>
          </cell>
          <cell r="BL188">
            <v>2433349001</v>
          </cell>
          <cell r="BM188">
            <v>21.3</v>
          </cell>
          <cell r="BN188" t="str">
            <v>No</v>
          </cell>
          <cell r="BO188" t="str">
            <v>External</v>
          </cell>
          <cell r="BP188">
            <v>82</v>
          </cell>
          <cell r="BQ188">
            <v>39</v>
          </cell>
          <cell r="BR188">
            <v>2893159205</v>
          </cell>
          <cell r="BS188">
            <v>2893159205</v>
          </cell>
          <cell r="BT188">
            <v>2473006369</v>
          </cell>
          <cell r="BU188">
            <v>2473006369</v>
          </cell>
          <cell r="BV188" t="str">
            <v>Yes</v>
          </cell>
          <cell r="BW188" t="str">
            <v>Sweden</v>
          </cell>
          <cell r="BX188" t="str">
            <v>Retail</v>
          </cell>
          <cell r="BY188">
            <v>1.4</v>
          </cell>
          <cell r="BZ188" t="str">
            <v>Czech Republic</v>
          </cell>
          <cell r="CA188" t="str">
            <v>Office</v>
          </cell>
          <cell r="CB188">
            <v>2.9</v>
          </cell>
          <cell r="CC188" t="str">
            <v>Luxembourg</v>
          </cell>
          <cell r="CD188" t="str">
            <v>Office</v>
          </cell>
          <cell r="CE188">
            <v>4.2</v>
          </cell>
          <cell r="CF188" t="str">
            <v>Poland</v>
          </cell>
          <cell r="CG188" t="str">
            <v>Industrial / Logistics</v>
          </cell>
          <cell r="CH188">
            <v>1.8</v>
          </cell>
          <cell r="CI188" t="str">
            <v>Poland</v>
          </cell>
          <cell r="CJ188" t="str">
            <v>Office</v>
          </cell>
          <cell r="CK188">
            <v>2.2000000000000002</v>
          </cell>
          <cell r="CL188" t="str">
            <v>Poland</v>
          </cell>
          <cell r="CM188" t="str">
            <v>Retail</v>
          </cell>
          <cell r="CN188">
            <v>0.8</v>
          </cell>
          <cell r="CO188" t="str">
            <v>Netherlands</v>
          </cell>
          <cell r="CP188" t="str">
            <v>Industrial / Logistics</v>
          </cell>
          <cell r="CQ188">
            <v>5</v>
          </cell>
          <cell r="CR188" t="str">
            <v>Netherlands</v>
          </cell>
          <cell r="CS188" t="str">
            <v>Office</v>
          </cell>
          <cell r="CT188">
            <v>6.5</v>
          </cell>
          <cell r="CU188" t="str">
            <v>Spain</v>
          </cell>
          <cell r="CV188" t="str">
            <v>Industrial / Logistics</v>
          </cell>
          <cell r="CW188">
            <v>2.8</v>
          </cell>
          <cell r="CX188" t="str">
            <v>Spain</v>
          </cell>
          <cell r="CY188" t="str">
            <v>Retail</v>
          </cell>
          <cell r="CZ188">
            <v>3.7</v>
          </cell>
          <cell r="DA188" t="str">
            <v>Germany</v>
          </cell>
          <cell r="DB188" t="str">
            <v>Hotel</v>
          </cell>
          <cell r="DC188">
            <v>1.3</v>
          </cell>
          <cell r="DD188" t="str">
            <v>Germany</v>
          </cell>
          <cell r="DE188" t="str">
            <v>Industrial / Logistics</v>
          </cell>
          <cell r="DF188">
            <v>2.4</v>
          </cell>
          <cell r="DG188" t="str">
            <v>Germany</v>
          </cell>
          <cell r="DH188" t="str">
            <v>Retail</v>
          </cell>
          <cell r="DI188">
            <v>5</v>
          </cell>
          <cell r="DJ188" t="str">
            <v>Germany</v>
          </cell>
          <cell r="DK188" t="str">
            <v>Office</v>
          </cell>
          <cell r="DL188">
            <v>16.2</v>
          </cell>
          <cell r="DM188" t="str">
            <v>France</v>
          </cell>
          <cell r="DN188" t="str">
            <v>Industrial / Logistics</v>
          </cell>
          <cell r="DO188">
            <v>5.0999999999999996</v>
          </cell>
          <cell r="DP188" t="str">
            <v>France</v>
          </cell>
          <cell r="DQ188" t="str">
            <v>Retail</v>
          </cell>
          <cell r="DR188">
            <v>3.2</v>
          </cell>
          <cell r="DS188" t="str">
            <v>France</v>
          </cell>
          <cell r="DT188" t="str">
            <v>Office</v>
          </cell>
          <cell r="DU188">
            <v>23.6</v>
          </cell>
          <cell r="DV188" t="str">
            <v>Germany</v>
          </cell>
          <cell r="DW188" t="str">
            <v>Residential</v>
          </cell>
          <cell r="DX188">
            <v>2.2999999999999998</v>
          </cell>
        </row>
        <row r="189">
          <cell r="A189">
            <v>16079</v>
          </cell>
          <cell r="B189" t="str">
            <v>EPARGNE FONCIERE</v>
          </cell>
          <cell r="C189" t="str">
            <v>LA FRANCAISE REM</v>
          </cell>
          <cell r="D189" t="str">
            <v>128 Boulevard Raspail</v>
          </cell>
          <cell r="E189">
            <v>75006</v>
          </cell>
          <cell r="F189" t="str">
            <v>Paris</v>
          </cell>
          <cell r="G189" t="str">
            <v>France</v>
          </cell>
          <cell r="H189" t="str">
            <v>+33144561000</v>
          </cell>
          <cell r="I189" t="str">
            <v>+33144561138</v>
          </cell>
          <cell r="J189" t="str">
            <v>https://la-francaise.com</v>
          </cell>
          <cell r="K189" t="str">
            <v>Penin</v>
          </cell>
          <cell r="L189" t="str">
            <v>mopenin@lafrancaise-am.com</v>
          </cell>
          <cell r="M189" t="str">
            <v>+33144564202</v>
          </cell>
          <cell r="N189" t="str">
            <v>SCPI</v>
          </cell>
          <cell r="P189" t="str">
            <v>+33153624060</v>
          </cell>
          <cell r="Q189" t="str">
            <v>France</v>
          </cell>
          <cell r="R189" t="str">
            <v>EUR</v>
          </cell>
          <cell r="S189" t="str">
            <v>IFRS</v>
          </cell>
          <cell r="T189" t="str">
            <v>Quarterly</v>
          </cell>
          <cell r="U189" t="str">
            <v>Annually</v>
          </cell>
          <cell r="V189" t="str">
            <v>Other - mark to market</v>
          </cell>
          <cell r="X189" t="str">
            <v>Deloitte</v>
          </cell>
          <cell r="Y189" t="str">
            <v>SCPI</v>
          </cell>
          <cell r="Z189" t="str">
            <v>No</v>
          </cell>
          <cell r="AA189" t="str">
            <v>Yes</v>
          </cell>
          <cell r="AC189" t="str">
            <v>Non-Listed Fund</v>
          </cell>
          <cell r="AD189" t="str">
            <v>Core</v>
          </cell>
          <cell r="AE189" t="str">
            <v>infinite</v>
          </cell>
          <cell r="AF189" t="str">
            <v>Open end</v>
          </cell>
          <cell r="AK189">
            <v>5.3</v>
          </cell>
          <cell r="AL189">
            <v>0</v>
          </cell>
          <cell r="AM189" t="str">
            <v>≤ 40%</v>
          </cell>
          <cell r="AN189" t="str">
            <v>Institutional and Retail</v>
          </cell>
          <cell r="AO189" t="str">
            <v>&gt; 2</v>
          </cell>
          <cell r="AP189" t="str">
            <v>&lt; 50%</v>
          </cell>
          <cell r="AQ189" t="str">
            <v>Europe</v>
          </cell>
          <cell r="AR189" t="str">
            <v>single country</v>
          </cell>
          <cell r="AT189" t="str">
            <v>France</v>
          </cell>
          <cell r="AU189" t="str">
            <v>multi sector</v>
          </cell>
          <cell r="AY189">
            <v>1968</v>
          </cell>
          <cell r="BH189" t="str">
            <v>2018-12-31</v>
          </cell>
          <cell r="BI189">
            <v>2481033698</v>
          </cell>
          <cell r="BJ189">
            <v>2481033698</v>
          </cell>
          <cell r="BK189">
            <v>2162831681</v>
          </cell>
          <cell r="BL189">
            <v>2162831681</v>
          </cell>
          <cell r="BQ189">
            <v>236</v>
          </cell>
          <cell r="BS189">
            <v>0</v>
          </cell>
          <cell r="BW189" t="str">
            <v>France</v>
          </cell>
          <cell r="BX189" t="str">
            <v>Office</v>
          </cell>
          <cell r="BY189">
            <v>68.37</v>
          </cell>
          <cell r="BZ189" t="str">
            <v>Germany</v>
          </cell>
          <cell r="CA189" t="str">
            <v>Office</v>
          </cell>
          <cell r="CB189">
            <v>6.63</v>
          </cell>
          <cell r="CC189" t="str">
            <v>Ireland</v>
          </cell>
          <cell r="CD189" t="str">
            <v>Office</v>
          </cell>
          <cell r="CE189">
            <v>1.03</v>
          </cell>
          <cell r="CF189" t="str">
            <v>Netherlands</v>
          </cell>
          <cell r="CG189" t="str">
            <v>Office</v>
          </cell>
          <cell r="CH189">
            <v>0.74</v>
          </cell>
          <cell r="CI189" t="str">
            <v>France</v>
          </cell>
          <cell r="CJ189" t="str">
            <v>Retail</v>
          </cell>
          <cell r="CK189">
            <v>19.489999999999998</v>
          </cell>
          <cell r="CL189" t="str">
            <v>France</v>
          </cell>
          <cell r="CM189" t="str">
            <v>Other</v>
          </cell>
          <cell r="CN189">
            <v>3.62</v>
          </cell>
          <cell r="CO189" t="str">
            <v>France</v>
          </cell>
          <cell r="CP189" t="str">
            <v>Industrial / Logistics</v>
          </cell>
          <cell r="CQ189">
            <v>0.12</v>
          </cell>
        </row>
        <row r="190">
          <cell r="A190">
            <v>544</v>
          </cell>
          <cell r="B190" t="str">
            <v>ERACLE</v>
          </cell>
          <cell r="C190" t="str">
            <v>GENERALI IMMOBILIARE ITALIA SGR</v>
          </cell>
          <cell r="D190" t="str">
            <v>Via Meravigli 2</v>
          </cell>
          <cell r="E190">
            <v>20123</v>
          </cell>
          <cell r="F190" t="str">
            <v>Milan</v>
          </cell>
          <cell r="G190" t="str">
            <v>Italy</v>
          </cell>
          <cell r="H190" t="str">
            <v>+39 02 72504 212</v>
          </cell>
          <cell r="I190" t="str">
            <v>+39 02 801433</v>
          </cell>
          <cell r="K190" t="str">
            <v>Cipriano Zibetti</v>
          </cell>
          <cell r="L190" t="str">
            <v>cipriano.zibetti@gii.generali.com</v>
          </cell>
          <cell r="M190" t="str">
            <v>+39 02 72504 212</v>
          </cell>
          <cell r="N190" t="str">
            <v>Cipriano Zibetti</v>
          </cell>
          <cell r="O190" t="str">
            <v>cipriano.zibetti@gii.generali.com</v>
          </cell>
          <cell r="P190" t="str">
            <v>+39 02 801 433</v>
          </cell>
          <cell r="Q190" t="str">
            <v>Italy</v>
          </cell>
          <cell r="R190" t="str">
            <v>EUR</v>
          </cell>
          <cell r="S190" t="str">
            <v>Local GAAP</v>
          </cell>
          <cell r="T190" t="str">
            <v>Twice per year</v>
          </cell>
          <cell r="U190" t="str">
            <v>Twice per year</v>
          </cell>
          <cell r="V190" t="str">
            <v>RICS</v>
          </cell>
          <cell r="X190" t="str">
            <v xml:space="preserve">Reconta Ernst&amp;Young </v>
          </cell>
          <cell r="Y190" t="str">
            <v>Closed Ended Fund</v>
          </cell>
          <cell r="Z190" t="str">
            <v>No</v>
          </cell>
          <cell r="AA190" t="str">
            <v>Yes</v>
          </cell>
          <cell r="AB190">
            <v>1</v>
          </cell>
          <cell r="AC190" t="str">
            <v>Non-Listed Fund</v>
          </cell>
          <cell r="AD190" t="str">
            <v>Core</v>
          </cell>
          <cell r="AE190" t="str">
            <v>finite</v>
          </cell>
          <cell r="AF190" t="str">
            <v>Closed end</v>
          </cell>
          <cell r="AL190">
            <v>58</v>
          </cell>
          <cell r="AM190" t="str">
            <v>&gt; 40% - ≤ 60%</v>
          </cell>
          <cell r="AN190" t="str">
            <v>Institutional</v>
          </cell>
          <cell r="AO190" t="str">
            <v>&gt; 2</v>
          </cell>
          <cell r="AP190" t="str">
            <v>≥ 50%</v>
          </cell>
          <cell r="AQ190" t="str">
            <v>Europe</v>
          </cell>
          <cell r="AR190" t="str">
            <v>single country</v>
          </cell>
          <cell r="AT190" t="str">
            <v>Italy</v>
          </cell>
          <cell r="AU190" t="str">
            <v>single sector</v>
          </cell>
          <cell r="AV190" t="str">
            <v>Other</v>
          </cell>
          <cell r="AW190">
            <v>337000000</v>
          </cell>
          <cell r="AX190">
            <v>798000000</v>
          </cell>
          <cell r="AY190">
            <v>2008</v>
          </cell>
          <cell r="AZ190">
            <v>2033</v>
          </cell>
          <cell r="BA190" t="str">
            <v>Yes</v>
          </cell>
          <cell r="BB190" t="str">
            <v>Yes</v>
          </cell>
          <cell r="BC190" t="str">
            <v>3 years</v>
          </cell>
          <cell r="BH190" t="str">
            <v>2018-12-31</v>
          </cell>
          <cell r="BI190">
            <v>788475145</v>
          </cell>
          <cell r="BJ190">
            <v>788475145</v>
          </cell>
          <cell r="BK190">
            <v>385635618</v>
          </cell>
          <cell r="BL190">
            <v>385635618</v>
          </cell>
          <cell r="BM190">
            <v>51.1</v>
          </cell>
          <cell r="BS190">
            <v>0</v>
          </cell>
          <cell r="BW190" t="str">
            <v>Italy</v>
          </cell>
          <cell r="BX190" t="str">
            <v>Other</v>
          </cell>
          <cell r="BY190">
            <v>100</v>
          </cell>
        </row>
        <row r="191">
          <cell r="A191">
            <v>146</v>
          </cell>
          <cell r="B191" t="str">
            <v>ERGO TRUST LOGISTIKFONDS NR 1</v>
          </cell>
          <cell r="C191" t="str">
            <v>UBS REAL ESTATE GMBH</v>
          </cell>
          <cell r="D191" t="str">
            <v>Theatinerstraße 16</v>
          </cell>
          <cell r="E191" t="str">
            <v>D-80333</v>
          </cell>
          <cell r="F191" t="str">
            <v>Munich</v>
          </cell>
          <cell r="G191" t="str">
            <v>Germany</v>
          </cell>
          <cell r="H191" t="str">
            <v>+49 (0) 89 206 095 0</v>
          </cell>
          <cell r="I191" t="str">
            <v>+49 (0) 89 206 095 200</v>
          </cell>
          <cell r="J191" t="str">
            <v>http://www.ubs.com</v>
          </cell>
          <cell r="K191" t="str">
            <v>Andreas Langer</v>
          </cell>
          <cell r="L191" t="str">
            <v>andreas.langer@ubs.com</v>
          </cell>
          <cell r="M191" t="str">
            <v>+49 (0) 89 206 095 111</v>
          </cell>
          <cell r="N191" t="str">
            <v>Andreas Langer</v>
          </cell>
          <cell r="O191" t="str">
            <v>andreas.langer@ubs.com</v>
          </cell>
          <cell r="P191" t="str">
            <v>+49 (0) 89 206 095 111</v>
          </cell>
          <cell r="Q191" t="str">
            <v>Germany</v>
          </cell>
          <cell r="R191" t="str">
            <v>EUR</v>
          </cell>
          <cell r="T191" t="str">
            <v>Monthly</v>
          </cell>
          <cell r="U191" t="str">
            <v>Annually</v>
          </cell>
          <cell r="W191" t="str">
            <v>KAGB</v>
          </cell>
          <cell r="X191" t="str">
            <v>Ernst &amp; Young GmbH</v>
          </cell>
          <cell r="Y191" t="str">
            <v>Spezialfonds</v>
          </cell>
          <cell r="Z191" t="str">
            <v>No</v>
          </cell>
          <cell r="AA191" t="str">
            <v>Yes</v>
          </cell>
          <cell r="AB191">
            <v>4</v>
          </cell>
          <cell r="AC191" t="str">
            <v>Non-Listed Fund</v>
          </cell>
          <cell r="AD191" t="str">
            <v>Core</v>
          </cell>
          <cell r="AE191" t="str">
            <v>infinite</v>
          </cell>
          <cell r="AF191" t="str">
            <v>Open end</v>
          </cell>
          <cell r="AG191">
            <v>7</v>
          </cell>
          <cell r="AH191">
            <v>7</v>
          </cell>
          <cell r="AI191" t="str">
            <v>Net</v>
          </cell>
          <cell r="AJ191" t="str">
            <v>IPD SFIX</v>
          </cell>
          <cell r="AK191">
            <v>7</v>
          </cell>
          <cell r="AL191">
            <v>49</v>
          </cell>
          <cell r="AM191" t="str">
            <v>&gt; 40%</v>
          </cell>
          <cell r="AN191" t="str">
            <v>Institutional</v>
          </cell>
          <cell r="AO191" t="str">
            <v>&gt; 2</v>
          </cell>
          <cell r="AP191" t="str">
            <v>≥ 50%</v>
          </cell>
          <cell r="AQ191" t="str">
            <v>Europe</v>
          </cell>
          <cell r="AR191" t="str">
            <v>multi country</v>
          </cell>
          <cell r="AS191" t="str">
            <v>Europe</v>
          </cell>
          <cell r="AU191" t="str">
            <v>single sector</v>
          </cell>
          <cell r="AV191" t="str">
            <v>Industrial / Logistics</v>
          </cell>
          <cell r="AW191">
            <v>150000000</v>
          </cell>
          <cell r="AX191">
            <v>300000000</v>
          </cell>
          <cell r="AY191">
            <v>2004</v>
          </cell>
          <cell r="BH191" t="str">
            <v>2020-12-31</v>
          </cell>
          <cell r="BI191">
            <v>229637691</v>
          </cell>
          <cell r="BJ191">
            <v>229637691</v>
          </cell>
          <cell r="BK191">
            <v>155921439</v>
          </cell>
          <cell r="BL191">
            <v>155921439</v>
          </cell>
          <cell r="BM191">
            <v>35.4</v>
          </cell>
          <cell r="BN191" t="str">
            <v>No</v>
          </cell>
          <cell r="BO191" t="str">
            <v>External</v>
          </cell>
          <cell r="BP191">
            <v>0</v>
          </cell>
          <cell r="BQ191">
            <v>11</v>
          </cell>
          <cell r="BR191">
            <v>0</v>
          </cell>
          <cell r="BS191">
            <v>0</v>
          </cell>
          <cell r="BT191">
            <v>0</v>
          </cell>
          <cell r="BV191" t="str">
            <v>No</v>
          </cell>
          <cell r="BW191" t="str">
            <v>Germany</v>
          </cell>
          <cell r="BX191" t="str">
            <v>Industrial / Logistics</v>
          </cell>
          <cell r="BY191">
            <v>100</v>
          </cell>
        </row>
        <row r="192">
          <cell r="A192">
            <v>149</v>
          </cell>
          <cell r="B192" t="str">
            <v>EURO CORE III</v>
          </cell>
          <cell r="C192" t="str">
            <v>DWS ALTERNATIVES GMBH</v>
          </cell>
          <cell r="D192" t="str">
            <v>Mainzer Landstraße 11-17</v>
          </cell>
          <cell r="E192">
            <v>60329</v>
          </cell>
          <cell r="F192" t="str">
            <v>Frankfurt am Main</v>
          </cell>
          <cell r="G192" t="str">
            <v>Germany</v>
          </cell>
          <cell r="H192" t="str">
            <v>+496991016661</v>
          </cell>
          <cell r="I192" t="str">
            <v>+496991016909</v>
          </cell>
          <cell r="J192" t="str">
            <v>https://www.dws.de/</v>
          </cell>
          <cell r="K192" t="str">
            <v>Carl-Eugen Bitzer</v>
          </cell>
          <cell r="L192" t="str">
            <v>carl-eugen.bitzer@dws.com</v>
          </cell>
          <cell r="M192" t="str">
            <v>+496991016878</v>
          </cell>
          <cell r="N192" t="str">
            <v>Dr. Ulrich von Creytz</v>
          </cell>
          <cell r="O192" t="str">
            <v>ulrich-von.creytz@dws.com</v>
          </cell>
          <cell r="P192" t="str">
            <v>+496991016429</v>
          </cell>
          <cell r="Q192" t="str">
            <v>Germany</v>
          </cell>
          <cell r="R192" t="str">
            <v>EUR</v>
          </cell>
          <cell r="S192" t="str">
            <v>HGB</v>
          </cell>
          <cell r="T192" t="str">
            <v>Quarterly</v>
          </cell>
          <cell r="U192" t="str">
            <v>Annually</v>
          </cell>
          <cell r="V192" t="str">
            <v>ImmoWertV</v>
          </cell>
          <cell r="W192" t="str">
            <v>KAGB</v>
          </cell>
          <cell r="X192" t="str">
            <v>KPMG</v>
          </cell>
          <cell r="Y192" t="str">
            <v>Spezialfonds</v>
          </cell>
          <cell r="Z192" t="str">
            <v>No</v>
          </cell>
          <cell r="AA192" t="str">
            <v>Yes</v>
          </cell>
          <cell r="AB192">
            <v>0</v>
          </cell>
          <cell r="AC192" t="str">
            <v>Non-Listed Fund</v>
          </cell>
          <cell r="AD192" t="str">
            <v>Core</v>
          </cell>
          <cell r="AE192" t="str">
            <v>infinite</v>
          </cell>
          <cell r="AF192" t="str">
            <v>Open end</v>
          </cell>
          <cell r="AG192">
            <v>5</v>
          </cell>
          <cell r="AH192">
            <v>6</v>
          </cell>
          <cell r="AI192" t="str">
            <v>Net</v>
          </cell>
          <cell r="AJ192" t="str">
            <v>IRR</v>
          </cell>
          <cell r="AK192">
            <v>4.5</v>
          </cell>
          <cell r="AL192">
            <v>45</v>
          </cell>
          <cell r="AM192" t="str">
            <v>&gt; 40% - ≤ 60%</v>
          </cell>
          <cell r="AN192" t="str">
            <v>Institutional</v>
          </cell>
          <cell r="AO192" t="str">
            <v>&gt; 2</v>
          </cell>
          <cell r="AP192" t="str">
            <v>≥ 50%</v>
          </cell>
          <cell r="AQ192" t="str">
            <v>Europe</v>
          </cell>
          <cell r="AR192" t="str">
            <v>multi country</v>
          </cell>
          <cell r="AS192" t="str">
            <v>Europe</v>
          </cell>
          <cell r="AU192" t="str">
            <v>multi sector</v>
          </cell>
          <cell r="AW192">
            <v>465000000</v>
          </cell>
          <cell r="AX192">
            <v>850000000</v>
          </cell>
          <cell r="AY192">
            <v>2004</v>
          </cell>
          <cell r="BA192" t="str">
            <v>No</v>
          </cell>
          <cell r="BD192" t="str">
            <v>No</v>
          </cell>
          <cell r="BE192" t="str">
            <v>≥ 60%</v>
          </cell>
          <cell r="BG192" t="str">
            <v>≤ 5%</v>
          </cell>
          <cell r="BH192" t="str">
            <v>2020-12-31</v>
          </cell>
          <cell r="BI192">
            <v>865388647.46000004</v>
          </cell>
          <cell r="BJ192">
            <v>865388647.46000004</v>
          </cell>
          <cell r="BK192">
            <v>504737308.29000002</v>
          </cell>
          <cell r="BL192">
            <v>504737308.29000002</v>
          </cell>
          <cell r="BM192">
            <v>41.68</v>
          </cell>
          <cell r="BN192" t="str">
            <v>No</v>
          </cell>
          <cell r="BO192" t="str">
            <v>External</v>
          </cell>
          <cell r="BP192">
            <v>21</v>
          </cell>
          <cell r="BQ192">
            <v>31</v>
          </cell>
          <cell r="BR192">
            <v>521744484.58999997</v>
          </cell>
          <cell r="BS192">
            <v>521744484.58999997</v>
          </cell>
          <cell r="BT192">
            <v>521743883.25999999</v>
          </cell>
          <cell r="BU192">
            <v>521743883.25999999</v>
          </cell>
          <cell r="BV192" t="str">
            <v>Yes</v>
          </cell>
          <cell r="BW192" t="str">
            <v>United Kingdom</v>
          </cell>
          <cell r="BX192" t="str">
            <v>Residential</v>
          </cell>
          <cell r="BY192">
            <v>7.94</v>
          </cell>
          <cell r="BZ192" t="str">
            <v>France</v>
          </cell>
          <cell r="CA192" t="str">
            <v>Office</v>
          </cell>
          <cell r="CB192">
            <v>4.6399999999999997</v>
          </cell>
          <cell r="CC192" t="str">
            <v>Italy</v>
          </cell>
          <cell r="CD192" t="str">
            <v>Industrial / Logistics</v>
          </cell>
          <cell r="CE192">
            <v>10.98</v>
          </cell>
          <cell r="CF192" t="str">
            <v>United Kingdom</v>
          </cell>
          <cell r="CG192" t="str">
            <v>Mixed</v>
          </cell>
          <cell r="CH192">
            <v>1.73</v>
          </cell>
          <cell r="CI192" t="str">
            <v>United Kingdom</v>
          </cell>
          <cell r="CJ192" t="str">
            <v>Retail</v>
          </cell>
          <cell r="CK192">
            <v>6.56</v>
          </cell>
          <cell r="CL192" t="str">
            <v>United Kingdom</v>
          </cell>
          <cell r="CM192" t="str">
            <v>Office</v>
          </cell>
          <cell r="CN192">
            <v>10.31</v>
          </cell>
          <cell r="CO192" t="str">
            <v>Poland</v>
          </cell>
          <cell r="CP192" t="str">
            <v>Industrial / Logistics</v>
          </cell>
          <cell r="CQ192">
            <v>7.07</v>
          </cell>
          <cell r="CR192" t="str">
            <v>Poland</v>
          </cell>
          <cell r="CS192" t="str">
            <v>Retail</v>
          </cell>
          <cell r="CT192">
            <v>3.6</v>
          </cell>
          <cell r="CU192" t="str">
            <v>Poland</v>
          </cell>
          <cell r="CV192" t="str">
            <v>Office</v>
          </cell>
          <cell r="CW192">
            <v>5.12</v>
          </cell>
          <cell r="CX192" t="str">
            <v>Macedonia</v>
          </cell>
          <cell r="CY192" t="str">
            <v>Hotel</v>
          </cell>
          <cell r="CZ192">
            <v>17.05</v>
          </cell>
          <cell r="DA192" t="str">
            <v>Germany</v>
          </cell>
          <cell r="DB192" t="str">
            <v>Retail</v>
          </cell>
          <cell r="DC192">
            <v>4.49</v>
          </cell>
          <cell r="DD192" t="str">
            <v>Germany</v>
          </cell>
          <cell r="DE192" t="str">
            <v>Office</v>
          </cell>
          <cell r="DF192">
            <v>6.38</v>
          </cell>
          <cell r="DG192" t="str">
            <v>Belgium</v>
          </cell>
          <cell r="DH192" t="str">
            <v>Office</v>
          </cell>
          <cell r="DI192">
            <v>7.64</v>
          </cell>
          <cell r="DJ192" t="str">
            <v>Germany</v>
          </cell>
          <cell r="DK192" t="str">
            <v>Residential</v>
          </cell>
          <cell r="DL192">
            <v>2.9</v>
          </cell>
          <cell r="DM192" t="str">
            <v>Sweden</v>
          </cell>
          <cell r="DN192" t="str">
            <v>Industrial / Logistics</v>
          </cell>
          <cell r="DO192">
            <v>3.59</v>
          </cell>
        </row>
        <row r="193">
          <cell r="A193">
            <v>518</v>
          </cell>
          <cell r="B193" t="str">
            <v>EURO CORE RECOVERY FUND</v>
          </cell>
          <cell r="C193" t="str">
            <v>DWS ALTERNATIVES GMBH</v>
          </cell>
          <cell r="D193" t="str">
            <v>Mainzer Landstraße 11-17</v>
          </cell>
          <cell r="E193">
            <v>60329</v>
          </cell>
          <cell r="F193" t="str">
            <v>Frankfurt</v>
          </cell>
          <cell r="G193" t="str">
            <v>Germany</v>
          </cell>
          <cell r="H193" t="str">
            <v>+496991016661</v>
          </cell>
          <cell r="I193" t="str">
            <v>+496991016909</v>
          </cell>
          <cell r="J193" t="str">
            <v>https://www.dws.de/</v>
          </cell>
          <cell r="K193" t="str">
            <v>Carl-Eugen Bitzer</v>
          </cell>
          <cell r="L193" t="str">
            <v>carl-eugen.bitzer@dws.com</v>
          </cell>
          <cell r="M193" t="str">
            <v>+496991016878</v>
          </cell>
          <cell r="N193" t="str">
            <v>Dr. Ulrich von Creytz</v>
          </cell>
          <cell r="O193" t="str">
            <v>ulrich-von.creytz@dws.com</v>
          </cell>
          <cell r="P193" t="str">
            <v>+496991016429</v>
          </cell>
          <cell r="Q193" t="str">
            <v>Germany</v>
          </cell>
          <cell r="R193" t="str">
            <v>EUR</v>
          </cell>
          <cell r="S193" t="str">
            <v>HGB</v>
          </cell>
          <cell r="T193" t="str">
            <v>Quarterly</v>
          </cell>
          <cell r="U193" t="str">
            <v>Annually</v>
          </cell>
          <cell r="V193" t="str">
            <v>ImmoWertV</v>
          </cell>
          <cell r="W193" t="str">
            <v>KAGB</v>
          </cell>
          <cell r="X193" t="str">
            <v>KPMG</v>
          </cell>
          <cell r="Y193" t="str">
            <v>Spezialfonds</v>
          </cell>
          <cell r="Z193" t="str">
            <v>No</v>
          </cell>
          <cell r="AA193" t="str">
            <v>No</v>
          </cell>
          <cell r="AB193">
            <v>0</v>
          </cell>
          <cell r="AC193" t="str">
            <v>Non-Listed Fund</v>
          </cell>
          <cell r="AD193" t="str">
            <v>Core</v>
          </cell>
          <cell r="AE193" t="str">
            <v>finite</v>
          </cell>
          <cell r="AF193" t="str">
            <v>Closed end</v>
          </cell>
          <cell r="AG193">
            <v>6</v>
          </cell>
          <cell r="AH193">
            <v>8</v>
          </cell>
          <cell r="AI193" t="str">
            <v>Net</v>
          </cell>
          <cell r="AJ193" t="str">
            <v>IRR</v>
          </cell>
          <cell r="AK193">
            <v>5.5</v>
          </cell>
          <cell r="AL193">
            <v>40</v>
          </cell>
          <cell r="AM193" t="str">
            <v>&gt; 40% - ≤ 60%</v>
          </cell>
          <cell r="AN193" t="str">
            <v>Institutional</v>
          </cell>
          <cell r="AO193" t="str">
            <v>&gt; 2</v>
          </cell>
          <cell r="AP193" t="str">
            <v>≥ 50%</v>
          </cell>
          <cell r="AQ193" t="str">
            <v>Europe</v>
          </cell>
          <cell r="AR193" t="str">
            <v>multi country</v>
          </cell>
          <cell r="AS193" t="str">
            <v>Europe</v>
          </cell>
          <cell r="AU193" t="str">
            <v>multi sector</v>
          </cell>
          <cell r="AW193">
            <v>500000000</v>
          </cell>
          <cell r="AX193">
            <v>900000000</v>
          </cell>
          <cell r="AY193">
            <v>2010</v>
          </cell>
          <cell r="AZ193">
            <v>2021</v>
          </cell>
          <cell r="BD193" t="str">
            <v>No</v>
          </cell>
          <cell r="BH193" t="str">
            <v>2020-12-31</v>
          </cell>
          <cell r="BI193">
            <v>45775643.009999998</v>
          </cell>
          <cell r="BJ193">
            <v>45775643.009999998</v>
          </cell>
          <cell r="BK193">
            <v>25761859.300000001</v>
          </cell>
          <cell r="BL193">
            <v>25761859.300000001</v>
          </cell>
          <cell r="BM193">
            <v>43.72</v>
          </cell>
          <cell r="BN193" t="str">
            <v>No</v>
          </cell>
          <cell r="BO193" t="str">
            <v>External</v>
          </cell>
          <cell r="BP193">
            <v>17</v>
          </cell>
          <cell r="BQ193">
            <v>2</v>
          </cell>
          <cell r="BR193">
            <v>325000000</v>
          </cell>
          <cell r="BS193">
            <v>325000000</v>
          </cell>
          <cell r="BT193">
            <v>231398616.12</v>
          </cell>
          <cell r="BU193">
            <v>231398616.12</v>
          </cell>
          <cell r="BV193" t="str">
            <v>No</v>
          </cell>
          <cell r="BW193" t="str">
            <v>Germany</v>
          </cell>
          <cell r="BX193" t="str">
            <v>Industrial / Logistics</v>
          </cell>
          <cell r="BY193">
            <v>66.7</v>
          </cell>
          <cell r="BZ193" t="str">
            <v>United Kingdom</v>
          </cell>
          <cell r="CA193" t="str">
            <v>Retail</v>
          </cell>
          <cell r="CB193">
            <v>33.299999999999997</v>
          </cell>
        </row>
        <row r="194">
          <cell r="A194">
            <v>152</v>
          </cell>
          <cell r="B194" t="str">
            <v>EURO PROPERTY 1</v>
          </cell>
          <cell r="C194" t="str">
            <v>PRINCIPAL REAL ESTATE SPEZIALFONDSGESELLSCHAFT MBH</v>
          </cell>
          <cell r="D194" t="str">
            <v>Taunusanlage 16</v>
          </cell>
          <cell r="E194">
            <v>60325</v>
          </cell>
          <cell r="F194" t="str">
            <v>Frankfurt am Main</v>
          </cell>
          <cell r="G194" t="str">
            <v>Germany</v>
          </cell>
          <cell r="H194" t="str">
            <v>+49 (0) 69 50 50 66 90</v>
          </cell>
          <cell r="I194" t="str">
            <v>+49 (0) 69 50 50 66 929</v>
          </cell>
          <cell r="J194" t="str">
            <v>http://www.principalreeurope.com</v>
          </cell>
          <cell r="K194" t="str">
            <v>Yvonne Drexler</v>
          </cell>
          <cell r="L194" t="str">
            <v>Drexler.Yvonne@PrincipalREEurope.com</v>
          </cell>
          <cell r="M194" t="str">
            <v>+49 (0) 69 50 50 66 956</v>
          </cell>
          <cell r="N194" t="str">
            <v>Frank Richter</v>
          </cell>
          <cell r="O194" t="str">
            <v>Richter.Frank@principal.com</v>
          </cell>
          <cell r="P194" t="str">
            <v>+49 (0) 69 50 50 66 90</v>
          </cell>
          <cell r="Q194" t="str">
            <v>Germany</v>
          </cell>
          <cell r="R194" t="str">
            <v>EUR</v>
          </cell>
          <cell r="T194" t="str">
            <v>Annually</v>
          </cell>
          <cell r="U194" t="str">
            <v>Annually</v>
          </cell>
          <cell r="W194" t="str">
            <v>German investment tax law</v>
          </cell>
          <cell r="X194" t="str">
            <v>EY</v>
          </cell>
          <cell r="Y194" t="str">
            <v>Spezialfonds</v>
          </cell>
          <cell r="Z194" t="str">
            <v>No</v>
          </cell>
          <cell r="AA194" t="str">
            <v>Yes</v>
          </cell>
          <cell r="AC194" t="str">
            <v>Non-Listed Fund</v>
          </cell>
          <cell r="AD194" t="str">
            <v>Core</v>
          </cell>
          <cell r="AE194" t="str">
            <v>infinite</v>
          </cell>
          <cell r="AF194" t="str">
            <v>Open end</v>
          </cell>
          <cell r="AG194">
            <v>6</v>
          </cell>
          <cell r="AH194">
            <v>6</v>
          </cell>
          <cell r="AI194" t="str">
            <v>Net</v>
          </cell>
          <cell r="AK194">
            <v>4</v>
          </cell>
          <cell r="AM194" t="str">
            <v>&gt; 40% - ≤ 60%</v>
          </cell>
          <cell r="AN194" t="str">
            <v>Institutional</v>
          </cell>
          <cell r="AO194" t="str">
            <v>&gt; 2</v>
          </cell>
          <cell r="AP194" t="str">
            <v>≥ 50%</v>
          </cell>
          <cell r="AQ194" t="str">
            <v>Europe</v>
          </cell>
          <cell r="AR194" t="str">
            <v>multi country</v>
          </cell>
          <cell r="AS194" t="str">
            <v>Europe</v>
          </cell>
          <cell r="AU194" t="str">
            <v>multi sector</v>
          </cell>
          <cell r="AY194">
            <v>2004</v>
          </cell>
          <cell r="BH194" t="str">
            <v>2020-12-31</v>
          </cell>
          <cell r="BI194">
            <v>91884830</v>
          </cell>
          <cell r="BJ194">
            <v>91884830</v>
          </cell>
          <cell r="BK194">
            <v>56884830</v>
          </cell>
          <cell r="BL194">
            <v>56884830</v>
          </cell>
          <cell r="BM194">
            <v>38.090000000000003</v>
          </cell>
          <cell r="BN194" t="str">
            <v>No</v>
          </cell>
          <cell r="BO194" t="str">
            <v>Internal</v>
          </cell>
          <cell r="BP194">
            <v>6</v>
          </cell>
          <cell r="BQ194">
            <v>4</v>
          </cell>
          <cell r="BR194">
            <v>119846023.47</v>
          </cell>
          <cell r="BS194">
            <v>119846023.47</v>
          </cell>
          <cell r="BT194">
            <v>119846023.47</v>
          </cell>
          <cell r="BU194">
            <v>119846023.47</v>
          </cell>
          <cell r="BV194" t="str">
            <v>Yes</v>
          </cell>
          <cell r="BW194" t="str">
            <v>Portugal</v>
          </cell>
          <cell r="BX194" t="str">
            <v>Retail</v>
          </cell>
          <cell r="BY194">
            <v>6</v>
          </cell>
          <cell r="BZ194" t="str">
            <v>Germany</v>
          </cell>
          <cell r="CA194" t="str">
            <v>Office</v>
          </cell>
          <cell r="CB194">
            <v>66.099999999999994</v>
          </cell>
          <cell r="CC194" t="str">
            <v>Spain</v>
          </cell>
          <cell r="CD194" t="str">
            <v>Retail</v>
          </cell>
          <cell r="CE194">
            <v>27.9</v>
          </cell>
        </row>
        <row r="195">
          <cell r="A195">
            <v>153</v>
          </cell>
          <cell r="B195" t="str">
            <v>EUROFFICE FUND</v>
          </cell>
          <cell r="C195" t="str">
            <v>AEW CILOGER</v>
          </cell>
          <cell r="D195" t="str">
            <v>22 rue du Docteur Lancereaux</v>
          </cell>
          <cell r="E195">
            <v>75008</v>
          </cell>
          <cell r="F195" t="str">
            <v>Paris</v>
          </cell>
          <cell r="G195" t="str">
            <v>France</v>
          </cell>
          <cell r="H195" t="str">
            <v>+33 (0) 1 78 40 93 53</v>
          </cell>
          <cell r="J195" t="str">
            <v>http://www.aeweurope.com</v>
          </cell>
          <cell r="K195" t="str">
            <v>Stéphane SEBBAN</v>
          </cell>
          <cell r="L195" t="str">
            <v>stephane.sebban@eu.aew.com</v>
          </cell>
          <cell r="M195" t="str">
            <v>+33 (0) 1 78 40 93 53</v>
          </cell>
          <cell r="N195" t="str">
            <v>Stéphane SEBBAN</v>
          </cell>
          <cell r="O195" t="str">
            <v>stephane.sebban@eu.aew.com</v>
          </cell>
          <cell r="P195" t="str">
            <v>+33 (0) 1 78 40 93 53</v>
          </cell>
          <cell r="Q195" t="str">
            <v>France</v>
          </cell>
          <cell r="R195" t="str">
            <v>EUR</v>
          </cell>
          <cell r="S195" t="str">
            <v>IFRS</v>
          </cell>
          <cell r="T195" t="str">
            <v>Quarterly</v>
          </cell>
          <cell r="U195" t="str">
            <v>Annually</v>
          </cell>
          <cell r="V195" t="str">
            <v>RICS</v>
          </cell>
          <cell r="W195" t="str">
            <v>INREV NAV</v>
          </cell>
          <cell r="X195" t="str">
            <v>KPMG</v>
          </cell>
          <cell r="Y195" t="str">
            <v>SAS</v>
          </cell>
          <cell r="Z195" t="str">
            <v>No</v>
          </cell>
          <cell r="AB195">
            <v>0</v>
          </cell>
          <cell r="AC195" t="str">
            <v>Non-Listed Fund</v>
          </cell>
          <cell r="AD195" t="str">
            <v>Core</v>
          </cell>
          <cell r="AE195" t="str">
            <v>finite</v>
          </cell>
          <cell r="AF195" t="str">
            <v>Closed end</v>
          </cell>
          <cell r="AG195">
            <v>8</v>
          </cell>
          <cell r="AH195">
            <v>9</v>
          </cell>
          <cell r="AI195" t="str">
            <v>Net</v>
          </cell>
          <cell r="AK195">
            <v>5</v>
          </cell>
          <cell r="AL195">
            <v>60</v>
          </cell>
          <cell r="AM195" t="str">
            <v>&gt; 40% - ≤ 60%</v>
          </cell>
          <cell r="AN195" t="str">
            <v>Institutional</v>
          </cell>
          <cell r="AO195" t="str">
            <v>&gt; 2</v>
          </cell>
          <cell r="AP195" t="str">
            <v>≥ 50%</v>
          </cell>
          <cell r="AQ195" t="str">
            <v>Europe</v>
          </cell>
          <cell r="AR195" t="str">
            <v>multi country</v>
          </cell>
          <cell r="AS195" t="str">
            <v>Europe</v>
          </cell>
          <cell r="AU195" t="str">
            <v>single sector</v>
          </cell>
          <cell r="AV195" t="str">
            <v>Office</v>
          </cell>
          <cell r="AW195">
            <v>350000000</v>
          </cell>
          <cell r="AX195">
            <v>875000000</v>
          </cell>
          <cell r="AY195">
            <v>2006</v>
          </cell>
          <cell r="AZ195">
            <v>2014</v>
          </cell>
          <cell r="BA195" t="str">
            <v>Yes</v>
          </cell>
          <cell r="BB195" t="str">
            <v>Yes</v>
          </cell>
          <cell r="BC195" t="str">
            <v>2 years</v>
          </cell>
          <cell r="BH195" t="str">
            <v>2020-12-31</v>
          </cell>
          <cell r="BI195">
            <v>5507292</v>
          </cell>
          <cell r="BJ195">
            <v>5507292</v>
          </cell>
          <cell r="BK195">
            <v>5492103</v>
          </cell>
          <cell r="BL195">
            <v>5492103</v>
          </cell>
          <cell r="BM195">
            <v>0</v>
          </cell>
          <cell r="BN195" t="str">
            <v>Yes</v>
          </cell>
          <cell r="BO195" t="str">
            <v>External</v>
          </cell>
          <cell r="BP195">
            <v>17</v>
          </cell>
          <cell r="BQ195">
            <v>0</v>
          </cell>
          <cell r="BR195">
            <v>350000000</v>
          </cell>
          <cell r="BS195">
            <v>350000000</v>
          </cell>
          <cell r="BT195">
            <v>339043202</v>
          </cell>
          <cell r="BU195">
            <v>339043202</v>
          </cell>
          <cell r="BV195" t="str">
            <v>No</v>
          </cell>
        </row>
        <row r="196">
          <cell r="A196">
            <v>19565</v>
          </cell>
          <cell r="B196" t="str">
            <v>EUROPA DIVERSIFIED INCOME FUND</v>
          </cell>
          <cell r="C196" t="str">
            <v>EUROPA CAPITAL</v>
          </cell>
          <cell r="D196" t="str">
            <v>15 Sloane Square, Chelsea</v>
          </cell>
          <cell r="E196" t="str">
            <v>SW1W 8ER</v>
          </cell>
          <cell r="F196" t="str">
            <v>London</v>
          </cell>
          <cell r="G196" t="str">
            <v>United Kingdom</v>
          </cell>
          <cell r="H196" t="str">
            <v>+442078816800</v>
          </cell>
          <cell r="I196" t="str">
            <v>+442078816800</v>
          </cell>
          <cell r="J196" t="str">
            <v>https://www.europacapital.com/</v>
          </cell>
          <cell r="K196" t="str">
            <v>Andy Watson</v>
          </cell>
          <cell r="L196" t="str">
            <v>awatson@europacapital.com</v>
          </cell>
          <cell r="M196" t="str">
            <v>+442078816800</v>
          </cell>
          <cell r="N196" t="str">
            <v>Ian Currie</v>
          </cell>
          <cell r="O196" t="str">
            <v>icurrie@europacapital.com</v>
          </cell>
          <cell r="P196" t="str">
            <v>+442078816800</v>
          </cell>
          <cell r="Q196" t="str">
            <v>Luxembourg</v>
          </cell>
          <cell r="R196" t="str">
            <v>EUR</v>
          </cell>
          <cell r="S196" t="str">
            <v>Local GAAP</v>
          </cell>
          <cell r="T196" t="str">
            <v>Quarterly</v>
          </cell>
          <cell r="U196" t="str">
            <v>Quarterly</v>
          </cell>
          <cell r="V196" t="str">
            <v>RICS</v>
          </cell>
          <cell r="W196" t="str">
            <v>INREV NAV</v>
          </cell>
          <cell r="X196" t="str">
            <v>EY</v>
          </cell>
          <cell r="Y196" t="str">
            <v>Limited Partnership</v>
          </cell>
          <cell r="Z196" t="str">
            <v>Yes</v>
          </cell>
          <cell r="AA196" t="str">
            <v>Yes</v>
          </cell>
          <cell r="AB196">
            <v>0</v>
          </cell>
          <cell r="AC196" t="str">
            <v>Non-Listed Fund</v>
          </cell>
          <cell r="AD196" t="str">
            <v>Core</v>
          </cell>
          <cell r="AE196" t="str">
            <v>infinite</v>
          </cell>
          <cell r="AF196" t="str">
            <v>Open end</v>
          </cell>
          <cell r="AG196">
            <v>5.5</v>
          </cell>
          <cell r="AH196">
            <v>6</v>
          </cell>
          <cell r="AI196" t="str">
            <v>Net</v>
          </cell>
          <cell r="AJ196" t="str">
            <v>4% Net Distribution Yield - the Fund will also aim to outperform MSCI PEPFI Index as a secondary target</v>
          </cell>
          <cell r="AK196">
            <v>4</v>
          </cell>
          <cell r="AM196" t="str">
            <v>≤ 40%</v>
          </cell>
          <cell r="AN196" t="str">
            <v>Institutional</v>
          </cell>
          <cell r="AO196" t="str">
            <v>&gt; 2</v>
          </cell>
          <cell r="AP196" t="str">
            <v>≥ 50%</v>
          </cell>
          <cell r="AQ196" t="str">
            <v>Europe</v>
          </cell>
          <cell r="AR196" t="str">
            <v>multi country</v>
          </cell>
          <cell r="AS196" t="str">
            <v>Europe</v>
          </cell>
          <cell r="AU196" t="str">
            <v>multi sector</v>
          </cell>
          <cell r="AX196">
            <v>2000</v>
          </cell>
          <cell r="AY196">
            <v>2020</v>
          </cell>
          <cell r="BD196" t="str">
            <v>No</v>
          </cell>
          <cell r="BE196" t="str">
            <v>≥ 60%</v>
          </cell>
          <cell r="BF196" t="str">
            <v>≤ 15%</v>
          </cell>
          <cell r="BH196" t="str">
            <v>2020-03-31</v>
          </cell>
          <cell r="BJ196">
            <v>0</v>
          </cell>
          <cell r="BL196">
            <v>0</v>
          </cell>
          <cell r="BS196">
            <v>0</v>
          </cell>
        </row>
        <row r="197">
          <cell r="A197">
            <v>155</v>
          </cell>
          <cell r="B197" t="str">
            <v>EUROPA FUND II</v>
          </cell>
          <cell r="C197" t="str">
            <v>EUROPA CAPITAL PARTNERS LTD</v>
          </cell>
          <cell r="D197" t="str">
            <v>15 Sloane Square</v>
          </cell>
          <cell r="E197" t="str">
            <v>SW1W 8ER</v>
          </cell>
          <cell r="F197" t="str">
            <v>London</v>
          </cell>
          <cell r="G197" t="str">
            <v>United Kingdom</v>
          </cell>
          <cell r="H197" t="str">
            <v>+442078816800</v>
          </cell>
          <cell r="J197" t="str">
            <v>http://www.europacapital.com</v>
          </cell>
          <cell r="M197" t="str">
            <v>+442078816883</v>
          </cell>
          <cell r="N197" t="str">
            <v>Wendy Phillips</v>
          </cell>
          <cell r="O197" t="str">
            <v>wphillips@europacapital.com</v>
          </cell>
          <cell r="P197" t="str">
            <v>+442078816800</v>
          </cell>
          <cell r="Q197" t="str">
            <v>United Kingdom</v>
          </cell>
          <cell r="R197" t="str">
            <v>EUR</v>
          </cell>
          <cell r="T197" t="str">
            <v>Quarterly</v>
          </cell>
          <cell r="U197" t="str">
            <v>Quarterly</v>
          </cell>
          <cell r="X197" t="str">
            <v>Deloitte &amp; Touche</v>
          </cell>
          <cell r="Y197" t="str">
            <v>Limited Partnership</v>
          </cell>
          <cell r="AB197">
            <v>0</v>
          </cell>
          <cell r="AC197" t="str">
            <v>Non-Listed Fund</v>
          </cell>
          <cell r="AD197" t="str">
            <v>Value-added</v>
          </cell>
          <cell r="AE197" t="str">
            <v>finite</v>
          </cell>
          <cell r="AF197" t="str">
            <v>Closed end</v>
          </cell>
          <cell r="AG197">
            <v>20</v>
          </cell>
          <cell r="AH197">
            <v>20</v>
          </cell>
          <cell r="AM197" t="str">
            <v>&gt; 60%</v>
          </cell>
          <cell r="AN197" t="str">
            <v>Institutional</v>
          </cell>
          <cell r="AQ197" t="str">
            <v>Europe</v>
          </cell>
          <cell r="AR197" t="str">
            <v>multi country</v>
          </cell>
          <cell r="AS197" t="str">
            <v>Europe</v>
          </cell>
          <cell r="AU197" t="str">
            <v>multi sector</v>
          </cell>
          <cell r="AW197">
            <v>450000000</v>
          </cell>
          <cell r="AY197">
            <v>2004</v>
          </cell>
          <cell r="AZ197">
            <v>2012</v>
          </cell>
          <cell r="BH197" t="str">
            <v>2015-03-31</v>
          </cell>
          <cell r="BJ197">
            <v>0</v>
          </cell>
          <cell r="BL197">
            <v>0</v>
          </cell>
          <cell r="BR197">
            <v>450000000</v>
          </cell>
          <cell r="BS197">
            <v>450000000</v>
          </cell>
          <cell r="BU197">
            <v>0</v>
          </cell>
        </row>
        <row r="198">
          <cell r="A198">
            <v>547</v>
          </cell>
          <cell r="B198" t="str">
            <v>EUROPA FUND III</v>
          </cell>
          <cell r="C198" t="str">
            <v>EUROPA CAPITAL LLP</v>
          </cell>
          <cell r="D198" t="str">
            <v xml:space="preserve">15 Sloane Square </v>
          </cell>
          <cell r="E198" t="str">
            <v>SW1W 8ER</v>
          </cell>
          <cell r="F198" t="str">
            <v>LONDON</v>
          </cell>
          <cell r="G198" t="str">
            <v>United Kingdom</v>
          </cell>
          <cell r="H198" t="str">
            <v>+442078816800</v>
          </cell>
          <cell r="J198" t="str">
            <v>https://www.europacapital.com/</v>
          </cell>
          <cell r="K198" t="str">
            <v>Europa Capital LLP</v>
          </cell>
          <cell r="N198" t="str">
            <v>Wendy Phillips</v>
          </cell>
          <cell r="O198" t="str">
            <v>wPhillips@EuropaCapital.com</v>
          </cell>
          <cell r="P198" t="str">
            <v>+442078816800</v>
          </cell>
          <cell r="Q198" t="str">
            <v>United Kingdom</v>
          </cell>
          <cell r="R198" t="str">
            <v>EUR</v>
          </cell>
          <cell r="S198" t="str">
            <v>Local GAAP</v>
          </cell>
          <cell r="T198" t="str">
            <v>Quarterly</v>
          </cell>
          <cell r="U198" t="str">
            <v>Quarterly</v>
          </cell>
          <cell r="V198" t="str">
            <v>RICS</v>
          </cell>
          <cell r="W198" t="str">
            <v>INREV NAV</v>
          </cell>
          <cell r="Y198" t="str">
            <v>Limited Partnership</v>
          </cell>
          <cell r="Z198" t="str">
            <v>No</v>
          </cell>
          <cell r="AB198">
            <v>0</v>
          </cell>
          <cell r="AC198" t="str">
            <v>Non-Listed Fund</v>
          </cell>
          <cell r="AD198" t="str">
            <v>Value-added</v>
          </cell>
          <cell r="AE198" t="str">
            <v>finite</v>
          </cell>
          <cell r="AF198" t="str">
            <v>Closed end</v>
          </cell>
          <cell r="AN198" t="str">
            <v>Institutional</v>
          </cell>
          <cell r="AO198" t="str">
            <v>&gt; 2</v>
          </cell>
          <cell r="AP198" t="str">
            <v>≥ 50%</v>
          </cell>
          <cell r="AQ198" t="str">
            <v>Europe</v>
          </cell>
          <cell r="AR198" t="str">
            <v>multi country</v>
          </cell>
          <cell r="AS198" t="str">
            <v>Europe</v>
          </cell>
          <cell r="AU198" t="str">
            <v>multi sector</v>
          </cell>
          <cell r="AY198">
            <v>2008</v>
          </cell>
          <cell r="BH198" t="str">
            <v>2020-12-31</v>
          </cell>
          <cell r="BI198">
            <v>44218996</v>
          </cell>
          <cell r="BJ198">
            <v>44218996</v>
          </cell>
          <cell r="BK198">
            <v>44183021</v>
          </cell>
          <cell r="BL198">
            <v>44183021</v>
          </cell>
          <cell r="BM198">
            <v>0</v>
          </cell>
          <cell r="BN198" t="str">
            <v>Yes</v>
          </cell>
          <cell r="BO198" t="str">
            <v>External</v>
          </cell>
          <cell r="BP198">
            <v>73</v>
          </cell>
          <cell r="BQ198">
            <v>1</v>
          </cell>
          <cell r="BR198">
            <v>7306347005</v>
          </cell>
          <cell r="BS198">
            <v>7306347005</v>
          </cell>
          <cell r="BT198">
            <v>695448943</v>
          </cell>
          <cell r="BU198">
            <v>695448943</v>
          </cell>
          <cell r="BV198" t="str">
            <v>No</v>
          </cell>
          <cell r="BW198" t="str">
            <v>United Kingdom</v>
          </cell>
          <cell r="BX198" t="str">
            <v>Residential</v>
          </cell>
          <cell r="BY198">
            <v>97.1</v>
          </cell>
        </row>
        <row r="199">
          <cell r="A199">
            <v>17512</v>
          </cell>
          <cell r="B199" t="str">
            <v>EUROPA FUND IV</v>
          </cell>
          <cell r="C199" t="str">
            <v>EUROPA CAPITAL LLP</v>
          </cell>
          <cell r="D199" t="str">
            <v>15 Sloane Square</v>
          </cell>
          <cell r="E199" t="str">
            <v>SW1W 8ER</v>
          </cell>
          <cell r="F199" t="str">
            <v>London</v>
          </cell>
          <cell r="G199" t="str">
            <v>United Kingdom</v>
          </cell>
          <cell r="H199" t="str">
            <v>+442078816800</v>
          </cell>
          <cell r="J199" t="str">
            <v>https://www.europacapital.com/</v>
          </cell>
          <cell r="N199" t="str">
            <v>Wendy Phillips</v>
          </cell>
          <cell r="O199" t="str">
            <v>wPhillips@EuropaCapital.com</v>
          </cell>
          <cell r="P199" t="str">
            <v>+442078816800</v>
          </cell>
          <cell r="Q199" t="str">
            <v>United Kingdom</v>
          </cell>
          <cell r="R199" t="str">
            <v>EUR</v>
          </cell>
          <cell r="S199" t="str">
            <v>Local GAAP</v>
          </cell>
          <cell r="T199" t="str">
            <v>Quarterly</v>
          </cell>
          <cell r="U199" t="str">
            <v>Annually</v>
          </cell>
          <cell r="V199" t="str">
            <v>RICS</v>
          </cell>
          <cell r="W199" t="str">
            <v>INREV NAV</v>
          </cell>
          <cell r="X199" t="str">
            <v>Deloitte</v>
          </cell>
          <cell r="Y199" t="str">
            <v>Limited Partnership</v>
          </cell>
          <cell r="Z199" t="str">
            <v>No</v>
          </cell>
          <cell r="AA199" t="str">
            <v>Yes</v>
          </cell>
          <cell r="AC199" t="str">
            <v>Non-Listed Fund</v>
          </cell>
          <cell r="AD199" t="str">
            <v>Value-added</v>
          </cell>
          <cell r="AE199" t="str">
            <v>finite</v>
          </cell>
          <cell r="AF199" t="str">
            <v>Closed end</v>
          </cell>
          <cell r="AN199" t="str">
            <v>Institutional</v>
          </cell>
          <cell r="AO199" t="str">
            <v>&gt; 2</v>
          </cell>
          <cell r="AP199" t="str">
            <v>≥ 50%</v>
          </cell>
          <cell r="AQ199" t="str">
            <v>Europe</v>
          </cell>
          <cell r="AR199" t="str">
            <v>multi country</v>
          </cell>
          <cell r="AS199" t="str">
            <v>Europe</v>
          </cell>
          <cell r="AU199" t="str">
            <v>multi sector</v>
          </cell>
          <cell r="AY199">
            <v>2012</v>
          </cell>
          <cell r="BH199" t="str">
            <v>2019-09-30</v>
          </cell>
          <cell r="BI199">
            <v>298337228</v>
          </cell>
          <cell r="BJ199">
            <v>298337228</v>
          </cell>
          <cell r="BK199">
            <v>285342932</v>
          </cell>
          <cell r="BL199">
            <v>285342932</v>
          </cell>
          <cell r="BM199">
            <v>4.2</v>
          </cell>
          <cell r="BQ199">
            <v>9</v>
          </cell>
          <cell r="BS199">
            <v>0</v>
          </cell>
          <cell r="BW199" t="str">
            <v>Spain</v>
          </cell>
          <cell r="BX199" t="str">
            <v>Residential</v>
          </cell>
          <cell r="BY199">
            <v>12.5</v>
          </cell>
          <cell r="BZ199" t="str">
            <v>United Kingdom</v>
          </cell>
          <cell r="CA199" t="str">
            <v>Residential</v>
          </cell>
          <cell r="CB199">
            <v>28.4</v>
          </cell>
          <cell r="CC199" t="str">
            <v>United Kingdom</v>
          </cell>
          <cell r="CD199" t="str">
            <v>Office</v>
          </cell>
          <cell r="CE199">
            <v>17.2</v>
          </cell>
          <cell r="CF199" t="str">
            <v>United Kingdom</v>
          </cell>
          <cell r="CG199" t="str">
            <v>Industrial / Logistics</v>
          </cell>
          <cell r="CH199">
            <v>0.9</v>
          </cell>
          <cell r="CI199" t="str">
            <v>Italy</v>
          </cell>
          <cell r="CJ199" t="str">
            <v>Retail</v>
          </cell>
          <cell r="CK199">
            <v>8.5</v>
          </cell>
          <cell r="CL199" t="str">
            <v>United Kingdom</v>
          </cell>
          <cell r="CM199" t="str">
            <v>Retail</v>
          </cell>
          <cell r="CN199">
            <v>32.5</v>
          </cell>
        </row>
        <row r="200">
          <cell r="A200">
            <v>18093</v>
          </cell>
          <cell r="B200" t="str">
            <v>EUROPA FUND V</v>
          </cell>
          <cell r="C200" t="str">
            <v>EUROPA CAPITAL LLP</v>
          </cell>
          <cell r="D200" t="str">
            <v>15 Sloane Square</v>
          </cell>
          <cell r="E200" t="str">
            <v>SW1W 8ER</v>
          </cell>
          <cell r="F200" t="str">
            <v>London</v>
          </cell>
          <cell r="G200" t="str">
            <v>United Kingdom</v>
          </cell>
          <cell r="H200" t="str">
            <v>+442078816800</v>
          </cell>
          <cell r="I200" t="str">
            <v>+442078810501</v>
          </cell>
          <cell r="J200" t="str">
            <v>http://www.europacapital.com</v>
          </cell>
          <cell r="N200" t="str">
            <v>Wendy Phillips</v>
          </cell>
          <cell r="O200" t="str">
            <v>wPhillips@EuropaCapital.com</v>
          </cell>
          <cell r="P200" t="str">
            <v>+442078816800</v>
          </cell>
          <cell r="Q200" t="str">
            <v>United Kingdom</v>
          </cell>
          <cell r="R200" t="str">
            <v>EUR</v>
          </cell>
          <cell r="S200" t="str">
            <v>Local GAAP</v>
          </cell>
          <cell r="T200" t="str">
            <v>Quarterly</v>
          </cell>
          <cell r="U200" t="str">
            <v>Annually</v>
          </cell>
          <cell r="V200" t="str">
            <v>RICS</v>
          </cell>
          <cell r="W200" t="str">
            <v>INREV NAV</v>
          </cell>
          <cell r="X200" t="str">
            <v>Deloitte LLP</v>
          </cell>
          <cell r="Y200" t="str">
            <v>Limited Partnership</v>
          </cell>
          <cell r="Z200" t="str">
            <v>No</v>
          </cell>
          <cell r="AA200" t="str">
            <v>Yes</v>
          </cell>
          <cell r="AC200" t="str">
            <v>Non-Listed Fund</v>
          </cell>
          <cell r="AD200" t="str">
            <v>Value-added</v>
          </cell>
          <cell r="AE200" t="str">
            <v>finite</v>
          </cell>
          <cell r="AF200" t="str">
            <v>Closed end</v>
          </cell>
          <cell r="AG200">
            <v>15</v>
          </cell>
          <cell r="AH200">
            <v>15</v>
          </cell>
          <cell r="AI200" t="str">
            <v>Net</v>
          </cell>
          <cell r="AN200" t="str">
            <v>Institutional</v>
          </cell>
          <cell r="AO200" t="str">
            <v>&gt; 2</v>
          </cell>
          <cell r="AP200" t="str">
            <v>≥ 50%</v>
          </cell>
          <cell r="AQ200" t="str">
            <v>Europe</v>
          </cell>
          <cell r="AR200" t="str">
            <v>multi country</v>
          </cell>
          <cell r="AS200" t="str">
            <v>Europe</v>
          </cell>
          <cell r="AU200" t="str">
            <v>multi sector</v>
          </cell>
          <cell r="AY200">
            <v>2016</v>
          </cell>
          <cell r="BH200" t="str">
            <v>2020-12-31</v>
          </cell>
          <cell r="BI200">
            <v>528089635.50999999</v>
          </cell>
          <cell r="BJ200">
            <v>528089635.50999999</v>
          </cell>
          <cell r="BK200">
            <v>492218765.50999999</v>
          </cell>
          <cell r="BL200">
            <v>492218765.50999999</v>
          </cell>
          <cell r="BM200">
            <v>6.57</v>
          </cell>
          <cell r="BN200" t="str">
            <v>Yes</v>
          </cell>
          <cell r="BO200" t="str">
            <v>External</v>
          </cell>
          <cell r="BP200">
            <v>20</v>
          </cell>
          <cell r="BQ200">
            <v>14</v>
          </cell>
          <cell r="BR200">
            <v>680971875</v>
          </cell>
          <cell r="BS200">
            <v>680971875</v>
          </cell>
          <cell r="BT200">
            <v>653401927</v>
          </cell>
          <cell r="BU200">
            <v>653401927</v>
          </cell>
          <cell r="BV200" t="str">
            <v>No</v>
          </cell>
          <cell r="BW200" t="str">
            <v>Sweden</v>
          </cell>
          <cell r="BX200" t="str">
            <v>Office</v>
          </cell>
          <cell r="BY200">
            <v>6.37</v>
          </cell>
          <cell r="BZ200" t="str">
            <v>Netherlands</v>
          </cell>
          <cell r="CA200" t="str">
            <v>Industrial / Logistics</v>
          </cell>
          <cell r="CB200">
            <v>9.7799999999999994</v>
          </cell>
          <cell r="CC200" t="str">
            <v>Ireland</v>
          </cell>
          <cell r="CD200" t="str">
            <v>Retail</v>
          </cell>
          <cell r="CE200">
            <v>8.39</v>
          </cell>
          <cell r="CF200" t="str">
            <v>Ireland</v>
          </cell>
          <cell r="CG200" t="str">
            <v>Office</v>
          </cell>
          <cell r="CH200">
            <v>8.02</v>
          </cell>
          <cell r="CI200" t="str">
            <v>France</v>
          </cell>
          <cell r="CJ200" t="str">
            <v>Office</v>
          </cell>
          <cell r="CK200">
            <v>0.01</v>
          </cell>
          <cell r="CL200" t="str">
            <v>Spain</v>
          </cell>
          <cell r="CM200" t="str">
            <v>Residential</v>
          </cell>
          <cell r="CN200">
            <v>5.0199999999999996</v>
          </cell>
          <cell r="CO200" t="str">
            <v>Spain</v>
          </cell>
          <cell r="CP200" t="str">
            <v>Retail</v>
          </cell>
          <cell r="CQ200">
            <v>4.84</v>
          </cell>
          <cell r="CR200" t="str">
            <v>Austria</v>
          </cell>
          <cell r="CS200" t="str">
            <v>Industrial / Logistics</v>
          </cell>
          <cell r="CT200">
            <v>1.1599999999999999</v>
          </cell>
          <cell r="CU200" t="str">
            <v>Germany</v>
          </cell>
          <cell r="CV200" t="str">
            <v>Office</v>
          </cell>
          <cell r="CW200">
            <v>8.0500000000000007</v>
          </cell>
          <cell r="CX200" t="str">
            <v>Germany</v>
          </cell>
          <cell r="CY200" t="str">
            <v>Industrial / Logistics</v>
          </cell>
          <cell r="CZ200">
            <v>5.69</v>
          </cell>
          <cell r="DA200" t="str">
            <v>Denmark</v>
          </cell>
          <cell r="DB200" t="str">
            <v>Residential</v>
          </cell>
          <cell r="DC200">
            <v>0.42</v>
          </cell>
          <cell r="DD200" t="str">
            <v>United Kingdom</v>
          </cell>
          <cell r="DE200" t="str">
            <v>Residential</v>
          </cell>
          <cell r="DF200">
            <v>18.86</v>
          </cell>
          <cell r="DG200" t="str">
            <v>United Kingdom</v>
          </cell>
          <cell r="DH200" t="str">
            <v>Retail</v>
          </cell>
          <cell r="DI200">
            <v>9.7899999999999991</v>
          </cell>
          <cell r="DJ200" t="str">
            <v>United Kingdom</v>
          </cell>
          <cell r="DK200" t="str">
            <v>Office</v>
          </cell>
          <cell r="DL200">
            <v>8.82</v>
          </cell>
        </row>
        <row r="201">
          <cell r="A201">
            <v>19571</v>
          </cell>
          <cell r="B201" t="str">
            <v>EUROPA FUND VI</v>
          </cell>
          <cell r="C201" t="str">
            <v>EUROPA CAPITAL</v>
          </cell>
          <cell r="D201" t="str">
            <v>15 Sloane Square</v>
          </cell>
          <cell r="E201" t="str">
            <v>SW1W 8ER</v>
          </cell>
          <cell r="F201" t="str">
            <v>London</v>
          </cell>
          <cell r="G201" t="str">
            <v>United Kingdom</v>
          </cell>
          <cell r="H201" t="str">
            <v>+442078816800</v>
          </cell>
          <cell r="I201" t="str">
            <v>+442078810501</v>
          </cell>
          <cell r="J201" t="str">
            <v>https://www.europacapital.com</v>
          </cell>
          <cell r="N201" t="str">
            <v>Ian Currie</v>
          </cell>
          <cell r="O201" t="str">
            <v>icurrie@europacapital.com</v>
          </cell>
          <cell r="P201" t="str">
            <v>+442078816800</v>
          </cell>
          <cell r="Q201" t="str">
            <v>Luxembourg</v>
          </cell>
          <cell r="R201" t="str">
            <v>EUR</v>
          </cell>
          <cell r="S201" t="str">
            <v>Local GAAP</v>
          </cell>
          <cell r="T201" t="str">
            <v>Quarterly</v>
          </cell>
          <cell r="U201" t="str">
            <v>Annually</v>
          </cell>
          <cell r="V201" t="str">
            <v>RICS</v>
          </cell>
          <cell r="W201" t="str">
            <v>INREV NAV</v>
          </cell>
          <cell r="X201" t="str">
            <v>Deloitte</v>
          </cell>
          <cell r="Y201" t="str">
            <v>Real Estate Fund</v>
          </cell>
          <cell r="Z201" t="str">
            <v>No</v>
          </cell>
          <cell r="AA201" t="str">
            <v>Yes</v>
          </cell>
          <cell r="AB201">
            <v>0</v>
          </cell>
          <cell r="AC201" t="str">
            <v>Non-Listed Fund</v>
          </cell>
          <cell r="AD201" t="str">
            <v>Value-added</v>
          </cell>
          <cell r="AE201" t="str">
            <v>finite</v>
          </cell>
          <cell r="AF201" t="str">
            <v>Closed end</v>
          </cell>
          <cell r="AG201">
            <v>12</v>
          </cell>
          <cell r="AH201">
            <v>14</v>
          </cell>
          <cell r="AI201" t="str">
            <v>Net</v>
          </cell>
          <cell r="AN201" t="str">
            <v>Institutional</v>
          </cell>
          <cell r="AO201" t="str">
            <v>&gt; 2</v>
          </cell>
          <cell r="AP201" t="str">
            <v>≥ 50%</v>
          </cell>
          <cell r="AQ201" t="str">
            <v>Europe</v>
          </cell>
          <cell r="AR201" t="str">
            <v>multi country</v>
          </cell>
          <cell r="AS201" t="str">
            <v>Europe</v>
          </cell>
          <cell r="AU201" t="str">
            <v>multi sector</v>
          </cell>
          <cell r="AY201">
            <v>2019</v>
          </cell>
        </row>
        <row r="202">
          <cell r="A202">
            <v>17171</v>
          </cell>
          <cell r="B202" t="str">
            <v>EUROPA III FONDS</v>
          </cell>
          <cell r="C202" t="str">
            <v>BNP PARIBAS REIM GERMANY</v>
          </cell>
          <cell r="D202" t="str">
            <v>Lilli-Palmer-Straße 2</v>
          </cell>
          <cell r="E202">
            <v>80636</v>
          </cell>
          <cell r="F202" t="str">
            <v>Muenchen</v>
          </cell>
          <cell r="G202" t="str">
            <v>Germany</v>
          </cell>
          <cell r="H202" t="str">
            <v>+4989121730</v>
          </cell>
          <cell r="I202" t="str">
            <v>+498912173119</v>
          </cell>
          <cell r="J202" t="str">
            <v>http://www.reim.bnpparibas.de</v>
          </cell>
          <cell r="N202" t="str">
            <v>Katrin Kollmer</v>
          </cell>
          <cell r="O202" t="str">
            <v>Katrin.Kollmer@bnpparibas.com</v>
          </cell>
          <cell r="P202" t="str">
            <v>+498912173324</v>
          </cell>
          <cell r="Q202" t="str">
            <v>Germany</v>
          </cell>
          <cell r="R202" t="str">
            <v>EUR</v>
          </cell>
          <cell r="S202" t="str">
            <v>Local GAAP</v>
          </cell>
          <cell r="T202" t="str">
            <v>Monthly</v>
          </cell>
          <cell r="U202" t="str">
            <v>Annually</v>
          </cell>
          <cell r="W202" t="str">
            <v>INREV NAV</v>
          </cell>
          <cell r="X202" t="str">
            <v>Deloitte</v>
          </cell>
          <cell r="Y202" t="str">
            <v>Spezialfonds</v>
          </cell>
          <cell r="Z202" t="str">
            <v>Yes</v>
          </cell>
          <cell r="AA202" t="str">
            <v>Yes</v>
          </cell>
          <cell r="AC202" t="str">
            <v>Non-Listed Fund</v>
          </cell>
          <cell r="AD202" t="str">
            <v>Core</v>
          </cell>
          <cell r="AE202" t="str">
            <v>infinite</v>
          </cell>
          <cell r="AF202" t="str">
            <v>Open end</v>
          </cell>
          <cell r="AN202" t="str">
            <v>Institutional</v>
          </cell>
          <cell r="AO202" t="str">
            <v>≤ 2</v>
          </cell>
          <cell r="AP202" t="str">
            <v>≥ 50%</v>
          </cell>
          <cell r="AQ202" t="str">
            <v>Europe</v>
          </cell>
          <cell r="AR202" t="str">
            <v>multi country</v>
          </cell>
          <cell r="AS202" t="str">
            <v>Western Europe</v>
          </cell>
          <cell r="AU202" t="str">
            <v>multi sector</v>
          </cell>
          <cell r="AY202">
            <v>2010</v>
          </cell>
          <cell r="BB202" t="str">
            <v>No</v>
          </cell>
          <cell r="BD202" t="str">
            <v>Yes</v>
          </cell>
          <cell r="BH202" t="str">
            <v>2020-12-31</v>
          </cell>
          <cell r="BI202">
            <v>364355416.42000002</v>
          </cell>
          <cell r="BJ202">
            <v>364355416.42000002</v>
          </cell>
          <cell r="BK202">
            <v>256612914.30000001</v>
          </cell>
          <cell r="BL202">
            <v>256612914.30000001</v>
          </cell>
          <cell r="BM202">
            <v>24.89</v>
          </cell>
          <cell r="BN202" t="str">
            <v>No</v>
          </cell>
          <cell r="BO202" t="str">
            <v>External</v>
          </cell>
          <cell r="BP202">
            <v>1</v>
          </cell>
          <cell r="BQ202">
            <v>8</v>
          </cell>
          <cell r="BR202">
            <v>160299562.65000001</v>
          </cell>
          <cell r="BS202">
            <v>160299562.65000001</v>
          </cell>
          <cell r="BT202">
            <v>160299562.65000001</v>
          </cell>
          <cell r="BU202">
            <v>160299562.65000001</v>
          </cell>
          <cell r="BV202" t="str">
            <v>No</v>
          </cell>
          <cell r="BW202" t="str">
            <v>France</v>
          </cell>
          <cell r="BX202" t="str">
            <v>Office</v>
          </cell>
          <cell r="BY202">
            <v>12.81</v>
          </cell>
          <cell r="BZ202" t="str">
            <v>Belgium</v>
          </cell>
          <cell r="CA202" t="str">
            <v>Office</v>
          </cell>
          <cell r="CB202">
            <v>7.49</v>
          </cell>
          <cell r="CC202" t="str">
            <v>Germany</v>
          </cell>
          <cell r="CD202" t="str">
            <v>Hotel</v>
          </cell>
          <cell r="CE202">
            <v>17.8</v>
          </cell>
          <cell r="CF202" t="str">
            <v>Germany</v>
          </cell>
          <cell r="CG202" t="str">
            <v>Office</v>
          </cell>
          <cell r="CH202">
            <v>56.12</v>
          </cell>
        </row>
        <row r="203">
          <cell r="A203">
            <v>18558</v>
          </cell>
          <cell r="B203" t="str">
            <v>EUROPE CITY RETAIL FUND</v>
          </cell>
          <cell r="C203" t="str">
            <v>INSTITUTIONAL INVESTMENT PARTNERS (2IP)</v>
          </cell>
          <cell r="D203" t="str">
            <v xml:space="preserve">Hamburger Allee 45 </v>
          </cell>
          <cell r="E203" t="str">
            <v>D-60486</v>
          </cell>
          <cell r="F203" t="str">
            <v>Frankfurt</v>
          </cell>
          <cell r="G203" t="str">
            <v>Germany</v>
          </cell>
          <cell r="J203" t="str">
            <v>http://aew.com</v>
          </cell>
          <cell r="K203" t="str">
            <v>Christina Ofschonka</v>
          </cell>
          <cell r="L203" t="str">
            <v>christina.ofschonka@eu.aew.com</v>
          </cell>
          <cell r="N203" t="str">
            <v>Alex Griffiths</v>
          </cell>
          <cell r="O203" t="str">
            <v>alex.griffiths@eu.aew.com</v>
          </cell>
          <cell r="P203">
            <v>2070164840</v>
          </cell>
          <cell r="Q203" t="str">
            <v>Germany</v>
          </cell>
          <cell r="R203" t="str">
            <v>EUR</v>
          </cell>
          <cell r="S203" t="str">
            <v>Local GAAP</v>
          </cell>
          <cell r="T203" t="str">
            <v>Quarterly</v>
          </cell>
          <cell r="U203" t="str">
            <v>Annually</v>
          </cell>
          <cell r="V203" t="str">
            <v>ImmoWertV</v>
          </cell>
          <cell r="W203" t="str">
            <v>IFRS NAV</v>
          </cell>
          <cell r="X203" t="str">
            <v>PriceWaterhouseCooper</v>
          </cell>
          <cell r="Y203" t="str">
            <v>Spezialfonds</v>
          </cell>
          <cell r="Z203" t="str">
            <v>No</v>
          </cell>
          <cell r="AA203" t="str">
            <v>Yes</v>
          </cell>
          <cell r="AC203" t="str">
            <v>Non-Listed Fund</v>
          </cell>
          <cell r="AD203" t="str">
            <v>Core</v>
          </cell>
          <cell r="AE203" t="str">
            <v>infinite</v>
          </cell>
          <cell r="AF203" t="str">
            <v>Open end</v>
          </cell>
          <cell r="AG203">
            <v>5.5</v>
          </cell>
          <cell r="AH203">
            <v>6.5</v>
          </cell>
          <cell r="AI203" t="str">
            <v>Net</v>
          </cell>
          <cell r="AK203">
            <v>4.5</v>
          </cell>
          <cell r="AL203">
            <v>50</v>
          </cell>
          <cell r="AM203" t="str">
            <v>&gt; 40% - ≤ 60%</v>
          </cell>
          <cell r="AN203" t="str">
            <v>Institutional</v>
          </cell>
          <cell r="AO203" t="str">
            <v>&gt; 2</v>
          </cell>
          <cell r="AP203" t="str">
            <v>≥ 50%</v>
          </cell>
          <cell r="AQ203" t="str">
            <v>Europe</v>
          </cell>
          <cell r="AR203" t="str">
            <v>multi country</v>
          </cell>
          <cell r="AS203" t="str">
            <v>Europe</v>
          </cell>
          <cell r="AU203" t="str">
            <v>single sector</v>
          </cell>
          <cell r="AV203" t="str">
            <v>Retail</v>
          </cell>
          <cell r="AW203">
            <v>800000000</v>
          </cell>
          <cell r="AY203">
            <v>2015</v>
          </cell>
          <cell r="BA203" t="str">
            <v>Yes</v>
          </cell>
          <cell r="BD203" t="str">
            <v>No</v>
          </cell>
          <cell r="BE203" t="str">
            <v>≥ 60%</v>
          </cell>
          <cell r="BG203" t="str">
            <v>&gt; 5 - ≤ 25%</v>
          </cell>
        </row>
        <row r="204">
          <cell r="A204">
            <v>18227</v>
          </cell>
          <cell r="B204" t="str">
            <v>EUROPE II SICAV-SIF</v>
          </cell>
          <cell r="C204" t="str">
            <v>DWS INVESTMENT S.A.</v>
          </cell>
          <cell r="D204" t="str">
            <v>2-4 rue Eugene Ruppert</v>
          </cell>
          <cell r="E204" t="str">
            <v>L-2453</v>
          </cell>
          <cell r="F204" t="str">
            <v>Luxembourg</v>
          </cell>
          <cell r="G204" t="str">
            <v>Luxembourg</v>
          </cell>
          <cell r="H204" t="str">
            <v>+352 24 524 1</v>
          </cell>
          <cell r="I204" t="str">
            <v>+352 24 52 4204</v>
          </cell>
          <cell r="K204" t="str">
            <v>Nicoletta De Bona Bottegal</v>
          </cell>
          <cell r="L204" t="str">
            <v>nicoletta.de-bona-bottegal@dws.com</v>
          </cell>
          <cell r="M204" t="str">
            <v>+44 (0) 207 547 0110</v>
          </cell>
          <cell r="N204" t="str">
            <v>BNYM - Transfer Agency</v>
          </cell>
          <cell r="O204" t="str">
            <v>luxmb_domiciliary@bnymellon.com</v>
          </cell>
          <cell r="P204" t="str">
            <v>+352 24 52 5316</v>
          </cell>
          <cell r="Q204" t="str">
            <v>Luxembourg</v>
          </cell>
          <cell r="R204" t="str">
            <v>EUR</v>
          </cell>
          <cell r="S204" t="str">
            <v>IFRS</v>
          </cell>
          <cell r="T204" t="str">
            <v>Quarterly</v>
          </cell>
          <cell r="U204" t="str">
            <v>Quarterly</v>
          </cell>
          <cell r="V204" t="str">
            <v>RICS</v>
          </cell>
          <cell r="W204" t="str">
            <v>INREV NAV</v>
          </cell>
          <cell r="X204" t="str">
            <v>PricewaterhouseCoopers Société Cooperative</v>
          </cell>
          <cell r="Y204" t="str">
            <v>SICAV</v>
          </cell>
          <cell r="Z204" t="str">
            <v>Yes</v>
          </cell>
          <cell r="AA204" t="str">
            <v>Yes</v>
          </cell>
          <cell r="AB204">
            <v>3</v>
          </cell>
          <cell r="AC204" t="str">
            <v>Non-Listed Fund</v>
          </cell>
          <cell r="AD204" t="str">
            <v>Core</v>
          </cell>
          <cell r="AE204" t="str">
            <v>infinite</v>
          </cell>
          <cell r="AF204" t="str">
            <v>Open end</v>
          </cell>
          <cell r="AG204">
            <v>4</v>
          </cell>
          <cell r="AH204">
            <v>5</v>
          </cell>
          <cell r="AI204" t="str">
            <v>Net</v>
          </cell>
          <cell r="AJ204" t="str">
            <v>N/A</v>
          </cell>
          <cell r="AK204">
            <v>0</v>
          </cell>
          <cell r="AL204">
            <v>0</v>
          </cell>
          <cell r="AM204" t="str">
            <v>≤ 40%</v>
          </cell>
          <cell r="AN204" t="str">
            <v>Institutional</v>
          </cell>
          <cell r="AO204" t="str">
            <v>&gt; 2</v>
          </cell>
          <cell r="AP204" t="str">
            <v>≥ 50%</v>
          </cell>
          <cell r="AQ204" t="str">
            <v>Europe</v>
          </cell>
          <cell r="AR204" t="str">
            <v>multi country</v>
          </cell>
          <cell r="AS204" t="str">
            <v>Europe</v>
          </cell>
          <cell r="AU204" t="str">
            <v>multi sector</v>
          </cell>
          <cell r="AW204">
            <v>1000000000</v>
          </cell>
          <cell r="AX204">
            <v>1400000000</v>
          </cell>
          <cell r="AY204">
            <v>2017</v>
          </cell>
          <cell r="BD204" t="str">
            <v>No</v>
          </cell>
          <cell r="BF204" t="str">
            <v>≤ 15%</v>
          </cell>
          <cell r="BG204" t="str">
            <v>&gt; 5 - ≤ 25%</v>
          </cell>
          <cell r="BH204" t="str">
            <v>2020-12-31</v>
          </cell>
          <cell r="BI204">
            <v>1120134405.76</v>
          </cell>
          <cell r="BJ204">
            <v>1120134405.76</v>
          </cell>
          <cell r="BK204">
            <v>627077434.23000002</v>
          </cell>
          <cell r="BL204">
            <v>627077434.23000002</v>
          </cell>
          <cell r="BM204">
            <v>25.95</v>
          </cell>
          <cell r="BN204" t="str">
            <v>No</v>
          </cell>
          <cell r="BO204" t="str">
            <v>External</v>
          </cell>
          <cell r="BP204">
            <v>25</v>
          </cell>
          <cell r="BQ204">
            <v>26</v>
          </cell>
          <cell r="BR204">
            <v>673260000</v>
          </cell>
          <cell r="BS204">
            <v>673260000</v>
          </cell>
          <cell r="BT204">
            <v>564708232</v>
          </cell>
          <cell r="BU204">
            <v>564708232</v>
          </cell>
          <cell r="BV204" t="str">
            <v>Yes</v>
          </cell>
          <cell r="BW204" t="str">
            <v>Sweden</v>
          </cell>
          <cell r="BX204" t="str">
            <v>Development Industrial/Logistcis</v>
          </cell>
          <cell r="BY204">
            <v>5</v>
          </cell>
          <cell r="BZ204" t="str">
            <v>France</v>
          </cell>
          <cell r="CA204" t="str">
            <v>Development Office</v>
          </cell>
          <cell r="CB204">
            <v>5</v>
          </cell>
          <cell r="CC204" t="str">
            <v>France</v>
          </cell>
          <cell r="CD204" t="str">
            <v>Industrial / Logistics</v>
          </cell>
          <cell r="CE204">
            <v>10</v>
          </cell>
          <cell r="CF204" t="str">
            <v>Italy</v>
          </cell>
          <cell r="CG204" t="str">
            <v>Hotel</v>
          </cell>
          <cell r="CH204">
            <v>6</v>
          </cell>
          <cell r="CI204" t="str">
            <v>United Kingdom</v>
          </cell>
          <cell r="CJ204" t="str">
            <v>Office</v>
          </cell>
          <cell r="CK204">
            <v>26</v>
          </cell>
          <cell r="CL204" t="str">
            <v>Ireland</v>
          </cell>
          <cell r="CM204" t="str">
            <v>Retail</v>
          </cell>
          <cell r="CN204">
            <v>3</v>
          </cell>
          <cell r="CO204" t="str">
            <v>Netherlands</v>
          </cell>
          <cell r="CP204" t="str">
            <v>Residential</v>
          </cell>
          <cell r="CQ204">
            <v>29</v>
          </cell>
          <cell r="CR204" t="str">
            <v>Ireland</v>
          </cell>
          <cell r="CS204" t="str">
            <v>Residential</v>
          </cell>
          <cell r="CT204">
            <v>14</v>
          </cell>
        </row>
        <row r="205">
          <cell r="A205">
            <v>18421</v>
          </cell>
          <cell r="B205" t="str">
            <v>EUROPE VALUE PARTNERS</v>
          </cell>
          <cell r="C205" t="str">
            <v>AEW</v>
          </cell>
          <cell r="D205" t="str">
            <v>33 Jermyn Street</v>
          </cell>
          <cell r="E205" t="str">
            <v>SW1Y 6DN</v>
          </cell>
          <cell r="F205" t="str">
            <v>London</v>
          </cell>
          <cell r="G205" t="str">
            <v>United Kingdom</v>
          </cell>
          <cell r="H205" t="str">
            <v>+44 20 70 16 48 00</v>
          </cell>
          <cell r="J205" t="str">
            <v>http://www.aew.com/</v>
          </cell>
          <cell r="K205" t="str">
            <v>Russell Jewell</v>
          </cell>
          <cell r="L205" t="str">
            <v>russell.jewell@eu.aew.com</v>
          </cell>
          <cell r="M205" t="str">
            <v>+44 20 70 16 48 67</v>
          </cell>
          <cell r="N205" t="str">
            <v>Laura Banks</v>
          </cell>
          <cell r="O205" t="str">
            <v>laura.banks@eu.aew.com</v>
          </cell>
          <cell r="P205" t="str">
            <v>+44 20 70 16 48 56</v>
          </cell>
          <cell r="Q205" t="str">
            <v>United Kingdom</v>
          </cell>
          <cell r="R205" t="str">
            <v>EUR</v>
          </cell>
          <cell r="S205" t="str">
            <v>IFRS</v>
          </cell>
          <cell r="T205" t="str">
            <v>Quarterly</v>
          </cell>
          <cell r="V205" t="str">
            <v>RICS</v>
          </cell>
          <cell r="W205" t="str">
            <v>IFRS NAV</v>
          </cell>
          <cell r="Y205" t="str">
            <v>Limited Partnership</v>
          </cell>
          <cell r="Z205" t="str">
            <v>No</v>
          </cell>
          <cell r="AA205" t="str">
            <v>Yes</v>
          </cell>
          <cell r="AC205" t="str">
            <v>Non-Listed Fund</v>
          </cell>
          <cell r="AD205" t="str">
            <v>Value-added</v>
          </cell>
          <cell r="AE205" t="str">
            <v>finite</v>
          </cell>
          <cell r="AF205" t="str">
            <v>Closed end</v>
          </cell>
          <cell r="AG205">
            <v>12</v>
          </cell>
          <cell r="AH205">
            <v>14</v>
          </cell>
          <cell r="AI205" t="str">
            <v>Net</v>
          </cell>
          <cell r="AL205">
            <v>60</v>
          </cell>
          <cell r="AM205" t="str">
            <v>&gt; 40% - ≤ 60%</v>
          </cell>
          <cell r="AN205" t="str">
            <v>Institutional</v>
          </cell>
          <cell r="AO205" t="str">
            <v>&gt; 2</v>
          </cell>
          <cell r="AP205" t="str">
            <v>≥ 50%</v>
          </cell>
          <cell r="AQ205" t="str">
            <v>Europe</v>
          </cell>
          <cell r="AR205" t="str">
            <v>multi country</v>
          </cell>
          <cell r="AS205" t="str">
            <v>Western Europe</v>
          </cell>
          <cell r="AU205" t="str">
            <v>multi sector</v>
          </cell>
          <cell r="AW205">
            <v>500</v>
          </cell>
          <cell r="AX205">
            <v>1200</v>
          </cell>
          <cell r="AY205">
            <v>2017</v>
          </cell>
          <cell r="AZ205">
            <v>2024</v>
          </cell>
          <cell r="BA205" t="str">
            <v>Yes</v>
          </cell>
          <cell r="BB205" t="str">
            <v>Yes</v>
          </cell>
          <cell r="BC205" t="str">
            <v>1+1 years</v>
          </cell>
          <cell r="BD205" t="str">
            <v>No</v>
          </cell>
          <cell r="BG205" t="str">
            <v>&gt; 5 - ≤ 25%</v>
          </cell>
          <cell r="BH205" t="str">
            <v>2020-12-31</v>
          </cell>
          <cell r="BI205">
            <v>83055000</v>
          </cell>
          <cell r="BJ205">
            <v>83055000</v>
          </cell>
          <cell r="BK205">
            <v>33611000</v>
          </cell>
          <cell r="BL205">
            <v>33611000</v>
          </cell>
          <cell r="BM205">
            <v>49.13</v>
          </cell>
          <cell r="BN205" t="str">
            <v>No</v>
          </cell>
          <cell r="BO205" t="str">
            <v>External</v>
          </cell>
          <cell r="BP205">
            <v>6</v>
          </cell>
          <cell r="BQ205">
            <v>4</v>
          </cell>
          <cell r="BR205">
            <v>77333333</v>
          </cell>
          <cell r="BS205">
            <v>77333333</v>
          </cell>
          <cell r="BT205">
            <v>63500000</v>
          </cell>
          <cell r="BU205">
            <v>63500000</v>
          </cell>
          <cell r="BV205" t="str">
            <v>No</v>
          </cell>
          <cell r="BW205" t="str">
            <v>France</v>
          </cell>
          <cell r="BX205" t="str">
            <v>Office</v>
          </cell>
          <cell r="BY205">
            <v>24.91</v>
          </cell>
          <cell r="BZ205" t="str">
            <v>Germany</v>
          </cell>
          <cell r="CA205" t="str">
            <v>Industrial / Logistics</v>
          </cell>
          <cell r="CB205">
            <v>24.61</v>
          </cell>
          <cell r="CC205" t="str">
            <v>United Kingdom</v>
          </cell>
          <cell r="CD205" t="str">
            <v>Retail</v>
          </cell>
          <cell r="CE205">
            <v>12.11</v>
          </cell>
          <cell r="CF205" t="str">
            <v>Spain</v>
          </cell>
          <cell r="CG205" t="str">
            <v>Leisure</v>
          </cell>
          <cell r="CH205">
            <v>24.52</v>
          </cell>
        </row>
        <row r="206">
          <cell r="A206">
            <v>157</v>
          </cell>
          <cell r="B206" t="str">
            <v>EUROPEAN ADDED VALUE FUND LP (EAVF)</v>
          </cell>
          <cell r="C206" t="str">
            <v>AXA REAL ESTATE INVESTMENT MANAGERS (UK) LTD</v>
          </cell>
          <cell r="D206" t="str">
            <v>155 Bishopgate</v>
          </cell>
          <cell r="E206" t="str">
            <v>EC2M 3XJ </v>
          </cell>
          <cell r="F206" t="str">
            <v>London</v>
          </cell>
          <cell r="G206" t="str">
            <v>United Kingdom</v>
          </cell>
          <cell r="H206" t="str">
            <v>+44 (0) 20 7374 4100</v>
          </cell>
          <cell r="J206" t="str">
            <v>http://www.axa-realestate.com</v>
          </cell>
          <cell r="K206" t="str">
            <v>David Wingrove</v>
          </cell>
          <cell r="L206" t="str">
            <v>david.wingrove@axa-im.com</v>
          </cell>
          <cell r="M206" t="str">
            <v>+44 (0) 20 7003 2888</v>
          </cell>
          <cell r="N206" t="str">
            <v>Jamie-Lee Chambers</v>
          </cell>
          <cell r="O206" t="str">
            <v>jamie-lee.chambers@axa-im.com</v>
          </cell>
          <cell r="Q206" t="str">
            <v>United Kingdom</v>
          </cell>
          <cell r="R206" t="str">
            <v>EUR</v>
          </cell>
          <cell r="S206" t="str">
            <v>IFRS</v>
          </cell>
          <cell r="T206" t="str">
            <v>Quarterly</v>
          </cell>
          <cell r="U206" t="str">
            <v>Quarterly</v>
          </cell>
          <cell r="V206" t="str">
            <v>RICS</v>
          </cell>
          <cell r="W206" t="str">
            <v>INREV NAV</v>
          </cell>
          <cell r="X206" t="str">
            <v>PriceWaterhouseCoopers</v>
          </cell>
          <cell r="Y206" t="str">
            <v>Limited Partnership</v>
          </cell>
          <cell r="Z206" t="str">
            <v>No</v>
          </cell>
          <cell r="AA206" t="str">
            <v>Yes</v>
          </cell>
          <cell r="AB206">
            <v>2</v>
          </cell>
          <cell r="AC206" t="str">
            <v>Non-Listed Fund</v>
          </cell>
          <cell r="AD206" t="str">
            <v>Value-added</v>
          </cell>
          <cell r="AE206" t="str">
            <v>finite</v>
          </cell>
          <cell r="AF206" t="str">
            <v>Closed end</v>
          </cell>
          <cell r="AG206">
            <v>12</v>
          </cell>
          <cell r="AH206">
            <v>12</v>
          </cell>
          <cell r="AI206" t="str">
            <v>Net</v>
          </cell>
          <cell r="AJ206" t="str">
            <v>None</v>
          </cell>
          <cell r="AK206">
            <v>6</v>
          </cell>
          <cell r="AL206">
            <v>60</v>
          </cell>
          <cell r="AM206" t="str">
            <v>&gt; 40% - ≤ 60%</v>
          </cell>
          <cell r="AN206" t="str">
            <v>Institutional and Retail</v>
          </cell>
          <cell r="AO206" t="str">
            <v>&gt; 2</v>
          </cell>
          <cell r="AP206" t="str">
            <v>≥ 50%</v>
          </cell>
          <cell r="AQ206" t="str">
            <v>Europe</v>
          </cell>
          <cell r="AR206" t="str">
            <v>multi country</v>
          </cell>
          <cell r="AS206" t="str">
            <v>Europe</v>
          </cell>
          <cell r="AU206" t="str">
            <v>multi sector</v>
          </cell>
          <cell r="AW206">
            <v>422000000</v>
          </cell>
          <cell r="AX206">
            <v>1055000000</v>
          </cell>
          <cell r="AY206">
            <v>2006</v>
          </cell>
          <cell r="AZ206">
            <v>2013</v>
          </cell>
          <cell r="BA206" t="str">
            <v>Yes</v>
          </cell>
          <cell r="BB206" t="str">
            <v>Yes</v>
          </cell>
          <cell r="BC206" t="str">
            <v>1+1 years</v>
          </cell>
          <cell r="BH206" t="str">
            <v>2016-12-31</v>
          </cell>
          <cell r="BI206">
            <v>32376782</v>
          </cell>
          <cell r="BJ206">
            <v>32376782</v>
          </cell>
          <cell r="BK206">
            <v>23842118</v>
          </cell>
          <cell r="BL206">
            <v>23842118</v>
          </cell>
          <cell r="BM206">
            <v>0</v>
          </cell>
          <cell r="BN206" t="str">
            <v>No</v>
          </cell>
          <cell r="BO206" t="str">
            <v>External</v>
          </cell>
          <cell r="BP206">
            <v>15</v>
          </cell>
          <cell r="BQ206">
            <v>3</v>
          </cell>
          <cell r="BR206">
            <v>363945303</v>
          </cell>
          <cell r="BS206">
            <v>363945303</v>
          </cell>
          <cell r="BT206">
            <v>272281185</v>
          </cell>
          <cell r="BU206">
            <v>272281185</v>
          </cell>
          <cell r="BV206" t="str">
            <v>No</v>
          </cell>
          <cell r="BW206" t="str">
            <v>Denmark</v>
          </cell>
          <cell r="BX206" t="str">
            <v>Retail</v>
          </cell>
          <cell r="BY206">
            <v>1</v>
          </cell>
          <cell r="BZ206" t="str">
            <v>France</v>
          </cell>
          <cell r="CA206" t="str">
            <v>Industrial / Logistics</v>
          </cell>
          <cell r="CB206">
            <v>78.45</v>
          </cell>
          <cell r="CC206" t="str">
            <v>Germany</v>
          </cell>
          <cell r="CD206" t="str">
            <v>Retail</v>
          </cell>
          <cell r="CE206">
            <v>20.55</v>
          </cell>
          <cell r="CF206" t="str">
            <v>Italy</v>
          </cell>
          <cell r="CG206" t="str">
            <v>Industrial / Logistics</v>
          </cell>
          <cell r="CH206">
            <v>0</v>
          </cell>
        </row>
        <row r="207">
          <cell r="A207">
            <v>18099</v>
          </cell>
          <cell r="B207" t="str">
            <v>EUROPEAN CITIES FUND</v>
          </cell>
          <cell r="C207" t="str">
            <v>NUVEEN REAL ESTATE</v>
          </cell>
          <cell r="D207" t="str">
            <v>201 Bishopsgate</v>
          </cell>
          <cell r="E207" t="str">
            <v>EC2M 3BN</v>
          </cell>
          <cell r="F207" t="str">
            <v>London</v>
          </cell>
          <cell r="G207" t="str">
            <v>United Kingdom</v>
          </cell>
          <cell r="J207" t="str">
            <v>http://threalestate.com/our-products/pooled-funds/european-cities-fund</v>
          </cell>
          <cell r="K207" t="str">
            <v>Andrew Rich</v>
          </cell>
          <cell r="L207" t="str">
            <v>Andrew.Rich@nuveenglobal.com</v>
          </cell>
          <cell r="N207" t="str">
            <v>Gabi Stein</v>
          </cell>
          <cell r="O207" t="str">
            <v>Gabi.Stein@nuveenglobal.com</v>
          </cell>
          <cell r="P207" t="str">
            <v>+442037278382</v>
          </cell>
          <cell r="Q207" t="str">
            <v>Luxembourg</v>
          </cell>
          <cell r="R207" t="str">
            <v>EUR</v>
          </cell>
          <cell r="S207" t="str">
            <v>IFRS</v>
          </cell>
          <cell r="T207" t="str">
            <v>Quarterly</v>
          </cell>
          <cell r="U207" t="str">
            <v>Quarterly</v>
          </cell>
          <cell r="V207" t="str">
            <v>RICS</v>
          </cell>
          <cell r="W207" t="str">
            <v>INREV NAV</v>
          </cell>
          <cell r="X207" t="str">
            <v>PwC</v>
          </cell>
          <cell r="Y207" t="str">
            <v>Limited Partnership</v>
          </cell>
          <cell r="Z207" t="str">
            <v>Yes</v>
          </cell>
          <cell r="AA207" t="str">
            <v>Yes</v>
          </cell>
          <cell r="AC207" t="str">
            <v>Non-Listed Fund</v>
          </cell>
          <cell r="AD207" t="str">
            <v>Core</v>
          </cell>
          <cell r="AE207" t="str">
            <v>infinite</v>
          </cell>
          <cell r="AF207" t="str">
            <v>Open end</v>
          </cell>
          <cell r="AI207" t="str">
            <v>Net</v>
          </cell>
          <cell r="AK207">
            <v>4</v>
          </cell>
          <cell r="AL207">
            <v>30</v>
          </cell>
          <cell r="AM207" t="str">
            <v>≤ 40%</v>
          </cell>
          <cell r="AN207" t="str">
            <v>Institutional</v>
          </cell>
          <cell r="AO207" t="str">
            <v>&gt; 2</v>
          </cell>
          <cell r="AP207" t="str">
            <v>≥ 50%</v>
          </cell>
          <cell r="AQ207" t="str">
            <v>Europe</v>
          </cell>
          <cell r="AR207" t="str">
            <v>multi country</v>
          </cell>
          <cell r="AS207" t="str">
            <v>Europe</v>
          </cell>
          <cell r="AU207" t="str">
            <v>multi sector</v>
          </cell>
          <cell r="AX207">
            <v>5000000000</v>
          </cell>
          <cell r="AY207">
            <v>2016</v>
          </cell>
          <cell r="BD207" t="str">
            <v>No</v>
          </cell>
          <cell r="BE207" t="str">
            <v>≥ 60%</v>
          </cell>
          <cell r="BF207" t="str">
            <v>≤ 15%</v>
          </cell>
          <cell r="BG207" t="str">
            <v>&gt; 5 - ≤ 25%</v>
          </cell>
          <cell r="BH207" t="str">
            <v>2020-12-31</v>
          </cell>
          <cell r="BI207">
            <v>1857910023</v>
          </cell>
          <cell r="BJ207">
            <v>1857910023</v>
          </cell>
          <cell r="BK207">
            <v>1216633930</v>
          </cell>
          <cell r="BL207">
            <v>1216633930</v>
          </cell>
          <cell r="BM207">
            <v>34.5</v>
          </cell>
          <cell r="BN207" t="str">
            <v>No</v>
          </cell>
          <cell r="BO207" t="str">
            <v>External</v>
          </cell>
          <cell r="BP207">
            <v>22</v>
          </cell>
          <cell r="BQ207">
            <v>13</v>
          </cell>
          <cell r="BR207">
            <v>1274500000</v>
          </cell>
          <cell r="BS207">
            <v>1274500000</v>
          </cell>
          <cell r="BT207">
            <v>1224500000</v>
          </cell>
          <cell r="BU207">
            <v>1224500000</v>
          </cell>
          <cell r="BV207" t="str">
            <v>Yes</v>
          </cell>
          <cell r="BW207" t="str">
            <v>France</v>
          </cell>
          <cell r="BX207" t="str">
            <v>Retail</v>
          </cell>
          <cell r="BY207">
            <v>4</v>
          </cell>
          <cell r="BZ207" t="str">
            <v>Netherlands</v>
          </cell>
          <cell r="CA207" t="str">
            <v>Industrial / Logistics</v>
          </cell>
          <cell r="CB207">
            <v>12</v>
          </cell>
          <cell r="CC207" t="str">
            <v>Netherlands</v>
          </cell>
          <cell r="CD207" t="str">
            <v>Office</v>
          </cell>
          <cell r="CE207">
            <v>7</v>
          </cell>
          <cell r="CF207" t="str">
            <v>United Kingdom</v>
          </cell>
          <cell r="CG207" t="str">
            <v>Office</v>
          </cell>
          <cell r="CH207">
            <v>17</v>
          </cell>
          <cell r="CI207" t="str">
            <v>Finland</v>
          </cell>
          <cell r="CJ207" t="str">
            <v>Retail</v>
          </cell>
          <cell r="CK207">
            <v>13</v>
          </cell>
          <cell r="CL207" t="str">
            <v>United Kingdom</v>
          </cell>
          <cell r="CM207" t="str">
            <v>Mixed</v>
          </cell>
          <cell r="CN207">
            <v>4</v>
          </cell>
          <cell r="CO207" t="str">
            <v>Italy</v>
          </cell>
          <cell r="CP207" t="str">
            <v>Office</v>
          </cell>
          <cell r="CQ207">
            <v>6</v>
          </cell>
          <cell r="CR207" t="str">
            <v>Italy</v>
          </cell>
          <cell r="CS207" t="str">
            <v>Retail</v>
          </cell>
          <cell r="CT207">
            <v>6</v>
          </cell>
          <cell r="CU207" t="str">
            <v>Spain</v>
          </cell>
          <cell r="CV207" t="str">
            <v>Retail</v>
          </cell>
          <cell r="CW207">
            <v>12</v>
          </cell>
          <cell r="CX207" t="str">
            <v>Germany</v>
          </cell>
          <cell r="CY207" t="str">
            <v>Office</v>
          </cell>
          <cell r="CZ207">
            <v>12</v>
          </cell>
          <cell r="DA207" t="str">
            <v>Austria</v>
          </cell>
          <cell r="DB207" t="str">
            <v>Industrial / Logistics</v>
          </cell>
          <cell r="DC207">
            <v>3</v>
          </cell>
        </row>
        <row r="208">
          <cell r="A208">
            <v>19359</v>
          </cell>
          <cell r="B208" t="str">
            <v>EUROPEAN CORE DIVERSIFIED PROPERTY FUND</v>
          </cell>
          <cell r="C208" t="str">
            <v>PGIM REAL ESTATE LUXEMBOURG S.A.</v>
          </cell>
          <cell r="D208" t="str">
            <v>2, Boulevard de la Foire</v>
          </cell>
          <cell r="E208">
            <v>1528</v>
          </cell>
          <cell r="F208" t="str">
            <v>Luxembourg</v>
          </cell>
          <cell r="G208" t="str">
            <v>Luxembourg</v>
          </cell>
          <cell r="H208" t="str">
            <v>+35227623410</v>
          </cell>
          <cell r="K208" t="str">
            <v>Dr. Thomas Kallenbrunnen</v>
          </cell>
          <cell r="L208" t="str">
            <v>thomas.kallenbrunnen@pgim.com</v>
          </cell>
          <cell r="M208" t="str">
            <v>+4969244341630</v>
          </cell>
          <cell r="N208" t="str">
            <v>Faris Mansour</v>
          </cell>
          <cell r="O208" t="str">
            <v>faris.mansour@pgim.com</v>
          </cell>
          <cell r="P208" t="str">
            <v>+442077662434</v>
          </cell>
          <cell r="Q208" t="str">
            <v>Luxembourg</v>
          </cell>
          <cell r="R208" t="str">
            <v>EUR</v>
          </cell>
          <cell r="S208" t="str">
            <v>IFRS</v>
          </cell>
          <cell r="T208" t="str">
            <v>Quarterly</v>
          </cell>
          <cell r="U208" t="str">
            <v>Quarterly</v>
          </cell>
          <cell r="V208" t="str">
            <v>Fair-Value</v>
          </cell>
          <cell r="W208" t="str">
            <v>INREV NAV</v>
          </cell>
          <cell r="X208" t="str">
            <v>PWC</v>
          </cell>
          <cell r="Y208" t="str">
            <v>SCSp</v>
          </cell>
          <cell r="Z208" t="str">
            <v>Yes</v>
          </cell>
          <cell r="AC208" t="str">
            <v>Non-Listed Fund</v>
          </cell>
          <cell r="AD208" t="str">
            <v>Core</v>
          </cell>
          <cell r="AE208" t="str">
            <v>infinite</v>
          </cell>
          <cell r="AF208" t="str">
            <v>Open end</v>
          </cell>
          <cell r="AG208">
            <v>5</v>
          </cell>
          <cell r="AH208">
            <v>8</v>
          </cell>
          <cell r="AI208" t="str">
            <v>Net</v>
          </cell>
          <cell r="AJ208" t="str">
            <v>INREV ODCE</v>
          </cell>
          <cell r="AK208">
            <v>50</v>
          </cell>
          <cell r="AL208">
            <v>30</v>
          </cell>
          <cell r="AM208" t="str">
            <v>≤ 40%</v>
          </cell>
          <cell r="AN208" t="str">
            <v>Institutional</v>
          </cell>
          <cell r="AO208" t="str">
            <v>&gt; 2</v>
          </cell>
          <cell r="AP208" t="str">
            <v>≥ 50%</v>
          </cell>
          <cell r="AQ208" t="str">
            <v>Europe</v>
          </cell>
          <cell r="AR208" t="str">
            <v>multi country</v>
          </cell>
          <cell r="AS208" t="str">
            <v>Europe</v>
          </cell>
          <cell r="AU208" t="str">
            <v>multi sector</v>
          </cell>
          <cell r="AY208">
            <v>2019</v>
          </cell>
          <cell r="BE208" t="str">
            <v>≥ 60%</v>
          </cell>
          <cell r="BF208" t="str">
            <v>≤ 15%</v>
          </cell>
          <cell r="BG208" t="str">
            <v>≤ 5%</v>
          </cell>
          <cell r="BH208" t="str">
            <v>2020-12-31</v>
          </cell>
          <cell r="BI208">
            <v>982673305.69000006</v>
          </cell>
          <cell r="BJ208">
            <v>982673305.69000006</v>
          </cell>
          <cell r="BK208">
            <v>742928262.29999995</v>
          </cell>
          <cell r="BL208">
            <v>742928262.29999995</v>
          </cell>
          <cell r="BM208">
            <v>17.5</v>
          </cell>
          <cell r="BN208" t="str">
            <v>No</v>
          </cell>
          <cell r="BO208" t="str">
            <v>External</v>
          </cell>
          <cell r="BP208">
            <v>16</v>
          </cell>
          <cell r="BQ208">
            <v>15</v>
          </cell>
          <cell r="BR208">
            <v>799500000</v>
          </cell>
          <cell r="BS208">
            <v>799500000</v>
          </cell>
          <cell r="BT208">
            <v>702012799</v>
          </cell>
          <cell r="BU208">
            <v>702012799</v>
          </cell>
          <cell r="BV208" t="str">
            <v>Yes</v>
          </cell>
          <cell r="BW208" t="str">
            <v>Italy</v>
          </cell>
          <cell r="BX208" t="str">
            <v>Industrial / Logistics</v>
          </cell>
          <cell r="BY208">
            <v>2.2000000000000002</v>
          </cell>
          <cell r="BZ208" t="str">
            <v>Netherlands</v>
          </cell>
          <cell r="CA208" t="str">
            <v>Industrial / Logistics</v>
          </cell>
          <cell r="CB208">
            <v>3.7</v>
          </cell>
          <cell r="CC208" t="str">
            <v>United Kingdom</v>
          </cell>
          <cell r="CD208" t="str">
            <v>Residential</v>
          </cell>
          <cell r="CE208">
            <v>4.0999999999999996</v>
          </cell>
          <cell r="CF208" t="str">
            <v>France</v>
          </cell>
          <cell r="CG208" t="str">
            <v>Retail</v>
          </cell>
          <cell r="CH208">
            <v>6.8</v>
          </cell>
          <cell r="CI208" t="str">
            <v>France</v>
          </cell>
          <cell r="CJ208" t="str">
            <v>Industrial / Logistics</v>
          </cell>
          <cell r="CK208">
            <v>13.5</v>
          </cell>
          <cell r="CL208" t="str">
            <v>France</v>
          </cell>
          <cell r="CM208" t="str">
            <v>Office</v>
          </cell>
          <cell r="CN208">
            <v>9.9</v>
          </cell>
          <cell r="CO208" t="str">
            <v>Germany</v>
          </cell>
          <cell r="CP208" t="str">
            <v>Industrial / Logistics</v>
          </cell>
          <cell r="CQ208">
            <v>25.7</v>
          </cell>
          <cell r="CR208" t="str">
            <v>Germany</v>
          </cell>
          <cell r="CS208" t="str">
            <v>Residential</v>
          </cell>
          <cell r="CT208">
            <v>7.8</v>
          </cell>
          <cell r="CU208" t="str">
            <v>Germany</v>
          </cell>
          <cell r="CV208" t="str">
            <v>Office</v>
          </cell>
          <cell r="CW208">
            <v>26.3</v>
          </cell>
        </row>
        <row r="209">
          <cell r="A209">
            <v>159</v>
          </cell>
          <cell r="B209" t="str">
            <v>EUROPEAN LOGISTICS INCOME VENTURE</v>
          </cell>
          <cell r="C209" t="str">
            <v>AXA REAL ESTATE INVESTMENT MANAGERS (FRANCE)</v>
          </cell>
          <cell r="D209" t="str">
            <v>La Defense 4, Esplanade du General de Gaulle 100</v>
          </cell>
          <cell r="E209">
            <v>92932</v>
          </cell>
          <cell r="F209" t="str">
            <v>Paris</v>
          </cell>
          <cell r="G209" t="str">
            <v>France</v>
          </cell>
          <cell r="H209" t="str">
            <v>+33 1 44 45 95 00 </v>
          </cell>
          <cell r="J209" t="str">
            <v>http://www.axa-realestate.com</v>
          </cell>
          <cell r="K209" t="str">
            <v>Denis Morel</v>
          </cell>
          <cell r="L209" t="str">
            <v>Denis.Morel@axa-im.com</v>
          </cell>
          <cell r="M209" t="str">
            <v>+33 (0) 1 44 45 96 63</v>
          </cell>
          <cell r="N209" t="str">
            <v>Jamie-Lee Chambers</v>
          </cell>
          <cell r="O209" t="str">
            <v>jamie-lee.chambers@axa-im.com</v>
          </cell>
          <cell r="Q209" t="str">
            <v>Luxembourg</v>
          </cell>
          <cell r="R209" t="str">
            <v>EUR</v>
          </cell>
          <cell r="S209" t="str">
            <v>IFRS</v>
          </cell>
          <cell r="T209" t="str">
            <v>Quarterly</v>
          </cell>
          <cell r="U209" t="str">
            <v>Annually</v>
          </cell>
          <cell r="V209" t="str">
            <v>RICS</v>
          </cell>
          <cell r="W209" t="str">
            <v>INREV NAV</v>
          </cell>
          <cell r="X209" t="str">
            <v>Mazars</v>
          </cell>
          <cell r="Y209" t="str">
            <v>SCA</v>
          </cell>
          <cell r="Z209" t="str">
            <v>Yes</v>
          </cell>
          <cell r="AB209">
            <v>0</v>
          </cell>
          <cell r="AC209" t="str">
            <v>Non-Listed Fund</v>
          </cell>
          <cell r="AD209" t="str">
            <v>Value-added</v>
          </cell>
          <cell r="AE209" t="str">
            <v>finite</v>
          </cell>
          <cell r="AF209" t="str">
            <v>Closed end</v>
          </cell>
          <cell r="AG209">
            <v>12</v>
          </cell>
          <cell r="AH209">
            <v>12</v>
          </cell>
          <cell r="AI209" t="str">
            <v>Net</v>
          </cell>
          <cell r="AJ209" t="str">
            <v>None</v>
          </cell>
          <cell r="AL209">
            <v>70</v>
          </cell>
          <cell r="AM209" t="str">
            <v>&gt; 60%</v>
          </cell>
          <cell r="AN209" t="str">
            <v>Institutional</v>
          </cell>
          <cell r="AO209" t="str">
            <v>&gt; 2</v>
          </cell>
          <cell r="AP209" t="str">
            <v>≥ 50%</v>
          </cell>
          <cell r="AQ209" t="str">
            <v>Europe</v>
          </cell>
          <cell r="AR209" t="str">
            <v>multi country</v>
          </cell>
          <cell r="AS209" t="str">
            <v>Europe</v>
          </cell>
          <cell r="AU209" t="str">
            <v>single sector</v>
          </cell>
          <cell r="AV209" t="str">
            <v>Industrial / Logistics</v>
          </cell>
          <cell r="AW209">
            <v>300000000</v>
          </cell>
          <cell r="AX209">
            <v>1000000000</v>
          </cell>
          <cell r="AY209">
            <v>2004</v>
          </cell>
          <cell r="AZ209">
            <v>2015</v>
          </cell>
          <cell r="BA209" t="str">
            <v>Yes</v>
          </cell>
          <cell r="BB209" t="str">
            <v>Yes</v>
          </cell>
          <cell r="BC209" t="str">
            <v>1+1 years</v>
          </cell>
          <cell r="BH209" t="str">
            <v>2017-12-31</v>
          </cell>
          <cell r="BI209">
            <v>0</v>
          </cell>
          <cell r="BJ209">
            <v>0</v>
          </cell>
          <cell r="BK209">
            <v>5731884</v>
          </cell>
          <cell r="BL209">
            <v>5731884</v>
          </cell>
          <cell r="BM209">
            <v>0</v>
          </cell>
          <cell r="BP209">
            <v>9</v>
          </cell>
          <cell r="BQ209">
            <v>0</v>
          </cell>
          <cell r="BR209">
            <v>154600000</v>
          </cell>
          <cell r="BS209">
            <v>154600000</v>
          </cell>
          <cell r="BT209">
            <v>154600000</v>
          </cell>
          <cell r="BU209">
            <v>154600000</v>
          </cell>
          <cell r="BV209" t="str">
            <v>No</v>
          </cell>
        </row>
        <row r="210">
          <cell r="A210">
            <v>160</v>
          </cell>
          <cell r="B210" t="str">
            <v>EUROPEAN OFFICE INCOME VENTURE FUND</v>
          </cell>
          <cell r="C210" t="str">
            <v>AXA REAL ESTATE INVESTMENT MANAGERS (FRANCE)</v>
          </cell>
          <cell r="D210" t="str">
            <v>La Defense 4, Esplanade du General de Gaulle 100</v>
          </cell>
          <cell r="E210">
            <v>92932</v>
          </cell>
          <cell r="F210" t="str">
            <v>Paris</v>
          </cell>
          <cell r="G210" t="str">
            <v>France</v>
          </cell>
          <cell r="H210" t="str">
            <v>+33 1 44 45 95 00 </v>
          </cell>
          <cell r="J210" t="str">
            <v>http://www.axa-realestate.com</v>
          </cell>
          <cell r="K210" t="str">
            <v>David Wingrove</v>
          </cell>
          <cell r="L210" t="str">
            <v>david.wingrove@axa-im.com</v>
          </cell>
          <cell r="M210" t="str">
            <v>+44 (0) 207 003 2888</v>
          </cell>
          <cell r="N210" t="str">
            <v>Jamie-Lee Chambers</v>
          </cell>
          <cell r="O210" t="str">
            <v>jamie-lee.chambers@axa-im.com</v>
          </cell>
          <cell r="Q210" t="str">
            <v>Luxembourg</v>
          </cell>
          <cell r="R210" t="str">
            <v>EUR</v>
          </cell>
          <cell r="S210" t="str">
            <v>IFRS</v>
          </cell>
          <cell r="T210" t="str">
            <v>Quarterly</v>
          </cell>
          <cell r="U210" t="str">
            <v>Quarterly</v>
          </cell>
          <cell r="V210" t="str">
            <v>RICS</v>
          </cell>
          <cell r="W210" t="str">
            <v>INREV NAV</v>
          </cell>
          <cell r="X210" t="str">
            <v>Ernst &amp; Young</v>
          </cell>
          <cell r="Y210" t="str">
            <v>SCA</v>
          </cell>
          <cell r="Z210" t="str">
            <v>Yes</v>
          </cell>
          <cell r="AA210" t="str">
            <v>No</v>
          </cell>
          <cell r="AB210">
            <v>0</v>
          </cell>
          <cell r="AC210" t="str">
            <v>Non-Listed Fund</v>
          </cell>
          <cell r="AD210" t="str">
            <v>Value-added</v>
          </cell>
          <cell r="AE210" t="str">
            <v>finite</v>
          </cell>
          <cell r="AF210" t="str">
            <v>Closed end</v>
          </cell>
          <cell r="AG210">
            <v>12</v>
          </cell>
          <cell r="AH210">
            <v>12</v>
          </cell>
          <cell r="AI210" t="str">
            <v>Net</v>
          </cell>
          <cell r="AJ210" t="str">
            <v>None</v>
          </cell>
          <cell r="AK210">
            <v>6</v>
          </cell>
          <cell r="AL210">
            <v>60</v>
          </cell>
          <cell r="AM210" t="str">
            <v>&gt; 40% - ≤ 60%</v>
          </cell>
          <cell r="AN210" t="str">
            <v>Institutional</v>
          </cell>
          <cell r="AO210" t="str">
            <v>&gt; 2</v>
          </cell>
          <cell r="AP210" t="str">
            <v>≥ 50%</v>
          </cell>
          <cell r="AQ210" t="str">
            <v>Europe</v>
          </cell>
          <cell r="AR210" t="str">
            <v>multi country</v>
          </cell>
          <cell r="AS210" t="str">
            <v>Europe</v>
          </cell>
          <cell r="AU210" t="str">
            <v>single sector</v>
          </cell>
          <cell r="AV210" t="str">
            <v>Office</v>
          </cell>
          <cell r="AW210">
            <v>195000000</v>
          </cell>
          <cell r="AX210">
            <v>498000000</v>
          </cell>
          <cell r="AY210">
            <v>2003</v>
          </cell>
          <cell r="AZ210">
            <v>2013</v>
          </cell>
          <cell r="BA210" t="str">
            <v>Yes</v>
          </cell>
          <cell r="BB210" t="str">
            <v>Yes</v>
          </cell>
          <cell r="BC210" t="str">
            <v>1+1 years</v>
          </cell>
          <cell r="BH210" t="str">
            <v>2016-12-31</v>
          </cell>
          <cell r="BI210">
            <v>0</v>
          </cell>
          <cell r="BJ210">
            <v>0</v>
          </cell>
          <cell r="BK210">
            <v>1241718</v>
          </cell>
          <cell r="BL210">
            <v>1241718</v>
          </cell>
          <cell r="BM210">
            <v>0</v>
          </cell>
          <cell r="BN210" t="str">
            <v>No</v>
          </cell>
          <cell r="BO210" t="str">
            <v>External</v>
          </cell>
          <cell r="BP210">
            <v>14</v>
          </cell>
          <cell r="BQ210">
            <v>0</v>
          </cell>
          <cell r="BR210">
            <v>195200000</v>
          </cell>
          <cell r="BS210">
            <v>195200000</v>
          </cell>
          <cell r="BT210">
            <v>195200000</v>
          </cell>
          <cell r="BU210">
            <v>195200000</v>
          </cell>
          <cell r="BV210" t="str">
            <v>No</v>
          </cell>
        </row>
        <row r="211">
          <cell r="A211">
            <v>17471</v>
          </cell>
          <cell r="B211" t="str">
            <v>EUROPEAN OUTLET MALL FUND</v>
          </cell>
          <cell r="C211" t="str">
            <v>HENDERSON GLOBAL INVESTORS</v>
          </cell>
          <cell r="D211" t="str">
            <v>201 Bishopsgate</v>
          </cell>
          <cell r="E211" t="str">
            <v>EC2M 3AE</v>
          </cell>
          <cell r="F211" t="str">
            <v>London</v>
          </cell>
          <cell r="G211" t="str">
            <v>United Kingdom</v>
          </cell>
          <cell r="H211" t="str">
            <v>+44 (0) 20 7818 1818</v>
          </cell>
          <cell r="I211" t="str">
            <v>+44 (0) 20 7818 1819</v>
          </cell>
          <cell r="J211" t="str">
            <v>http://www.henderson.com/property</v>
          </cell>
          <cell r="K211" t="str">
            <v>Andrew Rich</v>
          </cell>
          <cell r="L211" t="str">
            <v>andrew.rich@henderson.com</v>
          </cell>
          <cell r="M211" t="str">
            <v>+44 (0) 20 7818 5638</v>
          </cell>
          <cell r="N211" t="str">
            <v>Wayne Saville</v>
          </cell>
          <cell r="O211" t="str">
            <v>wayne.saville@henderson.com</v>
          </cell>
          <cell r="P211" t="str">
            <v>+44 (0) 20 7818 1819</v>
          </cell>
          <cell r="Q211" t="str">
            <v>Luxembourg</v>
          </cell>
          <cell r="R211" t="str">
            <v>EUR</v>
          </cell>
          <cell r="S211" t="str">
            <v>Local GAAP</v>
          </cell>
          <cell r="T211" t="str">
            <v>Quarterly</v>
          </cell>
          <cell r="U211" t="str">
            <v>Quarterly</v>
          </cell>
          <cell r="V211" t="str">
            <v>RICS</v>
          </cell>
          <cell r="W211" t="str">
            <v>IFRS NAV</v>
          </cell>
          <cell r="X211" t="str">
            <v>EY</v>
          </cell>
          <cell r="Y211" t="str">
            <v>FCP</v>
          </cell>
          <cell r="Z211" t="str">
            <v>Yes</v>
          </cell>
          <cell r="AB211">
            <v>2</v>
          </cell>
          <cell r="AC211" t="str">
            <v>Non-Listed Fund</v>
          </cell>
          <cell r="AD211" t="str">
            <v>Value-added</v>
          </cell>
          <cell r="AE211" t="str">
            <v>finite</v>
          </cell>
          <cell r="AF211" t="str">
            <v>Closed end</v>
          </cell>
          <cell r="AG211">
            <v>13</v>
          </cell>
          <cell r="AH211">
            <v>13</v>
          </cell>
          <cell r="AJ211" t="str">
            <v>None</v>
          </cell>
          <cell r="AK211">
            <v>7</v>
          </cell>
          <cell r="AL211">
            <v>50</v>
          </cell>
          <cell r="AM211" t="str">
            <v>&gt; 40% - ≤ 60%</v>
          </cell>
          <cell r="AN211" t="str">
            <v>Institutional</v>
          </cell>
          <cell r="AO211" t="str">
            <v>&gt; 2</v>
          </cell>
          <cell r="AP211" t="str">
            <v>≥ 50%</v>
          </cell>
          <cell r="AQ211" t="str">
            <v>Europe</v>
          </cell>
          <cell r="AR211" t="str">
            <v>multi country</v>
          </cell>
          <cell r="AS211" t="str">
            <v>Europe</v>
          </cell>
          <cell r="AU211" t="str">
            <v>single sector</v>
          </cell>
          <cell r="AV211" t="str">
            <v>Retail</v>
          </cell>
          <cell r="AX211">
            <v>1500000000</v>
          </cell>
          <cell r="AY211">
            <v>2014</v>
          </cell>
          <cell r="BA211" t="str">
            <v>Yes</v>
          </cell>
          <cell r="BB211" t="str">
            <v>Yes</v>
          </cell>
          <cell r="BC211" t="str">
            <v>2 years</v>
          </cell>
          <cell r="BH211" t="str">
            <v>2020-12-31</v>
          </cell>
          <cell r="BI211">
            <v>2934478000</v>
          </cell>
          <cell r="BJ211">
            <v>2934478000</v>
          </cell>
          <cell r="BK211">
            <v>1877474000</v>
          </cell>
          <cell r="BL211">
            <v>1877474000</v>
          </cell>
          <cell r="BM211">
            <v>23</v>
          </cell>
          <cell r="BN211" t="str">
            <v>No</v>
          </cell>
          <cell r="BO211" t="str">
            <v>External</v>
          </cell>
          <cell r="BP211">
            <v>0</v>
          </cell>
          <cell r="BQ211">
            <v>9</v>
          </cell>
          <cell r="BR211">
            <v>0</v>
          </cell>
          <cell r="BS211">
            <v>0</v>
          </cell>
          <cell r="BT211">
            <v>0</v>
          </cell>
          <cell r="BV211" t="str">
            <v>No</v>
          </cell>
          <cell r="BW211" t="str">
            <v>Germany</v>
          </cell>
          <cell r="BX211" t="str">
            <v>Retail</v>
          </cell>
          <cell r="BY211">
            <v>11</v>
          </cell>
          <cell r="BZ211" t="str">
            <v>Belgium</v>
          </cell>
          <cell r="CA211" t="str">
            <v>Retail</v>
          </cell>
          <cell r="CB211">
            <v>1</v>
          </cell>
          <cell r="CC211" t="str">
            <v>United Kingdom</v>
          </cell>
          <cell r="CD211" t="str">
            <v>Retail</v>
          </cell>
          <cell r="CE211">
            <v>13</v>
          </cell>
          <cell r="CF211" t="str">
            <v>Italy</v>
          </cell>
          <cell r="CG211" t="str">
            <v>Retail</v>
          </cell>
          <cell r="CH211">
            <v>36</v>
          </cell>
          <cell r="CI211" t="str">
            <v>Austria</v>
          </cell>
          <cell r="CJ211" t="str">
            <v>Retail</v>
          </cell>
          <cell r="CK211">
            <v>15</v>
          </cell>
          <cell r="CL211" t="str">
            <v>Netherlands</v>
          </cell>
          <cell r="CM211" t="str">
            <v>Retail</v>
          </cell>
          <cell r="CN211">
            <v>20</v>
          </cell>
        </row>
        <row r="212">
          <cell r="A212">
            <v>162</v>
          </cell>
          <cell r="B212" t="str">
            <v>EUROPEAN PROPERTY GROWTH FUND</v>
          </cell>
          <cell r="C212" t="str">
            <v>ABERDEEN STANDARD INVESTMENTS</v>
          </cell>
          <cell r="D212" t="str">
            <v>1 George Street</v>
          </cell>
          <cell r="E212" t="str">
            <v>EH2 2LL</v>
          </cell>
          <cell r="F212" t="str">
            <v>Edinburgh</v>
          </cell>
          <cell r="G212" t="str">
            <v>United Kingdom</v>
          </cell>
          <cell r="H212" t="str">
            <v>+441312252345</v>
          </cell>
          <cell r="I212" t="str">
            <v>+441312452547</v>
          </cell>
          <cell r="J212" t="str">
            <v>http://www.aberdeenstandard.com</v>
          </cell>
          <cell r="K212" t="str">
            <v>Veronica Gallo-Alvarez</v>
          </cell>
          <cell r="L212" t="str">
            <v>veronica.gallo-alvarez@aberdeenstandard.com</v>
          </cell>
          <cell r="M212" t="str">
            <v>+33158051935</v>
          </cell>
          <cell r="N212" t="str">
            <v>John Danes</v>
          </cell>
          <cell r="O212" t="str">
            <v>john.danes@aberdeenstandard.com</v>
          </cell>
          <cell r="P212" t="str">
            <v>+442074636740</v>
          </cell>
          <cell r="Q212" t="str">
            <v>United Kingdom</v>
          </cell>
          <cell r="R212" t="str">
            <v>EUR</v>
          </cell>
          <cell r="S212" t="str">
            <v>Local GAAP</v>
          </cell>
          <cell r="T212" t="str">
            <v>Quarterly</v>
          </cell>
          <cell r="U212" t="str">
            <v>Quarterly</v>
          </cell>
          <cell r="V212" t="str">
            <v>RICS</v>
          </cell>
          <cell r="W212" t="str">
            <v>INREV NAV</v>
          </cell>
          <cell r="X212" t="str">
            <v>PriceWaterhouseCoopers</v>
          </cell>
          <cell r="Y212" t="str">
            <v>Limited Partnership</v>
          </cell>
          <cell r="Z212" t="str">
            <v>Yes</v>
          </cell>
          <cell r="AA212" t="str">
            <v>No</v>
          </cell>
          <cell r="AB212">
            <v>0</v>
          </cell>
          <cell r="AC212" t="str">
            <v>Non-Listed Fund</v>
          </cell>
          <cell r="AD212" t="str">
            <v>Core</v>
          </cell>
          <cell r="AE212" t="str">
            <v>infinite</v>
          </cell>
          <cell r="AF212" t="str">
            <v>Open end</v>
          </cell>
          <cell r="AG212">
            <v>8</v>
          </cell>
          <cell r="AH212">
            <v>10</v>
          </cell>
          <cell r="AI212" t="str">
            <v>Net</v>
          </cell>
          <cell r="AJ212" t="str">
            <v>None</v>
          </cell>
          <cell r="AL212">
            <v>50</v>
          </cell>
          <cell r="AM212" t="str">
            <v>&gt; 40% - ≤ 60%</v>
          </cell>
          <cell r="AN212" t="str">
            <v>Institutional</v>
          </cell>
          <cell r="AO212" t="str">
            <v>&gt; 2</v>
          </cell>
          <cell r="AP212" t="str">
            <v>≥ 50%</v>
          </cell>
          <cell r="AQ212" t="str">
            <v>Europe</v>
          </cell>
          <cell r="AR212" t="str">
            <v>multi country</v>
          </cell>
          <cell r="AS212" t="str">
            <v>Europe</v>
          </cell>
          <cell r="AU212" t="str">
            <v>multi sector</v>
          </cell>
          <cell r="AY212">
            <v>2001</v>
          </cell>
          <cell r="BH212" t="str">
            <v>2020-12-31</v>
          </cell>
          <cell r="BI212">
            <v>889465029.20000005</v>
          </cell>
          <cell r="BJ212">
            <v>889465029.20000005</v>
          </cell>
          <cell r="BK212">
            <v>687924163.29999995</v>
          </cell>
          <cell r="BL212">
            <v>687924163.29999995</v>
          </cell>
          <cell r="BM212">
            <v>23.9</v>
          </cell>
          <cell r="BN212" t="str">
            <v>Yes</v>
          </cell>
          <cell r="BO212" t="str">
            <v>Internal</v>
          </cell>
          <cell r="BP212">
            <v>36</v>
          </cell>
          <cell r="BQ212">
            <v>18</v>
          </cell>
          <cell r="BR212">
            <v>668900000</v>
          </cell>
          <cell r="BS212">
            <v>668900000</v>
          </cell>
          <cell r="BT212">
            <v>668900000</v>
          </cell>
          <cell r="BU212">
            <v>668900000</v>
          </cell>
          <cell r="BV212" t="str">
            <v>Yes</v>
          </cell>
          <cell r="BW212" t="str">
            <v>Poland</v>
          </cell>
          <cell r="BX212" t="str">
            <v>Retail</v>
          </cell>
          <cell r="BY212">
            <v>1.9</v>
          </cell>
          <cell r="BZ212" t="str">
            <v>Poland</v>
          </cell>
          <cell r="CA212" t="str">
            <v>Industrial / Logistics</v>
          </cell>
          <cell r="CB212">
            <v>3.4</v>
          </cell>
          <cell r="CC212" t="str">
            <v>France</v>
          </cell>
          <cell r="CD212" t="str">
            <v>Industrial / Logistics</v>
          </cell>
          <cell r="CE212">
            <v>4.0999999999999996</v>
          </cell>
          <cell r="CF212" t="str">
            <v>Spain</v>
          </cell>
          <cell r="CG212" t="str">
            <v>Other</v>
          </cell>
          <cell r="CH212">
            <v>4.9000000000000004</v>
          </cell>
          <cell r="CI212" t="str">
            <v>Denmark</v>
          </cell>
          <cell r="CJ212" t="str">
            <v>Retail</v>
          </cell>
          <cell r="CK212">
            <v>4.9000000000000004</v>
          </cell>
          <cell r="CL212" t="str">
            <v>Belgium</v>
          </cell>
          <cell r="CM212" t="str">
            <v>Office</v>
          </cell>
          <cell r="CN212">
            <v>5</v>
          </cell>
          <cell r="CO212" t="str">
            <v>Germany</v>
          </cell>
          <cell r="CP212" t="str">
            <v>Office</v>
          </cell>
          <cell r="CQ212">
            <v>9.1999999999999993</v>
          </cell>
          <cell r="CR212" t="str">
            <v>Netherlands</v>
          </cell>
          <cell r="CS212" t="str">
            <v>Office</v>
          </cell>
          <cell r="CT212">
            <v>9.3000000000000007</v>
          </cell>
          <cell r="CU212" t="str">
            <v>Germany</v>
          </cell>
          <cell r="CV212" t="str">
            <v>Industrial / Logistics</v>
          </cell>
          <cell r="CW212">
            <v>10</v>
          </cell>
          <cell r="CX212" t="str">
            <v>Netherlands</v>
          </cell>
          <cell r="CY212" t="str">
            <v>Industrial / Logistics</v>
          </cell>
          <cell r="CZ212">
            <v>21.2</v>
          </cell>
          <cell r="DA212" t="str">
            <v>France</v>
          </cell>
          <cell r="DB212" t="str">
            <v>Office</v>
          </cell>
          <cell r="DC212">
            <v>26.1</v>
          </cell>
        </row>
        <row r="213">
          <cell r="A213">
            <v>17169</v>
          </cell>
          <cell r="B213" t="str">
            <v>EUROPEAN PROPERTY SICAV-FIS</v>
          </cell>
          <cell r="C213" t="str">
            <v>BNP PARIBAS REIM GERMANY</v>
          </cell>
          <cell r="D213" t="str">
            <v>Lilli-Palmer-Straße 2</v>
          </cell>
          <cell r="E213">
            <v>80636</v>
          </cell>
          <cell r="F213" t="str">
            <v>Muenchen</v>
          </cell>
          <cell r="G213" t="str">
            <v>Germany</v>
          </cell>
          <cell r="H213" t="str">
            <v>+49 89 12 173-0</v>
          </cell>
          <cell r="I213" t="str">
            <v>+49 89 12 173-119</v>
          </cell>
          <cell r="J213" t="str">
            <v>http://www.reim.bnpparibas.de</v>
          </cell>
          <cell r="K213" t="str">
            <v>Georg Gmeineder</v>
          </cell>
          <cell r="L213" t="str">
            <v>georg.gmeineder@bnpparibas.com</v>
          </cell>
          <cell r="M213" t="str">
            <v>+49 89 12 173-107</v>
          </cell>
          <cell r="N213" t="str">
            <v>Bianca Kraus</v>
          </cell>
          <cell r="O213" t="str">
            <v>bianca.kraus@bnpparibas.com</v>
          </cell>
          <cell r="P213" t="str">
            <v>+49 89 12 173-318</v>
          </cell>
          <cell r="Q213" t="str">
            <v>Luxembourg</v>
          </cell>
          <cell r="R213" t="str">
            <v>EUR</v>
          </cell>
          <cell r="S213" t="str">
            <v>IFRS</v>
          </cell>
          <cell r="T213" t="str">
            <v>Quarterly</v>
          </cell>
          <cell r="U213" t="str">
            <v>Annually</v>
          </cell>
          <cell r="V213" t="str">
            <v>Other - mark to market</v>
          </cell>
          <cell r="W213" t="str">
            <v>IFRS NAV</v>
          </cell>
          <cell r="X213" t="str">
            <v>Deloitte</v>
          </cell>
          <cell r="Y213" t="str">
            <v>SICAV</v>
          </cell>
          <cell r="Z213" t="str">
            <v>Yes</v>
          </cell>
          <cell r="AA213" t="str">
            <v>Yes</v>
          </cell>
          <cell r="AC213" t="str">
            <v>Non-Listed Fund</v>
          </cell>
          <cell r="AD213" t="str">
            <v>Core</v>
          </cell>
          <cell r="AE213" t="str">
            <v>infinite</v>
          </cell>
          <cell r="AF213" t="str">
            <v>Open end</v>
          </cell>
          <cell r="AG213">
            <v>7.6</v>
          </cell>
          <cell r="AH213">
            <v>7.6</v>
          </cell>
          <cell r="AI213" t="str">
            <v>Net</v>
          </cell>
          <cell r="AK213">
            <v>5.5</v>
          </cell>
          <cell r="AL213">
            <v>60</v>
          </cell>
          <cell r="AM213" t="str">
            <v>&gt; 40% - ≤ 60%</v>
          </cell>
          <cell r="AN213" t="str">
            <v>Institutional</v>
          </cell>
          <cell r="AO213" t="str">
            <v>&gt; 2</v>
          </cell>
          <cell r="AP213" t="str">
            <v>≥ 50%</v>
          </cell>
          <cell r="AQ213" t="str">
            <v>Europe</v>
          </cell>
          <cell r="AR213" t="str">
            <v>multi country</v>
          </cell>
          <cell r="AS213" t="str">
            <v>Western Europe</v>
          </cell>
          <cell r="AU213" t="str">
            <v>multi sector</v>
          </cell>
          <cell r="AW213">
            <v>500000000</v>
          </cell>
          <cell r="AX213">
            <v>1000000000</v>
          </cell>
          <cell r="AY213">
            <v>2008</v>
          </cell>
          <cell r="BB213" t="str">
            <v>Yes</v>
          </cell>
          <cell r="BC213" t="str">
            <v>1+1 years</v>
          </cell>
          <cell r="BD213" t="str">
            <v>Yes</v>
          </cell>
          <cell r="BE213" t="str">
            <v>≥ 60%</v>
          </cell>
          <cell r="BF213" t="str">
            <v>≤ 15%</v>
          </cell>
          <cell r="BG213" t="str">
            <v>≤ 5%</v>
          </cell>
          <cell r="BH213" t="str">
            <v>2019-06-30</v>
          </cell>
          <cell r="BI213">
            <v>856069835</v>
          </cell>
          <cell r="BJ213">
            <v>856069835</v>
          </cell>
          <cell r="BK213">
            <v>537165273</v>
          </cell>
          <cell r="BL213">
            <v>537165273</v>
          </cell>
          <cell r="BM213">
            <v>40.200000000000003</v>
          </cell>
          <cell r="BO213" t="str">
            <v>External</v>
          </cell>
          <cell r="BP213">
            <v>4</v>
          </cell>
          <cell r="BQ213">
            <v>15</v>
          </cell>
          <cell r="BS213">
            <v>0</v>
          </cell>
        </row>
        <row r="214">
          <cell r="A214">
            <v>17778</v>
          </cell>
          <cell r="B214" t="str">
            <v>EUROPEAN REAL ESTATE FUND</v>
          </cell>
          <cell r="C214" t="str">
            <v>DWS ALTERNATIVES GMBH</v>
          </cell>
          <cell r="D214" t="str">
            <v xml:space="preserve">Mainzer Landstraße 11-17				</v>
          </cell>
          <cell r="E214" t="str">
            <v xml:space="preserve">60329			</v>
          </cell>
          <cell r="F214" t="str">
            <v xml:space="preserve">Frankfurt am Main				</v>
          </cell>
          <cell r="G214" t="str">
            <v>Germany</v>
          </cell>
          <cell r="H214" t="str">
            <v>+496991016661</v>
          </cell>
          <cell r="I214" t="str">
            <v>+496991016909</v>
          </cell>
          <cell r="J214" t="str">
            <v>https://www.dws.de/</v>
          </cell>
          <cell r="K214" t="str">
            <v xml:space="preserve">Carl-Eugen Bitzer			</v>
          </cell>
          <cell r="L214" t="str">
            <v>carl-eugen.bitzer@dws.com</v>
          </cell>
          <cell r="M214" t="str">
            <v>+496991016878</v>
          </cell>
          <cell r="N214" t="str">
            <v>Dr. Ulrich von Creytz</v>
          </cell>
          <cell r="O214" t="str">
            <v>ulrich-von.creytz@dws.com</v>
          </cell>
          <cell r="P214" t="str">
            <v>+496991016429</v>
          </cell>
          <cell r="Q214" t="str">
            <v>Germany</v>
          </cell>
          <cell r="R214" t="str">
            <v>EUR</v>
          </cell>
          <cell r="S214" t="str">
            <v>HGB</v>
          </cell>
          <cell r="T214" t="str">
            <v>Quarterly</v>
          </cell>
          <cell r="U214" t="str">
            <v>Annually</v>
          </cell>
          <cell r="V214" t="str">
            <v>ImmoWertV</v>
          </cell>
          <cell r="W214" t="str">
            <v>KAGB</v>
          </cell>
          <cell r="X214" t="str">
            <v xml:space="preserve">KPMG AG Wirtschaftsprüfungsgesellschaft			</v>
          </cell>
          <cell r="Y214" t="str">
            <v>Spezialfonds</v>
          </cell>
          <cell r="Z214" t="str">
            <v>No</v>
          </cell>
          <cell r="AA214" t="str">
            <v>Yes</v>
          </cell>
          <cell r="AB214">
            <v>11</v>
          </cell>
          <cell r="AC214" t="str">
            <v>Non-Listed Fund</v>
          </cell>
          <cell r="AD214" t="str">
            <v>Core</v>
          </cell>
          <cell r="AE214" t="str">
            <v>infinite</v>
          </cell>
          <cell r="AF214" t="str">
            <v>Open end</v>
          </cell>
          <cell r="AG214">
            <v>6</v>
          </cell>
          <cell r="AH214">
            <v>6</v>
          </cell>
          <cell r="AI214" t="str">
            <v>Net</v>
          </cell>
          <cell r="AJ214" t="str">
            <v>SFIX</v>
          </cell>
          <cell r="AK214">
            <v>4</v>
          </cell>
          <cell r="AL214">
            <v>50</v>
          </cell>
          <cell r="AM214" t="str">
            <v>&gt; 40% - ≤ 60%</v>
          </cell>
          <cell r="AN214" t="str">
            <v>Institutional</v>
          </cell>
          <cell r="AO214" t="str">
            <v>&gt; 2</v>
          </cell>
          <cell r="AP214" t="str">
            <v>≥ 50%</v>
          </cell>
          <cell r="AQ214" t="str">
            <v>Europe</v>
          </cell>
          <cell r="AR214" t="str">
            <v>single country</v>
          </cell>
          <cell r="AT214" t="str">
            <v>Germany</v>
          </cell>
          <cell r="AU214" t="str">
            <v>multi sector</v>
          </cell>
          <cell r="AY214">
            <v>2013</v>
          </cell>
          <cell r="BD214" t="str">
            <v>No</v>
          </cell>
          <cell r="BE214" t="str">
            <v>≥ 60%</v>
          </cell>
          <cell r="BH214" t="str">
            <v>2020-12-31</v>
          </cell>
          <cell r="BI214">
            <v>271593479.22000003</v>
          </cell>
          <cell r="BJ214">
            <v>271593479.22000003</v>
          </cell>
          <cell r="BK214">
            <v>144864839.28999999</v>
          </cell>
          <cell r="BL214">
            <v>144864839.28999999</v>
          </cell>
          <cell r="BM214">
            <v>46.66</v>
          </cell>
          <cell r="BN214" t="str">
            <v>Yes</v>
          </cell>
          <cell r="BO214" t="str">
            <v>External</v>
          </cell>
          <cell r="BP214">
            <v>12</v>
          </cell>
          <cell r="BQ214">
            <v>5</v>
          </cell>
          <cell r="BR214">
            <v>129108000</v>
          </cell>
          <cell r="BS214">
            <v>129108000</v>
          </cell>
          <cell r="BT214">
            <v>129104572</v>
          </cell>
          <cell r="BU214">
            <v>129104572</v>
          </cell>
          <cell r="BV214" t="str">
            <v>No</v>
          </cell>
          <cell r="BW214" t="str">
            <v>Germany</v>
          </cell>
          <cell r="BX214" t="str">
            <v>Mixed</v>
          </cell>
          <cell r="BY214">
            <v>2.4500000000000002</v>
          </cell>
          <cell r="BZ214" t="str">
            <v>Germany</v>
          </cell>
          <cell r="CA214" t="str">
            <v>Parking</v>
          </cell>
          <cell r="CB214">
            <v>6.91</v>
          </cell>
          <cell r="CC214" t="str">
            <v>Germany</v>
          </cell>
          <cell r="CD214" t="str">
            <v>Retail</v>
          </cell>
          <cell r="CE214">
            <v>47.33</v>
          </cell>
          <cell r="CF214" t="str">
            <v>Germany</v>
          </cell>
          <cell r="CG214" t="str">
            <v>Hotel</v>
          </cell>
          <cell r="CH214">
            <v>12.82</v>
          </cell>
          <cell r="CI214" t="str">
            <v>Germany</v>
          </cell>
          <cell r="CJ214" t="str">
            <v>Office</v>
          </cell>
          <cell r="CK214">
            <v>30.49</v>
          </cell>
        </row>
        <row r="215">
          <cell r="A215">
            <v>17779</v>
          </cell>
          <cell r="B215" t="str">
            <v>EUROPEAN RESIDENTIAL FUND</v>
          </cell>
          <cell r="C215" t="str">
            <v>DWS ALTERNATIVES GMBH</v>
          </cell>
          <cell r="D215" t="str">
            <v>Mainzer Landstraße 11-17</v>
          </cell>
          <cell r="E215">
            <v>60329</v>
          </cell>
          <cell r="F215" t="str">
            <v xml:space="preserve">Frankfurt am Main				</v>
          </cell>
          <cell r="G215" t="str">
            <v>Germany</v>
          </cell>
          <cell r="H215" t="str">
            <v>+496991016661</v>
          </cell>
          <cell r="I215" t="str">
            <v>+496991016909</v>
          </cell>
          <cell r="J215" t="str">
            <v>https://www.dws.de/</v>
          </cell>
          <cell r="K215" t="str">
            <v xml:space="preserve">Markus Wickenträger				</v>
          </cell>
          <cell r="L215" t="str">
            <v>markus.wickentraeger@dws.com</v>
          </cell>
          <cell r="M215" t="str">
            <v>+496991016457</v>
          </cell>
          <cell r="N215" t="str">
            <v xml:space="preserve">Dr. Ulrich von Creytz				</v>
          </cell>
          <cell r="O215" t="str">
            <v>ulrich-von.creytz@dws.com</v>
          </cell>
          <cell r="P215" t="str">
            <v>+496991016429</v>
          </cell>
          <cell r="Q215" t="str">
            <v>Germany</v>
          </cell>
          <cell r="R215" t="str">
            <v>EUR</v>
          </cell>
          <cell r="S215" t="str">
            <v>HGB</v>
          </cell>
          <cell r="T215" t="str">
            <v>Quarterly</v>
          </cell>
          <cell r="U215" t="str">
            <v>Annually</v>
          </cell>
          <cell r="V215" t="str">
            <v>ImmoWertV</v>
          </cell>
          <cell r="W215" t="str">
            <v>KAGB</v>
          </cell>
          <cell r="X215" t="str">
            <v xml:space="preserve">KPMG AG Wirtschaftsprüfungsgesellschaft			</v>
          </cell>
          <cell r="Y215" t="str">
            <v>Spezialfonds</v>
          </cell>
          <cell r="Z215" t="str">
            <v>No</v>
          </cell>
          <cell r="AA215" t="str">
            <v>Yes</v>
          </cell>
          <cell r="AB215">
            <v>4</v>
          </cell>
          <cell r="AC215" t="str">
            <v>Non-Listed Fund</v>
          </cell>
          <cell r="AD215" t="str">
            <v>Core</v>
          </cell>
          <cell r="AE215" t="str">
            <v>infinite</v>
          </cell>
          <cell r="AF215" t="str">
            <v>Open end</v>
          </cell>
          <cell r="AG215">
            <v>5</v>
          </cell>
          <cell r="AH215">
            <v>6</v>
          </cell>
          <cell r="AI215" t="str">
            <v>Net</v>
          </cell>
          <cell r="AJ215" t="str">
            <v>SFIX</v>
          </cell>
          <cell r="AK215">
            <v>6</v>
          </cell>
          <cell r="AL215">
            <v>50</v>
          </cell>
          <cell r="AM215" t="str">
            <v>&gt; 40% - ≤ 60%</v>
          </cell>
          <cell r="AN215" t="str">
            <v>Institutional</v>
          </cell>
          <cell r="AO215" t="str">
            <v>&gt; 2</v>
          </cell>
          <cell r="AP215" t="str">
            <v>≥ 50%</v>
          </cell>
          <cell r="AQ215" t="str">
            <v>Europe</v>
          </cell>
          <cell r="AR215" t="str">
            <v>multi country</v>
          </cell>
          <cell r="AS215" t="str">
            <v>Western Europe</v>
          </cell>
          <cell r="AU215" t="str">
            <v>single sector</v>
          </cell>
          <cell r="AV215" t="str">
            <v>Residential</v>
          </cell>
          <cell r="AW215">
            <v>219500000</v>
          </cell>
          <cell r="AY215">
            <v>2014</v>
          </cell>
          <cell r="BD215" t="str">
            <v>No</v>
          </cell>
          <cell r="BE215" t="str">
            <v>≥ 60%</v>
          </cell>
          <cell r="BH215" t="str">
            <v>2020-12-31</v>
          </cell>
          <cell r="BI215">
            <v>425253790.19999999</v>
          </cell>
          <cell r="BJ215">
            <v>425253790.19999999</v>
          </cell>
          <cell r="BK215">
            <v>266020454.66</v>
          </cell>
          <cell r="BL215">
            <v>266020454.66</v>
          </cell>
          <cell r="BM215">
            <v>37.44</v>
          </cell>
          <cell r="BN215" t="str">
            <v>No</v>
          </cell>
          <cell r="BO215" t="str">
            <v>External</v>
          </cell>
          <cell r="BP215">
            <v>6</v>
          </cell>
          <cell r="BQ215">
            <v>181</v>
          </cell>
          <cell r="BR215">
            <v>219500000</v>
          </cell>
          <cell r="BS215">
            <v>219500000</v>
          </cell>
          <cell r="BT215">
            <v>219331000</v>
          </cell>
          <cell r="BU215">
            <v>219331000</v>
          </cell>
          <cell r="BV215" t="str">
            <v>No</v>
          </cell>
          <cell r="BW215" t="str">
            <v>Germany</v>
          </cell>
          <cell r="BX215" t="str">
            <v>Residential</v>
          </cell>
          <cell r="BY215">
            <v>81.55</v>
          </cell>
          <cell r="BZ215" t="str">
            <v>Netherlands</v>
          </cell>
          <cell r="CA215" t="str">
            <v>Residential</v>
          </cell>
          <cell r="CB215">
            <v>18.45</v>
          </cell>
        </row>
        <row r="216">
          <cell r="A216">
            <v>19361</v>
          </cell>
          <cell r="B216" t="str">
            <v>EUROPEAN THEMATIC INCOME &amp; GROWTH</v>
          </cell>
          <cell r="C216" t="str">
            <v>SWISS LIFE FUND MANAGEMENT (LUX) S.A.</v>
          </cell>
          <cell r="D216" t="str">
            <v>4a, rue Albert Borschette</v>
          </cell>
          <cell r="E216">
            <v>1246</v>
          </cell>
          <cell r="F216" t="str">
            <v>Luxembourg</v>
          </cell>
          <cell r="G216" t="str">
            <v>Luxembourg</v>
          </cell>
          <cell r="H216" t="str">
            <v>+352 267585500</v>
          </cell>
          <cell r="J216" t="str">
            <v>https://www.swisslife-am.com</v>
          </cell>
          <cell r="K216" t="str">
            <v>Maureen Mahr von Staszewski</v>
          </cell>
          <cell r="L216" t="str">
            <v>Maureen.MahrvonStaszewski@swisslife-am.com</v>
          </cell>
          <cell r="M216" t="str">
            <v>+44 2072916693</v>
          </cell>
          <cell r="N216" t="str">
            <v>Matt Dimond</v>
          </cell>
          <cell r="O216" t="str">
            <v>mdimond@mayfaircapital.co.uk</v>
          </cell>
          <cell r="P216" t="str">
            <v>+44 2072916693</v>
          </cell>
          <cell r="Q216" t="str">
            <v>Luxembourg</v>
          </cell>
          <cell r="R216" t="str">
            <v>EUR</v>
          </cell>
          <cell r="S216" t="str">
            <v>Local GAAP</v>
          </cell>
          <cell r="T216" t="str">
            <v>Quarterly</v>
          </cell>
          <cell r="U216" t="str">
            <v>Twice per year</v>
          </cell>
          <cell r="V216" t="str">
            <v>RICS</v>
          </cell>
          <cell r="X216" t="str">
            <v>Deloitte Audit S.à r.l.</v>
          </cell>
          <cell r="Y216" t="str">
            <v>SCA</v>
          </cell>
          <cell r="Z216" t="str">
            <v>No</v>
          </cell>
          <cell r="AA216" t="str">
            <v>No</v>
          </cell>
          <cell r="AC216" t="str">
            <v>Non-Listed Fund</v>
          </cell>
          <cell r="AD216" t="str">
            <v>Core</v>
          </cell>
          <cell r="AE216" t="str">
            <v>infinite</v>
          </cell>
          <cell r="AF216" t="str">
            <v>Open end</v>
          </cell>
          <cell r="AG216">
            <v>7</v>
          </cell>
          <cell r="AH216">
            <v>8</v>
          </cell>
          <cell r="AK216">
            <v>4</v>
          </cell>
          <cell r="AL216">
            <v>40</v>
          </cell>
          <cell r="AM216" t="str">
            <v>&gt; 40% - ≤ 60%</v>
          </cell>
          <cell r="AN216" t="str">
            <v>Institutional</v>
          </cell>
          <cell r="AO216" t="str">
            <v>&gt; 2</v>
          </cell>
          <cell r="AP216" t="str">
            <v>≥ 50%</v>
          </cell>
          <cell r="AQ216" t="str">
            <v>Europe</v>
          </cell>
          <cell r="AR216" t="str">
            <v>multi country</v>
          </cell>
          <cell r="AS216" t="str">
            <v>Europe</v>
          </cell>
          <cell r="AU216" t="str">
            <v>multi sector</v>
          </cell>
          <cell r="AW216">
            <v>600000000</v>
          </cell>
          <cell r="AX216">
            <v>1000000000</v>
          </cell>
          <cell r="AY216">
            <v>2019</v>
          </cell>
        </row>
        <row r="217">
          <cell r="A217">
            <v>18579</v>
          </cell>
          <cell r="B217" t="str">
            <v>EUROPEAN VALUE PARTNERS I (EVP I)</v>
          </cell>
          <cell r="C217" t="str">
            <v>PGIM REAL ESTATE LUXEMBOURG S.A.</v>
          </cell>
          <cell r="D217" t="str">
            <v>2, boulevard de la Foire</v>
          </cell>
          <cell r="E217" t="str">
            <v>L-1528</v>
          </cell>
          <cell r="F217" t="str">
            <v>Luxembourg</v>
          </cell>
          <cell r="G217" t="str">
            <v>Luxembourg</v>
          </cell>
          <cell r="H217" t="str">
            <v>+35227623410</v>
          </cell>
          <cell r="I217" t="str">
            <v>+35227623419</v>
          </cell>
          <cell r="J217" t="str">
            <v>http://www.pgimrealestate.com</v>
          </cell>
          <cell r="K217" t="str">
            <v>Maike Bebiolka</v>
          </cell>
          <cell r="L217" t="str">
            <v>maike.babiolka@pgim.com</v>
          </cell>
          <cell r="M217" t="str">
            <v>+4969244341</v>
          </cell>
          <cell r="N217" t="str">
            <v>Killian Currey-Lewis</v>
          </cell>
          <cell r="O217" t="str">
            <v>killian.curreylewis@pgim.com</v>
          </cell>
          <cell r="P217" t="str">
            <v>+442077662425</v>
          </cell>
          <cell r="Q217" t="str">
            <v>Luxembourg</v>
          </cell>
          <cell r="R217" t="str">
            <v>EUR</v>
          </cell>
          <cell r="S217" t="str">
            <v>IFRS</v>
          </cell>
          <cell r="T217" t="str">
            <v>Quarterly</v>
          </cell>
          <cell r="U217" t="str">
            <v>Annually</v>
          </cell>
          <cell r="V217" t="str">
            <v>Other - mark to market</v>
          </cell>
          <cell r="W217" t="str">
            <v>IFRS NAV</v>
          </cell>
          <cell r="X217" t="str">
            <v>PWC</v>
          </cell>
          <cell r="Y217" t="str">
            <v>Real Estate Fund</v>
          </cell>
          <cell r="Z217" t="str">
            <v>No</v>
          </cell>
          <cell r="AA217" t="str">
            <v>No</v>
          </cell>
          <cell r="AC217" t="str">
            <v>Non-Listed Fund</v>
          </cell>
          <cell r="AD217" t="str">
            <v>Value-added</v>
          </cell>
          <cell r="AE217" t="str">
            <v>finite</v>
          </cell>
          <cell r="AF217" t="str">
            <v>Closed end</v>
          </cell>
          <cell r="AG217">
            <v>12</v>
          </cell>
          <cell r="AH217">
            <v>12</v>
          </cell>
          <cell r="AI217" t="str">
            <v>Net</v>
          </cell>
          <cell r="AL217">
            <v>60</v>
          </cell>
          <cell r="AN217" t="str">
            <v>Institutional</v>
          </cell>
          <cell r="AO217" t="str">
            <v>&gt; 2</v>
          </cell>
          <cell r="AP217" t="str">
            <v>≥ 50%</v>
          </cell>
          <cell r="AQ217" t="str">
            <v>Europe</v>
          </cell>
          <cell r="AR217" t="str">
            <v>multi country</v>
          </cell>
          <cell r="AS217" t="str">
            <v>Europe</v>
          </cell>
          <cell r="AU217" t="str">
            <v>multi sector</v>
          </cell>
          <cell r="AY217">
            <v>2015</v>
          </cell>
          <cell r="AZ217">
            <v>2022</v>
          </cell>
          <cell r="BA217" t="str">
            <v>Yes</v>
          </cell>
          <cell r="BB217" t="str">
            <v>Yes</v>
          </cell>
          <cell r="BC217" t="str">
            <v>2 years fixed</v>
          </cell>
          <cell r="BD217" t="str">
            <v>No</v>
          </cell>
          <cell r="BG217" t="str">
            <v>&gt; 5 - ≤ 25%</v>
          </cell>
          <cell r="BH217" t="str">
            <v>2020-06-30</v>
          </cell>
          <cell r="BI217">
            <v>1253524000</v>
          </cell>
          <cell r="BJ217">
            <v>1253524000</v>
          </cell>
          <cell r="BK217">
            <v>402991153</v>
          </cell>
          <cell r="BL217">
            <v>402991153</v>
          </cell>
          <cell r="BM217">
            <v>47</v>
          </cell>
          <cell r="BN217" t="str">
            <v>No</v>
          </cell>
          <cell r="BO217" t="str">
            <v>External</v>
          </cell>
          <cell r="BP217">
            <v>21</v>
          </cell>
          <cell r="BQ217">
            <v>10</v>
          </cell>
          <cell r="BR217">
            <v>457307436</v>
          </cell>
          <cell r="BS217">
            <v>457307436</v>
          </cell>
          <cell r="BT217">
            <v>382100000</v>
          </cell>
          <cell r="BU217">
            <v>382100000</v>
          </cell>
          <cell r="BV217" t="str">
            <v>No</v>
          </cell>
          <cell r="BW217" t="str">
            <v>Italy</v>
          </cell>
          <cell r="BX217" t="str">
            <v>Retail</v>
          </cell>
          <cell r="BY217">
            <v>1.536</v>
          </cell>
          <cell r="BZ217" t="str">
            <v>France</v>
          </cell>
          <cell r="CA217" t="str">
            <v>Office</v>
          </cell>
          <cell r="CB217">
            <v>47.73</v>
          </cell>
          <cell r="CC217" t="str">
            <v>Germany</v>
          </cell>
          <cell r="CD217" t="str">
            <v>Office</v>
          </cell>
          <cell r="CE217">
            <v>26.593</v>
          </cell>
          <cell r="CF217" t="str">
            <v>Germany</v>
          </cell>
          <cell r="CG217" t="str">
            <v>Residential</v>
          </cell>
          <cell r="CH217">
            <v>6.5190000000000001</v>
          </cell>
          <cell r="CI217" t="str">
            <v>Germany</v>
          </cell>
          <cell r="CJ217" t="str">
            <v>Retail</v>
          </cell>
          <cell r="CK217">
            <v>5.9960000000000004</v>
          </cell>
          <cell r="CL217" t="str">
            <v>Germany</v>
          </cell>
          <cell r="CM217" t="str">
            <v>Hotel</v>
          </cell>
          <cell r="CN217">
            <v>4.1970000000000001</v>
          </cell>
          <cell r="CO217" t="str">
            <v>Germany</v>
          </cell>
          <cell r="CP217" t="str">
            <v>Industrial / Logistics</v>
          </cell>
          <cell r="CQ217">
            <v>2.4220000000000002</v>
          </cell>
        </row>
        <row r="218">
          <cell r="A218">
            <v>18565</v>
          </cell>
          <cell r="B218" t="str">
            <v>EUROZONE LOGISTICS FUND</v>
          </cell>
          <cell r="C218" t="str">
            <v>BNP PARIBAS REIM</v>
          </cell>
          <cell r="D218" t="str">
            <v>167 quai de Stalingrad</v>
          </cell>
          <cell r="E218">
            <v>92867</v>
          </cell>
          <cell r="F218" t="str">
            <v>Issy les Moulineaux</v>
          </cell>
          <cell r="G218" t="str">
            <v>France</v>
          </cell>
          <cell r="K218" t="str">
            <v>Lucas Despretz</v>
          </cell>
          <cell r="L218" t="str">
            <v>lucas.despretz@bnpparibas.com</v>
          </cell>
          <cell r="M218">
            <v>155652159</v>
          </cell>
          <cell r="N218" t="str">
            <v>Henri Romnicianu</v>
          </cell>
          <cell r="O218" t="str">
            <v>henri.romnicianu@bnpparibas.com</v>
          </cell>
          <cell r="P218">
            <v>155652401</v>
          </cell>
          <cell r="Q218" t="str">
            <v>Luxembourg</v>
          </cell>
          <cell r="R218" t="str">
            <v>EUR</v>
          </cell>
          <cell r="S218" t="str">
            <v>IFRS</v>
          </cell>
          <cell r="T218" t="str">
            <v>Quarterly</v>
          </cell>
          <cell r="U218" t="str">
            <v>Quarterly</v>
          </cell>
          <cell r="V218" t="str">
            <v>RICS</v>
          </cell>
          <cell r="W218" t="str">
            <v>INREV NAV</v>
          </cell>
          <cell r="X218" t="str">
            <v>PWC</v>
          </cell>
          <cell r="Y218" t="str">
            <v>SICAV</v>
          </cell>
          <cell r="Z218" t="str">
            <v>Yes</v>
          </cell>
          <cell r="AA218" t="str">
            <v>Yes</v>
          </cell>
          <cell r="AB218">
            <v>3</v>
          </cell>
          <cell r="AC218" t="str">
            <v>Non-Listed Fund</v>
          </cell>
          <cell r="AD218" t="str">
            <v>Core</v>
          </cell>
          <cell r="AE218" t="str">
            <v>finite</v>
          </cell>
          <cell r="AF218" t="str">
            <v>Closed end</v>
          </cell>
          <cell r="AG218">
            <v>6.5</v>
          </cell>
          <cell r="AH218">
            <v>6.5</v>
          </cell>
          <cell r="AI218" t="str">
            <v>Net</v>
          </cell>
          <cell r="AJ218" t="str">
            <v>IPD / MSCI</v>
          </cell>
          <cell r="AK218">
            <v>6</v>
          </cell>
          <cell r="AL218">
            <v>40</v>
          </cell>
          <cell r="AM218" t="str">
            <v>≤ 40%</v>
          </cell>
          <cell r="AN218" t="str">
            <v>Institutional</v>
          </cell>
          <cell r="AO218" t="str">
            <v>&gt; 2</v>
          </cell>
          <cell r="AP218" t="str">
            <v>≥ 50%</v>
          </cell>
          <cell r="AQ218" t="str">
            <v>Europe</v>
          </cell>
          <cell r="AR218" t="str">
            <v>multi country</v>
          </cell>
          <cell r="AS218" t="str">
            <v>Western Europe</v>
          </cell>
          <cell r="AU218" t="str">
            <v>single sector</v>
          </cell>
          <cell r="AV218" t="str">
            <v>Industrial / Logistics</v>
          </cell>
          <cell r="AW218">
            <v>180000000</v>
          </cell>
          <cell r="AX218">
            <v>300000000</v>
          </cell>
          <cell r="AY218">
            <v>2017</v>
          </cell>
          <cell r="AZ218">
            <v>2027</v>
          </cell>
          <cell r="BA218" t="str">
            <v>Yes</v>
          </cell>
          <cell r="BB218" t="str">
            <v>Yes</v>
          </cell>
          <cell r="BC218" t="str">
            <v>1+1+1 years</v>
          </cell>
          <cell r="BD218" t="str">
            <v>No</v>
          </cell>
          <cell r="BE218" t="str">
            <v>≥ 60%</v>
          </cell>
          <cell r="BF218" t="str">
            <v>≤ 15%</v>
          </cell>
          <cell r="BG218" t="str">
            <v>≤ 5%</v>
          </cell>
          <cell r="BH218" t="str">
            <v>2020-09-30</v>
          </cell>
          <cell r="BI218">
            <v>305747099</v>
          </cell>
          <cell r="BJ218">
            <v>305747099</v>
          </cell>
          <cell r="BK218">
            <v>194638395</v>
          </cell>
          <cell r="BL218">
            <v>194638395</v>
          </cell>
          <cell r="BM218">
            <v>34.1</v>
          </cell>
          <cell r="BN218" t="str">
            <v>No</v>
          </cell>
          <cell r="BO218" t="str">
            <v>External</v>
          </cell>
          <cell r="BP218">
            <v>23</v>
          </cell>
          <cell r="BQ218">
            <v>9</v>
          </cell>
          <cell r="BR218">
            <v>300000000</v>
          </cell>
          <cell r="BS218">
            <v>300000000</v>
          </cell>
          <cell r="BT218">
            <v>189890000</v>
          </cell>
          <cell r="BU218">
            <v>189890000</v>
          </cell>
          <cell r="BV218" t="str">
            <v>No</v>
          </cell>
        </row>
        <row r="219">
          <cell r="A219">
            <v>171</v>
          </cell>
          <cell r="B219" t="str">
            <v>EXILION REAL ESTATE 1 KY</v>
          </cell>
          <cell r="C219" t="str">
            <v>EXILION CAPITAL OY</v>
          </cell>
          <cell r="D219" t="str">
            <v>Mannerheimintie 20 B</v>
          </cell>
          <cell r="E219">
            <v>100</v>
          </cell>
          <cell r="F219" t="str">
            <v>Helsinki</v>
          </cell>
          <cell r="G219" t="str">
            <v>Finland</v>
          </cell>
          <cell r="H219" t="str">
            <v>+358 (0) 5 0570 0796</v>
          </cell>
          <cell r="J219" t="str">
            <v>http://www.exilion.fi</v>
          </cell>
          <cell r="K219" t="str">
            <v>Ari Talja</v>
          </cell>
          <cell r="L219" t="str">
            <v>ari.talja@exilion.fi</v>
          </cell>
          <cell r="M219" t="str">
            <v>+358 (0) 5 0570 0796</v>
          </cell>
          <cell r="N219" t="str">
            <v>Ari Talja</v>
          </cell>
          <cell r="O219" t="str">
            <v>ari.talja@exilion.fi</v>
          </cell>
          <cell r="P219" t="str">
            <v>+358 (0) 505700796</v>
          </cell>
          <cell r="Q219" t="str">
            <v>Finland</v>
          </cell>
          <cell r="R219" t="str">
            <v>EUR</v>
          </cell>
          <cell r="S219" t="str">
            <v>Local GAAP</v>
          </cell>
          <cell r="T219" t="str">
            <v>Quarterly</v>
          </cell>
          <cell r="U219" t="str">
            <v>Twice per year</v>
          </cell>
          <cell r="V219" t="str">
            <v>Other - mark to market</v>
          </cell>
          <cell r="X219" t="str">
            <v>PriceWaterhouseCoopers</v>
          </cell>
          <cell r="Y219" t="str">
            <v>Ky</v>
          </cell>
          <cell r="Z219" t="str">
            <v>No</v>
          </cell>
          <cell r="AA219" t="str">
            <v>No</v>
          </cell>
          <cell r="AB219">
            <v>0</v>
          </cell>
          <cell r="AC219" t="str">
            <v>Non-Listed Fund</v>
          </cell>
          <cell r="AD219" t="str">
            <v>Core</v>
          </cell>
          <cell r="AE219" t="str">
            <v>finite</v>
          </cell>
          <cell r="AF219" t="str">
            <v>Open end</v>
          </cell>
          <cell r="AG219">
            <v>7</v>
          </cell>
          <cell r="AH219">
            <v>7</v>
          </cell>
          <cell r="AI219" t="str">
            <v>Net</v>
          </cell>
          <cell r="AK219">
            <v>0</v>
          </cell>
          <cell r="AL219">
            <v>50</v>
          </cell>
          <cell r="AM219" t="str">
            <v>&gt; 60%</v>
          </cell>
          <cell r="AN219" t="str">
            <v>Institutional</v>
          </cell>
          <cell r="AO219" t="str">
            <v>&gt; 2</v>
          </cell>
          <cell r="AP219" t="str">
            <v>≥ 50%</v>
          </cell>
          <cell r="AQ219" t="str">
            <v>Europe</v>
          </cell>
          <cell r="AR219" t="str">
            <v>single country</v>
          </cell>
          <cell r="AT219" t="str">
            <v>Finland</v>
          </cell>
          <cell r="AU219" t="str">
            <v>multi sector</v>
          </cell>
          <cell r="AW219">
            <v>200000000</v>
          </cell>
          <cell r="AX219">
            <v>400000000</v>
          </cell>
          <cell r="AY219">
            <v>2007</v>
          </cell>
          <cell r="AZ219">
            <v>2022</v>
          </cell>
          <cell r="BA219" t="str">
            <v>Yes</v>
          </cell>
          <cell r="BB219" t="str">
            <v>Yes</v>
          </cell>
          <cell r="BC219" t="str">
            <v>2 years fixed</v>
          </cell>
          <cell r="BD219" t="str">
            <v>Yes</v>
          </cell>
          <cell r="BH219" t="str">
            <v>2020-12-31</v>
          </cell>
          <cell r="BI219">
            <v>266946128</v>
          </cell>
          <cell r="BJ219">
            <v>266946128</v>
          </cell>
          <cell r="BK219">
            <v>161971478</v>
          </cell>
          <cell r="BL219">
            <v>161971478</v>
          </cell>
          <cell r="BM219">
            <v>39.32</v>
          </cell>
          <cell r="BN219" t="str">
            <v>No</v>
          </cell>
          <cell r="BO219" t="str">
            <v>External</v>
          </cell>
          <cell r="BP219">
            <v>1</v>
          </cell>
          <cell r="BQ219">
            <v>3</v>
          </cell>
          <cell r="BR219">
            <v>218000000</v>
          </cell>
          <cell r="BS219">
            <v>218000000</v>
          </cell>
          <cell r="BT219">
            <v>218000000</v>
          </cell>
          <cell r="BU219">
            <v>218000000</v>
          </cell>
          <cell r="BV219" t="str">
            <v>No</v>
          </cell>
          <cell r="BW219" t="str">
            <v>Finland</v>
          </cell>
          <cell r="BX219" t="str">
            <v>Office</v>
          </cell>
          <cell r="BY219">
            <v>61</v>
          </cell>
          <cell r="BZ219" t="str">
            <v>Finland</v>
          </cell>
          <cell r="CA219" t="str">
            <v>Hotel</v>
          </cell>
          <cell r="CB219">
            <v>38</v>
          </cell>
        </row>
        <row r="220">
          <cell r="A220">
            <v>239</v>
          </cell>
          <cell r="B220" t="str">
            <v>FEDERATED HERMES PROPERTY UNIT TRUST</v>
          </cell>
          <cell r="C220" t="str">
            <v>HERMES REAL ESTATE INVESTMENT MANAGEMENT LTD</v>
          </cell>
          <cell r="D220" t="str">
            <v>150 Cheapside</v>
          </cell>
          <cell r="E220" t="str">
            <v>EC2V 6ET</v>
          </cell>
          <cell r="F220" t="str">
            <v>London</v>
          </cell>
          <cell r="G220" t="str">
            <v>United Kingdom</v>
          </cell>
          <cell r="H220" t="str">
            <v>+442077020888</v>
          </cell>
          <cell r="I220" t="str">
            <v>+442077029453</v>
          </cell>
          <cell r="J220" t="str">
            <v>http://www.hermes-investment.com</v>
          </cell>
          <cell r="K220" t="str">
            <v>Dermot Kiernan</v>
          </cell>
          <cell r="L220" t="str">
            <v>dermot.kiernan@hermes-investment.com</v>
          </cell>
          <cell r="M220" t="str">
            <v>+442076802809</v>
          </cell>
          <cell r="N220" t="str">
            <v>Douglas Anderson</v>
          </cell>
          <cell r="O220" t="str">
            <v>Douglas.Anderson@hermes-investment.com</v>
          </cell>
          <cell r="P220" t="str">
            <v>+442077026127</v>
          </cell>
          <cell r="Q220" t="str">
            <v>United Kingdom</v>
          </cell>
          <cell r="R220" t="str">
            <v>GBP</v>
          </cell>
          <cell r="S220" t="str">
            <v>Local GAAP</v>
          </cell>
          <cell r="T220" t="str">
            <v>Twice per year</v>
          </cell>
          <cell r="U220" t="str">
            <v>Monthly</v>
          </cell>
          <cell r="V220" t="str">
            <v>RICS</v>
          </cell>
          <cell r="W220" t="str">
            <v>INREV NAV</v>
          </cell>
          <cell r="X220" t="str">
            <v>PriceWaterhouseCoopers</v>
          </cell>
          <cell r="Y220" t="str">
            <v>Unit trust</v>
          </cell>
          <cell r="Z220" t="str">
            <v>No</v>
          </cell>
          <cell r="AA220" t="str">
            <v>Yes</v>
          </cell>
          <cell r="AB220">
            <v>5</v>
          </cell>
          <cell r="AC220" t="str">
            <v>Non-Listed Fund</v>
          </cell>
          <cell r="AD220" t="str">
            <v>Core</v>
          </cell>
          <cell r="AE220" t="str">
            <v>infinite</v>
          </cell>
          <cell r="AF220" t="str">
            <v>Open end</v>
          </cell>
          <cell r="AI220" t="str">
            <v>Net</v>
          </cell>
          <cell r="AJ220" t="str">
            <v>AREF/IPD Other Balanced Property Fund Index</v>
          </cell>
          <cell r="AL220">
            <v>10</v>
          </cell>
          <cell r="AM220" t="str">
            <v>≤ 40%</v>
          </cell>
          <cell r="AN220" t="str">
            <v>Institutional</v>
          </cell>
          <cell r="AO220" t="str">
            <v>&gt; 2</v>
          </cell>
          <cell r="AP220" t="str">
            <v>≥ 50%</v>
          </cell>
          <cell r="AQ220" t="str">
            <v>Europe</v>
          </cell>
          <cell r="AR220" t="str">
            <v>single country</v>
          </cell>
          <cell r="AT220" t="str">
            <v>United Kingdom</v>
          </cell>
          <cell r="AU220" t="str">
            <v>multi sector</v>
          </cell>
          <cell r="AY220">
            <v>1967</v>
          </cell>
          <cell r="BB220" t="str">
            <v>No</v>
          </cell>
          <cell r="BD220" t="str">
            <v>No</v>
          </cell>
          <cell r="BH220" t="str">
            <v>2020-12-31</v>
          </cell>
          <cell r="BI220">
            <v>1415355323</v>
          </cell>
          <cell r="BJ220">
            <v>1564744796.4460831</v>
          </cell>
          <cell r="BK220">
            <v>1367355323</v>
          </cell>
          <cell r="BL220">
            <v>1511678439.8860829</v>
          </cell>
          <cell r="BM220">
            <v>3.4</v>
          </cell>
          <cell r="BN220" t="str">
            <v>No</v>
          </cell>
          <cell r="BO220" t="str">
            <v>External</v>
          </cell>
          <cell r="BP220">
            <v>104</v>
          </cell>
          <cell r="BQ220">
            <v>73</v>
          </cell>
          <cell r="BS220">
            <v>0</v>
          </cell>
          <cell r="BV220" t="str">
            <v>No</v>
          </cell>
          <cell r="BW220" t="str">
            <v>United Kingdom</v>
          </cell>
          <cell r="BX220" t="str">
            <v>Other</v>
          </cell>
          <cell r="BY220">
            <v>10.78</v>
          </cell>
          <cell r="BZ220" t="str">
            <v>United Kingdom</v>
          </cell>
          <cell r="CA220" t="str">
            <v>Industrial / Logistics</v>
          </cell>
          <cell r="CB220">
            <v>29.1</v>
          </cell>
          <cell r="CC220" t="str">
            <v>United Kingdom</v>
          </cell>
          <cell r="CD220" t="str">
            <v>Retail</v>
          </cell>
          <cell r="CE220">
            <v>19.8</v>
          </cell>
          <cell r="CF220" t="str">
            <v>United Kingdom</v>
          </cell>
          <cell r="CG220" t="str">
            <v>Office</v>
          </cell>
          <cell r="CH220">
            <v>28.7</v>
          </cell>
        </row>
        <row r="221">
          <cell r="A221">
            <v>173</v>
          </cell>
          <cell r="B221" t="str">
            <v>FIDELITY EUROZONE REAL ESTATE FUND</v>
          </cell>
          <cell r="C221" t="str">
            <v>FIL INVESTMENT MANAGEMENT (LUXEMBOURG) S.A.</v>
          </cell>
          <cell r="D221" t="str">
            <v>c/o 4 Cannon Street</v>
          </cell>
          <cell r="E221" t="str">
            <v>EC4M 5AB</v>
          </cell>
          <cell r="F221" t="str">
            <v>London</v>
          </cell>
          <cell r="G221" t="str">
            <v>United Kingdom</v>
          </cell>
          <cell r="H221" t="str">
            <v>+442079614844</v>
          </cell>
          <cell r="I221" t="str">
            <v>+442075097501</v>
          </cell>
          <cell r="J221" t="str">
            <v>http://www.fidelityinstitutional.com</v>
          </cell>
          <cell r="K221" t="str">
            <v>Keith Sutton</v>
          </cell>
          <cell r="L221" t="str">
            <v>keith.sutton@fil.com</v>
          </cell>
          <cell r="N221" t="str">
            <v>Adrian Benedict</v>
          </cell>
          <cell r="O221" t="str">
            <v>adrian.benedict@fil.com</v>
          </cell>
          <cell r="P221" t="str">
            <v>+442079614536</v>
          </cell>
          <cell r="Q221" t="str">
            <v>Luxembourg</v>
          </cell>
          <cell r="R221" t="str">
            <v>EUR</v>
          </cell>
          <cell r="S221" t="str">
            <v>IFRS</v>
          </cell>
          <cell r="T221" t="str">
            <v>Quarterly</v>
          </cell>
          <cell r="U221" t="str">
            <v>Monthly</v>
          </cell>
          <cell r="V221" t="str">
            <v>RICS</v>
          </cell>
          <cell r="X221" t="str">
            <v>Deloitte</v>
          </cell>
          <cell r="Y221" t="str">
            <v>SICAV</v>
          </cell>
          <cell r="Z221" t="str">
            <v>No</v>
          </cell>
          <cell r="AA221" t="str">
            <v>Yes</v>
          </cell>
          <cell r="AB221">
            <v>3</v>
          </cell>
          <cell r="AC221" t="str">
            <v>Non-Listed Fund</v>
          </cell>
          <cell r="AD221" t="str">
            <v>Core</v>
          </cell>
          <cell r="AE221" t="str">
            <v>infinite</v>
          </cell>
          <cell r="AF221" t="str">
            <v>Open end</v>
          </cell>
          <cell r="AG221">
            <v>7</v>
          </cell>
          <cell r="AH221">
            <v>9</v>
          </cell>
          <cell r="AI221" t="str">
            <v>Net</v>
          </cell>
          <cell r="AK221">
            <v>4.5</v>
          </cell>
          <cell r="AL221">
            <v>30</v>
          </cell>
          <cell r="AM221" t="str">
            <v>&gt; 40% - ≤ 60%</v>
          </cell>
          <cell r="AN221" t="str">
            <v>Institutional</v>
          </cell>
          <cell r="AO221" t="str">
            <v>&gt; 2</v>
          </cell>
          <cell r="AP221" t="str">
            <v>≥ 50%</v>
          </cell>
          <cell r="AQ221" t="str">
            <v>Europe</v>
          </cell>
          <cell r="AR221" t="str">
            <v>multi country</v>
          </cell>
          <cell r="AS221" t="str">
            <v>Europe</v>
          </cell>
          <cell r="AU221" t="str">
            <v>multi sector</v>
          </cell>
          <cell r="AW221">
            <v>1000000</v>
          </cell>
          <cell r="AX221">
            <v>1500000</v>
          </cell>
          <cell r="AY221">
            <v>2011</v>
          </cell>
          <cell r="BA221" t="str">
            <v>No</v>
          </cell>
          <cell r="BB221" t="str">
            <v>No</v>
          </cell>
          <cell r="BH221" t="str">
            <v>2020-12-31</v>
          </cell>
          <cell r="BI221">
            <v>1091951432</v>
          </cell>
          <cell r="BJ221">
            <v>1091951432</v>
          </cell>
          <cell r="BK221">
            <v>893506359</v>
          </cell>
          <cell r="BL221">
            <v>893506359</v>
          </cell>
          <cell r="BM221">
            <v>14.6</v>
          </cell>
          <cell r="BN221" t="str">
            <v>No</v>
          </cell>
          <cell r="BO221" t="str">
            <v>External</v>
          </cell>
          <cell r="BP221">
            <v>59</v>
          </cell>
          <cell r="BQ221">
            <v>29</v>
          </cell>
          <cell r="BR221">
            <v>179735774</v>
          </cell>
          <cell r="BS221">
            <v>179735774</v>
          </cell>
          <cell r="BT221">
            <v>731858357</v>
          </cell>
          <cell r="BU221">
            <v>731858357</v>
          </cell>
          <cell r="BV221" t="str">
            <v>Yes</v>
          </cell>
          <cell r="BW221" t="str">
            <v>Belgium</v>
          </cell>
          <cell r="BX221" t="str">
            <v>Retail</v>
          </cell>
          <cell r="BY221">
            <v>2.2000000000000002</v>
          </cell>
          <cell r="BZ221" t="str">
            <v>Luxembourg</v>
          </cell>
          <cell r="CA221" t="str">
            <v>Office</v>
          </cell>
          <cell r="CB221">
            <v>22</v>
          </cell>
          <cell r="CC221" t="str">
            <v>Netherlands</v>
          </cell>
          <cell r="CD221" t="str">
            <v>Other</v>
          </cell>
          <cell r="CE221">
            <v>5.2</v>
          </cell>
          <cell r="CF221" t="str">
            <v>Netherlands</v>
          </cell>
          <cell r="CG221" t="str">
            <v>Industrial / Logistics</v>
          </cell>
          <cell r="CH221">
            <v>1.9</v>
          </cell>
          <cell r="CI221" t="str">
            <v>Netherlands</v>
          </cell>
          <cell r="CJ221" t="str">
            <v>Retail</v>
          </cell>
          <cell r="CK221">
            <v>1.2</v>
          </cell>
          <cell r="CL221" t="str">
            <v>Netherlands</v>
          </cell>
          <cell r="CM221" t="str">
            <v>Office</v>
          </cell>
          <cell r="CN221">
            <v>2.9</v>
          </cell>
          <cell r="CO221" t="str">
            <v>France</v>
          </cell>
          <cell r="CP221" t="str">
            <v>Retail</v>
          </cell>
          <cell r="CQ221">
            <v>3.7</v>
          </cell>
          <cell r="CR221" t="str">
            <v>France</v>
          </cell>
          <cell r="CS221" t="str">
            <v>Office</v>
          </cell>
          <cell r="CT221">
            <v>12.1</v>
          </cell>
          <cell r="CU221" t="str">
            <v>France</v>
          </cell>
          <cell r="CV221" t="str">
            <v>Industrial / Logistics</v>
          </cell>
          <cell r="CW221">
            <v>6.3</v>
          </cell>
          <cell r="CX221" t="str">
            <v>Germany</v>
          </cell>
          <cell r="CY221" t="str">
            <v>Retail</v>
          </cell>
          <cell r="CZ221">
            <v>5.3</v>
          </cell>
          <cell r="DA221" t="str">
            <v>Germany</v>
          </cell>
          <cell r="DB221" t="str">
            <v>Industrial / Logistics</v>
          </cell>
          <cell r="DC221">
            <v>19.3</v>
          </cell>
          <cell r="DD221" t="str">
            <v>Germany</v>
          </cell>
          <cell r="DE221" t="str">
            <v>Office</v>
          </cell>
          <cell r="DF221">
            <v>11</v>
          </cell>
        </row>
        <row r="222">
          <cell r="A222">
            <v>570</v>
          </cell>
          <cell r="B222" t="str">
            <v>FIDELITY UK REAL ESTATE FUND</v>
          </cell>
          <cell r="C222" t="str">
            <v>FIL INVESTMENT MANAGEMENT (LUXEMBOURG) S.A.</v>
          </cell>
          <cell r="D222" t="str">
            <v>c/o 4 Cannon Street</v>
          </cell>
          <cell r="E222" t="str">
            <v>EC4M 5AB</v>
          </cell>
          <cell r="F222" t="str">
            <v>London</v>
          </cell>
          <cell r="G222" t="str">
            <v>United Kingdom</v>
          </cell>
          <cell r="H222">
            <v>2079614844</v>
          </cell>
          <cell r="J222" t="str">
            <v>http://www.fidelityinstitutional.com</v>
          </cell>
          <cell r="K222" t="str">
            <v>Alison Puhar</v>
          </cell>
          <cell r="L222" t="str">
            <v>alison.puhar@fil.com</v>
          </cell>
          <cell r="N222" t="str">
            <v>Adrian Benedict</v>
          </cell>
          <cell r="O222" t="str">
            <v>adrian.benedict@fil.com</v>
          </cell>
          <cell r="P222" t="str">
            <v>+442079614536</v>
          </cell>
          <cell r="Q222" t="str">
            <v>Luxembourg</v>
          </cell>
          <cell r="R222" t="str">
            <v>GBP</v>
          </cell>
          <cell r="S222" t="str">
            <v>IFRS</v>
          </cell>
          <cell r="T222" t="str">
            <v>Monthly</v>
          </cell>
          <cell r="U222" t="str">
            <v>Monthly</v>
          </cell>
          <cell r="V222" t="str">
            <v>RICS</v>
          </cell>
          <cell r="W222" t="str">
            <v>IFRS NAV</v>
          </cell>
          <cell r="X222" t="str">
            <v>PricewaterhouseCoopers</v>
          </cell>
          <cell r="Y222" t="str">
            <v>SICAV</v>
          </cell>
          <cell r="Z222" t="str">
            <v>No</v>
          </cell>
          <cell r="AA222" t="str">
            <v>Yes</v>
          </cell>
          <cell r="AB222">
            <v>2</v>
          </cell>
          <cell r="AC222" t="str">
            <v>Non-Listed Fund</v>
          </cell>
          <cell r="AD222" t="str">
            <v>Core</v>
          </cell>
          <cell r="AE222" t="str">
            <v>infinite</v>
          </cell>
          <cell r="AF222" t="str">
            <v>Open end</v>
          </cell>
          <cell r="AG222">
            <v>7</v>
          </cell>
          <cell r="AH222">
            <v>9</v>
          </cell>
          <cell r="AI222" t="str">
            <v>Net</v>
          </cell>
          <cell r="AJ222" t="str">
            <v>IPD UK All Balanced Property Funds</v>
          </cell>
          <cell r="AK222">
            <v>5</v>
          </cell>
          <cell r="AL222">
            <v>20</v>
          </cell>
          <cell r="AM222" t="str">
            <v>&gt; 40% - ≤ 60%</v>
          </cell>
          <cell r="AN222" t="str">
            <v>Institutional</v>
          </cell>
          <cell r="AO222" t="str">
            <v>&gt; 2</v>
          </cell>
          <cell r="AP222" t="str">
            <v>≥ 50%</v>
          </cell>
          <cell r="AQ222" t="str">
            <v>Europe</v>
          </cell>
          <cell r="AR222" t="str">
            <v>single country</v>
          </cell>
          <cell r="AT222" t="str">
            <v>United Kingdom</v>
          </cell>
          <cell r="AU222" t="str">
            <v>multi sector</v>
          </cell>
          <cell r="AW222">
            <v>1250000000</v>
          </cell>
          <cell r="AX222">
            <v>1500000000</v>
          </cell>
          <cell r="AY222">
            <v>2008</v>
          </cell>
          <cell r="BA222" t="str">
            <v>No</v>
          </cell>
          <cell r="BB222" t="str">
            <v>No</v>
          </cell>
          <cell r="BH222" t="str">
            <v>2020-12-31</v>
          </cell>
          <cell r="BI222">
            <v>560269126</v>
          </cell>
          <cell r="BJ222">
            <v>619405025.20574093</v>
          </cell>
          <cell r="BK222">
            <v>549739204</v>
          </cell>
          <cell r="BL222">
            <v>607763679.46822035</v>
          </cell>
          <cell r="BM222">
            <v>0</v>
          </cell>
          <cell r="BN222" t="str">
            <v>No</v>
          </cell>
          <cell r="BO222" t="str">
            <v>External</v>
          </cell>
          <cell r="BP222">
            <v>25</v>
          </cell>
          <cell r="BQ222">
            <v>41</v>
          </cell>
          <cell r="BR222">
            <v>593019273</v>
          </cell>
          <cell r="BS222">
            <v>651108189.51770806</v>
          </cell>
          <cell r="BT222">
            <v>593019273</v>
          </cell>
          <cell r="BU222">
            <v>651108189.51770806</v>
          </cell>
          <cell r="BV222" t="str">
            <v>Yes</v>
          </cell>
          <cell r="BW222" t="str">
            <v>United Kingdom</v>
          </cell>
          <cell r="BX222" t="str">
            <v>Office</v>
          </cell>
          <cell r="BY222">
            <v>43</v>
          </cell>
          <cell r="BZ222" t="str">
            <v>United Kingdom</v>
          </cell>
          <cell r="CA222" t="str">
            <v>Industrial / Logistics</v>
          </cell>
          <cell r="CB222">
            <v>34.9</v>
          </cell>
          <cell r="CC222" t="str">
            <v>United Kingdom</v>
          </cell>
          <cell r="CD222" t="str">
            <v>Retail</v>
          </cell>
          <cell r="CE222">
            <v>11</v>
          </cell>
        </row>
        <row r="223">
          <cell r="A223">
            <v>174</v>
          </cell>
          <cell r="B223" t="str">
            <v>FIPRS - FONDO IMMOBILIARE PUBBLICO REGIONE SICILIANA</v>
          </cell>
          <cell r="C223" t="str">
            <v>PRELIOS SGR S.P.A.</v>
          </cell>
          <cell r="D223" t="str">
            <v>Via Valtellina 15/17</v>
          </cell>
          <cell r="E223">
            <v>20159</v>
          </cell>
          <cell r="F223" t="str">
            <v>Milan</v>
          </cell>
          <cell r="G223" t="str">
            <v>Italy</v>
          </cell>
          <cell r="H223" t="str">
            <v>+390262811</v>
          </cell>
          <cell r="I223" t="str">
            <v>+3902662816061</v>
          </cell>
          <cell r="J223" t="str">
            <v>http://www.preliossgr.com</v>
          </cell>
          <cell r="K223" t="str">
            <v>Carlo Campioni</v>
          </cell>
          <cell r="L223" t="str">
            <v>carlo.campioni@preliossgr.com</v>
          </cell>
          <cell r="M223" t="str">
            <v>+390651318487</v>
          </cell>
          <cell r="P223" t="str">
            <v>+3902662816061</v>
          </cell>
          <cell r="Q223" t="str">
            <v>Italy</v>
          </cell>
          <cell r="R223" t="str">
            <v>EUR</v>
          </cell>
          <cell r="S223" t="str">
            <v>Local GAAP</v>
          </cell>
          <cell r="T223" t="str">
            <v>Quarterly</v>
          </cell>
          <cell r="U223" t="str">
            <v>Quarterly</v>
          </cell>
          <cell r="W223" t="str">
            <v>Banca d’Italia Rules</v>
          </cell>
          <cell r="X223" t="str">
            <v>EY</v>
          </cell>
          <cell r="Y223" t="str">
            <v>Real Estate Fund</v>
          </cell>
          <cell r="Z223" t="str">
            <v>Yes</v>
          </cell>
          <cell r="AB223">
            <v>0</v>
          </cell>
          <cell r="AC223" t="str">
            <v>Non-Listed Fund</v>
          </cell>
          <cell r="AD223" t="str">
            <v>Core</v>
          </cell>
          <cell r="AE223" t="str">
            <v>finite</v>
          </cell>
          <cell r="AF223" t="str">
            <v>Closed end</v>
          </cell>
          <cell r="AG223">
            <v>11</v>
          </cell>
          <cell r="AH223">
            <v>11</v>
          </cell>
          <cell r="AI223" t="str">
            <v>Net</v>
          </cell>
          <cell r="AL223">
            <v>50</v>
          </cell>
          <cell r="AM223" t="str">
            <v>&gt; 40% - ≤ 60%</v>
          </cell>
          <cell r="AN223" t="str">
            <v>Institutional</v>
          </cell>
          <cell r="AO223" t="str">
            <v>&gt; 2</v>
          </cell>
          <cell r="AP223" t="str">
            <v>≥ 50%</v>
          </cell>
          <cell r="AQ223" t="str">
            <v>Europe</v>
          </cell>
          <cell r="AR223" t="str">
            <v>single country</v>
          </cell>
          <cell r="AT223" t="str">
            <v>Italy</v>
          </cell>
          <cell r="AU223" t="str">
            <v>multi sector</v>
          </cell>
          <cell r="AW223">
            <v>105000000</v>
          </cell>
          <cell r="AX223">
            <v>310000000</v>
          </cell>
          <cell r="AY223">
            <v>2007</v>
          </cell>
          <cell r="AZ223">
            <v>2022</v>
          </cell>
          <cell r="BH223" t="str">
            <v>2020-06-30</v>
          </cell>
          <cell r="BI223">
            <v>200863510</v>
          </cell>
          <cell r="BJ223">
            <v>200863510</v>
          </cell>
          <cell r="BK223">
            <v>155676577</v>
          </cell>
          <cell r="BL223">
            <v>155676577</v>
          </cell>
          <cell r="BM223">
            <v>21.8</v>
          </cell>
          <cell r="BN223" t="str">
            <v>Yes</v>
          </cell>
          <cell r="BO223" t="str">
            <v>External</v>
          </cell>
          <cell r="BP223">
            <v>3</v>
          </cell>
          <cell r="BQ223">
            <v>30</v>
          </cell>
          <cell r="BR223">
            <v>100685936</v>
          </cell>
          <cell r="BS223">
            <v>100685936</v>
          </cell>
          <cell r="BT223">
            <v>100685936</v>
          </cell>
          <cell r="BU223">
            <v>100685936</v>
          </cell>
          <cell r="BW223" t="str">
            <v>Italy</v>
          </cell>
          <cell r="BX223" t="str">
            <v>Office</v>
          </cell>
          <cell r="BY223">
            <v>94.03</v>
          </cell>
        </row>
        <row r="224">
          <cell r="A224">
            <v>19635</v>
          </cell>
          <cell r="B224" t="str">
            <v>FIS - FONDO INNOVAZIONE SALUTE</v>
          </cell>
          <cell r="C224" t="str">
            <v>SAVILLS INVESTMENT MANAGEMENT SGR SPA</v>
          </cell>
          <cell r="D224" t="str">
            <v>Via San Paolo 7</v>
          </cell>
          <cell r="E224">
            <v>20121</v>
          </cell>
          <cell r="F224" t="str">
            <v>Milan</v>
          </cell>
          <cell r="G224" t="str">
            <v>Italy</v>
          </cell>
          <cell r="Q224" t="str">
            <v>Italy</v>
          </cell>
          <cell r="R224" t="str">
            <v>EUR</v>
          </cell>
          <cell r="S224" t="str">
            <v>Local GAAP</v>
          </cell>
          <cell r="T224" t="str">
            <v>Quarterly</v>
          </cell>
          <cell r="U224" t="str">
            <v>Twice per year</v>
          </cell>
          <cell r="V224" t="str">
            <v>Other - mark to market</v>
          </cell>
          <cell r="W224" t="str">
            <v>Local GAAP</v>
          </cell>
          <cell r="Y224" t="str">
            <v>Real Estate Fund</v>
          </cell>
          <cell r="Z224" t="str">
            <v>No</v>
          </cell>
          <cell r="AB224">
            <v>0</v>
          </cell>
          <cell r="AC224" t="str">
            <v>Non-Listed Fund</v>
          </cell>
          <cell r="AD224" t="str">
            <v>Core</v>
          </cell>
          <cell r="AE224" t="str">
            <v>finite</v>
          </cell>
          <cell r="AF224" t="str">
            <v>Closed end</v>
          </cell>
          <cell r="AG224">
            <v>7.5</v>
          </cell>
          <cell r="AH224">
            <v>8.5</v>
          </cell>
          <cell r="AI224" t="str">
            <v>Gross</v>
          </cell>
          <cell r="AM224" t="str">
            <v>&gt; 40% - ≤ 60%</v>
          </cell>
          <cell r="AN224" t="str">
            <v>Institutional</v>
          </cell>
          <cell r="AO224" t="str">
            <v>&gt; 2</v>
          </cell>
          <cell r="AP224" t="str">
            <v>≥ 50%</v>
          </cell>
          <cell r="AQ224" t="str">
            <v>Europe</v>
          </cell>
          <cell r="AR224" t="str">
            <v>single country</v>
          </cell>
          <cell r="AT224" t="str">
            <v>Italy</v>
          </cell>
          <cell r="AU224" t="str">
            <v>single sector</v>
          </cell>
          <cell r="AV224" t="str">
            <v>Health Care</v>
          </cell>
          <cell r="AY224">
            <v>2018</v>
          </cell>
          <cell r="AZ224">
            <v>2033</v>
          </cell>
          <cell r="BA224" t="str">
            <v>No</v>
          </cell>
          <cell r="BD224" t="str">
            <v>No</v>
          </cell>
        </row>
        <row r="225">
          <cell r="A225">
            <v>17536</v>
          </cell>
          <cell r="B225" t="str">
            <v>FLAVIA</v>
          </cell>
          <cell r="C225" t="str">
            <v>BNP PARIBAS REIM ITALY</v>
          </cell>
          <cell r="D225" t="str">
            <v>Piazza Lina Bo Bardi, 3</v>
          </cell>
          <cell r="E225">
            <v>20124</v>
          </cell>
          <cell r="F225" t="str">
            <v>Milan</v>
          </cell>
          <cell r="G225" t="str">
            <v>Italy</v>
          </cell>
          <cell r="H225" t="str">
            <v>+39025833141</v>
          </cell>
          <cell r="J225" t="str">
            <v>http://www.reim.bnpparibas.it</v>
          </cell>
          <cell r="K225" t="str">
            <v>Luca Panizzi</v>
          </cell>
          <cell r="L225" t="str">
            <v>luca.panizzi@bnpparibas.com</v>
          </cell>
          <cell r="M225" t="str">
            <v>+39025833141</v>
          </cell>
          <cell r="N225" t="str">
            <v>Simone Roberti</v>
          </cell>
          <cell r="O225" t="str">
            <v>simone.roberti@bnpparibas.com</v>
          </cell>
          <cell r="Q225" t="str">
            <v>Italy</v>
          </cell>
          <cell r="R225" t="str">
            <v>EUR</v>
          </cell>
          <cell r="S225" t="str">
            <v>Local GAAP</v>
          </cell>
          <cell r="T225" t="str">
            <v>Twice per year</v>
          </cell>
          <cell r="U225" t="str">
            <v>Twice per year</v>
          </cell>
          <cell r="V225" t="str">
            <v>Other - mark to market</v>
          </cell>
          <cell r="W225" t="str">
            <v>INREV NAV</v>
          </cell>
          <cell r="Y225" t="str">
            <v>Real Estate Fund</v>
          </cell>
          <cell r="Z225" t="str">
            <v>Yes</v>
          </cell>
          <cell r="AC225" t="str">
            <v>Non-Listed Fund</v>
          </cell>
          <cell r="AD225" t="str">
            <v>Opportunity</v>
          </cell>
          <cell r="AE225" t="str">
            <v>finite</v>
          </cell>
          <cell r="AF225" t="str">
            <v>Closed end</v>
          </cell>
          <cell r="AN225" t="str">
            <v>Institutional</v>
          </cell>
          <cell r="AO225" t="str">
            <v>&gt; 2</v>
          </cell>
          <cell r="AP225" t="str">
            <v>≥ 50%</v>
          </cell>
          <cell r="AQ225" t="str">
            <v>Europe</v>
          </cell>
          <cell r="AR225" t="str">
            <v>single country</v>
          </cell>
          <cell r="AT225" t="str">
            <v>Italy</v>
          </cell>
          <cell r="AU225" t="str">
            <v>multi sector</v>
          </cell>
          <cell r="BH225" t="str">
            <v>2017-06-30</v>
          </cell>
          <cell r="BI225">
            <v>164134126</v>
          </cell>
          <cell r="BJ225">
            <v>164134126</v>
          </cell>
          <cell r="BK225">
            <v>100917863</v>
          </cell>
          <cell r="BL225">
            <v>100917863</v>
          </cell>
          <cell r="BM225">
            <v>0</v>
          </cell>
          <cell r="BN225" t="str">
            <v>No</v>
          </cell>
          <cell r="BO225" t="str">
            <v>External</v>
          </cell>
          <cell r="BP225">
            <v>11</v>
          </cell>
          <cell r="BQ225">
            <v>15</v>
          </cell>
          <cell r="BR225">
            <v>215000000</v>
          </cell>
          <cell r="BS225">
            <v>215000000</v>
          </cell>
          <cell r="BT225">
            <v>214843316.33000001</v>
          </cell>
          <cell r="BU225">
            <v>214843316.33000001</v>
          </cell>
          <cell r="BV225" t="str">
            <v>No</v>
          </cell>
          <cell r="BW225" t="str">
            <v>Italy</v>
          </cell>
          <cell r="BX225" t="str">
            <v>Residential</v>
          </cell>
          <cell r="BY225">
            <v>91</v>
          </cell>
          <cell r="BZ225" t="str">
            <v>Italy</v>
          </cell>
          <cell r="CA225" t="str">
            <v>Other</v>
          </cell>
          <cell r="CB225">
            <v>8</v>
          </cell>
        </row>
        <row r="226">
          <cell r="A226">
            <v>178</v>
          </cell>
          <cell r="B226" t="str">
            <v>FONDIS</v>
          </cell>
          <cell r="C226" t="str">
            <v>AEW CILOGER</v>
          </cell>
          <cell r="D226" t="str">
            <v>22 rue du Docteur Lancereaux</v>
          </cell>
          <cell r="E226">
            <v>75008</v>
          </cell>
          <cell r="F226" t="str">
            <v>Paris</v>
          </cell>
          <cell r="G226" t="str">
            <v>France</v>
          </cell>
          <cell r="H226" t="str">
            <v>+33 (0) 1 78 40 93 53</v>
          </cell>
          <cell r="J226" t="str">
            <v>http://www.aeweurope.com</v>
          </cell>
          <cell r="K226" t="str">
            <v>Stéphane SEBBAN</v>
          </cell>
          <cell r="L226" t="str">
            <v>stephane.sebban@eu.aew.com</v>
          </cell>
          <cell r="M226" t="str">
            <v>+33 (0) 1 78 40 93 53</v>
          </cell>
          <cell r="N226" t="str">
            <v>Stéphane SEBBAN</v>
          </cell>
          <cell r="O226" t="str">
            <v>stephane.sebban@eu.aew.com</v>
          </cell>
          <cell r="P226" t="str">
            <v>+33 (0) 1 78 40 93 53</v>
          </cell>
          <cell r="Q226" t="str">
            <v>France</v>
          </cell>
          <cell r="R226" t="str">
            <v>EUR</v>
          </cell>
          <cell r="S226" t="str">
            <v>IFRS</v>
          </cell>
          <cell r="T226" t="str">
            <v>Twice per year</v>
          </cell>
          <cell r="U226" t="str">
            <v>Twice per year</v>
          </cell>
          <cell r="V226" t="str">
            <v>RICS</v>
          </cell>
          <cell r="W226" t="str">
            <v>IFRS NAV</v>
          </cell>
          <cell r="X226" t="str">
            <v>Mazars</v>
          </cell>
          <cell r="Y226" t="str">
            <v>Real Estate Fund</v>
          </cell>
          <cell r="Z226" t="str">
            <v>No</v>
          </cell>
          <cell r="AB226">
            <v>0</v>
          </cell>
          <cell r="AC226" t="str">
            <v>Non-Listed Fund</v>
          </cell>
          <cell r="AD226" t="str">
            <v>Core</v>
          </cell>
          <cell r="AE226" t="str">
            <v>finite</v>
          </cell>
          <cell r="AF226" t="str">
            <v>Closed end</v>
          </cell>
          <cell r="AG226">
            <v>8</v>
          </cell>
          <cell r="AH226">
            <v>10</v>
          </cell>
          <cell r="AI226" t="str">
            <v>Net</v>
          </cell>
          <cell r="AL226">
            <v>50</v>
          </cell>
          <cell r="AM226" t="str">
            <v>&gt; 40% - ≤ 60%</v>
          </cell>
          <cell r="AN226" t="str">
            <v>Institutional</v>
          </cell>
          <cell r="AO226" t="str">
            <v>&gt; 2</v>
          </cell>
          <cell r="AP226" t="str">
            <v>≥ 50%</v>
          </cell>
          <cell r="AQ226" t="str">
            <v>Europe</v>
          </cell>
          <cell r="AR226" t="str">
            <v>single country</v>
          </cell>
          <cell r="AT226" t="str">
            <v>France</v>
          </cell>
          <cell r="AU226" t="str">
            <v>single sector</v>
          </cell>
          <cell r="AV226" t="str">
            <v>Retail</v>
          </cell>
          <cell r="AW226">
            <v>313200000</v>
          </cell>
          <cell r="AX226">
            <v>683588000</v>
          </cell>
          <cell r="AY226">
            <v>2001</v>
          </cell>
          <cell r="AZ226">
            <v>2020</v>
          </cell>
          <cell r="BA226" t="str">
            <v>No</v>
          </cell>
          <cell r="BB226" t="str">
            <v>No</v>
          </cell>
          <cell r="BD226" t="str">
            <v>No</v>
          </cell>
          <cell r="BH226" t="str">
            <v>2020-12-31</v>
          </cell>
          <cell r="BI226">
            <v>576876000</v>
          </cell>
          <cell r="BJ226">
            <v>576876000</v>
          </cell>
          <cell r="BK226">
            <v>311780640</v>
          </cell>
          <cell r="BL226">
            <v>311780640</v>
          </cell>
          <cell r="BM226">
            <v>42.2</v>
          </cell>
          <cell r="BN226" t="str">
            <v>Yes</v>
          </cell>
          <cell r="BO226" t="str">
            <v>External</v>
          </cell>
          <cell r="BP226">
            <v>4</v>
          </cell>
          <cell r="BQ226">
            <v>65</v>
          </cell>
          <cell r="BR226">
            <v>313204000</v>
          </cell>
          <cell r="BS226">
            <v>313204000</v>
          </cell>
          <cell r="BT226">
            <v>259897813</v>
          </cell>
          <cell r="BU226">
            <v>259897813</v>
          </cell>
          <cell r="BV226" t="str">
            <v>No</v>
          </cell>
          <cell r="BW226" t="str">
            <v>France</v>
          </cell>
          <cell r="BX226" t="str">
            <v>Retail</v>
          </cell>
          <cell r="BY226">
            <v>100</v>
          </cell>
        </row>
        <row r="227">
          <cell r="A227">
            <v>181</v>
          </cell>
          <cell r="B227" t="str">
            <v>FONDO CLARICE</v>
          </cell>
          <cell r="C227" t="str">
            <v>PRELIOS SGR S.P.A.</v>
          </cell>
          <cell r="D227" t="str">
            <v>Via Piero e Alberto Pirelli, 27</v>
          </cell>
          <cell r="E227">
            <v>20126</v>
          </cell>
          <cell r="F227" t="str">
            <v>Milan</v>
          </cell>
          <cell r="G227" t="str">
            <v>Italy</v>
          </cell>
          <cell r="H227" t="str">
            <v>+39 02 6442 1</v>
          </cell>
          <cell r="I227" t="str">
            <v>+39 02 6442 6061</v>
          </cell>
          <cell r="J227" t="str">
            <v>http://www.pirelliresgr.com</v>
          </cell>
          <cell r="K227" t="str">
            <v>Silvia Vescovi</v>
          </cell>
          <cell r="L227" t="str">
            <v>silvia.vescovi@preliossgr.com</v>
          </cell>
          <cell r="M227" t="str">
            <v>+39 02 6281 32889</v>
          </cell>
          <cell r="P227" t="str">
            <v>+39 02 6442 6061</v>
          </cell>
          <cell r="Q227" t="str">
            <v>Italy</v>
          </cell>
          <cell r="R227" t="str">
            <v>EUR</v>
          </cell>
          <cell r="S227" t="str">
            <v>Local GAAP</v>
          </cell>
          <cell r="T227" t="str">
            <v>Quarterly</v>
          </cell>
          <cell r="U227" t="str">
            <v>Quarterly</v>
          </cell>
          <cell r="W227" t="str">
            <v>Banca d’Italia Rules</v>
          </cell>
          <cell r="X227" t="str">
            <v>EY</v>
          </cell>
          <cell r="Y227" t="str">
            <v>Real Estate Fund</v>
          </cell>
          <cell r="Z227" t="str">
            <v>No</v>
          </cell>
          <cell r="AB227">
            <v>0</v>
          </cell>
          <cell r="AC227" t="str">
            <v>Non-Listed Fund</v>
          </cell>
          <cell r="AD227" t="str">
            <v>Core</v>
          </cell>
          <cell r="AE227" t="str">
            <v>finite</v>
          </cell>
          <cell r="AF227" t="str">
            <v>Closed end</v>
          </cell>
          <cell r="AG227">
            <v>10</v>
          </cell>
          <cell r="AH227">
            <v>10</v>
          </cell>
          <cell r="AI227" t="str">
            <v>Net</v>
          </cell>
          <cell r="AJ227" t="str">
            <v>10.0%-13.0% IRR</v>
          </cell>
          <cell r="AK227">
            <v>9.3000000000000007</v>
          </cell>
          <cell r="AL227">
            <v>50</v>
          </cell>
          <cell r="AM227" t="str">
            <v>&gt; 40% - ≤ 60%</v>
          </cell>
          <cell r="AN227" t="str">
            <v>Institutional</v>
          </cell>
          <cell r="AO227" t="str">
            <v>&gt; 2</v>
          </cell>
          <cell r="AP227" t="str">
            <v>≥ 50%</v>
          </cell>
          <cell r="AQ227" t="str">
            <v>Europe</v>
          </cell>
          <cell r="AR227" t="str">
            <v>single country</v>
          </cell>
          <cell r="AT227" t="str">
            <v>Italy</v>
          </cell>
          <cell r="AU227" t="str">
            <v>single sector</v>
          </cell>
          <cell r="AV227" t="str">
            <v>Industrial / Logistics</v>
          </cell>
          <cell r="AW227">
            <v>123200000</v>
          </cell>
          <cell r="AX227">
            <v>236300000</v>
          </cell>
          <cell r="AY227">
            <v>2004</v>
          </cell>
          <cell r="AZ227">
            <v>2021</v>
          </cell>
          <cell r="BA227" t="str">
            <v>Yes</v>
          </cell>
          <cell r="BB227" t="str">
            <v>Yes</v>
          </cell>
          <cell r="BC227" t="str">
            <v>13 years</v>
          </cell>
          <cell r="BH227" t="str">
            <v>2020-06-30</v>
          </cell>
          <cell r="BI227">
            <v>132858003</v>
          </cell>
          <cell r="BJ227">
            <v>132858003</v>
          </cell>
          <cell r="BK227">
            <v>60804491</v>
          </cell>
          <cell r="BL227">
            <v>60804491</v>
          </cell>
          <cell r="BM227">
            <v>50.8</v>
          </cell>
          <cell r="BN227" t="str">
            <v>No</v>
          </cell>
          <cell r="BO227" t="str">
            <v>External</v>
          </cell>
          <cell r="BP227">
            <v>2</v>
          </cell>
          <cell r="BQ227">
            <v>57</v>
          </cell>
          <cell r="BR227">
            <v>50773104</v>
          </cell>
          <cell r="BS227">
            <v>50773104</v>
          </cell>
          <cell r="BT227">
            <v>50773104</v>
          </cell>
          <cell r="BU227">
            <v>50773104</v>
          </cell>
          <cell r="BW227" t="str">
            <v>Italy</v>
          </cell>
          <cell r="BX227" t="str">
            <v>Industrial / Logistics</v>
          </cell>
          <cell r="BY227">
            <v>95.93</v>
          </cell>
        </row>
        <row r="228">
          <cell r="A228">
            <v>184</v>
          </cell>
          <cell r="B228" t="str">
            <v>FONDO RAISSA</v>
          </cell>
          <cell r="C228" t="str">
            <v>PRELIOS SGR S.P.A.</v>
          </cell>
          <cell r="D228" t="str">
            <v>Via Piero e Alberto Pirelli, 27</v>
          </cell>
          <cell r="E228">
            <v>20126</v>
          </cell>
          <cell r="F228" t="str">
            <v>Milan</v>
          </cell>
          <cell r="G228" t="str">
            <v>Italy</v>
          </cell>
          <cell r="H228" t="str">
            <v>+39 02 6281 1</v>
          </cell>
          <cell r="I228" t="str">
            <v>+39 02 6281 6061</v>
          </cell>
          <cell r="J228" t="str">
            <v>http://www.preliossgr.com</v>
          </cell>
          <cell r="K228" t="str">
            <v>Francesco Centrone</v>
          </cell>
          <cell r="L228" t="str">
            <v>francesco.centrone@preliossgr.com</v>
          </cell>
          <cell r="M228" t="str">
            <v>+39 02 6281 4421</v>
          </cell>
          <cell r="P228" t="str">
            <v>+39 02 6281 6061</v>
          </cell>
          <cell r="Q228" t="str">
            <v>Italy</v>
          </cell>
          <cell r="R228" t="str">
            <v>EUR</v>
          </cell>
          <cell r="S228" t="str">
            <v>Local GAAP</v>
          </cell>
          <cell r="T228" t="str">
            <v>Quarterly</v>
          </cell>
          <cell r="U228" t="str">
            <v>Quarterly</v>
          </cell>
          <cell r="X228" t="str">
            <v>EY</v>
          </cell>
          <cell r="Z228" t="str">
            <v>Yes</v>
          </cell>
          <cell r="AB228">
            <v>0</v>
          </cell>
          <cell r="AC228" t="str">
            <v>Non-Listed Fund</v>
          </cell>
          <cell r="AD228" t="str">
            <v>Value-added</v>
          </cell>
          <cell r="AE228" t="str">
            <v>finite</v>
          </cell>
          <cell r="AF228" t="str">
            <v>Closed end</v>
          </cell>
          <cell r="AG228">
            <v>10</v>
          </cell>
          <cell r="AH228">
            <v>10</v>
          </cell>
          <cell r="AI228" t="str">
            <v>Net</v>
          </cell>
          <cell r="AJ228" t="str">
            <v>None</v>
          </cell>
          <cell r="AK228">
            <v>9.3000000000000007</v>
          </cell>
          <cell r="AL228">
            <v>50</v>
          </cell>
          <cell r="AM228" t="str">
            <v>&gt; 60%</v>
          </cell>
          <cell r="AN228" t="str">
            <v>Institutional</v>
          </cell>
          <cell r="AO228" t="str">
            <v>&gt; 2</v>
          </cell>
          <cell r="AP228" t="str">
            <v>≥ 50%</v>
          </cell>
          <cell r="AQ228" t="str">
            <v>Europe</v>
          </cell>
          <cell r="AR228" t="str">
            <v>single country</v>
          </cell>
          <cell r="AT228" t="str">
            <v>Italy</v>
          </cell>
          <cell r="AU228" t="str">
            <v>single sector</v>
          </cell>
          <cell r="AV228" t="str">
            <v>Office</v>
          </cell>
          <cell r="AW228">
            <v>292000000</v>
          </cell>
          <cell r="AX228">
            <v>800000000</v>
          </cell>
          <cell r="AY228">
            <v>2005</v>
          </cell>
          <cell r="AZ228">
            <v>2021</v>
          </cell>
          <cell r="BH228" t="str">
            <v>2020-06-30</v>
          </cell>
          <cell r="BI228">
            <v>191032774</v>
          </cell>
          <cell r="BJ228">
            <v>191032774</v>
          </cell>
          <cell r="BK228">
            <v>108211722</v>
          </cell>
          <cell r="BL228">
            <v>108211722</v>
          </cell>
          <cell r="BM228">
            <v>39.200000000000003</v>
          </cell>
          <cell r="BN228" t="str">
            <v>Yes</v>
          </cell>
          <cell r="BO228" t="str">
            <v>External</v>
          </cell>
          <cell r="BP228">
            <v>2</v>
          </cell>
          <cell r="BQ228">
            <v>163</v>
          </cell>
          <cell r="BR228">
            <v>112479043.90000001</v>
          </cell>
          <cell r="BS228">
            <v>112479043.90000001</v>
          </cell>
          <cell r="BT228">
            <v>112479043.90000001</v>
          </cell>
          <cell r="BU228">
            <v>112479043.90000001</v>
          </cell>
          <cell r="BW228" t="str">
            <v>Italy</v>
          </cell>
          <cell r="BX228" t="str">
            <v>Office</v>
          </cell>
          <cell r="BY228">
            <v>97.63</v>
          </cell>
        </row>
        <row r="229">
          <cell r="A229">
            <v>17172</v>
          </cell>
          <cell r="B229" t="str">
            <v>FONDS PENSION</v>
          </cell>
          <cell r="C229" t="str">
            <v>BNP PARIBAS REIM GERMANY</v>
          </cell>
          <cell r="D229" t="str">
            <v>Lilli-Palmer-Straße 2</v>
          </cell>
          <cell r="E229">
            <v>80636</v>
          </cell>
          <cell r="F229" t="str">
            <v>Muenchen</v>
          </cell>
          <cell r="G229" t="str">
            <v>Germany</v>
          </cell>
          <cell r="H229" t="str">
            <v>+49 89 12 173-0</v>
          </cell>
          <cell r="I229" t="str">
            <v>+49 89 12 173-119</v>
          </cell>
          <cell r="J229" t="str">
            <v>http://www.reim.bnpparibas.de</v>
          </cell>
          <cell r="N229" t="str">
            <v>Bianca Kraus</v>
          </cell>
          <cell r="O229" t="str">
            <v>bianca.kraus@bnpparibas.com</v>
          </cell>
          <cell r="P229" t="str">
            <v>+49 89 12 173-318</v>
          </cell>
          <cell r="Q229" t="str">
            <v>Germany</v>
          </cell>
          <cell r="R229" t="str">
            <v>EUR</v>
          </cell>
          <cell r="S229" t="str">
            <v>Local GAAP</v>
          </cell>
          <cell r="T229" t="str">
            <v>Monthly</v>
          </cell>
          <cell r="U229" t="str">
            <v>Annually</v>
          </cell>
          <cell r="W229" t="str">
            <v>INREV NAV</v>
          </cell>
          <cell r="X229" t="str">
            <v>Deloitte</v>
          </cell>
          <cell r="Y229" t="str">
            <v>Spezialfonds</v>
          </cell>
          <cell r="Z229" t="str">
            <v>Yes</v>
          </cell>
          <cell r="AA229" t="str">
            <v>Yes</v>
          </cell>
          <cell r="AC229" t="str">
            <v>Non-Listed Fund</v>
          </cell>
          <cell r="AD229" t="str">
            <v>Core</v>
          </cell>
          <cell r="AE229" t="str">
            <v>infinite</v>
          </cell>
          <cell r="AF229" t="str">
            <v>Open end</v>
          </cell>
          <cell r="AN229" t="str">
            <v>Institutional</v>
          </cell>
          <cell r="AO229" t="str">
            <v>&gt; 2</v>
          </cell>
          <cell r="AP229" t="str">
            <v>≥ 50%</v>
          </cell>
          <cell r="AQ229" t="str">
            <v>Europe</v>
          </cell>
          <cell r="AR229" t="str">
            <v>multi country</v>
          </cell>
          <cell r="AS229" t="str">
            <v>Western Europe</v>
          </cell>
          <cell r="AU229" t="str">
            <v>multi sector</v>
          </cell>
          <cell r="AY229">
            <v>1997</v>
          </cell>
          <cell r="BB229" t="str">
            <v>No</v>
          </cell>
          <cell r="BH229" t="str">
            <v>2020-12-31</v>
          </cell>
          <cell r="BI229">
            <v>568009573.34000003</v>
          </cell>
          <cell r="BJ229">
            <v>568009573.34000003</v>
          </cell>
          <cell r="BK229">
            <v>548198674.70000005</v>
          </cell>
          <cell r="BL229">
            <v>548198674.70000005</v>
          </cell>
          <cell r="BM229">
            <v>1.94</v>
          </cell>
          <cell r="BN229" t="str">
            <v>No</v>
          </cell>
          <cell r="BO229" t="str">
            <v>External</v>
          </cell>
          <cell r="BP229">
            <v>3</v>
          </cell>
          <cell r="BQ229">
            <v>28</v>
          </cell>
          <cell r="BR229">
            <v>435127056.79000002</v>
          </cell>
          <cell r="BS229">
            <v>435127056.79000002</v>
          </cell>
          <cell r="BT229">
            <v>435127056.79000002</v>
          </cell>
          <cell r="BU229">
            <v>435127056.79000002</v>
          </cell>
          <cell r="BV229" t="str">
            <v>No</v>
          </cell>
          <cell r="BW229" t="str">
            <v>France</v>
          </cell>
          <cell r="BX229" t="str">
            <v>Office</v>
          </cell>
          <cell r="BY229">
            <v>3.42</v>
          </cell>
          <cell r="BZ229" t="str">
            <v>Germany</v>
          </cell>
          <cell r="CA229" t="str">
            <v>Residential</v>
          </cell>
          <cell r="CB229">
            <v>32.81</v>
          </cell>
          <cell r="CC229" t="str">
            <v>Germany</v>
          </cell>
          <cell r="CD229" t="str">
            <v>Office</v>
          </cell>
          <cell r="CE229">
            <v>59.57</v>
          </cell>
        </row>
        <row r="230">
          <cell r="A230">
            <v>504</v>
          </cell>
          <cell r="B230" t="str">
            <v>FOSCA II</v>
          </cell>
          <cell r="C230" t="str">
            <v>F&amp;C REIT PROPERTY ASSET MANAGEMENT PLC AND OFI REIM</v>
          </cell>
          <cell r="D230" t="str">
            <v>26 avenue des Champs Elysées</v>
          </cell>
          <cell r="E230">
            <v>75008</v>
          </cell>
          <cell r="F230" t="str">
            <v>Paris</v>
          </cell>
          <cell r="G230" t="str">
            <v>France</v>
          </cell>
          <cell r="H230" t="str">
            <v>+33 (0) 1 43 59 85 82</v>
          </cell>
          <cell r="I230" t="str">
            <v>+33 (0) 1 43 59 85 71</v>
          </cell>
          <cell r="J230" t="str">
            <v>http://www.fandcreit.com  and  www.ofi-reim.fr</v>
          </cell>
          <cell r="K230" t="str">
            <v>Brigitte Sagnes</v>
          </cell>
          <cell r="L230" t="str">
            <v>brigitte.sagnes@ofi-reim.fr</v>
          </cell>
          <cell r="M230" t="str">
            <v>+33 (0) 1 43 59 85 70</v>
          </cell>
          <cell r="N230" t="str">
            <v>Iain Reichwald</v>
          </cell>
          <cell r="O230" t="str">
            <v>fosca2@bmorep.com</v>
          </cell>
          <cell r="P230" t="str">
            <v>+44 (0) 20 8892 8824</v>
          </cell>
          <cell r="Q230" t="str">
            <v>Luxembourg</v>
          </cell>
          <cell r="R230" t="str">
            <v>EUR</v>
          </cell>
          <cell r="S230" t="str">
            <v>IFRS</v>
          </cell>
          <cell r="T230" t="str">
            <v>Quarterly</v>
          </cell>
          <cell r="U230" t="str">
            <v>Twice per year</v>
          </cell>
          <cell r="V230" t="str">
            <v>RICS</v>
          </cell>
          <cell r="W230" t="str">
            <v>INREV NAV</v>
          </cell>
          <cell r="X230" t="str">
            <v>PriceWaterhouseCoopers</v>
          </cell>
          <cell r="Y230" t="str">
            <v>SOPARFI</v>
          </cell>
          <cell r="Z230" t="str">
            <v>No</v>
          </cell>
          <cell r="AA230" t="str">
            <v>Yes</v>
          </cell>
          <cell r="AB230">
            <v>3</v>
          </cell>
          <cell r="AC230" t="str">
            <v>Non-Listed Fund</v>
          </cell>
          <cell r="AD230" t="str">
            <v>Value-added</v>
          </cell>
          <cell r="AE230" t="str">
            <v>finite</v>
          </cell>
          <cell r="AF230" t="str">
            <v>Closed end</v>
          </cell>
          <cell r="AG230">
            <v>9</v>
          </cell>
          <cell r="AH230">
            <v>11</v>
          </cell>
          <cell r="AI230" t="str">
            <v>Net</v>
          </cell>
          <cell r="AJ230" t="str">
            <v>EPPFI</v>
          </cell>
          <cell r="AK230">
            <v>4</v>
          </cell>
          <cell r="AL230">
            <v>50</v>
          </cell>
          <cell r="AM230" t="str">
            <v>&gt; 40% - ≤ 60%</v>
          </cell>
          <cell r="AN230" t="str">
            <v>Institutional</v>
          </cell>
          <cell r="AO230" t="str">
            <v>&gt; 2</v>
          </cell>
          <cell r="AP230" t="str">
            <v>≥ 50%</v>
          </cell>
          <cell r="AQ230" t="str">
            <v>Europe</v>
          </cell>
          <cell r="AR230" t="str">
            <v>single country</v>
          </cell>
          <cell r="AT230" t="str">
            <v>France</v>
          </cell>
          <cell r="AU230" t="str">
            <v>single sector</v>
          </cell>
          <cell r="AV230" t="str">
            <v>Office</v>
          </cell>
          <cell r="AW230">
            <v>250000000</v>
          </cell>
          <cell r="AX230">
            <v>1000000000</v>
          </cell>
          <cell r="AY230">
            <v>2010</v>
          </cell>
          <cell r="AZ230">
            <v>2018</v>
          </cell>
          <cell r="BA230" t="str">
            <v>Yes</v>
          </cell>
          <cell r="BB230" t="str">
            <v>Yes</v>
          </cell>
          <cell r="BC230" t="str">
            <v>2 years</v>
          </cell>
          <cell r="BE230" t="str">
            <v>&lt; 60%</v>
          </cell>
          <cell r="BF230" t="str">
            <v>≤ 15%</v>
          </cell>
          <cell r="BG230" t="str">
            <v>&gt; 5 - ≤ 25%</v>
          </cell>
          <cell r="BH230" t="str">
            <v>2020-12-31</v>
          </cell>
          <cell r="BI230">
            <v>22793827</v>
          </cell>
          <cell r="BJ230">
            <v>22793827</v>
          </cell>
          <cell r="BK230">
            <v>17211625</v>
          </cell>
          <cell r="BL230">
            <v>17211625</v>
          </cell>
          <cell r="BM230">
            <v>0</v>
          </cell>
          <cell r="BN230" t="str">
            <v>No</v>
          </cell>
          <cell r="BO230" t="str">
            <v>External</v>
          </cell>
          <cell r="BP230">
            <v>17</v>
          </cell>
          <cell r="BQ230">
            <v>0</v>
          </cell>
          <cell r="BR230">
            <v>196500000</v>
          </cell>
          <cell r="BS230">
            <v>196500000</v>
          </cell>
          <cell r="BT230">
            <v>196500000</v>
          </cell>
          <cell r="BU230">
            <v>196500000</v>
          </cell>
          <cell r="BV230" t="str">
            <v>No</v>
          </cell>
          <cell r="BW230" t="str">
            <v>France</v>
          </cell>
          <cell r="BX230" t="str">
            <v>Office</v>
          </cell>
          <cell r="BY230">
            <v>0</v>
          </cell>
        </row>
        <row r="231">
          <cell r="A231">
            <v>578</v>
          </cell>
          <cell r="B231" t="str">
            <v>FPROP OPPORTUNITIES PLC</v>
          </cell>
          <cell r="C231" t="str">
            <v>FIRST PROPERTY GROUP</v>
          </cell>
          <cell r="D231" t="str">
            <v>35 Old Queen Street</v>
          </cell>
          <cell r="E231" t="str">
            <v>SW1H 9JA</v>
          </cell>
          <cell r="F231" t="str">
            <v>London</v>
          </cell>
          <cell r="G231" t="str">
            <v>United Kingdom</v>
          </cell>
          <cell r="H231" t="str">
            <v>+44 20 7340 0270</v>
          </cell>
          <cell r="J231" t="str">
            <v>http://www.fprop.com</v>
          </cell>
          <cell r="N231" t="str">
            <v>Jeremy Barkes</v>
          </cell>
          <cell r="O231" t="str">
            <v>jeremy.barkes@fprop.com</v>
          </cell>
          <cell r="P231" t="str">
            <v>+44 20 7340 0270</v>
          </cell>
          <cell r="Q231" t="str">
            <v>United Kingdom</v>
          </cell>
          <cell r="R231" t="str">
            <v>GBP</v>
          </cell>
          <cell r="S231" t="str">
            <v>IFRS</v>
          </cell>
          <cell r="T231" t="str">
            <v>Twice per year</v>
          </cell>
          <cell r="U231" t="str">
            <v>Twice per year</v>
          </cell>
          <cell r="V231" t="str">
            <v>RICS</v>
          </cell>
          <cell r="W231" t="str">
            <v>IFRS NAV</v>
          </cell>
          <cell r="X231" t="str">
            <v>Haines Watts</v>
          </cell>
          <cell r="Y231" t="str">
            <v>Investment company</v>
          </cell>
          <cell r="Z231" t="str">
            <v>No</v>
          </cell>
          <cell r="AA231" t="str">
            <v>No</v>
          </cell>
          <cell r="AC231" t="str">
            <v>Non-Listed Fund</v>
          </cell>
          <cell r="AD231" t="str">
            <v>Opportunity</v>
          </cell>
          <cell r="AE231" t="str">
            <v>finite</v>
          </cell>
          <cell r="AF231" t="str">
            <v>Closed end</v>
          </cell>
          <cell r="AG231">
            <v>15</v>
          </cell>
          <cell r="AI231" t="str">
            <v>Net</v>
          </cell>
          <cell r="AJ231" t="str">
            <v>15%</v>
          </cell>
          <cell r="AM231" t="str">
            <v>&gt; 60%</v>
          </cell>
          <cell r="AN231" t="str">
            <v>Institutional and Retail</v>
          </cell>
          <cell r="AQ231" t="str">
            <v>Europe</v>
          </cell>
          <cell r="AR231" t="str">
            <v>single country</v>
          </cell>
          <cell r="AT231" t="str">
            <v>Poland</v>
          </cell>
          <cell r="AU231" t="str">
            <v>multi sector</v>
          </cell>
          <cell r="AY231">
            <v>2010</v>
          </cell>
          <cell r="AZ231">
            <v>2020</v>
          </cell>
          <cell r="BA231" t="str">
            <v>Yes</v>
          </cell>
          <cell r="BB231" t="str">
            <v>No</v>
          </cell>
          <cell r="BD231" t="str">
            <v>Yes</v>
          </cell>
          <cell r="BE231" t="str">
            <v>≥ 60%</v>
          </cell>
          <cell r="BF231" t="str">
            <v>≤ 15%</v>
          </cell>
          <cell r="BH231" t="str">
            <v>2014-03-31</v>
          </cell>
          <cell r="BJ231">
            <v>0</v>
          </cell>
          <cell r="BL231">
            <v>0</v>
          </cell>
          <cell r="BS231">
            <v>0</v>
          </cell>
        </row>
        <row r="232">
          <cell r="A232">
            <v>17349</v>
          </cell>
          <cell r="B232" t="str">
            <v>FPROP PDR LP</v>
          </cell>
          <cell r="C232" t="str">
            <v>FIRST PROPERTY GROUP</v>
          </cell>
          <cell r="D232" t="str">
            <v>35 Old Queen Street</v>
          </cell>
          <cell r="E232" t="str">
            <v>SW1H 9JA</v>
          </cell>
          <cell r="F232" t="str">
            <v>London</v>
          </cell>
          <cell r="H232" t="str">
            <v>+44 20 7340 0270</v>
          </cell>
          <cell r="J232" t="str">
            <v>http://www.fprop.com</v>
          </cell>
          <cell r="N232" t="str">
            <v>Jeremy Barkes</v>
          </cell>
          <cell r="O232" t="str">
            <v>jeremy.barkes@fprop.com</v>
          </cell>
          <cell r="P232" t="str">
            <v>+44 20 7340 0270</v>
          </cell>
          <cell r="Q232" t="str">
            <v>United Kingdom</v>
          </cell>
          <cell r="R232" t="str">
            <v>GBP</v>
          </cell>
          <cell r="S232" t="str">
            <v>IFRS</v>
          </cell>
          <cell r="T232" t="str">
            <v>Quarterly</v>
          </cell>
          <cell r="V232" t="str">
            <v>Development strategy</v>
          </cell>
          <cell r="X232" t="str">
            <v>Moore Stephens</v>
          </cell>
          <cell r="Y232" t="str">
            <v>Limited Partnership</v>
          </cell>
          <cell r="Z232" t="str">
            <v>No</v>
          </cell>
          <cell r="AC232" t="str">
            <v>Non-Listed Fund</v>
          </cell>
          <cell r="AD232" t="str">
            <v>Opportunity</v>
          </cell>
          <cell r="AE232" t="str">
            <v>finite</v>
          </cell>
          <cell r="AF232" t="str">
            <v>Closed end</v>
          </cell>
          <cell r="AI232" t="str">
            <v>Net</v>
          </cell>
          <cell r="AL232">
            <v>0</v>
          </cell>
          <cell r="AN232" t="str">
            <v>Institutional and Retail</v>
          </cell>
          <cell r="AQ232" t="str">
            <v>Europe</v>
          </cell>
          <cell r="AR232" t="str">
            <v>single country</v>
          </cell>
          <cell r="AT232" t="str">
            <v>United Kingdom</v>
          </cell>
          <cell r="AU232" t="str">
            <v>single sector</v>
          </cell>
          <cell r="AV232" t="str">
            <v>Office</v>
          </cell>
          <cell r="AY232">
            <v>2013</v>
          </cell>
          <cell r="AZ232">
            <v>2016</v>
          </cell>
          <cell r="BA232" t="str">
            <v>Yes</v>
          </cell>
          <cell r="BB232" t="str">
            <v>No</v>
          </cell>
          <cell r="BD232" t="str">
            <v>Yes</v>
          </cell>
          <cell r="BE232" t="str">
            <v>&lt; 60%</v>
          </cell>
        </row>
        <row r="233">
          <cell r="A233">
            <v>18219</v>
          </cell>
          <cell r="B233" t="str">
            <v>FRENCH WHOLESALE STORES</v>
          </cell>
          <cell r="C233" t="str">
            <v>AMUNDI REAL ESTATE</v>
          </cell>
          <cell r="K233" t="str">
            <v>nicholas Holford</v>
          </cell>
          <cell r="Q233" t="str">
            <v>France</v>
          </cell>
          <cell r="R233" t="str">
            <v>EUR</v>
          </cell>
          <cell r="S233" t="str">
            <v>Local GAAP</v>
          </cell>
          <cell r="T233" t="str">
            <v>Quarterly</v>
          </cell>
          <cell r="U233" t="str">
            <v>Quarterly</v>
          </cell>
          <cell r="V233" t="str">
            <v>RICS</v>
          </cell>
          <cell r="W233" t="str">
            <v>Local</v>
          </cell>
          <cell r="X233" t="str">
            <v>KPMG</v>
          </cell>
          <cell r="Y233" t="str">
            <v>Real Estate Fund</v>
          </cell>
          <cell r="Z233" t="str">
            <v>Yes</v>
          </cell>
          <cell r="AA233" t="str">
            <v>Yes</v>
          </cell>
          <cell r="AB233">
            <v>0</v>
          </cell>
          <cell r="AC233" t="str">
            <v>Club deal</v>
          </cell>
          <cell r="AD233" t="str">
            <v>Core</v>
          </cell>
          <cell r="AE233" t="str">
            <v>finite</v>
          </cell>
          <cell r="AF233" t="str">
            <v>Closed end</v>
          </cell>
          <cell r="AG233">
            <v>10</v>
          </cell>
          <cell r="AH233">
            <v>11</v>
          </cell>
          <cell r="AI233" t="str">
            <v>Net</v>
          </cell>
          <cell r="AK233">
            <v>9</v>
          </cell>
          <cell r="AL233">
            <v>35</v>
          </cell>
          <cell r="AM233" t="str">
            <v>≤ 40%</v>
          </cell>
          <cell r="AN233" t="str">
            <v>Institutional</v>
          </cell>
          <cell r="AO233" t="str">
            <v>≤ 2</v>
          </cell>
          <cell r="AP233" t="str">
            <v>≥ 50%</v>
          </cell>
          <cell r="AQ233" t="str">
            <v>Europe</v>
          </cell>
          <cell r="AR233" t="str">
            <v>single country</v>
          </cell>
          <cell r="AT233" t="str">
            <v>France</v>
          </cell>
          <cell r="AU233" t="str">
            <v>single sector</v>
          </cell>
          <cell r="AV233" t="str">
            <v>Industrial / Logistics</v>
          </cell>
          <cell r="AW233">
            <v>150000000</v>
          </cell>
          <cell r="AX233">
            <v>250000000</v>
          </cell>
          <cell r="AY233">
            <v>2013</v>
          </cell>
          <cell r="AZ233">
            <v>2025</v>
          </cell>
          <cell r="BA233" t="str">
            <v>Yes</v>
          </cell>
          <cell r="BB233" t="str">
            <v>No</v>
          </cell>
          <cell r="BD233" t="str">
            <v>No</v>
          </cell>
          <cell r="BE233" t="str">
            <v>≥ 60%</v>
          </cell>
          <cell r="BF233" t="str">
            <v>≤ 15%</v>
          </cell>
          <cell r="BG233" t="str">
            <v>≤ 5%</v>
          </cell>
          <cell r="BH233" t="str">
            <v>2017-06-30</v>
          </cell>
          <cell r="BI233">
            <v>265400000</v>
          </cell>
          <cell r="BJ233">
            <v>265400000</v>
          </cell>
          <cell r="BK233">
            <v>177000000</v>
          </cell>
          <cell r="BL233">
            <v>177000000</v>
          </cell>
          <cell r="BM233">
            <v>31.8</v>
          </cell>
          <cell r="BN233" t="str">
            <v>No</v>
          </cell>
          <cell r="BO233" t="str">
            <v>External</v>
          </cell>
          <cell r="BP233">
            <v>2</v>
          </cell>
          <cell r="BQ233">
            <v>43</v>
          </cell>
          <cell r="BS233">
            <v>0</v>
          </cell>
          <cell r="BV233" t="str">
            <v>No</v>
          </cell>
        </row>
        <row r="234">
          <cell r="A234">
            <v>190</v>
          </cell>
          <cell r="B234" t="str">
            <v>FUNDO VIP</v>
          </cell>
          <cell r="C234" t="str">
            <v>SILVIP</v>
          </cell>
          <cell r="D234" t="str">
            <v>Avenida Fontes Pereira de Melo 6 - 7º Drtº</v>
          </cell>
          <cell r="E234" t="str">
            <v>1050 121</v>
          </cell>
          <cell r="F234" t="str">
            <v>Lisbon</v>
          </cell>
          <cell r="G234" t="str">
            <v>Portugal</v>
          </cell>
          <cell r="I234" t="str">
            <v>+351 21 354 9054</v>
          </cell>
          <cell r="J234" t="str">
            <v>http://www.silvip.pt</v>
          </cell>
          <cell r="K234" t="str">
            <v>Dr. António Augusto Serralha Ferreira</v>
          </cell>
          <cell r="L234" t="str">
            <v>fundo@silvip.pt</v>
          </cell>
          <cell r="M234" t="str">
            <v>+351 (0) 21 315 4651</v>
          </cell>
          <cell r="N234" t="str">
            <v>Joaquim Carlos Silveira</v>
          </cell>
          <cell r="O234" t="str">
            <v>fundo@silvip.pt</v>
          </cell>
          <cell r="P234" t="str">
            <v>+351 (0) 21 315 4651</v>
          </cell>
          <cell r="Q234" t="str">
            <v>Portugal</v>
          </cell>
          <cell r="R234" t="str">
            <v>EUR</v>
          </cell>
          <cell r="S234" t="str">
            <v>Local GAAP</v>
          </cell>
          <cell r="T234" t="str">
            <v>Twice per year</v>
          </cell>
          <cell r="U234" t="str">
            <v>Quarterly</v>
          </cell>
          <cell r="Y234" t="str">
            <v>Real Estate Fund</v>
          </cell>
          <cell r="AB234">
            <v>0</v>
          </cell>
          <cell r="AC234" t="str">
            <v>Non-Listed Fund</v>
          </cell>
          <cell r="AD234" t="str">
            <v>Value-added</v>
          </cell>
          <cell r="AE234" t="str">
            <v>infinite</v>
          </cell>
          <cell r="AF234" t="str">
            <v>Open end</v>
          </cell>
          <cell r="AG234">
            <v>5</v>
          </cell>
          <cell r="AH234">
            <v>5</v>
          </cell>
          <cell r="AL234">
            <v>0</v>
          </cell>
          <cell r="AM234" t="str">
            <v>≤ 40%</v>
          </cell>
          <cell r="AN234" t="str">
            <v>Institutional and Retail</v>
          </cell>
          <cell r="AQ234" t="str">
            <v>Europe</v>
          </cell>
          <cell r="AR234" t="str">
            <v>single country</v>
          </cell>
          <cell r="AT234" t="str">
            <v>Portugal</v>
          </cell>
          <cell r="AU234" t="str">
            <v>multi sector</v>
          </cell>
          <cell r="AY234">
            <v>1987</v>
          </cell>
          <cell r="BH234" t="str">
            <v>2012-06-30</v>
          </cell>
          <cell r="BI234">
            <v>293000000</v>
          </cell>
          <cell r="BJ234">
            <v>293000000</v>
          </cell>
          <cell r="BK234">
            <v>293000000</v>
          </cell>
          <cell r="BL234">
            <v>293000000</v>
          </cell>
          <cell r="BQ234">
            <v>49</v>
          </cell>
          <cell r="BS234">
            <v>0</v>
          </cell>
          <cell r="BV234" t="str">
            <v>Yes</v>
          </cell>
        </row>
        <row r="235">
          <cell r="A235">
            <v>192</v>
          </cell>
          <cell r="B235" t="str">
            <v>GENERALI REAL ESTATE FUND</v>
          </cell>
          <cell r="C235" t="str">
            <v>GENERALI REAL ESTATE FUND</v>
          </cell>
          <cell r="D235" t="str">
            <v>5, Allee Scheffer</v>
          </cell>
          <cell r="E235" t="str">
            <v>L-2520</v>
          </cell>
          <cell r="F235" t="str">
            <v>Luxembourg</v>
          </cell>
          <cell r="G235" t="str">
            <v>Luxembourg</v>
          </cell>
          <cell r="H235" t="str">
            <v>+352 26 92 30 47 23</v>
          </cell>
          <cell r="I235" t="str">
            <v>+352 26 92 30 48 27</v>
          </cell>
          <cell r="J235" t="str">
            <v>http://www.generali.com</v>
          </cell>
          <cell r="K235" t="str">
            <v>Ilaria Drescher</v>
          </cell>
          <cell r="L235" t="str">
            <v>ilaria.drescher@generali-investments.lu</v>
          </cell>
          <cell r="M235" t="str">
            <v>+352 26 92 30 47 31</v>
          </cell>
          <cell r="N235" t="str">
            <v>Cristiano Stampa</v>
          </cell>
          <cell r="O235" t="str">
            <v>cristiano.stampa@generali.com</v>
          </cell>
          <cell r="P235" t="str">
            <v>+39 335 7409 042</v>
          </cell>
          <cell r="Q235" t="str">
            <v>Luxembourg</v>
          </cell>
          <cell r="R235" t="str">
            <v>EUR</v>
          </cell>
          <cell r="S235" t="str">
            <v>IFRS</v>
          </cell>
          <cell r="T235" t="str">
            <v>Twice per year</v>
          </cell>
          <cell r="U235" t="str">
            <v>Annually</v>
          </cell>
          <cell r="X235" t="str">
            <v>PriceWaterhouseCoopers</v>
          </cell>
          <cell r="Y235" t="str">
            <v>SICAV</v>
          </cell>
          <cell r="Z235" t="str">
            <v>No</v>
          </cell>
          <cell r="AA235" t="str">
            <v>No</v>
          </cell>
          <cell r="AB235">
            <v>0</v>
          </cell>
          <cell r="AC235" t="str">
            <v>Non-Listed Fund</v>
          </cell>
          <cell r="AD235" t="str">
            <v>Value-added</v>
          </cell>
          <cell r="AE235" t="str">
            <v>finite</v>
          </cell>
          <cell r="AF235" t="str">
            <v>Closed end</v>
          </cell>
          <cell r="AG235">
            <v>10</v>
          </cell>
          <cell r="AH235">
            <v>10</v>
          </cell>
          <cell r="AI235" t="str">
            <v>Net</v>
          </cell>
          <cell r="AJ235" t="str">
            <v>None</v>
          </cell>
          <cell r="AL235">
            <v>50</v>
          </cell>
          <cell r="AM235" t="str">
            <v>&gt; 40% - ≤ 60%</v>
          </cell>
          <cell r="AN235" t="str">
            <v>Institutional</v>
          </cell>
          <cell r="AO235" t="str">
            <v>&gt; 2</v>
          </cell>
          <cell r="AP235" t="str">
            <v>≥ 50%</v>
          </cell>
          <cell r="AQ235" t="str">
            <v>Global</v>
          </cell>
          <cell r="AR235" t="str">
            <v>multi country</v>
          </cell>
          <cell r="AU235" t="str">
            <v>multi sector</v>
          </cell>
          <cell r="AW235">
            <v>500000000</v>
          </cell>
          <cell r="AX235">
            <v>1000000000</v>
          </cell>
          <cell r="AY235">
            <v>2006</v>
          </cell>
          <cell r="AZ235">
            <v>2016</v>
          </cell>
          <cell r="BA235" t="str">
            <v>Yes</v>
          </cell>
          <cell r="BB235" t="str">
            <v>Yes</v>
          </cell>
          <cell r="BC235" t="str">
            <v>1 year</v>
          </cell>
          <cell r="BH235" t="str">
            <v>2008-06-30</v>
          </cell>
          <cell r="BI235">
            <v>125000000</v>
          </cell>
          <cell r="BJ235">
            <v>125000000</v>
          </cell>
          <cell r="BK235">
            <v>59000000</v>
          </cell>
          <cell r="BL235">
            <v>59000000</v>
          </cell>
          <cell r="BP235">
            <v>11</v>
          </cell>
          <cell r="BQ235">
            <v>1</v>
          </cell>
          <cell r="BR235">
            <v>500000000</v>
          </cell>
          <cell r="BS235">
            <v>500000000</v>
          </cell>
          <cell r="BU235">
            <v>0</v>
          </cell>
          <cell r="BV235" t="str">
            <v>No</v>
          </cell>
        </row>
        <row r="236">
          <cell r="A236">
            <v>18282</v>
          </cell>
          <cell r="B236" t="str">
            <v>GENESTA NORDIC REAL ESTATE FUND II FCP-SIF</v>
          </cell>
          <cell r="C236" t="str">
            <v>GENESTA NORDIC PROPERTY</v>
          </cell>
          <cell r="D236" t="str">
            <v>Jakobsbergsgatan 16</v>
          </cell>
          <cell r="E236">
            <v>11144</v>
          </cell>
          <cell r="F236" t="str">
            <v>Stockholm</v>
          </cell>
          <cell r="G236" t="str">
            <v>Sweden</v>
          </cell>
          <cell r="K236" t="str">
            <v>Allan Strand Oleson</v>
          </cell>
          <cell r="L236" t="str">
            <v>Allan.Strand-Olesen@genesta.dk</v>
          </cell>
          <cell r="N236" t="str">
            <v>Philip Björk</v>
          </cell>
          <cell r="O236" t="str">
            <v>philip.bjork@genesta.se</v>
          </cell>
          <cell r="P236" t="str">
            <v>+46701440786</v>
          </cell>
          <cell r="Q236" t="str">
            <v>Luxembourg</v>
          </cell>
          <cell r="R236" t="str">
            <v>EUR</v>
          </cell>
          <cell r="S236" t="str">
            <v>IFRS</v>
          </cell>
          <cell r="T236" t="str">
            <v>Quarterly</v>
          </cell>
          <cell r="U236" t="str">
            <v>Quarterly</v>
          </cell>
          <cell r="V236" t="str">
            <v>RICS</v>
          </cell>
          <cell r="W236" t="str">
            <v>INREV NAV</v>
          </cell>
          <cell r="X236" t="str">
            <v>EY</v>
          </cell>
          <cell r="Y236" t="str">
            <v>Real Estate Fund</v>
          </cell>
          <cell r="Z236" t="str">
            <v>Yes</v>
          </cell>
          <cell r="AA236" t="str">
            <v>Yes</v>
          </cell>
          <cell r="AB236">
            <v>2</v>
          </cell>
          <cell r="AC236" t="str">
            <v>Non-Listed Fund</v>
          </cell>
          <cell r="AD236" t="str">
            <v>Value-added</v>
          </cell>
          <cell r="AE236" t="str">
            <v>finite</v>
          </cell>
          <cell r="AF236" t="str">
            <v>Closed end</v>
          </cell>
          <cell r="AG236">
            <v>13</v>
          </cell>
          <cell r="AH236">
            <v>14.5</v>
          </cell>
          <cell r="AI236" t="str">
            <v>Net</v>
          </cell>
          <cell r="AJ236" t="str">
            <v>N/A</v>
          </cell>
          <cell r="AM236" t="str">
            <v>&gt; 40% - ≤ 60%</v>
          </cell>
          <cell r="AN236" t="str">
            <v>Institutional</v>
          </cell>
          <cell r="AO236" t="str">
            <v>&gt; 2</v>
          </cell>
          <cell r="AP236" t="str">
            <v>≥ 50%</v>
          </cell>
          <cell r="AQ236" t="str">
            <v>Europe</v>
          </cell>
          <cell r="AR236" t="str">
            <v>multi country</v>
          </cell>
          <cell r="AS236" t="str">
            <v>Nordic</v>
          </cell>
          <cell r="AU236" t="str">
            <v>multi sector</v>
          </cell>
          <cell r="AW236">
            <v>373000000</v>
          </cell>
          <cell r="AX236">
            <v>746000000</v>
          </cell>
          <cell r="AY236">
            <v>2015</v>
          </cell>
          <cell r="AZ236">
            <v>2022</v>
          </cell>
          <cell r="BA236" t="str">
            <v>Yes</v>
          </cell>
          <cell r="BB236" t="str">
            <v>Yes</v>
          </cell>
          <cell r="BC236" t="str">
            <v>1+1 years</v>
          </cell>
          <cell r="BH236" t="str">
            <v>2020-12-31</v>
          </cell>
          <cell r="BI236">
            <v>509482500</v>
          </cell>
          <cell r="BJ236">
            <v>509482500</v>
          </cell>
          <cell r="BK236">
            <v>236237203</v>
          </cell>
          <cell r="BL236">
            <v>236237203</v>
          </cell>
          <cell r="BM236">
            <v>42.75</v>
          </cell>
          <cell r="BN236" t="str">
            <v>No</v>
          </cell>
          <cell r="BO236" t="str">
            <v>External</v>
          </cell>
          <cell r="BP236">
            <v>15</v>
          </cell>
          <cell r="BQ236">
            <v>8</v>
          </cell>
          <cell r="BR236">
            <v>373200000</v>
          </cell>
          <cell r="BS236">
            <v>373200000</v>
          </cell>
          <cell r="BT236">
            <v>325050000</v>
          </cell>
          <cell r="BU236">
            <v>325050000</v>
          </cell>
          <cell r="BV236" t="str">
            <v>No</v>
          </cell>
          <cell r="BW236" t="str">
            <v>Finland</v>
          </cell>
          <cell r="BX236" t="str">
            <v>Office</v>
          </cell>
          <cell r="BY236">
            <v>8.5</v>
          </cell>
          <cell r="BZ236" t="str">
            <v>Finland</v>
          </cell>
          <cell r="CA236" t="str">
            <v>Office</v>
          </cell>
          <cell r="CB236">
            <v>6.82</v>
          </cell>
          <cell r="CC236" t="str">
            <v>Finland</v>
          </cell>
          <cell r="CD236" t="str">
            <v>Office</v>
          </cell>
          <cell r="CE236">
            <v>9.67</v>
          </cell>
          <cell r="CF236" t="str">
            <v>Finland</v>
          </cell>
          <cell r="CG236" t="str">
            <v>Office</v>
          </cell>
          <cell r="CH236">
            <v>8.85</v>
          </cell>
          <cell r="CI236" t="str">
            <v>Denmark</v>
          </cell>
          <cell r="CJ236" t="str">
            <v>Office</v>
          </cell>
          <cell r="CK236">
            <v>33.04</v>
          </cell>
          <cell r="CL236" t="str">
            <v>Sweden</v>
          </cell>
          <cell r="CM236" t="str">
            <v>Retail</v>
          </cell>
          <cell r="CN236">
            <v>10.029999999999999</v>
          </cell>
          <cell r="CO236" t="str">
            <v>Sweden</v>
          </cell>
          <cell r="CP236" t="str">
            <v>Office</v>
          </cell>
          <cell r="CQ236">
            <v>16.47</v>
          </cell>
          <cell r="CR236" t="str">
            <v>Sweden</v>
          </cell>
          <cell r="CS236" t="str">
            <v>Industrial / Logistics</v>
          </cell>
          <cell r="CT236">
            <v>6.62</v>
          </cell>
        </row>
        <row r="237">
          <cell r="A237">
            <v>19268</v>
          </cell>
          <cell r="B237" t="str">
            <v>GENESTA NORDIC REAL ESTATE FUND III, FCP-RAIF</v>
          </cell>
          <cell r="C237" t="str">
            <v>GENESTA NORDIC CAPITAL FUND MANAGEMENT S.à R.L.</v>
          </cell>
          <cell r="G237" t="str">
            <v>Luxembourg</v>
          </cell>
          <cell r="K237" t="str">
            <v>Allan Strand Oleson</v>
          </cell>
          <cell r="L237" t="str">
            <v>allan.strand-olesen@genesta.dk</v>
          </cell>
          <cell r="N237" t="str">
            <v>Philip Björk</v>
          </cell>
          <cell r="O237" t="str">
            <v>philip.bjork@genesta.se</v>
          </cell>
          <cell r="P237" t="str">
            <v>+46701440786</v>
          </cell>
          <cell r="Q237" t="str">
            <v>Luxembourg</v>
          </cell>
          <cell r="R237" t="str">
            <v>EUR</v>
          </cell>
          <cell r="S237" t="str">
            <v>IFRS</v>
          </cell>
          <cell r="T237" t="str">
            <v>Quarterly</v>
          </cell>
          <cell r="U237" t="str">
            <v>Quarterly</v>
          </cell>
          <cell r="V237" t="str">
            <v>RICS</v>
          </cell>
          <cell r="W237" t="str">
            <v>INREV NAV</v>
          </cell>
          <cell r="X237" t="str">
            <v>EY</v>
          </cell>
          <cell r="Y237" t="str">
            <v>Real Estate Fund</v>
          </cell>
          <cell r="Z237" t="str">
            <v>Yes</v>
          </cell>
          <cell r="AA237" t="str">
            <v>Yes</v>
          </cell>
          <cell r="AC237" t="str">
            <v>Non-Listed Fund</v>
          </cell>
          <cell r="AD237" t="str">
            <v>Value-added</v>
          </cell>
          <cell r="AE237" t="str">
            <v>finite</v>
          </cell>
          <cell r="AF237" t="str">
            <v>Closed end</v>
          </cell>
          <cell r="AG237">
            <v>12</v>
          </cell>
          <cell r="AH237">
            <v>14</v>
          </cell>
          <cell r="AI237" t="str">
            <v>Net</v>
          </cell>
          <cell r="AM237" t="str">
            <v>&gt; 40% - ≤ 60%</v>
          </cell>
          <cell r="AN237" t="str">
            <v>Institutional</v>
          </cell>
          <cell r="AO237" t="str">
            <v>&gt; 2</v>
          </cell>
          <cell r="AP237" t="str">
            <v>≥ 50%</v>
          </cell>
          <cell r="AQ237" t="str">
            <v>Europe</v>
          </cell>
          <cell r="AR237" t="str">
            <v>multi country</v>
          </cell>
          <cell r="AS237" t="str">
            <v>Nordic</v>
          </cell>
          <cell r="AU237" t="str">
            <v>multi sector</v>
          </cell>
          <cell r="AW237">
            <v>500000000</v>
          </cell>
          <cell r="AX237">
            <v>800000000</v>
          </cell>
          <cell r="AY237">
            <v>2019</v>
          </cell>
          <cell r="AZ237">
            <v>2026</v>
          </cell>
          <cell r="BA237" t="str">
            <v>Yes</v>
          </cell>
          <cell r="BB237" t="str">
            <v>Yes</v>
          </cell>
          <cell r="BC237" t="str">
            <v>1+1 years</v>
          </cell>
          <cell r="BH237" t="str">
            <v>2020-12-31</v>
          </cell>
          <cell r="BI237">
            <v>140079973</v>
          </cell>
          <cell r="BJ237">
            <v>140079973</v>
          </cell>
          <cell r="BK237">
            <v>68196477</v>
          </cell>
          <cell r="BL237">
            <v>68196477</v>
          </cell>
          <cell r="BM237">
            <v>46.17</v>
          </cell>
          <cell r="BN237" t="str">
            <v>No</v>
          </cell>
          <cell r="BO237" t="str">
            <v>External</v>
          </cell>
          <cell r="BP237">
            <v>12</v>
          </cell>
          <cell r="BQ237">
            <v>2</v>
          </cell>
          <cell r="BR237">
            <v>373500000</v>
          </cell>
          <cell r="BS237">
            <v>373500000</v>
          </cell>
          <cell r="BT237">
            <v>62594150</v>
          </cell>
          <cell r="BU237">
            <v>62594150</v>
          </cell>
          <cell r="BV237" t="str">
            <v>Yes</v>
          </cell>
          <cell r="BW237" t="str">
            <v>Sweden</v>
          </cell>
          <cell r="BX237" t="str">
            <v>Office</v>
          </cell>
          <cell r="BY237">
            <v>100</v>
          </cell>
        </row>
        <row r="238">
          <cell r="A238">
            <v>199</v>
          </cell>
          <cell r="B238" t="str">
            <v>GESTIMO</v>
          </cell>
          <cell r="C238" t="str">
            <v>IMORENDIMENTO</v>
          </cell>
          <cell r="D238" t="str">
            <v>Praca Bom Sucesson 127, Esc 210</v>
          </cell>
          <cell r="E238" t="str">
            <v>4050 146</v>
          </cell>
          <cell r="F238" t="str">
            <v>Porto</v>
          </cell>
          <cell r="G238" t="str">
            <v>Portugal</v>
          </cell>
          <cell r="H238" t="str">
            <v>+351 22 607 5660</v>
          </cell>
          <cell r="I238" t="str">
            <v>+351 22 607 5661</v>
          </cell>
          <cell r="J238" t="str">
            <v>http://www.imorendimento.com</v>
          </cell>
          <cell r="N238" t="str">
            <v>Armando Lacerda Queiroz</v>
          </cell>
          <cell r="O238" t="str">
            <v>imorendimento@imorendimento.pt</v>
          </cell>
          <cell r="P238" t="str">
            <v>+351 607 5660</v>
          </cell>
          <cell r="Q238" t="str">
            <v>Portugal</v>
          </cell>
          <cell r="R238" t="str">
            <v>EUR</v>
          </cell>
          <cell r="T238" t="str">
            <v>Annually</v>
          </cell>
          <cell r="U238" t="str">
            <v>Quarterly</v>
          </cell>
          <cell r="X238" t="str">
            <v>KPMG</v>
          </cell>
          <cell r="Y238" t="str">
            <v>Real Estate Fund</v>
          </cell>
          <cell r="AB238">
            <v>0</v>
          </cell>
          <cell r="AC238" t="str">
            <v>Non-Listed Fund</v>
          </cell>
          <cell r="AD238" t="str">
            <v>Value-added</v>
          </cell>
          <cell r="AE238" t="str">
            <v>finite</v>
          </cell>
          <cell r="AF238" t="str">
            <v>Closed end</v>
          </cell>
          <cell r="AG238">
            <v>0</v>
          </cell>
          <cell r="AH238">
            <v>11</v>
          </cell>
          <cell r="AN238" t="str">
            <v>Institutional</v>
          </cell>
          <cell r="AQ238" t="str">
            <v>Europe</v>
          </cell>
          <cell r="AR238" t="str">
            <v>single country</v>
          </cell>
          <cell r="AT238" t="str">
            <v>Portugal</v>
          </cell>
          <cell r="AU238" t="str">
            <v>multi sector</v>
          </cell>
          <cell r="AY238">
            <v>1995</v>
          </cell>
          <cell r="AZ238">
            <v>2014</v>
          </cell>
          <cell r="BH238" t="str">
            <v>2010-12-31</v>
          </cell>
          <cell r="BJ238">
            <v>0</v>
          </cell>
          <cell r="BK238">
            <v>11000000</v>
          </cell>
          <cell r="BL238">
            <v>11000000</v>
          </cell>
          <cell r="BP238">
            <v>5</v>
          </cell>
          <cell r="BQ238">
            <v>30</v>
          </cell>
          <cell r="BS238">
            <v>0</v>
          </cell>
          <cell r="BV238" t="str">
            <v>No</v>
          </cell>
        </row>
        <row r="239">
          <cell r="A239">
            <v>17487</v>
          </cell>
          <cell r="B239" t="str">
            <v>GLL GMBH &amp; CO. OFFICE II KG</v>
          </cell>
          <cell r="C239" t="str">
            <v>GLL REAL ESTATE PARTNERS</v>
          </cell>
          <cell r="D239" t="str">
            <v>Lindwurmstrasse 76</v>
          </cell>
          <cell r="E239">
            <v>80337</v>
          </cell>
          <cell r="F239" t="str">
            <v>Munich</v>
          </cell>
          <cell r="G239" t="str">
            <v>Germany</v>
          </cell>
          <cell r="H239" t="str">
            <v>+49 (0) 89 72610 3930</v>
          </cell>
          <cell r="I239" t="str">
            <v>+49 (0) 89 72610 3945</v>
          </cell>
          <cell r="J239" t="str">
            <v>http://www.gll-partners.com</v>
          </cell>
          <cell r="K239" t="str">
            <v>Alexander Kratzel</v>
          </cell>
          <cell r="L239" t="str">
            <v>alexander.kratzel@gll-partners.com</v>
          </cell>
          <cell r="M239" t="str">
            <v>+49 (0) 89 72610 3937</v>
          </cell>
          <cell r="N239" t="str">
            <v xml:space="preserve">Brigitte Schmale </v>
          </cell>
          <cell r="O239" t="str">
            <v>Brigitte.Schmale@gll-partners.com</v>
          </cell>
          <cell r="P239" t="str">
            <v>+49 (0) 89 72610 3983</v>
          </cell>
          <cell r="Q239" t="str">
            <v>Germany</v>
          </cell>
          <cell r="R239" t="str">
            <v>EUR</v>
          </cell>
          <cell r="S239" t="str">
            <v>IFRS</v>
          </cell>
          <cell r="T239" t="str">
            <v>Quarterly</v>
          </cell>
          <cell r="U239" t="str">
            <v>Annually</v>
          </cell>
          <cell r="X239" t="str">
            <v>PWC</v>
          </cell>
          <cell r="Y239" t="str">
            <v>Limited Partnership</v>
          </cell>
          <cell r="Z239" t="str">
            <v>Yes</v>
          </cell>
          <cell r="AA239" t="str">
            <v>Yes</v>
          </cell>
          <cell r="AB239">
            <v>0</v>
          </cell>
          <cell r="AC239" t="str">
            <v>Non-Listed Fund</v>
          </cell>
          <cell r="AD239" t="str">
            <v>Core</v>
          </cell>
          <cell r="AE239" t="str">
            <v>finite</v>
          </cell>
          <cell r="AF239" t="str">
            <v>Closed end</v>
          </cell>
          <cell r="AG239">
            <v>9</v>
          </cell>
          <cell r="AH239">
            <v>9</v>
          </cell>
          <cell r="AI239" t="str">
            <v>Net</v>
          </cell>
          <cell r="AJ239" t="str">
            <v>None</v>
          </cell>
          <cell r="AK239">
            <v>6</v>
          </cell>
          <cell r="AL239">
            <v>50</v>
          </cell>
          <cell r="AM239" t="str">
            <v>&gt; 40% - ≤ 60%</v>
          </cell>
          <cell r="AN239" t="str">
            <v>Institutional</v>
          </cell>
          <cell r="AO239" t="str">
            <v>&gt; 2</v>
          </cell>
          <cell r="AP239" t="str">
            <v>≥ 50%</v>
          </cell>
          <cell r="AQ239" t="str">
            <v>Global</v>
          </cell>
          <cell r="AR239" t="str">
            <v>multi country</v>
          </cell>
          <cell r="AU239" t="str">
            <v>single sector</v>
          </cell>
          <cell r="AV239" t="str">
            <v>Office</v>
          </cell>
          <cell r="AW239">
            <v>400000000</v>
          </cell>
          <cell r="AX239">
            <v>750000000</v>
          </cell>
          <cell r="AY239">
            <v>2010</v>
          </cell>
          <cell r="AZ239">
            <v>2019</v>
          </cell>
          <cell r="BA239" t="str">
            <v>Yes</v>
          </cell>
          <cell r="BB239" t="str">
            <v>No</v>
          </cell>
          <cell r="BH239" t="str">
            <v>2019-03-31</v>
          </cell>
          <cell r="BI239">
            <v>257007424</v>
          </cell>
          <cell r="BJ239">
            <v>257007424</v>
          </cell>
          <cell r="BK239">
            <v>145312290</v>
          </cell>
          <cell r="BL239">
            <v>145312290</v>
          </cell>
          <cell r="BM239">
            <v>0</v>
          </cell>
          <cell r="BN239" t="str">
            <v>No</v>
          </cell>
          <cell r="BO239" t="str">
            <v>External</v>
          </cell>
          <cell r="BP239">
            <v>22</v>
          </cell>
          <cell r="BQ239">
            <v>3</v>
          </cell>
          <cell r="BR239">
            <v>391261000</v>
          </cell>
          <cell r="BS239">
            <v>391261000</v>
          </cell>
          <cell r="BT239">
            <v>225485162</v>
          </cell>
          <cell r="BU239">
            <v>225485162</v>
          </cell>
          <cell r="BV239" t="str">
            <v>No</v>
          </cell>
          <cell r="BW239" t="str">
            <v>United States of America</v>
          </cell>
          <cell r="BX239" t="str">
            <v>Office</v>
          </cell>
          <cell r="BY239">
            <v>26.55</v>
          </cell>
          <cell r="BZ239" t="str">
            <v>United States of America</v>
          </cell>
          <cell r="CA239" t="str">
            <v>Office</v>
          </cell>
          <cell r="CB239">
            <v>39.840000000000003</v>
          </cell>
          <cell r="CC239" t="str">
            <v>Belgium</v>
          </cell>
          <cell r="CD239" t="str">
            <v>Office</v>
          </cell>
          <cell r="CE239">
            <v>33.61</v>
          </cell>
        </row>
        <row r="240">
          <cell r="A240">
            <v>200</v>
          </cell>
          <cell r="B240" t="str">
            <v>GLL GMBH &amp; CO. OFFICE KG</v>
          </cell>
          <cell r="C240" t="str">
            <v>GLL REAL ESTATE PARTNERS</v>
          </cell>
          <cell r="D240" t="str">
            <v>Lindwurmstrasse 76</v>
          </cell>
          <cell r="E240">
            <v>80337</v>
          </cell>
          <cell r="F240" t="str">
            <v>Munich</v>
          </cell>
          <cell r="G240" t="str">
            <v>Germany</v>
          </cell>
          <cell r="H240" t="str">
            <v>+49 (0) 89 72610 3930</v>
          </cell>
          <cell r="I240" t="str">
            <v>+49 (0) 89 72610 3945</v>
          </cell>
          <cell r="J240" t="str">
            <v>http://www.gll-partners.com</v>
          </cell>
          <cell r="K240" t="str">
            <v>Alexander Kratzel</v>
          </cell>
          <cell r="L240" t="str">
            <v>alexander.kratzel@gll-partners.com</v>
          </cell>
          <cell r="M240" t="str">
            <v>+49 (0) 89 72610 3937</v>
          </cell>
          <cell r="N240" t="str">
            <v>Brigitte Schmale</v>
          </cell>
          <cell r="O240" t="str">
            <v>Brigitte.Schmale@gll-partners.com</v>
          </cell>
          <cell r="P240" t="str">
            <v>+49 (0) 89 72610 3983</v>
          </cell>
          <cell r="Q240" t="str">
            <v>Germany</v>
          </cell>
          <cell r="R240" t="str">
            <v>EUR</v>
          </cell>
          <cell r="S240" t="str">
            <v>Local GAAP</v>
          </cell>
          <cell r="T240" t="str">
            <v>Quarterly</v>
          </cell>
          <cell r="X240" t="str">
            <v>KPMG</v>
          </cell>
          <cell r="Y240" t="str">
            <v>Limited Partnership</v>
          </cell>
          <cell r="Z240" t="str">
            <v>No</v>
          </cell>
          <cell r="AA240" t="str">
            <v>Yes</v>
          </cell>
          <cell r="AB240">
            <v>0</v>
          </cell>
          <cell r="AC240" t="str">
            <v>Non-Listed Fund</v>
          </cell>
          <cell r="AD240" t="str">
            <v>Core</v>
          </cell>
          <cell r="AE240" t="str">
            <v>finite</v>
          </cell>
          <cell r="AF240" t="str">
            <v>Closed end</v>
          </cell>
          <cell r="AG240">
            <v>10</v>
          </cell>
          <cell r="AH240">
            <v>10</v>
          </cell>
          <cell r="AI240" t="str">
            <v>Net</v>
          </cell>
          <cell r="AJ240" t="str">
            <v>None</v>
          </cell>
          <cell r="AK240">
            <v>6</v>
          </cell>
          <cell r="AL240">
            <v>50</v>
          </cell>
          <cell r="AM240" t="str">
            <v>&gt; 40% - ≤ 60%</v>
          </cell>
          <cell r="AN240" t="str">
            <v>Institutional</v>
          </cell>
          <cell r="AO240" t="str">
            <v>&gt; 2</v>
          </cell>
          <cell r="AP240" t="str">
            <v>≥ 50%</v>
          </cell>
          <cell r="AQ240" t="str">
            <v>Global</v>
          </cell>
          <cell r="AR240" t="str">
            <v>multi country</v>
          </cell>
          <cell r="AU240" t="str">
            <v>single sector</v>
          </cell>
          <cell r="AV240" t="str">
            <v>Office</v>
          </cell>
          <cell r="AW240">
            <v>300000000</v>
          </cell>
          <cell r="AX240">
            <v>600000000</v>
          </cell>
          <cell r="AY240">
            <v>2002</v>
          </cell>
          <cell r="AZ240">
            <v>2014</v>
          </cell>
          <cell r="BA240" t="str">
            <v>Yes</v>
          </cell>
          <cell r="BB240" t="str">
            <v>No</v>
          </cell>
          <cell r="BH240" t="str">
            <v>2019-09-30</v>
          </cell>
          <cell r="BI240">
            <v>13897835.4</v>
          </cell>
          <cell r="BJ240">
            <v>13897835.4</v>
          </cell>
          <cell r="BK240">
            <v>13897835.4</v>
          </cell>
          <cell r="BL240">
            <v>13897835.4</v>
          </cell>
          <cell r="BM240">
            <v>0</v>
          </cell>
          <cell r="BN240" t="str">
            <v>No</v>
          </cell>
          <cell r="BO240" t="str">
            <v>External</v>
          </cell>
          <cell r="BP240">
            <v>16</v>
          </cell>
          <cell r="BQ240">
            <v>2</v>
          </cell>
          <cell r="BR240">
            <v>303810000</v>
          </cell>
          <cell r="BS240">
            <v>303810000</v>
          </cell>
          <cell r="BT240">
            <v>151221641</v>
          </cell>
          <cell r="BU240">
            <v>151221641</v>
          </cell>
          <cell r="BV240" t="str">
            <v>No</v>
          </cell>
        </row>
        <row r="241">
          <cell r="A241">
            <v>201</v>
          </cell>
          <cell r="B241" t="str">
            <v>GLL GMBH &amp; CO. RETAIL KG</v>
          </cell>
          <cell r="C241" t="str">
            <v>GLL REAL ESTATE PARTNERS</v>
          </cell>
          <cell r="D241" t="str">
            <v>Lindwurmstrasse 76</v>
          </cell>
          <cell r="E241">
            <v>80337</v>
          </cell>
          <cell r="F241" t="str">
            <v>Munich</v>
          </cell>
          <cell r="G241" t="str">
            <v>Germany</v>
          </cell>
          <cell r="H241" t="str">
            <v>+49 (0) 89 72610 3930</v>
          </cell>
          <cell r="I241" t="str">
            <v>+49 (0) 89 72610 3945</v>
          </cell>
          <cell r="J241" t="str">
            <v>http://www.gll-partners.com</v>
          </cell>
          <cell r="K241" t="str">
            <v>Kornelia.Kampmeier</v>
          </cell>
          <cell r="L241" t="str">
            <v>Kornelia.Kampmeier@gll-partners.com</v>
          </cell>
          <cell r="M241" t="str">
            <v>+49 (0) 89 72610 3938</v>
          </cell>
          <cell r="N241" t="str">
            <v>Kornelia Kampmeier</v>
          </cell>
          <cell r="O241" t="str">
            <v>Kornelia.Kampmeier@gll-partners.com</v>
          </cell>
          <cell r="P241" t="str">
            <v>+49 (0) 89 72610 3938</v>
          </cell>
          <cell r="Q241" t="str">
            <v>Germany</v>
          </cell>
          <cell r="R241" t="str">
            <v>EUR</v>
          </cell>
          <cell r="S241" t="str">
            <v>Local GAAP</v>
          </cell>
          <cell r="T241" t="str">
            <v>Quarterly</v>
          </cell>
          <cell r="X241" t="str">
            <v>KPMG</v>
          </cell>
          <cell r="Y241" t="str">
            <v>Limited Partnership</v>
          </cell>
          <cell r="Z241" t="str">
            <v>No</v>
          </cell>
          <cell r="AA241" t="str">
            <v>Yes</v>
          </cell>
          <cell r="AB241">
            <v>0</v>
          </cell>
          <cell r="AC241" t="str">
            <v>Non-Listed Fund</v>
          </cell>
          <cell r="AD241" t="str">
            <v>Core</v>
          </cell>
          <cell r="AE241" t="str">
            <v>finite</v>
          </cell>
          <cell r="AF241" t="str">
            <v>Closed end</v>
          </cell>
          <cell r="AG241">
            <v>6</v>
          </cell>
          <cell r="AH241">
            <v>6</v>
          </cell>
          <cell r="AI241" t="str">
            <v>Net</v>
          </cell>
          <cell r="AJ241" t="str">
            <v>None</v>
          </cell>
          <cell r="AK241">
            <v>5.5</v>
          </cell>
          <cell r="AL241">
            <v>50</v>
          </cell>
          <cell r="AM241" t="str">
            <v>&gt; 40% - ≤ 60%</v>
          </cell>
          <cell r="AN241" t="str">
            <v>Institutional</v>
          </cell>
          <cell r="AO241" t="str">
            <v>&gt; 2</v>
          </cell>
          <cell r="AP241" t="str">
            <v>≥ 50%</v>
          </cell>
          <cell r="AQ241" t="str">
            <v>Global</v>
          </cell>
          <cell r="AR241" t="str">
            <v>multi country</v>
          </cell>
          <cell r="AU241" t="str">
            <v>single sector</v>
          </cell>
          <cell r="AV241" t="str">
            <v>Retail</v>
          </cell>
          <cell r="AW241">
            <v>1000000000</v>
          </cell>
          <cell r="AX241">
            <v>2200000000</v>
          </cell>
          <cell r="AY241">
            <v>2006</v>
          </cell>
          <cell r="AZ241">
            <v>2016</v>
          </cell>
          <cell r="BA241" t="str">
            <v>Yes</v>
          </cell>
          <cell r="BB241" t="str">
            <v>No</v>
          </cell>
          <cell r="BH241" t="str">
            <v>2018-12-31</v>
          </cell>
          <cell r="BI241">
            <v>219465000</v>
          </cell>
          <cell r="BJ241">
            <v>219465000</v>
          </cell>
          <cell r="BK241">
            <v>118872136</v>
          </cell>
          <cell r="BL241">
            <v>118872136</v>
          </cell>
          <cell r="BM241">
            <v>41.1</v>
          </cell>
          <cell r="BN241" t="str">
            <v>No</v>
          </cell>
          <cell r="BO241" t="str">
            <v>External</v>
          </cell>
          <cell r="BP241">
            <v>13</v>
          </cell>
          <cell r="BQ241">
            <v>2</v>
          </cell>
          <cell r="BR241">
            <v>381010000</v>
          </cell>
          <cell r="BS241">
            <v>381010000</v>
          </cell>
          <cell r="BT241">
            <v>210710000</v>
          </cell>
          <cell r="BU241">
            <v>210710000</v>
          </cell>
          <cell r="BV241" t="str">
            <v>No</v>
          </cell>
          <cell r="BW241" t="str">
            <v>United States of America</v>
          </cell>
          <cell r="BX241" t="str">
            <v>Office</v>
          </cell>
          <cell r="BY241">
            <v>100</v>
          </cell>
        </row>
        <row r="242">
          <cell r="A242">
            <v>17697</v>
          </cell>
          <cell r="B242" t="str">
            <v>GLL PAN EUROPEAN PROPERTY FUND FCP-FIS</v>
          </cell>
          <cell r="C242" t="str">
            <v>GLL REAL ESTATE PARTNERS</v>
          </cell>
          <cell r="D242" t="str">
            <v>Lindwurmstrasse 76</v>
          </cell>
          <cell r="E242">
            <v>80337</v>
          </cell>
          <cell r="F242" t="str">
            <v>München</v>
          </cell>
          <cell r="G242" t="str">
            <v>Germany</v>
          </cell>
          <cell r="H242" t="str">
            <v>+49 (0) 89 72610 3930</v>
          </cell>
          <cell r="I242" t="str">
            <v>+49 (0) 89 72610 3945</v>
          </cell>
          <cell r="J242" t="str">
            <v>http://www.gll-partners.com</v>
          </cell>
          <cell r="K242" t="str">
            <v>Kornelia.Kampmeier</v>
          </cell>
          <cell r="L242" t="str">
            <v>Kornelia.Kampmeier@gll-partners.com</v>
          </cell>
          <cell r="M242" t="str">
            <v>+49 (0) 89 72610 3938</v>
          </cell>
          <cell r="N242" t="str">
            <v>Kornelia Kampmeier</v>
          </cell>
          <cell r="O242" t="str">
            <v>Kornelia.Kampmeier@gll-partners.com</v>
          </cell>
          <cell r="P242" t="str">
            <v>+49 (0) 89 72610 3938</v>
          </cell>
          <cell r="Q242" t="str">
            <v>Luxembourg</v>
          </cell>
          <cell r="R242" t="str">
            <v>EUR</v>
          </cell>
          <cell r="S242" t="str">
            <v>IFRS</v>
          </cell>
          <cell r="T242" t="str">
            <v>Quarterly</v>
          </cell>
          <cell r="U242" t="str">
            <v>Annually</v>
          </cell>
          <cell r="W242" t="str">
            <v>IFRS NAV</v>
          </cell>
          <cell r="X242" t="str">
            <v>Ernst &amp; Young</v>
          </cell>
          <cell r="Y242" t="str">
            <v>FCP</v>
          </cell>
          <cell r="Z242" t="str">
            <v>Yes</v>
          </cell>
          <cell r="AA242" t="str">
            <v>Yes</v>
          </cell>
          <cell r="AB242">
            <v>0</v>
          </cell>
          <cell r="AC242" t="str">
            <v>Non-Listed Fund</v>
          </cell>
          <cell r="AD242" t="str">
            <v>Core</v>
          </cell>
          <cell r="AE242" t="str">
            <v>infinite</v>
          </cell>
          <cell r="AF242" t="str">
            <v>Open end</v>
          </cell>
          <cell r="AG242">
            <v>10</v>
          </cell>
          <cell r="AH242">
            <v>10</v>
          </cell>
          <cell r="AI242" t="str">
            <v>Net</v>
          </cell>
          <cell r="AJ242" t="str">
            <v>none</v>
          </cell>
          <cell r="AK242">
            <v>6</v>
          </cell>
          <cell r="AL242">
            <v>50</v>
          </cell>
          <cell r="AM242" t="str">
            <v>&gt; 40% - ≤ 60%</v>
          </cell>
          <cell r="AN242" t="str">
            <v>Institutional</v>
          </cell>
          <cell r="AO242" t="str">
            <v>&gt; 2</v>
          </cell>
          <cell r="AP242" t="str">
            <v>≥ 50%</v>
          </cell>
          <cell r="AQ242" t="str">
            <v>Europe</v>
          </cell>
          <cell r="AR242" t="str">
            <v>multi country</v>
          </cell>
          <cell r="AS242" t="str">
            <v>Europe</v>
          </cell>
          <cell r="AU242" t="str">
            <v>multi sector</v>
          </cell>
          <cell r="AW242">
            <v>400000000</v>
          </cell>
          <cell r="AX242">
            <v>800000000</v>
          </cell>
          <cell r="AY242">
            <v>2014</v>
          </cell>
          <cell r="AZ242">
            <v>2021</v>
          </cell>
          <cell r="BA242" t="str">
            <v>Yes</v>
          </cell>
          <cell r="BB242" t="str">
            <v>Yes</v>
          </cell>
          <cell r="BD242" t="str">
            <v>No</v>
          </cell>
          <cell r="BH242" t="str">
            <v>2018-12-31</v>
          </cell>
          <cell r="BI242">
            <v>363729768</v>
          </cell>
          <cell r="BJ242">
            <v>363729768</v>
          </cell>
          <cell r="BK242">
            <v>196148725</v>
          </cell>
          <cell r="BL242">
            <v>196148725</v>
          </cell>
          <cell r="BM242">
            <v>34</v>
          </cell>
          <cell r="BN242" t="str">
            <v>No</v>
          </cell>
          <cell r="BO242" t="str">
            <v>External</v>
          </cell>
          <cell r="BP242">
            <v>17</v>
          </cell>
          <cell r="BQ242">
            <v>6</v>
          </cell>
          <cell r="BR242">
            <v>224000000</v>
          </cell>
          <cell r="BS242">
            <v>224000000</v>
          </cell>
          <cell r="BT242">
            <v>152900000</v>
          </cell>
          <cell r="BU242">
            <v>152900000</v>
          </cell>
          <cell r="BW242" t="str">
            <v>Germany</v>
          </cell>
          <cell r="BX242" t="str">
            <v>Office</v>
          </cell>
          <cell r="BY242">
            <v>23</v>
          </cell>
          <cell r="BZ242" t="str">
            <v>Poland</v>
          </cell>
          <cell r="CA242" t="str">
            <v>Office</v>
          </cell>
          <cell r="CB242">
            <v>31</v>
          </cell>
          <cell r="CC242" t="str">
            <v>Romania</v>
          </cell>
          <cell r="CD242" t="str">
            <v>Office</v>
          </cell>
          <cell r="CE242">
            <v>9</v>
          </cell>
          <cell r="CF242" t="str">
            <v>United Kingdom</v>
          </cell>
          <cell r="CG242" t="str">
            <v>Office</v>
          </cell>
          <cell r="CH242">
            <v>36</v>
          </cell>
        </row>
        <row r="243">
          <cell r="A243">
            <v>17698</v>
          </cell>
          <cell r="B243" t="str">
            <v>GLL RETAIL CENTER I FCP-SIF</v>
          </cell>
          <cell r="C243" t="str">
            <v>GLL REAL ESTATE PARTNERS</v>
          </cell>
          <cell r="D243" t="str">
            <v>Lindwurmstrasse 76</v>
          </cell>
          <cell r="E243">
            <v>80337</v>
          </cell>
          <cell r="F243" t="str">
            <v>München</v>
          </cell>
          <cell r="G243" t="str">
            <v>Germany</v>
          </cell>
          <cell r="H243" t="str">
            <v>+49 (0) 89 72610 3930</v>
          </cell>
          <cell r="I243" t="str">
            <v>+49 (0) 89 72610 3945</v>
          </cell>
          <cell r="J243" t="str">
            <v>http://www.gll-partners.com</v>
          </cell>
          <cell r="N243" t="str">
            <v>Antje Schmidt</v>
          </cell>
          <cell r="O243" t="str">
            <v>antje.schmidt@gll-partners.com</v>
          </cell>
          <cell r="P243" t="str">
            <v>+49 (0) 89 72610 3958</v>
          </cell>
          <cell r="Q243" t="str">
            <v>Luxembourg</v>
          </cell>
          <cell r="R243" t="str">
            <v>EUR</v>
          </cell>
          <cell r="S243" t="str">
            <v>IFRS</v>
          </cell>
          <cell r="T243" t="str">
            <v>Quarterly</v>
          </cell>
          <cell r="U243" t="str">
            <v>Annually</v>
          </cell>
          <cell r="V243" t="str">
            <v>Ertragswertverfahren</v>
          </cell>
          <cell r="W243" t="str">
            <v>Prospect</v>
          </cell>
          <cell r="X243" t="str">
            <v>Deloitte</v>
          </cell>
          <cell r="Y243" t="str">
            <v>FCP</v>
          </cell>
          <cell r="Z243" t="str">
            <v>No</v>
          </cell>
          <cell r="AA243" t="str">
            <v>No</v>
          </cell>
          <cell r="AB243">
            <v>0</v>
          </cell>
          <cell r="AC243" t="str">
            <v>Separate account</v>
          </cell>
          <cell r="AD243" t="str">
            <v>Core</v>
          </cell>
          <cell r="AE243" t="str">
            <v>finite</v>
          </cell>
          <cell r="AF243" t="str">
            <v>Open end</v>
          </cell>
          <cell r="AG243">
            <v>10</v>
          </cell>
          <cell r="AH243">
            <v>10</v>
          </cell>
          <cell r="AI243" t="str">
            <v>Net</v>
          </cell>
          <cell r="AJ243" t="str">
            <v>IRR</v>
          </cell>
          <cell r="AK243">
            <v>8</v>
          </cell>
          <cell r="AL243">
            <v>50</v>
          </cell>
          <cell r="AM243" t="str">
            <v>&gt; 40%</v>
          </cell>
          <cell r="AN243" t="str">
            <v>Institutional</v>
          </cell>
          <cell r="AO243" t="str">
            <v>≤ 2</v>
          </cell>
          <cell r="AP243" t="str">
            <v>≥ 50%</v>
          </cell>
          <cell r="AQ243" t="str">
            <v>Europe</v>
          </cell>
          <cell r="AR243" t="str">
            <v>single country</v>
          </cell>
          <cell r="AT243" t="str">
            <v>Germany</v>
          </cell>
          <cell r="AU243" t="str">
            <v>single sector</v>
          </cell>
          <cell r="AV243" t="str">
            <v>Retail</v>
          </cell>
          <cell r="AW243">
            <v>45000000</v>
          </cell>
          <cell r="AX243">
            <v>84000000</v>
          </cell>
          <cell r="AY243">
            <v>2014</v>
          </cell>
          <cell r="AZ243">
            <v>2018</v>
          </cell>
          <cell r="BA243" t="str">
            <v>No</v>
          </cell>
          <cell r="BB243" t="str">
            <v>No</v>
          </cell>
          <cell r="BD243" t="str">
            <v>No</v>
          </cell>
          <cell r="BF243" t="str">
            <v>≤ 15%</v>
          </cell>
          <cell r="BG243" t="str">
            <v>≤ 5%</v>
          </cell>
          <cell r="BH243" t="str">
            <v>2017-12-31</v>
          </cell>
          <cell r="BI243">
            <v>82420473.079999998</v>
          </cell>
          <cell r="BJ243">
            <v>82420473.079999998</v>
          </cell>
          <cell r="BK243">
            <v>42858646</v>
          </cell>
          <cell r="BL243">
            <v>42858646</v>
          </cell>
          <cell r="BM243">
            <v>48</v>
          </cell>
          <cell r="BN243" t="str">
            <v>No</v>
          </cell>
          <cell r="BO243" t="str">
            <v>External</v>
          </cell>
          <cell r="BP243">
            <v>2</v>
          </cell>
          <cell r="BQ243">
            <v>8</v>
          </cell>
          <cell r="BR243">
            <v>45000000</v>
          </cell>
          <cell r="BS243">
            <v>45000000</v>
          </cell>
          <cell r="BT243">
            <v>44066737.469999999</v>
          </cell>
          <cell r="BU243">
            <v>44066737.469999999</v>
          </cell>
          <cell r="BW243" t="str">
            <v>Germany</v>
          </cell>
          <cell r="BX243" t="str">
            <v>Retail</v>
          </cell>
          <cell r="BY243">
            <v>100</v>
          </cell>
        </row>
        <row r="244">
          <cell r="A244">
            <v>202</v>
          </cell>
          <cell r="B244" t="str">
            <v>GLOBAL FUND I</v>
          </cell>
          <cell r="C244" t="str">
            <v>MGPA</v>
          </cell>
          <cell r="D244" t="str">
            <v>60 Sloane Avenue</v>
          </cell>
          <cell r="E244" t="str">
            <v>SW3 3XB</v>
          </cell>
          <cell r="F244" t="str">
            <v>London</v>
          </cell>
          <cell r="G244" t="str">
            <v>United Kingdom</v>
          </cell>
          <cell r="H244" t="str">
            <v>+44 (0) 20 7591 6630</v>
          </cell>
          <cell r="I244" t="str">
            <v>+44 (0) 20 7052 0022</v>
          </cell>
          <cell r="J244" t="str">
            <v>http://www.mgpa.com</v>
          </cell>
          <cell r="K244" t="str">
            <v>Victoria Walters</v>
          </cell>
          <cell r="L244" t="str">
            <v>victoria.walters@mgpa.com</v>
          </cell>
          <cell r="M244" t="str">
            <v>+44 (0) 20 7591 5469</v>
          </cell>
          <cell r="N244" t="str">
            <v>Andrew Wood</v>
          </cell>
          <cell r="O244" t="str">
            <v>andrew.wood@mgpa.com</v>
          </cell>
          <cell r="P244" t="str">
            <v>+44 (0) 20 7591 6630</v>
          </cell>
          <cell r="Q244" t="str">
            <v>Luxembourg</v>
          </cell>
          <cell r="R244" t="str">
            <v>USD</v>
          </cell>
          <cell r="S244" t="str">
            <v>Local GAAP</v>
          </cell>
          <cell r="T244" t="str">
            <v>Quarterly</v>
          </cell>
          <cell r="U244" t="str">
            <v>Annually</v>
          </cell>
          <cell r="X244" t="str">
            <v>PriceWaterhouseCoopers</v>
          </cell>
          <cell r="Y244" t="str">
            <v>SICAF</v>
          </cell>
          <cell r="Z244" t="str">
            <v>No</v>
          </cell>
          <cell r="AA244" t="str">
            <v>Yes</v>
          </cell>
          <cell r="AB244">
            <v>0</v>
          </cell>
          <cell r="AC244" t="str">
            <v>Non-Listed Fund</v>
          </cell>
          <cell r="AD244" t="str">
            <v>Opportunity</v>
          </cell>
          <cell r="AE244" t="str">
            <v>finite</v>
          </cell>
          <cell r="AF244" t="str">
            <v>Closed end</v>
          </cell>
          <cell r="AG244">
            <v>20</v>
          </cell>
          <cell r="AH244">
            <v>20</v>
          </cell>
          <cell r="AI244" t="str">
            <v>Net</v>
          </cell>
          <cell r="AJ244" t="str">
            <v>absolute return</v>
          </cell>
          <cell r="AL244">
            <v>75</v>
          </cell>
          <cell r="AM244" t="str">
            <v>&gt; 60%</v>
          </cell>
          <cell r="AN244" t="str">
            <v>Institutional</v>
          </cell>
          <cell r="AP244" t="str">
            <v>≥ 50%</v>
          </cell>
          <cell r="AQ244" t="str">
            <v>Global</v>
          </cell>
          <cell r="AR244" t="str">
            <v>multi country</v>
          </cell>
          <cell r="AU244" t="str">
            <v>multi sector</v>
          </cell>
          <cell r="AW244">
            <v>479400000</v>
          </cell>
          <cell r="AY244">
            <v>1999</v>
          </cell>
          <cell r="AZ244">
            <v>2009</v>
          </cell>
          <cell r="BA244" t="str">
            <v>Yes</v>
          </cell>
          <cell r="BB244" t="str">
            <v>Yes</v>
          </cell>
          <cell r="BC244" t="str">
            <v>6 months</v>
          </cell>
          <cell r="BH244" t="str">
            <v>2012-12-31</v>
          </cell>
          <cell r="BI244">
            <v>8700000</v>
          </cell>
          <cell r="BJ244">
            <v>6583290</v>
          </cell>
          <cell r="BK244">
            <v>8700000</v>
          </cell>
          <cell r="BL244">
            <v>6583290</v>
          </cell>
          <cell r="BM244">
            <v>0</v>
          </cell>
          <cell r="BN244" t="str">
            <v>Yes</v>
          </cell>
          <cell r="BO244" t="str">
            <v>External</v>
          </cell>
          <cell r="BP244">
            <v>15</v>
          </cell>
          <cell r="BQ244">
            <v>0</v>
          </cell>
          <cell r="BR244">
            <v>528800000</v>
          </cell>
          <cell r="BS244">
            <v>411353520</v>
          </cell>
          <cell r="BT244">
            <v>528800000</v>
          </cell>
          <cell r="BU244">
            <v>411353520</v>
          </cell>
          <cell r="BV244" t="str">
            <v>No</v>
          </cell>
        </row>
        <row r="245">
          <cell r="A245">
            <v>19653</v>
          </cell>
          <cell r="B245" t="str">
            <v>GLP EUROPE INCOME PARTNERS II</v>
          </cell>
          <cell r="C245" t="str">
            <v>GLP EUROPE MANAGEMENT S.à R.L.</v>
          </cell>
          <cell r="D245" t="str">
            <v>1B, Heienhaff</v>
          </cell>
          <cell r="E245" t="str">
            <v>L - 1736</v>
          </cell>
          <cell r="F245" t="str">
            <v>Luxembourg</v>
          </cell>
          <cell r="G245" t="str">
            <v>Luxembourg</v>
          </cell>
          <cell r="K245" t="str">
            <v>GLP</v>
          </cell>
          <cell r="N245" t="str">
            <v>Sylvia Slaughter</v>
          </cell>
          <cell r="O245" t="str">
            <v>sylvia.slaughter@glp.com</v>
          </cell>
          <cell r="P245" t="str">
            <v>+31615474629</v>
          </cell>
          <cell r="Q245" t="str">
            <v>Luxembourg</v>
          </cell>
          <cell r="R245" t="str">
            <v>EUR</v>
          </cell>
          <cell r="S245" t="str">
            <v>IFRS</v>
          </cell>
          <cell r="T245" t="str">
            <v>Quarterly</v>
          </cell>
          <cell r="U245" t="str">
            <v>Annually</v>
          </cell>
          <cell r="V245" t="str">
            <v>RICS</v>
          </cell>
          <cell r="W245" t="str">
            <v>IFRS NAV</v>
          </cell>
          <cell r="Y245" t="str">
            <v>SCSp</v>
          </cell>
          <cell r="Z245" t="str">
            <v>No</v>
          </cell>
          <cell r="AB245">
            <v>0</v>
          </cell>
          <cell r="AC245" t="str">
            <v>Non-Listed Fund</v>
          </cell>
          <cell r="AD245" t="str">
            <v>Core</v>
          </cell>
          <cell r="AE245" t="str">
            <v>finite</v>
          </cell>
          <cell r="AF245" t="str">
            <v>Closed end</v>
          </cell>
          <cell r="AM245" t="str">
            <v>&gt; 40% - ≤ 60%</v>
          </cell>
          <cell r="AN245" t="str">
            <v>Institutional</v>
          </cell>
          <cell r="AO245" t="str">
            <v>&gt; 2</v>
          </cell>
          <cell r="AP245" t="str">
            <v>≥ 50%</v>
          </cell>
          <cell r="AQ245" t="str">
            <v>Europe</v>
          </cell>
          <cell r="AR245" t="str">
            <v>multi country</v>
          </cell>
          <cell r="AS245" t="str">
            <v>Europe</v>
          </cell>
          <cell r="AU245" t="str">
            <v>single sector</v>
          </cell>
          <cell r="AV245" t="str">
            <v>Industrial / Logistics</v>
          </cell>
          <cell r="AY245">
            <v>2020</v>
          </cell>
          <cell r="AZ245">
            <v>2030</v>
          </cell>
          <cell r="BA245" t="str">
            <v>Yes</v>
          </cell>
          <cell r="BB245" t="str">
            <v>Yes</v>
          </cell>
          <cell r="BC245" t="str">
            <v>1+1 years</v>
          </cell>
          <cell r="BD245" t="str">
            <v>No</v>
          </cell>
          <cell r="BE245" t="str">
            <v>≥ 60%</v>
          </cell>
          <cell r="BF245" t="str">
            <v>≤ 15%</v>
          </cell>
          <cell r="BG245" t="str">
            <v>≤ 5%</v>
          </cell>
        </row>
        <row r="246">
          <cell r="A246">
            <v>18629</v>
          </cell>
          <cell r="B246" t="str">
            <v>GNRE CORE PLUS, FCP-RAIF</v>
          </cell>
          <cell r="C246" t="str">
            <v>GENESTA NORDIC PROPERTY</v>
          </cell>
          <cell r="D246" t="str">
            <v>Jakobsbergsgatan 16</v>
          </cell>
          <cell r="E246">
            <v>11144</v>
          </cell>
          <cell r="F246" t="str">
            <v>Stockholm</v>
          </cell>
          <cell r="G246" t="str">
            <v>Sweden</v>
          </cell>
          <cell r="K246" t="str">
            <v>Allan.Strand Olesen</v>
          </cell>
          <cell r="L246" t="str">
            <v>Allan.Strand-Olesen@genesta.dk</v>
          </cell>
          <cell r="N246" t="str">
            <v>Philip Björk</v>
          </cell>
          <cell r="O246" t="str">
            <v>philip.bjork@genesta.se</v>
          </cell>
          <cell r="P246" t="str">
            <v>+46701440786</v>
          </cell>
          <cell r="Q246" t="str">
            <v>Luxembourg</v>
          </cell>
          <cell r="R246" t="str">
            <v>EUR</v>
          </cell>
          <cell r="S246" t="str">
            <v>IFRS</v>
          </cell>
          <cell r="T246" t="str">
            <v>Quarterly</v>
          </cell>
          <cell r="U246" t="str">
            <v>Quarterly</v>
          </cell>
          <cell r="V246" t="str">
            <v>RICS</v>
          </cell>
          <cell r="W246" t="str">
            <v>INREV NAV</v>
          </cell>
          <cell r="X246" t="str">
            <v>EY</v>
          </cell>
          <cell r="Y246" t="str">
            <v>Real Estate Fund</v>
          </cell>
          <cell r="Z246" t="str">
            <v>Yes</v>
          </cell>
          <cell r="AA246" t="str">
            <v>Yes</v>
          </cell>
          <cell r="AB246">
            <v>2</v>
          </cell>
          <cell r="AC246" t="str">
            <v>Non-Listed Fund</v>
          </cell>
          <cell r="AD246" t="str">
            <v>Core</v>
          </cell>
          <cell r="AE246" t="str">
            <v>finite</v>
          </cell>
          <cell r="AF246" t="str">
            <v>Closed end</v>
          </cell>
          <cell r="AG246">
            <v>7</v>
          </cell>
          <cell r="AH246">
            <v>8</v>
          </cell>
          <cell r="AI246" t="str">
            <v>Net</v>
          </cell>
          <cell r="AJ246" t="str">
            <v>N/A</v>
          </cell>
          <cell r="AM246" t="str">
            <v>&gt; 40% - ≤ 60%</v>
          </cell>
          <cell r="AN246" t="str">
            <v>Institutional</v>
          </cell>
          <cell r="AO246" t="str">
            <v>&gt; 2</v>
          </cell>
          <cell r="AP246" t="str">
            <v>≥ 50%</v>
          </cell>
          <cell r="AQ246" t="str">
            <v>Europe</v>
          </cell>
          <cell r="AR246" t="str">
            <v>multi country</v>
          </cell>
          <cell r="AS246" t="str">
            <v>Nordic</v>
          </cell>
          <cell r="AU246" t="str">
            <v>multi sector</v>
          </cell>
          <cell r="AW246">
            <v>79000000</v>
          </cell>
          <cell r="AX246">
            <v>131666666.67</v>
          </cell>
          <cell r="AY246">
            <v>2018</v>
          </cell>
          <cell r="AZ246">
            <v>2028</v>
          </cell>
          <cell r="BA246" t="str">
            <v>Yes</v>
          </cell>
          <cell r="BB246" t="str">
            <v>No</v>
          </cell>
          <cell r="BH246" t="str">
            <v>2020-12-31</v>
          </cell>
          <cell r="BI246">
            <v>112999178</v>
          </cell>
          <cell r="BJ246">
            <v>112999178</v>
          </cell>
          <cell r="BK246">
            <v>64115485</v>
          </cell>
          <cell r="BL246">
            <v>64115485</v>
          </cell>
          <cell r="BM246">
            <v>38.6</v>
          </cell>
          <cell r="BN246" t="str">
            <v>No</v>
          </cell>
          <cell r="BO246" t="str">
            <v>External</v>
          </cell>
          <cell r="BP246">
            <v>4</v>
          </cell>
          <cell r="BQ246">
            <v>2</v>
          </cell>
          <cell r="BR246">
            <v>65333333</v>
          </cell>
          <cell r="BS246">
            <v>65333333</v>
          </cell>
          <cell r="BT246">
            <v>58000000</v>
          </cell>
          <cell r="BU246">
            <v>58000000</v>
          </cell>
          <cell r="BV246" t="str">
            <v>No</v>
          </cell>
          <cell r="BW246" t="str">
            <v>Sweden</v>
          </cell>
          <cell r="BX246" t="str">
            <v>Retail</v>
          </cell>
          <cell r="BY246">
            <v>56.6</v>
          </cell>
          <cell r="BZ246" t="str">
            <v>Sweden</v>
          </cell>
          <cell r="CA246" t="str">
            <v>Office</v>
          </cell>
          <cell r="CB246">
            <v>43.4</v>
          </cell>
        </row>
        <row r="247">
          <cell r="A247">
            <v>206</v>
          </cell>
          <cell r="B247" t="str">
            <v>GOODMAN EUROPEAN LOGISTICS FUND, FCP-FIS</v>
          </cell>
          <cell r="C247" t="str">
            <v>GELF MANAGEMENT (LUX) SARL</v>
          </cell>
          <cell r="D247" t="str">
            <v>28, Boulevard d'Avranches</v>
          </cell>
          <cell r="E247" t="str">
            <v>L-1160</v>
          </cell>
          <cell r="F247" t="str">
            <v>Luxembourg</v>
          </cell>
          <cell r="G247" t="str">
            <v>Luxembourg</v>
          </cell>
          <cell r="H247" t="str">
            <v>+352 26 36 32 20</v>
          </cell>
          <cell r="I247" t="str">
            <v>+352 26 36 32 36</v>
          </cell>
          <cell r="J247" t="str">
            <v>http://www.goodman.com</v>
          </cell>
          <cell r="K247" t="str">
            <v>Thomas De Meester</v>
          </cell>
          <cell r="L247" t="str">
            <v>Thomas.demeester@goodman.com</v>
          </cell>
          <cell r="M247" t="str">
            <v>+32 2 263 40 10</v>
          </cell>
          <cell r="N247" t="str">
            <v>Carl Moerman</v>
          </cell>
          <cell r="O247" t="str">
            <v>carl.moerman@goodman.com</v>
          </cell>
          <cell r="P247" t="str">
            <v>+32 2 263 40 11</v>
          </cell>
          <cell r="Q247" t="str">
            <v>Luxembourg</v>
          </cell>
          <cell r="R247" t="str">
            <v>EUR</v>
          </cell>
          <cell r="S247" t="str">
            <v>IFRS</v>
          </cell>
          <cell r="T247" t="str">
            <v>Quarterly</v>
          </cell>
          <cell r="U247" t="str">
            <v>Annually</v>
          </cell>
          <cell r="V247" t="str">
            <v>RICS</v>
          </cell>
          <cell r="W247" t="str">
            <v>IFRS NAV</v>
          </cell>
          <cell r="X247" t="str">
            <v>PriceWaterhouseCoopers</v>
          </cell>
          <cell r="Y247" t="str">
            <v>FCP</v>
          </cell>
          <cell r="Z247" t="str">
            <v>Yes</v>
          </cell>
          <cell r="AA247" t="str">
            <v>Yes</v>
          </cell>
          <cell r="AB247">
            <v>1</v>
          </cell>
          <cell r="AC247" t="str">
            <v>Non-Listed Fund</v>
          </cell>
          <cell r="AD247" t="str">
            <v>Core</v>
          </cell>
          <cell r="AE247" t="str">
            <v>finite</v>
          </cell>
          <cell r="AF247" t="str">
            <v>Open end</v>
          </cell>
          <cell r="AG247">
            <v>9.5</v>
          </cell>
          <cell r="AH247">
            <v>9.5</v>
          </cell>
          <cell r="AI247" t="str">
            <v>Net</v>
          </cell>
          <cell r="AJ247" t="str">
            <v>10 year Euribor plus 4.5 percent per annum</v>
          </cell>
          <cell r="AK247">
            <v>7.5</v>
          </cell>
          <cell r="AL247">
            <v>35</v>
          </cell>
          <cell r="AM247" t="str">
            <v>&gt; 40% - ≤ 60%</v>
          </cell>
          <cell r="AN247" t="str">
            <v>Institutional</v>
          </cell>
          <cell r="AO247" t="str">
            <v>&gt; 2</v>
          </cell>
          <cell r="AP247" t="str">
            <v>≥ 50%</v>
          </cell>
          <cell r="AQ247" t="str">
            <v>Europe</v>
          </cell>
          <cell r="AR247" t="str">
            <v>multi country</v>
          </cell>
          <cell r="AS247" t="str">
            <v>Europe</v>
          </cell>
          <cell r="AU247" t="str">
            <v>single sector</v>
          </cell>
          <cell r="AV247" t="str">
            <v>Industrial / Logistics</v>
          </cell>
          <cell r="AY247">
            <v>2006</v>
          </cell>
          <cell r="AZ247">
            <v>2026</v>
          </cell>
          <cell r="BA247" t="str">
            <v>Yes</v>
          </cell>
          <cell r="BB247" t="str">
            <v>Yes</v>
          </cell>
          <cell r="BC247" t="str">
            <v>10 years</v>
          </cell>
          <cell r="BD247" t="str">
            <v>No</v>
          </cell>
          <cell r="BH247" t="str">
            <v>2020-12-31</v>
          </cell>
          <cell r="BI247">
            <v>3615406230</v>
          </cell>
          <cell r="BJ247">
            <v>3615406230</v>
          </cell>
          <cell r="BK247">
            <v>2080269885</v>
          </cell>
          <cell r="BL247">
            <v>2080269885</v>
          </cell>
          <cell r="BM247">
            <v>19.82</v>
          </cell>
          <cell r="BN247" t="str">
            <v>Yes</v>
          </cell>
          <cell r="BO247" t="str">
            <v>External</v>
          </cell>
          <cell r="BP247">
            <v>25</v>
          </cell>
          <cell r="BQ247">
            <v>92</v>
          </cell>
          <cell r="BR247">
            <v>276670567</v>
          </cell>
          <cell r="BS247">
            <v>276670567</v>
          </cell>
          <cell r="BT247">
            <v>2136438908</v>
          </cell>
          <cell r="BU247">
            <v>2136438908</v>
          </cell>
          <cell r="BV247" t="str">
            <v>No</v>
          </cell>
          <cell r="BW247" t="str">
            <v>Poland</v>
          </cell>
          <cell r="BX247" t="str">
            <v>Industrial / Logistics</v>
          </cell>
          <cell r="BY247">
            <v>0.74</v>
          </cell>
          <cell r="BZ247" t="str">
            <v>Spain</v>
          </cell>
          <cell r="CA247" t="str">
            <v>Industrial / Logistics</v>
          </cell>
          <cell r="CB247">
            <v>5.87</v>
          </cell>
          <cell r="CC247" t="str">
            <v>Germany</v>
          </cell>
          <cell r="CD247" t="str">
            <v>Industrial / Logistics</v>
          </cell>
          <cell r="CE247">
            <v>38.96</v>
          </cell>
          <cell r="CF247" t="str">
            <v>France</v>
          </cell>
          <cell r="CG247" t="str">
            <v>Industrial / Logistics</v>
          </cell>
          <cell r="CH247">
            <v>25.76</v>
          </cell>
          <cell r="CI247" t="str">
            <v>Netherlands</v>
          </cell>
          <cell r="CJ247" t="str">
            <v>Industrial / Logistics</v>
          </cell>
          <cell r="CK247">
            <v>12.73</v>
          </cell>
          <cell r="CL247" t="str">
            <v>Belgium</v>
          </cell>
          <cell r="CM247" t="str">
            <v>Industrial / Logistics</v>
          </cell>
          <cell r="CN247">
            <v>6.46</v>
          </cell>
        </row>
        <row r="248">
          <cell r="A248">
            <v>611</v>
          </cell>
          <cell r="B248" t="str">
            <v>GROSVENOR EUROPEAN RETAIL PARTNERSHIP</v>
          </cell>
          <cell r="C248" t="str">
            <v>GROSVENOR FUND MANAGEMENT</v>
          </cell>
          <cell r="D248" t="str">
            <v>5th Floor, Boulevard Haussmann</v>
          </cell>
          <cell r="E248">
            <v>75008</v>
          </cell>
          <cell r="F248" t="str">
            <v>Paris</v>
          </cell>
          <cell r="G248" t="str">
            <v>France</v>
          </cell>
          <cell r="H248" t="str">
            <v>+33 (0) 1 44 51 7500</v>
          </cell>
          <cell r="J248" t="str">
            <v>http://www.grosvenor.com</v>
          </cell>
          <cell r="K248" t="str">
            <v>Nick Preston</v>
          </cell>
          <cell r="L248" t="str">
            <v>Nick.Preston@grosvenor.com</v>
          </cell>
          <cell r="M248" t="str">
            <v>+442073126130</v>
          </cell>
          <cell r="N248" t="str">
            <v>Rebecca Madsen</v>
          </cell>
          <cell r="O248" t="str">
            <v>Rebecca.Madsen@grosvenor.com</v>
          </cell>
          <cell r="P248" t="str">
            <v>+44 (0) 207312 6345</v>
          </cell>
          <cell r="Q248" t="str">
            <v>Luxembourg</v>
          </cell>
          <cell r="R248" t="str">
            <v>EUR</v>
          </cell>
          <cell r="S248" t="str">
            <v>IFRS</v>
          </cell>
          <cell r="T248" t="str">
            <v>Quarterly</v>
          </cell>
          <cell r="U248" t="str">
            <v>Quarterly</v>
          </cell>
          <cell r="V248" t="str">
            <v>RICS</v>
          </cell>
          <cell r="W248" t="str">
            <v>INREV NAV</v>
          </cell>
          <cell r="Y248" t="str">
            <v>Real Estate Fund</v>
          </cell>
          <cell r="Z248" t="str">
            <v>Yes</v>
          </cell>
          <cell r="AB248">
            <v>0</v>
          </cell>
          <cell r="AC248" t="str">
            <v>Non-Listed Fund</v>
          </cell>
          <cell r="AD248" t="str">
            <v>Core</v>
          </cell>
          <cell r="AE248" t="str">
            <v>finite</v>
          </cell>
          <cell r="AF248" t="str">
            <v>Closed end</v>
          </cell>
          <cell r="AN248" t="str">
            <v>Institutional</v>
          </cell>
          <cell r="AO248" t="str">
            <v>&gt; 2</v>
          </cell>
          <cell r="AP248" t="str">
            <v>≥ 50%</v>
          </cell>
          <cell r="AQ248" t="str">
            <v>Europe</v>
          </cell>
          <cell r="AR248" t="str">
            <v>multi country</v>
          </cell>
          <cell r="AS248" t="str">
            <v>Western Europe</v>
          </cell>
          <cell r="AU248" t="str">
            <v>single sector</v>
          </cell>
          <cell r="AV248" t="str">
            <v>Retail</v>
          </cell>
          <cell r="AX248">
            <v>415000000</v>
          </cell>
          <cell r="AY248">
            <v>2011</v>
          </cell>
          <cell r="BH248" t="str">
            <v>2020-12-31</v>
          </cell>
          <cell r="BI248">
            <v>121000000</v>
          </cell>
          <cell r="BJ248">
            <v>121000000</v>
          </cell>
          <cell r="BK248">
            <v>52674000</v>
          </cell>
          <cell r="BL248">
            <v>52674000</v>
          </cell>
          <cell r="BM248">
            <v>67</v>
          </cell>
          <cell r="BN248" t="str">
            <v>Yes</v>
          </cell>
          <cell r="BO248" t="str">
            <v>External</v>
          </cell>
          <cell r="BP248">
            <v>2</v>
          </cell>
          <cell r="BQ248">
            <v>3</v>
          </cell>
          <cell r="BR248">
            <v>260080000</v>
          </cell>
          <cell r="BS248">
            <v>260080000</v>
          </cell>
          <cell r="BT248">
            <v>260080000</v>
          </cell>
          <cell r="BU248">
            <v>260080000</v>
          </cell>
          <cell r="BV248" t="str">
            <v>No</v>
          </cell>
          <cell r="BW248" t="str">
            <v>Sweden</v>
          </cell>
          <cell r="BX248" t="str">
            <v>Retail</v>
          </cell>
          <cell r="BY248">
            <v>100</v>
          </cell>
        </row>
        <row r="249">
          <cell r="A249">
            <v>212</v>
          </cell>
          <cell r="B249" t="str">
            <v>GROSVENOR FRENCH RETAIL INVESTMENTS</v>
          </cell>
          <cell r="C249" t="str">
            <v>GROSVENOR FUND MANAGEMENT</v>
          </cell>
          <cell r="D249" t="str">
            <v>69 Bld Haussmann</v>
          </cell>
          <cell r="E249">
            <v>75008</v>
          </cell>
          <cell r="F249" t="str">
            <v>Paris</v>
          </cell>
          <cell r="G249" t="str">
            <v>France</v>
          </cell>
          <cell r="H249" t="str">
            <v>+33 (0) 1 44 51 75 00</v>
          </cell>
          <cell r="I249" t="str">
            <v>+33 (0) 1 44 51 75 01</v>
          </cell>
          <cell r="J249" t="str">
            <v>http://www.grosvenor.com</v>
          </cell>
          <cell r="K249" t="str">
            <v>Sara Lucas</v>
          </cell>
          <cell r="L249" t="str">
            <v>sara.lucas@grosvenor.com</v>
          </cell>
          <cell r="M249" t="str">
            <v xml:space="preserve">+33 (0)1 44 51 75 25 </v>
          </cell>
          <cell r="N249" t="str">
            <v>Rebecca Madsen</v>
          </cell>
          <cell r="O249" t="str">
            <v>rebecca.Madsen@grosvenor.com</v>
          </cell>
          <cell r="P249" t="str">
            <v>+44 (0) 207312 6345</v>
          </cell>
          <cell r="Q249" t="str">
            <v>Luxembourg</v>
          </cell>
          <cell r="R249" t="str">
            <v>EUR</v>
          </cell>
          <cell r="S249" t="str">
            <v>IFRS</v>
          </cell>
          <cell r="T249" t="str">
            <v>Quarterly</v>
          </cell>
          <cell r="U249" t="str">
            <v>Annually</v>
          </cell>
          <cell r="V249" t="str">
            <v>RICS</v>
          </cell>
          <cell r="W249" t="str">
            <v>INREV NAV</v>
          </cell>
          <cell r="X249" t="str">
            <v>Deloitte &amp; Touche</v>
          </cell>
          <cell r="Y249" t="str">
            <v>SA</v>
          </cell>
          <cell r="Z249" t="str">
            <v>Yes</v>
          </cell>
          <cell r="AA249" t="str">
            <v>Yes</v>
          </cell>
          <cell r="AB249">
            <v>0</v>
          </cell>
          <cell r="AC249" t="str">
            <v>Non-Listed Fund</v>
          </cell>
          <cell r="AD249" t="str">
            <v>Core</v>
          </cell>
          <cell r="AE249" t="str">
            <v>finite</v>
          </cell>
          <cell r="AF249" t="str">
            <v>Closed end</v>
          </cell>
          <cell r="AJ249" t="str">
            <v>None</v>
          </cell>
          <cell r="AN249" t="str">
            <v>Institutional</v>
          </cell>
          <cell r="AO249" t="str">
            <v>&gt; 2</v>
          </cell>
          <cell r="AP249" t="str">
            <v>≥ 50%</v>
          </cell>
          <cell r="AQ249" t="str">
            <v>Europe</v>
          </cell>
          <cell r="AR249" t="str">
            <v>single country</v>
          </cell>
          <cell r="AT249" t="str">
            <v>France</v>
          </cell>
          <cell r="AU249" t="str">
            <v>single sector</v>
          </cell>
          <cell r="AV249" t="str">
            <v>Retail</v>
          </cell>
          <cell r="AY249">
            <v>2006</v>
          </cell>
          <cell r="BH249" t="str">
            <v>2020-12-31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 t="str">
            <v>No</v>
          </cell>
          <cell r="BO249" t="str">
            <v>Internal</v>
          </cell>
          <cell r="BP249">
            <v>11</v>
          </cell>
          <cell r="BQ249">
            <v>0</v>
          </cell>
          <cell r="BR249">
            <v>356764000</v>
          </cell>
          <cell r="BS249">
            <v>356764000</v>
          </cell>
          <cell r="BT249">
            <v>234243000</v>
          </cell>
          <cell r="BU249">
            <v>234243000</v>
          </cell>
          <cell r="BV249" t="str">
            <v>No</v>
          </cell>
          <cell r="BW249" t="str">
            <v>France</v>
          </cell>
          <cell r="BX249" t="str">
            <v>Retail</v>
          </cell>
          <cell r="BY249">
            <v>100</v>
          </cell>
        </row>
        <row r="250">
          <cell r="A250">
            <v>214</v>
          </cell>
          <cell r="B250" t="str">
            <v>GROSVENOR LIVERPOOL FUND</v>
          </cell>
          <cell r="C250" t="str">
            <v>GROSVENOR INVESTMENT MANAGEMENT LIMITED</v>
          </cell>
          <cell r="D250" t="str">
            <v>70 Grosvenor Street</v>
          </cell>
          <cell r="E250" t="str">
            <v>W1K 3JP</v>
          </cell>
          <cell r="F250" t="str">
            <v>London</v>
          </cell>
          <cell r="G250" t="str">
            <v>United Kingdom</v>
          </cell>
          <cell r="H250" t="str">
            <v>+44 (0) 20 7408 0988</v>
          </cell>
          <cell r="I250" t="str">
            <v>+44 (0) 20 7629 6260</v>
          </cell>
          <cell r="J250" t="str">
            <v>http://www.grosvenor.com</v>
          </cell>
          <cell r="K250" t="str">
            <v>Miles Dunnett</v>
          </cell>
          <cell r="L250" t="str">
            <v>Miles.Dunnett@grosvenor.com</v>
          </cell>
          <cell r="M250" t="str">
            <v>+44 (0) 20 7312 6291</v>
          </cell>
          <cell r="N250" t="str">
            <v>Rebecca Madsen</v>
          </cell>
          <cell r="O250" t="str">
            <v>Rebecca.Madsen@grosvenor.com</v>
          </cell>
          <cell r="P250" t="str">
            <v>+44 (0) 207312 6345</v>
          </cell>
          <cell r="Q250" t="str">
            <v>United Kingdom</v>
          </cell>
          <cell r="R250" t="str">
            <v>GBP</v>
          </cell>
          <cell r="S250" t="str">
            <v>Local GAAP</v>
          </cell>
          <cell r="T250" t="str">
            <v>Quarterly</v>
          </cell>
          <cell r="U250" t="str">
            <v>Quarterly</v>
          </cell>
          <cell r="V250" t="str">
            <v>RICS</v>
          </cell>
          <cell r="W250" t="str">
            <v>IFRS NAV</v>
          </cell>
          <cell r="X250" t="str">
            <v>Grosvenor Investment Management Limited</v>
          </cell>
          <cell r="Y250" t="str">
            <v>Limited Partnership</v>
          </cell>
          <cell r="Z250" t="str">
            <v>No</v>
          </cell>
          <cell r="AA250" t="str">
            <v>No</v>
          </cell>
          <cell r="AB250">
            <v>0</v>
          </cell>
          <cell r="AC250" t="str">
            <v>Non-Listed Fund</v>
          </cell>
          <cell r="AD250" t="str">
            <v>Core</v>
          </cell>
          <cell r="AE250" t="str">
            <v>finite</v>
          </cell>
          <cell r="AF250" t="str">
            <v>Closed end</v>
          </cell>
          <cell r="AJ250" t="str">
            <v>Bespoke IPD Benchmark</v>
          </cell>
          <cell r="AN250" t="str">
            <v>Institutional</v>
          </cell>
          <cell r="AO250" t="str">
            <v>&gt; 2</v>
          </cell>
          <cell r="AP250" t="str">
            <v>≥ 50%</v>
          </cell>
          <cell r="AQ250" t="str">
            <v>Europe</v>
          </cell>
          <cell r="AR250" t="str">
            <v>single country</v>
          </cell>
          <cell r="AT250" t="str">
            <v>United Kingdom</v>
          </cell>
          <cell r="AU250" t="str">
            <v>single sector</v>
          </cell>
          <cell r="AV250" t="str">
            <v>Retail</v>
          </cell>
          <cell r="AY250">
            <v>2008</v>
          </cell>
          <cell r="AZ250">
            <v>2038</v>
          </cell>
          <cell r="BA250" t="str">
            <v>Yes</v>
          </cell>
          <cell r="BB250" t="str">
            <v>Yes</v>
          </cell>
          <cell r="BC250" t="str">
            <v>25 years</v>
          </cell>
          <cell r="BH250" t="str">
            <v>2020-12-31</v>
          </cell>
          <cell r="BI250">
            <v>601843000</v>
          </cell>
          <cell r="BJ250">
            <v>665366983.98208499</v>
          </cell>
          <cell r="BK250">
            <v>204745000</v>
          </cell>
          <cell r="BL250">
            <v>226355649.45577499</v>
          </cell>
          <cell r="BM250">
            <v>66.5</v>
          </cell>
          <cell r="BN250" t="str">
            <v>Yes</v>
          </cell>
          <cell r="BO250" t="str">
            <v>External</v>
          </cell>
          <cell r="BP250">
            <v>5</v>
          </cell>
          <cell r="BQ250">
            <v>1</v>
          </cell>
          <cell r="BR250">
            <v>386926000</v>
          </cell>
          <cell r="BS250">
            <v>424827149.48343462</v>
          </cell>
          <cell r="BT250">
            <v>386926000</v>
          </cell>
          <cell r="BU250">
            <v>424827149.48343462</v>
          </cell>
          <cell r="BV250" t="str">
            <v>No</v>
          </cell>
          <cell r="BW250" t="str">
            <v>United Kingdom</v>
          </cell>
          <cell r="BX250" t="str">
            <v>Retail</v>
          </cell>
          <cell r="BY250">
            <v>100</v>
          </cell>
        </row>
        <row r="251">
          <cell r="A251">
            <v>215</v>
          </cell>
          <cell r="B251" t="str">
            <v>GROSVENOR LONDON OFFICE FUND</v>
          </cell>
          <cell r="C251" t="str">
            <v>GROSVENOR INVESTMENT MANAGEMENT LIMITED</v>
          </cell>
          <cell r="D251" t="str">
            <v>70 Grosvenor Street</v>
          </cell>
          <cell r="E251" t="str">
            <v>W1K 3JP</v>
          </cell>
          <cell r="F251" t="str">
            <v>London</v>
          </cell>
          <cell r="G251" t="str">
            <v>United Kingdom</v>
          </cell>
          <cell r="H251" t="str">
            <v>+44 (0) 20 7408 0988</v>
          </cell>
          <cell r="I251" t="str">
            <v>+44 (0) 20 7629 6260</v>
          </cell>
          <cell r="J251" t="str">
            <v>http://www.grosvenor.com</v>
          </cell>
          <cell r="K251" t="str">
            <v>Scott Rowland</v>
          </cell>
          <cell r="L251" t="str">
            <v>scott.rowland@grosvenor.com</v>
          </cell>
          <cell r="M251" t="str">
            <v>+44 (0) 20 7312 6117</v>
          </cell>
          <cell r="N251" t="str">
            <v>Scott Rowland</v>
          </cell>
          <cell r="O251" t="str">
            <v>scott.rowland@grosvenor.com</v>
          </cell>
          <cell r="P251" t="str">
            <v>+44 (0) 20 7629 6260</v>
          </cell>
          <cell r="Q251" t="str">
            <v>United Kingdom</v>
          </cell>
          <cell r="R251" t="str">
            <v>GBP</v>
          </cell>
          <cell r="S251" t="str">
            <v>Local GAAP</v>
          </cell>
          <cell r="T251" t="str">
            <v>Quarterly</v>
          </cell>
          <cell r="U251" t="str">
            <v>Quarterly</v>
          </cell>
          <cell r="V251" t="str">
            <v>RICS</v>
          </cell>
          <cell r="W251" t="str">
            <v>IFRS NAV</v>
          </cell>
          <cell r="X251" t="str">
            <v>Grosvenor Investment Management Limited</v>
          </cell>
          <cell r="Y251" t="str">
            <v>Limited Partnership</v>
          </cell>
          <cell r="Z251" t="str">
            <v>No</v>
          </cell>
          <cell r="AA251" t="str">
            <v>No</v>
          </cell>
          <cell r="AB251">
            <v>0</v>
          </cell>
          <cell r="AC251" t="str">
            <v>Non-Listed Fund</v>
          </cell>
          <cell r="AD251" t="str">
            <v>Core</v>
          </cell>
          <cell r="AE251" t="str">
            <v>finite</v>
          </cell>
          <cell r="AF251" t="str">
            <v>Closed end</v>
          </cell>
          <cell r="AJ251" t="str">
            <v>Bespoke IPD Benchmark</v>
          </cell>
          <cell r="AN251" t="str">
            <v>Institutional</v>
          </cell>
          <cell r="AO251" t="str">
            <v>&gt; 2</v>
          </cell>
          <cell r="AP251" t="str">
            <v>≥ 50%</v>
          </cell>
          <cell r="AQ251" t="str">
            <v>Europe</v>
          </cell>
          <cell r="AR251" t="str">
            <v>single country</v>
          </cell>
          <cell r="AT251" t="str">
            <v>United Kingdom</v>
          </cell>
          <cell r="AU251" t="str">
            <v>single sector</v>
          </cell>
          <cell r="AV251" t="str">
            <v>Office</v>
          </cell>
          <cell r="AY251">
            <v>1999</v>
          </cell>
          <cell r="AZ251">
            <v>2022</v>
          </cell>
          <cell r="BA251" t="str">
            <v>No</v>
          </cell>
          <cell r="BB251" t="str">
            <v>No</v>
          </cell>
          <cell r="BH251" t="str">
            <v>2020-12-31</v>
          </cell>
          <cell r="BI251">
            <v>146573000</v>
          </cell>
          <cell r="BJ251">
            <v>162043647.50143501</v>
          </cell>
          <cell r="BK251">
            <v>141404000</v>
          </cell>
          <cell r="BL251">
            <v>156329064.22938001</v>
          </cell>
          <cell r="BM251">
            <v>0</v>
          </cell>
          <cell r="BN251" t="str">
            <v>Yes</v>
          </cell>
          <cell r="BO251" t="str">
            <v>External</v>
          </cell>
          <cell r="BP251">
            <v>5</v>
          </cell>
          <cell r="BQ251">
            <v>1</v>
          </cell>
          <cell r="BR251">
            <v>0</v>
          </cell>
          <cell r="BS251">
            <v>0</v>
          </cell>
          <cell r="BT251">
            <v>0</v>
          </cell>
          <cell r="BV251" t="str">
            <v>No</v>
          </cell>
          <cell r="BW251" t="str">
            <v>United Kingdom</v>
          </cell>
          <cell r="BX251" t="str">
            <v>Office</v>
          </cell>
          <cell r="BY251">
            <v>100</v>
          </cell>
        </row>
        <row r="252">
          <cell r="A252">
            <v>217</v>
          </cell>
          <cell r="B252" t="str">
            <v>GROSVENOR RETAIL EUROPEAN PROPERTIES</v>
          </cell>
          <cell r="C252" t="str">
            <v>GROSVENOR FUND MANAGEMENT</v>
          </cell>
          <cell r="D252" t="str">
            <v>69 Bld Haussmann</v>
          </cell>
          <cell r="E252">
            <v>75008</v>
          </cell>
          <cell r="F252" t="str">
            <v>Paris</v>
          </cell>
          <cell r="G252" t="str">
            <v>France</v>
          </cell>
          <cell r="H252" t="str">
            <v>+33 (0) 1 44 51 75 00</v>
          </cell>
          <cell r="I252" t="str">
            <v>+33 (0) 1 44 51 75 01</v>
          </cell>
          <cell r="J252" t="str">
            <v>http://www.grosvenor.com</v>
          </cell>
          <cell r="K252" t="str">
            <v>Sara Lucas</v>
          </cell>
          <cell r="L252" t="str">
            <v>sara.lucas@grosvenor.com</v>
          </cell>
          <cell r="M252" t="str">
            <v>+33 (0)1 44 51 75 25</v>
          </cell>
          <cell r="N252" t="str">
            <v>Rebecca Madsen</v>
          </cell>
          <cell r="O252" t="str">
            <v>rebecca.madsen@grosvenor.com</v>
          </cell>
          <cell r="P252" t="str">
            <v>+44 (0) 207312 6345</v>
          </cell>
          <cell r="Q252" t="str">
            <v>Luxembourg</v>
          </cell>
          <cell r="R252" t="str">
            <v>EUR</v>
          </cell>
          <cell r="S252" t="str">
            <v>IFRS</v>
          </cell>
          <cell r="T252" t="str">
            <v>Quarterly</v>
          </cell>
          <cell r="U252" t="str">
            <v>Annually</v>
          </cell>
          <cell r="V252" t="str">
            <v>RICS</v>
          </cell>
          <cell r="W252" t="str">
            <v>INREV NAV</v>
          </cell>
          <cell r="X252" t="str">
            <v>Deloitte &amp; Touche</v>
          </cell>
          <cell r="Y252" t="str">
            <v>SOPARFI</v>
          </cell>
          <cell r="Z252" t="str">
            <v>Yes</v>
          </cell>
          <cell r="AA252" t="str">
            <v>Yes</v>
          </cell>
          <cell r="AB252">
            <v>0</v>
          </cell>
          <cell r="AC252" t="str">
            <v>Non-Listed Fund</v>
          </cell>
          <cell r="AD252" t="str">
            <v>Core</v>
          </cell>
          <cell r="AE252" t="str">
            <v>finite</v>
          </cell>
          <cell r="AF252" t="str">
            <v>Closed end</v>
          </cell>
          <cell r="AJ252" t="str">
            <v>None</v>
          </cell>
          <cell r="AN252" t="str">
            <v>Institutional</v>
          </cell>
          <cell r="AO252" t="str">
            <v>&gt; 2</v>
          </cell>
          <cell r="AP252" t="str">
            <v>≥ 50%</v>
          </cell>
          <cell r="AQ252" t="str">
            <v>Europe</v>
          </cell>
          <cell r="AR252" t="str">
            <v>multi country</v>
          </cell>
          <cell r="AS252" t="str">
            <v>Europe</v>
          </cell>
          <cell r="AU252" t="str">
            <v>single sector</v>
          </cell>
          <cell r="AV252" t="str">
            <v>Retail</v>
          </cell>
          <cell r="AW252">
            <v>250000000</v>
          </cell>
          <cell r="AX252">
            <v>500000000</v>
          </cell>
          <cell r="AY252">
            <v>2004</v>
          </cell>
          <cell r="AZ252">
            <v>2014</v>
          </cell>
          <cell r="BH252" t="str">
            <v>2020-12-31</v>
          </cell>
          <cell r="BI252">
            <v>1587000</v>
          </cell>
          <cell r="BJ252">
            <v>1587000</v>
          </cell>
          <cell r="BK252">
            <v>1587000</v>
          </cell>
          <cell r="BL252">
            <v>1587000</v>
          </cell>
          <cell r="BM252">
            <v>0</v>
          </cell>
          <cell r="BN252" t="str">
            <v>No</v>
          </cell>
          <cell r="BO252" t="str">
            <v>Internal</v>
          </cell>
          <cell r="BP252">
            <v>8</v>
          </cell>
          <cell r="BQ252">
            <v>0</v>
          </cell>
          <cell r="BR252">
            <v>205920000</v>
          </cell>
          <cell r="BS252">
            <v>205920000</v>
          </cell>
          <cell r="BT252">
            <v>205920000</v>
          </cell>
          <cell r="BU252">
            <v>205920000</v>
          </cell>
          <cell r="BV252" t="str">
            <v>No</v>
          </cell>
        </row>
        <row r="253">
          <cell r="A253">
            <v>220</v>
          </cell>
          <cell r="B253" t="str">
            <v>GRUNDBESITZ EUROPA</v>
          </cell>
          <cell r="C253" t="str">
            <v>DWS GRUNDBESITZ GMBH</v>
          </cell>
          <cell r="D253" t="str">
            <v>Mainzer Landstraße 11-17</v>
          </cell>
          <cell r="E253" t="str">
            <v xml:space="preserve">60329 </v>
          </cell>
          <cell r="F253" t="str">
            <v>Frankfurt am Main</v>
          </cell>
          <cell r="G253" t="str">
            <v>Germany</v>
          </cell>
          <cell r="H253" t="str">
            <v>+49 (0) 69 910-12389</v>
          </cell>
          <cell r="I253" t="str">
            <v>+49 (0) 69 910-19090</v>
          </cell>
          <cell r="J253" t="str">
            <v>http://deutscherealestate.com</v>
          </cell>
          <cell r="K253" t="str">
            <v>Ulrich von Creytz</v>
          </cell>
          <cell r="L253" t="str">
            <v>ulrich-von.creytz@dws.com</v>
          </cell>
          <cell r="M253" t="str">
            <v>+49(69)910-16429</v>
          </cell>
          <cell r="N253" t="str">
            <v>Anke Weinreich</v>
          </cell>
          <cell r="O253" t="str">
            <v>anke.weinreich@dws.com</v>
          </cell>
          <cell r="P253" t="str">
            <v>+49(69)910-16436</v>
          </cell>
          <cell r="Q253" t="str">
            <v>Germany</v>
          </cell>
          <cell r="R253" t="str">
            <v>EUR</v>
          </cell>
          <cell r="S253" t="str">
            <v>HGB</v>
          </cell>
          <cell r="T253" t="str">
            <v>Twice per year</v>
          </cell>
          <cell r="U253" t="str">
            <v>Quarterly</v>
          </cell>
          <cell r="V253" t="str">
            <v>ImmoWertV</v>
          </cell>
          <cell r="X253" t="str">
            <v>KPMG</v>
          </cell>
          <cell r="Y253" t="str">
            <v>Publikumsfonds</v>
          </cell>
          <cell r="Z253" t="str">
            <v>No</v>
          </cell>
          <cell r="AA253" t="str">
            <v>Yes</v>
          </cell>
          <cell r="AB253">
            <v>6</v>
          </cell>
          <cell r="AC253" t="str">
            <v>Non-Listed Fund</v>
          </cell>
          <cell r="AD253" t="str">
            <v>Core</v>
          </cell>
          <cell r="AE253" t="str">
            <v>infinite</v>
          </cell>
          <cell r="AF253" t="str">
            <v>Open end</v>
          </cell>
          <cell r="AJ253" t="str">
            <v>German open ended funds</v>
          </cell>
          <cell r="AK253">
            <v>4.5</v>
          </cell>
          <cell r="AM253" t="str">
            <v>&gt; 40% - ≤ 60%</v>
          </cell>
          <cell r="AN253" t="str">
            <v>Institutional and Retail</v>
          </cell>
          <cell r="AO253" t="str">
            <v>&gt; 2</v>
          </cell>
          <cell r="AP253" t="str">
            <v>&lt; 50%</v>
          </cell>
          <cell r="AQ253" t="str">
            <v>Europe</v>
          </cell>
          <cell r="AR253" t="str">
            <v>multi country</v>
          </cell>
          <cell r="AS253" t="str">
            <v>Europe</v>
          </cell>
          <cell r="AU253" t="str">
            <v>multi sector</v>
          </cell>
          <cell r="AX253">
            <v>4500000000</v>
          </cell>
          <cell r="AY253">
            <v>1970</v>
          </cell>
          <cell r="BA253" t="str">
            <v>No</v>
          </cell>
          <cell r="BB253" t="str">
            <v>No</v>
          </cell>
          <cell r="BH253" t="str">
            <v>2020-12-31</v>
          </cell>
          <cell r="BI253">
            <v>10985763890.049999</v>
          </cell>
          <cell r="BJ253">
            <v>10985763890.049999</v>
          </cell>
          <cell r="BK253">
            <v>9611534362.0799999</v>
          </cell>
          <cell r="BL253">
            <v>9611534362.0799999</v>
          </cell>
          <cell r="BM253">
            <v>20.7</v>
          </cell>
          <cell r="BN253" t="str">
            <v>No</v>
          </cell>
          <cell r="BO253" t="str">
            <v>External</v>
          </cell>
          <cell r="BQ253">
            <v>90</v>
          </cell>
          <cell r="BS253">
            <v>0</v>
          </cell>
          <cell r="BW253" t="str">
            <v>Sweden</v>
          </cell>
          <cell r="BX253" t="str">
            <v>Industrial / Logistics</v>
          </cell>
          <cell r="BY253">
            <v>1.6</v>
          </cell>
          <cell r="BZ253" t="str">
            <v>Germany</v>
          </cell>
          <cell r="CA253" t="str">
            <v>Office</v>
          </cell>
          <cell r="CB253">
            <v>16.100000000000001</v>
          </cell>
          <cell r="CC253" t="str">
            <v>Germany</v>
          </cell>
          <cell r="CD253" t="str">
            <v>Retail</v>
          </cell>
          <cell r="CE253">
            <v>6.9</v>
          </cell>
          <cell r="CF253" t="str">
            <v>Germany</v>
          </cell>
          <cell r="CG253" t="str">
            <v>Hotel</v>
          </cell>
          <cell r="CH253">
            <v>0.8</v>
          </cell>
          <cell r="CI253" t="str">
            <v>Germany</v>
          </cell>
          <cell r="CJ253" t="str">
            <v>Residential</v>
          </cell>
          <cell r="CK253">
            <v>0.2</v>
          </cell>
          <cell r="CL253" t="str">
            <v>Germany</v>
          </cell>
          <cell r="CM253" t="str">
            <v>Industrial / Logistics</v>
          </cell>
          <cell r="CN253">
            <v>1.2</v>
          </cell>
          <cell r="CO253" t="str">
            <v>United Kingdom</v>
          </cell>
          <cell r="CP253" t="str">
            <v>Office</v>
          </cell>
          <cell r="CQ253">
            <v>17.8</v>
          </cell>
          <cell r="CR253" t="str">
            <v>United Kingdom</v>
          </cell>
          <cell r="CS253" t="str">
            <v>Retail</v>
          </cell>
          <cell r="CT253">
            <v>1.3</v>
          </cell>
          <cell r="CU253" t="str">
            <v>United Kingdom</v>
          </cell>
          <cell r="CV253" t="str">
            <v>Residential</v>
          </cell>
          <cell r="CW253">
            <v>5.6</v>
          </cell>
          <cell r="CX253" t="str">
            <v>France</v>
          </cell>
          <cell r="CY253" t="str">
            <v>Office</v>
          </cell>
          <cell r="CZ253">
            <v>11.8</v>
          </cell>
          <cell r="DA253" t="str">
            <v>France</v>
          </cell>
          <cell r="DB253" t="str">
            <v>Industrial / Logistics</v>
          </cell>
          <cell r="DC253">
            <v>1.2</v>
          </cell>
          <cell r="DD253" t="str">
            <v>Netherlands</v>
          </cell>
          <cell r="DE253" t="str">
            <v>Office</v>
          </cell>
          <cell r="DF253">
            <v>5.3</v>
          </cell>
          <cell r="DG253" t="str">
            <v>Netherlands</v>
          </cell>
          <cell r="DH253" t="str">
            <v>Residential</v>
          </cell>
          <cell r="DI253">
            <v>3.2</v>
          </cell>
          <cell r="DJ253" t="str">
            <v>Spain</v>
          </cell>
          <cell r="DK253" t="str">
            <v>Office</v>
          </cell>
          <cell r="DL253">
            <v>0.4</v>
          </cell>
          <cell r="DM253" t="str">
            <v>Spain</v>
          </cell>
          <cell r="DN253" t="str">
            <v>Retail</v>
          </cell>
          <cell r="DO253">
            <v>7.4</v>
          </cell>
          <cell r="DP253" t="str">
            <v>Spain</v>
          </cell>
          <cell r="DQ253" t="str">
            <v>Industrial / Logistics</v>
          </cell>
          <cell r="DR253">
            <v>0.2</v>
          </cell>
          <cell r="DS253" t="str">
            <v>Portugal</v>
          </cell>
          <cell r="DT253" t="str">
            <v>Retail</v>
          </cell>
          <cell r="DU253">
            <v>0.9</v>
          </cell>
          <cell r="DV253" t="str">
            <v>Italy</v>
          </cell>
          <cell r="DW253" t="str">
            <v>Office</v>
          </cell>
          <cell r="DX253">
            <v>0.4</v>
          </cell>
          <cell r="DY253" t="str">
            <v>Italy</v>
          </cell>
          <cell r="DZ253" t="str">
            <v>Retail</v>
          </cell>
          <cell r="EA253">
            <v>1.9</v>
          </cell>
          <cell r="EB253" t="str">
            <v>Italy</v>
          </cell>
          <cell r="EC253" t="str">
            <v>Industrial / Logistics</v>
          </cell>
          <cell r="ED253">
            <v>2.2999999999999998</v>
          </cell>
          <cell r="EE253" t="str">
            <v>Poland</v>
          </cell>
          <cell r="EF253" t="str">
            <v>Office</v>
          </cell>
          <cell r="EG253">
            <v>3.7</v>
          </cell>
          <cell r="EH253" t="str">
            <v>Poland</v>
          </cell>
          <cell r="EI253" t="str">
            <v>Retail</v>
          </cell>
          <cell r="EJ253">
            <v>3.1</v>
          </cell>
          <cell r="EK253" t="str">
            <v>Poland</v>
          </cell>
          <cell r="EL253" t="str">
            <v>Industrial / Logistics</v>
          </cell>
          <cell r="EM253">
            <v>0.6</v>
          </cell>
          <cell r="EN253" t="str">
            <v>Hungary</v>
          </cell>
          <cell r="EO253" t="str">
            <v>Retail</v>
          </cell>
          <cell r="EP253">
            <v>0.9</v>
          </cell>
          <cell r="EQ253" t="str">
            <v>Ireland</v>
          </cell>
          <cell r="ER253" t="str">
            <v>Residential</v>
          </cell>
          <cell r="ES253">
            <v>1.8</v>
          </cell>
          <cell r="ET253" t="str">
            <v>Finland</v>
          </cell>
          <cell r="EU253" t="str">
            <v>Office</v>
          </cell>
        </row>
        <row r="254">
          <cell r="A254">
            <v>221</v>
          </cell>
          <cell r="B254" t="str">
            <v>GRUNDBESITZ GLOBAL</v>
          </cell>
          <cell r="C254" t="str">
            <v>RREEF INVESTMENT GMBH</v>
          </cell>
          <cell r="D254" t="str">
            <v>Taunusanlage 12</v>
          </cell>
          <cell r="E254">
            <v>60612</v>
          </cell>
          <cell r="F254" t="str">
            <v>Frankfurt am Main</v>
          </cell>
          <cell r="G254" t="str">
            <v>Germany</v>
          </cell>
          <cell r="H254" t="str">
            <v>+49 (0) 69 910 12389</v>
          </cell>
          <cell r="I254" t="str">
            <v>+49 (0) 69 910 19090</v>
          </cell>
          <cell r="J254" t="str">
            <v>http://www.deutscherealestate.com</v>
          </cell>
          <cell r="K254" t="str">
            <v>Christian Bäcker</v>
          </cell>
          <cell r="L254" t="str">
            <v>christian.baecker@db.com</v>
          </cell>
          <cell r="M254" t="str">
            <v>+49(69)910-14938</v>
          </cell>
          <cell r="N254" t="str">
            <v>Tanja Majer</v>
          </cell>
          <cell r="O254" t="str">
            <v>tanja.majer@db.com</v>
          </cell>
          <cell r="P254" t="str">
            <v>+49(69)910-16331</v>
          </cell>
          <cell r="Q254" t="str">
            <v>Germany</v>
          </cell>
          <cell r="R254" t="str">
            <v>EUR</v>
          </cell>
          <cell r="S254" t="str">
            <v>HGB</v>
          </cell>
          <cell r="T254" t="str">
            <v>Twice per year</v>
          </cell>
          <cell r="U254" t="str">
            <v>Quarterly</v>
          </cell>
          <cell r="X254" t="str">
            <v>KPMG</v>
          </cell>
          <cell r="Y254" t="str">
            <v>Publikumsfonds</v>
          </cell>
          <cell r="Z254" t="str">
            <v>No</v>
          </cell>
          <cell r="AA254" t="str">
            <v>Yes</v>
          </cell>
          <cell r="AB254">
            <v>6</v>
          </cell>
          <cell r="AC254" t="str">
            <v>Non-Listed Fund</v>
          </cell>
          <cell r="AD254" t="str">
            <v>Core</v>
          </cell>
          <cell r="AE254" t="str">
            <v>infinite</v>
          </cell>
          <cell r="AF254" t="str">
            <v>Open end</v>
          </cell>
          <cell r="AJ254" t="str">
            <v>German open ended funds</v>
          </cell>
          <cell r="AK254">
            <v>4</v>
          </cell>
          <cell r="AL254">
            <v>25</v>
          </cell>
          <cell r="AM254" t="str">
            <v>≤ 40%</v>
          </cell>
          <cell r="AN254" t="str">
            <v>Institutional and Retail</v>
          </cell>
          <cell r="AO254" t="str">
            <v>&gt; 2</v>
          </cell>
          <cell r="AP254" t="str">
            <v>&lt; 50%</v>
          </cell>
          <cell r="AQ254" t="str">
            <v>Global</v>
          </cell>
          <cell r="AR254" t="str">
            <v>multi country</v>
          </cell>
          <cell r="AU254" t="str">
            <v>multi sector</v>
          </cell>
          <cell r="AX254">
            <v>4000000000</v>
          </cell>
          <cell r="AY254">
            <v>2000</v>
          </cell>
          <cell r="BA254" t="str">
            <v>No</v>
          </cell>
          <cell r="BB254" t="str">
            <v>No</v>
          </cell>
          <cell r="BD254" t="str">
            <v>No</v>
          </cell>
          <cell r="BH254" t="str">
            <v>2020-12-31</v>
          </cell>
          <cell r="BI254">
            <v>5087981206.8199997</v>
          </cell>
          <cell r="BJ254">
            <v>5087981206.8199997</v>
          </cell>
          <cell r="BK254">
            <v>4194808733.5799999</v>
          </cell>
          <cell r="BL254">
            <v>4194808733.5799999</v>
          </cell>
          <cell r="BM254">
            <v>21.7</v>
          </cell>
          <cell r="BN254" t="str">
            <v>Yes</v>
          </cell>
          <cell r="BO254" t="str">
            <v>External</v>
          </cell>
          <cell r="BQ254">
            <v>56</v>
          </cell>
          <cell r="BS254">
            <v>0</v>
          </cell>
          <cell r="BW254" t="str">
            <v>United States of America</v>
          </cell>
          <cell r="BX254" t="str">
            <v>Leisure</v>
          </cell>
          <cell r="BY254">
            <v>0.7</v>
          </cell>
          <cell r="BZ254" t="str">
            <v>United States of America</v>
          </cell>
          <cell r="CA254" t="str">
            <v>Office</v>
          </cell>
          <cell r="CB254">
            <v>13.4</v>
          </cell>
          <cell r="CC254" t="str">
            <v>United States of America</v>
          </cell>
          <cell r="CD254" t="str">
            <v>Residential</v>
          </cell>
          <cell r="CE254">
            <v>2.1</v>
          </cell>
          <cell r="CF254" t="str">
            <v>United States of America</v>
          </cell>
          <cell r="CG254" t="str">
            <v>Retail</v>
          </cell>
          <cell r="CH254">
            <v>3.6</v>
          </cell>
          <cell r="CI254" t="str">
            <v>Japan</v>
          </cell>
          <cell r="CJ254" t="str">
            <v>Office</v>
          </cell>
          <cell r="CK254">
            <v>6.1</v>
          </cell>
          <cell r="CL254" t="str">
            <v>Japan</v>
          </cell>
          <cell r="CM254" t="str">
            <v>Industrial / Logistics</v>
          </cell>
          <cell r="CN254">
            <v>1.8</v>
          </cell>
          <cell r="CO254" t="str">
            <v>South Korea</v>
          </cell>
          <cell r="CP254" t="str">
            <v>Industrial / Logistics</v>
          </cell>
          <cell r="CQ254">
            <v>3.7</v>
          </cell>
          <cell r="CR254" t="str">
            <v>South Korea</v>
          </cell>
          <cell r="CS254" t="str">
            <v>Office</v>
          </cell>
          <cell r="CT254">
            <v>3.2</v>
          </cell>
          <cell r="CU254" t="str">
            <v>Australia</v>
          </cell>
          <cell r="CV254" t="str">
            <v>Office</v>
          </cell>
          <cell r="CW254">
            <v>4.4000000000000004</v>
          </cell>
          <cell r="CX254" t="str">
            <v>Australia</v>
          </cell>
          <cell r="CY254" t="str">
            <v>Hotel</v>
          </cell>
          <cell r="CZ254">
            <v>0.7</v>
          </cell>
          <cell r="DA254" t="str">
            <v>Finland</v>
          </cell>
          <cell r="DB254" t="str">
            <v>Office</v>
          </cell>
          <cell r="DC254">
            <v>4.2</v>
          </cell>
          <cell r="DD254" t="str">
            <v>Finland</v>
          </cell>
          <cell r="DE254" t="str">
            <v>Industrial / Logistics</v>
          </cell>
          <cell r="DF254">
            <v>1.6</v>
          </cell>
          <cell r="DG254" t="str">
            <v>Netherlands</v>
          </cell>
          <cell r="DH254" t="str">
            <v>Office</v>
          </cell>
          <cell r="DI254">
            <v>2</v>
          </cell>
          <cell r="DJ254" t="str">
            <v>Austria</v>
          </cell>
          <cell r="DK254" t="str">
            <v>Office</v>
          </cell>
          <cell r="DL254">
            <v>4.0999999999999996</v>
          </cell>
          <cell r="DM254" t="str">
            <v>Austria</v>
          </cell>
          <cell r="DN254" t="str">
            <v>Hotel</v>
          </cell>
          <cell r="DO254">
            <v>2.1</v>
          </cell>
          <cell r="DP254" t="str">
            <v>Poland</v>
          </cell>
          <cell r="DQ254" t="str">
            <v>Office</v>
          </cell>
          <cell r="DR254">
            <v>1</v>
          </cell>
          <cell r="DS254" t="str">
            <v>Poland</v>
          </cell>
          <cell r="DT254" t="str">
            <v>Retail</v>
          </cell>
          <cell r="DU254">
            <v>3.1</v>
          </cell>
          <cell r="DV254" t="str">
            <v>Portugal</v>
          </cell>
          <cell r="DW254" t="str">
            <v>Retail</v>
          </cell>
          <cell r="DX254">
            <v>2.9</v>
          </cell>
          <cell r="DY254" t="str">
            <v>Portugal</v>
          </cell>
          <cell r="DZ254" t="str">
            <v>Industrial / Logistics</v>
          </cell>
          <cell r="EA254">
            <v>4.8</v>
          </cell>
          <cell r="EB254" t="str">
            <v>Sweden</v>
          </cell>
          <cell r="EC254" t="str">
            <v>Office</v>
          </cell>
          <cell r="ED254">
            <v>0.9</v>
          </cell>
          <cell r="EE254" t="str">
            <v>Hungary</v>
          </cell>
          <cell r="EF254" t="str">
            <v>Office</v>
          </cell>
          <cell r="EG254">
            <v>10.1</v>
          </cell>
          <cell r="EH254" t="str">
            <v>United Kingdom</v>
          </cell>
          <cell r="EI254" t="str">
            <v>Office</v>
          </cell>
          <cell r="EJ254">
            <v>2.4</v>
          </cell>
          <cell r="EK254" t="str">
            <v>United Kingdom</v>
          </cell>
          <cell r="EL254" t="str">
            <v>Residential</v>
          </cell>
          <cell r="EM254">
            <v>7.4</v>
          </cell>
          <cell r="EN254" t="str">
            <v>Ireland</v>
          </cell>
          <cell r="EO254" t="str">
            <v>Retail</v>
          </cell>
          <cell r="EP254">
            <v>2.1</v>
          </cell>
          <cell r="EQ254" t="str">
            <v>Spain</v>
          </cell>
          <cell r="ER254" t="str">
            <v>Retail</v>
          </cell>
          <cell r="ES254">
            <v>3.7</v>
          </cell>
          <cell r="ET254" t="str">
            <v>Italy</v>
          </cell>
          <cell r="EU254" t="str">
            <v>Retail</v>
          </cell>
        </row>
        <row r="255">
          <cell r="A255">
            <v>222</v>
          </cell>
          <cell r="B255" t="str">
            <v>HABITARE</v>
          </cell>
          <cell r="C255" t="str">
            <v>QUANTUM IMMOBILIEN KAPITALVERWALTUNGSGESELLSCHAFT MBH</v>
          </cell>
          <cell r="D255" t="str">
            <v>Dornbusch 4</v>
          </cell>
          <cell r="E255">
            <v>20095</v>
          </cell>
          <cell r="F255" t="str">
            <v>Hamburg</v>
          </cell>
          <cell r="G255" t="str">
            <v>Germany</v>
          </cell>
          <cell r="H255" t="str">
            <v>+49404143300</v>
          </cell>
          <cell r="I255" t="str">
            <v>+4940414330511</v>
          </cell>
          <cell r="J255" t="str">
            <v>http://www.quantum.ag</v>
          </cell>
          <cell r="N255" t="str">
            <v>Johanna Jachczik</v>
          </cell>
          <cell r="O255" t="str">
            <v>jj@quantum.ag</v>
          </cell>
          <cell r="P255" t="str">
            <v>+4940414330544</v>
          </cell>
          <cell r="Q255" t="str">
            <v>Germany</v>
          </cell>
          <cell r="R255" t="str">
            <v>EUR</v>
          </cell>
          <cell r="S255" t="str">
            <v>Local GAAP</v>
          </cell>
          <cell r="T255" t="str">
            <v>Monthly</v>
          </cell>
          <cell r="U255" t="str">
            <v>Annually</v>
          </cell>
          <cell r="W255" t="str">
            <v>INREV NAV</v>
          </cell>
          <cell r="X255" t="str">
            <v>KPMG</v>
          </cell>
          <cell r="Y255" t="str">
            <v>Spezialfonds</v>
          </cell>
          <cell r="Z255" t="str">
            <v>No</v>
          </cell>
          <cell r="AA255" t="str">
            <v>Yes</v>
          </cell>
          <cell r="AB255">
            <v>3</v>
          </cell>
          <cell r="AC255" t="str">
            <v>Non-Listed Fund</v>
          </cell>
          <cell r="AD255" t="str">
            <v>Core</v>
          </cell>
          <cell r="AE255" t="str">
            <v>infinite</v>
          </cell>
          <cell r="AF255" t="str">
            <v>Open end</v>
          </cell>
          <cell r="AG255">
            <v>5</v>
          </cell>
          <cell r="AH255">
            <v>7</v>
          </cell>
          <cell r="AI255" t="str">
            <v>Net</v>
          </cell>
          <cell r="AJ255" t="str">
            <v>None</v>
          </cell>
          <cell r="AK255">
            <v>5</v>
          </cell>
          <cell r="AL255">
            <v>50</v>
          </cell>
          <cell r="AM255" t="str">
            <v>&gt; 40% - ≤ 60%</v>
          </cell>
          <cell r="AN255" t="str">
            <v>Institutional</v>
          </cell>
          <cell r="AO255" t="str">
            <v>&gt; 2</v>
          </cell>
          <cell r="AP255" t="str">
            <v>≥ 50%</v>
          </cell>
          <cell r="AQ255" t="str">
            <v>Europe</v>
          </cell>
          <cell r="AR255" t="str">
            <v>single country</v>
          </cell>
          <cell r="AT255" t="str">
            <v>Germany</v>
          </cell>
          <cell r="AU255" t="str">
            <v>single sector</v>
          </cell>
          <cell r="AV255" t="str">
            <v>Residential</v>
          </cell>
          <cell r="AW255">
            <v>533000000</v>
          </cell>
          <cell r="AX255">
            <v>1000000000</v>
          </cell>
          <cell r="AY255">
            <v>2006</v>
          </cell>
          <cell r="BA255" t="str">
            <v>No</v>
          </cell>
          <cell r="BB255" t="str">
            <v>No</v>
          </cell>
          <cell r="BD255" t="str">
            <v>No</v>
          </cell>
          <cell r="BH255" t="str">
            <v>2020-12-31</v>
          </cell>
          <cell r="BI255">
            <v>1264417434</v>
          </cell>
          <cell r="BJ255">
            <v>1264417434</v>
          </cell>
          <cell r="BK255">
            <v>911237559</v>
          </cell>
          <cell r="BL255">
            <v>911237559</v>
          </cell>
          <cell r="BM255">
            <v>33</v>
          </cell>
          <cell r="BO255" t="str">
            <v>External</v>
          </cell>
          <cell r="BP255">
            <v>14</v>
          </cell>
          <cell r="BQ255">
            <v>42</v>
          </cell>
          <cell r="BR255">
            <v>533000000</v>
          </cell>
          <cell r="BS255">
            <v>533000000</v>
          </cell>
          <cell r="BT255">
            <v>532999976</v>
          </cell>
          <cell r="BU255">
            <v>532999976</v>
          </cell>
          <cell r="BV255" t="str">
            <v>No</v>
          </cell>
          <cell r="BW255" t="str">
            <v>Germany</v>
          </cell>
          <cell r="BX255" t="str">
            <v>Residential</v>
          </cell>
          <cell r="BY255">
            <v>100</v>
          </cell>
        </row>
        <row r="256">
          <cell r="A256">
            <v>18193</v>
          </cell>
          <cell r="B256" t="str">
            <v>HABITARE II</v>
          </cell>
          <cell r="C256" t="str">
            <v>QUANTUM IMMOBILIEN KAPITALVERWALTUNGSGESELLSCHAFT</v>
          </cell>
          <cell r="D256" t="str">
            <v>Dornbusch 4</v>
          </cell>
          <cell r="E256">
            <v>20095</v>
          </cell>
          <cell r="F256" t="str">
            <v>Hamburg</v>
          </cell>
          <cell r="G256" t="str">
            <v>Germany</v>
          </cell>
          <cell r="H256" t="str">
            <v>+49404143300</v>
          </cell>
          <cell r="I256" t="str">
            <v>+4940414330511</v>
          </cell>
          <cell r="J256" t="str">
            <v>https://www.quantum.ag/</v>
          </cell>
          <cell r="N256" t="str">
            <v>Johanna Jachczik</v>
          </cell>
          <cell r="O256" t="str">
            <v>jj@quantum.ag</v>
          </cell>
          <cell r="P256" t="str">
            <v>+4940414330544</v>
          </cell>
          <cell r="Q256" t="str">
            <v>Germany</v>
          </cell>
          <cell r="R256" t="str">
            <v>EUR</v>
          </cell>
          <cell r="T256" t="str">
            <v>Monthly</v>
          </cell>
          <cell r="U256" t="str">
            <v>Annually</v>
          </cell>
          <cell r="X256" t="str">
            <v>KPMG</v>
          </cell>
          <cell r="Y256" t="str">
            <v>Spezialfonds</v>
          </cell>
          <cell r="Z256" t="str">
            <v>No</v>
          </cell>
          <cell r="AA256" t="str">
            <v>No</v>
          </cell>
          <cell r="AC256" t="str">
            <v>Non-Listed Fund</v>
          </cell>
          <cell r="AD256" t="str">
            <v>Core</v>
          </cell>
          <cell r="AE256" t="str">
            <v>infinite</v>
          </cell>
          <cell r="AF256" t="str">
            <v>Open end</v>
          </cell>
          <cell r="AG256">
            <v>4</v>
          </cell>
          <cell r="AH256">
            <v>4.5</v>
          </cell>
          <cell r="AI256" t="str">
            <v>Net</v>
          </cell>
          <cell r="AJ256" t="str">
            <v>none</v>
          </cell>
          <cell r="AK256">
            <v>4.5</v>
          </cell>
          <cell r="AL256">
            <v>50</v>
          </cell>
          <cell r="AM256" t="str">
            <v>&gt; 40% - ≤ 60%</v>
          </cell>
          <cell r="AN256" t="str">
            <v>Institutional</v>
          </cell>
          <cell r="AO256" t="str">
            <v>&gt; 2</v>
          </cell>
          <cell r="AP256" t="str">
            <v>≥ 50%</v>
          </cell>
          <cell r="AQ256" t="str">
            <v>Europe</v>
          </cell>
          <cell r="AR256" t="str">
            <v>single country</v>
          </cell>
          <cell r="AT256" t="str">
            <v>Germany</v>
          </cell>
          <cell r="AU256" t="str">
            <v>single sector</v>
          </cell>
          <cell r="AV256" t="str">
            <v>Residential</v>
          </cell>
          <cell r="AW256">
            <v>250000000</v>
          </cell>
          <cell r="AX256">
            <v>500000000</v>
          </cell>
          <cell r="AY256">
            <v>2017</v>
          </cell>
          <cell r="BB256" t="str">
            <v>No</v>
          </cell>
          <cell r="BD256" t="str">
            <v>No</v>
          </cell>
          <cell r="BH256" t="str">
            <v>2020-12-31</v>
          </cell>
          <cell r="BI256">
            <v>370604450</v>
          </cell>
          <cell r="BJ256">
            <v>370604450</v>
          </cell>
          <cell r="BK256">
            <v>220645100</v>
          </cell>
          <cell r="BL256">
            <v>220645100</v>
          </cell>
          <cell r="BM256">
            <v>43</v>
          </cell>
          <cell r="BN256" t="str">
            <v>No</v>
          </cell>
          <cell r="BO256" t="str">
            <v>External</v>
          </cell>
          <cell r="BP256">
            <v>24</v>
          </cell>
          <cell r="BQ256">
            <v>12</v>
          </cell>
          <cell r="BR256">
            <v>244500000</v>
          </cell>
          <cell r="BS256">
            <v>244500000</v>
          </cell>
          <cell r="BT256">
            <v>188999000</v>
          </cell>
          <cell r="BU256">
            <v>188999000</v>
          </cell>
          <cell r="BV256" t="str">
            <v>No</v>
          </cell>
          <cell r="BW256" t="str">
            <v>Germany</v>
          </cell>
          <cell r="BX256" t="str">
            <v>Residential</v>
          </cell>
          <cell r="BY256">
            <v>100</v>
          </cell>
        </row>
        <row r="257">
          <cell r="A257">
            <v>18175</v>
          </cell>
          <cell r="B257" t="str">
            <v>HADRIAN</v>
          </cell>
          <cell r="C257" t="str">
            <v>AXA REIM SGR S.P.A</v>
          </cell>
          <cell r="D257" t="str">
            <v>Corso di Porta Romana no. 68</v>
          </cell>
          <cell r="E257">
            <v>20146</v>
          </cell>
          <cell r="F257" t="str">
            <v>Milan</v>
          </cell>
          <cell r="G257" t="str">
            <v>Italy</v>
          </cell>
          <cell r="J257" t="str">
            <v>https://realassets.axa-im.com</v>
          </cell>
          <cell r="K257" t="str">
            <v>Lorenzo SCARFI</v>
          </cell>
          <cell r="L257" t="str">
            <v>lorenzo.scarfi@axa-im.com</v>
          </cell>
          <cell r="M257" t="str">
            <v>+390258442018</v>
          </cell>
          <cell r="N257" t="str">
            <v>Jamie-Lee Chambers</v>
          </cell>
          <cell r="O257" t="str">
            <v>jamie-lee.chambers@axa-im.com</v>
          </cell>
          <cell r="Q257" t="str">
            <v>Italy</v>
          </cell>
          <cell r="R257" t="str">
            <v>EUR</v>
          </cell>
          <cell r="S257" t="str">
            <v>Local GAAP</v>
          </cell>
          <cell r="T257" t="str">
            <v>Quarterly</v>
          </cell>
          <cell r="U257" t="str">
            <v>Twice per year</v>
          </cell>
          <cell r="V257" t="str">
            <v>Other - mark to market</v>
          </cell>
          <cell r="W257" t="str">
            <v>Bank of Italy gaap - similar to IFRS</v>
          </cell>
          <cell r="X257" t="str">
            <v>Mazars Italia S.p.A.</v>
          </cell>
          <cell r="Y257" t="str">
            <v>Real Estate Fund</v>
          </cell>
          <cell r="Z257" t="str">
            <v>No</v>
          </cell>
          <cell r="AC257" t="str">
            <v>Non-Listed Fund</v>
          </cell>
          <cell r="AD257" t="str">
            <v>Core</v>
          </cell>
          <cell r="AE257" t="str">
            <v>finite</v>
          </cell>
          <cell r="AF257" t="str">
            <v>Closed end</v>
          </cell>
          <cell r="AG257">
            <v>6.5</v>
          </cell>
          <cell r="AH257">
            <v>6.5</v>
          </cell>
          <cell r="AI257" t="str">
            <v>Gross</v>
          </cell>
          <cell r="AM257" t="str">
            <v>&gt; 40% - ≤ 60%</v>
          </cell>
          <cell r="AN257" t="str">
            <v>Institutional</v>
          </cell>
          <cell r="AO257" t="str">
            <v>&gt; 2</v>
          </cell>
          <cell r="AP257" t="str">
            <v>≥ 50%</v>
          </cell>
          <cell r="AQ257" t="str">
            <v>Europe</v>
          </cell>
          <cell r="AR257" t="str">
            <v>multi country</v>
          </cell>
          <cell r="AS257" t="str">
            <v>Europe</v>
          </cell>
          <cell r="AU257" t="str">
            <v>multi sector</v>
          </cell>
          <cell r="AY257">
            <v>2016</v>
          </cell>
          <cell r="AZ257">
            <v>2025</v>
          </cell>
          <cell r="BA257" t="str">
            <v>Yes</v>
          </cell>
          <cell r="BB257" t="str">
            <v>Yes</v>
          </cell>
          <cell r="BC257" t="str">
            <v>5 years fixed</v>
          </cell>
          <cell r="BH257" t="str">
            <v>2020-12-31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 t="str">
            <v>Yes</v>
          </cell>
          <cell r="BO257" t="str">
            <v>Internal</v>
          </cell>
          <cell r="BP257">
            <v>8</v>
          </cell>
          <cell r="BQ257">
            <v>0</v>
          </cell>
          <cell r="BR257">
            <v>146500000</v>
          </cell>
          <cell r="BS257">
            <v>146500000</v>
          </cell>
          <cell r="BT257">
            <v>16466600</v>
          </cell>
          <cell r="BU257">
            <v>16466600</v>
          </cell>
          <cell r="BV257" t="str">
            <v>No</v>
          </cell>
        </row>
        <row r="258">
          <cell r="A258">
            <v>543</v>
          </cell>
          <cell r="B258" t="str">
            <v>HAHN FCP-FIS-GERMAN RETAIL FUND</v>
          </cell>
          <cell r="C258" t="str">
            <v>HAHN GROUP</v>
          </cell>
          <cell r="D258" t="str">
            <v>Buddestr. 14</v>
          </cell>
          <cell r="E258">
            <v>51429</v>
          </cell>
          <cell r="F258" t="str">
            <v>Bergisch Gladbach</v>
          </cell>
          <cell r="G258" t="str">
            <v>Germany</v>
          </cell>
          <cell r="H258" t="str">
            <v>+4922049490135</v>
          </cell>
          <cell r="I258" t="str">
            <v>+4922049490212</v>
          </cell>
          <cell r="J258" t="str">
            <v>http://www.hahnag.de</v>
          </cell>
          <cell r="K258" t="str">
            <v>Oliver Luckey</v>
          </cell>
          <cell r="L258" t="str">
            <v>oluckey@hahnag.de</v>
          </cell>
          <cell r="M258" t="str">
            <v>+4922049490135</v>
          </cell>
          <cell r="N258" t="str">
            <v>Oliver Luckey</v>
          </cell>
          <cell r="O258" t="str">
            <v>oluckey@hahnag.de</v>
          </cell>
          <cell r="P258" t="str">
            <v>+4922049490212</v>
          </cell>
          <cell r="Q258" t="str">
            <v>Luxembourg</v>
          </cell>
          <cell r="R258" t="str">
            <v>EUR</v>
          </cell>
          <cell r="S258" t="str">
            <v>IFRS</v>
          </cell>
          <cell r="T258" t="str">
            <v>Monthly</v>
          </cell>
          <cell r="U258" t="str">
            <v>Twice per year</v>
          </cell>
          <cell r="V258" t="str">
            <v>RICS</v>
          </cell>
          <cell r="W258" t="str">
            <v>INREV NAV</v>
          </cell>
          <cell r="X258" t="str">
            <v>PriceWaterhouseCoopers</v>
          </cell>
          <cell r="Y258" t="str">
            <v>FCP</v>
          </cell>
          <cell r="Z258" t="str">
            <v>Yes</v>
          </cell>
          <cell r="AA258" t="str">
            <v>Yes</v>
          </cell>
          <cell r="AB258">
            <v>6</v>
          </cell>
          <cell r="AC258" t="str">
            <v>Non-Listed Fund</v>
          </cell>
          <cell r="AD258" t="str">
            <v>Core</v>
          </cell>
          <cell r="AE258" t="str">
            <v>infinite</v>
          </cell>
          <cell r="AF258" t="str">
            <v>Open end</v>
          </cell>
          <cell r="AG258">
            <v>6</v>
          </cell>
          <cell r="AH258">
            <v>6</v>
          </cell>
          <cell r="AI258" t="str">
            <v>Net</v>
          </cell>
          <cell r="AK258">
            <v>5.5</v>
          </cell>
          <cell r="AL258">
            <v>50</v>
          </cell>
          <cell r="AM258" t="str">
            <v>&gt; 40% - ≤ 60%</v>
          </cell>
          <cell r="AN258" t="str">
            <v>Institutional</v>
          </cell>
          <cell r="AO258" t="str">
            <v>&gt; 2</v>
          </cell>
          <cell r="AP258" t="str">
            <v>≥ 50%</v>
          </cell>
          <cell r="AQ258" t="str">
            <v>Europe</v>
          </cell>
          <cell r="AR258" t="str">
            <v>single country</v>
          </cell>
          <cell r="AT258" t="str">
            <v>Germany</v>
          </cell>
          <cell r="AU258" t="str">
            <v>single sector</v>
          </cell>
          <cell r="AV258" t="str">
            <v>Retail</v>
          </cell>
          <cell r="AW258">
            <v>343500000</v>
          </cell>
          <cell r="AX258">
            <v>500000000</v>
          </cell>
          <cell r="AY258">
            <v>2008</v>
          </cell>
          <cell r="AZ258">
            <v>2020</v>
          </cell>
          <cell r="BA258" t="str">
            <v>Yes</v>
          </cell>
          <cell r="BB258" t="str">
            <v>Yes</v>
          </cell>
          <cell r="BC258" t="str">
            <v>5 years fixed</v>
          </cell>
          <cell r="BD258" t="str">
            <v>Yes</v>
          </cell>
          <cell r="BE258" t="str">
            <v>≥ 60%</v>
          </cell>
          <cell r="BF258" t="str">
            <v>≤ 15%</v>
          </cell>
          <cell r="BG258" t="str">
            <v>≤ 5%</v>
          </cell>
          <cell r="BH258" t="str">
            <v>2020-12-31</v>
          </cell>
          <cell r="BI258">
            <v>551017941</v>
          </cell>
          <cell r="BJ258">
            <v>551017941</v>
          </cell>
          <cell r="BK258">
            <v>358129491</v>
          </cell>
          <cell r="BL258">
            <v>358129491</v>
          </cell>
          <cell r="BM258">
            <v>31.3</v>
          </cell>
          <cell r="BN258" t="str">
            <v>Yes</v>
          </cell>
          <cell r="BO258" t="str">
            <v>External</v>
          </cell>
          <cell r="BP258">
            <v>11</v>
          </cell>
          <cell r="BQ258">
            <v>25</v>
          </cell>
          <cell r="BR258">
            <v>343500000</v>
          </cell>
          <cell r="BS258">
            <v>343500000</v>
          </cell>
          <cell r="BT258">
            <v>343500000</v>
          </cell>
          <cell r="BU258">
            <v>343500000</v>
          </cell>
          <cell r="BV258" t="str">
            <v>No</v>
          </cell>
          <cell r="BW258" t="str">
            <v>Germany</v>
          </cell>
          <cell r="BX258" t="str">
            <v>Retail</v>
          </cell>
          <cell r="BY258">
            <v>100</v>
          </cell>
        </row>
        <row r="259">
          <cell r="A259">
            <v>18216</v>
          </cell>
          <cell r="B259" t="str">
            <v>HAHN GERMAN RETAIL FUND II</v>
          </cell>
          <cell r="C259" t="str">
            <v>HAHN GROUP</v>
          </cell>
          <cell r="D259" t="str">
            <v>Buddestr. 14</v>
          </cell>
          <cell r="E259">
            <v>51429</v>
          </cell>
          <cell r="F259" t="str">
            <v>Bergisch Gladbach</v>
          </cell>
          <cell r="G259" t="str">
            <v>Germany</v>
          </cell>
          <cell r="H259" t="str">
            <v>+49 (0) 2204 9490-135</v>
          </cell>
          <cell r="I259" t="str">
            <v>+49 (0) 2204 9490-202</v>
          </cell>
          <cell r="J259" t="str">
            <v>http://www.hahnag.de</v>
          </cell>
          <cell r="K259" t="str">
            <v>Oliver Luckey</v>
          </cell>
          <cell r="L259" t="str">
            <v>oluckey@hahnag.de</v>
          </cell>
          <cell r="M259" t="str">
            <v>+49 (0) 2204 -9490-135</v>
          </cell>
          <cell r="N259" t="str">
            <v>Oliver Luckey</v>
          </cell>
          <cell r="O259" t="str">
            <v>oluckey@hahnag.de</v>
          </cell>
          <cell r="P259" t="str">
            <v>+49 (0) 2204 -9490-135</v>
          </cell>
          <cell r="Q259" t="str">
            <v>Germany</v>
          </cell>
          <cell r="R259" t="str">
            <v>EUR</v>
          </cell>
          <cell r="S259" t="str">
            <v>Local GAAP</v>
          </cell>
          <cell r="T259" t="str">
            <v>Monthly</v>
          </cell>
          <cell r="U259" t="str">
            <v>Annually</v>
          </cell>
          <cell r="V259" t="str">
            <v>RICS</v>
          </cell>
          <cell r="W259" t="str">
            <v>KARBV</v>
          </cell>
          <cell r="X259" t="str">
            <v>PriceWaterhouseCoopers</v>
          </cell>
          <cell r="Y259" t="str">
            <v>Spezialfonds</v>
          </cell>
          <cell r="Z259" t="str">
            <v>No</v>
          </cell>
          <cell r="AA259" t="str">
            <v>No</v>
          </cell>
          <cell r="AB259">
            <v>4</v>
          </cell>
          <cell r="AC259" t="str">
            <v>Non-Listed Fund</v>
          </cell>
          <cell r="AD259" t="str">
            <v>Core</v>
          </cell>
          <cell r="AE259" t="str">
            <v>infinite</v>
          </cell>
          <cell r="AF259" t="str">
            <v>Open end</v>
          </cell>
          <cell r="AG259">
            <v>6</v>
          </cell>
          <cell r="AH259">
            <v>6</v>
          </cell>
          <cell r="AI259" t="str">
            <v>Net</v>
          </cell>
          <cell r="AJ259" t="str">
            <v>MSCI</v>
          </cell>
          <cell r="AK259">
            <v>4.25</v>
          </cell>
          <cell r="AL259">
            <v>50</v>
          </cell>
          <cell r="AM259" t="str">
            <v>&gt; 40% - ≤ 60%</v>
          </cell>
          <cell r="AN259" t="str">
            <v>Institutional</v>
          </cell>
          <cell r="AO259" t="str">
            <v>&gt; 2</v>
          </cell>
          <cell r="AP259" t="str">
            <v>≥ 50%</v>
          </cell>
          <cell r="AQ259" t="str">
            <v>Europe</v>
          </cell>
          <cell r="AR259" t="str">
            <v>single country</v>
          </cell>
          <cell r="AT259" t="str">
            <v>Germany</v>
          </cell>
          <cell r="AU259" t="str">
            <v>single sector</v>
          </cell>
          <cell r="AV259" t="str">
            <v>Retail</v>
          </cell>
          <cell r="AW259">
            <v>250000000</v>
          </cell>
          <cell r="AX259">
            <v>500000000</v>
          </cell>
          <cell r="AY259">
            <v>2017</v>
          </cell>
          <cell r="BB259" t="str">
            <v>No</v>
          </cell>
          <cell r="BD259" t="str">
            <v>No</v>
          </cell>
          <cell r="BE259" t="str">
            <v>≥ 60%</v>
          </cell>
          <cell r="BF259" t="str">
            <v>≤ 15%</v>
          </cell>
          <cell r="BG259" t="str">
            <v>≤ 5%</v>
          </cell>
          <cell r="BH259" t="str">
            <v>2020-12-31</v>
          </cell>
          <cell r="BI259">
            <v>263607346</v>
          </cell>
          <cell r="BJ259">
            <v>263607346</v>
          </cell>
          <cell r="BK259">
            <v>181067691</v>
          </cell>
          <cell r="BL259">
            <v>181067691</v>
          </cell>
          <cell r="BM259">
            <v>41.3</v>
          </cell>
          <cell r="BN259" t="str">
            <v>No</v>
          </cell>
          <cell r="BO259" t="str">
            <v>External</v>
          </cell>
          <cell r="BP259">
            <v>13</v>
          </cell>
          <cell r="BQ259">
            <v>17</v>
          </cell>
          <cell r="BR259">
            <v>225000000</v>
          </cell>
          <cell r="BS259">
            <v>225000000</v>
          </cell>
          <cell r="BT259">
            <v>176813835</v>
          </cell>
          <cell r="BU259">
            <v>176813835</v>
          </cell>
          <cell r="BV259" t="str">
            <v>No</v>
          </cell>
          <cell r="BW259" t="str">
            <v>Germany</v>
          </cell>
          <cell r="BX259" t="str">
            <v>Retail</v>
          </cell>
          <cell r="BY259">
            <v>100</v>
          </cell>
        </row>
        <row r="260">
          <cell r="A260">
            <v>17867</v>
          </cell>
          <cell r="B260" t="str">
            <v xml:space="preserve">HANSAREAL1				</v>
          </cell>
          <cell r="C260" t="str">
            <v xml:space="preserve">HANSAINVEST HANSEATISCHE INVESTMENT-GMBH				</v>
          </cell>
          <cell r="D260" t="str">
            <v xml:space="preserve">Kapstadtring 8				</v>
          </cell>
          <cell r="E260" t="str">
            <v xml:space="preserve">22297				</v>
          </cell>
          <cell r="F260" t="str">
            <v xml:space="preserve">Hamburg				</v>
          </cell>
          <cell r="G260" t="str">
            <v>Germany</v>
          </cell>
          <cell r="Q260" t="str">
            <v>Germany</v>
          </cell>
          <cell r="R260" t="str">
            <v>EUR</v>
          </cell>
          <cell r="T260" t="str">
            <v>Quarterly</v>
          </cell>
          <cell r="U260" t="str">
            <v>Quarterly</v>
          </cell>
          <cell r="Y260" t="str">
            <v>Spezialfonds</v>
          </cell>
          <cell r="AC260" t="str">
            <v>Non-Listed Fund</v>
          </cell>
          <cell r="AD260" t="str">
            <v>Core</v>
          </cell>
          <cell r="AE260" t="str">
            <v>infinite</v>
          </cell>
          <cell r="AF260" t="str">
            <v>Open end</v>
          </cell>
          <cell r="AN260" t="str">
            <v>Institutional</v>
          </cell>
          <cell r="AO260" t="str">
            <v>≤ 2</v>
          </cell>
          <cell r="AP260" t="str">
            <v>≥ 50%</v>
          </cell>
          <cell r="AQ260" t="str">
            <v>Global</v>
          </cell>
          <cell r="AR260" t="str">
            <v>multi country</v>
          </cell>
          <cell r="AU260" t="str">
            <v>multi sector</v>
          </cell>
          <cell r="AY260">
            <v>1998</v>
          </cell>
          <cell r="BH260" t="str">
            <v>2020-12-31</v>
          </cell>
          <cell r="BI260">
            <v>763013481</v>
          </cell>
          <cell r="BJ260">
            <v>763013481</v>
          </cell>
          <cell r="BK260">
            <v>748531707.76999998</v>
          </cell>
          <cell r="BL260">
            <v>748531707.76999998</v>
          </cell>
          <cell r="BM260">
            <v>1.9</v>
          </cell>
          <cell r="BN260" t="str">
            <v>No</v>
          </cell>
          <cell r="BS260">
            <v>0</v>
          </cell>
          <cell r="BV260" t="str">
            <v>No</v>
          </cell>
        </row>
        <row r="261">
          <cell r="A261">
            <v>17868</v>
          </cell>
          <cell r="B261" t="str">
            <v xml:space="preserve">HANSAREAL2				</v>
          </cell>
          <cell r="C261" t="str">
            <v xml:space="preserve">HANSAINVEST HANSEATISCHE INVESTMENT-GMBH				</v>
          </cell>
          <cell r="D261" t="str">
            <v xml:space="preserve">Kapstadtring 8				</v>
          </cell>
          <cell r="E261" t="str">
            <v xml:space="preserve">22297				</v>
          </cell>
          <cell r="F261" t="str">
            <v xml:space="preserve">Hamburg				</v>
          </cell>
          <cell r="G261" t="str">
            <v>Germany</v>
          </cell>
          <cell r="Q261" t="str">
            <v>Germany</v>
          </cell>
          <cell r="R261" t="str">
            <v>EUR</v>
          </cell>
          <cell r="T261" t="str">
            <v>Quarterly</v>
          </cell>
          <cell r="U261" t="str">
            <v>Quarterly</v>
          </cell>
          <cell r="Y261" t="str">
            <v>Spezialfonds</v>
          </cell>
          <cell r="AC261" t="str">
            <v>Non-Listed Fund</v>
          </cell>
          <cell r="AD261" t="str">
            <v>Core</v>
          </cell>
          <cell r="AE261" t="str">
            <v>infinite</v>
          </cell>
          <cell r="AF261" t="str">
            <v>Open end</v>
          </cell>
          <cell r="AN261" t="str">
            <v>Institutional</v>
          </cell>
          <cell r="AO261" t="str">
            <v>&gt; 2</v>
          </cell>
          <cell r="AP261" t="str">
            <v>≥ 50%</v>
          </cell>
          <cell r="AQ261" t="str">
            <v>Global</v>
          </cell>
          <cell r="AR261" t="str">
            <v>multi country</v>
          </cell>
          <cell r="AU261" t="str">
            <v>multi sector</v>
          </cell>
          <cell r="AY261">
            <v>2002</v>
          </cell>
          <cell r="BH261" t="str">
            <v>2020-12-31</v>
          </cell>
          <cell r="BI261">
            <v>2646424342</v>
          </cell>
          <cell r="BJ261">
            <v>2646424342</v>
          </cell>
          <cell r="BK261">
            <v>2132807065.26</v>
          </cell>
          <cell r="BL261">
            <v>2132807065.26</v>
          </cell>
          <cell r="BM261">
            <v>20.5</v>
          </cell>
          <cell r="BN261" t="str">
            <v>No</v>
          </cell>
          <cell r="BS261">
            <v>0</v>
          </cell>
          <cell r="BV261" t="str">
            <v>No</v>
          </cell>
        </row>
        <row r="262">
          <cell r="A262">
            <v>17234</v>
          </cell>
          <cell r="B262" t="str">
            <v>HARBERT EUROPEAN REAL ESTATE FUND III</v>
          </cell>
          <cell r="C262" t="str">
            <v>HARBERT MANAGEMENT CORPORATION</v>
          </cell>
          <cell r="D262" t="str">
            <v>44 Davies Street</v>
          </cell>
          <cell r="E262" t="str">
            <v>W1K 5DN</v>
          </cell>
          <cell r="F262" t="str">
            <v>London</v>
          </cell>
          <cell r="G262" t="str">
            <v>United Kingdom</v>
          </cell>
          <cell r="H262" t="str">
            <v>+44 (0) 207 408 4120</v>
          </cell>
          <cell r="I262" t="str">
            <v>+44 (0) 207 408 4121</v>
          </cell>
          <cell r="J262" t="str">
            <v>http://www.harbert.net</v>
          </cell>
          <cell r="K262" t="str">
            <v>Scott O'Donnell</v>
          </cell>
          <cell r="L262" t="str">
            <v>sodonnell@harbert.net</v>
          </cell>
          <cell r="M262" t="str">
            <v>+44 (0) 207 408 4131</v>
          </cell>
          <cell r="N262" t="str">
            <v>Michael Larsen</v>
          </cell>
          <cell r="O262" t="str">
            <v>mlarsen@harbert.net</v>
          </cell>
          <cell r="P262" t="str">
            <v>+44 (0) 207 408 4131</v>
          </cell>
          <cell r="Q262" t="str">
            <v>United Kingdom</v>
          </cell>
          <cell r="R262" t="str">
            <v>EUR</v>
          </cell>
          <cell r="S262" t="str">
            <v>US GAAP</v>
          </cell>
          <cell r="T262" t="str">
            <v>Twice per year</v>
          </cell>
          <cell r="U262" t="str">
            <v>Quarterly</v>
          </cell>
          <cell r="V262" t="str">
            <v>US GAAP</v>
          </cell>
          <cell r="X262" t="str">
            <v>PWC</v>
          </cell>
          <cell r="Y262" t="str">
            <v>Limited Partnership</v>
          </cell>
          <cell r="Z262" t="str">
            <v>No</v>
          </cell>
          <cell r="AA262" t="str">
            <v>Yes</v>
          </cell>
          <cell r="AB262">
            <v>6</v>
          </cell>
          <cell r="AC262" t="str">
            <v>Non-Listed Fund</v>
          </cell>
          <cell r="AD262" t="str">
            <v>Opportunity</v>
          </cell>
          <cell r="AE262" t="str">
            <v>finite</v>
          </cell>
          <cell r="AF262" t="str">
            <v>Closed end</v>
          </cell>
          <cell r="AG262">
            <v>20</v>
          </cell>
          <cell r="AH262">
            <v>20</v>
          </cell>
          <cell r="AI262" t="str">
            <v>Net</v>
          </cell>
          <cell r="AL262">
            <v>75</v>
          </cell>
          <cell r="AM262" t="str">
            <v>&gt; 60%</v>
          </cell>
          <cell r="AN262" t="str">
            <v>Institutional and Retail</v>
          </cell>
          <cell r="AO262" t="str">
            <v>&gt; 2</v>
          </cell>
          <cell r="AP262" t="str">
            <v>≥ 50%</v>
          </cell>
          <cell r="AQ262" t="str">
            <v>Europe</v>
          </cell>
          <cell r="AR262" t="str">
            <v>multi country</v>
          </cell>
          <cell r="AS262" t="str">
            <v>Europe</v>
          </cell>
          <cell r="AU262" t="str">
            <v>multi sector</v>
          </cell>
          <cell r="AW262">
            <v>400000000</v>
          </cell>
          <cell r="AX262">
            <v>400000000</v>
          </cell>
          <cell r="AY262">
            <v>2010</v>
          </cell>
          <cell r="AZ262">
            <v>2012</v>
          </cell>
          <cell r="BA262" t="str">
            <v>No</v>
          </cell>
          <cell r="BB262" t="str">
            <v>Yes</v>
          </cell>
          <cell r="BC262" t="str">
            <v>25 years</v>
          </cell>
          <cell r="BD262" t="str">
            <v>No</v>
          </cell>
          <cell r="BH262" t="str">
            <v>2019-06-30</v>
          </cell>
          <cell r="BI262">
            <v>136671947</v>
          </cell>
          <cell r="BJ262">
            <v>136671947</v>
          </cell>
          <cell r="BK262">
            <v>105058435</v>
          </cell>
          <cell r="BL262">
            <v>105058435</v>
          </cell>
          <cell r="BM262">
            <v>23.13</v>
          </cell>
          <cell r="BN262" t="str">
            <v>Yes</v>
          </cell>
          <cell r="BO262" t="str">
            <v>Internal</v>
          </cell>
          <cell r="BP262">
            <v>28</v>
          </cell>
          <cell r="BQ262">
            <v>13</v>
          </cell>
          <cell r="BR262">
            <v>254796859</v>
          </cell>
          <cell r="BS262">
            <v>254796859</v>
          </cell>
          <cell r="BT262">
            <v>321010550</v>
          </cell>
          <cell r="BU262">
            <v>321010550</v>
          </cell>
          <cell r="BW262" t="str">
            <v>United Kingdom</v>
          </cell>
          <cell r="BX262" t="str">
            <v>Development Residential</v>
          </cell>
          <cell r="BY262">
            <v>1.1100000000000001</v>
          </cell>
          <cell r="BZ262" t="str">
            <v>United Kingdom</v>
          </cell>
          <cell r="CA262" t="str">
            <v>Mixed</v>
          </cell>
          <cell r="CB262">
            <v>1.45</v>
          </cell>
          <cell r="CC262" t="str">
            <v>United Kingdom</v>
          </cell>
          <cell r="CD262" t="str">
            <v>Retail</v>
          </cell>
          <cell r="CE262">
            <v>12.86</v>
          </cell>
          <cell r="CF262" t="str">
            <v>United Kingdom</v>
          </cell>
          <cell r="CG262" t="str">
            <v>Industrial / Logistics</v>
          </cell>
          <cell r="CH262">
            <v>26.25</v>
          </cell>
          <cell r="CI262" t="str">
            <v>United Kingdom</v>
          </cell>
          <cell r="CJ262" t="str">
            <v>Office</v>
          </cell>
          <cell r="CK262">
            <v>23.97</v>
          </cell>
          <cell r="CL262" t="str">
            <v>Spain</v>
          </cell>
          <cell r="CM262" t="str">
            <v>Development Residential</v>
          </cell>
          <cell r="CN262">
            <v>6.39</v>
          </cell>
          <cell r="CO262" t="str">
            <v>Spain</v>
          </cell>
          <cell r="CP262" t="str">
            <v>Retail</v>
          </cell>
          <cell r="CQ262">
            <v>4.51</v>
          </cell>
          <cell r="CR262" t="str">
            <v>Spain</v>
          </cell>
          <cell r="CS262" t="str">
            <v>Development Residential</v>
          </cell>
          <cell r="CT262">
            <v>0.19</v>
          </cell>
          <cell r="CU262" t="str">
            <v>France</v>
          </cell>
          <cell r="CV262" t="str">
            <v>Development Office</v>
          </cell>
          <cell r="CW262">
            <v>23</v>
          </cell>
          <cell r="CX262" t="str">
            <v>France</v>
          </cell>
          <cell r="CY262" t="str">
            <v>Residential</v>
          </cell>
          <cell r="CZ262">
            <v>0.27</v>
          </cell>
        </row>
        <row r="263">
          <cell r="A263">
            <v>18540</v>
          </cell>
          <cell r="B263" t="str">
            <v>HARBERT EUROPEAN REAL ESTATE FUND IV, LP</v>
          </cell>
          <cell r="C263" t="str">
            <v>HARBERT FUND ADVISORS INC</v>
          </cell>
          <cell r="D263" t="str">
            <v>44 Davies Street</v>
          </cell>
          <cell r="E263" t="str">
            <v>W1K 5JA</v>
          </cell>
          <cell r="F263" t="str">
            <v>London</v>
          </cell>
          <cell r="G263" t="str">
            <v>United Kingdom</v>
          </cell>
          <cell r="H263" t="str">
            <v>+442074084120</v>
          </cell>
          <cell r="I263" t="str">
            <v>+442074084121</v>
          </cell>
          <cell r="J263" t="str">
            <v>http://www.harbert.net</v>
          </cell>
          <cell r="K263" t="str">
            <v>Scott O'Donnell</v>
          </cell>
          <cell r="L263" t="str">
            <v>sodonnell@harbert.net</v>
          </cell>
          <cell r="M263" t="str">
            <v>+442074084120</v>
          </cell>
          <cell r="N263" t="str">
            <v>Michael Larsen</v>
          </cell>
          <cell r="O263" t="str">
            <v>mlarsen@harbert.net</v>
          </cell>
          <cell r="P263">
            <v>2074084131</v>
          </cell>
          <cell r="Q263" t="str">
            <v>United Kingdom</v>
          </cell>
          <cell r="R263" t="str">
            <v>EUR</v>
          </cell>
          <cell r="S263" t="str">
            <v>US GAAP</v>
          </cell>
          <cell r="T263" t="str">
            <v>Quarterly</v>
          </cell>
          <cell r="U263" t="str">
            <v>Quarterly</v>
          </cell>
          <cell r="V263" t="str">
            <v>US GAAP</v>
          </cell>
          <cell r="X263" t="str">
            <v>PWC</v>
          </cell>
          <cell r="Y263" t="str">
            <v>Real Estate Fund</v>
          </cell>
          <cell r="Z263" t="str">
            <v>No</v>
          </cell>
          <cell r="AA263" t="str">
            <v>Yes</v>
          </cell>
          <cell r="AB263">
            <v>6</v>
          </cell>
          <cell r="AC263" t="str">
            <v>Non-Listed Fund</v>
          </cell>
          <cell r="AD263" t="str">
            <v>Value-added</v>
          </cell>
          <cell r="AE263" t="str">
            <v>finite</v>
          </cell>
          <cell r="AF263" t="str">
            <v>Closed end</v>
          </cell>
          <cell r="AI263" t="str">
            <v>Net</v>
          </cell>
          <cell r="AM263" t="str">
            <v>&gt; 60%</v>
          </cell>
          <cell r="AN263" t="str">
            <v>Institutional</v>
          </cell>
          <cell r="AO263" t="str">
            <v>&gt; 2</v>
          </cell>
          <cell r="AP263" t="str">
            <v>≥ 50%</v>
          </cell>
          <cell r="AQ263" t="str">
            <v>Europe</v>
          </cell>
          <cell r="AR263" t="str">
            <v>multi country</v>
          </cell>
          <cell r="AS263" t="str">
            <v>Western Europe</v>
          </cell>
          <cell r="AU263" t="str">
            <v>multi sector</v>
          </cell>
          <cell r="AY263">
            <v>2015</v>
          </cell>
          <cell r="AZ263">
            <v>2019</v>
          </cell>
          <cell r="BA263" t="str">
            <v>No</v>
          </cell>
          <cell r="BD263" t="str">
            <v>No</v>
          </cell>
          <cell r="BH263" t="str">
            <v>2020-09-30</v>
          </cell>
          <cell r="BI263">
            <v>258572275</v>
          </cell>
          <cell r="BJ263">
            <v>258572275</v>
          </cell>
          <cell r="BK263">
            <v>258572275</v>
          </cell>
          <cell r="BL263">
            <v>258572275</v>
          </cell>
          <cell r="BM263">
            <v>0</v>
          </cell>
          <cell r="BN263" t="str">
            <v>No</v>
          </cell>
          <cell r="BO263" t="str">
            <v>Internal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V263" t="str">
            <v>No</v>
          </cell>
        </row>
        <row r="264">
          <cell r="A264">
            <v>19580</v>
          </cell>
          <cell r="B264" t="str">
            <v>HARBERT EUROPEAN REAL ESTATE FUND V, L.P.</v>
          </cell>
          <cell r="C264" t="str">
            <v>HARBERT FUND ADVISORS, INC. ("HFA")</v>
          </cell>
          <cell r="D264" t="str">
            <v>2100 Third Avenue North, Suite 600</v>
          </cell>
          <cell r="E264">
            <v>35203</v>
          </cell>
          <cell r="F264" t="str">
            <v xml:space="preserve">Birmingham </v>
          </cell>
          <cell r="G264" t="str">
            <v>United States of America</v>
          </cell>
          <cell r="H264" t="str">
            <v>+12059875500</v>
          </cell>
          <cell r="J264" t="str">
            <v>https://www.harbert.net/</v>
          </cell>
          <cell r="K264" t="str">
            <v>Scott O'Donnell</v>
          </cell>
          <cell r="L264" t="str">
            <v>sodonnell@harbert.net</v>
          </cell>
          <cell r="M264" t="str">
            <v>+442074084134</v>
          </cell>
          <cell r="N264" t="str">
            <v>Michael J. Larsen</v>
          </cell>
          <cell r="O264" t="str">
            <v>mlarsen@harbert.net</v>
          </cell>
          <cell r="P264" t="str">
            <v>+442074084131</v>
          </cell>
          <cell r="Q264" t="str">
            <v>United Kingdom</v>
          </cell>
          <cell r="R264" t="str">
            <v>EUR</v>
          </cell>
          <cell r="S264" t="str">
            <v>US GAAP</v>
          </cell>
          <cell r="T264" t="str">
            <v>Quarterly</v>
          </cell>
          <cell r="U264" t="str">
            <v>Annually</v>
          </cell>
          <cell r="V264" t="str">
            <v>Other - mark to market</v>
          </cell>
          <cell r="W264" t="str">
            <v>NAV derived from generally accepted accounting principles (GAAP)</v>
          </cell>
          <cell r="X264" t="str">
            <v>PricewaterhouseCoopers LLP</v>
          </cell>
          <cell r="Y264" t="str">
            <v>Limited Partnership</v>
          </cell>
          <cell r="Z264" t="str">
            <v>No</v>
          </cell>
          <cell r="AA264" t="str">
            <v>Yes</v>
          </cell>
          <cell r="AB264">
            <v>0</v>
          </cell>
          <cell r="AC264" t="str">
            <v>Non-Listed Fund</v>
          </cell>
          <cell r="AD264" t="str">
            <v>Value-added</v>
          </cell>
          <cell r="AE264" t="str">
            <v>finite</v>
          </cell>
          <cell r="AF264" t="str">
            <v>Closed end</v>
          </cell>
          <cell r="AG264">
            <v>12</v>
          </cell>
          <cell r="AH264">
            <v>13</v>
          </cell>
          <cell r="AI264" t="str">
            <v>Net</v>
          </cell>
          <cell r="AM264" t="str">
            <v>&gt; 60%</v>
          </cell>
          <cell r="AN264" t="str">
            <v>Institutional</v>
          </cell>
          <cell r="AO264" t="str">
            <v>&gt; 2</v>
          </cell>
          <cell r="AP264" t="str">
            <v>≥ 50%</v>
          </cell>
          <cell r="AQ264" t="str">
            <v>Europe</v>
          </cell>
          <cell r="AR264" t="str">
            <v>multi country</v>
          </cell>
          <cell r="AS264" t="str">
            <v>Europe</v>
          </cell>
          <cell r="AU264" t="str">
            <v>multi sector</v>
          </cell>
          <cell r="AW264">
            <v>600000000</v>
          </cell>
          <cell r="AY264">
            <v>2017</v>
          </cell>
          <cell r="AZ264">
            <v>2027</v>
          </cell>
          <cell r="BA264" t="str">
            <v>Yes</v>
          </cell>
          <cell r="BB264" t="str">
            <v>Yes</v>
          </cell>
          <cell r="BC264" t="str">
            <v>1+1+1 years</v>
          </cell>
          <cell r="BD264" t="str">
            <v>No</v>
          </cell>
          <cell r="BH264" t="str">
            <v>2020-09-30</v>
          </cell>
          <cell r="BI264">
            <v>245815350</v>
          </cell>
          <cell r="BJ264">
            <v>245815350</v>
          </cell>
          <cell r="BK264">
            <v>245815250</v>
          </cell>
          <cell r="BL264">
            <v>245815250</v>
          </cell>
          <cell r="BM264">
            <v>0</v>
          </cell>
          <cell r="BN264" t="str">
            <v>No</v>
          </cell>
          <cell r="BO264" t="str">
            <v>Internal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V264" t="str">
            <v>No</v>
          </cell>
        </row>
        <row r="265">
          <cell r="A265">
            <v>224</v>
          </cell>
          <cell r="B265" t="str">
            <v>HARBERT EUROPEAN REAL ESTATE FUND, B.V.</v>
          </cell>
          <cell r="C265" t="str">
            <v>HARBERT MANAGEMENT CORPORATION</v>
          </cell>
          <cell r="D265" t="str">
            <v>34 Brook Street</v>
          </cell>
          <cell r="E265" t="str">
            <v>W1K 5DN</v>
          </cell>
          <cell r="F265" t="str">
            <v>London</v>
          </cell>
          <cell r="G265" t="str">
            <v>United Kingdom</v>
          </cell>
          <cell r="H265" t="str">
            <v>+44 (0) 207 408 4120</v>
          </cell>
          <cell r="I265" t="str">
            <v>+44 (0) 207 408 4121</v>
          </cell>
          <cell r="J265" t="str">
            <v>http://www.harbert.net</v>
          </cell>
          <cell r="K265" t="str">
            <v>Michael Larsen</v>
          </cell>
          <cell r="L265" t="str">
            <v>mlarsen@harbert.net</v>
          </cell>
          <cell r="M265" t="str">
            <v>+44 (0) 207 408 4131</v>
          </cell>
          <cell r="N265" t="str">
            <v>Michael Larsen</v>
          </cell>
          <cell r="O265" t="str">
            <v>mlarsen@harbert.net</v>
          </cell>
          <cell r="P265" t="str">
            <v>+44 (0) 207 408 4131</v>
          </cell>
          <cell r="Q265" t="str">
            <v>Netherlands</v>
          </cell>
          <cell r="R265" t="str">
            <v>USD</v>
          </cell>
          <cell r="T265" t="str">
            <v>Quarterly</v>
          </cell>
          <cell r="U265" t="str">
            <v>Quarterly</v>
          </cell>
          <cell r="V265" t="str">
            <v>Other - mark to market</v>
          </cell>
          <cell r="X265" t="str">
            <v>PriceWaterhouseCoopers</v>
          </cell>
          <cell r="Y265" t="str">
            <v>BV</v>
          </cell>
          <cell r="AB265">
            <v>0</v>
          </cell>
          <cell r="AC265" t="str">
            <v>Non-Listed Fund</v>
          </cell>
          <cell r="AD265" t="str">
            <v>Opportunity</v>
          </cell>
          <cell r="AE265" t="str">
            <v>finite</v>
          </cell>
          <cell r="AF265" t="str">
            <v>Closed end</v>
          </cell>
          <cell r="AG265">
            <v>20</v>
          </cell>
          <cell r="AH265">
            <v>20</v>
          </cell>
          <cell r="AM265" t="str">
            <v>&gt; 60%</v>
          </cell>
          <cell r="AN265" t="str">
            <v>Institutional</v>
          </cell>
          <cell r="AO265" t="str">
            <v>&gt; 2</v>
          </cell>
          <cell r="AP265" t="str">
            <v>≥ 50%</v>
          </cell>
          <cell r="AQ265" t="str">
            <v>Europe</v>
          </cell>
          <cell r="AR265" t="str">
            <v>multi country</v>
          </cell>
          <cell r="AS265" t="str">
            <v>Europe</v>
          </cell>
          <cell r="AU265" t="str">
            <v>multi sector</v>
          </cell>
          <cell r="AY265">
            <v>2006</v>
          </cell>
          <cell r="BA265" t="str">
            <v>Yes</v>
          </cell>
          <cell r="BB265" t="str">
            <v>Yes</v>
          </cell>
          <cell r="BC265" t="str">
            <v>4 years</v>
          </cell>
          <cell r="BH265" t="str">
            <v>2017-09-30</v>
          </cell>
          <cell r="BI265">
            <v>43286376</v>
          </cell>
          <cell r="BJ265">
            <v>36680734.190175682</v>
          </cell>
          <cell r="BK265">
            <v>36205067</v>
          </cell>
          <cell r="BL265">
            <v>30680055.982614521</v>
          </cell>
          <cell r="BM265">
            <v>0</v>
          </cell>
          <cell r="BS265">
            <v>0</v>
          </cell>
        </row>
        <row r="266">
          <cell r="A266">
            <v>18308</v>
          </cell>
          <cell r="B266" t="str">
            <v>HB REAVIS CE REIF</v>
          </cell>
          <cell r="C266" t="str">
            <v>HB REAVIS INVESTMENT MANAGEMENT</v>
          </cell>
          <cell r="D266" t="str">
            <v>Karadzicova 12</v>
          </cell>
          <cell r="E266" t="str">
            <v>821 08</v>
          </cell>
          <cell r="F266" t="str">
            <v>Bratislava</v>
          </cell>
          <cell r="G266" t="str">
            <v>Slovakia</v>
          </cell>
          <cell r="H266" t="str">
            <v>+421258303030</v>
          </cell>
          <cell r="K266" t="str">
            <v>Peter Grancic</v>
          </cell>
          <cell r="L266" t="str">
            <v>peter.grancic@hbreavis.com</v>
          </cell>
          <cell r="M266" t="str">
            <v>+421903241723</v>
          </cell>
          <cell r="N266" t="str">
            <v>Monika Vu</v>
          </cell>
          <cell r="O266" t="str">
            <v>huyentrang.vu@hbreavis.com</v>
          </cell>
          <cell r="P266" t="str">
            <v>+421908206473</v>
          </cell>
          <cell r="Q266" t="str">
            <v>Luxembourg</v>
          </cell>
          <cell r="R266" t="str">
            <v>EUR</v>
          </cell>
          <cell r="S266" t="str">
            <v>IFRS</v>
          </cell>
          <cell r="T266" t="str">
            <v>Monthly</v>
          </cell>
          <cell r="U266" t="str">
            <v>Twice per year</v>
          </cell>
          <cell r="V266" t="str">
            <v>RICS</v>
          </cell>
          <cell r="W266" t="str">
            <v>IFRS NAV</v>
          </cell>
          <cell r="X266" t="str">
            <v>PwC</v>
          </cell>
          <cell r="Y266" t="str">
            <v>Investment Fund</v>
          </cell>
          <cell r="Z266" t="str">
            <v>No</v>
          </cell>
          <cell r="AA266" t="str">
            <v>No</v>
          </cell>
          <cell r="AB266">
            <v>3</v>
          </cell>
          <cell r="AC266" t="str">
            <v>Non-Listed Fund</v>
          </cell>
          <cell r="AD266" t="str">
            <v>Core</v>
          </cell>
          <cell r="AE266" t="str">
            <v>infinite</v>
          </cell>
          <cell r="AF266" t="str">
            <v>Open end</v>
          </cell>
          <cell r="AG266">
            <v>9</v>
          </cell>
          <cell r="AH266">
            <v>12</v>
          </cell>
          <cell r="AI266" t="str">
            <v>Net</v>
          </cell>
          <cell r="AK266">
            <v>6</v>
          </cell>
          <cell r="AL266">
            <v>60</v>
          </cell>
          <cell r="AM266" t="str">
            <v>&gt; 60%</v>
          </cell>
          <cell r="AN266" t="str">
            <v>Institutional and Retail</v>
          </cell>
          <cell r="AO266" t="str">
            <v>&gt; 2</v>
          </cell>
          <cell r="AP266" t="str">
            <v>≥ 50%</v>
          </cell>
          <cell r="AQ266" t="str">
            <v>Europe</v>
          </cell>
          <cell r="AR266" t="str">
            <v>multi country</v>
          </cell>
          <cell r="AS266" t="str">
            <v>Central and Eastern Europe(CEE)</v>
          </cell>
          <cell r="AU266" t="str">
            <v>multi sector</v>
          </cell>
          <cell r="AY266">
            <v>2011</v>
          </cell>
          <cell r="BF266" t="str">
            <v>≤ 15%</v>
          </cell>
          <cell r="BG266" t="str">
            <v>≤ 5%</v>
          </cell>
          <cell r="BH266" t="str">
            <v>2020-06-30</v>
          </cell>
          <cell r="BI266">
            <v>349500000</v>
          </cell>
          <cell r="BJ266">
            <v>349500000</v>
          </cell>
          <cell r="BK266">
            <v>136584007.41999999</v>
          </cell>
          <cell r="BL266">
            <v>136584007.41999999</v>
          </cell>
          <cell r="BM266">
            <v>59</v>
          </cell>
          <cell r="BN266" t="str">
            <v>No</v>
          </cell>
          <cell r="BO266" t="str">
            <v>External</v>
          </cell>
          <cell r="BP266">
            <v>4</v>
          </cell>
          <cell r="BQ266">
            <v>5</v>
          </cell>
          <cell r="BR266">
            <v>136584007.41999999</v>
          </cell>
          <cell r="BS266">
            <v>136584007.41999999</v>
          </cell>
          <cell r="BT266">
            <v>136584007.41999999</v>
          </cell>
          <cell r="BU266">
            <v>136584007.41999999</v>
          </cell>
          <cell r="BV266" t="str">
            <v>Yes</v>
          </cell>
          <cell r="BW266" t="str">
            <v>Czech Republic</v>
          </cell>
          <cell r="BX266" t="str">
            <v>Retail</v>
          </cell>
          <cell r="BY266">
            <v>26</v>
          </cell>
          <cell r="BZ266" t="str">
            <v>Slovakia</v>
          </cell>
          <cell r="CA266" t="str">
            <v>Office</v>
          </cell>
          <cell r="CB266">
            <v>74</v>
          </cell>
        </row>
        <row r="267">
          <cell r="A267">
            <v>228</v>
          </cell>
          <cell r="B267" t="str">
            <v>HEALTH CARE I</v>
          </cell>
          <cell r="C267" t="str">
            <v>DWS ALTERNATIVES GMBH</v>
          </cell>
          <cell r="D267" t="str">
            <v>Mainzer Landstraße 11-17</v>
          </cell>
          <cell r="E267">
            <v>60329</v>
          </cell>
          <cell r="F267" t="str">
            <v>Frankfurt am Main</v>
          </cell>
          <cell r="G267" t="str">
            <v>Germany</v>
          </cell>
          <cell r="H267" t="str">
            <v>+496991016661</v>
          </cell>
          <cell r="I267" t="str">
            <v>+496991016909</v>
          </cell>
          <cell r="J267" t="str">
            <v>https://www.dws.de/</v>
          </cell>
          <cell r="K267" t="str">
            <v>Markus Wickenträger</v>
          </cell>
          <cell r="L267" t="str">
            <v>markus.wickentraeger@dws.com</v>
          </cell>
          <cell r="M267" t="str">
            <v>+496991016457</v>
          </cell>
          <cell r="N267" t="str">
            <v>Dr. Ulrich von Creytz</v>
          </cell>
          <cell r="O267" t="str">
            <v>ulrich-von.creytz@dws.com</v>
          </cell>
          <cell r="P267" t="str">
            <v>+496991016429</v>
          </cell>
          <cell r="Q267" t="str">
            <v>Germany</v>
          </cell>
          <cell r="R267" t="str">
            <v>EUR</v>
          </cell>
          <cell r="S267" t="str">
            <v>HGB</v>
          </cell>
          <cell r="T267" t="str">
            <v>Quarterly</v>
          </cell>
          <cell r="U267" t="str">
            <v>Annually</v>
          </cell>
          <cell r="V267" t="str">
            <v>ImmoWertV</v>
          </cell>
          <cell r="W267" t="str">
            <v>KAGB</v>
          </cell>
          <cell r="X267" t="str">
            <v>KPMG</v>
          </cell>
          <cell r="Y267" t="str">
            <v>Spezialfonds</v>
          </cell>
          <cell r="Z267" t="str">
            <v>No</v>
          </cell>
          <cell r="AA267" t="str">
            <v>No</v>
          </cell>
          <cell r="AB267">
            <v>0</v>
          </cell>
          <cell r="AC267" t="str">
            <v>Non-Listed Fund</v>
          </cell>
          <cell r="AD267" t="str">
            <v>Core</v>
          </cell>
          <cell r="AE267" t="str">
            <v>infinite</v>
          </cell>
          <cell r="AF267" t="str">
            <v>Open end</v>
          </cell>
          <cell r="AG267">
            <v>6</v>
          </cell>
          <cell r="AH267">
            <v>7</v>
          </cell>
          <cell r="AI267" t="str">
            <v>Net</v>
          </cell>
          <cell r="AJ267" t="str">
            <v>MSCI SFIX</v>
          </cell>
          <cell r="AK267">
            <v>6</v>
          </cell>
          <cell r="AL267">
            <v>45</v>
          </cell>
          <cell r="AM267" t="str">
            <v>&gt; 40% - ≤ 60%</v>
          </cell>
          <cell r="AN267" t="str">
            <v>Institutional</v>
          </cell>
          <cell r="AO267" t="str">
            <v>&gt; 2</v>
          </cell>
          <cell r="AP267" t="str">
            <v>≥ 50%</v>
          </cell>
          <cell r="AQ267" t="str">
            <v>Europe</v>
          </cell>
          <cell r="AR267" t="str">
            <v>single country</v>
          </cell>
          <cell r="AT267" t="str">
            <v>Germany</v>
          </cell>
          <cell r="AU267" t="str">
            <v>single sector</v>
          </cell>
          <cell r="AV267" t="str">
            <v>Health Care</v>
          </cell>
          <cell r="AW267">
            <v>250000000</v>
          </cell>
          <cell r="AX267">
            <v>450000000</v>
          </cell>
          <cell r="AY267">
            <v>2006</v>
          </cell>
          <cell r="BB267" t="str">
            <v>No</v>
          </cell>
          <cell r="BD267" t="str">
            <v>No</v>
          </cell>
          <cell r="BE267" t="str">
            <v>≥ 60%</v>
          </cell>
          <cell r="BH267" t="str">
            <v>2020-12-31</v>
          </cell>
          <cell r="BI267">
            <v>252549180.28</v>
          </cell>
          <cell r="BJ267">
            <v>252549180.28</v>
          </cell>
          <cell r="BK267">
            <v>152043910.28</v>
          </cell>
          <cell r="BL267">
            <v>152043910.28</v>
          </cell>
          <cell r="BM267">
            <v>39.799999999999997</v>
          </cell>
          <cell r="BN267" t="str">
            <v>Yes</v>
          </cell>
          <cell r="BO267" t="str">
            <v>External</v>
          </cell>
          <cell r="BP267">
            <v>9</v>
          </cell>
          <cell r="BQ267">
            <v>17</v>
          </cell>
          <cell r="BR267">
            <v>159500000</v>
          </cell>
          <cell r="BS267">
            <v>159500000</v>
          </cell>
          <cell r="BT267">
            <v>129601184</v>
          </cell>
          <cell r="BU267">
            <v>129601184</v>
          </cell>
          <cell r="BV267" t="str">
            <v>No</v>
          </cell>
          <cell r="BW267" t="str">
            <v>Germany</v>
          </cell>
          <cell r="BX267" t="str">
            <v>Health Care</v>
          </cell>
          <cell r="BY267">
            <v>100</v>
          </cell>
        </row>
        <row r="268">
          <cell r="A268">
            <v>16074</v>
          </cell>
          <cell r="B268" t="str">
            <v>HEALTH PROPERTY FUND 1</v>
          </cell>
          <cell r="C268" t="str">
            <v>BNP PARIBAS REIM FRANCE</v>
          </cell>
          <cell r="D268" t="str">
            <v>167 Quai de Stalingrad</v>
          </cell>
          <cell r="E268">
            <v>92867</v>
          </cell>
          <cell r="F268" t="str">
            <v xml:space="preserve">Issy Les Moulineaux Cedex </v>
          </cell>
          <cell r="G268" t="str">
            <v>France</v>
          </cell>
          <cell r="I268" t="str">
            <v>+33155652754</v>
          </cell>
          <cell r="J268" t="str">
            <v>http://reim.bnpparibas.fr</v>
          </cell>
          <cell r="K268" t="str">
            <v>Paul Darribère</v>
          </cell>
          <cell r="L268" t="str">
            <v>paul.darribere@bnpparibas.com</v>
          </cell>
          <cell r="M268" t="str">
            <v>+33147592303</v>
          </cell>
          <cell r="N268" t="str">
            <v>Marc Sillon</v>
          </cell>
          <cell r="O268" t="str">
            <v>marc.sillon@bnpparibas.com</v>
          </cell>
          <cell r="P268" t="str">
            <v>+33155652757</v>
          </cell>
          <cell r="Q268" t="str">
            <v>France</v>
          </cell>
          <cell r="R268" t="str">
            <v>EUR</v>
          </cell>
          <cell r="S268" t="str">
            <v>Local GAAP</v>
          </cell>
          <cell r="T268" t="str">
            <v>Quarterly</v>
          </cell>
          <cell r="U268" t="str">
            <v>Quarterly</v>
          </cell>
          <cell r="V268" t="str">
            <v>RICS</v>
          </cell>
          <cell r="W268" t="str">
            <v>French GAAP</v>
          </cell>
          <cell r="X268" t="str">
            <v>KPMG</v>
          </cell>
          <cell r="Y268" t="str">
            <v>SPPICAV Professionnelle</v>
          </cell>
          <cell r="Z268" t="str">
            <v>Yes</v>
          </cell>
          <cell r="AA268" t="str">
            <v>Yes</v>
          </cell>
          <cell r="AB268">
            <v>0</v>
          </cell>
          <cell r="AC268" t="str">
            <v>Non-Listed Fund</v>
          </cell>
          <cell r="AD268" t="str">
            <v>Core</v>
          </cell>
          <cell r="AE268" t="str">
            <v>finite</v>
          </cell>
          <cell r="AF268" t="str">
            <v>Closed end</v>
          </cell>
          <cell r="AG268">
            <v>0</v>
          </cell>
          <cell r="AH268">
            <v>8.5</v>
          </cell>
          <cell r="AI268" t="str">
            <v>Net</v>
          </cell>
          <cell r="AJ268" t="str">
            <v>none</v>
          </cell>
          <cell r="AK268">
            <v>6</v>
          </cell>
          <cell r="AL268">
            <v>40</v>
          </cell>
          <cell r="AM268" t="str">
            <v>&gt; 40% - ≤ 60%</v>
          </cell>
          <cell r="AN268" t="str">
            <v>Institutional</v>
          </cell>
          <cell r="AO268" t="str">
            <v>&gt; 2</v>
          </cell>
          <cell r="AP268" t="str">
            <v>≥ 50%</v>
          </cell>
          <cell r="AQ268" t="str">
            <v>Europe</v>
          </cell>
          <cell r="AR268" t="str">
            <v>single country</v>
          </cell>
          <cell r="AT268" t="str">
            <v>France</v>
          </cell>
          <cell r="AU268" t="str">
            <v>single sector</v>
          </cell>
          <cell r="AV268" t="str">
            <v>Health Care</v>
          </cell>
          <cell r="AW268">
            <v>300000000</v>
          </cell>
          <cell r="AX268">
            <v>500000000</v>
          </cell>
          <cell r="AY268">
            <v>2011</v>
          </cell>
          <cell r="AZ268">
            <v>2022</v>
          </cell>
          <cell r="BA268" t="str">
            <v>Yes</v>
          </cell>
          <cell r="BB268" t="str">
            <v>No</v>
          </cell>
          <cell r="BD268" t="str">
            <v>No</v>
          </cell>
          <cell r="BE268" t="str">
            <v>≥ 60%</v>
          </cell>
          <cell r="BF268" t="str">
            <v>≤ 15%</v>
          </cell>
          <cell r="BG268" t="str">
            <v>≤ 5%</v>
          </cell>
          <cell r="BH268" t="str">
            <v>2020-12-31</v>
          </cell>
          <cell r="BI268">
            <v>579329557</v>
          </cell>
          <cell r="BJ268">
            <v>579329557</v>
          </cell>
          <cell r="BK268">
            <v>392833300</v>
          </cell>
          <cell r="BL268">
            <v>392833300</v>
          </cell>
          <cell r="BM268">
            <v>31.2029</v>
          </cell>
          <cell r="BN268" t="str">
            <v>Yes</v>
          </cell>
          <cell r="BO268" t="str">
            <v>External</v>
          </cell>
          <cell r="BP268">
            <v>29</v>
          </cell>
          <cell r="BQ268">
            <v>33</v>
          </cell>
          <cell r="BR268">
            <v>334910000</v>
          </cell>
          <cell r="BS268">
            <v>334910000</v>
          </cell>
          <cell r="BT268">
            <v>334910000</v>
          </cell>
          <cell r="BU268">
            <v>334910000</v>
          </cell>
          <cell r="BV268" t="str">
            <v>No</v>
          </cell>
          <cell r="BW268" t="str">
            <v>France</v>
          </cell>
          <cell r="BX268" t="str">
            <v>Health Care</v>
          </cell>
          <cell r="BY268">
            <v>94</v>
          </cell>
        </row>
        <row r="269">
          <cell r="A269">
            <v>18409</v>
          </cell>
          <cell r="B269" t="str">
            <v>HEARTHSTONE RESIDENTIAL FUND 1 LP</v>
          </cell>
          <cell r="C269" t="str">
            <v>HEARTHSTONE INVESTMENT MANAGEMENT LTD</v>
          </cell>
          <cell r="D269" t="str">
            <v>23 Austin Friars</v>
          </cell>
          <cell r="E269" t="str">
            <v>EC2N 2QP</v>
          </cell>
          <cell r="F269" t="str">
            <v>London</v>
          </cell>
          <cell r="G269" t="str">
            <v>United Kingdom</v>
          </cell>
          <cell r="H269" t="str">
            <v>+442033011300</v>
          </cell>
          <cell r="J269" t="str">
            <v>http://www.hearthstone-im.co.uk/</v>
          </cell>
          <cell r="K269" t="str">
            <v>Andrew Smith</v>
          </cell>
          <cell r="L269" t="str">
            <v>asmith@hearthstone.co.uk</v>
          </cell>
          <cell r="M269" t="str">
            <v>+447799131733</v>
          </cell>
          <cell r="N269" t="str">
            <v>Michael Dinsdale</v>
          </cell>
          <cell r="O269" t="str">
            <v>mdinsdale@hearthstone.co.uk</v>
          </cell>
          <cell r="P269" t="str">
            <v>+447804750871</v>
          </cell>
          <cell r="Q269" t="str">
            <v>United Kingdom</v>
          </cell>
          <cell r="R269" t="str">
            <v>GBP</v>
          </cell>
          <cell r="S269" t="str">
            <v>IFRS</v>
          </cell>
          <cell r="T269" t="str">
            <v>Quarterly</v>
          </cell>
          <cell r="U269" t="str">
            <v>Quarterly</v>
          </cell>
          <cell r="V269" t="str">
            <v>RICS</v>
          </cell>
          <cell r="W269" t="str">
            <v>IFRS NAV</v>
          </cell>
          <cell r="X269" t="str">
            <v>KPMG</v>
          </cell>
          <cell r="Y269" t="str">
            <v>Limited Partnership</v>
          </cell>
          <cell r="Z269" t="str">
            <v>No</v>
          </cell>
          <cell r="AA269" t="str">
            <v>Yes</v>
          </cell>
          <cell r="AB269">
            <v>2</v>
          </cell>
          <cell r="AC269" t="str">
            <v>Non-Listed Fund</v>
          </cell>
          <cell r="AD269" t="str">
            <v>Core</v>
          </cell>
          <cell r="AE269" t="str">
            <v>finite</v>
          </cell>
          <cell r="AF269" t="str">
            <v>Closed end</v>
          </cell>
          <cell r="AG269">
            <v>7</v>
          </cell>
          <cell r="AH269">
            <v>10</v>
          </cell>
          <cell r="AI269" t="str">
            <v>Gross</v>
          </cell>
          <cell r="AJ269" t="str">
            <v>Absolute</v>
          </cell>
          <cell r="AK269">
            <v>4</v>
          </cell>
          <cell r="AL269">
            <v>0</v>
          </cell>
          <cell r="AN269" t="str">
            <v>Institutional</v>
          </cell>
          <cell r="AO269" t="str">
            <v>&gt; 2</v>
          </cell>
          <cell r="AP269" t="str">
            <v>≥ 50%</v>
          </cell>
          <cell r="AQ269" t="str">
            <v>Europe</v>
          </cell>
          <cell r="AR269" t="str">
            <v>single country</v>
          </cell>
          <cell r="AT269" t="str">
            <v>United Kingdom</v>
          </cell>
          <cell r="AU269" t="str">
            <v>single sector</v>
          </cell>
          <cell r="AV269" t="str">
            <v>Residential</v>
          </cell>
          <cell r="AW269">
            <v>200</v>
          </cell>
          <cell r="AX269">
            <v>200</v>
          </cell>
          <cell r="AY269">
            <v>2017</v>
          </cell>
          <cell r="AZ269">
            <v>2027</v>
          </cell>
          <cell r="BA269" t="str">
            <v>Yes</v>
          </cell>
          <cell r="BB269" t="str">
            <v>Yes</v>
          </cell>
          <cell r="BC269" t="str">
            <v>1+1+1+1+1 years</v>
          </cell>
          <cell r="BD269" t="str">
            <v>No</v>
          </cell>
          <cell r="BE269" t="str">
            <v>≥ 60%</v>
          </cell>
          <cell r="BF269" t="str">
            <v>≤ 15%</v>
          </cell>
          <cell r="BG269" t="str">
            <v>≤ 5%</v>
          </cell>
        </row>
        <row r="270">
          <cell r="A270">
            <v>19618</v>
          </cell>
          <cell r="B270" t="str">
            <v>HEARTHSTONE RESIDENTIAL FUND 2 LP</v>
          </cell>
          <cell r="C270" t="str">
            <v>HEARTHSTONE INVESTMENT MANAGEMENT LTD</v>
          </cell>
          <cell r="D270" t="str">
            <v>23 Austin Friars</v>
          </cell>
          <cell r="E270" t="str">
            <v>EC2N 2QP</v>
          </cell>
          <cell r="F270" t="str">
            <v>London</v>
          </cell>
          <cell r="G270" t="str">
            <v>United Kingdom</v>
          </cell>
          <cell r="H270" t="str">
            <v>+442033011300</v>
          </cell>
          <cell r="J270" t="str">
            <v>www.hearthstone-im.co.uk</v>
          </cell>
          <cell r="K270" t="str">
            <v>Andrew Smith</v>
          </cell>
          <cell r="L270" t="str">
            <v>asmith@hearthstone.co.uk</v>
          </cell>
          <cell r="M270" t="str">
            <v>+447799131733</v>
          </cell>
          <cell r="N270" t="str">
            <v>Michael Dinsdale</v>
          </cell>
          <cell r="O270" t="str">
            <v>mdinsdale@hearthstone.co.uk</v>
          </cell>
          <cell r="P270" t="str">
            <v>+447804750871</v>
          </cell>
          <cell r="Q270" t="str">
            <v>United Kingdom</v>
          </cell>
          <cell r="R270" t="str">
            <v>GBP</v>
          </cell>
          <cell r="S270" t="str">
            <v>IFRS</v>
          </cell>
          <cell r="T270" t="str">
            <v>Quarterly</v>
          </cell>
          <cell r="U270" t="str">
            <v>Quarterly</v>
          </cell>
          <cell r="V270" t="str">
            <v>RICS</v>
          </cell>
          <cell r="W270" t="str">
            <v>IFRS NAV</v>
          </cell>
          <cell r="X270" t="str">
            <v>KPMG</v>
          </cell>
          <cell r="Y270" t="str">
            <v>Limited Partnership</v>
          </cell>
          <cell r="Z270" t="str">
            <v>Yes</v>
          </cell>
          <cell r="AA270" t="str">
            <v>Yes</v>
          </cell>
          <cell r="AB270">
            <v>2</v>
          </cell>
          <cell r="AC270" t="str">
            <v>Non-Listed Fund</v>
          </cell>
          <cell r="AD270" t="str">
            <v>Core</v>
          </cell>
          <cell r="AE270" t="str">
            <v>finite</v>
          </cell>
          <cell r="AF270" t="str">
            <v>Open end</v>
          </cell>
          <cell r="AG270">
            <v>7</v>
          </cell>
          <cell r="AH270">
            <v>8</v>
          </cell>
          <cell r="AI270" t="str">
            <v>Net</v>
          </cell>
          <cell r="AK270">
            <v>4</v>
          </cell>
          <cell r="AN270" t="str">
            <v>Institutional</v>
          </cell>
          <cell r="AO270" t="str">
            <v>&gt; 2</v>
          </cell>
          <cell r="AP270" t="str">
            <v>≥ 50%</v>
          </cell>
          <cell r="AQ270" t="str">
            <v>Europe</v>
          </cell>
          <cell r="AR270" t="str">
            <v>single country</v>
          </cell>
          <cell r="AT270" t="str">
            <v>United Kingdom</v>
          </cell>
          <cell r="AU270" t="str">
            <v>single sector</v>
          </cell>
          <cell r="AV270" t="str">
            <v>Residential</v>
          </cell>
          <cell r="AW270">
            <v>300000000</v>
          </cell>
          <cell r="AX270">
            <v>300000000</v>
          </cell>
          <cell r="AY270">
            <v>2020</v>
          </cell>
          <cell r="AZ270">
            <v>2030</v>
          </cell>
          <cell r="BA270" t="str">
            <v>Yes</v>
          </cell>
          <cell r="BB270" t="str">
            <v>Yes</v>
          </cell>
          <cell r="BD270" t="str">
            <v>No</v>
          </cell>
          <cell r="BE270" t="str">
            <v>≥ 60%</v>
          </cell>
          <cell r="BF270" t="str">
            <v>≤ 15%</v>
          </cell>
          <cell r="BG270" t="str">
            <v>≤ 5%</v>
          </cell>
        </row>
        <row r="271">
          <cell r="A271">
            <v>19578</v>
          </cell>
          <cell r="B271" t="str">
            <v xml:space="preserve">HEIDELBERGER IMMOBILIEN FONDS </v>
          </cell>
          <cell r="C271" t="str">
            <v>WARBURG-HIH INVEST REAL ESTATE GMBH</v>
          </cell>
          <cell r="D271" t="str">
            <v>Gertrudenstraße 9</v>
          </cell>
          <cell r="E271">
            <v>20095</v>
          </cell>
          <cell r="F271" t="str">
            <v>Hamburg</v>
          </cell>
          <cell r="G271" t="str">
            <v>Germany</v>
          </cell>
          <cell r="Q271" t="str">
            <v>Germany</v>
          </cell>
          <cell r="R271" t="str">
            <v>EUR</v>
          </cell>
          <cell r="S271" t="str">
            <v>German Capital Investment Law</v>
          </cell>
          <cell r="T271" t="str">
            <v>Quarterly</v>
          </cell>
          <cell r="U271" t="str">
            <v>Quarterly</v>
          </cell>
          <cell r="V271" t="str">
            <v>ImmoWertV</v>
          </cell>
          <cell r="W271" t="str">
            <v>BVI-Method</v>
          </cell>
          <cell r="Y271" t="str">
            <v>Spezialfonds</v>
          </cell>
          <cell r="Z271" t="str">
            <v>No</v>
          </cell>
          <cell r="AB271">
            <v>0</v>
          </cell>
          <cell r="AC271" t="str">
            <v>Non-Listed Fund</v>
          </cell>
          <cell r="AD271" t="str">
            <v>Core</v>
          </cell>
          <cell r="AE271" t="str">
            <v>infinite</v>
          </cell>
          <cell r="AF271" t="str">
            <v>Open end</v>
          </cell>
          <cell r="AM271" t="str">
            <v>&gt; 40% - ≤ 60%</v>
          </cell>
          <cell r="AN271" t="str">
            <v>Institutional</v>
          </cell>
          <cell r="AO271" t="str">
            <v>&gt; 2</v>
          </cell>
          <cell r="AP271" t="str">
            <v>≥ 50%</v>
          </cell>
          <cell r="AQ271" t="str">
            <v>Europe</v>
          </cell>
          <cell r="AR271" t="str">
            <v>single country</v>
          </cell>
          <cell r="AT271" t="str">
            <v>Germany</v>
          </cell>
          <cell r="AU271" t="str">
            <v>multi sector</v>
          </cell>
          <cell r="AY271">
            <v>2019</v>
          </cell>
          <cell r="BE271" t="str">
            <v>≥ 60%</v>
          </cell>
          <cell r="BH271" t="str">
            <v>2020-12-31</v>
          </cell>
          <cell r="BI271">
            <v>100674509.89</v>
          </cell>
          <cell r="BJ271">
            <v>100674509.89</v>
          </cell>
          <cell r="BK271">
            <v>86237692.75</v>
          </cell>
          <cell r="BL271">
            <v>86237692.75</v>
          </cell>
          <cell r="BM271">
            <v>30.73</v>
          </cell>
          <cell r="BN271" t="str">
            <v>No</v>
          </cell>
          <cell r="BO271" t="str">
            <v>External</v>
          </cell>
          <cell r="BP271">
            <v>1</v>
          </cell>
          <cell r="BQ271">
            <v>3</v>
          </cell>
          <cell r="BR271">
            <v>178906000</v>
          </cell>
          <cell r="BS271">
            <v>178906000</v>
          </cell>
          <cell r="BT271">
            <v>84832896.75</v>
          </cell>
          <cell r="BU271">
            <v>84832896.75</v>
          </cell>
          <cell r="BV271" t="str">
            <v>No</v>
          </cell>
          <cell r="BW271" t="str">
            <v>Germany</v>
          </cell>
          <cell r="BX271" t="str">
            <v>Parking</v>
          </cell>
          <cell r="BY271">
            <v>4.74</v>
          </cell>
          <cell r="BZ271" t="str">
            <v>Germany</v>
          </cell>
          <cell r="CA271" t="str">
            <v>Residential</v>
          </cell>
          <cell r="CB271">
            <v>95.17</v>
          </cell>
          <cell r="CC271" t="str">
            <v>Germany</v>
          </cell>
          <cell r="CD271" t="str">
            <v>Industrial / Logistics</v>
          </cell>
          <cell r="CE271">
            <v>0.09</v>
          </cell>
        </row>
        <row r="272">
          <cell r="A272">
            <v>514</v>
          </cell>
          <cell r="B272" t="str">
            <v>HEITMAN EUROPEAN PROPERTY PARTNERS IV</v>
          </cell>
          <cell r="C272" t="str">
            <v>HEITMAN INTERNATIONAL</v>
          </cell>
          <cell r="D272" t="str">
            <v>8 Hanover Street</v>
          </cell>
          <cell r="E272" t="str">
            <v>W1S 1YQ</v>
          </cell>
          <cell r="F272" t="str">
            <v>London</v>
          </cell>
          <cell r="G272" t="str">
            <v>United Kingdom</v>
          </cell>
          <cell r="H272" t="str">
            <v>+44 207 318 1030</v>
          </cell>
          <cell r="I272" t="str">
            <v>+44 207 318 1031</v>
          </cell>
          <cell r="J272" t="str">
            <v>http://www.heitman.com</v>
          </cell>
          <cell r="K272" t="str">
            <v>Ronan O'Donoghue</v>
          </cell>
          <cell r="L272" t="str">
            <v>Ronan.ODonoghue@heitman.com</v>
          </cell>
          <cell r="M272" t="str">
            <v>+44 207 318 1037</v>
          </cell>
          <cell r="N272" t="str">
            <v>Ajay Sharma</v>
          </cell>
          <cell r="O272" t="str">
            <v>ajay.sharma@heitman.com</v>
          </cell>
          <cell r="P272" t="str">
            <v>+44 207 318 1031</v>
          </cell>
          <cell r="Q272" t="str">
            <v>Luxembourg</v>
          </cell>
          <cell r="R272" t="str">
            <v>EUR</v>
          </cell>
          <cell r="S272" t="str">
            <v>LUXGAAP</v>
          </cell>
          <cell r="T272" t="str">
            <v>Quarterly</v>
          </cell>
          <cell r="U272" t="str">
            <v>Annually</v>
          </cell>
          <cell r="V272" t="str">
            <v>RICS</v>
          </cell>
          <cell r="X272" t="str">
            <v>Ernst &amp; Young</v>
          </cell>
          <cell r="Y272" t="str">
            <v>FCP</v>
          </cell>
          <cell r="Z272" t="str">
            <v>Yes</v>
          </cell>
          <cell r="AA272" t="str">
            <v>Yes</v>
          </cell>
          <cell r="AB272">
            <v>0</v>
          </cell>
          <cell r="AC272" t="str">
            <v>Non-Listed Fund</v>
          </cell>
          <cell r="AD272" t="str">
            <v>Value-added</v>
          </cell>
          <cell r="AE272" t="str">
            <v>finite</v>
          </cell>
          <cell r="AF272" t="str">
            <v>Closed end</v>
          </cell>
          <cell r="AG272">
            <v>13</v>
          </cell>
          <cell r="AH272">
            <v>15</v>
          </cell>
          <cell r="AI272" t="str">
            <v>Net</v>
          </cell>
          <cell r="AJ272" t="str">
            <v>IPD CEE Annual Property Index</v>
          </cell>
          <cell r="AL272">
            <v>65</v>
          </cell>
          <cell r="AM272" t="str">
            <v>&gt; 60%</v>
          </cell>
          <cell r="AN272" t="str">
            <v>Institutional</v>
          </cell>
          <cell r="AO272" t="str">
            <v>&gt; 2</v>
          </cell>
          <cell r="AP272" t="str">
            <v>≥ 50%</v>
          </cell>
          <cell r="AQ272" t="str">
            <v>Europe</v>
          </cell>
          <cell r="AR272" t="str">
            <v>multi country</v>
          </cell>
          <cell r="AS272" t="str">
            <v>Central and Eastern Europe(CEE)</v>
          </cell>
          <cell r="AU272" t="str">
            <v>multi sector</v>
          </cell>
          <cell r="AW272">
            <v>406078337</v>
          </cell>
          <cell r="AX272">
            <v>1715000000</v>
          </cell>
          <cell r="AY272">
            <v>2008</v>
          </cell>
          <cell r="AZ272">
            <v>2019</v>
          </cell>
          <cell r="BA272" t="str">
            <v>Yes</v>
          </cell>
          <cell r="BB272" t="str">
            <v>Yes</v>
          </cell>
          <cell r="BC272" t="str">
            <v>1+1 years</v>
          </cell>
          <cell r="BE272" t="str">
            <v>&lt; 60%</v>
          </cell>
          <cell r="BH272" t="str">
            <v>2020-12-31</v>
          </cell>
          <cell r="BI272">
            <v>54123296</v>
          </cell>
          <cell r="BJ272">
            <v>54123296</v>
          </cell>
          <cell r="BK272">
            <v>18993638</v>
          </cell>
          <cell r="BL272">
            <v>18993638</v>
          </cell>
          <cell r="BM272">
            <v>0</v>
          </cell>
          <cell r="BN272" t="str">
            <v>No</v>
          </cell>
          <cell r="BO272" t="str">
            <v>Internal</v>
          </cell>
          <cell r="BP272">
            <v>10</v>
          </cell>
          <cell r="BQ272">
            <v>1</v>
          </cell>
          <cell r="BR272">
            <v>406078337</v>
          </cell>
          <cell r="BS272">
            <v>406078337</v>
          </cell>
          <cell r="BT272">
            <v>376720912</v>
          </cell>
          <cell r="BU272">
            <v>376720912</v>
          </cell>
          <cell r="BV272" t="str">
            <v>No</v>
          </cell>
          <cell r="BW272" t="str">
            <v>Poland</v>
          </cell>
          <cell r="BX272" t="str">
            <v>Residential</v>
          </cell>
          <cell r="BY272">
            <v>100</v>
          </cell>
        </row>
        <row r="273">
          <cell r="A273">
            <v>18280</v>
          </cell>
          <cell r="B273" t="str">
            <v>HEITMAN EUROPEAN RESIDENTIAL INVESTMENT PARTNERS I SCSP</v>
          </cell>
          <cell r="C273" t="str">
            <v>HEITMAN MANAGEMENT COMPANY S.à R.L.</v>
          </cell>
          <cell r="D273" t="str">
            <v>4 Boulevard Royal</v>
          </cell>
          <cell r="E273" t="str">
            <v>L-2449</v>
          </cell>
          <cell r="F273" t="str">
            <v>Luxembourg</v>
          </cell>
          <cell r="G273" t="str">
            <v>Luxembourg</v>
          </cell>
          <cell r="H273" t="str">
            <v>+35226290927</v>
          </cell>
          <cell r="J273" t="str">
            <v>http://www.heitman.com</v>
          </cell>
          <cell r="K273" t="str">
            <v>Gordon Black</v>
          </cell>
          <cell r="L273" t="str">
            <v>Gordon.Black@heitman.com</v>
          </cell>
          <cell r="M273" t="str">
            <v>+442073181035</v>
          </cell>
          <cell r="N273" t="str">
            <v>Ajay Sharma</v>
          </cell>
          <cell r="O273" t="str">
            <v>Ajay.Sharma@heitman.com</v>
          </cell>
          <cell r="P273" t="str">
            <v>+442073181032</v>
          </cell>
          <cell r="Q273" t="str">
            <v>Luxembourg</v>
          </cell>
          <cell r="R273" t="str">
            <v>EUR</v>
          </cell>
          <cell r="S273" t="str">
            <v>IFRS</v>
          </cell>
          <cell r="T273" t="str">
            <v>Quarterly</v>
          </cell>
          <cell r="U273" t="str">
            <v>Annually</v>
          </cell>
          <cell r="V273" t="str">
            <v>RICS</v>
          </cell>
          <cell r="W273" t="str">
            <v>INREV NAV</v>
          </cell>
          <cell r="X273" t="str">
            <v>Ernst &amp; Young</v>
          </cell>
          <cell r="Y273" t="str">
            <v>Limited Partnership</v>
          </cell>
          <cell r="Z273" t="str">
            <v>Yes</v>
          </cell>
          <cell r="AA273" t="str">
            <v>Yes</v>
          </cell>
          <cell r="AB273">
            <v>0</v>
          </cell>
          <cell r="AC273" t="str">
            <v>Non-Listed Fund</v>
          </cell>
          <cell r="AD273" t="str">
            <v>Core</v>
          </cell>
          <cell r="AE273" t="str">
            <v>finite</v>
          </cell>
          <cell r="AF273" t="str">
            <v>Closed end</v>
          </cell>
          <cell r="AG273">
            <v>7</v>
          </cell>
          <cell r="AH273">
            <v>9</v>
          </cell>
          <cell r="AI273" t="str">
            <v>Net</v>
          </cell>
          <cell r="AL273">
            <v>40</v>
          </cell>
          <cell r="AM273" t="str">
            <v>≤ 40%</v>
          </cell>
          <cell r="AN273" t="str">
            <v>Institutional</v>
          </cell>
          <cell r="AO273" t="str">
            <v>&gt; 2</v>
          </cell>
          <cell r="AP273" t="str">
            <v>≥ 50%</v>
          </cell>
          <cell r="AQ273" t="str">
            <v>Europe</v>
          </cell>
          <cell r="AR273" t="str">
            <v>multi country</v>
          </cell>
          <cell r="AS273" t="str">
            <v>Western Europe</v>
          </cell>
          <cell r="AU273" t="str">
            <v>single sector</v>
          </cell>
          <cell r="AV273" t="str">
            <v>Residential</v>
          </cell>
          <cell r="AW273">
            <v>240570000</v>
          </cell>
          <cell r="AX273">
            <v>400950000</v>
          </cell>
          <cell r="AY273">
            <v>2016</v>
          </cell>
          <cell r="AZ273">
            <v>2023</v>
          </cell>
          <cell r="BA273" t="str">
            <v>Yes</v>
          </cell>
          <cell r="BB273" t="str">
            <v>Yes</v>
          </cell>
          <cell r="BC273" t="str">
            <v>1+1+1 years</v>
          </cell>
          <cell r="BD273" t="str">
            <v>No</v>
          </cell>
          <cell r="BE273" t="str">
            <v>&lt; 60%</v>
          </cell>
          <cell r="BH273" t="str">
            <v>2020-12-31</v>
          </cell>
          <cell r="BI273">
            <v>567247314</v>
          </cell>
          <cell r="BJ273">
            <v>567247314</v>
          </cell>
          <cell r="BK273">
            <v>320411867</v>
          </cell>
          <cell r="BL273">
            <v>320411867</v>
          </cell>
          <cell r="BM273">
            <v>32.799999999999997</v>
          </cell>
          <cell r="BN273" t="str">
            <v>No</v>
          </cell>
          <cell r="BO273" t="str">
            <v>External</v>
          </cell>
          <cell r="BP273">
            <v>6</v>
          </cell>
          <cell r="BQ273">
            <v>159</v>
          </cell>
          <cell r="BR273">
            <v>240570000</v>
          </cell>
          <cell r="BS273">
            <v>240570000</v>
          </cell>
          <cell r="BT273">
            <v>223925000</v>
          </cell>
          <cell r="BU273">
            <v>223925000</v>
          </cell>
          <cell r="BV273" t="str">
            <v>No</v>
          </cell>
          <cell r="BW273" t="str">
            <v>Netherlands</v>
          </cell>
          <cell r="BX273" t="str">
            <v>Mixed</v>
          </cell>
          <cell r="BY273">
            <v>12.82</v>
          </cell>
          <cell r="BZ273" t="str">
            <v>Germany</v>
          </cell>
          <cell r="CA273" t="str">
            <v>Mixed</v>
          </cell>
          <cell r="CB273">
            <v>82.84</v>
          </cell>
        </row>
        <row r="274">
          <cell r="A274">
            <v>18281</v>
          </cell>
          <cell r="B274" t="str">
            <v>HEITMAN EUROPEAN RESIDENTIAL INVESTMENT PARTNERS II SCSP</v>
          </cell>
          <cell r="C274" t="str">
            <v>HEITMAN MANAGEMENT COMPANY S.à R.L.</v>
          </cell>
          <cell r="D274" t="str">
            <v>4 Boulevard Royal</v>
          </cell>
          <cell r="E274" t="str">
            <v>L-2449</v>
          </cell>
          <cell r="F274" t="str">
            <v>Luxembourg</v>
          </cell>
          <cell r="G274" t="str">
            <v>Luxembourg</v>
          </cell>
          <cell r="H274" t="str">
            <v>+35226290927</v>
          </cell>
          <cell r="J274" t="str">
            <v>http://www.heitman.com</v>
          </cell>
          <cell r="K274" t="str">
            <v>Gordon Black</v>
          </cell>
          <cell r="L274" t="str">
            <v>Gordon.Black@heitman.com</v>
          </cell>
          <cell r="M274" t="str">
            <v>+442073181035</v>
          </cell>
          <cell r="N274" t="str">
            <v>Ajay Sharma</v>
          </cell>
          <cell r="O274" t="str">
            <v>Ajay.Sharma@heitman.com</v>
          </cell>
          <cell r="P274" t="str">
            <v>+442073181032</v>
          </cell>
          <cell r="Q274" t="str">
            <v>Luxembourg</v>
          </cell>
          <cell r="R274" t="str">
            <v>EUR</v>
          </cell>
          <cell r="S274" t="str">
            <v>IFRS</v>
          </cell>
          <cell r="T274" t="str">
            <v>Quarterly</v>
          </cell>
          <cell r="U274" t="str">
            <v>Annually</v>
          </cell>
          <cell r="V274" t="str">
            <v>RICS</v>
          </cell>
          <cell r="W274" t="str">
            <v>INREV NAV</v>
          </cell>
          <cell r="X274" t="str">
            <v>Ernst &amp; young</v>
          </cell>
          <cell r="Y274" t="str">
            <v>Limited Partnership</v>
          </cell>
          <cell r="Z274" t="str">
            <v>Yes</v>
          </cell>
          <cell r="AA274" t="str">
            <v>Yes</v>
          </cell>
          <cell r="AB274">
            <v>0</v>
          </cell>
          <cell r="AC274" t="str">
            <v>Non-Listed Fund</v>
          </cell>
          <cell r="AD274" t="str">
            <v>Core</v>
          </cell>
          <cell r="AE274" t="str">
            <v>finite</v>
          </cell>
          <cell r="AF274" t="str">
            <v>Closed end</v>
          </cell>
          <cell r="AG274">
            <v>7</v>
          </cell>
          <cell r="AH274">
            <v>9</v>
          </cell>
          <cell r="AI274" t="str">
            <v>Net</v>
          </cell>
          <cell r="AL274">
            <v>40</v>
          </cell>
          <cell r="AM274" t="str">
            <v>≤ 40%</v>
          </cell>
          <cell r="AN274" t="str">
            <v>Institutional</v>
          </cell>
          <cell r="AO274" t="str">
            <v>&gt; 2</v>
          </cell>
          <cell r="AP274" t="str">
            <v>≥ 50%</v>
          </cell>
          <cell r="AQ274" t="str">
            <v>Europe</v>
          </cell>
          <cell r="AR274" t="str">
            <v>multi country</v>
          </cell>
          <cell r="AS274" t="str">
            <v>Western Europe</v>
          </cell>
          <cell r="AU274" t="str">
            <v>single sector</v>
          </cell>
          <cell r="AV274" t="str">
            <v>Residential</v>
          </cell>
          <cell r="AW274">
            <v>26730000</v>
          </cell>
          <cell r="AX274">
            <v>44550000</v>
          </cell>
          <cell r="AY274">
            <v>2016</v>
          </cell>
          <cell r="AZ274">
            <v>2023</v>
          </cell>
          <cell r="BA274" t="str">
            <v>Yes</v>
          </cell>
          <cell r="BB274" t="str">
            <v>Yes</v>
          </cell>
          <cell r="BC274" t="str">
            <v>1+1+1 years</v>
          </cell>
          <cell r="BD274" t="str">
            <v>No</v>
          </cell>
          <cell r="BE274" t="str">
            <v>&lt; 60%</v>
          </cell>
          <cell r="BH274" t="str">
            <v>2020-12-31</v>
          </cell>
          <cell r="BI274">
            <v>63071961</v>
          </cell>
          <cell r="BJ274">
            <v>63071961</v>
          </cell>
          <cell r="BK274">
            <v>35557551</v>
          </cell>
          <cell r="BL274">
            <v>35557551</v>
          </cell>
          <cell r="BM274">
            <v>32.799999999999997</v>
          </cell>
          <cell r="BN274" t="str">
            <v>Yes</v>
          </cell>
          <cell r="BO274" t="str">
            <v>External</v>
          </cell>
          <cell r="BP274">
            <v>6</v>
          </cell>
          <cell r="BQ274">
            <v>159</v>
          </cell>
          <cell r="BR274">
            <v>26730000</v>
          </cell>
          <cell r="BS274">
            <v>26730000</v>
          </cell>
          <cell r="BT274">
            <v>24925000</v>
          </cell>
          <cell r="BU274">
            <v>24925000</v>
          </cell>
          <cell r="BV274" t="str">
            <v>No</v>
          </cell>
          <cell r="BW274" t="str">
            <v>Netherlands</v>
          </cell>
          <cell r="BX274" t="str">
            <v>Mixed</v>
          </cell>
          <cell r="BY274">
            <v>12.81</v>
          </cell>
          <cell r="BZ274" t="str">
            <v>Germany</v>
          </cell>
          <cell r="CA274" t="str">
            <v>Mixed</v>
          </cell>
          <cell r="CB274">
            <v>82.78</v>
          </cell>
        </row>
        <row r="275">
          <cell r="A275">
            <v>238</v>
          </cell>
          <cell r="B275" t="str">
            <v>HERCULES UNIT TRUST</v>
          </cell>
          <cell r="C275" t="str">
            <v>BRITISH LAND, YORK HOUSE</v>
          </cell>
          <cell r="D275" t="str">
            <v>43-45 Seymour Street</v>
          </cell>
          <cell r="E275" t="str">
            <v>W1H 7LX</v>
          </cell>
          <cell r="F275" t="str">
            <v>London</v>
          </cell>
          <cell r="G275" t="str">
            <v>United Kingdom</v>
          </cell>
          <cell r="H275" t="str">
            <v>+44 (0) 20 7486 4466</v>
          </cell>
          <cell r="I275" t="str">
            <v>+44 (0) 20 7935 5552</v>
          </cell>
          <cell r="J275" t="str">
            <v>http://www.britishland.com/</v>
          </cell>
          <cell r="K275" t="str">
            <v>Matteo Miglio</v>
          </cell>
          <cell r="L275" t="str">
            <v>Matteo.Miglio@britishland.com</v>
          </cell>
          <cell r="M275" t="str">
            <v>+44 (0) 20 7467 3497</v>
          </cell>
          <cell r="N275" t="str">
            <v xml:space="preserve">Matteo Miglio (portfolio manager) </v>
          </cell>
          <cell r="O275" t="str">
            <v>Matteo.Miglio@britishland.com</v>
          </cell>
          <cell r="P275" t="str">
            <v>+44 (0) 20 7467 3497</v>
          </cell>
          <cell r="Q275" t="str">
            <v>Jersey</v>
          </cell>
          <cell r="R275" t="str">
            <v>GBP</v>
          </cell>
          <cell r="T275" t="str">
            <v>Twice per year</v>
          </cell>
          <cell r="U275" t="str">
            <v>Monthly</v>
          </cell>
          <cell r="V275" t="str">
            <v>RICS</v>
          </cell>
          <cell r="W275" t="str">
            <v>INREV NAV</v>
          </cell>
          <cell r="X275" t="str">
            <v>PriceWaterhouseCoopers</v>
          </cell>
          <cell r="Y275" t="str">
            <v>Property Unit Trust</v>
          </cell>
          <cell r="Z275" t="str">
            <v>Yes</v>
          </cell>
          <cell r="AA275" t="str">
            <v>No</v>
          </cell>
          <cell r="AB275">
            <v>0</v>
          </cell>
          <cell r="AC275" t="str">
            <v>Non-Listed Fund</v>
          </cell>
          <cell r="AD275" t="str">
            <v>Core</v>
          </cell>
          <cell r="AE275" t="str">
            <v>finite</v>
          </cell>
          <cell r="AF275" t="str">
            <v>Closed end</v>
          </cell>
          <cell r="AJ275" t="str">
            <v>IPD UK Retail Warehouse Quarterly Index</v>
          </cell>
          <cell r="AM275" t="str">
            <v>&gt; 40% - ≤ 60%</v>
          </cell>
          <cell r="AN275" t="str">
            <v>Institutional</v>
          </cell>
          <cell r="AO275" t="str">
            <v>&gt; 2</v>
          </cell>
          <cell r="AP275" t="str">
            <v>≥ 50%</v>
          </cell>
          <cell r="AQ275" t="str">
            <v>Europe</v>
          </cell>
          <cell r="AR275" t="str">
            <v>single country</v>
          </cell>
          <cell r="AT275" t="str">
            <v>United Kingdom</v>
          </cell>
          <cell r="AU275" t="str">
            <v>single sector</v>
          </cell>
          <cell r="AV275" t="str">
            <v>Retail</v>
          </cell>
          <cell r="AY275">
            <v>2000</v>
          </cell>
          <cell r="AZ275">
            <v>2020</v>
          </cell>
          <cell r="BA275" t="str">
            <v>Yes</v>
          </cell>
          <cell r="BB275" t="str">
            <v>Yes</v>
          </cell>
          <cell r="BC275" t="str">
            <v>10 years</v>
          </cell>
          <cell r="BH275" t="str">
            <v>2020-12-31</v>
          </cell>
          <cell r="BI275">
            <v>701215000</v>
          </cell>
          <cell r="BJ275">
            <v>775227608.65042496</v>
          </cell>
          <cell r="BK275">
            <v>193796497</v>
          </cell>
          <cell r="BL275">
            <v>214251541.87252021</v>
          </cell>
          <cell r="BM275">
            <v>46.65</v>
          </cell>
          <cell r="BN275" t="str">
            <v>No</v>
          </cell>
          <cell r="BS275">
            <v>0</v>
          </cell>
          <cell r="BW275" t="str">
            <v>United Kingdom</v>
          </cell>
          <cell r="BX275" t="str">
            <v>Retail</v>
          </cell>
          <cell r="BY275">
            <v>100</v>
          </cell>
        </row>
        <row r="276">
          <cell r="A276">
            <v>242</v>
          </cell>
          <cell r="B276" t="str">
            <v>HIGHCROSS REGIONAL UK PARTNERS</v>
          </cell>
          <cell r="C276" t="str">
            <v>HIGHCROSS STRETEGIC ADVISERS LTD</v>
          </cell>
          <cell r="D276" t="str">
            <v>St Catherine's House, Oxford Square</v>
          </cell>
          <cell r="E276" t="str">
            <v>RG14 1JQ</v>
          </cell>
          <cell r="F276" t="str">
            <v>Newbury</v>
          </cell>
          <cell r="G276" t="str">
            <v>United Kingdom</v>
          </cell>
          <cell r="H276" t="str">
            <v>+44 (0) 1635 521 088</v>
          </cell>
          <cell r="I276" t="str">
            <v>+44 (0) 1635 35 432</v>
          </cell>
          <cell r="J276" t="str">
            <v>http://www.highcross.co.uk</v>
          </cell>
          <cell r="K276" t="str">
            <v>Peter Gubb</v>
          </cell>
          <cell r="N276" t="str">
            <v>Mike Megan</v>
          </cell>
          <cell r="P276" t="str">
            <v>+44 (0) 1635 35 432</v>
          </cell>
          <cell r="Q276" t="str">
            <v>United States of America</v>
          </cell>
          <cell r="R276" t="str">
            <v>GBP</v>
          </cell>
          <cell r="S276" t="str">
            <v>US GAAP</v>
          </cell>
          <cell r="T276" t="str">
            <v>Quarterly</v>
          </cell>
          <cell r="U276" t="str">
            <v>Quarterly</v>
          </cell>
          <cell r="V276" t="str">
            <v>RICS</v>
          </cell>
          <cell r="X276" t="str">
            <v>Deloitte &amp; Touche</v>
          </cell>
          <cell r="Y276" t="str">
            <v>Limited Partnership</v>
          </cell>
          <cell r="AB276">
            <v>0</v>
          </cell>
          <cell r="AC276" t="str">
            <v>Non-Listed Fund</v>
          </cell>
          <cell r="AD276" t="str">
            <v>Value-added</v>
          </cell>
          <cell r="AE276" t="str">
            <v>finite</v>
          </cell>
          <cell r="AF276" t="str">
            <v>Closed end</v>
          </cell>
          <cell r="AJ276" t="str">
            <v>IPD</v>
          </cell>
          <cell r="AL276">
            <v>65</v>
          </cell>
          <cell r="AM276" t="str">
            <v>&gt; 60%</v>
          </cell>
          <cell r="AN276" t="str">
            <v>Institutional</v>
          </cell>
          <cell r="AO276" t="str">
            <v>&gt; 2</v>
          </cell>
          <cell r="AP276" t="str">
            <v>≥ 50%</v>
          </cell>
          <cell r="AQ276" t="str">
            <v>Europe</v>
          </cell>
          <cell r="AR276" t="str">
            <v>single country</v>
          </cell>
          <cell r="AT276" t="str">
            <v>United Kingdom</v>
          </cell>
          <cell r="AU276" t="str">
            <v>multi sector</v>
          </cell>
          <cell r="AX276">
            <v>524250000</v>
          </cell>
          <cell r="AY276">
            <v>2004</v>
          </cell>
          <cell r="AZ276">
            <v>2012</v>
          </cell>
          <cell r="BA276" t="str">
            <v>Yes</v>
          </cell>
          <cell r="BB276" t="str">
            <v>Yes</v>
          </cell>
          <cell r="BC276" t="str">
            <v>2 years</v>
          </cell>
          <cell r="BH276" t="str">
            <v>2015-03-31</v>
          </cell>
          <cell r="BI276">
            <v>1292540</v>
          </cell>
          <cell r="BJ276">
            <v>1767354.5689999999</v>
          </cell>
          <cell r="BK276">
            <v>1116124</v>
          </cell>
          <cell r="BL276">
            <v>1526132.1514000001</v>
          </cell>
          <cell r="BM276">
            <v>0</v>
          </cell>
          <cell r="BN276" t="str">
            <v>No</v>
          </cell>
          <cell r="BO276" t="str">
            <v>Internal</v>
          </cell>
          <cell r="BR276">
            <v>150000000</v>
          </cell>
          <cell r="BS276">
            <v>192420000</v>
          </cell>
          <cell r="BT276">
            <v>134275000</v>
          </cell>
          <cell r="BU276">
            <v>172247970</v>
          </cell>
        </row>
        <row r="277">
          <cell r="A277">
            <v>243</v>
          </cell>
          <cell r="B277" t="str">
            <v>HIGHCROSS REGIONAL UK PARTNERS II</v>
          </cell>
          <cell r="C277" t="str">
            <v>HIGHCROSS STRETEGIC ADVISERS LTD</v>
          </cell>
          <cell r="D277" t="str">
            <v>St Catherine's House, Oxford Square</v>
          </cell>
          <cell r="E277" t="str">
            <v>RG14 1JQ</v>
          </cell>
          <cell r="F277" t="str">
            <v>Newbury</v>
          </cell>
          <cell r="G277" t="str">
            <v>United Kingdom</v>
          </cell>
          <cell r="H277" t="str">
            <v>+44 (0) 1635 521 088</v>
          </cell>
          <cell r="I277" t="str">
            <v>+44 (0) 1635 35 432</v>
          </cell>
          <cell r="J277" t="str">
            <v>http://www.highcross.co.uk</v>
          </cell>
          <cell r="K277" t="str">
            <v>Peter Gubb</v>
          </cell>
          <cell r="N277" t="str">
            <v>Mike Megan</v>
          </cell>
          <cell r="P277" t="str">
            <v>+44 (0) 1635 35 432</v>
          </cell>
          <cell r="Q277" t="str">
            <v>United Kingdom</v>
          </cell>
          <cell r="R277" t="str">
            <v>GBP</v>
          </cell>
          <cell r="S277" t="str">
            <v>US GAAP</v>
          </cell>
          <cell r="T277" t="str">
            <v>Quarterly</v>
          </cell>
          <cell r="U277" t="str">
            <v>Quarterly</v>
          </cell>
          <cell r="V277" t="str">
            <v>RICS</v>
          </cell>
          <cell r="X277" t="str">
            <v>Deloitte &amp; Touche</v>
          </cell>
          <cell r="Y277" t="str">
            <v>Limited Partnership</v>
          </cell>
          <cell r="AB277">
            <v>0</v>
          </cell>
          <cell r="AC277" t="str">
            <v>Non-Listed Fund</v>
          </cell>
          <cell r="AD277" t="str">
            <v>Value-added</v>
          </cell>
          <cell r="AE277" t="str">
            <v>finite</v>
          </cell>
          <cell r="AF277" t="str">
            <v>Closed end</v>
          </cell>
          <cell r="AJ277" t="str">
            <v>IPD</v>
          </cell>
          <cell r="AL277">
            <v>70</v>
          </cell>
          <cell r="AM277" t="str">
            <v>&gt; 60%</v>
          </cell>
          <cell r="AN277" t="str">
            <v>Institutional</v>
          </cell>
          <cell r="AO277" t="str">
            <v>&gt; 2</v>
          </cell>
          <cell r="AP277" t="str">
            <v>≥ 50%</v>
          </cell>
          <cell r="AQ277" t="str">
            <v>Europe</v>
          </cell>
          <cell r="AR277" t="str">
            <v>single country</v>
          </cell>
          <cell r="AT277" t="str">
            <v>United Kingdom</v>
          </cell>
          <cell r="AU277" t="str">
            <v>multi sector</v>
          </cell>
          <cell r="AX277">
            <v>1323460000</v>
          </cell>
          <cell r="AY277">
            <v>2006</v>
          </cell>
          <cell r="AZ277">
            <v>2014</v>
          </cell>
          <cell r="BH277" t="str">
            <v>2015-03-31</v>
          </cell>
          <cell r="BI277">
            <v>94082000</v>
          </cell>
          <cell r="BJ277">
            <v>128643022.7</v>
          </cell>
          <cell r="BK277">
            <v>0</v>
          </cell>
          <cell r="BL277">
            <v>0</v>
          </cell>
          <cell r="BM277">
            <v>100</v>
          </cell>
          <cell r="BN277" t="str">
            <v>No</v>
          </cell>
          <cell r="BO277" t="str">
            <v>Internal</v>
          </cell>
          <cell r="BR277">
            <v>325050000</v>
          </cell>
          <cell r="BS277">
            <v>416974140</v>
          </cell>
          <cell r="BT277">
            <v>325050000</v>
          </cell>
          <cell r="BU277">
            <v>416974140</v>
          </cell>
          <cell r="BV277" t="str">
            <v>No</v>
          </cell>
        </row>
        <row r="278">
          <cell r="A278">
            <v>244</v>
          </cell>
          <cell r="B278" t="str">
            <v>HIGHCROSS REGIONAL UK PARTNERS III</v>
          </cell>
          <cell r="C278" t="str">
            <v>HIGHCROSS STRATEGIC ADVISERS</v>
          </cell>
          <cell r="D278" t="str">
            <v>St Catherine's House, Oxford Square</v>
          </cell>
          <cell r="E278" t="str">
            <v>RG14 1JQ</v>
          </cell>
          <cell r="F278" t="str">
            <v>Newbury</v>
          </cell>
          <cell r="G278" t="str">
            <v>United Kingdom</v>
          </cell>
          <cell r="H278" t="str">
            <v>+44 (0) 1635 521 088</v>
          </cell>
          <cell r="I278" t="str">
            <v>+44 (0) 1635 35 432</v>
          </cell>
          <cell r="J278" t="str">
            <v>http://www.highcross.co.uk</v>
          </cell>
          <cell r="K278" t="str">
            <v>Peter Gubb</v>
          </cell>
          <cell r="N278" t="str">
            <v>Mike Megan</v>
          </cell>
          <cell r="P278" t="str">
            <v>+44 (0) 1635 35 432</v>
          </cell>
          <cell r="Q278" t="str">
            <v>United Kingdom</v>
          </cell>
          <cell r="R278" t="str">
            <v>GBP</v>
          </cell>
          <cell r="S278" t="str">
            <v>US GAAP</v>
          </cell>
          <cell r="T278" t="str">
            <v>Quarterly</v>
          </cell>
          <cell r="U278" t="str">
            <v>Annually</v>
          </cell>
          <cell r="V278" t="str">
            <v>RICS</v>
          </cell>
          <cell r="X278" t="str">
            <v>Deloitte &amp; Touche</v>
          </cell>
          <cell r="Y278" t="str">
            <v>Limited Partnership</v>
          </cell>
          <cell r="Z278" t="str">
            <v>No</v>
          </cell>
          <cell r="AB278">
            <v>0</v>
          </cell>
          <cell r="AC278" t="str">
            <v>Non-Listed Fund</v>
          </cell>
          <cell r="AD278" t="str">
            <v>Value-added</v>
          </cell>
          <cell r="AE278" t="str">
            <v>finite</v>
          </cell>
          <cell r="AF278" t="str">
            <v>Closed end</v>
          </cell>
          <cell r="AG278">
            <v>18</v>
          </cell>
          <cell r="AH278">
            <v>20</v>
          </cell>
          <cell r="AI278" t="str">
            <v>Net</v>
          </cell>
          <cell r="AL278">
            <v>70</v>
          </cell>
          <cell r="AM278" t="str">
            <v>&gt; 60%</v>
          </cell>
          <cell r="AN278" t="str">
            <v>Institutional</v>
          </cell>
          <cell r="AO278" t="str">
            <v>&gt; 2</v>
          </cell>
          <cell r="AP278" t="str">
            <v>≥ 50%</v>
          </cell>
          <cell r="AQ278" t="str">
            <v>Europe</v>
          </cell>
          <cell r="AR278" t="str">
            <v>single country</v>
          </cell>
          <cell r="AT278" t="str">
            <v>United Kingdom</v>
          </cell>
          <cell r="AU278" t="str">
            <v>multi sector</v>
          </cell>
          <cell r="AY278">
            <v>2008</v>
          </cell>
          <cell r="AZ278">
            <v>2016</v>
          </cell>
          <cell r="BA278" t="str">
            <v>Yes</v>
          </cell>
          <cell r="BB278" t="str">
            <v>Yes</v>
          </cell>
          <cell r="BC278" t="str">
            <v>1+1 years</v>
          </cell>
          <cell r="BH278" t="str">
            <v>2015-03-31</v>
          </cell>
          <cell r="BI278">
            <v>570467</v>
          </cell>
          <cell r="BJ278">
            <v>780028.05244999996</v>
          </cell>
          <cell r="BK278">
            <v>954665</v>
          </cell>
          <cell r="BL278">
            <v>1305361.18775</v>
          </cell>
          <cell r="BM278">
            <v>0</v>
          </cell>
          <cell r="BR278">
            <v>350000000</v>
          </cell>
          <cell r="BS278">
            <v>448980000</v>
          </cell>
          <cell r="BT278">
            <v>322500000</v>
          </cell>
          <cell r="BU278">
            <v>413703000</v>
          </cell>
          <cell r="BV278" t="str">
            <v>No</v>
          </cell>
        </row>
        <row r="279">
          <cell r="A279">
            <v>545</v>
          </cell>
          <cell r="B279" t="str">
            <v>HINES PAN-EUROPEAN CORE FUND</v>
          </cell>
          <cell r="C279" t="str">
            <v>HINES</v>
          </cell>
          <cell r="D279" t="str">
            <v>5 Welbeck Street</v>
          </cell>
          <cell r="E279" t="str">
            <v>W1G 9YQ</v>
          </cell>
          <cell r="F279" t="str">
            <v>London</v>
          </cell>
          <cell r="G279" t="str">
            <v>United Kingdom</v>
          </cell>
          <cell r="J279" t="str">
            <v>https://www.hines.com</v>
          </cell>
          <cell r="K279" t="str">
            <v>Peter Epping</v>
          </cell>
          <cell r="L279" t="str">
            <v>peter.epping@hines.com</v>
          </cell>
          <cell r="N279" t="str">
            <v>Michael Krause</v>
          </cell>
          <cell r="O279" t="str">
            <v>Michael.Krause@hines.com</v>
          </cell>
          <cell r="P279" t="str">
            <v>+447478132211</v>
          </cell>
          <cell r="Q279" t="str">
            <v>Luxembourg</v>
          </cell>
          <cell r="R279" t="str">
            <v>EUR</v>
          </cell>
          <cell r="S279" t="str">
            <v>IFRS</v>
          </cell>
          <cell r="T279" t="str">
            <v>Quarterly</v>
          </cell>
          <cell r="U279" t="str">
            <v>Quarterly</v>
          </cell>
          <cell r="V279" t="str">
            <v>RICS</v>
          </cell>
          <cell r="W279" t="str">
            <v>INREV NAV</v>
          </cell>
          <cell r="Y279" t="str">
            <v>FCP</v>
          </cell>
          <cell r="Z279" t="str">
            <v>Yes</v>
          </cell>
          <cell r="AC279" t="str">
            <v>Non-Listed Fund</v>
          </cell>
          <cell r="AD279" t="str">
            <v>Core</v>
          </cell>
          <cell r="AE279" t="str">
            <v>infinite</v>
          </cell>
          <cell r="AF279" t="str">
            <v>Open end</v>
          </cell>
          <cell r="AL279">
            <v>40</v>
          </cell>
          <cell r="AM279" t="str">
            <v>≤ 40%</v>
          </cell>
          <cell r="AN279" t="str">
            <v>Institutional</v>
          </cell>
          <cell r="AO279" t="str">
            <v>&gt; 2</v>
          </cell>
          <cell r="AP279" t="str">
            <v>≥ 50%</v>
          </cell>
          <cell r="AQ279" t="str">
            <v>Europe</v>
          </cell>
          <cell r="AR279" t="str">
            <v>multi country</v>
          </cell>
          <cell r="AS279" t="str">
            <v>Europe</v>
          </cell>
          <cell r="AU279" t="str">
            <v>multi sector</v>
          </cell>
          <cell r="AW279">
            <v>120000000000</v>
          </cell>
          <cell r="AX279">
            <v>1600000000</v>
          </cell>
          <cell r="AY279">
            <v>2006</v>
          </cell>
          <cell r="BD279" t="str">
            <v>No</v>
          </cell>
          <cell r="BE279" t="str">
            <v>≥ 60%</v>
          </cell>
          <cell r="BF279" t="str">
            <v>≤ 15%</v>
          </cell>
          <cell r="BG279" t="str">
            <v>≤ 5%</v>
          </cell>
          <cell r="BH279" t="str">
            <v>2020-12-31</v>
          </cell>
          <cell r="BI279">
            <v>2053326306</v>
          </cell>
          <cell r="BJ279">
            <v>2053326306</v>
          </cell>
          <cell r="BK279">
            <v>1372735792</v>
          </cell>
          <cell r="BL279">
            <v>1372735792</v>
          </cell>
          <cell r="BM279">
            <v>27.7</v>
          </cell>
          <cell r="BN279" t="str">
            <v>No</v>
          </cell>
          <cell r="BO279" t="str">
            <v>External</v>
          </cell>
          <cell r="BP279">
            <v>25</v>
          </cell>
          <cell r="BQ279">
            <v>28</v>
          </cell>
          <cell r="BR279">
            <v>1650686126</v>
          </cell>
          <cell r="BS279">
            <v>1650686126</v>
          </cell>
          <cell r="BT279">
            <v>1359676126</v>
          </cell>
          <cell r="BU279">
            <v>1359676126</v>
          </cell>
          <cell r="BV279" t="str">
            <v>Yes</v>
          </cell>
          <cell r="BW279" t="str">
            <v>Poland</v>
          </cell>
          <cell r="BX279" t="str">
            <v>Industrial / Logistics</v>
          </cell>
          <cell r="BY279">
            <v>5.1698000000000004</v>
          </cell>
          <cell r="BZ279" t="str">
            <v>Netherlands</v>
          </cell>
          <cell r="CA279" t="str">
            <v>Industrial / Logistics</v>
          </cell>
          <cell r="CB279">
            <v>3.2650999999999999</v>
          </cell>
          <cell r="CC279" t="str">
            <v>Netherlands</v>
          </cell>
          <cell r="CD279" t="str">
            <v>Residential</v>
          </cell>
          <cell r="CE279">
            <v>1.8225</v>
          </cell>
          <cell r="CF279" t="str">
            <v>Netherlands</v>
          </cell>
          <cell r="CG279" t="str">
            <v>Retail</v>
          </cell>
          <cell r="CH279">
            <v>0.16750000000000001</v>
          </cell>
          <cell r="CI279" t="str">
            <v>Netherlands</v>
          </cell>
          <cell r="CJ279" t="str">
            <v>Office</v>
          </cell>
          <cell r="CK279">
            <v>7.3280000000000003</v>
          </cell>
          <cell r="CL279" t="str">
            <v>Denmark</v>
          </cell>
          <cell r="CM279" t="str">
            <v>Residential</v>
          </cell>
          <cell r="CN279">
            <v>0.41849999999999998</v>
          </cell>
          <cell r="CO279" t="str">
            <v>Denmark</v>
          </cell>
          <cell r="CP279" t="str">
            <v>Retail</v>
          </cell>
          <cell r="CQ279">
            <v>2.7075999999999998</v>
          </cell>
          <cell r="CR279" t="str">
            <v>Denmark</v>
          </cell>
          <cell r="CS279" t="str">
            <v>Office</v>
          </cell>
          <cell r="CT279">
            <v>4.9988000000000001</v>
          </cell>
          <cell r="CU279" t="str">
            <v>Ireland</v>
          </cell>
          <cell r="CV279" t="str">
            <v>Residential</v>
          </cell>
          <cell r="CW279">
            <v>0.97929999999999995</v>
          </cell>
          <cell r="CX279" t="str">
            <v>Ireland</v>
          </cell>
          <cell r="CY279" t="str">
            <v>Retail</v>
          </cell>
          <cell r="CZ279">
            <v>3.9780000000000002</v>
          </cell>
          <cell r="DA279" t="str">
            <v>Ireland</v>
          </cell>
          <cell r="DB279" t="str">
            <v>Office</v>
          </cell>
          <cell r="DC279">
            <v>2.0127000000000002</v>
          </cell>
          <cell r="DD279" t="str">
            <v>Spain</v>
          </cell>
          <cell r="DE279" t="str">
            <v>Retail</v>
          </cell>
          <cell r="DF279">
            <v>3.9458000000000002</v>
          </cell>
          <cell r="DG279" t="str">
            <v>Italy</v>
          </cell>
          <cell r="DH279" t="str">
            <v>Hotel</v>
          </cell>
          <cell r="DI279">
            <v>1.6527000000000001</v>
          </cell>
          <cell r="DJ279" t="str">
            <v>Italy</v>
          </cell>
          <cell r="DK279" t="str">
            <v>Retail</v>
          </cell>
          <cell r="DL279">
            <v>4.8244999999999996</v>
          </cell>
          <cell r="DM279" t="str">
            <v>Italy</v>
          </cell>
          <cell r="DN279" t="str">
            <v>Office</v>
          </cell>
          <cell r="DO279">
            <v>3.1899000000000002</v>
          </cell>
          <cell r="DP279" t="str">
            <v>United Kingdom</v>
          </cell>
          <cell r="DQ279" t="str">
            <v>Industrial / Logistics</v>
          </cell>
          <cell r="DR279">
            <v>7.0580999999999996</v>
          </cell>
          <cell r="DS279" t="str">
            <v>United Kingdom</v>
          </cell>
          <cell r="DT279" t="str">
            <v>Retail</v>
          </cell>
          <cell r="DU279">
            <v>2.5512999999999999</v>
          </cell>
          <cell r="DV279" t="str">
            <v>United Kingdom</v>
          </cell>
          <cell r="DW279" t="str">
            <v>Office</v>
          </cell>
          <cell r="DX279">
            <v>9.2835999999999999</v>
          </cell>
          <cell r="DY279" t="str">
            <v>Germany</v>
          </cell>
          <cell r="DZ279" t="str">
            <v>Residential</v>
          </cell>
          <cell r="EA279">
            <v>0.35089999999999999</v>
          </cell>
          <cell r="EB279" t="str">
            <v>Germany</v>
          </cell>
          <cell r="EC279" t="str">
            <v>Retail</v>
          </cell>
          <cell r="ED279">
            <v>2.2778999999999998</v>
          </cell>
          <cell r="EE279" t="str">
            <v>Germany</v>
          </cell>
          <cell r="EF279" t="str">
            <v>Office</v>
          </cell>
          <cell r="EG279">
            <v>15.545199999999999</v>
          </cell>
          <cell r="EH279" t="str">
            <v>France</v>
          </cell>
          <cell r="EI279" t="str">
            <v>Retail</v>
          </cell>
          <cell r="EJ279">
            <v>6.1186999999999996</v>
          </cell>
          <cell r="EK279" t="str">
            <v>France</v>
          </cell>
          <cell r="EL279" t="str">
            <v>Office</v>
          </cell>
          <cell r="EM279">
            <v>5.6276000000000002</v>
          </cell>
          <cell r="EN279" t="str">
            <v>Spain</v>
          </cell>
          <cell r="EO279" t="str">
            <v>Industrial / Logistics</v>
          </cell>
          <cell r="EP279">
            <v>1.1514</v>
          </cell>
        </row>
        <row r="280">
          <cell r="A280">
            <v>245</v>
          </cell>
          <cell r="B280" t="str">
            <v>HISTORIC LODGES</v>
          </cell>
          <cell r="C280" t="str">
            <v>IMORENDIMENTO SGFII, SA</v>
          </cell>
          <cell r="D280" t="str">
            <v>Praça Bom Sucesso 127, Esc 210</v>
          </cell>
          <cell r="E280" t="str">
            <v>4050 146</v>
          </cell>
          <cell r="F280" t="str">
            <v>Porto</v>
          </cell>
          <cell r="G280" t="str">
            <v>Portugal</v>
          </cell>
          <cell r="H280" t="str">
            <v>+351 22 607 5660</v>
          </cell>
          <cell r="I280" t="str">
            <v>+351 22 607 5661</v>
          </cell>
          <cell r="J280" t="str">
            <v>http://www.imorendimento.com</v>
          </cell>
          <cell r="N280" t="str">
            <v>Armando Lacerda Queiroz</v>
          </cell>
          <cell r="O280" t="str">
            <v>imorendimento@imorendimento.pt</v>
          </cell>
          <cell r="P280" t="str">
            <v>+351 22 607 5660</v>
          </cell>
          <cell r="Q280" t="str">
            <v>Portugal</v>
          </cell>
          <cell r="R280" t="str">
            <v>EUR</v>
          </cell>
          <cell r="T280" t="str">
            <v>Annually</v>
          </cell>
          <cell r="U280" t="str">
            <v>Quarterly</v>
          </cell>
          <cell r="X280" t="str">
            <v>Pricewaterhousecoopers</v>
          </cell>
          <cell r="Y280" t="str">
            <v>Real Estate Fund</v>
          </cell>
          <cell r="Z280" t="str">
            <v>No</v>
          </cell>
          <cell r="AB280">
            <v>0</v>
          </cell>
          <cell r="AC280" t="str">
            <v>Non-Listed Fund</v>
          </cell>
          <cell r="AD280" t="str">
            <v>Opportunity</v>
          </cell>
          <cell r="AE280" t="str">
            <v>finite</v>
          </cell>
          <cell r="AF280" t="str">
            <v>Closed end</v>
          </cell>
          <cell r="AG280">
            <v>0</v>
          </cell>
          <cell r="AH280">
            <v>15</v>
          </cell>
          <cell r="AN280" t="str">
            <v>Institutional</v>
          </cell>
          <cell r="AQ280" t="str">
            <v>Europe</v>
          </cell>
          <cell r="AR280" t="str">
            <v>single country</v>
          </cell>
          <cell r="AT280" t="str">
            <v>Portugal</v>
          </cell>
          <cell r="AU280" t="str">
            <v>single sector</v>
          </cell>
          <cell r="AV280" t="str">
            <v>Other</v>
          </cell>
          <cell r="AY280">
            <v>2007</v>
          </cell>
          <cell r="AZ280">
            <v>2014</v>
          </cell>
          <cell r="BA280" t="str">
            <v>Yes</v>
          </cell>
          <cell r="BB280" t="str">
            <v>No</v>
          </cell>
          <cell r="BH280" t="str">
            <v>2010-12-31</v>
          </cell>
          <cell r="BJ280">
            <v>0</v>
          </cell>
          <cell r="BK280">
            <v>8000000</v>
          </cell>
          <cell r="BL280">
            <v>8000000</v>
          </cell>
          <cell r="BQ280">
            <v>1</v>
          </cell>
          <cell r="BS280">
            <v>0</v>
          </cell>
          <cell r="BV280" t="str">
            <v>Yes</v>
          </cell>
        </row>
        <row r="281">
          <cell r="A281">
            <v>19617</v>
          </cell>
          <cell r="B281" t="str">
            <v>HUSREF VII PARALLEL FUND</v>
          </cell>
          <cell r="C281" t="str">
            <v>HARBERT MANAGEMENT CORPORATION</v>
          </cell>
          <cell r="D281" t="str">
            <v>2100 Third Ave North, Suite 600</v>
          </cell>
          <cell r="E281">
            <v>35203</v>
          </cell>
          <cell r="F281" t="str">
            <v>Birmingham</v>
          </cell>
          <cell r="G281" t="str">
            <v>United States of America</v>
          </cell>
          <cell r="H281" t="str">
            <v>+12059875500</v>
          </cell>
          <cell r="I281" t="str">
            <v>+12053276880</v>
          </cell>
          <cell r="J281" t="str">
            <v>harbert.net</v>
          </cell>
          <cell r="K281" t="str">
            <v>Jon-Paul Momsen</v>
          </cell>
          <cell r="L281" t="str">
            <v>jmomsen@harbert.net</v>
          </cell>
          <cell r="M281" t="str">
            <v>+14154428383</v>
          </cell>
          <cell r="N281" t="str">
            <v>Michael Larsen</v>
          </cell>
          <cell r="O281" t="str">
            <v>mlarsen@harbert.net</v>
          </cell>
          <cell r="P281" t="str">
            <v>+442074084131</v>
          </cell>
          <cell r="Q281" t="str">
            <v>Luxembourg</v>
          </cell>
          <cell r="R281" t="str">
            <v>USD</v>
          </cell>
          <cell r="S281" t="str">
            <v>US GAAP</v>
          </cell>
          <cell r="T281" t="str">
            <v>Quarterly</v>
          </cell>
          <cell r="U281" t="str">
            <v>Annually</v>
          </cell>
          <cell r="V281" t="str">
            <v>Other - mark to market</v>
          </cell>
          <cell r="W281" t="str">
            <v>GAAP</v>
          </cell>
          <cell r="X281" t="str">
            <v>PricewaterhouseCoopers LLP, Luxembourg</v>
          </cell>
          <cell r="Y281" t="str">
            <v>Limited Partnership</v>
          </cell>
          <cell r="Z281" t="str">
            <v>No</v>
          </cell>
          <cell r="AA281" t="str">
            <v>Yes</v>
          </cell>
          <cell r="AB281">
            <v>0</v>
          </cell>
          <cell r="AC281" t="str">
            <v>Non-Listed Fund</v>
          </cell>
          <cell r="AD281" t="str">
            <v>Value-added</v>
          </cell>
          <cell r="AE281" t="str">
            <v>finite</v>
          </cell>
          <cell r="AF281" t="str">
            <v>Closed end</v>
          </cell>
          <cell r="AG281">
            <v>13</v>
          </cell>
          <cell r="AH281">
            <v>15</v>
          </cell>
          <cell r="AI281" t="str">
            <v>Net</v>
          </cell>
          <cell r="AM281" t="str">
            <v>&gt; 60%</v>
          </cell>
          <cell r="AN281" t="str">
            <v>Institutional</v>
          </cell>
          <cell r="AO281" t="str">
            <v>&gt; 2</v>
          </cell>
          <cell r="AP281" t="str">
            <v>≥ 50%</v>
          </cell>
          <cell r="AQ281" t="str">
            <v>North America</v>
          </cell>
          <cell r="AR281" t="str">
            <v>single country</v>
          </cell>
          <cell r="AT281" t="str">
            <v>United States of America</v>
          </cell>
          <cell r="AU281" t="str">
            <v>multi sector</v>
          </cell>
          <cell r="AY281">
            <v>2019</v>
          </cell>
          <cell r="AZ281">
            <v>2029</v>
          </cell>
          <cell r="BA281" t="str">
            <v>Yes</v>
          </cell>
          <cell r="BB281" t="str">
            <v>Yes</v>
          </cell>
          <cell r="BC281" t="str">
            <v>1+1 years</v>
          </cell>
          <cell r="BD281" t="str">
            <v>No</v>
          </cell>
          <cell r="BH281" t="str">
            <v>2020-09-30</v>
          </cell>
          <cell r="BI281">
            <v>18812224</v>
          </cell>
          <cell r="BJ281">
            <v>16071685.28706613</v>
          </cell>
          <cell r="BK281">
            <v>18812224</v>
          </cell>
          <cell r="BL281">
            <v>16071685.28706613</v>
          </cell>
          <cell r="BM281">
            <v>0</v>
          </cell>
          <cell r="BN281" t="str">
            <v>Yes</v>
          </cell>
          <cell r="BO281" t="str">
            <v>Internal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V281" t="str">
            <v>No</v>
          </cell>
        </row>
        <row r="282">
          <cell r="A282">
            <v>18106</v>
          </cell>
          <cell r="B282" t="str">
            <v>IBERIA SHOPPING CENTRE VENTURE COöPERATIEF U.A.</v>
          </cell>
          <cell r="C282" t="str">
            <v>SONAE SIERRA</v>
          </cell>
          <cell r="D282" t="str">
            <v>Lugar do Espido - Via Norte</v>
          </cell>
          <cell r="E282" t="str">
            <v>4471-909</v>
          </cell>
          <cell r="F282" t="str">
            <v>Maia</v>
          </cell>
          <cell r="G282" t="str">
            <v>Portugal</v>
          </cell>
          <cell r="J282" t="str">
            <v>http://www.sonaesierra.com</v>
          </cell>
          <cell r="K282" t="str">
            <v>João Lélis</v>
          </cell>
          <cell r="L282" t="str">
            <v>jclelis@sonaesierra.com</v>
          </cell>
          <cell r="M282" t="str">
            <v>+351220104544</v>
          </cell>
          <cell r="N282" t="str">
            <v>João Lélis</v>
          </cell>
          <cell r="O282" t="str">
            <v>jclelis@sonaesierra.com</v>
          </cell>
          <cell r="P282" t="str">
            <v>+351220104544</v>
          </cell>
          <cell r="Q282" t="str">
            <v>Netherlands</v>
          </cell>
          <cell r="R282" t="str">
            <v>EUR</v>
          </cell>
          <cell r="S282" t="str">
            <v>IFRS</v>
          </cell>
          <cell r="T282" t="str">
            <v>Quarterly</v>
          </cell>
          <cell r="U282" t="str">
            <v>Quarterly</v>
          </cell>
          <cell r="V282" t="str">
            <v>RICS</v>
          </cell>
          <cell r="W282" t="str">
            <v>INREV NAV</v>
          </cell>
          <cell r="X282" t="str">
            <v>Deloitte</v>
          </cell>
          <cell r="Y282" t="str">
            <v>Dutch Cooperatif</v>
          </cell>
          <cell r="Z282" t="str">
            <v>Yes</v>
          </cell>
          <cell r="AA282" t="str">
            <v>No</v>
          </cell>
          <cell r="AC282" t="str">
            <v>Non-Listed Fund</v>
          </cell>
          <cell r="AD282" t="str">
            <v>Core</v>
          </cell>
          <cell r="AE282" t="str">
            <v>finite</v>
          </cell>
          <cell r="AF282" t="str">
            <v>Closed end</v>
          </cell>
          <cell r="AN282" t="str">
            <v>Institutional</v>
          </cell>
          <cell r="AO282" t="str">
            <v>&gt; 2</v>
          </cell>
          <cell r="AP282" t="str">
            <v>≥ 50%</v>
          </cell>
          <cell r="AQ282" t="str">
            <v>Europe</v>
          </cell>
          <cell r="AR282" t="str">
            <v>multi country</v>
          </cell>
          <cell r="AS282" t="str">
            <v>Western Europe</v>
          </cell>
          <cell r="AU282" t="str">
            <v>single sector</v>
          </cell>
          <cell r="AV282" t="str">
            <v>Retail</v>
          </cell>
          <cell r="AY282">
            <v>2016</v>
          </cell>
          <cell r="AZ282">
            <v>2021</v>
          </cell>
          <cell r="BA282" t="str">
            <v>Yes</v>
          </cell>
          <cell r="BB282" t="str">
            <v>Yes</v>
          </cell>
          <cell r="BC282" t="str">
            <v>1+1 years</v>
          </cell>
          <cell r="BD282" t="str">
            <v>No</v>
          </cell>
          <cell r="BH282" t="str">
            <v>2020-12-31</v>
          </cell>
          <cell r="BI282">
            <v>221976000</v>
          </cell>
          <cell r="BJ282">
            <v>221976000</v>
          </cell>
          <cell r="BK282">
            <v>173999000</v>
          </cell>
          <cell r="BL282">
            <v>173999000</v>
          </cell>
          <cell r="BM282">
            <v>8.5</v>
          </cell>
          <cell r="BN282" t="str">
            <v>Yes</v>
          </cell>
          <cell r="BO282" t="str">
            <v>External</v>
          </cell>
          <cell r="BP282">
            <v>7</v>
          </cell>
          <cell r="BQ282">
            <v>2</v>
          </cell>
          <cell r="BR282">
            <v>251670575</v>
          </cell>
          <cell r="BS282">
            <v>251670575</v>
          </cell>
          <cell r="BT282">
            <v>251670575</v>
          </cell>
          <cell r="BU282">
            <v>251670575</v>
          </cell>
          <cell r="BV282" t="str">
            <v>No</v>
          </cell>
          <cell r="BW282" t="str">
            <v>Portugal</v>
          </cell>
          <cell r="BX282" t="str">
            <v>Retail</v>
          </cell>
          <cell r="BY282">
            <v>27.2</v>
          </cell>
          <cell r="BZ282" t="str">
            <v>Spain</v>
          </cell>
          <cell r="CA282" t="str">
            <v>Retail</v>
          </cell>
          <cell r="CB282">
            <v>49.9</v>
          </cell>
        </row>
        <row r="283">
          <cell r="A283">
            <v>18278</v>
          </cell>
          <cell r="B283" t="str">
            <v>ICECAPITAL HOUSING FUND IV</v>
          </cell>
          <cell r="C283" t="str">
            <v>ICECAPITAL REAL ESTATE ASSET MANAGEMENT IV</v>
          </cell>
          <cell r="D283" t="str">
            <v>Kluuvikatu 3</v>
          </cell>
          <cell r="E283">
            <v>100</v>
          </cell>
          <cell r="F283" t="str">
            <v>Helsinki</v>
          </cell>
          <cell r="G283" t="str">
            <v>Finland</v>
          </cell>
          <cell r="J283" t="str">
            <v>http://www.icecapital.fi</v>
          </cell>
          <cell r="Q283" t="str">
            <v>Finland</v>
          </cell>
          <cell r="R283" t="str">
            <v>EUR</v>
          </cell>
          <cell r="S283" t="str">
            <v>Local GAAP</v>
          </cell>
          <cell r="T283" t="str">
            <v>Quarterly</v>
          </cell>
          <cell r="U283" t="str">
            <v>Annually</v>
          </cell>
          <cell r="V283" t="str">
            <v>Sales Comparison</v>
          </cell>
          <cell r="W283" t="str">
            <v>Finnish Accounting Standards (FAS)</v>
          </cell>
          <cell r="Y283" t="str">
            <v>Limited Partnership</v>
          </cell>
          <cell r="AA283" t="str">
            <v>Yes</v>
          </cell>
          <cell r="AC283" t="str">
            <v>Non-Listed Fund</v>
          </cell>
          <cell r="AD283" t="str">
            <v>Value-added</v>
          </cell>
          <cell r="AE283" t="str">
            <v>finite</v>
          </cell>
          <cell r="AF283" t="str">
            <v>Closed end</v>
          </cell>
          <cell r="AG283">
            <v>7</v>
          </cell>
          <cell r="AH283">
            <v>12</v>
          </cell>
          <cell r="AI283" t="str">
            <v>Gross</v>
          </cell>
          <cell r="AK283">
            <v>4.5</v>
          </cell>
          <cell r="AL283">
            <v>70</v>
          </cell>
          <cell r="AM283" t="str">
            <v>&gt; 60%</v>
          </cell>
          <cell r="AN283" t="str">
            <v>Institutional</v>
          </cell>
          <cell r="AO283" t="str">
            <v>&gt; 2</v>
          </cell>
          <cell r="AP283" t="str">
            <v>≥ 50%</v>
          </cell>
          <cell r="AQ283" t="str">
            <v>Europe</v>
          </cell>
          <cell r="AR283" t="str">
            <v>single country</v>
          </cell>
          <cell r="AT283" t="str">
            <v>Finland</v>
          </cell>
          <cell r="AU283" t="str">
            <v>single sector</v>
          </cell>
          <cell r="AV283" t="str">
            <v>Development Residential</v>
          </cell>
          <cell r="AW283">
            <v>120500000</v>
          </cell>
          <cell r="AX283">
            <v>385000000</v>
          </cell>
          <cell r="AY283">
            <v>2016</v>
          </cell>
          <cell r="AZ283">
            <v>2025</v>
          </cell>
          <cell r="BA283" t="str">
            <v>Yes</v>
          </cell>
          <cell r="BB283" t="str">
            <v>No</v>
          </cell>
          <cell r="BD283" t="str">
            <v>No</v>
          </cell>
          <cell r="BE283" t="str">
            <v>&lt; 60%</v>
          </cell>
          <cell r="BH283" t="str">
            <v>2020-12-31</v>
          </cell>
          <cell r="BI283">
            <v>435495505.94</v>
          </cell>
          <cell r="BJ283">
            <v>435495505.94</v>
          </cell>
          <cell r="BK283">
            <v>169741517.97999999</v>
          </cell>
          <cell r="BL283">
            <v>169741517.97999999</v>
          </cell>
          <cell r="BM283">
            <v>58.61</v>
          </cell>
          <cell r="BN283" t="str">
            <v>No</v>
          </cell>
          <cell r="BO283" t="str">
            <v>Internal</v>
          </cell>
          <cell r="BP283">
            <v>17</v>
          </cell>
          <cell r="BQ283">
            <v>28</v>
          </cell>
          <cell r="BR283">
            <v>120500000</v>
          </cell>
          <cell r="BS283">
            <v>120500000</v>
          </cell>
          <cell r="BT283">
            <v>109890191.42</v>
          </cell>
          <cell r="BU283">
            <v>109890191.42</v>
          </cell>
          <cell r="BV283" t="str">
            <v>No</v>
          </cell>
          <cell r="BW283" t="str">
            <v>Finland</v>
          </cell>
          <cell r="BX283" t="str">
            <v>Residential</v>
          </cell>
          <cell r="BY283">
            <v>99</v>
          </cell>
        </row>
        <row r="284">
          <cell r="A284">
            <v>16073</v>
          </cell>
          <cell r="B284" t="str">
            <v>IMMO-SPEZIAL - WIRTSCHAFTSREGION SUDDEUTSCHLAND</v>
          </cell>
          <cell r="C284" t="str">
            <v>CATELLA REAL ESTATE AG</v>
          </cell>
          <cell r="D284" t="str">
            <v xml:space="preserve">Alter Hof 5 </v>
          </cell>
          <cell r="E284">
            <v>80331</v>
          </cell>
          <cell r="F284" t="str">
            <v>Munich</v>
          </cell>
          <cell r="G284" t="str">
            <v>Germany</v>
          </cell>
          <cell r="H284" t="str">
            <v>+4989166511</v>
          </cell>
          <cell r="I284" t="str">
            <v>+4989166566</v>
          </cell>
          <cell r="J284" t="str">
            <v>http://www.catella-realestate.de</v>
          </cell>
          <cell r="K284" t="str">
            <v>Markus Mayer</v>
          </cell>
          <cell r="L284" t="str">
            <v>markus.mayer@catella.de</v>
          </cell>
          <cell r="M284" t="str">
            <v>+49 89 189 16 65 42</v>
          </cell>
          <cell r="N284" t="str">
            <v>Nadine Kratzer</v>
          </cell>
          <cell r="O284" t="str">
            <v>nadine.kratzer@catella.de</v>
          </cell>
          <cell r="P284" t="str">
            <v>+49 89 189 16 65 44</v>
          </cell>
          <cell r="Q284" t="str">
            <v>Germany</v>
          </cell>
          <cell r="R284" t="str">
            <v>EUR</v>
          </cell>
          <cell r="T284" t="str">
            <v>Monthly</v>
          </cell>
          <cell r="U284" t="str">
            <v>Annually</v>
          </cell>
          <cell r="V284" t="str">
            <v>Other - mark to market</v>
          </cell>
          <cell r="W284" t="str">
            <v>BVI</v>
          </cell>
          <cell r="X284" t="str">
            <v>PWC</v>
          </cell>
          <cell r="Y284" t="str">
            <v>Spezialfonds</v>
          </cell>
          <cell r="Z284" t="str">
            <v>No</v>
          </cell>
          <cell r="AA284" t="str">
            <v>Yes</v>
          </cell>
          <cell r="AB284">
            <v>8</v>
          </cell>
          <cell r="AC284" t="str">
            <v>Non-Listed Fund</v>
          </cell>
          <cell r="AD284" t="str">
            <v>Core</v>
          </cell>
          <cell r="AE284" t="str">
            <v>finite</v>
          </cell>
          <cell r="AF284" t="str">
            <v>Open end</v>
          </cell>
          <cell r="AK284">
            <v>3.5</v>
          </cell>
          <cell r="AL284">
            <v>30</v>
          </cell>
          <cell r="AN284" t="str">
            <v>Institutional and Retail</v>
          </cell>
          <cell r="AO284" t="str">
            <v>&gt; 2</v>
          </cell>
          <cell r="AP284" t="str">
            <v>≥ 50%</v>
          </cell>
          <cell r="AQ284" t="str">
            <v>Europe</v>
          </cell>
          <cell r="AR284" t="str">
            <v>single country</v>
          </cell>
          <cell r="AT284" t="str">
            <v>Germany</v>
          </cell>
          <cell r="AU284" t="str">
            <v>multi sector</v>
          </cell>
          <cell r="AW284">
            <v>150000000</v>
          </cell>
          <cell r="AX284">
            <v>215000000</v>
          </cell>
          <cell r="AY284">
            <v>2011</v>
          </cell>
          <cell r="AZ284">
            <v>2021</v>
          </cell>
          <cell r="BA284" t="str">
            <v>Yes</v>
          </cell>
          <cell r="BB284" t="str">
            <v>Yes</v>
          </cell>
          <cell r="BC284">
            <v>9</v>
          </cell>
          <cell r="BD284" t="str">
            <v>Yes</v>
          </cell>
          <cell r="BH284" t="str">
            <v>2020-12-31</v>
          </cell>
          <cell r="BI284">
            <v>363360033</v>
          </cell>
          <cell r="BJ284">
            <v>363360033</v>
          </cell>
          <cell r="BK284">
            <v>266828872</v>
          </cell>
          <cell r="BL284">
            <v>266828872</v>
          </cell>
          <cell r="BM284">
            <v>40.1</v>
          </cell>
          <cell r="BN284" t="str">
            <v>No</v>
          </cell>
          <cell r="BO284" t="str">
            <v>Internal</v>
          </cell>
          <cell r="BP284">
            <v>26</v>
          </cell>
          <cell r="BQ284">
            <v>16</v>
          </cell>
          <cell r="BR284">
            <v>0</v>
          </cell>
          <cell r="BS284">
            <v>0</v>
          </cell>
          <cell r="BT284">
            <v>0</v>
          </cell>
          <cell r="BV284" t="str">
            <v>No</v>
          </cell>
          <cell r="BW284" t="str">
            <v>Germany</v>
          </cell>
          <cell r="BX284" t="str">
            <v>Other</v>
          </cell>
          <cell r="BY284">
            <v>2</v>
          </cell>
          <cell r="BZ284" t="str">
            <v>Germany</v>
          </cell>
          <cell r="CA284" t="str">
            <v>Industrial / Logistics</v>
          </cell>
          <cell r="CB284">
            <v>18</v>
          </cell>
          <cell r="CC284" t="str">
            <v>Germany</v>
          </cell>
          <cell r="CD284" t="str">
            <v>Retail</v>
          </cell>
          <cell r="CE284">
            <v>15</v>
          </cell>
          <cell r="CF284" t="str">
            <v>Germany</v>
          </cell>
          <cell r="CG284" t="str">
            <v>Office</v>
          </cell>
          <cell r="CH284">
            <v>60</v>
          </cell>
        </row>
        <row r="285">
          <cell r="A285">
            <v>253</v>
          </cell>
          <cell r="B285" t="str">
            <v>IMMOBILIEN-SPEZIALFONDS NR. 1</v>
          </cell>
          <cell r="C285" t="str">
            <v>RREEF SPEZIAL INVEST GMBH</v>
          </cell>
          <cell r="D285" t="str">
            <v>Mainzer Landstraße 11-17</v>
          </cell>
          <cell r="E285">
            <v>60329</v>
          </cell>
          <cell r="F285" t="str">
            <v>Frankfurt</v>
          </cell>
          <cell r="G285" t="str">
            <v>Germany</v>
          </cell>
          <cell r="H285" t="str">
            <v>+49 (0) 69 91016661</v>
          </cell>
          <cell r="I285" t="str">
            <v>+49 (0) 69 91016909</v>
          </cell>
          <cell r="J285" t="str">
            <v>https://www.dws.de/</v>
          </cell>
          <cell r="K285" t="str">
            <v>Markus Wickenträger</v>
          </cell>
          <cell r="L285" t="str">
            <v>markus.wickentraeger@dws.com</v>
          </cell>
          <cell r="M285" t="str">
            <v>+49 (0) 69 91016457</v>
          </cell>
          <cell r="N285" t="str">
            <v>Dr. Ulrich von Creytz</v>
          </cell>
          <cell r="O285" t="str">
            <v>ulrich-von.creytz@dws.com</v>
          </cell>
          <cell r="P285" t="str">
            <v>+49 (0) 69 91016838</v>
          </cell>
          <cell r="Q285" t="str">
            <v>Germany</v>
          </cell>
          <cell r="R285" t="str">
            <v>EUR</v>
          </cell>
          <cell r="S285" t="str">
            <v>HGB</v>
          </cell>
          <cell r="T285" t="str">
            <v>Quarterly</v>
          </cell>
          <cell r="U285" t="str">
            <v>Annually</v>
          </cell>
          <cell r="X285" t="str">
            <v>KPMG</v>
          </cell>
          <cell r="Y285" t="str">
            <v>Spezialfonds</v>
          </cell>
          <cell r="Z285" t="str">
            <v>No</v>
          </cell>
          <cell r="AA285" t="str">
            <v>No</v>
          </cell>
          <cell r="AB285">
            <v>0</v>
          </cell>
          <cell r="AC285" t="str">
            <v>Non-Listed Fund</v>
          </cell>
          <cell r="AD285" t="str">
            <v>Core</v>
          </cell>
          <cell r="AE285" t="str">
            <v>infinite</v>
          </cell>
          <cell r="AF285" t="str">
            <v>Open end</v>
          </cell>
          <cell r="AG285">
            <v>4.5</v>
          </cell>
          <cell r="AH285">
            <v>5.5</v>
          </cell>
          <cell r="AI285" t="str">
            <v>Net</v>
          </cell>
          <cell r="AJ285" t="str">
            <v>IRR</v>
          </cell>
          <cell r="AK285">
            <v>5</v>
          </cell>
          <cell r="AL285">
            <v>30</v>
          </cell>
          <cell r="AM285" t="str">
            <v>&gt; 40% - ≤ 60%</v>
          </cell>
          <cell r="AN285" t="str">
            <v>Institutional</v>
          </cell>
          <cell r="AO285" t="str">
            <v>&gt; 2</v>
          </cell>
          <cell r="AP285" t="str">
            <v>≥ 50%</v>
          </cell>
          <cell r="AQ285" t="str">
            <v>Europe</v>
          </cell>
          <cell r="AR285" t="str">
            <v>multi country</v>
          </cell>
          <cell r="AS285" t="str">
            <v>Europe</v>
          </cell>
          <cell r="AU285" t="str">
            <v>multi sector</v>
          </cell>
          <cell r="AW285">
            <v>300000000</v>
          </cell>
          <cell r="AX285">
            <v>500000000</v>
          </cell>
          <cell r="AY285">
            <v>2000</v>
          </cell>
          <cell r="BA285" t="str">
            <v>No</v>
          </cell>
          <cell r="BB285" t="str">
            <v>No</v>
          </cell>
          <cell r="BD285" t="str">
            <v>No</v>
          </cell>
          <cell r="BE285" t="str">
            <v>≥ 60%</v>
          </cell>
          <cell r="BF285" t="str">
            <v>&gt; 15% - ≤ 40%</v>
          </cell>
          <cell r="BG285" t="str">
            <v>≤ 5%</v>
          </cell>
          <cell r="BH285" t="str">
            <v>2020-12-31</v>
          </cell>
          <cell r="BI285">
            <v>588439289</v>
          </cell>
          <cell r="BJ285">
            <v>588439289</v>
          </cell>
          <cell r="BK285">
            <v>378084140.06</v>
          </cell>
          <cell r="BL285">
            <v>378084140.06</v>
          </cell>
          <cell r="BM285">
            <v>35.75</v>
          </cell>
          <cell r="BN285" t="str">
            <v>No</v>
          </cell>
          <cell r="BO285" t="str">
            <v>External</v>
          </cell>
          <cell r="BP285">
            <v>9</v>
          </cell>
          <cell r="BQ285">
            <v>24</v>
          </cell>
          <cell r="BR285">
            <v>400793470.14999998</v>
          </cell>
          <cell r="BS285">
            <v>400793470.14999998</v>
          </cell>
          <cell r="BT285">
            <v>387700703.94999999</v>
          </cell>
          <cell r="BU285">
            <v>387700703.94999999</v>
          </cell>
          <cell r="BV285" t="str">
            <v>No</v>
          </cell>
          <cell r="BW285" t="str">
            <v>United Kingdom</v>
          </cell>
          <cell r="BX285" t="str">
            <v>Residential</v>
          </cell>
          <cell r="BY285">
            <v>8.36</v>
          </cell>
          <cell r="BZ285" t="str">
            <v>United Kingdom</v>
          </cell>
          <cell r="CA285" t="str">
            <v>Industrial / Logistics</v>
          </cell>
          <cell r="CB285">
            <v>12.86</v>
          </cell>
          <cell r="CC285" t="str">
            <v>Austria</v>
          </cell>
          <cell r="CD285" t="str">
            <v>Hotel</v>
          </cell>
          <cell r="CE285">
            <v>3.48</v>
          </cell>
          <cell r="CF285" t="str">
            <v>Belgium</v>
          </cell>
          <cell r="CG285" t="str">
            <v>Hotel</v>
          </cell>
          <cell r="CH285">
            <v>5.89</v>
          </cell>
          <cell r="CI285" t="str">
            <v>France</v>
          </cell>
          <cell r="CJ285" t="str">
            <v>Office</v>
          </cell>
          <cell r="CK285">
            <v>6.62</v>
          </cell>
          <cell r="CL285" t="str">
            <v>Germany</v>
          </cell>
          <cell r="CM285" t="str">
            <v>Office</v>
          </cell>
          <cell r="CN285">
            <v>16.16</v>
          </cell>
          <cell r="CO285" t="str">
            <v>Germany</v>
          </cell>
          <cell r="CP285" t="str">
            <v>Retail</v>
          </cell>
          <cell r="CQ285">
            <v>24.47</v>
          </cell>
          <cell r="CR285" t="str">
            <v>Germany</v>
          </cell>
          <cell r="CS285" t="str">
            <v>Hotel</v>
          </cell>
          <cell r="CT285">
            <v>6.04</v>
          </cell>
          <cell r="CU285" t="str">
            <v>Germany</v>
          </cell>
          <cell r="CV285" t="str">
            <v>Parking</v>
          </cell>
          <cell r="CW285">
            <v>1.24</v>
          </cell>
          <cell r="CX285" t="str">
            <v>Italy</v>
          </cell>
          <cell r="CY285" t="str">
            <v>Office</v>
          </cell>
          <cell r="CZ285">
            <v>3.26</v>
          </cell>
          <cell r="DA285" t="str">
            <v>United Kingdom</v>
          </cell>
          <cell r="DB285" t="str">
            <v>Office</v>
          </cell>
          <cell r="DC285">
            <v>6.22</v>
          </cell>
          <cell r="DD285" t="str">
            <v>United Kingdom</v>
          </cell>
          <cell r="DE285" t="str">
            <v>Retail</v>
          </cell>
          <cell r="DF285">
            <v>5.4</v>
          </cell>
        </row>
        <row r="286">
          <cell r="A286">
            <v>19317</v>
          </cell>
          <cell r="B286" t="str">
            <v>IMMOBILIENFONDS CITY CENTER</v>
          </cell>
          <cell r="C286" t="str">
            <v>DWS GRUNDBESITZ GMBH</v>
          </cell>
          <cell r="D286" t="str">
            <v>Mainzer Landstr. 11-17</v>
          </cell>
          <cell r="E286" t="str">
            <v xml:space="preserve">60329 </v>
          </cell>
          <cell r="F286" t="str">
            <v>Frankfurt am Main</v>
          </cell>
          <cell r="G286" t="str">
            <v>Germany</v>
          </cell>
          <cell r="K286" t="str">
            <v>Thomas Köhler</v>
          </cell>
          <cell r="L286" t="str">
            <v>thomas-d.koehler@dws.com</v>
          </cell>
          <cell r="M286" t="str">
            <v>+49 (69) 910 - 14934</v>
          </cell>
          <cell r="Q286" t="str">
            <v>Germany</v>
          </cell>
          <cell r="R286" t="str">
            <v>EUR</v>
          </cell>
          <cell r="S286" t="str">
            <v>HGB</v>
          </cell>
          <cell r="T286" t="str">
            <v>Annually</v>
          </cell>
          <cell r="U286" t="str">
            <v>Annually</v>
          </cell>
          <cell r="V286" t="str">
            <v>ImmoWertV</v>
          </cell>
          <cell r="W286" t="str">
            <v>KAGB</v>
          </cell>
          <cell r="X286" t="str">
            <v>BDO</v>
          </cell>
          <cell r="Y286" t="str">
            <v>Publikumsfonds</v>
          </cell>
          <cell r="Z286" t="str">
            <v>No</v>
          </cell>
          <cell r="AC286" t="str">
            <v>Non-Listed Fund</v>
          </cell>
          <cell r="AD286" t="str">
            <v>Core</v>
          </cell>
          <cell r="AE286" t="str">
            <v>finite</v>
          </cell>
          <cell r="AF286" t="str">
            <v>Closed end</v>
          </cell>
          <cell r="AN286" t="str">
            <v>Retail</v>
          </cell>
          <cell r="AO286" t="str">
            <v>&gt; 2</v>
          </cell>
          <cell r="AP286" t="str">
            <v>&lt; 50%</v>
          </cell>
          <cell r="AQ286" t="str">
            <v>Europe</v>
          </cell>
          <cell r="AR286" t="str">
            <v>single country</v>
          </cell>
          <cell r="AT286" t="str">
            <v>Germany</v>
          </cell>
          <cell r="AU286" t="str">
            <v>single sector</v>
          </cell>
          <cell r="AV286" t="str">
            <v>Retail</v>
          </cell>
          <cell r="AY286">
            <v>1997</v>
          </cell>
          <cell r="BH286" t="str">
            <v>2018-12-31</v>
          </cell>
          <cell r="BI286">
            <v>335200000</v>
          </cell>
          <cell r="BJ286">
            <v>335200000</v>
          </cell>
          <cell r="BK286">
            <v>166400000</v>
          </cell>
          <cell r="BL286">
            <v>166400000</v>
          </cell>
          <cell r="BM286">
            <v>30.72</v>
          </cell>
          <cell r="BN286" t="str">
            <v>Yes</v>
          </cell>
          <cell r="BO286" t="str">
            <v>External</v>
          </cell>
          <cell r="BP286">
            <v>1</v>
          </cell>
          <cell r="BQ286">
            <v>1</v>
          </cell>
          <cell r="BS286">
            <v>0</v>
          </cell>
          <cell r="BV286" t="str">
            <v>No</v>
          </cell>
          <cell r="BW286" t="str">
            <v>Germany</v>
          </cell>
          <cell r="BX286" t="str">
            <v>Retail</v>
          </cell>
          <cell r="BY286">
            <v>100</v>
          </cell>
        </row>
        <row r="287">
          <cell r="A287">
            <v>16078</v>
          </cell>
          <cell r="B287" t="str">
            <v>IMMOFONDS 4</v>
          </cell>
          <cell r="C287" t="str">
            <v>LA FRANCAISE REM</v>
          </cell>
          <cell r="D287" t="str">
            <v xml:space="preserve">173, boulevard Haussmann				</v>
          </cell>
          <cell r="E287">
            <v>75008</v>
          </cell>
          <cell r="F287" t="str">
            <v>Paris</v>
          </cell>
          <cell r="G287" t="str">
            <v>France</v>
          </cell>
          <cell r="H287" t="str">
            <v>+33144561000</v>
          </cell>
          <cell r="I287" t="str">
            <v>+33144561138</v>
          </cell>
          <cell r="J287" t="str">
            <v>https://lafrancaise-am.com</v>
          </cell>
          <cell r="K287" t="str">
            <v>Penin</v>
          </cell>
          <cell r="L287" t="str">
            <v>mopenin@lafrancaise-am.com</v>
          </cell>
          <cell r="N287" t="str">
            <v>SCPI</v>
          </cell>
          <cell r="P287" t="str">
            <v>+33153624060</v>
          </cell>
          <cell r="Q287" t="str">
            <v>France</v>
          </cell>
          <cell r="R287" t="str">
            <v>EUR</v>
          </cell>
          <cell r="S287" t="str">
            <v>IFRS</v>
          </cell>
          <cell r="T287" t="str">
            <v>Quarterly</v>
          </cell>
          <cell r="U287" t="str">
            <v>Annually</v>
          </cell>
          <cell r="V287" t="str">
            <v>Other - mark to market</v>
          </cell>
          <cell r="X287" t="str">
            <v>Deloitte</v>
          </cell>
          <cell r="Y287" t="str">
            <v>SCPI</v>
          </cell>
          <cell r="Z287" t="str">
            <v>No</v>
          </cell>
          <cell r="AA287" t="str">
            <v>Yes</v>
          </cell>
          <cell r="AC287" t="str">
            <v>Non-Listed Fund</v>
          </cell>
          <cell r="AD287" t="str">
            <v>Core</v>
          </cell>
          <cell r="AE287" t="str">
            <v>infinite</v>
          </cell>
          <cell r="AF287" t="str">
            <v>Open end</v>
          </cell>
          <cell r="AK287">
            <v>5.0999999999999996</v>
          </cell>
          <cell r="AL287">
            <v>0</v>
          </cell>
          <cell r="AM287" t="str">
            <v>≤ 40%</v>
          </cell>
          <cell r="AN287" t="str">
            <v>Institutional and Retail</v>
          </cell>
          <cell r="AO287" t="str">
            <v>&gt; 2</v>
          </cell>
          <cell r="AP287" t="str">
            <v>&lt; 50%</v>
          </cell>
          <cell r="AQ287" t="str">
            <v>Europe</v>
          </cell>
          <cell r="AR287" t="str">
            <v>single country</v>
          </cell>
          <cell r="AT287" t="str">
            <v>France</v>
          </cell>
          <cell r="AU287" t="str">
            <v>multi sector</v>
          </cell>
          <cell r="AY287">
            <v>1989</v>
          </cell>
          <cell r="BH287" t="str">
            <v>2015-03-31</v>
          </cell>
          <cell r="BI287">
            <v>243623857</v>
          </cell>
          <cell r="BJ287">
            <v>243623857</v>
          </cell>
          <cell r="BK287">
            <v>237097800</v>
          </cell>
          <cell r="BL287">
            <v>237097800</v>
          </cell>
          <cell r="BM287">
            <v>2.75</v>
          </cell>
          <cell r="BN287" t="str">
            <v>No</v>
          </cell>
          <cell r="BO287" t="str">
            <v>Internal</v>
          </cell>
          <cell r="BP287">
            <v>239</v>
          </cell>
          <cell r="BQ287">
            <v>84</v>
          </cell>
          <cell r="BS287">
            <v>0</v>
          </cell>
          <cell r="BW287" t="str">
            <v>France</v>
          </cell>
          <cell r="BX287" t="str">
            <v>Office</v>
          </cell>
          <cell r="BY287">
            <v>76.14</v>
          </cell>
          <cell r="BZ287" t="str">
            <v>France</v>
          </cell>
          <cell r="CA287" t="str">
            <v>Industrial / Logistics</v>
          </cell>
          <cell r="CB287">
            <v>4.67</v>
          </cell>
          <cell r="CC287" t="str">
            <v>France</v>
          </cell>
          <cell r="CD287" t="str">
            <v>Retail</v>
          </cell>
          <cell r="CE287">
            <v>2.4</v>
          </cell>
          <cell r="CF287" t="str">
            <v>France</v>
          </cell>
          <cell r="CG287" t="str">
            <v>Industrial / Logistics</v>
          </cell>
          <cell r="CH287">
            <v>4.67</v>
          </cell>
        </row>
        <row r="288">
          <cell r="A288">
            <v>18179</v>
          </cell>
          <cell r="B288" t="str">
            <v>IMMOWERT</v>
          </cell>
          <cell r="C288" t="str">
            <v>AXA INVESTMENT MANAGERS</v>
          </cell>
          <cell r="D288" t="str">
            <v>Thurn-und-Taxis-Platz 6</v>
          </cell>
          <cell r="E288">
            <v>60313</v>
          </cell>
          <cell r="F288" t="str">
            <v>Frankfurt am Main</v>
          </cell>
          <cell r="G288" t="str">
            <v>Germany</v>
          </cell>
          <cell r="J288" t="str">
            <v>https://realassets.axa-im.com</v>
          </cell>
          <cell r="K288" t="str">
            <v>Christoph Moelleken</v>
          </cell>
          <cell r="L288" t="str">
            <v>christoph.moelleken@axa-im.com</v>
          </cell>
          <cell r="M288" t="str">
            <v>+4969900252063</v>
          </cell>
          <cell r="N288" t="str">
            <v>Jamie-Lee Chambers</v>
          </cell>
          <cell r="O288" t="str">
            <v>jamie-lee.chambers@axa-im.com</v>
          </cell>
          <cell r="Q288" t="str">
            <v>Germany</v>
          </cell>
          <cell r="R288" t="str">
            <v>EUR</v>
          </cell>
          <cell r="S288" t="str">
            <v>Local GAAP</v>
          </cell>
          <cell r="T288" t="str">
            <v>Quarterly</v>
          </cell>
          <cell r="U288" t="str">
            <v>Quarterly</v>
          </cell>
          <cell r="V288" t="str">
            <v>Ertragswertverfahren</v>
          </cell>
          <cell r="W288" t="str">
            <v>INREV NAV</v>
          </cell>
          <cell r="Y288" t="str">
            <v>Publikumsfonds</v>
          </cell>
          <cell r="Z288" t="str">
            <v>Yes</v>
          </cell>
          <cell r="AA288" t="str">
            <v>No</v>
          </cell>
          <cell r="AC288" t="str">
            <v>Non-Listed Fund</v>
          </cell>
          <cell r="AD288" t="str">
            <v>Core</v>
          </cell>
          <cell r="AE288" t="str">
            <v>infinite</v>
          </cell>
          <cell r="AF288" t="str">
            <v>Open end</v>
          </cell>
          <cell r="AK288">
            <v>3.5</v>
          </cell>
          <cell r="AM288" t="str">
            <v>≤ 40%</v>
          </cell>
          <cell r="AN288" t="str">
            <v>Institutional</v>
          </cell>
          <cell r="AO288" t="str">
            <v>&gt; 2</v>
          </cell>
          <cell r="AP288" t="str">
            <v>&lt; 50%</v>
          </cell>
          <cell r="AQ288" t="str">
            <v>Europe</v>
          </cell>
          <cell r="AR288" t="str">
            <v>multi country</v>
          </cell>
          <cell r="AS288" t="str">
            <v>Europe</v>
          </cell>
          <cell r="AU288" t="str">
            <v>multi sector</v>
          </cell>
          <cell r="AY288">
            <v>2012</v>
          </cell>
          <cell r="BD288" t="str">
            <v>No</v>
          </cell>
          <cell r="BH288" t="str">
            <v>2020-12-31</v>
          </cell>
          <cell r="BI288">
            <v>322380418</v>
          </cell>
          <cell r="BJ288">
            <v>322380418</v>
          </cell>
          <cell r="BK288">
            <v>309266234</v>
          </cell>
          <cell r="BL288">
            <v>309266234</v>
          </cell>
          <cell r="BM288">
            <v>0</v>
          </cell>
          <cell r="BN288" t="str">
            <v>No</v>
          </cell>
          <cell r="BO288" t="str">
            <v>External</v>
          </cell>
          <cell r="BP288">
            <v>700</v>
          </cell>
          <cell r="BQ288">
            <v>11</v>
          </cell>
          <cell r="BR288">
            <v>283096339</v>
          </cell>
          <cell r="BS288">
            <v>283096339</v>
          </cell>
          <cell r="BT288">
            <v>283096339</v>
          </cell>
          <cell r="BU288">
            <v>283096339</v>
          </cell>
          <cell r="BV288" t="str">
            <v>No</v>
          </cell>
          <cell r="BW288" t="str">
            <v>Germany</v>
          </cell>
          <cell r="BX288" t="str">
            <v>Residential</v>
          </cell>
          <cell r="BY288">
            <v>11</v>
          </cell>
          <cell r="BZ288" t="str">
            <v>Germany</v>
          </cell>
          <cell r="CA288" t="str">
            <v>Hotel</v>
          </cell>
          <cell r="CB288">
            <v>15</v>
          </cell>
          <cell r="CC288" t="str">
            <v>Germany</v>
          </cell>
          <cell r="CD288" t="str">
            <v>Retail</v>
          </cell>
          <cell r="CE288">
            <v>6</v>
          </cell>
          <cell r="CF288" t="str">
            <v>Germany</v>
          </cell>
          <cell r="CG288" t="str">
            <v>Office</v>
          </cell>
          <cell r="CH288">
            <v>40</v>
          </cell>
        </row>
        <row r="289">
          <cell r="A289">
            <v>256</v>
          </cell>
          <cell r="B289" t="str">
            <v>IMO PAN IBERIAN RETAIL FUND</v>
          </cell>
          <cell r="C289" t="str">
            <v>IMORENDIMENTO ACTIVE SERVICES</v>
          </cell>
          <cell r="D289" t="str">
            <v>Praça Bom Sucesso 127, Esc 210</v>
          </cell>
          <cell r="E289" t="str">
            <v>4050 146</v>
          </cell>
          <cell r="F289" t="str">
            <v>Porto</v>
          </cell>
          <cell r="G289" t="str">
            <v>Portugal</v>
          </cell>
          <cell r="H289" t="str">
            <v>+351 22 607 5660</v>
          </cell>
          <cell r="I289" t="str">
            <v>+351 22 607 5661</v>
          </cell>
          <cell r="J289" t="str">
            <v>http://www.imorendimento.com</v>
          </cell>
          <cell r="N289" t="str">
            <v>Armando Lacerda Queiroz</v>
          </cell>
          <cell r="O289" t="str">
            <v>lqueiroz@imorendimento.pt</v>
          </cell>
          <cell r="P289" t="str">
            <v>+351 22 607 5660</v>
          </cell>
          <cell r="Q289" t="str">
            <v>Portugal</v>
          </cell>
          <cell r="R289" t="str">
            <v>EUR</v>
          </cell>
          <cell r="T289" t="str">
            <v>Annually</v>
          </cell>
          <cell r="U289" t="str">
            <v>Quarterly</v>
          </cell>
          <cell r="X289" t="str">
            <v>Deloitte / PriceWaterhouseCoopers</v>
          </cell>
          <cell r="Y289" t="str">
            <v>Limited Partnership</v>
          </cell>
          <cell r="AB289">
            <v>0</v>
          </cell>
          <cell r="AC289" t="str">
            <v>Non-Listed Fund</v>
          </cell>
          <cell r="AD289" t="str">
            <v>Value-added</v>
          </cell>
          <cell r="AE289" t="str">
            <v>finite</v>
          </cell>
          <cell r="AF289" t="str">
            <v>Closed end</v>
          </cell>
          <cell r="AG289">
            <v>0</v>
          </cell>
          <cell r="AH289">
            <v>12</v>
          </cell>
          <cell r="AK289">
            <v>5</v>
          </cell>
          <cell r="AL289">
            <v>65</v>
          </cell>
          <cell r="AM289" t="str">
            <v>&gt; 60%</v>
          </cell>
          <cell r="AN289" t="str">
            <v>Institutional</v>
          </cell>
          <cell r="AO289" t="str">
            <v>&gt; 2</v>
          </cell>
          <cell r="AP289" t="str">
            <v>≥ 50%</v>
          </cell>
          <cell r="AQ289" t="str">
            <v>Europe</v>
          </cell>
          <cell r="AR289" t="str">
            <v>multi country</v>
          </cell>
          <cell r="AS289" t="str">
            <v>Europe</v>
          </cell>
          <cell r="AU289" t="str">
            <v>single sector</v>
          </cell>
          <cell r="AV289" t="str">
            <v>Retail</v>
          </cell>
          <cell r="AY289">
            <v>2007</v>
          </cell>
          <cell r="AZ289">
            <v>2017</v>
          </cell>
          <cell r="BA289" t="str">
            <v>Yes</v>
          </cell>
          <cell r="BB289" t="str">
            <v>Yes</v>
          </cell>
          <cell r="BC289" t="str">
            <v>1 year</v>
          </cell>
          <cell r="BH289" t="str">
            <v>2010-12-31</v>
          </cell>
          <cell r="BJ289">
            <v>0</v>
          </cell>
          <cell r="BK289">
            <v>116000000</v>
          </cell>
          <cell r="BL289">
            <v>116000000</v>
          </cell>
          <cell r="BQ289">
            <v>5</v>
          </cell>
          <cell r="BS289">
            <v>0</v>
          </cell>
          <cell r="BV289" t="str">
            <v>No</v>
          </cell>
        </row>
        <row r="290">
          <cell r="A290">
            <v>257</v>
          </cell>
          <cell r="B290" t="str">
            <v>IMOCAR FUND</v>
          </cell>
          <cell r="C290" t="str">
            <v>NORFIN</v>
          </cell>
          <cell r="D290" t="str">
            <v>Avenida da Republica 35-4º</v>
          </cell>
          <cell r="E290" t="str">
            <v>1050-186</v>
          </cell>
          <cell r="F290" t="str">
            <v>Lisbon</v>
          </cell>
          <cell r="G290" t="str">
            <v>Portugal</v>
          </cell>
          <cell r="H290" t="str">
            <v>+351 (0) 21 318 25 20</v>
          </cell>
          <cell r="I290" t="str">
            <v>+351 (0) 21 318 25 29</v>
          </cell>
          <cell r="J290" t="str">
            <v>http://www.norfin.eu</v>
          </cell>
          <cell r="K290" t="str">
            <v>João Brion Sanches</v>
          </cell>
          <cell r="L290" t="str">
            <v>jbrion@norfin.pt</v>
          </cell>
          <cell r="M290" t="str">
            <v>+351 21 318 25 20</v>
          </cell>
          <cell r="N290" t="str">
            <v>João Brion Sanches</v>
          </cell>
          <cell r="O290" t="str">
            <v>jbrion@norfin.pt</v>
          </cell>
          <cell r="P290" t="str">
            <v>+351 21 318 25 20</v>
          </cell>
          <cell r="Q290" t="str">
            <v>Portugal</v>
          </cell>
          <cell r="R290" t="str">
            <v>EUR</v>
          </cell>
          <cell r="S290" t="str">
            <v>Local GAAP</v>
          </cell>
          <cell r="T290" t="str">
            <v>Monthly</v>
          </cell>
          <cell r="U290" t="str">
            <v>Annually</v>
          </cell>
          <cell r="X290" t="str">
            <v>Deloitte &amp; Touche</v>
          </cell>
          <cell r="Y290" t="str">
            <v>FII</v>
          </cell>
          <cell r="Z290" t="str">
            <v>No</v>
          </cell>
          <cell r="AA290" t="str">
            <v>No</v>
          </cell>
          <cell r="AB290">
            <v>0</v>
          </cell>
          <cell r="AC290" t="str">
            <v>Non-Listed Fund</v>
          </cell>
          <cell r="AD290" t="str">
            <v>Core</v>
          </cell>
          <cell r="AE290" t="str">
            <v>finite</v>
          </cell>
          <cell r="AF290" t="str">
            <v>Closed end</v>
          </cell>
          <cell r="AG290">
            <v>10</v>
          </cell>
          <cell r="AH290">
            <v>10</v>
          </cell>
          <cell r="AI290" t="str">
            <v>Gross</v>
          </cell>
          <cell r="AJ290" t="str">
            <v>IPD</v>
          </cell>
          <cell r="AK290">
            <v>4</v>
          </cell>
          <cell r="AM290" t="str">
            <v>≤ 40%</v>
          </cell>
          <cell r="AN290" t="str">
            <v>Institutional and Retail</v>
          </cell>
          <cell r="AO290" t="str">
            <v>&gt; 2</v>
          </cell>
          <cell r="AP290" t="str">
            <v>≥ 50%</v>
          </cell>
          <cell r="AQ290" t="str">
            <v>Europe</v>
          </cell>
          <cell r="AR290" t="str">
            <v>single country</v>
          </cell>
          <cell r="AT290" t="str">
            <v>Portugal</v>
          </cell>
          <cell r="AU290" t="str">
            <v>multi sector</v>
          </cell>
          <cell r="AW290">
            <v>50000000</v>
          </cell>
          <cell r="AX290">
            <v>72000000</v>
          </cell>
          <cell r="AY290">
            <v>2004</v>
          </cell>
          <cell r="AZ290">
            <v>2014</v>
          </cell>
          <cell r="BA290" t="str">
            <v>Yes</v>
          </cell>
          <cell r="BB290" t="str">
            <v>No</v>
          </cell>
          <cell r="BH290" t="str">
            <v>2018-09-30</v>
          </cell>
          <cell r="BI290">
            <v>62338511.840000004</v>
          </cell>
          <cell r="BJ290">
            <v>62338511.840000004</v>
          </cell>
          <cell r="BK290">
            <v>61196699.710000001</v>
          </cell>
          <cell r="BL290">
            <v>61196699.710000001</v>
          </cell>
          <cell r="BM290">
            <v>0</v>
          </cell>
          <cell r="BN290" t="str">
            <v>No</v>
          </cell>
          <cell r="BO290" t="str">
            <v>External</v>
          </cell>
          <cell r="BR290">
            <v>51497350</v>
          </cell>
          <cell r="BS290">
            <v>51497350</v>
          </cell>
          <cell r="BT290">
            <v>51497350</v>
          </cell>
          <cell r="BU290">
            <v>51497350</v>
          </cell>
          <cell r="BV290" t="str">
            <v>No</v>
          </cell>
          <cell r="BW290" t="str">
            <v>Portugal</v>
          </cell>
          <cell r="BX290" t="str">
            <v>Industrial / Logistics</v>
          </cell>
          <cell r="BY290">
            <v>100</v>
          </cell>
        </row>
        <row r="291">
          <cell r="A291">
            <v>512</v>
          </cell>
          <cell r="B291" t="str">
            <v>IMOPROMOçãO</v>
          </cell>
          <cell r="C291" t="str">
            <v>MILLENNIUM BCP - MILLENNIUM GESTãO DE ACTIVOS</v>
          </cell>
          <cell r="D291" t="str">
            <v>Avenida Professor Dr. Cavaco Silva - Parque das Tecnologias Edifício 3 (Tagus Park)</v>
          </cell>
          <cell r="E291" t="str">
            <v>2744-002</v>
          </cell>
          <cell r="F291" t="str">
            <v>Porto Salvo</v>
          </cell>
          <cell r="G291" t="str">
            <v>Portugal</v>
          </cell>
          <cell r="J291" t="str">
            <v>http://www.millenniumbcp.pt</v>
          </cell>
          <cell r="N291" t="str">
            <v>António Pena do Amaral</v>
          </cell>
          <cell r="O291" t="str">
            <v>antonio.amaral@fandc.com</v>
          </cell>
          <cell r="P291" t="str">
            <v>+351 21 003 32 55</v>
          </cell>
          <cell r="Q291" t="str">
            <v>Portugal</v>
          </cell>
          <cell r="R291" t="str">
            <v>EUR</v>
          </cell>
          <cell r="T291" t="str">
            <v>Monthly</v>
          </cell>
          <cell r="U291" t="str">
            <v>Quarterly</v>
          </cell>
          <cell r="X291" t="str">
            <v>KPMG</v>
          </cell>
          <cell r="Y291" t="str">
            <v>Closed Ended Fund</v>
          </cell>
          <cell r="Z291" t="str">
            <v>No</v>
          </cell>
          <cell r="AA291" t="str">
            <v>No</v>
          </cell>
          <cell r="AB291">
            <v>0</v>
          </cell>
          <cell r="AC291" t="str">
            <v>Non-Listed Fund</v>
          </cell>
          <cell r="AD291" t="str">
            <v>Value-added</v>
          </cell>
          <cell r="AE291" t="str">
            <v>finite</v>
          </cell>
          <cell r="AF291" t="str">
            <v>Closed end</v>
          </cell>
          <cell r="AI291" t="str">
            <v>Net</v>
          </cell>
          <cell r="AJ291" t="str">
            <v>APFIPP Index</v>
          </cell>
          <cell r="AM291" t="str">
            <v>&gt; 60%</v>
          </cell>
          <cell r="AN291" t="str">
            <v>Institutional</v>
          </cell>
          <cell r="AP291" t="str">
            <v>≥ 50%</v>
          </cell>
          <cell r="AQ291" t="str">
            <v>Europe</v>
          </cell>
          <cell r="AR291" t="str">
            <v>single country</v>
          </cell>
          <cell r="AT291" t="str">
            <v>Portugal</v>
          </cell>
          <cell r="AU291" t="str">
            <v>multi sector</v>
          </cell>
          <cell r="AW291">
            <v>55000000</v>
          </cell>
          <cell r="AX291">
            <v>55000000</v>
          </cell>
          <cell r="AY291">
            <v>2008</v>
          </cell>
          <cell r="AZ291">
            <v>2018</v>
          </cell>
          <cell r="BA291" t="str">
            <v>Yes</v>
          </cell>
          <cell r="BB291" t="str">
            <v>Yes</v>
          </cell>
          <cell r="BC291" t="str">
            <v>5 years</v>
          </cell>
          <cell r="BH291" t="str">
            <v>2012-09-30</v>
          </cell>
          <cell r="BI291">
            <v>56000000</v>
          </cell>
          <cell r="BJ291">
            <v>56000000</v>
          </cell>
          <cell r="BK291">
            <v>55000000</v>
          </cell>
          <cell r="BL291">
            <v>55000000</v>
          </cell>
          <cell r="BQ291">
            <v>5</v>
          </cell>
          <cell r="BR291">
            <v>55000000</v>
          </cell>
          <cell r="BS291">
            <v>55000000</v>
          </cell>
          <cell r="BU291">
            <v>0</v>
          </cell>
          <cell r="BV291" t="str">
            <v>Yes</v>
          </cell>
        </row>
        <row r="292">
          <cell r="A292">
            <v>259</v>
          </cell>
          <cell r="B292" t="str">
            <v>IMORENDIMENTO II</v>
          </cell>
          <cell r="C292" t="str">
            <v>IMORENDIMENTO SGFII, SA</v>
          </cell>
          <cell r="D292" t="str">
            <v>Praça Bom Sucesso 127, Esc 210</v>
          </cell>
          <cell r="E292" t="str">
            <v>4050 146</v>
          </cell>
          <cell r="F292" t="str">
            <v>Porto</v>
          </cell>
          <cell r="G292" t="str">
            <v>Portugal</v>
          </cell>
          <cell r="H292" t="str">
            <v>+351 22 607 5660</v>
          </cell>
          <cell r="I292" t="str">
            <v>+351 22 607 5661</v>
          </cell>
          <cell r="J292" t="str">
            <v>http://www.imorendimento.com</v>
          </cell>
          <cell r="N292" t="str">
            <v>Armando Lacerda Queiroz</v>
          </cell>
          <cell r="O292" t="str">
            <v>lqueiroz@imorendimento.pt</v>
          </cell>
          <cell r="P292" t="str">
            <v>+351 22 607 5660</v>
          </cell>
          <cell r="Q292" t="str">
            <v>Portugal</v>
          </cell>
          <cell r="R292" t="str">
            <v>EUR</v>
          </cell>
          <cell r="T292" t="str">
            <v>Annually</v>
          </cell>
          <cell r="U292" t="str">
            <v>Twice per year</v>
          </cell>
          <cell r="X292" t="str">
            <v>KPMG</v>
          </cell>
          <cell r="Y292" t="str">
            <v>Real Estate Fund</v>
          </cell>
          <cell r="Z292" t="str">
            <v>No</v>
          </cell>
          <cell r="AA292" t="str">
            <v>No</v>
          </cell>
          <cell r="AB292">
            <v>0</v>
          </cell>
          <cell r="AC292" t="str">
            <v>Non-Listed Fund</v>
          </cell>
          <cell r="AD292" t="str">
            <v>Core</v>
          </cell>
          <cell r="AE292" t="str">
            <v>finite</v>
          </cell>
          <cell r="AF292" t="str">
            <v>Closed end</v>
          </cell>
          <cell r="AG292">
            <v>0</v>
          </cell>
          <cell r="AH292">
            <v>12</v>
          </cell>
          <cell r="AI292" t="str">
            <v>Net</v>
          </cell>
          <cell r="AJ292" t="str">
            <v>IPD Portugal Index</v>
          </cell>
          <cell r="AM292" t="str">
            <v>&gt; 60%</v>
          </cell>
          <cell r="AN292" t="str">
            <v>Institutional</v>
          </cell>
          <cell r="AQ292" t="str">
            <v>Europe</v>
          </cell>
          <cell r="AR292" t="str">
            <v>single country</v>
          </cell>
          <cell r="AT292" t="str">
            <v>Portugal</v>
          </cell>
          <cell r="AU292" t="str">
            <v>multi sector</v>
          </cell>
          <cell r="AY292">
            <v>1991</v>
          </cell>
          <cell r="AZ292">
            <v>2016</v>
          </cell>
          <cell r="BA292" t="str">
            <v>Yes</v>
          </cell>
          <cell r="BB292" t="str">
            <v>No</v>
          </cell>
          <cell r="BH292" t="str">
            <v>2010-12-31</v>
          </cell>
          <cell r="BJ292">
            <v>0</v>
          </cell>
          <cell r="BK292">
            <v>30000000</v>
          </cell>
          <cell r="BL292">
            <v>30000000</v>
          </cell>
          <cell r="BP292">
            <v>13</v>
          </cell>
          <cell r="BQ292">
            <v>35</v>
          </cell>
          <cell r="BS292">
            <v>0</v>
          </cell>
          <cell r="BV292" t="str">
            <v>No</v>
          </cell>
        </row>
        <row r="293">
          <cell r="A293">
            <v>261</v>
          </cell>
          <cell r="B293" t="str">
            <v>INDUSTRIAL PROPERTY INVESTMENT FUND</v>
          </cell>
          <cell r="C293" t="str">
            <v>LEGAL &amp; GENERAL PROPERTY LTD</v>
          </cell>
          <cell r="D293" t="str">
            <v>One Coleman Street</v>
          </cell>
          <cell r="E293" t="str">
            <v>EC2R 5AA</v>
          </cell>
          <cell r="F293" t="str">
            <v>London</v>
          </cell>
          <cell r="G293" t="str">
            <v>United Kingdom</v>
          </cell>
          <cell r="H293" t="str">
            <v>+44 (0) 20 3124 2700</v>
          </cell>
          <cell r="I293" t="str">
            <v>+44 (0) 20 3124 2542</v>
          </cell>
          <cell r="J293" t="str">
            <v>http://www.lgim.co.uk</v>
          </cell>
          <cell r="K293" t="str">
            <v>Jonathan Holland</v>
          </cell>
          <cell r="N293" t="str">
            <v>Callum Fraser</v>
          </cell>
          <cell r="O293" t="str">
            <v>callum.fraser@lgim.co.uk</v>
          </cell>
          <cell r="P293" t="str">
            <v>+44 (0) 20 3124 2542</v>
          </cell>
          <cell r="Q293" t="str">
            <v>United Kingdom</v>
          </cell>
          <cell r="R293" t="str">
            <v>GBP</v>
          </cell>
          <cell r="S293" t="str">
            <v>Local GAAP</v>
          </cell>
          <cell r="T293" t="str">
            <v>Quarterly</v>
          </cell>
          <cell r="U293" t="str">
            <v>Quarterly</v>
          </cell>
          <cell r="V293" t="str">
            <v>RICS</v>
          </cell>
          <cell r="W293" t="str">
            <v>IFRS NAV</v>
          </cell>
          <cell r="X293" t="str">
            <v>Legal &amp; General Investment Management Ltd</v>
          </cell>
          <cell r="Y293" t="str">
            <v>Limited Partnership</v>
          </cell>
          <cell r="Z293" t="str">
            <v>No</v>
          </cell>
          <cell r="AA293" t="str">
            <v>No</v>
          </cell>
          <cell r="AB293">
            <v>0</v>
          </cell>
          <cell r="AC293" t="str">
            <v>Non-Listed Fund</v>
          </cell>
          <cell r="AD293" t="str">
            <v>Core</v>
          </cell>
          <cell r="AE293" t="str">
            <v>infinite</v>
          </cell>
          <cell r="AF293" t="str">
            <v>Open end</v>
          </cell>
          <cell r="AJ293" t="str">
            <v>IPD UK Industrial Annual Index</v>
          </cell>
          <cell r="AK293">
            <v>5</v>
          </cell>
          <cell r="AL293">
            <v>25</v>
          </cell>
          <cell r="AM293" t="str">
            <v>&gt; 40% - ≤ 60%</v>
          </cell>
          <cell r="AN293" t="str">
            <v>Institutional</v>
          </cell>
          <cell r="AO293" t="str">
            <v>&gt; 2</v>
          </cell>
          <cell r="AP293" t="str">
            <v>≥ 50%</v>
          </cell>
          <cell r="AQ293" t="str">
            <v>Europe</v>
          </cell>
          <cell r="AR293" t="str">
            <v>single country</v>
          </cell>
          <cell r="AT293" t="str">
            <v>United Kingdom</v>
          </cell>
          <cell r="AU293" t="str">
            <v>single sector</v>
          </cell>
          <cell r="AV293" t="str">
            <v>Industrial / Logistics</v>
          </cell>
          <cell r="AY293">
            <v>1997</v>
          </cell>
          <cell r="BA293" t="str">
            <v>No</v>
          </cell>
          <cell r="BB293" t="str">
            <v>Yes</v>
          </cell>
          <cell r="BH293" t="str">
            <v>2020-12-31</v>
          </cell>
          <cell r="BI293">
            <v>2652706582.71</v>
          </cell>
          <cell r="BJ293">
            <v>2932697361.8155832</v>
          </cell>
          <cell r="BK293">
            <v>2180713490</v>
          </cell>
          <cell r="BL293">
            <v>2410885825.323792</v>
          </cell>
          <cell r="BM293">
            <v>15.8</v>
          </cell>
          <cell r="BN293" t="str">
            <v>No</v>
          </cell>
          <cell r="BO293" t="str">
            <v>External</v>
          </cell>
          <cell r="BP293">
            <v>84</v>
          </cell>
          <cell r="BQ293">
            <v>167</v>
          </cell>
          <cell r="BR293">
            <v>0</v>
          </cell>
          <cell r="BS293">
            <v>0</v>
          </cell>
          <cell r="BT293">
            <v>0</v>
          </cell>
          <cell r="BV293" t="str">
            <v>Yes</v>
          </cell>
          <cell r="BW293" t="str">
            <v>United Kingdom</v>
          </cell>
          <cell r="BX293" t="str">
            <v>Industrial / Logistics</v>
          </cell>
          <cell r="BY293">
            <v>97.9</v>
          </cell>
        </row>
        <row r="294">
          <cell r="A294">
            <v>17218</v>
          </cell>
          <cell r="B294" t="str">
            <v>INSULA LUMEN</v>
          </cell>
          <cell r="C294" t="str">
            <v>ABERDEEN ASSET MANAGEMENT DEUTSCHLAND AG</v>
          </cell>
          <cell r="D294" t="str">
            <v>Bettinastraße 53-55</v>
          </cell>
          <cell r="E294">
            <v>60325</v>
          </cell>
          <cell r="F294" t="str">
            <v>Frankfurt am Main</v>
          </cell>
          <cell r="G294" t="str">
            <v>Germany</v>
          </cell>
          <cell r="H294" t="str">
            <v>+49697680720</v>
          </cell>
          <cell r="I294" t="str">
            <v>+4969768072251</v>
          </cell>
          <cell r="J294" t="str">
            <v>http://www.aberdeen-immobilien.de/</v>
          </cell>
          <cell r="K294" t="str">
            <v>Norbert Kraus</v>
          </cell>
          <cell r="L294" t="str">
            <v>norbert.kraus@aberdeen-asset.com</v>
          </cell>
          <cell r="M294" t="str">
            <v>+49 69 768072199</v>
          </cell>
          <cell r="N294" t="str">
            <v>Robert Bauer</v>
          </cell>
          <cell r="O294" t="str">
            <v>robert.bauer@aberdeen-asset.com</v>
          </cell>
          <cell r="P294" t="str">
            <v>+4969768072181</v>
          </cell>
          <cell r="Q294" t="str">
            <v>Germany</v>
          </cell>
          <cell r="R294" t="str">
            <v>EUR</v>
          </cell>
          <cell r="S294" t="str">
            <v>Local GAAP</v>
          </cell>
          <cell r="T294" t="str">
            <v>Annually</v>
          </cell>
          <cell r="U294" t="str">
            <v>Annually</v>
          </cell>
          <cell r="V294" t="str">
            <v>Other - mark to market</v>
          </cell>
          <cell r="W294" t="str">
            <v>mark to market</v>
          </cell>
          <cell r="X294" t="str">
            <v>KPMG AG</v>
          </cell>
          <cell r="Y294" t="str">
            <v>Spezialfonds</v>
          </cell>
          <cell r="Z294" t="str">
            <v>No</v>
          </cell>
          <cell r="AA294" t="str">
            <v>Yes</v>
          </cell>
          <cell r="AC294" t="str">
            <v>Non-Listed Fund</v>
          </cell>
          <cell r="AD294" t="str">
            <v>Core</v>
          </cell>
          <cell r="AE294" t="str">
            <v>infinite</v>
          </cell>
          <cell r="AF294" t="str">
            <v>Open end</v>
          </cell>
          <cell r="AG294">
            <v>4</v>
          </cell>
          <cell r="AH294">
            <v>5</v>
          </cell>
          <cell r="AI294" t="str">
            <v>Net</v>
          </cell>
          <cell r="AL294">
            <v>45</v>
          </cell>
          <cell r="AM294" t="str">
            <v>&gt; 40% - ≤ 60%</v>
          </cell>
          <cell r="AN294" t="str">
            <v>Institutional</v>
          </cell>
          <cell r="AO294" t="str">
            <v>&gt; 2</v>
          </cell>
          <cell r="AP294" t="str">
            <v>≥ 50%</v>
          </cell>
          <cell r="AQ294" t="str">
            <v>Europe</v>
          </cell>
          <cell r="AR294" t="str">
            <v>single country</v>
          </cell>
          <cell r="AT294" t="str">
            <v>Germany</v>
          </cell>
          <cell r="AU294" t="str">
            <v>single sector</v>
          </cell>
          <cell r="AV294" t="str">
            <v>Residential</v>
          </cell>
          <cell r="AX294">
            <v>1500000000</v>
          </cell>
          <cell r="AY294">
            <v>2009</v>
          </cell>
          <cell r="BB294" t="str">
            <v>No</v>
          </cell>
          <cell r="BD294" t="str">
            <v>No</v>
          </cell>
          <cell r="BH294" t="str">
            <v>2020-12-31</v>
          </cell>
          <cell r="BI294">
            <v>3126435382</v>
          </cell>
          <cell r="BJ294">
            <v>3126435382</v>
          </cell>
          <cell r="BK294">
            <v>2100424524.0799999</v>
          </cell>
          <cell r="BL294">
            <v>2100424524.0799999</v>
          </cell>
          <cell r="BM294">
            <v>30.7</v>
          </cell>
          <cell r="BN294" t="str">
            <v>No</v>
          </cell>
          <cell r="BO294" t="str">
            <v>External</v>
          </cell>
          <cell r="BP294">
            <v>1</v>
          </cell>
          <cell r="BQ294">
            <v>62</v>
          </cell>
          <cell r="BR294">
            <v>1296740424</v>
          </cell>
          <cell r="BS294">
            <v>1296740424</v>
          </cell>
          <cell r="BT294">
            <v>1296740424</v>
          </cell>
          <cell r="BU294">
            <v>1296740424</v>
          </cell>
          <cell r="BV294" t="str">
            <v>No</v>
          </cell>
          <cell r="BW294" t="str">
            <v>Germany</v>
          </cell>
          <cell r="BX294" t="str">
            <v>Residential</v>
          </cell>
          <cell r="BY294">
            <v>89.7</v>
          </cell>
        </row>
        <row r="295">
          <cell r="A295">
            <v>16345</v>
          </cell>
          <cell r="B295" t="str">
            <v>INTERNOS HOTEL REAL ESTATE FUND</v>
          </cell>
          <cell r="C295" t="str">
            <v>INTERNOS KAG</v>
          </cell>
          <cell r="Q295" t="str">
            <v>Germany</v>
          </cell>
          <cell r="R295" t="str">
            <v>EUR</v>
          </cell>
          <cell r="T295" t="str">
            <v>Quarterly</v>
          </cell>
          <cell r="U295" t="str">
            <v>Annually</v>
          </cell>
          <cell r="Y295" t="str">
            <v>Spezialfonds</v>
          </cell>
          <cell r="Z295" t="str">
            <v>No</v>
          </cell>
          <cell r="AC295" t="str">
            <v>Non-Listed Fund</v>
          </cell>
          <cell r="AD295" t="str">
            <v>Core</v>
          </cell>
          <cell r="AE295" t="str">
            <v>infinite</v>
          </cell>
          <cell r="AF295" t="str">
            <v>Open end</v>
          </cell>
          <cell r="AG295">
            <v>11</v>
          </cell>
          <cell r="AH295">
            <v>11</v>
          </cell>
          <cell r="AI295" t="str">
            <v>Net</v>
          </cell>
          <cell r="AK295">
            <v>7.5</v>
          </cell>
          <cell r="AL295">
            <v>40</v>
          </cell>
          <cell r="AN295" t="str">
            <v>Institutional</v>
          </cell>
          <cell r="AO295" t="str">
            <v>&gt; 2</v>
          </cell>
          <cell r="AP295" t="str">
            <v>≥ 50%</v>
          </cell>
          <cell r="AQ295" t="str">
            <v>Europe</v>
          </cell>
          <cell r="AR295" t="str">
            <v>multi country</v>
          </cell>
          <cell r="AS295" t="str">
            <v>Western Europe</v>
          </cell>
          <cell r="AU295" t="str">
            <v>single sector</v>
          </cell>
          <cell r="AV295" t="str">
            <v>Hotel</v>
          </cell>
          <cell r="AY295">
            <v>2012</v>
          </cell>
          <cell r="BH295" t="str">
            <v>2020-12-31</v>
          </cell>
          <cell r="BI295">
            <v>8457521.7699999996</v>
          </cell>
          <cell r="BJ295">
            <v>8457521.7699999996</v>
          </cell>
          <cell r="BK295">
            <v>8379832.21</v>
          </cell>
          <cell r="BL295">
            <v>8379832.21</v>
          </cell>
          <cell r="BM295">
            <v>0</v>
          </cell>
          <cell r="BN295" t="str">
            <v>No</v>
          </cell>
          <cell r="BO295" t="str">
            <v>External</v>
          </cell>
          <cell r="BP295">
            <v>7</v>
          </cell>
          <cell r="BQ295">
            <v>0</v>
          </cell>
          <cell r="BR295">
            <v>196830000</v>
          </cell>
          <cell r="BS295">
            <v>196830000</v>
          </cell>
          <cell r="BT295">
            <v>193830000</v>
          </cell>
          <cell r="BU295">
            <v>193830000</v>
          </cell>
          <cell r="BV295" t="str">
            <v>No</v>
          </cell>
        </row>
        <row r="296">
          <cell r="A296">
            <v>517</v>
          </cell>
          <cell r="B296" t="str">
            <v>INVESCO EUROPEAN HOTEL REAL ESTATE FUND</v>
          </cell>
          <cell r="C296" t="str">
            <v>INVESCO REAL ESTATE</v>
          </cell>
          <cell r="D296" t="str">
            <v>Maffeistrasse 3</v>
          </cell>
          <cell r="E296">
            <v>80333</v>
          </cell>
          <cell r="F296" t="str">
            <v>München</v>
          </cell>
          <cell r="G296" t="str">
            <v>Germany</v>
          </cell>
          <cell r="H296" t="str">
            <v>+49 (0)89 2060600</v>
          </cell>
          <cell r="I296" t="str">
            <v>+49 (0)89 20606010</v>
          </cell>
          <cell r="J296" t="str">
            <v>http://www.invescorealestate.co.uk</v>
          </cell>
          <cell r="K296" t="str">
            <v>Steffen Pilopp</v>
          </cell>
          <cell r="L296" t="str">
            <v>steffen_pilopp@mun.invesco.com</v>
          </cell>
          <cell r="M296" t="str">
            <v>+49 (0)89 20606109</v>
          </cell>
          <cell r="N296" t="str">
            <v>Steffen Pilopp</v>
          </cell>
          <cell r="O296" t="str">
            <v>steffen_pilopp@mun.invesco.com</v>
          </cell>
          <cell r="P296" t="str">
            <v>+49 (0)89 20606109</v>
          </cell>
          <cell r="Q296" t="str">
            <v>Luxembourg</v>
          </cell>
          <cell r="R296" t="str">
            <v>EUR</v>
          </cell>
          <cell r="S296" t="str">
            <v>IFRS</v>
          </cell>
          <cell r="T296" t="str">
            <v>Annually</v>
          </cell>
          <cell r="U296" t="str">
            <v>Annually</v>
          </cell>
          <cell r="V296" t="str">
            <v>RICS</v>
          </cell>
          <cell r="W296" t="str">
            <v>INREV NAV</v>
          </cell>
          <cell r="X296" t="str">
            <v>Deloitte</v>
          </cell>
          <cell r="Y296" t="str">
            <v>SICAV-SIF</v>
          </cell>
          <cell r="Z296" t="str">
            <v>Yes</v>
          </cell>
          <cell r="AA296" t="str">
            <v>Yes</v>
          </cell>
          <cell r="AB296">
            <v>1</v>
          </cell>
          <cell r="AC296" t="str">
            <v>Non-Listed Fund</v>
          </cell>
          <cell r="AD296" t="str">
            <v>Core</v>
          </cell>
          <cell r="AE296" t="str">
            <v>finite</v>
          </cell>
          <cell r="AF296" t="str">
            <v>Closed end</v>
          </cell>
          <cell r="AG296">
            <v>11</v>
          </cell>
          <cell r="AH296">
            <v>11</v>
          </cell>
          <cell r="AI296" t="str">
            <v>Net</v>
          </cell>
          <cell r="AJ296" t="str">
            <v>n/a</v>
          </cell>
          <cell r="AK296">
            <v>7.5</v>
          </cell>
          <cell r="AL296">
            <v>55</v>
          </cell>
          <cell r="AM296" t="str">
            <v>&gt; 40% - ≤ 60%</v>
          </cell>
          <cell r="AN296" t="str">
            <v>Institutional</v>
          </cell>
          <cell r="AO296" t="str">
            <v>&gt; 2</v>
          </cell>
          <cell r="AP296" t="str">
            <v>≥ 50%</v>
          </cell>
          <cell r="AQ296" t="str">
            <v>Europe</v>
          </cell>
          <cell r="AR296" t="str">
            <v>multi country</v>
          </cell>
          <cell r="AS296" t="str">
            <v>Europe</v>
          </cell>
          <cell r="AU296" t="str">
            <v>single sector</v>
          </cell>
          <cell r="AV296" t="str">
            <v>Hotel</v>
          </cell>
          <cell r="AW296">
            <v>350000000</v>
          </cell>
          <cell r="AX296">
            <v>750000000</v>
          </cell>
          <cell r="AY296">
            <v>2007</v>
          </cell>
          <cell r="AZ296">
            <v>2016</v>
          </cell>
          <cell r="BA296" t="str">
            <v>Yes</v>
          </cell>
          <cell r="BB296" t="str">
            <v>Yes</v>
          </cell>
          <cell r="BC296" t="str">
            <v>1+1 years</v>
          </cell>
          <cell r="BD296" t="str">
            <v>No</v>
          </cell>
          <cell r="BH296" t="str">
            <v>2020-12-31</v>
          </cell>
          <cell r="BI296">
            <v>13695941</v>
          </cell>
          <cell r="BJ296">
            <v>13695941</v>
          </cell>
          <cell r="BK296">
            <v>11427421</v>
          </cell>
          <cell r="BL296">
            <v>11427421</v>
          </cell>
          <cell r="BM296">
            <v>0</v>
          </cell>
          <cell r="BN296" t="str">
            <v>No</v>
          </cell>
          <cell r="BO296" t="str">
            <v>External</v>
          </cell>
          <cell r="BP296">
            <v>7</v>
          </cell>
          <cell r="BQ296">
            <v>1</v>
          </cell>
          <cell r="BR296">
            <v>350000000</v>
          </cell>
          <cell r="BS296">
            <v>350000000</v>
          </cell>
          <cell r="BT296">
            <v>114000000</v>
          </cell>
          <cell r="BU296">
            <v>114000000</v>
          </cell>
          <cell r="BV296" t="str">
            <v>No</v>
          </cell>
          <cell r="BW296" t="str">
            <v>Slovakia</v>
          </cell>
          <cell r="BX296" t="str">
            <v>Hotel</v>
          </cell>
          <cell r="BY296">
            <v>66</v>
          </cell>
        </row>
        <row r="297">
          <cell r="A297">
            <v>559</v>
          </cell>
          <cell r="B297" t="str">
            <v>INVESCO REAL ESTATE - EUROPEAN FUND FCP-SIF</v>
          </cell>
          <cell r="C297" t="str">
            <v>INVESCO REAL ESTATE MANAGEMENT S.à R.L.</v>
          </cell>
          <cell r="D297" t="str">
            <v>20, rue de la Poste</v>
          </cell>
          <cell r="E297">
            <v>2346</v>
          </cell>
          <cell r="F297" t="str">
            <v>Luxembourg</v>
          </cell>
          <cell r="G297" t="str">
            <v>Luxembourg</v>
          </cell>
          <cell r="H297" t="str">
            <v>+352472323</v>
          </cell>
          <cell r="I297" t="str">
            <v>+352472473</v>
          </cell>
          <cell r="K297" t="str">
            <v>Rory Morrison</v>
          </cell>
          <cell r="L297" t="str">
            <v>Rory.Morrison@Invesco.com</v>
          </cell>
          <cell r="M297" t="str">
            <v>+442075433581</v>
          </cell>
          <cell r="N297" t="str">
            <v>Hannah Brown</v>
          </cell>
          <cell r="O297" t="str">
            <v>Hannah.Brown@invesco.com</v>
          </cell>
          <cell r="P297" t="str">
            <v>+442075433549</v>
          </cell>
          <cell r="Q297" t="str">
            <v>Luxembourg</v>
          </cell>
          <cell r="R297" t="str">
            <v>EUR</v>
          </cell>
          <cell r="S297" t="str">
            <v>IFRS</v>
          </cell>
          <cell r="T297" t="str">
            <v>Quarterly</v>
          </cell>
          <cell r="U297" t="str">
            <v>Quarterly</v>
          </cell>
          <cell r="V297" t="str">
            <v>RICS</v>
          </cell>
          <cell r="W297" t="str">
            <v xml:space="preserve"> </v>
          </cell>
          <cell r="X297" t="str">
            <v>KPMG Luxembourg</v>
          </cell>
          <cell r="Y297" t="str">
            <v>FCP</v>
          </cell>
          <cell r="Z297" t="str">
            <v>Yes</v>
          </cell>
          <cell r="AA297" t="str">
            <v>Yes</v>
          </cell>
          <cell r="AB297">
            <v>0</v>
          </cell>
          <cell r="AC297" t="str">
            <v>Non-Listed Fund</v>
          </cell>
          <cell r="AD297" t="str">
            <v>Core</v>
          </cell>
          <cell r="AE297" t="str">
            <v>infinite</v>
          </cell>
          <cell r="AF297" t="str">
            <v>Open end</v>
          </cell>
          <cell r="AG297">
            <v>6</v>
          </cell>
          <cell r="AH297">
            <v>7</v>
          </cell>
          <cell r="AI297" t="str">
            <v>Net</v>
          </cell>
          <cell r="AJ297" t="str">
            <v>IPD</v>
          </cell>
          <cell r="AK297">
            <v>4</v>
          </cell>
          <cell r="AL297">
            <v>40</v>
          </cell>
          <cell r="AM297" t="str">
            <v>&gt; 40% - ≤ 60%</v>
          </cell>
          <cell r="AN297" t="str">
            <v>Institutional</v>
          </cell>
          <cell r="AO297" t="str">
            <v>&gt; 2</v>
          </cell>
          <cell r="AP297" t="str">
            <v>≥ 50%</v>
          </cell>
          <cell r="AQ297" t="str">
            <v>Europe</v>
          </cell>
          <cell r="AR297" t="str">
            <v>multi country</v>
          </cell>
          <cell r="AS297" t="str">
            <v>Europe</v>
          </cell>
          <cell r="AU297" t="str">
            <v>multi sector</v>
          </cell>
          <cell r="AX297">
            <v>6000000000</v>
          </cell>
          <cell r="AY297">
            <v>2008</v>
          </cell>
          <cell r="BB297" t="str">
            <v>No</v>
          </cell>
          <cell r="BD297" t="str">
            <v>No</v>
          </cell>
          <cell r="BE297" t="str">
            <v>≥ 60%</v>
          </cell>
          <cell r="BF297" t="str">
            <v>≤ 15%</v>
          </cell>
          <cell r="BG297" t="str">
            <v>≤ 5%</v>
          </cell>
          <cell r="BH297" t="str">
            <v>2020-12-31</v>
          </cell>
          <cell r="BI297">
            <v>5424436057</v>
          </cell>
          <cell r="BJ297">
            <v>5424436057</v>
          </cell>
          <cell r="BK297">
            <v>3649578893.0700002</v>
          </cell>
          <cell r="BL297">
            <v>3649578893.0700002</v>
          </cell>
          <cell r="BM297">
            <v>30.06</v>
          </cell>
          <cell r="BN297" t="str">
            <v>Yes</v>
          </cell>
          <cell r="BO297" t="str">
            <v>External</v>
          </cell>
          <cell r="BP297">
            <v>149</v>
          </cell>
          <cell r="BQ297">
            <v>39</v>
          </cell>
          <cell r="BR297">
            <v>3779565680.2199998</v>
          </cell>
          <cell r="BS297">
            <v>3779565680.2199998</v>
          </cell>
          <cell r="BT297">
            <v>3763965680.2199998</v>
          </cell>
          <cell r="BU297">
            <v>3763965680.2199998</v>
          </cell>
          <cell r="BV297" t="str">
            <v>No</v>
          </cell>
          <cell r="BW297" t="str">
            <v>Italy</v>
          </cell>
          <cell r="BX297" t="str">
            <v>Development Retail</v>
          </cell>
          <cell r="BY297">
            <v>1.9</v>
          </cell>
          <cell r="BZ297" t="str">
            <v>Italy</v>
          </cell>
          <cell r="CA297" t="str">
            <v>Office</v>
          </cell>
          <cell r="CB297">
            <v>6.5</v>
          </cell>
          <cell r="CC297" t="str">
            <v>Poland</v>
          </cell>
          <cell r="CD297" t="str">
            <v>Retail</v>
          </cell>
          <cell r="CE297">
            <v>3.3</v>
          </cell>
          <cell r="CF297" t="str">
            <v>Poland</v>
          </cell>
          <cell r="CG297" t="str">
            <v>Office</v>
          </cell>
          <cell r="CH297">
            <v>6.4</v>
          </cell>
          <cell r="CI297" t="str">
            <v>Sweden</v>
          </cell>
          <cell r="CJ297" t="str">
            <v>Development Office</v>
          </cell>
          <cell r="CK297">
            <v>2.9</v>
          </cell>
          <cell r="CL297" t="str">
            <v>Sweden</v>
          </cell>
          <cell r="CM297" t="str">
            <v>Office</v>
          </cell>
          <cell r="CN297">
            <v>3.8</v>
          </cell>
          <cell r="CO297" t="str">
            <v>Sweden</v>
          </cell>
          <cell r="CP297" t="str">
            <v>Industrial / Logistics</v>
          </cell>
          <cell r="CQ297">
            <v>0.6</v>
          </cell>
          <cell r="CR297" t="str">
            <v>United Kingdom</v>
          </cell>
          <cell r="CS297" t="str">
            <v>Retail</v>
          </cell>
          <cell r="CT297">
            <v>4.2</v>
          </cell>
          <cell r="CU297" t="str">
            <v>United Kingdom</v>
          </cell>
          <cell r="CV297" t="str">
            <v>Office</v>
          </cell>
          <cell r="CW297">
            <v>1.7</v>
          </cell>
          <cell r="CX297" t="str">
            <v>Netherlands</v>
          </cell>
          <cell r="CY297" t="str">
            <v>Development Residential</v>
          </cell>
          <cell r="CZ297">
            <v>2.2999999999999998</v>
          </cell>
          <cell r="DA297" t="str">
            <v>Netherlands</v>
          </cell>
          <cell r="DB297" t="str">
            <v>Industrial / Logistics</v>
          </cell>
          <cell r="DC297">
            <v>2.5</v>
          </cell>
          <cell r="DD297" t="str">
            <v>Netherlands</v>
          </cell>
          <cell r="DE297" t="str">
            <v>Retail</v>
          </cell>
          <cell r="DF297">
            <v>0.6</v>
          </cell>
          <cell r="DG297" t="str">
            <v>Spain</v>
          </cell>
          <cell r="DH297" t="str">
            <v>Retail</v>
          </cell>
          <cell r="DI297">
            <v>5.8</v>
          </cell>
          <cell r="DJ297" t="str">
            <v>Spain</v>
          </cell>
          <cell r="DK297" t="str">
            <v>Industrial / Logistics</v>
          </cell>
          <cell r="DL297">
            <v>2.7</v>
          </cell>
          <cell r="DM297" t="str">
            <v>Germany</v>
          </cell>
          <cell r="DN297" t="str">
            <v>Development Residential</v>
          </cell>
          <cell r="DO297">
            <v>2.8</v>
          </cell>
          <cell r="DP297" t="str">
            <v>Germany</v>
          </cell>
          <cell r="DQ297" t="str">
            <v>Industrial / Logistics</v>
          </cell>
          <cell r="DR297">
            <v>8.4</v>
          </cell>
          <cell r="DS297" t="str">
            <v>Germany</v>
          </cell>
          <cell r="DT297" t="str">
            <v>Office</v>
          </cell>
          <cell r="DU297">
            <v>21.4</v>
          </cell>
          <cell r="DV297" t="str">
            <v>France</v>
          </cell>
          <cell r="DW297" t="str">
            <v>Development Industrial/Logistcis</v>
          </cell>
          <cell r="DX297">
            <v>1.1000000000000001</v>
          </cell>
          <cell r="DY297" t="str">
            <v>France</v>
          </cell>
          <cell r="DZ297" t="str">
            <v>Industrial / Logistics</v>
          </cell>
          <cell r="EA297">
            <v>5.0999999999999996</v>
          </cell>
          <cell r="EB297" t="str">
            <v>France</v>
          </cell>
          <cell r="EC297" t="str">
            <v>Retail</v>
          </cell>
          <cell r="ED297">
            <v>1.6</v>
          </cell>
          <cell r="EE297" t="str">
            <v>France</v>
          </cell>
          <cell r="EF297" t="str">
            <v>Office</v>
          </cell>
          <cell r="EG297">
            <v>14.4</v>
          </cell>
        </row>
        <row r="298">
          <cell r="A298">
            <v>18386</v>
          </cell>
          <cell r="B298" t="str">
            <v>INVESCO REAL ESTATE - EUROPEAN HOTEL FUND FCP-RAIF</v>
          </cell>
          <cell r="C298" t="str">
            <v>INVESCO REAL ESTATE MANAGEMENT S.A.R.L</v>
          </cell>
          <cell r="D298" t="str">
            <v>37A, Avenue J.F. Kennedy</v>
          </cell>
          <cell r="E298">
            <v>1855</v>
          </cell>
          <cell r="F298" t="str">
            <v>Luxemburg</v>
          </cell>
          <cell r="G298" t="str">
            <v>Luxembourg</v>
          </cell>
          <cell r="K298" t="str">
            <v>Christopher Brassington</v>
          </cell>
          <cell r="L298" t="str">
            <v>chris_brassington@ldn.invesco.com</v>
          </cell>
          <cell r="N298" t="str">
            <v>Dieter Zeiser/Isabell Ritter</v>
          </cell>
          <cell r="O298" t="str">
            <v>dieter_zeiser@mun.invesco.com</v>
          </cell>
          <cell r="P298" t="str">
            <v>+8920606191</v>
          </cell>
          <cell r="Q298" t="str">
            <v>Luxembourg</v>
          </cell>
          <cell r="R298" t="str">
            <v>EUR</v>
          </cell>
          <cell r="S298" t="str">
            <v>IFRS</v>
          </cell>
          <cell r="T298" t="str">
            <v>Quarterly</v>
          </cell>
          <cell r="U298" t="str">
            <v>Quarterly</v>
          </cell>
          <cell r="V298" t="str">
            <v>RICS</v>
          </cell>
          <cell r="W298" t="str">
            <v>IFRS NAV</v>
          </cell>
          <cell r="X298" t="str">
            <v>Deloitte Audit S.a.r.l</v>
          </cell>
          <cell r="Y298" t="str">
            <v>FCP</v>
          </cell>
          <cell r="Z298" t="str">
            <v>Yes</v>
          </cell>
          <cell r="AA298" t="str">
            <v>Yes</v>
          </cell>
          <cell r="AC298" t="str">
            <v>Non-Listed Fund</v>
          </cell>
          <cell r="AD298" t="str">
            <v>Core</v>
          </cell>
          <cell r="AE298" t="str">
            <v>infinite</v>
          </cell>
          <cell r="AF298" t="str">
            <v>Open end</v>
          </cell>
          <cell r="AG298">
            <v>6</v>
          </cell>
          <cell r="AH298">
            <v>8</v>
          </cell>
          <cell r="AI298" t="str">
            <v>Gross</v>
          </cell>
          <cell r="AJ298" t="str">
            <v>7%</v>
          </cell>
          <cell r="AK298">
            <v>5</v>
          </cell>
          <cell r="AL298">
            <v>35</v>
          </cell>
          <cell r="AM298" t="str">
            <v>&gt; 40% - ≤ 60%</v>
          </cell>
          <cell r="AN298" t="str">
            <v>Institutional</v>
          </cell>
          <cell r="AO298" t="str">
            <v>&gt; 2</v>
          </cell>
          <cell r="AP298" t="str">
            <v>≥ 50%</v>
          </cell>
          <cell r="AQ298" t="str">
            <v>Europe</v>
          </cell>
          <cell r="AR298" t="str">
            <v>multi country</v>
          </cell>
          <cell r="AS298" t="str">
            <v>Western Europe</v>
          </cell>
          <cell r="AU298" t="str">
            <v>single sector</v>
          </cell>
          <cell r="AV298" t="str">
            <v>Hotel</v>
          </cell>
          <cell r="AW298">
            <v>500000000</v>
          </cell>
          <cell r="AX298">
            <v>500000000</v>
          </cell>
          <cell r="AY298">
            <v>2017</v>
          </cell>
          <cell r="BE298" t="str">
            <v>≥ 60%</v>
          </cell>
          <cell r="BF298" t="str">
            <v>≤ 15%</v>
          </cell>
          <cell r="BG298" t="str">
            <v>≤ 5%</v>
          </cell>
          <cell r="BH298" t="str">
            <v>2020-12-31</v>
          </cell>
          <cell r="BI298">
            <v>669998810.75</v>
          </cell>
          <cell r="BJ298">
            <v>669998810.75</v>
          </cell>
          <cell r="BK298">
            <v>380344541.56999999</v>
          </cell>
          <cell r="BL298">
            <v>380344541.56999999</v>
          </cell>
          <cell r="BM298">
            <v>44.55</v>
          </cell>
          <cell r="BN298" t="str">
            <v>No</v>
          </cell>
          <cell r="BO298" t="str">
            <v>External</v>
          </cell>
          <cell r="BP298">
            <v>31</v>
          </cell>
          <cell r="BQ298">
            <v>8</v>
          </cell>
          <cell r="BR298">
            <v>637036021</v>
          </cell>
          <cell r="BS298">
            <v>637036021</v>
          </cell>
          <cell r="BT298">
            <v>463047652</v>
          </cell>
          <cell r="BU298">
            <v>463047652</v>
          </cell>
          <cell r="BV298" t="str">
            <v>Yes</v>
          </cell>
          <cell r="BW298" t="str">
            <v>Germany</v>
          </cell>
          <cell r="BX298" t="str">
            <v>Hotel</v>
          </cell>
          <cell r="BY298">
            <v>36.78</v>
          </cell>
          <cell r="BZ298" t="str">
            <v>Netherlands</v>
          </cell>
          <cell r="CA298" t="str">
            <v>Hotel</v>
          </cell>
          <cell r="CB298">
            <v>26.78</v>
          </cell>
          <cell r="CC298" t="str">
            <v>Portugal</v>
          </cell>
          <cell r="CD298" t="str">
            <v>Hotel</v>
          </cell>
          <cell r="CE298">
            <v>28.8</v>
          </cell>
        </row>
        <row r="299">
          <cell r="A299">
            <v>17864</v>
          </cell>
          <cell r="B299" t="str">
            <v>IPUT PROPERTY FUND</v>
          </cell>
          <cell r="C299" t="str">
            <v>IPUT PLC</v>
          </cell>
          <cell r="D299" t="str">
            <v>47/49 St. Stephen's Green</v>
          </cell>
          <cell r="E299" t="str">
            <v>D02 W634</v>
          </cell>
          <cell r="F299" t="str">
            <v>Dublin 2</v>
          </cell>
          <cell r="G299" t="str">
            <v>Ireland</v>
          </cell>
          <cell r="H299" t="str">
            <v>+35316613499</v>
          </cell>
          <cell r="I299" t="str">
            <v>+35316613336</v>
          </cell>
          <cell r="J299" t="str">
            <v>http://www.iput.com</v>
          </cell>
          <cell r="L299" t="str">
            <v>pmcginley@iput.com</v>
          </cell>
          <cell r="M299" t="str">
            <v>+35316613499</v>
          </cell>
          <cell r="N299" t="str">
            <v>Pat McGinley</v>
          </cell>
          <cell r="O299" t="str">
            <v>pmcginley@iput.com</v>
          </cell>
          <cell r="P299" t="str">
            <v>+35316613499</v>
          </cell>
          <cell r="Q299" t="str">
            <v>Ireland</v>
          </cell>
          <cell r="R299" t="str">
            <v>EUR</v>
          </cell>
          <cell r="S299" t="str">
            <v>IFRS</v>
          </cell>
          <cell r="T299" t="str">
            <v>Annually</v>
          </cell>
          <cell r="U299" t="str">
            <v>Quarterly</v>
          </cell>
          <cell r="V299" t="str">
            <v>RICS</v>
          </cell>
          <cell r="W299" t="str">
            <v>IFRS NAV</v>
          </cell>
          <cell r="X299" t="str">
            <v>Pat McGinley</v>
          </cell>
          <cell r="Y299" t="str">
            <v>Real Estate Fund</v>
          </cell>
          <cell r="Z299" t="str">
            <v>Yes</v>
          </cell>
          <cell r="AA299" t="str">
            <v>Yes</v>
          </cell>
          <cell r="AB299">
            <v>6</v>
          </cell>
          <cell r="AC299" t="str">
            <v>Non-Listed Fund</v>
          </cell>
          <cell r="AD299" t="str">
            <v>Core</v>
          </cell>
          <cell r="AE299" t="str">
            <v>infinite</v>
          </cell>
          <cell r="AF299" t="str">
            <v>Open end</v>
          </cell>
          <cell r="AG299">
            <v>6</v>
          </cell>
          <cell r="AH299">
            <v>8</v>
          </cell>
          <cell r="AI299" t="str">
            <v>Gross</v>
          </cell>
          <cell r="AJ299" t="str">
            <v>IPD</v>
          </cell>
          <cell r="AK299">
            <v>4.5</v>
          </cell>
          <cell r="AL299">
            <v>10</v>
          </cell>
          <cell r="AM299" t="str">
            <v>≤ 40%</v>
          </cell>
          <cell r="AN299" t="str">
            <v>Institutional</v>
          </cell>
          <cell r="AO299" t="str">
            <v>&gt; 2</v>
          </cell>
          <cell r="AP299" t="str">
            <v>≥ 50%</v>
          </cell>
          <cell r="AQ299" t="str">
            <v>Europe</v>
          </cell>
          <cell r="AR299" t="str">
            <v>single country</v>
          </cell>
          <cell r="AT299" t="str">
            <v>Ireland</v>
          </cell>
          <cell r="AU299" t="str">
            <v>multi sector</v>
          </cell>
          <cell r="AY299">
            <v>1967</v>
          </cell>
          <cell r="BD299" t="str">
            <v>Yes</v>
          </cell>
          <cell r="BE299" t="str">
            <v>≥ 60%</v>
          </cell>
          <cell r="BF299" t="str">
            <v>≤ 15%</v>
          </cell>
          <cell r="BG299" t="str">
            <v>&gt; 5 - ≤ 25%</v>
          </cell>
          <cell r="BH299" t="str">
            <v>2020-12-31</v>
          </cell>
          <cell r="BI299">
            <v>3026036000</v>
          </cell>
          <cell r="BJ299">
            <v>3026036000</v>
          </cell>
          <cell r="BK299">
            <v>2686210063</v>
          </cell>
          <cell r="BL299">
            <v>2686210063</v>
          </cell>
          <cell r="BM299">
            <v>8.1999999999999993</v>
          </cell>
          <cell r="BN299" t="str">
            <v>No</v>
          </cell>
          <cell r="BO299" t="str">
            <v>External</v>
          </cell>
          <cell r="BP299">
            <v>77</v>
          </cell>
          <cell r="BQ299">
            <v>95</v>
          </cell>
          <cell r="BR299">
            <v>0</v>
          </cell>
          <cell r="BS299">
            <v>0</v>
          </cell>
          <cell r="BT299">
            <v>0</v>
          </cell>
          <cell r="BV299" t="str">
            <v>Yes</v>
          </cell>
          <cell r="BW299" t="str">
            <v>Ireland</v>
          </cell>
          <cell r="BX299" t="str">
            <v>Other</v>
          </cell>
          <cell r="BY299">
            <v>2.2599999999999998</v>
          </cell>
          <cell r="BZ299" t="str">
            <v>Ireland</v>
          </cell>
          <cell r="CA299" t="str">
            <v>Industrial / Logistics</v>
          </cell>
          <cell r="CB299">
            <v>10.77</v>
          </cell>
          <cell r="CC299" t="str">
            <v>Ireland</v>
          </cell>
          <cell r="CD299" t="str">
            <v>Retail</v>
          </cell>
          <cell r="CE299">
            <v>15.32</v>
          </cell>
          <cell r="CF299" t="str">
            <v>Ireland</v>
          </cell>
          <cell r="CG299" t="str">
            <v>Office</v>
          </cell>
          <cell r="CH299">
            <v>70.430000000000007</v>
          </cell>
        </row>
        <row r="300">
          <cell r="A300">
            <v>17805</v>
          </cell>
          <cell r="B300" t="str">
            <v>IVG KAVERNENFONDS</v>
          </cell>
          <cell r="C300" t="str">
            <v>TRIUVA KAPITALVERWALTUNGSGESELLSCHAFT MBH</v>
          </cell>
          <cell r="D300" t="str">
            <v>THE SQUAIRE 18, Am Flughafen</v>
          </cell>
          <cell r="E300">
            <v>60549</v>
          </cell>
          <cell r="F300" t="str">
            <v>Frankfurt am Main</v>
          </cell>
          <cell r="G300" t="str">
            <v>Germany</v>
          </cell>
          <cell r="J300" t="str">
            <v>http://www.triuva.com</v>
          </cell>
          <cell r="Q300" t="str">
            <v>Germany</v>
          </cell>
          <cell r="R300" t="str">
            <v>EUR</v>
          </cell>
          <cell r="T300" t="str">
            <v>Quarterly</v>
          </cell>
          <cell r="U300" t="str">
            <v>Annually</v>
          </cell>
          <cell r="W300" t="str">
            <v>German Special Fund Investment Law GAAP</v>
          </cell>
          <cell r="Y300" t="str">
            <v>Spezialfonds</v>
          </cell>
          <cell r="Z300" t="str">
            <v>No</v>
          </cell>
          <cell r="AC300" t="str">
            <v>Non-Listed Fund</v>
          </cell>
          <cell r="AD300" t="str">
            <v>Core</v>
          </cell>
          <cell r="AE300" t="str">
            <v>infinite</v>
          </cell>
          <cell r="AF300" t="str">
            <v>Open end</v>
          </cell>
          <cell r="AI300" t="str">
            <v>Net</v>
          </cell>
          <cell r="AM300" t="str">
            <v>&gt; 40% - ≤ 60%</v>
          </cell>
          <cell r="AN300" t="str">
            <v>Institutional</v>
          </cell>
          <cell r="AO300" t="str">
            <v>&gt; 2</v>
          </cell>
          <cell r="AP300" t="str">
            <v>≥ 50%</v>
          </cell>
          <cell r="AQ300" t="str">
            <v>Europe</v>
          </cell>
          <cell r="AR300" t="str">
            <v>single country</v>
          </cell>
          <cell r="AT300" t="str">
            <v>Germany</v>
          </cell>
          <cell r="AU300" t="str">
            <v>single sector</v>
          </cell>
          <cell r="AV300" t="str">
            <v>Other</v>
          </cell>
          <cell r="AY300">
            <v>2008</v>
          </cell>
          <cell r="BH300" t="str">
            <v>2020-12-31</v>
          </cell>
          <cell r="BI300">
            <v>1731225167.97</v>
          </cell>
          <cell r="BJ300">
            <v>1731225167.97</v>
          </cell>
          <cell r="BK300">
            <v>1068425167.48</v>
          </cell>
          <cell r="BL300">
            <v>1068425167.48</v>
          </cell>
          <cell r="BM300">
            <v>40.130000000000003</v>
          </cell>
          <cell r="BN300" t="str">
            <v>No</v>
          </cell>
          <cell r="BO300" t="str">
            <v>Internal</v>
          </cell>
          <cell r="BP300">
            <v>30</v>
          </cell>
          <cell r="BQ300">
            <v>70</v>
          </cell>
          <cell r="BR300">
            <v>0</v>
          </cell>
          <cell r="BS300">
            <v>0</v>
          </cell>
          <cell r="BT300">
            <v>0</v>
          </cell>
          <cell r="BV300" t="str">
            <v>No</v>
          </cell>
          <cell r="BW300" t="str">
            <v>Germany</v>
          </cell>
          <cell r="BX300" t="str">
            <v>Other</v>
          </cell>
          <cell r="BY300">
            <v>100</v>
          </cell>
        </row>
        <row r="301">
          <cell r="A301">
            <v>17961</v>
          </cell>
          <cell r="B301" t="str">
            <v>IWS II – WIRTSCHAFTSREGION SüDDEUTSCHLAND</v>
          </cell>
          <cell r="C301" t="str">
            <v>CATELLA REAL ESTATE AG</v>
          </cell>
          <cell r="D301" t="str">
            <v>Alter Hof 5</v>
          </cell>
          <cell r="E301">
            <v>80331</v>
          </cell>
          <cell r="F301" t="str">
            <v>München</v>
          </cell>
          <cell r="G301" t="str">
            <v>Germany</v>
          </cell>
          <cell r="H301" t="str">
            <v>+4989166511</v>
          </cell>
          <cell r="I301" t="str">
            <v>+4989166566</v>
          </cell>
          <cell r="J301" t="str">
            <v>http://www.catella-realestate.de</v>
          </cell>
          <cell r="K301" t="str">
            <v>Markus Mayer</v>
          </cell>
          <cell r="L301" t="str">
            <v>markus.mayer@catella.de</v>
          </cell>
          <cell r="M301" t="str">
            <v>+49 89 189 16 65 42</v>
          </cell>
          <cell r="N301" t="str">
            <v>Nadine Kratzer</v>
          </cell>
          <cell r="O301" t="str">
            <v>nadine.kratzer@catella.de</v>
          </cell>
          <cell r="P301" t="str">
            <v>+49 89 189 16 65 44</v>
          </cell>
          <cell r="Q301" t="str">
            <v>Germany</v>
          </cell>
          <cell r="R301" t="str">
            <v>EUR</v>
          </cell>
          <cell r="S301" t="str">
            <v>Local GAAP</v>
          </cell>
          <cell r="T301" t="str">
            <v>Monthly</v>
          </cell>
          <cell r="U301" t="str">
            <v>Annually</v>
          </cell>
          <cell r="V301" t="str">
            <v>ImmoWertV</v>
          </cell>
          <cell r="W301" t="str">
            <v>BVI</v>
          </cell>
          <cell r="Y301" t="str">
            <v>Spezialfonds</v>
          </cell>
          <cell r="Z301" t="str">
            <v>Yes</v>
          </cell>
          <cell r="AC301" t="str">
            <v>Non-Listed Fund</v>
          </cell>
          <cell r="AD301" t="str">
            <v>Core</v>
          </cell>
          <cell r="AE301" t="str">
            <v>infinite</v>
          </cell>
          <cell r="AF301" t="str">
            <v>Open end</v>
          </cell>
          <cell r="AG301">
            <v>4</v>
          </cell>
          <cell r="AH301">
            <v>5</v>
          </cell>
          <cell r="AI301" t="str">
            <v>Net</v>
          </cell>
          <cell r="AK301">
            <v>3</v>
          </cell>
          <cell r="AM301" t="str">
            <v>&gt; 40%</v>
          </cell>
          <cell r="AN301" t="str">
            <v>Institutional</v>
          </cell>
          <cell r="AO301" t="str">
            <v>&gt; 2</v>
          </cell>
          <cell r="AP301" t="str">
            <v>≥ 50%</v>
          </cell>
          <cell r="AQ301" t="str">
            <v>Europe</v>
          </cell>
          <cell r="AR301" t="str">
            <v>single country</v>
          </cell>
          <cell r="AT301" t="str">
            <v>Germany</v>
          </cell>
          <cell r="AU301" t="str">
            <v>multi sector</v>
          </cell>
          <cell r="AW301">
            <v>150</v>
          </cell>
          <cell r="AX301">
            <v>300</v>
          </cell>
          <cell r="AY301">
            <v>2016</v>
          </cell>
          <cell r="BD301" t="str">
            <v>No</v>
          </cell>
          <cell r="BE301" t="str">
            <v>≥ 60%</v>
          </cell>
          <cell r="BF301" t="str">
            <v>≤ 15%</v>
          </cell>
          <cell r="BG301" t="str">
            <v>≤ 5%</v>
          </cell>
          <cell r="BH301" t="str">
            <v>2020-12-31</v>
          </cell>
          <cell r="BI301">
            <v>301422102.85000002</v>
          </cell>
          <cell r="BJ301">
            <v>301422102.85000002</v>
          </cell>
          <cell r="BK301">
            <v>205551097</v>
          </cell>
          <cell r="BL301">
            <v>205551097</v>
          </cell>
          <cell r="BM301">
            <v>40.1</v>
          </cell>
          <cell r="BN301" t="str">
            <v>No</v>
          </cell>
          <cell r="BO301" t="str">
            <v>Internal</v>
          </cell>
          <cell r="BP301">
            <v>22</v>
          </cell>
          <cell r="BQ301">
            <v>11</v>
          </cell>
          <cell r="BR301">
            <v>0</v>
          </cell>
          <cell r="BS301">
            <v>0</v>
          </cell>
          <cell r="BT301">
            <v>0</v>
          </cell>
          <cell r="BV301" t="str">
            <v>No</v>
          </cell>
          <cell r="BW301" t="str">
            <v>Germany</v>
          </cell>
          <cell r="BX301" t="str">
            <v>Other</v>
          </cell>
          <cell r="BY301">
            <v>7</v>
          </cell>
          <cell r="BZ301" t="str">
            <v>Germany</v>
          </cell>
          <cell r="CA301" t="str">
            <v>Industrial / Logistics</v>
          </cell>
          <cell r="CB301">
            <v>11</v>
          </cell>
          <cell r="CC301" t="str">
            <v>Germany</v>
          </cell>
          <cell r="CD301" t="str">
            <v>Retail</v>
          </cell>
          <cell r="CE301">
            <v>25</v>
          </cell>
          <cell r="CF301" t="str">
            <v>Germany</v>
          </cell>
          <cell r="CG301" t="str">
            <v>Residential</v>
          </cell>
          <cell r="CH301">
            <v>1</v>
          </cell>
          <cell r="CI301" t="str">
            <v>Germany</v>
          </cell>
          <cell r="CJ301" t="str">
            <v>Office</v>
          </cell>
          <cell r="CK301">
            <v>50</v>
          </cell>
        </row>
        <row r="302">
          <cell r="A302">
            <v>296</v>
          </cell>
          <cell r="B302" t="str">
            <v>K2</v>
          </cell>
          <cell r="C302" t="str">
            <v>BNP PARIBAS REAL ESTATE INVESTMENT MANAGEMENT ITALY SGR</v>
          </cell>
          <cell r="D302" t="str">
            <v>Piazza Lina Bo Bardi, 3</v>
          </cell>
          <cell r="E302">
            <v>20124</v>
          </cell>
          <cell r="F302" t="str">
            <v>Milan</v>
          </cell>
          <cell r="G302" t="str">
            <v>Italy</v>
          </cell>
          <cell r="J302" t="str">
            <v>http://www.reim.bnpparibas.com</v>
          </cell>
          <cell r="K302" t="str">
            <v>Luca Meneghetti</v>
          </cell>
          <cell r="L302" t="str">
            <v>luca.meneghetti@bnpparibas.com</v>
          </cell>
          <cell r="P302" t="str">
            <v>+39 02 5833141</v>
          </cell>
          <cell r="Q302" t="str">
            <v>Italy</v>
          </cell>
          <cell r="R302" t="str">
            <v>EUR</v>
          </cell>
          <cell r="S302" t="str">
            <v>Local GAAP</v>
          </cell>
          <cell r="T302" t="str">
            <v>Twice per year</v>
          </cell>
          <cell r="U302" t="str">
            <v>Twice per year</v>
          </cell>
          <cell r="V302" t="str">
            <v>RICS</v>
          </cell>
          <cell r="X302" t="str">
            <v>Mazard &amp; Guarard</v>
          </cell>
          <cell r="Y302" t="str">
            <v>Closed Ended Fund</v>
          </cell>
          <cell r="Z302" t="str">
            <v>No</v>
          </cell>
          <cell r="AB302">
            <v>0</v>
          </cell>
          <cell r="AC302" t="str">
            <v>Non-Listed Fund</v>
          </cell>
          <cell r="AD302" t="str">
            <v>Core</v>
          </cell>
          <cell r="AE302" t="str">
            <v>finite</v>
          </cell>
          <cell r="AF302" t="str">
            <v>Closed end</v>
          </cell>
          <cell r="AI302" t="str">
            <v>Gross</v>
          </cell>
          <cell r="AJ302" t="str">
            <v>None</v>
          </cell>
          <cell r="AM302" t="str">
            <v>&gt; 40% - ≤ 60%</v>
          </cell>
          <cell r="AN302" t="str">
            <v>Institutional</v>
          </cell>
          <cell r="AO302" t="str">
            <v>&gt; 2</v>
          </cell>
          <cell r="AP302" t="str">
            <v>≥ 50%</v>
          </cell>
          <cell r="AQ302" t="str">
            <v>Europe</v>
          </cell>
          <cell r="AR302" t="str">
            <v>single country</v>
          </cell>
          <cell r="AT302" t="str">
            <v>Italy</v>
          </cell>
          <cell r="AU302" t="str">
            <v>single sector</v>
          </cell>
          <cell r="AV302" t="str">
            <v>Retail</v>
          </cell>
          <cell r="AY302">
            <v>2008</v>
          </cell>
          <cell r="AZ302">
            <v>2022</v>
          </cell>
          <cell r="BA302" t="str">
            <v>Yes</v>
          </cell>
          <cell r="BB302" t="str">
            <v>Yes</v>
          </cell>
          <cell r="BC302" t="str">
            <v>3 years</v>
          </cell>
          <cell r="BH302" t="str">
            <v>2019-12-31</v>
          </cell>
          <cell r="BI302">
            <v>10416164</v>
          </cell>
          <cell r="BJ302">
            <v>10416164</v>
          </cell>
          <cell r="BK302">
            <v>8603967</v>
          </cell>
          <cell r="BL302">
            <v>8603967</v>
          </cell>
          <cell r="BM302">
            <v>17.399999999999999</v>
          </cell>
          <cell r="BS302">
            <v>0</v>
          </cell>
        </row>
        <row r="303">
          <cell r="A303">
            <v>17478</v>
          </cell>
          <cell r="B303" t="str">
            <v>KAMES UK ACTIVE VALUE PROPERTY UNIT TRUST</v>
          </cell>
          <cell r="C303" t="str">
            <v>KAMES CAPITAL</v>
          </cell>
          <cell r="D303" t="str">
            <v>3 Lochside Crescent</v>
          </cell>
          <cell r="E303" t="str">
            <v>EH12 9SA</v>
          </cell>
          <cell r="F303" t="str">
            <v>Edinburgh</v>
          </cell>
          <cell r="G303" t="str">
            <v>United Kingdom</v>
          </cell>
          <cell r="J303" t="str">
            <v>http://www.kamescapital.com</v>
          </cell>
          <cell r="K303" t="str">
            <v>Philip Bach</v>
          </cell>
          <cell r="L303" t="str">
            <v>philip.bach@kamescapital.com</v>
          </cell>
          <cell r="N303" t="str">
            <v>Shaun McWilliam</v>
          </cell>
          <cell r="O303" t="str">
            <v>shaun.mcwilliam@kamescapital.com</v>
          </cell>
          <cell r="P303" t="str">
            <v xml:space="preserve">+44 (0)20 7200 2547 </v>
          </cell>
          <cell r="Q303" t="str">
            <v>Jersey</v>
          </cell>
          <cell r="R303" t="str">
            <v>GBP</v>
          </cell>
          <cell r="S303" t="str">
            <v>IFRS</v>
          </cell>
          <cell r="T303" t="str">
            <v>Quarterly</v>
          </cell>
          <cell r="U303" t="str">
            <v>Monthly</v>
          </cell>
          <cell r="V303" t="str">
            <v>RICS</v>
          </cell>
          <cell r="W303" t="str">
            <v>IFRS NAV</v>
          </cell>
          <cell r="X303" t="str">
            <v>Price Waterhouse Coopers</v>
          </cell>
          <cell r="Y303" t="str">
            <v>Unit trust</v>
          </cell>
          <cell r="Z303" t="str">
            <v>Yes</v>
          </cell>
          <cell r="AA303" t="str">
            <v>No</v>
          </cell>
          <cell r="AB303">
            <v>0</v>
          </cell>
          <cell r="AC303" t="str">
            <v>Non-Listed Fund</v>
          </cell>
          <cell r="AD303" t="str">
            <v>Value-added</v>
          </cell>
          <cell r="AE303" t="str">
            <v>finite</v>
          </cell>
          <cell r="AF303" t="str">
            <v>Closed end</v>
          </cell>
          <cell r="AG303">
            <v>6</v>
          </cell>
          <cell r="AH303">
            <v>8</v>
          </cell>
          <cell r="AI303" t="str">
            <v>Net</v>
          </cell>
          <cell r="AK303">
            <v>6</v>
          </cell>
          <cell r="AL303">
            <v>0</v>
          </cell>
          <cell r="AM303" t="str">
            <v>≤ 40%</v>
          </cell>
          <cell r="AN303" t="str">
            <v>Institutional</v>
          </cell>
          <cell r="AO303" t="str">
            <v>&gt; 2</v>
          </cell>
          <cell r="AP303" t="str">
            <v>≥ 50%</v>
          </cell>
          <cell r="AQ303" t="str">
            <v>Europe</v>
          </cell>
          <cell r="AR303" t="str">
            <v>single country</v>
          </cell>
          <cell r="AT303" t="str">
            <v>United Kingdom</v>
          </cell>
          <cell r="AU303" t="str">
            <v>multi sector</v>
          </cell>
          <cell r="AX303">
            <v>300000000</v>
          </cell>
          <cell r="AY303">
            <v>2013</v>
          </cell>
          <cell r="AZ303">
            <v>2020</v>
          </cell>
          <cell r="BA303" t="str">
            <v>Yes</v>
          </cell>
          <cell r="BB303" t="str">
            <v>No</v>
          </cell>
          <cell r="BD303" t="str">
            <v>No</v>
          </cell>
          <cell r="BE303" t="str">
            <v>≥ 60%</v>
          </cell>
          <cell r="BF303" t="str">
            <v>≤ 15%</v>
          </cell>
          <cell r="BG303" t="str">
            <v>≤ 5%</v>
          </cell>
          <cell r="BH303" t="str">
            <v>2015-12-31</v>
          </cell>
          <cell r="BI303">
            <v>258001854</v>
          </cell>
          <cell r="BJ303">
            <v>350103355.84091997</v>
          </cell>
          <cell r="BK303">
            <v>258001854</v>
          </cell>
          <cell r="BL303">
            <v>350103355.84091997</v>
          </cell>
          <cell r="BM303">
            <v>0</v>
          </cell>
          <cell r="BS303">
            <v>0</v>
          </cell>
        </row>
        <row r="304">
          <cell r="A304">
            <v>565</v>
          </cell>
          <cell r="B304" t="str">
            <v>KAMESTARGET HEALTHCARE PROPERTY UNIT TRUST</v>
          </cell>
          <cell r="C304" t="str">
            <v>KAMES CAPITAL PLC</v>
          </cell>
          <cell r="D304" t="str">
            <v>3 Lochside Crescent</v>
          </cell>
          <cell r="E304" t="str">
            <v>EH12 9SA</v>
          </cell>
          <cell r="F304" t="str">
            <v>Edinburgh</v>
          </cell>
          <cell r="G304" t="str">
            <v>United Kingdom</v>
          </cell>
          <cell r="H304" t="str">
            <v>+44-131 549 6850</v>
          </cell>
          <cell r="I304" t="str">
            <v>+44-131 459 0027</v>
          </cell>
          <cell r="J304" t="str">
            <v>http://www.kamescapital.com</v>
          </cell>
          <cell r="K304" t="str">
            <v>Phil Clark</v>
          </cell>
          <cell r="L304" t="str">
            <v>phil.clark@kamescapital.com</v>
          </cell>
          <cell r="N304" t="str">
            <v>Shaun McWilliam</v>
          </cell>
          <cell r="O304" t="str">
            <v>shaun.mcwilliam@kamescapital.com</v>
          </cell>
          <cell r="P304" t="str">
            <v>0207 200 2547</v>
          </cell>
          <cell r="Q304" t="str">
            <v>Jersey</v>
          </cell>
          <cell r="R304" t="str">
            <v>GBP</v>
          </cell>
          <cell r="S304" t="str">
            <v>IFRS</v>
          </cell>
          <cell r="T304" t="str">
            <v>Annually</v>
          </cell>
          <cell r="U304" t="str">
            <v>Quarterly</v>
          </cell>
          <cell r="V304" t="str">
            <v>RICS</v>
          </cell>
          <cell r="W304" t="str">
            <v>INREV NAV</v>
          </cell>
          <cell r="X304" t="str">
            <v>Ernst &amp; Young</v>
          </cell>
          <cell r="Y304" t="str">
            <v>Unit trust</v>
          </cell>
          <cell r="Z304" t="str">
            <v>Yes</v>
          </cell>
          <cell r="AA304" t="str">
            <v>No</v>
          </cell>
          <cell r="AB304">
            <v>0</v>
          </cell>
          <cell r="AC304" t="str">
            <v>Non-Listed Fund</v>
          </cell>
          <cell r="AD304" t="str">
            <v>Value-added</v>
          </cell>
          <cell r="AE304" t="str">
            <v>finite</v>
          </cell>
          <cell r="AF304" t="str">
            <v>Closed end</v>
          </cell>
          <cell r="AG304">
            <v>0</v>
          </cell>
          <cell r="AH304">
            <v>9</v>
          </cell>
          <cell r="AI304" t="str">
            <v>Gross</v>
          </cell>
          <cell r="AJ304" t="str">
            <v>IPD All Healthcare Index</v>
          </cell>
          <cell r="AK304">
            <v>7.7</v>
          </cell>
          <cell r="AM304" t="str">
            <v>≤ 40%</v>
          </cell>
          <cell r="AN304" t="str">
            <v>Institutional</v>
          </cell>
          <cell r="AO304" t="str">
            <v>&gt; 2</v>
          </cell>
          <cell r="AP304" t="str">
            <v>≥ 50%</v>
          </cell>
          <cell r="AQ304" t="str">
            <v>Europe</v>
          </cell>
          <cell r="AR304" t="str">
            <v>single country</v>
          </cell>
          <cell r="AT304" t="str">
            <v>United Kingdom</v>
          </cell>
          <cell r="AU304" t="str">
            <v>single sector</v>
          </cell>
          <cell r="AV304" t="str">
            <v>Health Care</v>
          </cell>
          <cell r="AX304">
            <v>300000000</v>
          </cell>
          <cell r="AY304">
            <v>2010</v>
          </cell>
          <cell r="AZ304">
            <v>2017</v>
          </cell>
          <cell r="BA304" t="str">
            <v>Yes</v>
          </cell>
          <cell r="BB304" t="str">
            <v>Yes</v>
          </cell>
          <cell r="BC304" t="str">
            <v>2 years fixed</v>
          </cell>
          <cell r="BD304" t="str">
            <v>No</v>
          </cell>
          <cell r="BE304" t="str">
            <v>≥ 60%</v>
          </cell>
          <cell r="BF304" t="str">
            <v>≤ 15%</v>
          </cell>
          <cell r="BG304" t="str">
            <v>≤ 5%</v>
          </cell>
          <cell r="BH304" t="str">
            <v>2015-12-31</v>
          </cell>
          <cell r="BI304">
            <v>101142404</v>
          </cell>
          <cell r="BJ304">
            <v>137248219.37992001</v>
          </cell>
          <cell r="BK304">
            <v>68108319</v>
          </cell>
          <cell r="BL304">
            <v>92421626.716619998</v>
          </cell>
          <cell r="BM304">
            <v>29.27</v>
          </cell>
          <cell r="BS304">
            <v>0</v>
          </cell>
        </row>
        <row r="305">
          <cell r="A305">
            <v>19312</v>
          </cell>
          <cell r="B305" t="str">
            <v>KAUFHOF LöVENICH-WEIDEN</v>
          </cell>
          <cell r="C305" t="str">
            <v>DWS GRUNDBESITZ GMBH</v>
          </cell>
          <cell r="D305" t="str">
            <v>Mainzer Landstr. 11-17</v>
          </cell>
          <cell r="E305" t="str">
            <v xml:space="preserve">60329 </v>
          </cell>
          <cell r="F305" t="str">
            <v>Frankfurt am Main</v>
          </cell>
          <cell r="G305" t="str">
            <v>Germany</v>
          </cell>
          <cell r="K305" t="str">
            <v>Burkhard Meldt</v>
          </cell>
          <cell r="L305" t="str">
            <v>burkhard.meldt@dws.com</v>
          </cell>
          <cell r="M305" t="str">
            <v>+49 (69) 910 - 14940</v>
          </cell>
          <cell r="Q305" t="str">
            <v>Germany</v>
          </cell>
          <cell r="R305" t="str">
            <v>EUR</v>
          </cell>
          <cell r="S305" t="str">
            <v>HGB</v>
          </cell>
          <cell r="T305" t="str">
            <v>Annually</v>
          </cell>
          <cell r="U305" t="str">
            <v>Annually</v>
          </cell>
          <cell r="V305" t="str">
            <v>ImmoWertV</v>
          </cell>
          <cell r="W305" t="str">
            <v>KAGB</v>
          </cell>
          <cell r="X305" t="str">
            <v>KPMG</v>
          </cell>
          <cell r="Y305" t="str">
            <v>Publikumsfonds</v>
          </cell>
          <cell r="Z305" t="str">
            <v>No</v>
          </cell>
          <cell r="AC305" t="str">
            <v>Non-Listed Fund</v>
          </cell>
          <cell r="AD305" t="str">
            <v>Core</v>
          </cell>
          <cell r="AE305" t="str">
            <v>finite</v>
          </cell>
          <cell r="AF305" t="str">
            <v>Closed end</v>
          </cell>
          <cell r="AK305">
            <v>20</v>
          </cell>
          <cell r="AN305" t="str">
            <v>Retail</v>
          </cell>
          <cell r="AO305" t="str">
            <v>&gt; 2</v>
          </cell>
          <cell r="AP305" t="str">
            <v>&lt; 50%</v>
          </cell>
          <cell r="AQ305" t="str">
            <v>Europe</v>
          </cell>
          <cell r="AR305" t="str">
            <v>single country</v>
          </cell>
          <cell r="AT305" t="str">
            <v>Germany</v>
          </cell>
          <cell r="AU305" t="str">
            <v>single sector</v>
          </cell>
          <cell r="AV305" t="str">
            <v>Retail</v>
          </cell>
          <cell r="AY305">
            <v>1972</v>
          </cell>
          <cell r="BD305" t="str">
            <v>No</v>
          </cell>
          <cell r="BH305" t="str">
            <v>2018-12-31</v>
          </cell>
          <cell r="BI305">
            <v>13300000</v>
          </cell>
          <cell r="BJ305">
            <v>13300000</v>
          </cell>
          <cell r="BK305">
            <v>14409000</v>
          </cell>
          <cell r="BL305">
            <v>14409000</v>
          </cell>
          <cell r="BM305">
            <v>0</v>
          </cell>
          <cell r="BN305" t="str">
            <v>Yes</v>
          </cell>
          <cell r="BO305" t="str">
            <v>External</v>
          </cell>
          <cell r="BP305">
            <v>0</v>
          </cell>
          <cell r="BQ305">
            <v>1</v>
          </cell>
          <cell r="BS305">
            <v>0</v>
          </cell>
          <cell r="BV305" t="str">
            <v>No</v>
          </cell>
          <cell r="BW305" t="str">
            <v>Germany</v>
          </cell>
          <cell r="BX305" t="str">
            <v>Retail</v>
          </cell>
          <cell r="BY305">
            <v>100</v>
          </cell>
        </row>
        <row r="306">
          <cell r="A306">
            <v>297</v>
          </cell>
          <cell r="B306" t="str">
            <v>KAUPPAKESKUSKIINTEISTöT FEA KY</v>
          </cell>
          <cell r="C306" t="str">
            <v>ABERDEEN ASSET MANAGEMENT FINLAND OY</v>
          </cell>
          <cell r="D306" t="str">
            <v>Kaivokatu 8</v>
          </cell>
          <cell r="E306">
            <v>100</v>
          </cell>
          <cell r="F306" t="str">
            <v>Helsinki</v>
          </cell>
          <cell r="G306" t="str">
            <v>Finland</v>
          </cell>
          <cell r="H306" t="str">
            <v>+358 (0) 10 040 100</v>
          </cell>
          <cell r="I306" t="str">
            <v>+358 (0) 10 304 0513</v>
          </cell>
          <cell r="J306" t="str">
            <v>http://www.aberdeen-asset.com</v>
          </cell>
          <cell r="K306" t="str">
            <v>Ville Raitio</v>
          </cell>
          <cell r="L306" t="str">
            <v>ville.raitio@aberdeen-asset.com</v>
          </cell>
          <cell r="M306" t="str">
            <v>+358 (0) 10 304 0521</v>
          </cell>
          <cell r="N306" t="str">
            <v>Ville Raitio</v>
          </cell>
          <cell r="O306" t="str">
            <v>ville.raitio@aberdeen-asset.com</v>
          </cell>
          <cell r="P306" t="str">
            <v>+358 (0) 10 304 0521</v>
          </cell>
          <cell r="Q306" t="str">
            <v>Finland</v>
          </cell>
          <cell r="R306" t="str">
            <v>EUR</v>
          </cell>
          <cell r="S306" t="str">
            <v>IFRS</v>
          </cell>
          <cell r="T306" t="str">
            <v>Quarterly</v>
          </cell>
          <cell r="U306" t="str">
            <v>Annually</v>
          </cell>
          <cell r="V306" t="str">
            <v>RICS</v>
          </cell>
          <cell r="W306" t="str">
            <v>IFRS NAV</v>
          </cell>
          <cell r="X306" t="str">
            <v>Tuokko Oy</v>
          </cell>
          <cell r="Y306" t="str">
            <v>Ky</v>
          </cell>
          <cell r="Z306" t="str">
            <v>No</v>
          </cell>
          <cell r="AA306" t="str">
            <v>Yes</v>
          </cell>
          <cell r="AB306">
            <v>0</v>
          </cell>
          <cell r="AC306" t="str">
            <v>Non-Listed Fund</v>
          </cell>
          <cell r="AD306" t="str">
            <v>Core</v>
          </cell>
          <cell r="AE306" t="str">
            <v>infinite</v>
          </cell>
          <cell r="AF306" t="str">
            <v>Open end</v>
          </cell>
          <cell r="AG306">
            <v>10</v>
          </cell>
          <cell r="AH306">
            <v>10</v>
          </cell>
          <cell r="AI306" t="str">
            <v>Net</v>
          </cell>
          <cell r="AJ306" t="str">
            <v>None</v>
          </cell>
          <cell r="AK306">
            <v>5</v>
          </cell>
          <cell r="AL306">
            <v>60</v>
          </cell>
          <cell r="AM306" t="str">
            <v>&gt; 40% - ≤ 60%</v>
          </cell>
          <cell r="AN306" t="str">
            <v>Institutional</v>
          </cell>
          <cell r="AO306" t="str">
            <v>&gt; 2</v>
          </cell>
          <cell r="AP306" t="str">
            <v>≥ 50%</v>
          </cell>
          <cell r="AQ306" t="str">
            <v>Europe</v>
          </cell>
          <cell r="AR306" t="str">
            <v>single country</v>
          </cell>
          <cell r="AT306" t="str">
            <v>Finland</v>
          </cell>
          <cell r="AU306" t="str">
            <v>single sector</v>
          </cell>
          <cell r="AV306" t="str">
            <v>Retail</v>
          </cell>
          <cell r="AW306">
            <v>120000000</v>
          </cell>
          <cell r="AX306">
            <v>300000000</v>
          </cell>
          <cell r="AY306">
            <v>2006</v>
          </cell>
          <cell r="BE306" t="str">
            <v>≥ 60%</v>
          </cell>
          <cell r="BF306" t="str">
            <v>≤ 15%</v>
          </cell>
          <cell r="BG306" t="str">
            <v>≤ 5%</v>
          </cell>
          <cell r="BH306" t="str">
            <v>2017-12-31</v>
          </cell>
          <cell r="BI306">
            <v>151900000</v>
          </cell>
          <cell r="BJ306">
            <v>151900000</v>
          </cell>
          <cell r="BK306">
            <v>80800000</v>
          </cell>
          <cell r="BL306">
            <v>80800000</v>
          </cell>
          <cell r="BM306">
            <v>47.2</v>
          </cell>
          <cell r="BN306" t="str">
            <v>Yes</v>
          </cell>
          <cell r="BO306" t="str">
            <v>External</v>
          </cell>
          <cell r="BP306">
            <v>2</v>
          </cell>
          <cell r="BQ306">
            <v>8</v>
          </cell>
          <cell r="BR306">
            <v>120000000</v>
          </cell>
          <cell r="BS306">
            <v>120000000</v>
          </cell>
          <cell r="BT306">
            <v>105773064</v>
          </cell>
          <cell r="BU306">
            <v>105773064</v>
          </cell>
          <cell r="BW306" t="str">
            <v>Finland</v>
          </cell>
          <cell r="BX306" t="str">
            <v>Retail</v>
          </cell>
          <cell r="BY306">
            <v>93</v>
          </cell>
          <cell r="BZ306" t="str">
            <v>Finland</v>
          </cell>
          <cell r="CA306" t="str">
            <v>Industrial / Logistics</v>
          </cell>
          <cell r="CB306">
            <v>5</v>
          </cell>
        </row>
        <row r="307">
          <cell r="A307">
            <v>18446</v>
          </cell>
          <cell r="B307" t="str">
            <v>KCD-CATELLA NACHHALTIGKEIT IMMOBILIEN DEUTSCHLAND</v>
          </cell>
          <cell r="C307" t="str">
            <v>CATELLA REAL ESTATE AG</v>
          </cell>
          <cell r="G307" t="str">
            <v>Germany</v>
          </cell>
          <cell r="N307" t="str">
            <v xml:space="preserve">Leopold Stengl </v>
          </cell>
          <cell r="O307" t="str">
            <v>leopold.stengl@catella-investment.com</v>
          </cell>
          <cell r="Q307" t="str">
            <v>Germany</v>
          </cell>
          <cell r="R307" t="str">
            <v>EUR</v>
          </cell>
          <cell r="S307" t="str">
            <v>Local GAAP</v>
          </cell>
          <cell r="T307" t="str">
            <v>Monthly</v>
          </cell>
          <cell r="U307" t="str">
            <v>Quarterly</v>
          </cell>
          <cell r="V307" t="str">
            <v>ImmoWertV</v>
          </cell>
          <cell r="W307" t="str">
            <v>BVI</v>
          </cell>
          <cell r="Y307" t="str">
            <v>Publikumsfonds</v>
          </cell>
          <cell r="Z307" t="str">
            <v>No</v>
          </cell>
          <cell r="AC307" t="str">
            <v>Non-Listed Fund</v>
          </cell>
          <cell r="AD307" t="str">
            <v>Core</v>
          </cell>
          <cell r="AE307" t="str">
            <v>infinite</v>
          </cell>
          <cell r="AF307" t="str">
            <v>Open end</v>
          </cell>
          <cell r="AJ307">
            <v>3</v>
          </cell>
          <cell r="AK307">
            <v>4</v>
          </cell>
          <cell r="AN307" t="str">
            <v>Retail</v>
          </cell>
          <cell r="AO307" t="str">
            <v>&gt; 2</v>
          </cell>
          <cell r="AP307" t="str">
            <v>&lt; 50%</v>
          </cell>
          <cell r="AQ307" t="str">
            <v>Europe</v>
          </cell>
          <cell r="AR307" t="str">
            <v>single country</v>
          </cell>
          <cell r="AT307" t="str">
            <v>Germany</v>
          </cell>
          <cell r="AU307" t="str">
            <v>multi sector</v>
          </cell>
          <cell r="AY307">
            <v>2017</v>
          </cell>
          <cell r="BH307" t="str">
            <v>2020-12-31</v>
          </cell>
          <cell r="BI307">
            <v>227153278</v>
          </cell>
          <cell r="BJ307">
            <v>227153278</v>
          </cell>
          <cell r="BK307">
            <v>182062823</v>
          </cell>
          <cell r="BL307">
            <v>182062823</v>
          </cell>
          <cell r="BM307">
            <v>27.7</v>
          </cell>
          <cell r="BN307" t="str">
            <v>No</v>
          </cell>
          <cell r="BO307" t="str">
            <v>Internal</v>
          </cell>
          <cell r="BP307">
            <v>5</v>
          </cell>
          <cell r="BQ307">
            <v>8</v>
          </cell>
          <cell r="BR307">
            <v>0</v>
          </cell>
          <cell r="BS307">
            <v>0</v>
          </cell>
          <cell r="BT307">
            <v>0</v>
          </cell>
          <cell r="BV307" t="str">
            <v>No</v>
          </cell>
          <cell r="BW307" t="str">
            <v>Germany</v>
          </cell>
          <cell r="BX307" t="str">
            <v>Health Care</v>
          </cell>
          <cell r="BY307">
            <v>9</v>
          </cell>
          <cell r="BZ307" t="str">
            <v>Germany</v>
          </cell>
          <cell r="CA307" t="str">
            <v>Other</v>
          </cell>
          <cell r="CB307">
            <v>15</v>
          </cell>
          <cell r="CC307" t="str">
            <v>Germany</v>
          </cell>
          <cell r="CD307" t="str">
            <v>Residential</v>
          </cell>
          <cell r="CE307">
            <v>10</v>
          </cell>
          <cell r="CF307" t="str">
            <v>Germany</v>
          </cell>
          <cell r="CG307" t="str">
            <v>Office</v>
          </cell>
          <cell r="CH307">
            <v>60</v>
          </cell>
        </row>
        <row r="308">
          <cell r="A308">
            <v>19656</v>
          </cell>
          <cell r="B308" t="str">
            <v>KGAL RESIDENTIAL CORE 3</v>
          </cell>
          <cell r="C308" t="str">
            <v>KGAL INVESTMENT MANAGEMENT</v>
          </cell>
          <cell r="D308" t="str">
            <v>Tölzer Straße 15</v>
          </cell>
          <cell r="E308" t="str">
            <v xml:space="preserve">82031 </v>
          </cell>
          <cell r="F308" t="str">
            <v>Grünwald</v>
          </cell>
          <cell r="G308" t="str">
            <v>Germany</v>
          </cell>
          <cell r="H308" t="str">
            <v>+498964143143</v>
          </cell>
          <cell r="J308" t="str">
            <v>www.kgal.de</v>
          </cell>
          <cell r="K308" t="str">
            <v>Karl Neumann-Henneberg</v>
          </cell>
          <cell r="L308" t="str">
            <v>karl.neumann-henneberg@kgal.de</v>
          </cell>
          <cell r="M308" t="str">
            <v>+498964143148</v>
          </cell>
          <cell r="N308" t="str">
            <v>Roland Gill</v>
          </cell>
          <cell r="O308" t="str">
            <v>roland.gill@kgal.de</v>
          </cell>
          <cell r="P308" t="str">
            <v>+498964143143</v>
          </cell>
          <cell r="Q308" t="str">
            <v>Germany</v>
          </cell>
          <cell r="R308" t="str">
            <v>EUR</v>
          </cell>
          <cell r="S308" t="str">
            <v xml:space="preserve">KAGB/KARBV </v>
          </cell>
          <cell r="T308" t="str">
            <v>Quarterly</v>
          </cell>
          <cell r="U308" t="str">
            <v>Annually</v>
          </cell>
          <cell r="V308" t="str">
            <v>HGB</v>
          </cell>
          <cell r="W308" t="str">
            <v>INREV NAV</v>
          </cell>
          <cell r="X308" t="str">
            <v>Ernst &amp; Young</v>
          </cell>
          <cell r="Y308" t="str">
            <v>Real Estate Fund</v>
          </cell>
          <cell r="Z308" t="str">
            <v>Yes</v>
          </cell>
          <cell r="AA308" t="str">
            <v>No</v>
          </cell>
          <cell r="AB308">
            <v>0</v>
          </cell>
          <cell r="AC308" t="str">
            <v>Non-Listed Fund</v>
          </cell>
          <cell r="AD308" t="str">
            <v>Core</v>
          </cell>
          <cell r="AE308" t="str">
            <v>finite</v>
          </cell>
          <cell r="AF308" t="str">
            <v>Closed end</v>
          </cell>
          <cell r="AG308">
            <v>4.5</v>
          </cell>
          <cell r="AH308">
            <v>5.5</v>
          </cell>
          <cell r="AI308" t="str">
            <v>Net</v>
          </cell>
          <cell r="AK308">
            <v>3.5</v>
          </cell>
          <cell r="AM308" t="str">
            <v>&gt; 40% - ≤ 60%</v>
          </cell>
          <cell r="AN308" t="str">
            <v>Institutional</v>
          </cell>
          <cell r="AO308" t="str">
            <v>&gt; 2</v>
          </cell>
          <cell r="AP308" t="str">
            <v>≥ 50%</v>
          </cell>
          <cell r="AQ308" t="str">
            <v>Europe</v>
          </cell>
          <cell r="AR308" t="str">
            <v>single country</v>
          </cell>
          <cell r="AT308" t="str">
            <v>Germany</v>
          </cell>
          <cell r="AU308" t="str">
            <v>single sector</v>
          </cell>
          <cell r="AV308" t="str">
            <v>Residential</v>
          </cell>
          <cell r="AW308">
            <v>400000000</v>
          </cell>
          <cell r="AX308">
            <v>800000000</v>
          </cell>
          <cell r="AY308">
            <v>2021</v>
          </cell>
          <cell r="AZ308">
            <v>2038</v>
          </cell>
          <cell r="BA308" t="str">
            <v>No</v>
          </cell>
          <cell r="BD308" t="str">
            <v>No</v>
          </cell>
          <cell r="BE308" t="str">
            <v>≥ 60%</v>
          </cell>
          <cell r="BF308" t="str">
            <v>≤ 15%</v>
          </cell>
          <cell r="BG308" t="str">
            <v>≤ 5%</v>
          </cell>
        </row>
        <row r="309">
          <cell r="A309">
            <v>19360</v>
          </cell>
          <cell r="B309" t="str">
            <v>KGAL WALKABILITY FUND 1</v>
          </cell>
          <cell r="C309" t="str">
            <v>KGAL INVESTMENT MANAGEMENT</v>
          </cell>
          <cell r="D309" t="str">
            <v>Tölzer Strasse 15</v>
          </cell>
          <cell r="E309">
            <v>82031</v>
          </cell>
          <cell r="F309" t="str">
            <v>Grünwald</v>
          </cell>
          <cell r="G309" t="str">
            <v>Germany</v>
          </cell>
          <cell r="H309" t="str">
            <v>+498964143143</v>
          </cell>
          <cell r="J309" t="str">
            <v>https://www.kgal.de/</v>
          </cell>
          <cell r="K309" t="str">
            <v>Helge Vahlenkamp</v>
          </cell>
          <cell r="L309" t="str">
            <v>helge.vahlenkamp@kgal.de</v>
          </cell>
          <cell r="M309" t="str">
            <v>+498964143416</v>
          </cell>
          <cell r="N309" t="str">
            <v>Roland Gill</v>
          </cell>
          <cell r="O309" t="str">
            <v>roland.gill@kgal.de</v>
          </cell>
          <cell r="P309" t="str">
            <v>+498964143143</v>
          </cell>
          <cell r="Q309" t="str">
            <v>Luxembourg</v>
          </cell>
          <cell r="R309" t="str">
            <v>EUR</v>
          </cell>
          <cell r="S309" t="str">
            <v>Local GAAP</v>
          </cell>
          <cell r="T309" t="str">
            <v>Quarterly</v>
          </cell>
          <cell r="U309" t="str">
            <v>Annually</v>
          </cell>
          <cell r="V309" t="str">
            <v>Other - mark to market</v>
          </cell>
          <cell r="W309" t="str">
            <v>INREV NAV</v>
          </cell>
          <cell r="X309" t="str">
            <v>Ernst &amp; Young S.A.</v>
          </cell>
          <cell r="Y309" t="str">
            <v>SICAV</v>
          </cell>
          <cell r="Z309" t="str">
            <v>Yes</v>
          </cell>
          <cell r="AA309" t="str">
            <v>Yes</v>
          </cell>
          <cell r="AC309" t="str">
            <v>Non-Listed Fund</v>
          </cell>
          <cell r="AD309" t="str">
            <v>Core</v>
          </cell>
          <cell r="AE309" t="str">
            <v>finite</v>
          </cell>
          <cell r="AF309" t="str">
            <v>Closed end</v>
          </cell>
          <cell r="AG309">
            <v>6.5</v>
          </cell>
          <cell r="AH309">
            <v>7</v>
          </cell>
          <cell r="AI309" t="str">
            <v>Net</v>
          </cell>
          <cell r="AK309">
            <v>4.5</v>
          </cell>
          <cell r="AL309">
            <v>40</v>
          </cell>
          <cell r="AM309" t="str">
            <v>≤ 40%</v>
          </cell>
          <cell r="AN309" t="str">
            <v>Institutional</v>
          </cell>
          <cell r="AO309" t="str">
            <v>&gt; 2</v>
          </cell>
          <cell r="AP309" t="str">
            <v>≥ 50%</v>
          </cell>
          <cell r="AQ309" t="str">
            <v>Europe</v>
          </cell>
          <cell r="AR309" t="str">
            <v>multi country</v>
          </cell>
          <cell r="AS309" t="str">
            <v>Europe</v>
          </cell>
          <cell r="AU309" t="str">
            <v>multi sector</v>
          </cell>
          <cell r="AW309">
            <v>400000000</v>
          </cell>
          <cell r="AX309">
            <v>670000000</v>
          </cell>
          <cell r="AY309">
            <v>2018</v>
          </cell>
          <cell r="AZ309">
            <v>2035</v>
          </cell>
          <cell r="BA309" t="str">
            <v>Yes</v>
          </cell>
          <cell r="BB309" t="str">
            <v>Yes</v>
          </cell>
          <cell r="BC309" t="str">
            <v>5 years fixed</v>
          </cell>
          <cell r="BD309" t="str">
            <v>No</v>
          </cell>
          <cell r="BE309" t="str">
            <v>≥ 60%</v>
          </cell>
          <cell r="BF309" t="str">
            <v>&gt; 40%</v>
          </cell>
          <cell r="BG309" t="str">
            <v>≤ 5%</v>
          </cell>
          <cell r="BH309" t="str">
            <v>2020-12-31</v>
          </cell>
          <cell r="BI309">
            <v>192000000</v>
          </cell>
          <cell r="BJ309">
            <v>192000000</v>
          </cell>
          <cell r="BK309">
            <v>107000000</v>
          </cell>
          <cell r="BL309">
            <v>107000000</v>
          </cell>
          <cell r="BM309">
            <v>42</v>
          </cell>
          <cell r="BN309" t="str">
            <v>No</v>
          </cell>
          <cell r="BO309" t="str">
            <v>External</v>
          </cell>
          <cell r="BP309">
            <v>1</v>
          </cell>
          <cell r="BQ309">
            <v>4</v>
          </cell>
          <cell r="BR309">
            <v>100000000</v>
          </cell>
          <cell r="BS309">
            <v>100000000</v>
          </cell>
          <cell r="BT309">
            <v>92300000</v>
          </cell>
          <cell r="BU309">
            <v>92300000</v>
          </cell>
          <cell r="BW309" t="str">
            <v>Germany</v>
          </cell>
          <cell r="BX309" t="str">
            <v>Office</v>
          </cell>
          <cell r="BY309">
            <v>66.2</v>
          </cell>
          <cell r="BZ309" t="str">
            <v>Germany</v>
          </cell>
          <cell r="CA309" t="str">
            <v>Retail</v>
          </cell>
          <cell r="CB309">
            <v>25.5</v>
          </cell>
          <cell r="CC309" t="str">
            <v>Germany</v>
          </cell>
          <cell r="CD309" t="str">
            <v>Other</v>
          </cell>
          <cell r="CE309">
            <v>8.3000000000000007</v>
          </cell>
        </row>
        <row r="310">
          <cell r="A310">
            <v>298</v>
          </cell>
          <cell r="B310" t="str">
            <v>KRISTENSEN PARTNERS I</v>
          </cell>
          <cell r="C310" t="str">
            <v>KRISTENSEN PROPERTIES A/S</v>
          </cell>
          <cell r="D310" t="str">
            <v>Vesterbro 18</v>
          </cell>
          <cell r="E310">
            <v>9000</v>
          </cell>
          <cell r="F310" t="str">
            <v>Aalborg</v>
          </cell>
          <cell r="G310" t="str">
            <v>Denmark</v>
          </cell>
          <cell r="H310" t="str">
            <v>+45 70 22 88 80</v>
          </cell>
          <cell r="I310" t="str">
            <v>+45 70 22 88 81</v>
          </cell>
          <cell r="J310" t="str">
            <v>http://www.kristensenproperties.com</v>
          </cell>
          <cell r="K310" t="str">
            <v>Anders Holm-Pedersen</v>
          </cell>
          <cell r="L310" t="str">
            <v>ahp@kristensenproperties.com</v>
          </cell>
          <cell r="M310" t="str">
            <v>+45 70 22 88 80</v>
          </cell>
          <cell r="N310" t="str">
            <v>Anders Holm-Pedersen</v>
          </cell>
          <cell r="O310" t="str">
            <v>ahp@kristensenproperties.com</v>
          </cell>
          <cell r="P310" t="str">
            <v>+45 70 22 88 81</v>
          </cell>
          <cell r="Q310" t="str">
            <v>Denmark</v>
          </cell>
          <cell r="R310" t="str">
            <v>DKK</v>
          </cell>
          <cell r="S310" t="str">
            <v>IFRS</v>
          </cell>
          <cell r="T310" t="str">
            <v>Quarterly</v>
          </cell>
          <cell r="U310" t="str">
            <v>Annually</v>
          </cell>
          <cell r="X310" t="str">
            <v>PriceWaterhouseCoopers</v>
          </cell>
          <cell r="Y310" t="str">
            <v>Limited Partnership</v>
          </cell>
          <cell r="Z310" t="str">
            <v>No</v>
          </cell>
          <cell r="AA310" t="str">
            <v>No</v>
          </cell>
          <cell r="AB310">
            <v>0</v>
          </cell>
          <cell r="AC310" t="str">
            <v>Non-Listed Fund</v>
          </cell>
          <cell r="AD310" t="str">
            <v>Value-added</v>
          </cell>
          <cell r="AE310" t="str">
            <v>finite</v>
          </cell>
          <cell r="AF310" t="str">
            <v>Closed end</v>
          </cell>
          <cell r="AG310">
            <v>10</v>
          </cell>
          <cell r="AH310">
            <v>15</v>
          </cell>
          <cell r="AJ310" t="str">
            <v>IRR</v>
          </cell>
          <cell r="AK310">
            <v>5</v>
          </cell>
          <cell r="AL310">
            <v>75</v>
          </cell>
          <cell r="AM310" t="str">
            <v>&gt; 60%</v>
          </cell>
          <cell r="AN310" t="str">
            <v>Institutional</v>
          </cell>
          <cell r="AO310" t="str">
            <v>&gt; 2</v>
          </cell>
          <cell r="AP310" t="str">
            <v>≥ 50%</v>
          </cell>
          <cell r="AQ310" t="str">
            <v>Europe</v>
          </cell>
          <cell r="AR310" t="str">
            <v>single country</v>
          </cell>
          <cell r="AT310" t="str">
            <v>Germany</v>
          </cell>
          <cell r="AU310" t="str">
            <v>single sector</v>
          </cell>
          <cell r="AV310" t="str">
            <v>Office</v>
          </cell>
          <cell r="AW310">
            <v>540150000</v>
          </cell>
          <cell r="AX310">
            <v>1800370000</v>
          </cell>
          <cell r="AY310">
            <v>2006</v>
          </cell>
          <cell r="AZ310">
            <v>2012</v>
          </cell>
          <cell r="BA310" t="str">
            <v>Yes</v>
          </cell>
          <cell r="BB310" t="str">
            <v>No</v>
          </cell>
          <cell r="BH310" t="str">
            <v>2009-12-31</v>
          </cell>
          <cell r="BI310">
            <v>1622000000</v>
          </cell>
          <cell r="BJ310">
            <v>217996800</v>
          </cell>
          <cell r="BK310">
            <v>534000000</v>
          </cell>
          <cell r="BL310">
            <v>71769600</v>
          </cell>
          <cell r="BM310">
            <v>67</v>
          </cell>
          <cell r="BN310" t="str">
            <v>Yes</v>
          </cell>
          <cell r="BS310">
            <v>0</v>
          </cell>
        </row>
        <row r="311">
          <cell r="A311">
            <v>300</v>
          </cell>
          <cell r="B311" t="str">
            <v>KRISTENSEN PARTNERS III A/S</v>
          </cell>
          <cell r="C311" t="str">
            <v>KRISTENSEN PROPERTIES A/S</v>
          </cell>
          <cell r="D311" t="str">
            <v>Vesterbri 18</v>
          </cell>
          <cell r="E311">
            <v>9000</v>
          </cell>
          <cell r="F311" t="str">
            <v>Aalborg</v>
          </cell>
          <cell r="G311" t="str">
            <v>Denmark</v>
          </cell>
          <cell r="H311" t="str">
            <v>+45 70 22 88 80</v>
          </cell>
          <cell r="I311" t="str">
            <v>+45 70 22 88 81</v>
          </cell>
          <cell r="J311" t="str">
            <v>http://www.kristensenproperties.com</v>
          </cell>
          <cell r="K311" t="str">
            <v>Anders Holm-Pedersen</v>
          </cell>
          <cell r="L311" t="str">
            <v>ahp@kristensenproperties.com</v>
          </cell>
          <cell r="M311" t="str">
            <v>+45 70 22 88 80</v>
          </cell>
          <cell r="N311" t="str">
            <v>Anders Holm-Pedersen</v>
          </cell>
          <cell r="O311" t="str">
            <v>ahp@kristensenproperties.com</v>
          </cell>
          <cell r="P311" t="str">
            <v>+45 70 22 88 81</v>
          </cell>
          <cell r="Q311" t="str">
            <v>Denmark</v>
          </cell>
          <cell r="R311" t="str">
            <v>DKK</v>
          </cell>
          <cell r="S311" t="str">
            <v>IFRS</v>
          </cell>
          <cell r="T311" t="str">
            <v>Quarterly</v>
          </cell>
          <cell r="U311" t="str">
            <v>Annually</v>
          </cell>
          <cell r="X311" t="str">
            <v>PriceWaterhouseCoopers</v>
          </cell>
          <cell r="Y311" t="str">
            <v>A/S</v>
          </cell>
          <cell r="Z311" t="str">
            <v>No</v>
          </cell>
          <cell r="AA311" t="str">
            <v>Yes</v>
          </cell>
          <cell r="AB311">
            <v>5</v>
          </cell>
          <cell r="AC311" t="str">
            <v>Non-Listed Fund</v>
          </cell>
          <cell r="AD311" t="str">
            <v>Value-added</v>
          </cell>
          <cell r="AE311" t="str">
            <v>infinite</v>
          </cell>
          <cell r="AF311" t="str">
            <v>Closed end</v>
          </cell>
          <cell r="AG311">
            <v>10</v>
          </cell>
          <cell r="AH311">
            <v>15</v>
          </cell>
          <cell r="AI311" t="str">
            <v>Net</v>
          </cell>
          <cell r="AJ311" t="str">
            <v>None</v>
          </cell>
          <cell r="AK311">
            <v>5</v>
          </cell>
          <cell r="AL311">
            <v>75</v>
          </cell>
          <cell r="AM311" t="str">
            <v>&gt; 60%</v>
          </cell>
          <cell r="AN311" t="str">
            <v>Institutional and Retail</v>
          </cell>
          <cell r="AO311" t="str">
            <v>&gt; 2</v>
          </cell>
          <cell r="AP311" t="str">
            <v>&lt; 50%</v>
          </cell>
          <cell r="AQ311" t="str">
            <v>Europe</v>
          </cell>
          <cell r="AR311" t="str">
            <v>single country</v>
          </cell>
          <cell r="AT311" t="str">
            <v>Germany</v>
          </cell>
          <cell r="AU311" t="str">
            <v>single sector</v>
          </cell>
          <cell r="AV311" t="str">
            <v>Retail</v>
          </cell>
          <cell r="AW311">
            <v>225000000</v>
          </cell>
          <cell r="AX311">
            <v>750000000</v>
          </cell>
          <cell r="AY311">
            <v>2008</v>
          </cell>
          <cell r="BA311" t="str">
            <v>Yes</v>
          </cell>
          <cell r="BB311" t="str">
            <v>No</v>
          </cell>
          <cell r="BH311" t="str">
            <v>2009-12-31</v>
          </cell>
          <cell r="BI311">
            <v>405711000</v>
          </cell>
          <cell r="BJ311">
            <v>54527558.399999999</v>
          </cell>
          <cell r="BK311">
            <v>178450000</v>
          </cell>
          <cell r="BL311">
            <v>23983680</v>
          </cell>
          <cell r="BM311">
            <v>56</v>
          </cell>
          <cell r="BN311" t="str">
            <v>Yes</v>
          </cell>
          <cell r="BS311">
            <v>0</v>
          </cell>
        </row>
        <row r="312">
          <cell r="A312">
            <v>301</v>
          </cell>
          <cell r="B312" t="str">
            <v>KVMS-DOMUS-FONDS</v>
          </cell>
          <cell r="C312" t="str">
            <v>DEKA IMMOBILIEN INVESTMENT</v>
          </cell>
          <cell r="D312" t="str">
            <v>Taunusanlage 1</v>
          </cell>
          <cell r="E312">
            <v>60329</v>
          </cell>
          <cell r="F312" t="str">
            <v>Frankfurt</v>
          </cell>
          <cell r="G312" t="str">
            <v>Germany</v>
          </cell>
          <cell r="H312" t="str">
            <v>+49 (0) 69 7147 0</v>
          </cell>
          <cell r="I312" t="str">
            <v>+49 (0) 69 7147 3114</v>
          </cell>
          <cell r="J312" t="str">
            <v>http://www.deka-immobilien.de</v>
          </cell>
          <cell r="K312" t="str">
            <v>Carsten Jöckel</v>
          </cell>
          <cell r="L312" t="str">
            <v>carsten.joeckel@deka.de</v>
          </cell>
          <cell r="M312" t="str">
            <v>+49 (0) 69 7147 7539</v>
          </cell>
          <cell r="N312" t="str">
            <v>Michaela Graefe</v>
          </cell>
          <cell r="O312" t="str">
            <v>michaela.graefe@deka.de</v>
          </cell>
          <cell r="P312" t="str">
            <v>+49 (0) 69 7147 35 04</v>
          </cell>
          <cell r="Q312" t="str">
            <v>Germany</v>
          </cell>
          <cell r="R312" t="str">
            <v>EUR</v>
          </cell>
          <cell r="S312" t="str">
            <v>German HGB</v>
          </cell>
          <cell r="T312" t="str">
            <v>Annually</v>
          </cell>
          <cell r="U312" t="str">
            <v>Annually</v>
          </cell>
          <cell r="V312" t="str">
            <v>ImmoWertV</v>
          </cell>
          <cell r="X312" t="str">
            <v>KPMG</v>
          </cell>
          <cell r="Y312" t="str">
            <v>Spezialfonds</v>
          </cell>
          <cell r="Z312" t="str">
            <v>No</v>
          </cell>
          <cell r="AA312" t="str">
            <v>Yes</v>
          </cell>
          <cell r="AB312">
            <v>4</v>
          </cell>
          <cell r="AC312" t="str">
            <v>Non-Listed Fund</v>
          </cell>
          <cell r="AD312" t="str">
            <v>Core</v>
          </cell>
          <cell r="AE312" t="str">
            <v>infinite</v>
          </cell>
          <cell r="AF312" t="str">
            <v>Open end</v>
          </cell>
          <cell r="AG312">
            <v>5</v>
          </cell>
          <cell r="AH312">
            <v>6.5</v>
          </cell>
          <cell r="AI312" t="str">
            <v>Net</v>
          </cell>
          <cell r="AJ312" t="str">
            <v>BVI Open Real Estate</v>
          </cell>
          <cell r="AK312">
            <v>5.5</v>
          </cell>
          <cell r="AL312">
            <v>50</v>
          </cell>
          <cell r="AM312" t="str">
            <v>&gt; 40% - ≤ 60%</v>
          </cell>
          <cell r="AN312" t="str">
            <v>Institutional</v>
          </cell>
          <cell r="AO312" t="str">
            <v>&gt; 2</v>
          </cell>
          <cell r="AP312" t="str">
            <v>≥ 50%</v>
          </cell>
          <cell r="AQ312" t="str">
            <v>Europe</v>
          </cell>
          <cell r="AR312" t="str">
            <v>single country</v>
          </cell>
          <cell r="AT312" t="str">
            <v>Germany</v>
          </cell>
          <cell r="AU312" t="str">
            <v>multi sector</v>
          </cell>
          <cell r="AW312">
            <v>150000000</v>
          </cell>
          <cell r="AX312">
            <v>300000000</v>
          </cell>
          <cell r="AY312">
            <v>2004</v>
          </cell>
          <cell r="BB312" t="str">
            <v>No</v>
          </cell>
          <cell r="BH312" t="str">
            <v>2020-12-31</v>
          </cell>
          <cell r="BI312">
            <v>519565963</v>
          </cell>
          <cell r="BJ312">
            <v>519565963</v>
          </cell>
          <cell r="BK312">
            <v>326547041</v>
          </cell>
          <cell r="BL312">
            <v>326547041</v>
          </cell>
          <cell r="BM312">
            <v>38.1</v>
          </cell>
          <cell r="BN312" t="str">
            <v>No</v>
          </cell>
          <cell r="BO312" t="str">
            <v>External</v>
          </cell>
          <cell r="BP312">
            <v>2</v>
          </cell>
          <cell r="BQ312">
            <v>20</v>
          </cell>
          <cell r="BR312">
            <v>269337927</v>
          </cell>
          <cell r="BS312">
            <v>269337927</v>
          </cell>
          <cell r="BT312">
            <v>269337927</v>
          </cell>
          <cell r="BU312">
            <v>269337927</v>
          </cell>
          <cell r="BV312" t="str">
            <v>No</v>
          </cell>
          <cell r="BW312" t="str">
            <v>Germany</v>
          </cell>
          <cell r="BX312" t="str">
            <v>Office</v>
          </cell>
          <cell r="BY312">
            <v>46.2</v>
          </cell>
          <cell r="BZ312" t="str">
            <v>Germany</v>
          </cell>
          <cell r="CA312" t="str">
            <v>Retail</v>
          </cell>
          <cell r="CB312">
            <v>17.100000000000001</v>
          </cell>
          <cell r="CC312" t="str">
            <v>Germany</v>
          </cell>
          <cell r="CD312" t="str">
            <v>Industrial / Logistics</v>
          </cell>
          <cell r="CE312">
            <v>5.2</v>
          </cell>
          <cell r="CF312" t="str">
            <v>Germany</v>
          </cell>
          <cell r="CG312" t="str">
            <v>Hotel</v>
          </cell>
          <cell r="CH312">
            <v>14.7</v>
          </cell>
          <cell r="CI312" t="str">
            <v>Germany</v>
          </cell>
          <cell r="CJ312" t="str">
            <v>Mixed</v>
          </cell>
          <cell r="CK312">
            <v>16.8</v>
          </cell>
        </row>
        <row r="313">
          <cell r="A313">
            <v>19630</v>
          </cell>
          <cell r="B313" t="str">
            <v>LA FRANçAISE IMMO SR</v>
          </cell>
          <cell r="C313" t="str">
            <v>LA FRANçAISE REM</v>
          </cell>
          <cell r="D313" t="str">
            <v>128 boulevard Raspail</v>
          </cell>
          <cell r="E313">
            <v>75006</v>
          </cell>
          <cell r="F313" t="str">
            <v>PARIS</v>
          </cell>
          <cell r="G313" t="str">
            <v>France</v>
          </cell>
          <cell r="J313" t="str">
            <v>https://www.la-francaise.com/</v>
          </cell>
          <cell r="Q313" t="str">
            <v>France</v>
          </cell>
          <cell r="R313" t="str">
            <v>EUR</v>
          </cell>
          <cell r="T313" t="str">
            <v>Quarterly</v>
          </cell>
          <cell r="U313" t="str">
            <v>Annually</v>
          </cell>
          <cell r="X313" t="str">
            <v>Deloitte &amp; Associés</v>
          </cell>
          <cell r="Y313" t="str">
            <v>Real Estate Fund</v>
          </cell>
          <cell r="Z313" t="str">
            <v>No</v>
          </cell>
          <cell r="AB313">
            <v>0</v>
          </cell>
          <cell r="AC313" t="str">
            <v>Non-Listed Fund</v>
          </cell>
          <cell r="AD313" t="str">
            <v>Core</v>
          </cell>
          <cell r="AE313" t="str">
            <v>finite</v>
          </cell>
          <cell r="AF313" t="str">
            <v>Closed end</v>
          </cell>
          <cell r="AK313">
            <v>6</v>
          </cell>
          <cell r="AM313" t="str">
            <v>&gt; 40% - ≤ 60%</v>
          </cell>
          <cell r="AN313" t="str">
            <v>Institutional</v>
          </cell>
          <cell r="AO313" t="str">
            <v>&gt; 2</v>
          </cell>
          <cell r="AP313" t="str">
            <v>≥ 50%</v>
          </cell>
          <cell r="AQ313" t="str">
            <v>Europe</v>
          </cell>
          <cell r="AR313" t="str">
            <v>single country</v>
          </cell>
          <cell r="AT313" t="str">
            <v>France</v>
          </cell>
          <cell r="AU313" t="str">
            <v>multi sector</v>
          </cell>
          <cell r="AW313">
            <v>200000000</v>
          </cell>
          <cell r="AY313">
            <v>2009</v>
          </cell>
          <cell r="AZ313">
            <v>2024</v>
          </cell>
          <cell r="BA313" t="str">
            <v>No</v>
          </cell>
          <cell r="BD313" t="str">
            <v>Yes</v>
          </cell>
        </row>
        <row r="314">
          <cell r="A314">
            <v>18378</v>
          </cell>
          <cell r="B314" t="str">
            <v>LASALLE E-REGI</v>
          </cell>
          <cell r="C314" t="str">
            <v>LASALLE INVESTMENT MANAGEMENT KAPITALVERWALTUNGSGESELLSCHAFT MBH</v>
          </cell>
          <cell r="D314" t="str">
            <v>Viktualienmarkt 8</v>
          </cell>
          <cell r="E314">
            <v>80993</v>
          </cell>
          <cell r="F314" t="str">
            <v>Munich</v>
          </cell>
          <cell r="G314" t="str">
            <v>Germany</v>
          </cell>
          <cell r="H314" t="str">
            <v>+49892111130</v>
          </cell>
          <cell r="J314" t="str">
            <v>http://www.lasalle.com/</v>
          </cell>
          <cell r="K314" t="str">
            <v>Uwe Rempis</v>
          </cell>
          <cell r="L314" t="str">
            <v>uwe.rempis@lasalle.com</v>
          </cell>
          <cell r="M314" t="str">
            <v>+498921111359</v>
          </cell>
          <cell r="N314" t="str">
            <v>Jan Novak</v>
          </cell>
          <cell r="O314" t="str">
            <v>jan.novak@lasalle.com</v>
          </cell>
          <cell r="P314" t="str">
            <v>+498921111343</v>
          </cell>
          <cell r="Q314" t="str">
            <v>Germany</v>
          </cell>
          <cell r="R314" t="str">
            <v>EUR</v>
          </cell>
          <cell r="S314" t="str">
            <v>KAGB</v>
          </cell>
          <cell r="T314" t="str">
            <v>Monthly</v>
          </cell>
          <cell r="U314" t="str">
            <v>Twice per year</v>
          </cell>
          <cell r="V314" t="str">
            <v>ImmoWertV</v>
          </cell>
          <cell r="W314" t="str">
            <v>German Investment Act NAV</v>
          </cell>
          <cell r="X314" t="str">
            <v xml:space="preserve">KPMG </v>
          </cell>
          <cell r="Y314" t="str">
            <v>Spezialfonds</v>
          </cell>
          <cell r="Z314" t="str">
            <v>No</v>
          </cell>
          <cell r="AC314" t="str">
            <v>Non-Listed Fund</v>
          </cell>
          <cell r="AD314" t="str">
            <v>Core</v>
          </cell>
          <cell r="AE314" t="str">
            <v>infinite</v>
          </cell>
          <cell r="AF314" t="str">
            <v>Open end</v>
          </cell>
          <cell r="AJ314" t="str">
            <v>MSCI S-FIX</v>
          </cell>
          <cell r="AK314">
            <v>4.5</v>
          </cell>
          <cell r="AL314">
            <v>40</v>
          </cell>
          <cell r="AM314" t="str">
            <v>≤ 40%</v>
          </cell>
          <cell r="AN314" t="str">
            <v>Institutional</v>
          </cell>
          <cell r="AO314" t="str">
            <v>&gt; 2</v>
          </cell>
          <cell r="AP314" t="str">
            <v>≥ 50%</v>
          </cell>
          <cell r="AQ314" t="str">
            <v>Europe</v>
          </cell>
          <cell r="AR314" t="str">
            <v>multi country</v>
          </cell>
          <cell r="AS314" t="str">
            <v>Europe</v>
          </cell>
          <cell r="AU314" t="str">
            <v>multi sector</v>
          </cell>
          <cell r="AY314">
            <v>2011</v>
          </cell>
          <cell r="BB314" t="str">
            <v>No</v>
          </cell>
          <cell r="BD314" t="str">
            <v>No</v>
          </cell>
          <cell r="BE314" t="str">
            <v>≥ 60%</v>
          </cell>
          <cell r="BF314" t="str">
            <v>≤ 15%</v>
          </cell>
          <cell r="BG314" t="str">
            <v>≤ 5%</v>
          </cell>
          <cell r="BH314" t="str">
            <v>2020-12-31</v>
          </cell>
          <cell r="BI314">
            <v>1202633075</v>
          </cell>
          <cell r="BJ314">
            <v>1202633075</v>
          </cell>
          <cell r="BK314">
            <v>847215888</v>
          </cell>
          <cell r="BL314">
            <v>847215888</v>
          </cell>
          <cell r="BM314">
            <v>31</v>
          </cell>
          <cell r="BN314" t="str">
            <v>No</v>
          </cell>
          <cell r="BO314" t="str">
            <v>External</v>
          </cell>
          <cell r="BP314">
            <v>26</v>
          </cell>
          <cell r="BQ314">
            <v>27</v>
          </cell>
          <cell r="BR314">
            <v>751766274</v>
          </cell>
          <cell r="BS314">
            <v>751766274</v>
          </cell>
          <cell r="BT314">
            <v>742139898</v>
          </cell>
          <cell r="BU314">
            <v>742139898</v>
          </cell>
          <cell r="BV314" t="str">
            <v>Yes</v>
          </cell>
          <cell r="BW314" t="str">
            <v>Czech Republic</v>
          </cell>
          <cell r="BX314" t="str">
            <v>Retail</v>
          </cell>
          <cell r="BY314">
            <v>1.3</v>
          </cell>
          <cell r="BZ314" t="str">
            <v>Czech Republic</v>
          </cell>
          <cell r="CA314" t="str">
            <v>Office</v>
          </cell>
          <cell r="CB314">
            <v>4.0999999999999996</v>
          </cell>
          <cell r="CC314" t="str">
            <v>Spain</v>
          </cell>
          <cell r="CD314" t="str">
            <v>Industrial / Logistics</v>
          </cell>
          <cell r="CE314">
            <v>1.8</v>
          </cell>
          <cell r="CF314" t="str">
            <v>Poland</v>
          </cell>
          <cell r="CG314" t="str">
            <v>Industrial / Logistics</v>
          </cell>
          <cell r="CH314">
            <v>2.5</v>
          </cell>
          <cell r="CI314" t="str">
            <v>Netherlands</v>
          </cell>
          <cell r="CJ314" t="str">
            <v>Retail</v>
          </cell>
          <cell r="CK314">
            <v>2</v>
          </cell>
          <cell r="CL314" t="str">
            <v>Netherlands</v>
          </cell>
          <cell r="CM314" t="str">
            <v>Office</v>
          </cell>
          <cell r="CN314">
            <v>5.9</v>
          </cell>
          <cell r="CO314" t="str">
            <v>United Kingdom</v>
          </cell>
          <cell r="CP314" t="str">
            <v>Hotel</v>
          </cell>
          <cell r="CQ314">
            <v>3.4</v>
          </cell>
          <cell r="CR314" t="str">
            <v>France</v>
          </cell>
          <cell r="CS314" t="str">
            <v>Hotel</v>
          </cell>
          <cell r="CT314">
            <v>2.2000000000000002</v>
          </cell>
          <cell r="CU314" t="str">
            <v>France</v>
          </cell>
          <cell r="CV314" t="str">
            <v>Retail</v>
          </cell>
          <cell r="CW314">
            <v>4</v>
          </cell>
          <cell r="CX314" t="str">
            <v>France</v>
          </cell>
          <cell r="CY314" t="str">
            <v>Office</v>
          </cell>
          <cell r="CZ314">
            <v>8.3000000000000007</v>
          </cell>
          <cell r="DA314" t="str">
            <v>Finland</v>
          </cell>
          <cell r="DB314" t="str">
            <v>Office</v>
          </cell>
          <cell r="DC314">
            <v>4</v>
          </cell>
          <cell r="DD314" t="str">
            <v>Germany</v>
          </cell>
          <cell r="DE314" t="str">
            <v>Hotel</v>
          </cell>
          <cell r="DF314">
            <v>0.8</v>
          </cell>
          <cell r="DG314" t="str">
            <v>Germany</v>
          </cell>
          <cell r="DH314" t="str">
            <v>Industrial / Logistics</v>
          </cell>
          <cell r="DI314">
            <v>6.8</v>
          </cell>
          <cell r="DJ314" t="str">
            <v>Germany</v>
          </cell>
          <cell r="DK314" t="str">
            <v>Retail</v>
          </cell>
          <cell r="DL314">
            <v>2</v>
          </cell>
          <cell r="DM314" t="str">
            <v>Germany</v>
          </cell>
          <cell r="DN314" t="str">
            <v>Office</v>
          </cell>
          <cell r="DO314">
            <v>48.3</v>
          </cell>
        </row>
        <row r="315">
          <cell r="A315">
            <v>310</v>
          </cell>
          <cell r="B315" t="str">
            <v>LEGAL &amp; GENERAL ASSURANCE (PENSIONS MANAGEMENT) LTD INDEX</v>
          </cell>
          <cell r="C315" t="str">
            <v>LEGAL &amp; GENERAL PROPERTY LTD</v>
          </cell>
          <cell r="D315" t="str">
            <v>One Coleman Street</v>
          </cell>
          <cell r="E315" t="str">
            <v>EC2R 5AA</v>
          </cell>
          <cell r="F315" t="str">
            <v>London</v>
          </cell>
          <cell r="G315" t="str">
            <v>United Kingdom</v>
          </cell>
          <cell r="H315" t="str">
            <v>+44 (0) 20 3124 2770</v>
          </cell>
          <cell r="I315" t="str">
            <v>+44 (0) 20 3124 2542</v>
          </cell>
          <cell r="J315" t="str">
            <v>http://www.lgim.co.uk</v>
          </cell>
          <cell r="K315" t="str">
            <v>Mark Russell</v>
          </cell>
          <cell r="N315" t="str">
            <v>Callum Fraser</v>
          </cell>
          <cell r="O315" t="str">
            <v>callum.fraser@lgim.com</v>
          </cell>
          <cell r="P315" t="str">
            <v>+44 (0) 20 3124 2542</v>
          </cell>
          <cell r="Q315" t="str">
            <v>United Kingdom</v>
          </cell>
          <cell r="R315" t="str">
            <v>GBP</v>
          </cell>
          <cell r="S315" t="str">
            <v>Local GAAP</v>
          </cell>
          <cell r="T315" t="str">
            <v>Quarterly</v>
          </cell>
          <cell r="U315" t="str">
            <v>Monthly</v>
          </cell>
          <cell r="V315" t="str">
            <v>RICS</v>
          </cell>
          <cell r="W315" t="str">
            <v>IFRS NAV</v>
          </cell>
          <cell r="X315" t="str">
            <v>PriceWaterhouseCoopers</v>
          </cell>
          <cell r="Y315" t="str">
            <v>Managed Fund</v>
          </cell>
          <cell r="Z315" t="str">
            <v>No</v>
          </cell>
          <cell r="AA315" t="str">
            <v>Yes</v>
          </cell>
          <cell r="AB315">
            <v>0</v>
          </cell>
          <cell r="AC315" t="str">
            <v>Non-Listed Fund</v>
          </cell>
          <cell r="AD315" t="str">
            <v>Core</v>
          </cell>
          <cell r="AE315" t="str">
            <v>infinite</v>
          </cell>
          <cell r="AF315" t="str">
            <v>Open end</v>
          </cell>
          <cell r="AJ315" t="str">
            <v>Russell/Mellon CAPS Pooled Property Fund Median</v>
          </cell>
          <cell r="AN315" t="str">
            <v>Institutional</v>
          </cell>
          <cell r="AO315" t="str">
            <v>&gt; 2</v>
          </cell>
          <cell r="AP315" t="str">
            <v>≥ 50%</v>
          </cell>
          <cell r="AQ315" t="str">
            <v>Europe</v>
          </cell>
          <cell r="AR315" t="str">
            <v>single country</v>
          </cell>
          <cell r="AT315" t="str">
            <v>United Kingdom</v>
          </cell>
          <cell r="AU315" t="str">
            <v>multi sector</v>
          </cell>
          <cell r="AY315">
            <v>1990</v>
          </cell>
          <cell r="BH315" t="str">
            <v>2020-12-31</v>
          </cell>
          <cell r="BI315">
            <v>3140246638.6799998</v>
          </cell>
          <cell r="BJ315">
            <v>3471696829.4694662</v>
          </cell>
          <cell r="BK315">
            <v>3193567241.1300001</v>
          </cell>
          <cell r="BL315">
            <v>3530645373.2529178</v>
          </cell>
          <cell r="BM315">
            <v>1.4</v>
          </cell>
          <cell r="BN315" t="str">
            <v>No</v>
          </cell>
          <cell r="BO315" t="str">
            <v>External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V315" t="str">
            <v>Yes</v>
          </cell>
          <cell r="BW315" t="str">
            <v>United Kingdom</v>
          </cell>
          <cell r="BX315" t="str">
            <v>Other</v>
          </cell>
          <cell r="BY315">
            <v>9.17</v>
          </cell>
          <cell r="BZ315" t="str">
            <v>United Kingdom</v>
          </cell>
          <cell r="CA315" t="str">
            <v>Industrial / Logistics</v>
          </cell>
          <cell r="CB315">
            <v>29.36</v>
          </cell>
          <cell r="CC315" t="str">
            <v>United Kingdom</v>
          </cell>
          <cell r="CD315" t="str">
            <v>Retail</v>
          </cell>
          <cell r="CE315">
            <v>18.18</v>
          </cell>
          <cell r="CF315" t="str">
            <v>United Kingdom</v>
          </cell>
          <cell r="CG315" t="str">
            <v>Office</v>
          </cell>
          <cell r="CH315">
            <v>31.31</v>
          </cell>
        </row>
        <row r="316">
          <cell r="A316">
            <v>18541</v>
          </cell>
          <cell r="B316" t="str">
            <v>LF EUROPIMMO</v>
          </cell>
          <cell r="C316" t="str">
            <v>LA FRANçAISE REM</v>
          </cell>
          <cell r="D316" t="str">
            <v>128 Boulevard Raspail</v>
          </cell>
          <cell r="E316">
            <v>75006</v>
          </cell>
          <cell r="F316" t="str">
            <v>Paris</v>
          </cell>
          <cell r="G316" t="str">
            <v>France</v>
          </cell>
          <cell r="J316" t="str">
            <v>http://www.la-francaise.com</v>
          </cell>
          <cell r="Q316" t="str">
            <v>France</v>
          </cell>
          <cell r="R316" t="str">
            <v>EUR</v>
          </cell>
          <cell r="S316" t="str">
            <v>IFRS</v>
          </cell>
          <cell r="T316" t="str">
            <v>Quarterly</v>
          </cell>
          <cell r="U316" t="str">
            <v>Quarterly</v>
          </cell>
          <cell r="V316" t="str">
            <v>Other - mark to market</v>
          </cell>
          <cell r="W316" t="str">
            <v>IFRS NAV</v>
          </cell>
          <cell r="Y316" t="str">
            <v>SCPI</v>
          </cell>
          <cell r="AC316" t="str">
            <v>Non-Listed Fund</v>
          </cell>
          <cell r="AD316" t="str">
            <v>Core</v>
          </cell>
          <cell r="AE316" t="str">
            <v>infinite</v>
          </cell>
          <cell r="AF316" t="str">
            <v>Open end</v>
          </cell>
          <cell r="AN316" t="str">
            <v>Institutional and Retail</v>
          </cell>
          <cell r="AO316" t="str">
            <v>&gt; 2</v>
          </cell>
          <cell r="AP316" t="str">
            <v>≥ 50%</v>
          </cell>
          <cell r="AQ316" t="str">
            <v>Europe</v>
          </cell>
          <cell r="AR316" t="str">
            <v>multi country</v>
          </cell>
          <cell r="AS316" t="str">
            <v>Europe</v>
          </cell>
          <cell r="AU316" t="str">
            <v>multi sector</v>
          </cell>
          <cell r="AY316">
            <v>2014</v>
          </cell>
          <cell r="BD316" t="str">
            <v>Yes</v>
          </cell>
          <cell r="BH316" t="str">
            <v>2019-09-30</v>
          </cell>
          <cell r="BJ316">
            <v>0</v>
          </cell>
          <cell r="BL316">
            <v>0</v>
          </cell>
          <cell r="BQ316">
            <v>24</v>
          </cell>
          <cell r="BS316">
            <v>0</v>
          </cell>
          <cell r="BW316" t="str">
            <v>France</v>
          </cell>
          <cell r="BX316" t="str">
            <v>Office</v>
          </cell>
          <cell r="BY316">
            <v>25.62</v>
          </cell>
          <cell r="BZ316" t="str">
            <v>Germany</v>
          </cell>
          <cell r="CA316" t="str">
            <v>Office</v>
          </cell>
          <cell r="CB316">
            <v>41.68</v>
          </cell>
          <cell r="CC316" t="str">
            <v>Germany</v>
          </cell>
          <cell r="CD316" t="str">
            <v>Retail</v>
          </cell>
          <cell r="CE316">
            <v>8.35</v>
          </cell>
          <cell r="CF316" t="str">
            <v>Germany</v>
          </cell>
          <cell r="CG316" t="str">
            <v>Residential</v>
          </cell>
          <cell r="CH316">
            <v>3.25</v>
          </cell>
          <cell r="CI316" t="str">
            <v>Netherlands</v>
          </cell>
          <cell r="CJ316" t="str">
            <v>Office</v>
          </cell>
          <cell r="CK316">
            <v>6.18</v>
          </cell>
          <cell r="CL316" t="str">
            <v>Ireland</v>
          </cell>
          <cell r="CM316" t="str">
            <v>Office</v>
          </cell>
          <cell r="CN316">
            <v>2.58</v>
          </cell>
          <cell r="CO316" t="str">
            <v>Belgium</v>
          </cell>
          <cell r="CP316" t="str">
            <v>Office</v>
          </cell>
          <cell r="CQ316">
            <v>12.34</v>
          </cell>
        </row>
        <row r="317">
          <cell r="A317">
            <v>479</v>
          </cell>
          <cell r="B317" t="str">
            <v>LF GRAND PARIS PATRIMOINE</v>
          </cell>
          <cell r="C317" t="str">
            <v>LA FRANCAISE REM</v>
          </cell>
          <cell r="D317" t="str">
            <v>128 Boulevard Raspail</v>
          </cell>
          <cell r="E317">
            <v>75006</v>
          </cell>
          <cell r="F317" t="str">
            <v>Paris</v>
          </cell>
          <cell r="G317" t="str">
            <v>France</v>
          </cell>
          <cell r="H317" t="str">
            <v>+33 (0)1 44 56 10 00</v>
          </cell>
          <cell r="I317" t="str">
            <v>+33 (0) 1 44 56 11 15</v>
          </cell>
          <cell r="J317" t="str">
            <v>http://www.lafrancaise-am.com</v>
          </cell>
          <cell r="K317" t="str">
            <v>Patrice Crete</v>
          </cell>
          <cell r="L317" t="str">
            <v>scpi@lafrancaise-am.com</v>
          </cell>
          <cell r="M317" t="str">
            <v>+33 (0)1 44 56 10 00</v>
          </cell>
          <cell r="N317" t="str">
            <v>Marc-Olivier Penin</v>
          </cell>
          <cell r="O317" t="str">
            <v>mopenin@lafrancaise-am.com</v>
          </cell>
          <cell r="P317" t="str">
            <v>+33 (0)1 44 56 10 00</v>
          </cell>
          <cell r="Q317" t="str">
            <v>France</v>
          </cell>
          <cell r="R317" t="str">
            <v>EUR</v>
          </cell>
          <cell r="S317" t="str">
            <v>IFRS</v>
          </cell>
          <cell r="T317" t="str">
            <v>Quarterly</v>
          </cell>
          <cell r="U317" t="str">
            <v>Annually</v>
          </cell>
          <cell r="V317" t="str">
            <v>Other - mark to market</v>
          </cell>
          <cell r="X317" t="str">
            <v>Société Deloitte et Associés</v>
          </cell>
          <cell r="Y317" t="str">
            <v>SCPI</v>
          </cell>
          <cell r="AB317">
            <v>0</v>
          </cell>
          <cell r="AC317" t="str">
            <v>Non-Listed Fund</v>
          </cell>
          <cell r="AD317" t="str">
            <v>Core</v>
          </cell>
          <cell r="AE317" t="str">
            <v>infinite</v>
          </cell>
          <cell r="AF317" t="str">
            <v>Open end</v>
          </cell>
          <cell r="AG317">
            <v>5</v>
          </cell>
          <cell r="AH317">
            <v>5.2</v>
          </cell>
          <cell r="AI317" t="str">
            <v>Net</v>
          </cell>
          <cell r="AJ317" t="str">
            <v>none</v>
          </cell>
          <cell r="AK317">
            <v>5.2</v>
          </cell>
          <cell r="AM317" t="str">
            <v>≤ 40%</v>
          </cell>
          <cell r="AN317" t="str">
            <v>Institutional</v>
          </cell>
          <cell r="AO317" t="str">
            <v>&gt; 2</v>
          </cell>
          <cell r="AP317" t="str">
            <v>≥ 50%</v>
          </cell>
          <cell r="AQ317" t="str">
            <v>Europe</v>
          </cell>
          <cell r="AR317" t="str">
            <v>single country</v>
          </cell>
          <cell r="AT317" t="str">
            <v>France</v>
          </cell>
          <cell r="AU317" t="str">
            <v>single sector</v>
          </cell>
          <cell r="AV317" t="str">
            <v>Office</v>
          </cell>
          <cell r="AY317">
            <v>1999</v>
          </cell>
          <cell r="AZ317">
            <v>2089</v>
          </cell>
          <cell r="BH317" t="str">
            <v>2018-12-31</v>
          </cell>
          <cell r="BI317">
            <v>837998793</v>
          </cell>
          <cell r="BJ317">
            <v>837998793</v>
          </cell>
          <cell r="BK317">
            <v>720976527</v>
          </cell>
          <cell r="BL317">
            <v>720976527</v>
          </cell>
          <cell r="BM317">
            <v>16.53</v>
          </cell>
          <cell r="BQ317">
            <v>64</v>
          </cell>
          <cell r="BS317">
            <v>0</v>
          </cell>
          <cell r="BW317" t="str">
            <v>France</v>
          </cell>
          <cell r="BX317" t="str">
            <v>Office</v>
          </cell>
          <cell r="BY317">
            <v>96.04</v>
          </cell>
          <cell r="BZ317" t="str">
            <v>France</v>
          </cell>
          <cell r="CA317" t="str">
            <v>Industrial / Logistics</v>
          </cell>
          <cell r="CB317">
            <v>0.97</v>
          </cell>
          <cell r="CC317" t="str">
            <v>France</v>
          </cell>
          <cell r="CD317" t="str">
            <v>Other</v>
          </cell>
          <cell r="CE317">
            <v>2.99</v>
          </cell>
        </row>
        <row r="318">
          <cell r="A318">
            <v>19643</v>
          </cell>
          <cell r="B318" t="str">
            <v>LF RéSIDENCES SENIORS</v>
          </cell>
          <cell r="C318" t="str">
            <v>LA FRANçAISE REAL ESTATE MANAGERS</v>
          </cell>
          <cell r="D318" t="str">
            <v xml:space="preserve">128 Boulevard Raspail </v>
          </cell>
          <cell r="E318">
            <v>75006</v>
          </cell>
          <cell r="F318" t="str">
            <v>Paris</v>
          </cell>
          <cell r="G318" t="str">
            <v>France</v>
          </cell>
          <cell r="J318" t="str">
            <v>https://www.la-francaise.com/</v>
          </cell>
          <cell r="Q318" t="str">
            <v>France</v>
          </cell>
          <cell r="R318" t="str">
            <v>EUR</v>
          </cell>
          <cell r="T318" t="str">
            <v>Quarterly</v>
          </cell>
          <cell r="U318" t="str">
            <v>Quarterly</v>
          </cell>
          <cell r="Y318" t="str">
            <v>Real Estate Fund</v>
          </cell>
          <cell r="Z318" t="str">
            <v>No</v>
          </cell>
          <cell r="AB318">
            <v>0</v>
          </cell>
          <cell r="AC318" t="str">
            <v>Non-Listed Fund</v>
          </cell>
          <cell r="AD318" t="str">
            <v>Core</v>
          </cell>
          <cell r="AE318" t="str">
            <v>finite</v>
          </cell>
          <cell r="AF318" t="str">
            <v>Closed end</v>
          </cell>
          <cell r="AG318">
            <v>6.3</v>
          </cell>
          <cell r="AH318">
            <v>7.6</v>
          </cell>
          <cell r="AI318" t="str">
            <v>Net</v>
          </cell>
          <cell r="AK318">
            <v>5</v>
          </cell>
          <cell r="AM318" t="str">
            <v>≤ 40%</v>
          </cell>
          <cell r="AN318" t="str">
            <v>Institutional</v>
          </cell>
          <cell r="AO318" t="str">
            <v>&gt; 2</v>
          </cell>
          <cell r="AP318" t="str">
            <v>≥ 50%</v>
          </cell>
          <cell r="AQ318" t="str">
            <v>Europe</v>
          </cell>
          <cell r="AR318" t="str">
            <v>single country</v>
          </cell>
          <cell r="AT318" t="str">
            <v>France</v>
          </cell>
          <cell r="AU318" t="str">
            <v>single sector</v>
          </cell>
          <cell r="AV318" t="str">
            <v>Aged care</v>
          </cell>
          <cell r="AW318">
            <v>200000000</v>
          </cell>
          <cell r="AY318">
            <v>2017</v>
          </cell>
          <cell r="AZ318">
            <v>2031</v>
          </cell>
          <cell r="BA318" t="str">
            <v>Yes</v>
          </cell>
          <cell r="BB318" t="str">
            <v>No</v>
          </cell>
          <cell r="BD318" t="str">
            <v>Yes</v>
          </cell>
        </row>
        <row r="319">
          <cell r="A319">
            <v>312</v>
          </cell>
          <cell r="B319" t="str">
            <v>LIME PROPERTY FUND UNIT TRUST</v>
          </cell>
          <cell r="C319" t="str">
            <v>AVIVA INVESTORS</v>
          </cell>
          <cell r="D319" t="str">
            <v>1 Poultry</v>
          </cell>
          <cell r="E319" t="str">
            <v>EC2R 8EJ</v>
          </cell>
          <cell r="F319" t="str">
            <v>London</v>
          </cell>
          <cell r="G319" t="str">
            <v>United Kingdom</v>
          </cell>
          <cell r="H319" t="str">
            <v>+44 (0) 20 7809 6000</v>
          </cell>
          <cell r="I319" t="str">
            <v>+44 (0) 20 7809 6816</v>
          </cell>
          <cell r="J319" t="str">
            <v>http://www.avivainvestors.com</v>
          </cell>
          <cell r="K319" t="str">
            <v>James Allum</v>
          </cell>
          <cell r="L319" t="str">
            <v>james.allum@avivainvestors.com</v>
          </cell>
          <cell r="M319" t="str">
            <v>+44 (0) 20 7809 8288</v>
          </cell>
          <cell r="N319" t="str">
            <v>Renos Booth</v>
          </cell>
          <cell r="O319" t="str">
            <v>renos.booth@avivainvestors.com</v>
          </cell>
          <cell r="P319" t="str">
            <v>+44 (0) 20 7809 6826</v>
          </cell>
          <cell r="Q319" t="str">
            <v>Jersey</v>
          </cell>
          <cell r="R319" t="str">
            <v>GBP</v>
          </cell>
          <cell r="S319" t="str">
            <v>Local GAAP</v>
          </cell>
          <cell r="T319" t="str">
            <v>Quarterly</v>
          </cell>
          <cell r="U319" t="str">
            <v>Monthly</v>
          </cell>
          <cell r="X319" t="str">
            <v>Ernst &amp; Young</v>
          </cell>
          <cell r="Y319" t="str">
            <v>Jersey Property Unit Trust</v>
          </cell>
          <cell r="Z319" t="str">
            <v>No</v>
          </cell>
          <cell r="AB319">
            <v>0</v>
          </cell>
          <cell r="AC319" t="str">
            <v>Non-Listed Fund</v>
          </cell>
          <cell r="AD319" t="str">
            <v>Core</v>
          </cell>
          <cell r="AE319" t="str">
            <v>infinite</v>
          </cell>
          <cell r="AF319" t="str">
            <v>Open end</v>
          </cell>
          <cell r="AJ319" t="str">
            <v>Composite index 50/50 FTSE Gilts Indices 5-15yrs/15yrs+</v>
          </cell>
          <cell r="AN319" t="str">
            <v>Institutional</v>
          </cell>
          <cell r="AP319" t="str">
            <v>≥ 50%</v>
          </cell>
          <cell r="AQ319" t="str">
            <v>Europe</v>
          </cell>
          <cell r="AR319" t="str">
            <v>single country</v>
          </cell>
          <cell r="AT319" t="str">
            <v>United Kingdom</v>
          </cell>
          <cell r="AU319" t="str">
            <v>multi sector</v>
          </cell>
          <cell r="AW319">
            <v>733220000</v>
          </cell>
          <cell r="AX319">
            <v>733220000</v>
          </cell>
          <cell r="AY319">
            <v>2004</v>
          </cell>
          <cell r="BH319" t="str">
            <v>2010-12-31</v>
          </cell>
          <cell r="BI319">
            <v>732000000</v>
          </cell>
          <cell r="BJ319">
            <v>854610000</v>
          </cell>
          <cell r="BK319">
            <v>732000000</v>
          </cell>
          <cell r="BL319">
            <v>854610000</v>
          </cell>
          <cell r="BP319">
            <v>47</v>
          </cell>
          <cell r="BQ319">
            <v>42</v>
          </cell>
          <cell r="BR319">
            <v>732000000</v>
          </cell>
          <cell r="BS319">
            <v>849120000</v>
          </cell>
          <cell r="BU319">
            <v>0</v>
          </cell>
          <cell r="BV319" t="str">
            <v>Yes</v>
          </cell>
        </row>
        <row r="320">
          <cell r="A320">
            <v>19329</v>
          </cell>
          <cell r="B320" t="str">
            <v>LODZ SHOPINVEST KG</v>
          </cell>
          <cell r="C320" t="str">
            <v>DWS GRUNDBESITZ GMBH</v>
          </cell>
          <cell r="D320" t="str">
            <v>Mainzer Landstr. 11-17</v>
          </cell>
          <cell r="E320" t="str">
            <v xml:space="preserve">60329 </v>
          </cell>
          <cell r="F320" t="str">
            <v>Frankfurt am Main</v>
          </cell>
          <cell r="G320" t="str">
            <v>Germany</v>
          </cell>
          <cell r="K320" t="str">
            <v>Herbert Knötgen</v>
          </cell>
          <cell r="L320" t="str">
            <v>herbert.knoetgen@dws.com</v>
          </cell>
          <cell r="M320" t="str">
            <v>+49 (69) 910 - 14935</v>
          </cell>
          <cell r="Q320" t="str">
            <v>Germany</v>
          </cell>
          <cell r="R320" t="str">
            <v>EUR</v>
          </cell>
          <cell r="S320" t="str">
            <v>HGB</v>
          </cell>
          <cell r="T320" t="str">
            <v>Annually</v>
          </cell>
          <cell r="U320" t="str">
            <v>Annually</v>
          </cell>
          <cell r="V320" t="str">
            <v>ImmoWertV</v>
          </cell>
          <cell r="W320" t="str">
            <v>KAGB</v>
          </cell>
          <cell r="X320" t="str">
            <v>BDO</v>
          </cell>
          <cell r="Y320" t="str">
            <v>Publikumsfonds</v>
          </cell>
          <cell r="Z320" t="str">
            <v>No</v>
          </cell>
          <cell r="AC320" t="str">
            <v>Non-Listed Fund</v>
          </cell>
          <cell r="AD320" t="str">
            <v>Core</v>
          </cell>
          <cell r="AE320" t="str">
            <v>finite</v>
          </cell>
          <cell r="AF320" t="str">
            <v>Closed end</v>
          </cell>
          <cell r="AN320" t="str">
            <v>Retail</v>
          </cell>
          <cell r="AO320" t="str">
            <v>&gt; 2</v>
          </cell>
          <cell r="AP320" t="str">
            <v>&lt; 50%</v>
          </cell>
          <cell r="AQ320" t="str">
            <v>Europe</v>
          </cell>
          <cell r="AR320" t="str">
            <v>single country</v>
          </cell>
          <cell r="AT320" t="str">
            <v>Poland</v>
          </cell>
          <cell r="AU320" t="str">
            <v>single sector</v>
          </cell>
          <cell r="AV320" t="str">
            <v>Retail</v>
          </cell>
          <cell r="AY320">
            <v>2002</v>
          </cell>
          <cell r="BH320" t="str">
            <v>2018-12-31</v>
          </cell>
          <cell r="BI320">
            <v>137100000</v>
          </cell>
          <cell r="BJ320">
            <v>137100000</v>
          </cell>
          <cell r="BK320">
            <v>77262000</v>
          </cell>
          <cell r="BL320">
            <v>77262000</v>
          </cell>
          <cell r="BM320">
            <v>43.22</v>
          </cell>
          <cell r="BN320" t="str">
            <v>Yes</v>
          </cell>
          <cell r="BO320" t="str">
            <v>External</v>
          </cell>
          <cell r="BP320">
            <v>0</v>
          </cell>
          <cell r="BQ320">
            <v>1</v>
          </cell>
          <cell r="BS320">
            <v>0</v>
          </cell>
          <cell r="BV320" t="str">
            <v>No</v>
          </cell>
          <cell r="BW320" t="str">
            <v>Poland</v>
          </cell>
          <cell r="BX320" t="str">
            <v>Retail</v>
          </cell>
          <cell r="BY320">
            <v>100</v>
          </cell>
        </row>
        <row r="321">
          <cell r="A321">
            <v>314</v>
          </cell>
          <cell r="B321" t="str">
            <v>LOGISTICS AND DISTRIBUTION</v>
          </cell>
          <cell r="C321" t="str">
            <v>NORFIN</v>
          </cell>
          <cell r="D321" t="str">
            <v>Avenida da Republica 35-4º</v>
          </cell>
          <cell r="E321" t="str">
            <v>1050-186</v>
          </cell>
          <cell r="F321" t="str">
            <v>Lisbon</v>
          </cell>
          <cell r="G321" t="str">
            <v>Portugal</v>
          </cell>
          <cell r="H321" t="str">
            <v>+351 21 318 25 20</v>
          </cell>
          <cell r="I321" t="str">
            <v>+351 21 318 25 29</v>
          </cell>
          <cell r="J321" t="str">
            <v>http://www.norfin.eu</v>
          </cell>
          <cell r="K321" t="str">
            <v>Nuno Ravara</v>
          </cell>
          <cell r="L321" t="str">
            <v>nravara@norfin.pt</v>
          </cell>
          <cell r="M321" t="str">
            <v>+351 21 318 25 20</v>
          </cell>
          <cell r="N321" t="str">
            <v>Nuno Ravara</v>
          </cell>
          <cell r="O321" t="str">
            <v>nravara@norfin.pt</v>
          </cell>
          <cell r="P321" t="str">
            <v>+351 21 318 25 29</v>
          </cell>
          <cell r="Q321" t="str">
            <v>Portugal</v>
          </cell>
          <cell r="R321" t="str">
            <v>EUR</v>
          </cell>
          <cell r="T321" t="str">
            <v>Monthly</v>
          </cell>
          <cell r="U321" t="str">
            <v>Annually</v>
          </cell>
          <cell r="V321" t="str">
            <v>RICS</v>
          </cell>
          <cell r="X321" t="str">
            <v>Deloitte</v>
          </cell>
          <cell r="Y321" t="str">
            <v>Real Estate Fund</v>
          </cell>
          <cell r="AA321" t="str">
            <v>Yes</v>
          </cell>
          <cell r="AB321">
            <v>0</v>
          </cell>
          <cell r="AC321" t="str">
            <v>Non-Listed Fund</v>
          </cell>
          <cell r="AD321" t="str">
            <v>Core</v>
          </cell>
          <cell r="AE321" t="str">
            <v>finite</v>
          </cell>
          <cell r="AF321" t="str">
            <v>Closed end</v>
          </cell>
          <cell r="AG321">
            <v>9</v>
          </cell>
          <cell r="AH321">
            <v>10</v>
          </cell>
          <cell r="AI321" t="str">
            <v>Net</v>
          </cell>
          <cell r="AJ321" t="str">
            <v>IPD Portugal Index</v>
          </cell>
          <cell r="AK321">
            <v>4</v>
          </cell>
          <cell r="AL321">
            <v>10</v>
          </cell>
          <cell r="AM321" t="str">
            <v>≤ 40%</v>
          </cell>
          <cell r="AN321" t="str">
            <v>Institutional</v>
          </cell>
          <cell r="AO321" t="str">
            <v>&gt; 2</v>
          </cell>
          <cell r="AP321" t="str">
            <v>≥ 50%</v>
          </cell>
          <cell r="AQ321" t="str">
            <v>Europe</v>
          </cell>
          <cell r="AR321" t="str">
            <v>multi country</v>
          </cell>
          <cell r="AS321" t="str">
            <v>Southern Europe</v>
          </cell>
          <cell r="AU321" t="str">
            <v>single sector</v>
          </cell>
          <cell r="AV321" t="str">
            <v>Industrial / Logistics</v>
          </cell>
          <cell r="AY321">
            <v>2003</v>
          </cell>
          <cell r="AZ321">
            <v>2013</v>
          </cell>
          <cell r="BA321" t="str">
            <v>Yes</v>
          </cell>
          <cell r="BB321" t="str">
            <v>No</v>
          </cell>
          <cell r="BC321" t="str">
            <v>5 years</v>
          </cell>
          <cell r="BH321" t="str">
            <v>2018-03-31</v>
          </cell>
          <cell r="BI321">
            <v>38668136.829999998</v>
          </cell>
          <cell r="BJ321">
            <v>38668136.829999998</v>
          </cell>
          <cell r="BK321">
            <v>23638101.379999999</v>
          </cell>
          <cell r="BL321">
            <v>23638101.379999999</v>
          </cell>
          <cell r="BM321">
            <v>0</v>
          </cell>
          <cell r="BN321" t="str">
            <v>No</v>
          </cell>
          <cell r="BO321" t="str">
            <v>External</v>
          </cell>
          <cell r="BQ321">
            <v>8</v>
          </cell>
          <cell r="BR321">
            <v>59794000</v>
          </cell>
          <cell r="BS321">
            <v>59794000</v>
          </cell>
          <cell r="BT321">
            <v>59794000</v>
          </cell>
          <cell r="BU321">
            <v>59794000</v>
          </cell>
          <cell r="BV321" t="str">
            <v>No</v>
          </cell>
          <cell r="BW321" t="str">
            <v>Portugal</v>
          </cell>
          <cell r="BX321" t="str">
            <v>Industrial / Logistics</v>
          </cell>
          <cell r="BY321">
            <v>100</v>
          </cell>
        </row>
        <row r="322">
          <cell r="A322">
            <v>622</v>
          </cell>
          <cell r="B322" t="str">
            <v>LOGISTIS</v>
          </cell>
          <cell r="C322" t="str">
            <v>AEW EUROPE</v>
          </cell>
          <cell r="D322" t="str">
            <v>8-12 rue des Pirogues de Bercy</v>
          </cell>
          <cell r="E322">
            <v>75012</v>
          </cell>
          <cell r="F322" t="str">
            <v>Paris</v>
          </cell>
          <cell r="G322" t="str">
            <v>France</v>
          </cell>
          <cell r="H322" t="str">
            <v>+33(0)178409340</v>
          </cell>
          <cell r="I322" t="str">
            <v>+33(0)178409340</v>
          </cell>
          <cell r="J322" t="str">
            <v>http://www.aeweurope.com</v>
          </cell>
          <cell r="K322" t="str">
            <v>Remy Vertupier</v>
          </cell>
          <cell r="L322" t="str">
            <v>remy.vertupier@aeweurope.com</v>
          </cell>
          <cell r="M322">
            <v>33178409423</v>
          </cell>
          <cell r="N322" t="str">
            <v>Schalk Visser</v>
          </cell>
          <cell r="O322" t="str">
            <v>schalk.visser@aeweurope.com</v>
          </cell>
          <cell r="P322" t="str">
            <v>+33(0)178409340</v>
          </cell>
          <cell r="Q322" t="str">
            <v>Luxembourg</v>
          </cell>
          <cell r="R322" t="str">
            <v>EUR</v>
          </cell>
          <cell r="S322" t="str">
            <v>IFRS</v>
          </cell>
          <cell r="T322" t="str">
            <v>Quarterly</v>
          </cell>
          <cell r="U322" t="str">
            <v>Quarterly</v>
          </cell>
          <cell r="V322" t="str">
            <v>RICS</v>
          </cell>
          <cell r="W322" t="str">
            <v>INREV NAV</v>
          </cell>
          <cell r="X322" t="str">
            <v>Mazars</v>
          </cell>
          <cell r="Y322" t="str">
            <v>Real Estate Fund</v>
          </cell>
          <cell r="Z322" t="str">
            <v>Yes</v>
          </cell>
          <cell r="AA322" t="str">
            <v>Yes</v>
          </cell>
          <cell r="AB322">
            <v>2</v>
          </cell>
          <cell r="AC322" t="str">
            <v>Non-Listed Fund</v>
          </cell>
          <cell r="AD322" t="str">
            <v>Core</v>
          </cell>
          <cell r="AE322" t="str">
            <v>finite</v>
          </cell>
          <cell r="AF322" t="str">
            <v>Closed end</v>
          </cell>
          <cell r="AG322">
            <v>8</v>
          </cell>
          <cell r="AH322">
            <v>10</v>
          </cell>
          <cell r="AI322" t="str">
            <v>Net</v>
          </cell>
          <cell r="AJ322" t="str">
            <v>IPD</v>
          </cell>
          <cell r="AK322">
            <v>7</v>
          </cell>
          <cell r="AL322">
            <v>40</v>
          </cell>
          <cell r="AM322" t="str">
            <v>&gt; 40% - ≤ 60%</v>
          </cell>
          <cell r="AN322" t="str">
            <v>Institutional</v>
          </cell>
          <cell r="AO322" t="str">
            <v>&gt; 2</v>
          </cell>
          <cell r="AP322" t="str">
            <v>≥ 50%</v>
          </cell>
          <cell r="AQ322" t="str">
            <v>Europe</v>
          </cell>
          <cell r="AR322" t="str">
            <v>multi country</v>
          </cell>
          <cell r="AS322" t="str">
            <v>Europe</v>
          </cell>
          <cell r="AU322" t="str">
            <v>single sector</v>
          </cell>
          <cell r="AV322" t="str">
            <v>Industrial / Logistics</v>
          </cell>
          <cell r="AW322">
            <v>2700000000</v>
          </cell>
          <cell r="AX322">
            <v>4000000000</v>
          </cell>
          <cell r="AY322">
            <v>2011</v>
          </cell>
          <cell r="AZ322">
            <v>2026</v>
          </cell>
          <cell r="BA322" t="str">
            <v>Yes</v>
          </cell>
          <cell r="BB322" t="str">
            <v>Yes</v>
          </cell>
          <cell r="BC322" t="str">
            <v>5+2</v>
          </cell>
          <cell r="BE322" t="str">
            <v>≥ 60%</v>
          </cell>
          <cell r="BF322" t="str">
            <v>&gt; 15% - ≤ 40%</v>
          </cell>
          <cell r="BH322" t="str">
            <v>2020-12-31</v>
          </cell>
          <cell r="BI322">
            <v>4133268556</v>
          </cell>
          <cell r="BJ322">
            <v>4133268556</v>
          </cell>
          <cell r="BK322">
            <v>2716338439</v>
          </cell>
          <cell r="BL322">
            <v>2716338439</v>
          </cell>
          <cell r="BM322">
            <v>23</v>
          </cell>
          <cell r="BN322" t="str">
            <v>Yes</v>
          </cell>
          <cell r="BO322" t="str">
            <v>External</v>
          </cell>
          <cell r="BP322">
            <v>21</v>
          </cell>
          <cell r="BQ322">
            <v>104</v>
          </cell>
          <cell r="BR322">
            <v>2297910069</v>
          </cell>
          <cell r="BS322">
            <v>2297910069</v>
          </cell>
          <cell r="BT322">
            <v>1939998410</v>
          </cell>
          <cell r="BU322">
            <v>1939998410</v>
          </cell>
          <cell r="BV322" t="str">
            <v>No</v>
          </cell>
          <cell r="BW322" t="str">
            <v>France</v>
          </cell>
          <cell r="BX322" t="str">
            <v>Industrial / Logistics</v>
          </cell>
          <cell r="BY322">
            <v>61</v>
          </cell>
          <cell r="BZ322" t="str">
            <v>Germany</v>
          </cell>
          <cell r="CA322" t="str">
            <v>Industrial / Logistics</v>
          </cell>
          <cell r="CB322">
            <v>16.5</v>
          </cell>
          <cell r="CC322" t="str">
            <v>Italy</v>
          </cell>
          <cell r="CD322" t="str">
            <v>Industrial / Logistics</v>
          </cell>
          <cell r="CE322">
            <v>6.4</v>
          </cell>
          <cell r="CF322" t="str">
            <v>Netherlands</v>
          </cell>
          <cell r="CG322" t="str">
            <v>Industrial / Logistics</v>
          </cell>
          <cell r="CH322">
            <v>5.8</v>
          </cell>
          <cell r="CI322" t="str">
            <v>Poland</v>
          </cell>
          <cell r="CJ322" t="str">
            <v>Industrial / Logistics</v>
          </cell>
          <cell r="CK322">
            <v>6.9</v>
          </cell>
          <cell r="CL322" t="str">
            <v>Belgium</v>
          </cell>
          <cell r="CM322" t="str">
            <v>Industrial / Logistics</v>
          </cell>
          <cell r="CN322">
            <v>0.1</v>
          </cell>
          <cell r="CO322" t="str">
            <v>Czech Republic</v>
          </cell>
          <cell r="CP322" t="str">
            <v>Industrial / Logistics</v>
          </cell>
          <cell r="CQ322">
            <v>3.3</v>
          </cell>
        </row>
        <row r="323">
          <cell r="A323">
            <v>19557</v>
          </cell>
          <cell r="B323" t="str">
            <v>LONG HARBOUR EURO SECURED INCOME I FUND</v>
          </cell>
          <cell r="C323" t="str">
            <v>LONG HARBOUR LIMITED</v>
          </cell>
          <cell r="D323" t="str">
            <v>33 Wigmore Street</v>
          </cell>
          <cell r="E323" t="str">
            <v>w1u 1qx</v>
          </cell>
          <cell r="F323" t="str">
            <v>London</v>
          </cell>
          <cell r="G323" t="str">
            <v>United Kingdom</v>
          </cell>
          <cell r="Q323" t="str">
            <v>Luxembourg</v>
          </cell>
          <cell r="R323" t="str">
            <v>EUR</v>
          </cell>
          <cell r="S323" t="str">
            <v>IFRS</v>
          </cell>
          <cell r="T323" t="str">
            <v>Quarterly</v>
          </cell>
          <cell r="U323" t="str">
            <v>Quarterly</v>
          </cell>
          <cell r="V323" t="str">
            <v>RICS</v>
          </cell>
          <cell r="W323" t="str">
            <v>INREV NAV</v>
          </cell>
          <cell r="Y323" t="str">
            <v>Real Estate Fund</v>
          </cell>
          <cell r="Z323" t="str">
            <v>Yes</v>
          </cell>
          <cell r="AB323">
            <v>0</v>
          </cell>
          <cell r="AC323" t="str">
            <v>Non-Listed Fund</v>
          </cell>
          <cell r="AD323" t="str">
            <v>Core</v>
          </cell>
          <cell r="AE323" t="str">
            <v>infinite</v>
          </cell>
          <cell r="AF323" t="str">
            <v>Open end</v>
          </cell>
          <cell r="AM323" t="str">
            <v>≤ 40%</v>
          </cell>
          <cell r="AN323" t="str">
            <v>Institutional</v>
          </cell>
          <cell r="AO323" t="str">
            <v>&gt; 2</v>
          </cell>
          <cell r="AP323" t="str">
            <v>≥ 50%</v>
          </cell>
          <cell r="AQ323" t="str">
            <v>Europe</v>
          </cell>
          <cell r="AR323" t="str">
            <v>multi country</v>
          </cell>
          <cell r="AS323" t="str">
            <v>Europe</v>
          </cell>
          <cell r="AU323" t="str">
            <v>single sector</v>
          </cell>
          <cell r="AV323" t="str">
            <v>Mixed</v>
          </cell>
          <cell r="AY323">
            <v>2019</v>
          </cell>
          <cell r="BD323" t="str">
            <v>No</v>
          </cell>
          <cell r="BE323" t="str">
            <v>≥ 60%</v>
          </cell>
          <cell r="BH323" t="str">
            <v>2020-12-31</v>
          </cell>
          <cell r="BI323">
            <v>44261688</v>
          </cell>
          <cell r="BJ323">
            <v>44261688</v>
          </cell>
          <cell r="BK323">
            <v>42466048</v>
          </cell>
          <cell r="BL323">
            <v>42466048</v>
          </cell>
          <cell r="BM323">
            <v>0</v>
          </cell>
          <cell r="BN323" t="str">
            <v>No</v>
          </cell>
          <cell r="BO323" t="str">
            <v>External</v>
          </cell>
          <cell r="BP323">
            <v>1</v>
          </cell>
          <cell r="BQ323">
            <v>1</v>
          </cell>
          <cell r="BR323">
            <v>50000000</v>
          </cell>
          <cell r="BS323">
            <v>50000000</v>
          </cell>
          <cell r="BT323">
            <v>43000101</v>
          </cell>
          <cell r="BU323">
            <v>43000101</v>
          </cell>
          <cell r="BV323" t="str">
            <v>No</v>
          </cell>
          <cell r="BW323" t="str">
            <v>Ireland</v>
          </cell>
          <cell r="BX323" t="str">
            <v>Leisure</v>
          </cell>
          <cell r="BY323">
            <v>14</v>
          </cell>
        </row>
        <row r="324">
          <cell r="A324">
            <v>19142</v>
          </cell>
          <cell r="B324" t="str">
            <v>LONG HARBOUR INCOME FUND - A UNIT</v>
          </cell>
          <cell r="C324" t="str">
            <v>LONG HARBOUR</v>
          </cell>
          <cell r="D324" t="str">
            <v>33 Wigmore Street</v>
          </cell>
          <cell r="E324" t="str">
            <v>W1U 1QX</v>
          </cell>
          <cell r="F324" t="str">
            <v>London</v>
          </cell>
          <cell r="G324" t="str">
            <v>United Kingdom</v>
          </cell>
          <cell r="N324" t="str">
            <v>Tabitha Perry</v>
          </cell>
          <cell r="O324" t="str">
            <v>tjp@longharbour.co.uk</v>
          </cell>
          <cell r="Q324" t="str">
            <v>Guernsey</v>
          </cell>
          <cell r="R324" t="str">
            <v>GBP</v>
          </cell>
          <cell r="S324" t="str">
            <v>Local GAAP</v>
          </cell>
          <cell r="T324" t="str">
            <v>Annually</v>
          </cell>
          <cell r="U324" t="str">
            <v>Annually</v>
          </cell>
          <cell r="V324" t="str">
            <v>RICS</v>
          </cell>
          <cell r="W324" t="str">
            <v>INREV NAV</v>
          </cell>
          <cell r="X324" t="str">
            <v>KPMG</v>
          </cell>
          <cell r="Y324" t="str">
            <v>Unit trust</v>
          </cell>
          <cell r="Z324" t="str">
            <v>No</v>
          </cell>
          <cell r="AA324" t="str">
            <v>Yes</v>
          </cell>
          <cell r="AB324">
            <v>1</v>
          </cell>
          <cell r="AC324" t="str">
            <v>Non-Listed Fund</v>
          </cell>
          <cell r="AD324" t="str">
            <v>Core</v>
          </cell>
          <cell r="AE324" t="str">
            <v>finite</v>
          </cell>
          <cell r="AF324" t="str">
            <v>Closed end</v>
          </cell>
          <cell r="AG324">
            <v>8</v>
          </cell>
          <cell r="AH324">
            <v>12</v>
          </cell>
          <cell r="AI324" t="str">
            <v>Net</v>
          </cell>
          <cell r="AJ324" t="str">
            <v>N/A</v>
          </cell>
          <cell r="AK324">
            <v>4</v>
          </cell>
          <cell r="AL324">
            <v>40</v>
          </cell>
          <cell r="AM324" t="str">
            <v>≤ 40%</v>
          </cell>
          <cell r="AN324" t="str">
            <v>Institutional</v>
          </cell>
          <cell r="AO324" t="str">
            <v>&gt; 2</v>
          </cell>
          <cell r="AP324" t="str">
            <v>≥ 50%</v>
          </cell>
          <cell r="AQ324" t="str">
            <v>Europe</v>
          </cell>
          <cell r="AR324" t="str">
            <v>single country</v>
          </cell>
          <cell r="AT324" t="str">
            <v>United Kingdom</v>
          </cell>
          <cell r="AU324" t="str">
            <v>single sector</v>
          </cell>
          <cell r="AV324" t="str">
            <v>Residential</v>
          </cell>
          <cell r="AW324">
            <v>40000000</v>
          </cell>
          <cell r="AY324">
            <v>2013</v>
          </cell>
          <cell r="AZ324">
            <v>2020</v>
          </cell>
          <cell r="BA324" t="str">
            <v>Yes</v>
          </cell>
          <cell r="BB324" t="str">
            <v>Yes</v>
          </cell>
          <cell r="BD324" t="str">
            <v>Yes</v>
          </cell>
          <cell r="BE324" t="str">
            <v>&lt; 60%</v>
          </cell>
          <cell r="BF324" t="str">
            <v>≤ 15%</v>
          </cell>
          <cell r="BG324" t="str">
            <v>≤ 5%</v>
          </cell>
          <cell r="BH324" t="str">
            <v>2020-12-31</v>
          </cell>
          <cell r="BI324">
            <v>28975990</v>
          </cell>
          <cell r="BJ324">
            <v>32034379.521229051</v>
          </cell>
          <cell r="BK324">
            <v>20999539</v>
          </cell>
          <cell r="BL324">
            <v>23216021.33686721</v>
          </cell>
          <cell r="BM324">
            <v>42</v>
          </cell>
          <cell r="BN324" t="str">
            <v>No</v>
          </cell>
          <cell r="BO324" t="str">
            <v>Internal</v>
          </cell>
          <cell r="BP324">
            <v>10</v>
          </cell>
          <cell r="BQ324">
            <v>123</v>
          </cell>
          <cell r="BR324">
            <v>39100000</v>
          </cell>
          <cell r="BS324">
            <v>42930021.618610002</v>
          </cell>
          <cell r="BT324">
            <v>39100000</v>
          </cell>
          <cell r="BU324">
            <v>42930021.618610002</v>
          </cell>
          <cell r="BV324" t="str">
            <v>No</v>
          </cell>
          <cell r="BW324" t="str">
            <v>United Kingdom</v>
          </cell>
          <cell r="BX324" t="str">
            <v>Residential</v>
          </cell>
          <cell r="BY324">
            <v>85</v>
          </cell>
        </row>
        <row r="325">
          <cell r="A325">
            <v>19143</v>
          </cell>
          <cell r="B325" t="str">
            <v>LONG HARBOUR INCOME FUND - B UNIT</v>
          </cell>
          <cell r="C325" t="str">
            <v>LONG HARBOUR</v>
          </cell>
          <cell r="D325" t="str">
            <v>33 Wigmore Street</v>
          </cell>
          <cell r="E325" t="str">
            <v>W1U 1QX</v>
          </cell>
          <cell r="F325" t="str">
            <v>London</v>
          </cell>
          <cell r="G325" t="str">
            <v>United Kingdom</v>
          </cell>
          <cell r="N325" t="str">
            <v>Tabitha Perry</v>
          </cell>
          <cell r="O325" t="str">
            <v>tjp@longharbour.co.uk</v>
          </cell>
          <cell r="Q325" t="str">
            <v>Guernsey</v>
          </cell>
          <cell r="R325" t="str">
            <v>GBP</v>
          </cell>
          <cell r="S325" t="str">
            <v>Local GAAP</v>
          </cell>
          <cell r="T325" t="str">
            <v>Quarterly</v>
          </cell>
          <cell r="U325" t="str">
            <v>Annually</v>
          </cell>
          <cell r="V325" t="str">
            <v>RICS</v>
          </cell>
          <cell r="W325" t="str">
            <v>INREV NAV</v>
          </cell>
          <cell r="X325" t="str">
            <v>KPMG</v>
          </cell>
          <cell r="Y325" t="str">
            <v>Unit trust</v>
          </cell>
          <cell r="Z325" t="str">
            <v>No</v>
          </cell>
          <cell r="AA325" t="str">
            <v>Yes</v>
          </cell>
          <cell r="AB325">
            <v>1</v>
          </cell>
          <cell r="AC325" t="str">
            <v>Non-Listed Fund</v>
          </cell>
          <cell r="AD325" t="str">
            <v>Core</v>
          </cell>
          <cell r="AE325" t="str">
            <v>finite</v>
          </cell>
          <cell r="AF325" t="str">
            <v>Closed end</v>
          </cell>
          <cell r="AG325">
            <v>7.25</v>
          </cell>
          <cell r="AH325">
            <v>7.25</v>
          </cell>
          <cell r="AI325" t="str">
            <v>Net</v>
          </cell>
          <cell r="AJ325" t="str">
            <v>N/A</v>
          </cell>
          <cell r="AK325">
            <v>4</v>
          </cell>
          <cell r="AL325">
            <v>0</v>
          </cell>
          <cell r="AM325" t="str">
            <v>≤ 40%</v>
          </cell>
          <cell r="AN325" t="str">
            <v>Institutional</v>
          </cell>
          <cell r="AO325" t="str">
            <v>≤ 2</v>
          </cell>
          <cell r="AP325" t="str">
            <v>≥ 50%</v>
          </cell>
          <cell r="AQ325" t="str">
            <v>Europe</v>
          </cell>
          <cell r="AR325" t="str">
            <v>single country</v>
          </cell>
          <cell r="AT325" t="str">
            <v>United Kingdom</v>
          </cell>
          <cell r="AU325" t="str">
            <v>single sector</v>
          </cell>
          <cell r="AV325" t="str">
            <v>Residential</v>
          </cell>
          <cell r="AW325">
            <v>200000000</v>
          </cell>
          <cell r="AX325">
            <v>200000000</v>
          </cell>
          <cell r="AY325">
            <v>2016</v>
          </cell>
          <cell r="AZ325">
            <v>2031</v>
          </cell>
          <cell r="BA325" t="str">
            <v>Yes</v>
          </cell>
          <cell r="BB325" t="str">
            <v>Yes</v>
          </cell>
          <cell r="BD325" t="str">
            <v>Yes</v>
          </cell>
          <cell r="BE325" t="str">
            <v>≥ 60%</v>
          </cell>
          <cell r="BF325" t="str">
            <v>≤ 15%</v>
          </cell>
          <cell r="BG325" t="str">
            <v>≤ 5%</v>
          </cell>
          <cell r="BH325" t="str">
            <v>2020-12-31</v>
          </cell>
          <cell r="BI325">
            <v>158500861</v>
          </cell>
          <cell r="BJ325">
            <v>175230483.43527079</v>
          </cell>
          <cell r="BK325">
            <v>158500861</v>
          </cell>
          <cell r="BL325">
            <v>175230483.43527079</v>
          </cell>
          <cell r="BM325">
            <v>0</v>
          </cell>
          <cell r="BN325" t="str">
            <v>No</v>
          </cell>
          <cell r="BO325" t="str">
            <v>Internal</v>
          </cell>
          <cell r="BP325">
            <v>2</v>
          </cell>
          <cell r="BQ325">
            <v>5</v>
          </cell>
          <cell r="BR325">
            <v>200000000</v>
          </cell>
          <cell r="BS325">
            <v>219590903.41999999</v>
          </cell>
          <cell r="BT325">
            <v>152231692</v>
          </cell>
          <cell r="BU325">
            <v>167143473.8771759</v>
          </cell>
          <cell r="BV325" t="str">
            <v>No</v>
          </cell>
          <cell r="BW325" t="str">
            <v>United Kingdom</v>
          </cell>
          <cell r="BX325" t="str">
            <v>Residential</v>
          </cell>
          <cell r="BY325">
            <v>96</v>
          </cell>
        </row>
        <row r="326">
          <cell r="A326">
            <v>19144</v>
          </cell>
          <cell r="B326" t="str">
            <v>LONG HARBOUR INCOME FUND - C UNIT</v>
          </cell>
          <cell r="C326" t="str">
            <v>LONG HARBOUR</v>
          </cell>
          <cell r="D326" t="str">
            <v>33 Wigmore Street</v>
          </cell>
          <cell r="E326" t="str">
            <v>W1U 1QX</v>
          </cell>
          <cell r="F326" t="str">
            <v>London</v>
          </cell>
          <cell r="G326" t="str">
            <v>United Kingdom</v>
          </cell>
          <cell r="N326" t="str">
            <v>Tabitha Perry</v>
          </cell>
          <cell r="O326" t="str">
            <v>tjp@longharbour.co.uk</v>
          </cell>
          <cell r="Q326" t="str">
            <v>Guernsey</v>
          </cell>
          <cell r="R326" t="str">
            <v>GBP</v>
          </cell>
          <cell r="S326" t="str">
            <v>Local GAAP</v>
          </cell>
          <cell r="T326" t="str">
            <v>Annually</v>
          </cell>
          <cell r="U326" t="str">
            <v>Annually</v>
          </cell>
          <cell r="V326" t="str">
            <v>RICS</v>
          </cell>
          <cell r="W326" t="str">
            <v>INREV NAV</v>
          </cell>
          <cell r="X326" t="str">
            <v>KPMG</v>
          </cell>
          <cell r="Y326" t="str">
            <v>Unit trust</v>
          </cell>
          <cell r="Z326" t="str">
            <v>No</v>
          </cell>
          <cell r="AA326" t="str">
            <v>Yes</v>
          </cell>
          <cell r="AB326">
            <v>1</v>
          </cell>
          <cell r="AC326" t="str">
            <v>Non-Listed Fund</v>
          </cell>
          <cell r="AD326" t="str">
            <v>Core</v>
          </cell>
          <cell r="AE326" t="str">
            <v>finite</v>
          </cell>
          <cell r="AF326" t="str">
            <v>Closed end</v>
          </cell>
          <cell r="AG326">
            <v>7.25</v>
          </cell>
          <cell r="AH326">
            <v>7.25</v>
          </cell>
          <cell r="AI326" t="str">
            <v>Net</v>
          </cell>
          <cell r="AJ326" t="str">
            <v>N/A</v>
          </cell>
          <cell r="AK326">
            <v>4</v>
          </cell>
          <cell r="AL326">
            <v>0</v>
          </cell>
          <cell r="AM326" t="str">
            <v>≤ 40%</v>
          </cell>
          <cell r="AN326" t="str">
            <v>Institutional</v>
          </cell>
          <cell r="AO326" t="str">
            <v>&gt; 2</v>
          </cell>
          <cell r="AP326" t="str">
            <v>≥ 50%</v>
          </cell>
          <cell r="AQ326" t="str">
            <v>Europe</v>
          </cell>
          <cell r="AR326" t="str">
            <v>single country</v>
          </cell>
          <cell r="AT326" t="str">
            <v>United Kingdom</v>
          </cell>
          <cell r="AU326" t="str">
            <v>single sector</v>
          </cell>
          <cell r="AV326" t="str">
            <v>Residential</v>
          </cell>
          <cell r="AW326">
            <v>14000000</v>
          </cell>
          <cell r="AX326">
            <v>14000000</v>
          </cell>
          <cell r="AY326">
            <v>2016</v>
          </cell>
          <cell r="AZ326">
            <v>2031</v>
          </cell>
          <cell r="BA326" t="str">
            <v>Yes</v>
          </cell>
          <cell r="BB326" t="str">
            <v>Yes</v>
          </cell>
          <cell r="BD326" t="str">
            <v>Yes</v>
          </cell>
          <cell r="BE326" t="str">
            <v>&lt; 60%</v>
          </cell>
          <cell r="BF326" t="str">
            <v>≤ 15%</v>
          </cell>
          <cell r="BG326" t="str">
            <v>≤ 5%</v>
          </cell>
          <cell r="BH326" t="str">
            <v>2020-12-31</v>
          </cell>
          <cell r="BI326">
            <v>14653398</v>
          </cell>
          <cell r="BJ326">
            <v>16200050.89757481</v>
          </cell>
          <cell r="BK326">
            <v>13485029</v>
          </cell>
          <cell r="BL326">
            <v>14908361.606998749</v>
          </cell>
          <cell r="BM326">
            <v>0</v>
          </cell>
          <cell r="BN326" t="str">
            <v>No</v>
          </cell>
          <cell r="BO326" t="str">
            <v>Internal</v>
          </cell>
          <cell r="BP326">
            <v>2</v>
          </cell>
          <cell r="BQ326">
            <v>5</v>
          </cell>
          <cell r="BR326">
            <v>14000000</v>
          </cell>
          <cell r="BS326">
            <v>15371363.239399999</v>
          </cell>
          <cell r="BT326">
            <v>13312552</v>
          </cell>
          <cell r="BU326">
            <v>14616576.602528639</v>
          </cell>
          <cell r="BV326" t="str">
            <v>No</v>
          </cell>
          <cell r="BW326" t="str">
            <v>United Kingdom</v>
          </cell>
          <cell r="BX326" t="str">
            <v>Residential</v>
          </cell>
          <cell r="BY326">
            <v>94</v>
          </cell>
        </row>
        <row r="327">
          <cell r="A327">
            <v>19345</v>
          </cell>
          <cell r="B327" t="str">
            <v>LONG HARBOUR MULTI FAMILY VENTURE</v>
          </cell>
          <cell r="C327" t="str">
            <v>LONG HARBOUR</v>
          </cell>
          <cell r="D327" t="str">
            <v>33 Wigmore Street</v>
          </cell>
          <cell r="E327" t="str">
            <v>W1U 1QX</v>
          </cell>
          <cell r="F327" t="str">
            <v>London</v>
          </cell>
          <cell r="G327" t="str">
            <v>United Kingdom</v>
          </cell>
          <cell r="N327" t="str">
            <v>Tabitha Perry</v>
          </cell>
          <cell r="O327" t="str">
            <v>tjp@longharbour.co.uk</v>
          </cell>
          <cell r="Q327" t="str">
            <v>Guernsey</v>
          </cell>
          <cell r="R327" t="str">
            <v>GBP</v>
          </cell>
          <cell r="S327" t="str">
            <v>Local GAAP</v>
          </cell>
          <cell r="T327" t="str">
            <v>Annually</v>
          </cell>
          <cell r="U327" t="str">
            <v>Annually</v>
          </cell>
          <cell r="V327" t="str">
            <v>RICS</v>
          </cell>
          <cell r="W327" t="str">
            <v>INREV NAV</v>
          </cell>
          <cell r="X327" t="str">
            <v>KPMG</v>
          </cell>
          <cell r="Y327" t="str">
            <v>Unit trust</v>
          </cell>
          <cell r="Z327" t="str">
            <v>No</v>
          </cell>
          <cell r="AA327" t="str">
            <v>Yes</v>
          </cell>
          <cell r="AB327">
            <v>1</v>
          </cell>
          <cell r="AC327" t="str">
            <v>Non-Listed Fund</v>
          </cell>
          <cell r="AD327" t="str">
            <v>Opportunity</v>
          </cell>
          <cell r="AE327" t="str">
            <v>finite</v>
          </cell>
          <cell r="AF327" t="str">
            <v>Closed end</v>
          </cell>
          <cell r="AG327">
            <v>9</v>
          </cell>
          <cell r="AH327">
            <v>9</v>
          </cell>
          <cell r="AI327" t="str">
            <v>Net</v>
          </cell>
          <cell r="AJ327" t="str">
            <v>N/A</v>
          </cell>
          <cell r="AL327">
            <v>55</v>
          </cell>
          <cell r="AM327" t="str">
            <v>&gt; 40% - ≤ 60%</v>
          </cell>
          <cell r="AN327" t="str">
            <v>Institutional</v>
          </cell>
          <cell r="AO327" t="str">
            <v>&gt; 2</v>
          </cell>
          <cell r="AP327" t="str">
            <v>≥ 50%</v>
          </cell>
          <cell r="AQ327" t="str">
            <v>Europe</v>
          </cell>
          <cell r="AR327" t="str">
            <v>single country</v>
          </cell>
          <cell r="AT327" t="str">
            <v>United Kingdom</v>
          </cell>
          <cell r="AU327" t="str">
            <v>single sector</v>
          </cell>
          <cell r="AV327" t="str">
            <v>Development Residential</v>
          </cell>
          <cell r="AW327">
            <v>250000000</v>
          </cell>
          <cell r="AY327">
            <v>2019</v>
          </cell>
          <cell r="AZ327">
            <v>2039</v>
          </cell>
          <cell r="BA327" t="str">
            <v>Yes</v>
          </cell>
          <cell r="BB327" t="str">
            <v>No</v>
          </cell>
          <cell r="BC327" t="str">
            <v>2 years fixed</v>
          </cell>
          <cell r="BD327" t="str">
            <v>Yes</v>
          </cell>
          <cell r="BF327" t="str">
            <v>≤ 15%</v>
          </cell>
          <cell r="BG327" t="str">
            <v>&gt; 25%</v>
          </cell>
          <cell r="BH327" t="str">
            <v>2020-09-30</v>
          </cell>
          <cell r="BI327">
            <v>102049034</v>
          </cell>
          <cell r="BJ327">
            <v>112107750.679084</v>
          </cell>
          <cell r="BK327">
            <v>86674279</v>
          </cell>
          <cell r="BL327">
            <v>95217544.738555461</v>
          </cell>
          <cell r="BM327">
            <v>0</v>
          </cell>
          <cell r="BN327" t="str">
            <v>No</v>
          </cell>
          <cell r="BO327" t="str">
            <v>Internal</v>
          </cell>
          <cell r="BP327">
            <v>1</v>
          </cell>
          <cell r="BQ327">
            <v>2</v>
          </cell>
          <cell r="BR327">
            <v>250000000</v>
          </cell>
          <cell r="BS327">
            <v>274477589.52499998</v>
          </cell>
          <cell r="BT327">
            <v>88280045</v>
          </cell>
          <cell r="BU327">
            <v>96923575.819034114</v>
          </cell>
          <cell r="BV327" t="str">
            <v>No</v>
          </cell>
          <cell r="BW327" t="str">
            <v>United Kingdom</v>
          </cell>
          <cell r="BX327" t="str">
            <v>Development Residential</v>
          </cell>
          <cell r="BY327">
            <v>87</v>
          </cell>
        </row>
        <row r="328">
          <cell r="A328">
            <v>318</v>
          </cell>
          <cell r="B328" t="str">
            <v>LONG LEASE PROPERTY FUND</v>
          </cell>
          <cell r="C328" t="str">
            <v>ABERDEEN STANDARD INVESTMENTS</v>
          </cell>
          <cell r="D328" t="str">
            <v>1 George Street</v>
          </cell>
          <cell r="E328" t="str">
            <v>EH2 2LL</v>
          </cell>
          <cell r="F328" t="str">
            <v>Edinburgh</v>
          </cell>
          <cell r="G328" t="str">
            <v>United Kingdom</v>
          </cell>
          <cell r="H328" t="str">
            <v>+44 (0) 131 225 2345</v>
          </cell>
          <cell r="I328" t="str">
            <v>+44 (0) 131 245 2547</v>
          </cell>
          <cell r="J328" t="str">
            <v>http://www.aberdeenstandard.com</v>
          </cell>
          <cell r="K328" t="str">
            <v>Richard Marshall</v>
          </cell>
          <cell r="L328" t="str">
            <v>richard_marshall@standardlife.com</v>
          </cell>
          <cell r="M328" t="str">
            <v>+44 (0) 1312452823</v>
          </cell>
          <cell r="N328" t="str">
            <v>Robert Mattews</v>
          </cell>
          <cell r="O328" t="str">
            <v>robert.matthews@aberdeen-asset.com</v>
          </cell>
          <cell r="P328" t="str">
            <v xml:space="preserve">+44 2076 18 1582 </v>
          </cell>
          <cell r="Q328" t="str">
            <v>United Kingdom</v>
          </cell>
          <cell r="R328" t="str">
            <v>GBP</v>
          </cell>
          <cell r="S328" t="str">
            <v>Local GAAP</v>
          </cell>
          <cell r="T328" t="str">
            <v>Quarterly</v>
          </cell>
          <cell r="U328" t="str">
            <v>Quarterly</v>
          </cell>
          <cell r="V328" t="str">
            <v>RICS</v>
          </cell>
          <cell r="W328" t="str">
            <v>IFRS NAV</v>
          </cell>
          <cell r="X328" t="str">
            <v>PriceWaterhouseCoopers</v>
          </cell>
          <cell r="Y328" t="str">
            <v>Insurance linked pooled fund</v>
          </cell>
          <cell r="Z328" t="str">
            <v>No</v>
          </cell>
          <cell r="AA328" t="str">
            <v>No</v>
          </cell>
          <cell r="AB328">
            <v>0</v>
          </cell>
          <cell r="AC328" t="str">
            <v>Non-Listed Fund</v>
          </cell>
          <cell r="AD328" t="str">
            <v>Core</v>
          </cell>
          <cell r="AE328" t="str">
            <v>infinite</v>
          </cell>
          <cell r="AF328" t="str">
            <v>Open end</v>
          </cell>
          <cell r="AJ328" t="str">
            <v>FT British Government All Stocks +2.00% over rolling 5 years</v>
          </cell>
          <cell r="AN328" t="str">
            <v>Institutional</v>
          </cell>
          <cell r="AO328" t="str">
            <v>&gt; 2</v>
          </cell>
          <cell r="AP328" t="str">
            <v>≥ 50%</v>
          </cell>
          <cell r="AQ328" t="str">
            <v>Europe</v>
          </cell>
          <cell r="AR328" t="str">
            <v>single country</v>
          </cell>
          <cell r="AT328" t="str">
            <v>United Kingdom</v>
          </cell>
          <cell r="AU328" t="str">
            <v>multi sector</v>
          </cell>
          <cell r="AY328">
            <v>2003</v>
          </cell>
          <cell r="BA328" t="str">
            <v>No</v>
          </cell>
          <cell r="BH328" t="str">
            <v>2020-12-31</v>
          </cell>
          <cell r="BI328">
            <v>2678948518</v>
          </cell>
          <cell r="BJ328">
            <v>2961709109.6264911</v>
          </cell>
          <cell r="BK328">
            <v>2678948518</v>
          </cell>
          <cell r="BL328">
            <v>2961709109.6264911</v>
          </cell>
          <cell r="BM328">
            <v>0</v>
          </cell>
          <cell r="BN328" t="str">
            <v>Yes</v>
          </cell>
          <cell r="BO328" t="str">
            <v>External</v>
          </cell>
          <cell r="BP328">
            <v>74</v>
          </cell>
          <cell r="BQ328">
            <v>105</v>
          </cell>
          <cell r="BR328">
            <v>2678948518</v>
          </cell>
          <cell r="BS328">
            <v>2941363626.416451</v>
          </cell>
          <cell r="BT328">
            <v>2678948518</v>
          </cell>
          <cell r="BU328">
            <v>2941363626.416451</v>
          </cell>
          <cell r="BV328" t="str">
            <v>Yes</v>
          </cell>
          <cell r="BW328" t="str">
            <v>United Kingdom</v>
          </cell>
          <cell r="BX328" t="str">
            <v>Other</v>
          </cell>
          <cell r="BY328">
            <v>3.97</v>
          </cell>
          <cell r="BZ328" t="str">
            <v>United Kingdom</v>
          </cell>
          <cell r="CA328" t="str">
            <v>Health Care</v>
          </cell>
          <cell r="CB328">
            <v>3.1</v>
          </cell>
          <cell r="CC328" t="str">
            <v>United Kingdom</v>
          </cell>
          <cell r="CD328" t="str">
            <v>Parking</v>
          </cell>
          <cell r="CE328">
            <v>4</v>
          </cell>
          <cell r="CF328" t="str">
            <v>United Kingdom</v>
          </cell>
          <cell r="CG328" t="str">
            <v>Leisure</v>
          </cell>
          <cell r="CH328">
            <v>4.9000000000000004</v>
          </cell>
          <cell r="CI328" t="str">
            <v>United Kingdom</v>
          </cell>
          <cell r="CJ328" t="str">
            <v>Hotel</v>
          </cell>
          <cell r="CK328">
            <v>10.3</v>
          </cell>
          <cell r="CL328" t="str">
            <v>United Kingdom</v>
          </cell>
          <cell r="CM328" t="str">
            <v>Student Housing</v>
          </cell>
          <cell r="CN328">
            <v>9.6999999999999993</v>
          </cell>
          <cell r="CO328" t="str">
            <v>United Kingdom</v>
          </cell>
          <cell r="CP328" t="str">
            <v>Office</v>
          </cell>
          <cell r="CQ328">
            <v>24.49</v>
          </cell>
          <cell r="CR328" t="str">
            <v>United Kingdom</v>
          </cell>
          <cell r="CS328" t="str">
            <v>Industrial / Logistics</v>
          </cell>
          <cell r="CT328">
            <v>14.19</v>
          </cell>
          <cell r="CU328" t="str">
            <v>United Kingdom</v>
          </cell>
          <cell r="CV328" t="str">
            <v>Retail</v>
          </cell>
          <cell r="CW328">
            <v>22.27</v>
          </cell>
        </row>
        <row r="329">
          <cell r="A329">
            <v>17177</v>
          </cell>
          <cell r="B329" t="str">
            <v>LORDS LB BALTIC FUND I</v>
          </cell>
          <cell r="C329" t="str">
            <v>LORDS LB ASSET MANAGEMENT</v>
          </cell>
          <cell r="D329" t="str">
            <v>Jogailos 4</v>
          </cell>
          <cell r="F329" t="str">
            <v>Vilnius</v>
          </cell>
          <cell r="G329" t="str">
            <v>Lithuania</v>
          </cell>
          <cell r="H329" t="str">
            <v>+370 5 261 94 70</v>
          </cell>
          <cell r="J329" t="str">
            <v>http://www.lordslb.com</v>
          </cell>
          <cell r="K329" t="str">
            <v>Marius Zemaitis</v>
          </cell>
          <cell r="L329" t="str">
            <v>info@lordslb.com</v>
          </cell>
          <cell r="M329" t="str">
            <v>+370 5 261 94 70</v>
          </cell>
          <cell r="N329" t="str">
            <v>Vilma Tvaronaviciene</v>
          </cell>
          <cell r="O329" t="str">
            <v>info@lordslb.com</v>
          </cell>
          <cell r="P329" t="str">
            <v>+370 5 261 94 70</v>
          </cell>
          <cell r="Q329" t="str">
            <v>Lithuania</v>
          </cell>
          <cell r="R329" t="str">
            <v>EUR</v>
          </cell>
          <cell r="S329" t="str">
            <v>IFRS</v>
          </cell>
          <cell r="T329" t="str">
            <v>Monthly</v>
          </cell>
          <cell r="U329" t="str">
            <v>Twice per year</v>
          </cell>
          <cell r="V329" t="str">
            <v>RICS</v>
          </cell>
          <cell r="W329" t="str">
            <v>the NAV methodology as defined by the supervisory authority - Bank of Lithuania</v>
          </cell>
          <cell r="X329" t="str">
            <v>PWC</v>
          </cell>
          <cell r="Y329" t="str">
            <v>Real Estate Fund</v>
          </cell>
          <cell r="Z329" t="str">
            <v>No</v>
          </cell>
          <cell r="AA329" t="str">
            <v>Yes</v>
          </cell>
          <cell r="AB329">
            <v>3</v>
          </cell>
          <cell r="AC329" t="str">
            <v>Non-Listed Fund</v>
          </cell>
          <cell r="AD329" t="str">
            <v>Core</v>
          </cell>
          <cell r="AE329" t="str">
            <v>finite</v>
          </cell>
          <cell r="AF329" t="str">
            <v>Closed end</v>
          </cell>
          <cell r="AG329">
            <v>18</v>
          </cell>
          <cell r="AH329">
            <v>20</v>
          </cell>
          <cell r="AI329" t="str">
            <v>Net</v>
          </cell>
          <cell r="AJ329" t="str">
            <v>absolute benchmark</v>
          </cell>
          <cell r="AK329">
            <v>6</v>
          </cell>
          <cell r="AL329">
            <v>60</v>
          </cell>
          <cell r="AM329" t="str">
            <v>&gt; 40% - ≤ 60%</v>
          </cell>
          <cell r="AN329" t="str">
            <v>Institutional and Retail</v>
          </cell>
          <cell r="AO329" t="str">
            <v>&gt; 2</v>
          </cell>
          <cell r="AP329" t="str">
            <v>≥ 50%</v>
          </cell>
          <cell r="AQ329" t="str">
            <v>Europe</v>
          </cell>
          <cell r="AR329" t="str">
            <v>multi country</v>
          </cell>
          <cell r="AS329" t="str">
            <v>Central and Eastern Europe(CEE)</v>
          </cell>
          <cell r="AU329" t="str">
            <v>multi sector</v>
          </cell>
          <cell r="AW329">
            <v>20000000</v>
          </cell>
          <cell r="AX329">
            <v>55000000</v>
          </cell>
          <cell r="AY329">
            <v>2009</v>
          </cell>
          <cell r="AZ329">
            <v>2014</v>
          </cell>
          <cell r="BB329" t="str">
            <v>Yes</v>
          </cell>
          <cell r="BC329" t="str">
            <v>2 years fixed</v>
          </cell>
          <cell r="BD329" t="str">
            <v>No</v>
          </cell>
          <cell r="BE329" t="str">
            <v>≥ 60%</v>
          </cell>
          <cell r="BF329" t="str">
            <v>≤ 15%</v>
          </cell>
          <cell r="BG329" t="str">
            <v>&gt; 5 - ≤ 25%</v>
          </cell>
          <cell r="BH329" t="str">
            <v>2013-06-30</v>
          </cell>
          <cell r="BJ329">
            <v>0</v>
          </cell>
          <cell r="BK329">
            <v>24208206</v>
          </cell>
          <cell r="BL329">
            <v>24208206</v>
          </cell>
          <cell r="BN329" t="str">
            <v>Yes</v>
          </cell>
          <cell r="BO329" t="str">
            <v>External</v>
          </cell>
          <cell r="BQ329">
            <v>4</v>
          </cell>
          <cell r="BR329">
            <v>19900000</v>
          </cell>
          <cell r="BS329">
            <v>19900000</v>
          </cell>
          <cell r="BT329">
            <v>19900000</v>
          </cell>
          <cell r="BU329">
            <v>19900000</v>
          </cell>
          <cell r="BV329" t="str">
            <v>No</v>
          </cell>
          <cell r="BW329" t="str">
            <v>Lithuania</v>
          </cell>
          <cell r="BX329" t="str">
            <v>Office</v>
          </cell>
          <cell r="BY329">
            <v>25</v>
          </cell>
          <cell r="BZ329" t="str">
            <v>Lithuania</v>
          </cell>
          <cell r="CA329" t="str">
            <v>Retail</v>
          </cell>
          <cell r="CB329">
            <v>25</v>
          </cell>
          <cell r="CC329" t="str">
            <v>Latvia</v>
          </cell>
          <cell r="CD329" t="str">
            <v>Retail</v>
          </cell>
          <cell r="CE329">
            <v>10</v>
          </cell>
          <cell r="CF329" t="str">
            <v>Estonia</v>
          </cell>
          <cell r="CG329" t="str">
            <v>Office</v>
          </cell>
          <cell r="CH329">
            <v>40</v>
          </cell>
        </row>
        <row r="330">
          <cell r="A330">
            <v>17178</v>
          </cell>
          <cell r="B330" t="str">
            <v>LORDS LB BALTIC FUND II</v>
          </cell>
          <cell r="C330" t="str">
            <v>LORDS LB ASSET MANAGEMENT</v>
          </cell>
          <cell r="D330" t="str">
            <v>Jogailos 4</v>
          </cell>
          <cell r="F330" t="str">
            <v>Vilnius</v>
          </cell>
          <cell r="G330" t="str">
            <v>Lithuania</v>
          </cell>
          <cell r="H330" t="str">
            <v>+370 5 261 9470</v>
          </cell>
          <cell r="J330" t="str">
            <v>http://www.lordslb.com</v>
          </cell>
          <cell r="K330" t="str">
            <v>Marius Zemaitis</v>
          </cell>
          <cell r="L330" t="str">
            <v>info@lordslb.com</v>
          </cell>
          <cell r="M330" t="str">
            <v>+370 5 261 9470</v>
          </cell>
          <cell r="N330" t="str">
            <v>Vilma Tvaronaviciene</v>
          </cell>
          <cell r="O330" t="str">
            <v>info@lordslb.com</v>
          </cell>
          <cell r="P330" t="str">
            <v>+370 5 261 9470</v>
          </cell>
          <cell r="Q330" t="str">
            <v>Lithuania</v>
          </cell>
          <cell r="R330" t="str">
            <v>EUR</v>
          </cell>
          <cell r="S330" t="str">
            <v>IFRS</v>
          </cell>
          <cell r="T330" t="str">
            <v>Monthly</v>
          </cell>
          <cell r="U330" t="str">
            <v>Twice per year</v>
          </cell>
          <cell r="V330" t="str">
            <v>RICS</v>
          </cell>
          <cell r="W330" t="str">
            <v>the NAV calculation methodology as approved by the supervising authority - Bank of Lithuania</v>
          </cell>
          <cell r="X330" t="str">
            <v>PWC</v>
          </cell>
          <cell r="Y330" t="str">
            <v>Real Estate Fund</v>
          </cell>
          <cell r="Z330" t="str">
            <v>No</v>
          </cell>
          <cell r="AA330" t="str">
            <v>Yes</v>
          </cell>
          <cell r="AB330">
            <v>3</v>
          </cell>
          <cell r="AC330" t="str">
            <v>Non-Listed Fund</v>
          </cell>
          <cell r="AD330" t="str">
            <v>Core</v>
          </cell>
          <cell r="AE330" t="str">
            <v>finite</v>
          </cell>
          <cell r="AF330" t="str">
            <v>Closed end</v>
          </cell>
          <cell r="AG330">
            <v>20</v>
          </cell>
          <cell r="AH330">
            <v>25</v>
          </cell>
          <cell r="AI330" t="str">
            <v>Net</v>
          </cell>
          <cell r="AJ330" t="str">
            <v>absolute benchmark</v>
          </cell>
          <cell r="AL330">
            <v>75</v>
          </cell>
          <cell r="AM330" t="str">
            <v>&gt; 60%</v>
          </cell>
          <cell r="AN330" t="str">
            <v>Institutional and Retail</v>
          </cell>
          <cell r="AO330" t="str">
            <v>&gt; 2</v>
          </cell>
          <cell r="AP330" t="str">
            <v>≥ 50%</v>
          </cell>
          <cell r="AQ330" t="str">
            <v>Europe</v>
          </cell>
          <cell r="AR330" t="str">
            <v>multi country</v>
          </cell>
          <cell r="AS330" t="str">
            <v>Central and Eastern Europe(CEE)</v>
          </cell>
          <cell r="AU330" t="str">
            <v>multi sector</v>
          </cell>
          <cell r="AW330">
            <v>15</v>
          </cell>
          <cell r="AX330">
            <v>60</v>
          </cell>
          <cell r="AY330">
            <v>2011</v>
          </cell>
          <cell r="AZ330">
            <v>2016</v>
          </cell>
          <cell r="BB330" t="str">
            <v>Yes</v>
          </cell>
          <cell r="BC330" t="str">
            <v>2 years fixed</v>
          </cell>
          <cell r="BD330" t="str">
            <v>No</v>
          </cell>
          <cell r="BE330" t="str">
            <v>&lt; 60%</v>
          </cell>
          <cell r="BF330" t="str">
            <v>&gt; 15% - ≤ 40%</v>
          </cell>
          <cell r="BG330" t="str">
            <v>&gt; 5 - ≤ 25%</v>
          </cell>
          <cell r="BH330" t="str">
            <v>2013-06-30</v>
          </cell>
          <cell r="BJ330">
            <v>0</v>
          </cell>
          <cell r="BK330">
            <v>5538184</v>
          </cell>
          <cell r="BL330">
            <v>5538184</v>
          </cell>
          <cell r="BM330">
            <v>0</v>
          </cell>
          <cell r="BN330" t="str">
            <v>Yes</v>
          </cell>
          <cell r="BO330" t="str">
            <v>External</v>
          </cell>
          <cell r="BQ330">
            <v>1</v>
          </cell>
          <cell r="BR330">
            <v>7350000</v>
          </cell>
          <cell r="BS330">
            <v>7350000</v>
          </cell>
          <cell r="BT330">
            <v>5200000</v>
          </cell>
          <cell r="BU330">
            <v>5200000</v>
          </cell>
          <cell r="BV330" t="str">
            <v>No</v>
          </cell>
          <cell r="BW330" t="str">
            <v>Lithuania</v>
          </cell>
          <cell r="BX330" t="str">
            <v>Development Office</v>
          </cell>
          <cell r="BY330">
            <v>100</v>
          </cell>
        </row>
        <row r="331">
          <cell r="A331">
            <v>17179</v>
          </cell>
          <cell r="B331" t="str">
            <v>LORDS LB BALTIC FUND III</v>
          </cell>
          <cell r="C331" t="str">
            <v>LORDS LB ASSET MANAGEMENT</v>
          </cell>
          <cell r="D331" t="str">
            <v>Jogailos 4</v>
          </cell>
          <cell r="F331" t="str">
            <v>Vilnius</v>
          </cell>
          <cell r="G331" t="str">
            <v>Lithuania</v>
          </cell>
          <cell r="H331" t="str">
            <v>+370 5 261 9470</v>
          </cell>
          <cell r="J331" t="str">
            <v>http://www.lordslb.com</v>
          </cell>
          <cell r="K331" t="str">
            <v>Andrius Stonkus</v>
          </cell>
          <cell r="L331" t="str">
            <v>info@lordslb.com</v>
          </cell>
          <cell r="M331" t="str">
            <v>+370 5 261 9470</v>
          </cell>
          <cell r="N331" t="str">
            <v>Vilma Tvaronaviciene</v>
          </cell>
          <cell r="O331" t="str">
            <v>info@lordslb.com</v>
          </cell>
          <cell r="P331" t="str">
            <v>+370 5 261 9470</v>
          </cell>
          <cell r="Q331" t="str">
            <v>Lithuania</v>
          </cell>
          <cell r="R331" t="str">
            <v>EUR</v>
          </cell>
          <cell r="S331" t="str">
            <v>IFRS</v>
          </cell>
          <cell r="T331" t="str">
            <v>Monthly</v>
          </cell>
          <cell r="U331" t="str">
            <v>Twice per year</v>
          </cell>
          <cell r="V331" t="str">
            <v>RICS</v>
          </cell>
          <cell r="W331" t="str">
            <v>the NAV calculation metholodyg as aprroved by the supervisory authority - Bank of Lithuania</v>
          </cell>
          <cell r="X331" t="str">
            <v>PWC</v>
          </cell>
          <cell r="Y331" t="str">
            <v>Real Estate Fund</v>
          </cell>
          <cell r="Z331" t="str">
            <v>No</v>
          </cell>
          <cell r="AA331" t="str">
            <v>Yes</v>
          </cell>
          <cell r="AB331">
            <v>3</v>
          </cell>
          <cell r="AC331" t="str">
            <v>Non-Listed Fund</v>
          </cell>
          <cell r="AD331" t="str">
            <v>Core</v>
          </cell>
          <cell r="AE331" t="str">
            <v>finite</v>
          </cell>
          <cell r="AF331" t="str">
            <v>Closed end</v>
          </cell>
          <cell r="AG331">
            <v>18</v>
          </cell>
          <cell r="AH331">
            <v>18</v>
          </cell>
          <cell r="AI331" t="str">
            <v>Net</v>
          </cell>
          <cell r="AJ331" t="str">
            <v>absolute benchmark</v>
          </cell>
          <cell r="AL331">
            <v>75</v>
          </cell>
          <cell r="AM331" t="str">
            <v>&gt; 60%</v>
          </cell>
          <cell r="AN331" t="str">
            <v>Institutional and Retail</v>
          </cell>
          <cell r="AO331" t="str">
            <v>&gt; 2</v>
          </cell>
          <cell r="AP331" t="str">
            <v>≥ 50%</v>
          </cell>
          <cell r="AQ331" t="str">
            <v>Europe</v>
          </cell>
          <cell r="AR331" t="str">
            <v>multi country</v>
          </cell>
          <cell r="AS331" t="str">
            <v>Central and Eastern Europe(CEE)</v>
          </cell>
          <cell r="AU331" t="str">
            <v>multi sector</v>
          </cell>
          <cell r="AW331">
            <v>50000000</v>
          </cell>
          <cell r="AX331">
            <v>200000000</v>
          </cell>
          <cell r="AY331">
            <v>2013</v>
          </cell>
          <cell r="AZ331">
            <v>2020</v>
          </cell>
          <cell r="BB331" t="str">
            <v>Yes</v>
          </cell>
          <cell r="BC331" t="str">
            <v>2 years fixed</v>
          </cell>
          <cell r="BD331" t="str">
            <v>No</v>
          </cell>
          <cell r="BE331" t="str">
            <v>≥ 60%</v>
          </cell>
          <cell r="BF331" t="str">
            <v>≤ 15%</v>
          </cell>
          <cell r="BG331" t="str">
            <v>&gt; 5 - ≤ 25%</v>
          </cell>
        </row>
        <row r="332">
          <cell r="A332">
            <v>319</v>
          </cell>
          <cell r="B332" t="str">
            <v>LOTHBURY PROPERTY TRUST</v>
          </cell>
          <cell r="C332" t="str">
            <v>LOTHBURY INVESTMENT MANAGEMENT LTD</v>
          </cell>
          <cell r="D332" t="str">
            <v>155 Bishopsgate</v>
          </cell>
          <cell r="E332" t="str">
            <v>EC2M 3TQ</v>
          </cell>
          <cell r="F332" t="str">
            <v>London</v>
          </cell>
          <cell r="G332" t="str">
            <v>United Kingdom</v>
          </cell>
          <cell r="H332" t="str">
            <v>+44 203 551 4900</v>
          </cell>
          <cell r="I332" t="str">
            <v>+44 203 551 4920</v>
          </cell>
          <cell r="J332" t="str">
            <v>http://www.lothburyim.com</v>
          </cell>
          <cell r="K332" t="str">
            <v>Joanna Bond</v>
          </cell>
          <cell r="L332" t="str">
            <v>jo.bond@lothburyim.com</v>
          </cell>
          <cell r="M332" t="str">
            <v>+44 203 551 4915</v>
          </cell>
          <cell r="N332" t="str">
            <v>Jo Bond</v>
          </cell>
          <cell r="O332" t="str">
            <v>jo.bond@lothburyim.com</v>
          </cell>
          <cell r="P332" t="str">
            <v>+44 203 551 4915</v>
          </cell>
          <cell r="Q332" t="str">
            <v>Ireland</v>
          </cell>
          <cell r="R332" t="str">
            <v>GBP</v>
          </cell>
          <cell r="T332" t="str">
            <v>Quarterly</v>
          </cell>
          <cell r="U332" t="str">
            <v>Monthly</v>
          </cell>
          <cell r="V332" t="str">
            <v>RICS</v>
          </cell>
          <cell r="W332" t="str">
            <v>IFRS NAV</v>
          </cell>
          <cell r="X332" t="str">
            <v>KPMG</v>
          </cell>
          <cell r="Y332" t="str">
            <v>Property Unit Trust</v>
          </cell>
          <cell r="Z332" t="str">
            <v>No</v>
          </cell>
          <cell r="AA332" t="str">
            <v>Yes</v>
          </cell>
          <cell r="AB332">
            <v>7</v>
          </cell>
          <cell r="AC332" t="str">
            <v>Non-Listed Fund</v>
          </cell>
          <cell r="AD332" t="str">
            <v>Core</v>
          </cell>
          <cell r="AE332" t="str">
            <v>infinite</v>
          </cell>
          <cell r="AF332" t="str">
            <v>Open end</v>
          </cell>
          <cell r="AI332" t="str">
            <v>Gross</v>
          </cell>
          <cell r="AJ332" t="str">
            <v>MSCI/AREF UK All Balanced Quarterly Property Fund Index</v>
          </cell>
          <cell r="AM332" t="str">
            <v>≤ 40%</v>
          </cell>
          <cell r="AN332" t="str">
            <v>Institutional</v>
          </cell>
          <cell r="AO332" t="str">
            <v>&gt; 2</v>
          </cell>
          <cell r="AP332" t="str">
            <v>≥ 50%</v>
          </cell>
          <cell r="AQ332" t="str">
            <v>Europe</v>
          </cell>
          <cell r="AR332" t="str">
            <v>single country</v>
          </cell>
          <cell r="AT332" t="str">
            <v>United Kingdom</v>
          </cell>
          <cell r="AU332" t="str">
            <v>multi sector</v>
          </cell>
          <cell r="AX332">
            <v>800000000</v>
          </cell>
          <cell r="AY332">
            <v>2000</v>
          </cell>
          <cell r="BA332" t="str">
            <v>No</v>
          </cell>
          <cell r="BB332" t="str">
            <v>No</v>
          </cell>
          <cell r="BH332" t="str">
            <v>2020-12-31</v>
          </cell>
          <cell r="BI332">
            <v>1618682376.78</v>
          </cell>
          <cell r="BJ332">
            <v>1789532836.7415781</v>
          </cell>
          <cell r="BK332">
            <v>1602329647.76</v>
          </cell>
          <cell r="BL332">
            <v>1771454091.9727371</v>
          </cell>
          <cell r="BM332">
            <v>0</v>
          </cell>
          <cell r="BN332" t="str">
            <v>Yes</v>
          </cell>
          <cell r="BO332" t="str">
            <v>External</v>
          </cell>
          <cell r="BP332">
            <v>104</v>
          </cell>
          <cell r="BQ332">
            <v>52</v>
          </cell>
          <cell r="BR332">
            <v>0</v>
          </cell>
          <cell r="BS332">
            <v>0</v>
          </cell>
          <cell r="BT332">
            <v>1530948956.76</v>
          </cell>
          <cell r="BV332" t="str">
            <v>No</v>
          </cell>
          <cell r="BW332" t="str">
            <v>United Kingdom</v>
          </cell>
          <cell r="BX332" t="str">
            <v>Other</v>
          </cell>
          <cell r="BY332">
            <v>12.6</v>
          </cell>
          <cell r="BZ332" t="str">
            <v>United Kingdom</v>
          </cell>
          <cell r="CA332" t="str">
            <v>Industrial / Logistics</v>
          </cell>
          <cell r="CB332">
            <v>24.9</v>
          </cell>
          <cell r="CC332" t="str">
            <v>United Kingdom</v>
          </cell>
          <cell r="CD332" t="str">
            <v>Retail</v>
          </cell>
          <cell r="CE332">
            <v>32.4</v>
          </cell>
          <cell r="CF332" t="str">
            <v>United Kingdom</v>
          </cell>
          <cell r="CG332" t="str">
            <v>Office</v>
          </cell>
          <cell r="CH332">
            <v>25.7</v>
          </cell>
        </row>
        <row r="333">
          <cell r="A333">
            <v>321</v>
          </cell>
          <cell r="B333" t="str">
            <v>M&amp;G EUROPEAN PROPERTY FUND</v>
          </cell>
          <cell r="C333" t="str">
            <v>M&amp;G REAL ESTATE</v>
          </cell>
          <cell r="D333" t="str">
            <v>10 Fenchurch Avenue</v>
          </cell>
          <cell r="E333" t="str">
            <v>EC3M 5AG</v>
          </cell>
          <cell r="F333" t="str">
            <v>London</v>
          </cell>
          <cell r="G333" t="str">
            <v>United Kingdom</v>
          </cell>
          <cell r="H333" t="str">
            <v>+442075486600</v>
          </cell>
          <cell r="I333" t="str">
            <v>+442075483058</v>
          </cell>
          <cell r="J333" t="str">
            <v>http://www.mandg.co.uk/institutions/realestate/</v>
          </cell>
          <cell r="K333" t="str">
            <v>David Jackson</v>
          </cell>
          <cell r="L333" t="str">
            <v>David.Jackson@mandg.com</v>
          </cell>
          <cell r="M333" t="str">
            <v>+442075486905</v>
          </cell>
          <cell r="N333" t="str">
            <v>Nioki Doggett</v>
          </cell>
          <cell r="O333" t="str">
            <v>nioki.doggett@mandg.com</v>
          </cell>
          <cell r="P333" t="str">
            <v>+442039771243</v>
          </cell>
          <cell r="Q333" t="str">
            <v>Luxembourg</v>
          </cell>
          <cell r="R333" t="str">
            <v>EUR</v>
          </cell>
          <cell r="S333" t="str">
            <v>IFRS</v>
          </cell>
          <cell r="T333" t="str">
            <v>Quarterly</v>
          </cell>
          <cell r="U333" t="str">
            <v>Monthly</v>
          </cell>
          <cell r="V333" t="str">
            <v>RICS</v>
          </cell>
          <cell r="W333" t="str">
            <v>Adjusted IFRS NAV</v>
          </cell>
          <cell r="X333" t="str">
            <v>Ernst &amp; Young</v>
          </cell>
          <cell r="Y333" t="str">
            <v>SICAV</v>
          </cell>
          <cell r="Z333" t="str">
            <v>Yes</v>
          </cell>
          <cell r="AA333" t="str">
            <v>Yes</v>
          </cell>
          <cell r="AB333">
            <v>3</v>
          </cell>
          <cell r="AC333" t="str">
            <v>Non-Listed Fund</v>
          </cell>
          <cell r="AD333" t="str">
            <v>Core</v>
          </cell>
          <cell r="AE333" t="str">
            <v>infinite</v>
          </cell>
          <cell r="AF333" t="str">
            <v>Open end</v>
          </cell>
          <cell r="AG333">
            <v>7</v>
          </cell>
          <cell r="AH333">
            <v>7</v>
          </cell>
          <cell r="AI333" t="str">
            <v>Net</v>
          </cell>
          <cell r="AL333">
            <v>30</v>
          </cell>
          <cell r="AM333" t="str">
            <v>≤ 40%</v>
          </cell>
          <cell r="AN333" t="str">
            <v>Institutional</v>
          </cell>
          <cell r="AO333" t="str">
            <v>&gt; 2</v>
          </cell>
          <cell r="AP333" t="str">
            <v>≥ 50%</v>
          </cell>
          <cell r="AQ333" t="str">
            <v>Europe</v>
          </cell>
          <cell r="AR333" t="str">
            <v>multi country</v>
          </cell>
          <cell r="AS333" t="str">
            <v>Europe</v>
          </cell>
          <cell r="AU333" t="str">
            <v>multi sector</v>
          </cell>
          <cell r="AY333">
            <v>2006</v>
          </cell>
          <cell r="BE333" t="str">
            <v>≥ 60%</v>
          </cell>
          <cell r="BF333" t="str">
            <v>≤ 15%</v>
          </cell>
          <cell r="BG333" t="str">
            <v>≤ 5%</v>
          </cell>
          <cell r="BH333" t="str">
            <v>2020-12-31</v>
          </cell>
          <cell r="BI333">
            <v>4216556453</v>
          </cell>
          <cell r="BJ333">
            <v>4216556453</v>
          </cell>
          <cell r="BK333">
            <v>3333137620</v>
          </cell>
          <cell r="BL333">
            <v>3333137620</v>
          </cell>
          <cell r="BM333">
            <v>12.7</v>
          </cell>
          <cell r="BN333" t="str">
            <v>No</v>
          </cell>
          <cell r="BO333" t="str">
            <v>External</v>
          </cell>
          <cell r="BP333">
            <v>73</v>
          </cell>
          <cell r="BQ333">
            <v>83</v>
          </cell>
          <cell r="BR333">
            <v>3753575046</v>
          </cell>
          <cell r="BS333">
            <v>3753575046</v>
          </cell>
          <cell r="BT333">
            <v>3109130663</v>
          </cell>
          <cell r="BU333">
            <v>3109130663</v>
          </cell>
          <cell r="BV333" t="str">
            <v>Yes</v>
          </cell>
          <cell r="BW333" t="str">
            <v>Sweden</v>
          </cell>
          <cell r="BX333" t="str">
            <v>Residential</v>
          </cell>
          <cell r="BY333">
            <v>0</v>
          </cell>
          <cell r="BZ333" t="str">
            <v>Sweden</v>
          </cell>
          <cell r="CA333" t="str">
            <v>Industrial / Logistics</v>
          </cell>
          <cell r="CB333">
            <v>3.9</v>
          </cell>
          <cell r="CC333" t="str">
            <v>Sweden</v>
          </cell>
          <cell r="CD333" t="str">
            <v>Retail</v>
          </cell>
          <cell r="CE333">
            <v>0.2</v>
          </cell>
          <cell r="CF333" t="str">
            <v>Sweden</v>
          </cell>
          <cell r="CG333" t="str">
            <v>Office</v>
          </cell>
          <cell r="CH333">
            <v>8.6</v>
          </cell>
          <cell r="CI333" t="str">
            <v>Spain</v>
          </cell>
          <cell r="CJ333" t="str">
            <v>Residential</v>
          </cell>
          <cell r="CK333">
            <v>0.4</v>
          </cell>
          <cell r="CL333" t="str">
            <v>Spain</v>
          </cell>
          <cell r="CM333" t="str">
            <v>Industrial / Logistics</v>
          </cell>
          <cell r="CN333">
            <v>2.2000000000000002</v>
          </cell>
          <cell r="CO333" t="str">
            <v>Spain</v>
          </cell>
          <cell r="CP333" t="str">
            <v>Retail</v>
          </cell>
          <cell r="CQ333">
            <v>0.8</v>
          </cell>
          <cell r="CR333" t="str">
            <v>Spain</v>
          </cell>
          <cell r="CS333" t="str">
            <v>Office</v>
          </cell>
          <cell r="CT333">
            <v>7.4</v>
          </cell>
          <cell r="CU333" t="str">
            <v>Portugal</v>
          </cell>
          <cell r="CV333" t="str">
            <v>Residential</v>
          </cell>
          <cell r="CW333">
            <v>0</v>
          </cell>
          <cell r="CX333" t="str">
            <v>Portugal</v>
          </cell>
          <cell r="CY333" t="str">
            <v>Industrial / Logistics</v>
          </cell>
          <cell r="CZ333">
            <v>0</v>
          </cell>
          <cell r="DA333" t="str">
            <v>Portugal</v>
          </cell>
          <cell r="DB333" t="str">
            <v>Retail</v>
          </cell>
          <cell r="DC333">
            <v>3.4</v>
          </cell>
          <cell r="DD333" t="str">
            <v>Portugal</v>
          </cell>
          <cell r="DE333" t="str">
            <v>Office</v>
          </cell>
          <cell r="DF333">
            <v>1.2</v>
          </cell>
          <cell r="DG333" t="str">
            <v>Poland</v>
          </cell>
          <cell r="DH333" t="str">
            <v>Residential</v>
          </cell>
          <cell r="DI333">
            <v>0</v>
          </cell>
          <cell r="DJ333" t="str">
            <v>Poland</v>
          </cell>
          <cell r="DK333" t="str">
            <v>Industrial / Logistics</v>
          </cell>
          <cell r="DL333">
            <v>2.5</v>
          </cell>
          <cell r="DM333" t="str">
            <v>Poland</v>
          </cell>
          <cell r="DN333" t="str">
            <v>Retail</v>
          </cell>
          <cell r="DO333">
            <v>0</v>
          </cell>
          <cell r="DP333" t="str">
            <v>Poland</v>
          </cell>
          <cell r="DQ333" t="str">
            <v>Office</v>
          </cell>
          <cell r="DR333">
            <v>0</v>
          </cell>
          <cell r="DS333" t="str">
            <v>Netherlands</v>
          </cell>
          <cell r="DT333" t="str">
            <v>Residential</v>
          </cell>
          <cell r="DU333">
            <v>0</v>
          </cell>
          <cell r="DV333" t="str">
            <v>Netherlands</v>
          </cell>
          <cell r="DW333" t="str">
            <v>Industrial / Logistics</v>
          </cell>
          <cell r="DX333">
            <v>2.2000000000000002</v>
          </cell>
          <cell r="DY333" t="str">
            <v>Netherlands</v>
          </cell>
          <cell r="DZ333" t="str">
            <v>Retail</v>
          </cell>
          <cell r="EA333">
            <v>0</v>
          </cell>
          <cell r="EB333" t="str">
            <v>Netherlands</v>
          </cell>
          <cell r="EC333" t="str">
            <v>Office</v>
          </cell>
          <cell r="ED333">
            <v>2.2000000000000002</v>
          </cell>
          <cell r="EE333" t="str">
            <v>Luxembourg</v>
          </cell>
          <cell r="EF333" t="str">
            <v>Residential</v>
          </cell>
          <cell r="EG333">
            <v>0</v>
          </cell>
          <cell r="EH333" t="str">
            <v>Luxembourg</v>
          </cell>
          <cell r="EI333" t="str">
            <v>Industrial / Logistics</v>
          </cell>
          <cell r="EJ333">
            <v>0</v>
          </cell>
          <cell r="EK333" t="str">
            <v>Luxembourg</v>
          </cell>
          <cell r="EL333" t="str">
            <v>Retail</v>
          </cell>
          <cell r="EM333">
            <v>0</v>
          </cell>
          <cell r="EN333" t="str">
            <v>Luxembourg</v>
          </cell>
          <cell r="EO333" t="str">
            <v>Office</v>
          </cell>
          <cell r="EP333">
            <v>2</v>
          </cell>
          <cell r="EQ333" t="str">
            <v>Italy</v>
          </cell>
          <cell r="ER333" t="str">
            <v>Residential</v>
          </cell>
          <cell r="ES333">
            <v>0</v>
          </cell>
          <cell r="ET333" t="str">
            <v>Italy</v>
          </cell>
          <cell r="EU333" t="str">
            <v>Industrial / Logistics</v>
          </cell>
        </row>
        <row r="334">
          <cell r="A334">
            <v>323</v>
          </cell>
          <cell r="B334" t="str">
            <v>M&amp;G PROPERTY PORTFOLIO</v>
          </cell>
          <cell r="C334" t="str">
            <v>PRUDENTIAL PROPERTY INVESTMENT MANAGERS</v>
          </cell>
          <cell r="D334" t="str">
            <v>Governor's House, Laurence Pountney Hill</v>
          </cell>
          <cell r="E334" t="str">
            <v>EC4R 0HH</v>
          </cell>
          <cell r="F334" t="str">
            <v>London</v>
          </cell>
          <cell r="G334" t="str">
            <v>United Kingdom</v>
          </cell>
          <cell r="H334" t="str">
            <v>+44 (0) 20 7548 6600</v>
          </cell>
          <cell r="I334" t="str">
            <v>+44 (0) 20 7548 3058</v>
          </cell>
          <cell r="J334" t="str">
            <v>http://www.prupim.com</v>
          </cell>
          <cell r="K334" t="str">
            <v>Henrietta Walker</v>
          </cell>
          <cell r="L334" t="str">
            <v>henrietta.walker@prupim.com</v>
          </cell>
          <cell r="M334" t="str">
            <v>+44 (0)20 7548 6752</v>
          </cell>
          <cell r="N334" t="str">
            <v>Fiona Rowley</v>
          </cell>
          <cell r="O334" t="str">
            <v>fiona.rowley@prupim.com</v>
          </cell>
          <cell r="P334" t="str">
            <v>+44 (0) 20 7548 6753</v>
          </cell>
          <cell r="Q334" t="str">
            <v>United Kingdom</v>
          </cell>
          <cell r="R334" t="str">
            <v>GBP</v>
          </cell>
          <cell r="S334" t="str">
            <v>IFRS</v>
          </cell>
          <cell r="T334" t="str">
            <v>Twice per year</v>
          </cell>
          <cell r="U334" t="str">
            <v>Monthly</v>
          </cell>
          <cell r="X334" t="str">
            <v>PriceWaterhouseCoopers</v>
          </cell>
          <cell r="Y334" t="str">
            <v>Property Unit Trust</v>
          </cell>
          <cell r="AA334" t="str">
            <v>No</v>
          </cell>
          <cell r="AB334">
            <v>0</v>
          </cell>
          <cell r="AC334" t="str">
            <v>Non-Listed Fund</v>
          </cell>
          <cell r="AD334" t="str">
            <v>Core</v>
          </cell>
          <cell r="AE334" t="str">
            <v>infinite</v>
          </cell>
          <cell r="AF334" t="str">
            <v>Open end</v>
          </cell>
          <cell r="AI334" t="str">
            <v>Gross</v>
          </cell>
          <cell r="AJ334" t="str">
            <v>IPD UK Monthly Index</v>
          </cell>
          <cell r="AM334" t="str">
            <v>≤ 40%</v>
          </cell>
          <cell r="AN334" t="str">
            <v>Institutional and Retail</v>
          </cell>
          <cell r="AQ334" t="str">
            <v>Europe</v>
          </cell>
          <cell r="AR334" t="str">
            <v>single country</v>
          </cell>
          <cell r="AT334" t="str">
            <v>United Kingdom</v>
          </cell>
          <cell r="AU334" t="str">
            <v>multi sector</v>
          </cell>
          <cell r="AY334">
            <v>2005</v>
          </cell>
          <cell r="BA334" t="str">
            <v>Yes</v>
          </cell>
          <cell r="BB334" t="str">
            <v>Yes</v>
          </cell>
          <cell r="BC334" t="str">
            <v>1 year</v>
          </cell>
          <cell r="BH334" t="str">
            <v>2014-06-30</v>
          </cell>
          <cell r="BJ334">
            <v>0</v>
          </cell>
          <cell r="BK334">
            <v>3163170000</v>
          </cell>
          <cell r="BL334">
            <v>3951431964</v>
          </cell>
          <cell r="BQ334">
            <v>186</v>
          </cell>
          <cell r="BS334">
            <v>0</v>
          </cell>
        </row>
        <row r="335">
          <cell r="A335">
            <v>585</v>
          </cell>
          <cell r="B335" t="str">
            <v>M&amp;G SECURED PROPERTY INCOME FUND</v>
          </cell>
          <cell r="C335" t="str">
            <v>M&amp;G INVESTMENTS</v>
          </cell>
          <cell r="D335" t="str">
            <v>10 Fenchurch Avenue</v>
          </cell>
          <cell r="E335" t="str">
            <v>EC3M 5AG</v>
          </cell>
          <cell r="F335" t="str">
            <v>London</v>
          </cell>
          <cell r="G335" t="str">
            <v>United Kingdom</v>
          </cell>
          <cell r="H335" t="str">
            <v>+442075486600</v>
          </cell>
          <cell r="I335" t="str">
            <v>+442075483058</v>
          </cell>
          <cell r="J335" t="str">
            <v>http://www.mandg.co.uk</v>
          </cell>
          <cell r="K335" t="str">
            <v>Holly Johnstone</v>
          </cell>
          <cell r="L335" t="str">
            <v>Holly.Johnstone@mandg.co.uk</v>
          </cell>
          <cell r="M335" t="str">
            <v>+442039773584</v>
          </cell>
          <cell r="N335" t="str">
            <v>Mabel Chui</v>
          </cell>
          <cell r="O335" t="str">
            <v>mabel.chui@mandg.co.uk</v>
          </cell>
          <cell r="P335" t="str">
            <v>+442075486642</v>
          </cell>
          <cell r="Q335" t="str">
            <v>Guernsey</v>
          </cell>
          <cell r="R335" t="str">
            <v>GBP</v>
          </cell>
          <cell r="S335" t="str">
            <v>IFRS</v>
          </cell>
          <cell r="T335" t="str">
            <v>Annually</v>
          </cell>
          <cell r="U335" t="str">
            <v>Monthly</v>
          </cell>
          <cell r="V335" t="str">
            <v>RICS</v>
          </cell>
          <cell r="W335" t="str">
            <v>FRS102</v>
          </cell>
          <cell r="X335" t="str">
            <v>Ernst &amp; Young</v>
          </cell>
          <cell r="Y335" t="str">
            <v>GPUT</v>
          </cell>
          <cell r="Z335" t="str">
            <v>Yes</v>
          </cell>
          <cell r="AA335" t="str">
            <v>Yes</v>
          </cell>
          <cell r="AB335">
            <v>4</v>
          </cell>
          <cell r="AC335" t="str">
            <v>Non-Listed Fund</v>
          </cell>
          <cell r="AD335" t="str">
            <v>Core</v>
          </cell>
          <cell r="AE335" t="str">
            <v>infinite</v>
          </cell>
          <cell r="AF335" t="str">
            <v>Open end</v>
          </cell>
          <cell r="AG335">
            <v>0</v>
          </cell>
          <cell r="AH335">
            <v>10</v>
          </cell>
          <cell r="AI335" t="str">
            <v>Gross</v>
          </cell>
          <cell r="AJ335" t="str">
            <v>N/A – long-term total return focus</v>
          </cell>
          <cell r="AK335">
            <v>4</v>
          </cell>
          <cell r="AM335" t="str">
            <v>≤ 40%</v>
          </cell>
          <cell r="AN335" t="str">
            <v>Institutional</v>
          </cell>
          <cell r="AO335" t="str">
            <v>&gt; 2</v>
          </cell>
          <cell r="AP335" t="str">
            <v>≥ 50%</v>
          </cell>
          <cell r="AQ335" t="str">
            <v>Europe</v>
          </cell>
          <cell r="AR335" t="str">
            <v>single country</v>
          </cell>
          <cell r="AT335" t="str">
            <v>United Kingdom</v>
          </cell>
          <cell r="AU335" t="str">
            <v>multi sector</v>
          </cell>
          <cell r="AY335">
            <v>2007</v>
          </cell>
          <cell r="BD335" t="str">
            <v>No</v>
          </cell>
          <cell r="BE335" t="str">
            <v>≥ 60%</v>
          </cell>
          <cell r="BH335" t="str">
            <v>2020-12-31</v>
          </cell>
          <cell r="BI335">
            <v>4492753372.1700001</v>
          </cell>
          <cell r="BJ335">
            <v>4966959424.6607418</v>
          </cell>
          <cell r="BK335">
            <v>4492753372.1700001</v>
          </cell>
          <cell r="BL335">
            <v>4966959424.6607418</v>
          </cell>
          <cell r="BM335">
            <v>0</v>
          </cell>
          <cell r="BN335" t="str">
            <v>No</v>
          </cell>
          <cell r="BO335" t="str">
            <v>External</v>
          </cell>
          <cell r="BP335">
            <v>83</v>
          </cell>
          <cell r="BQ335">
            <v>240</v>
          </cell>
          <cell r="BR335">
            <v>4808497937.6099997</v>
          </cell>
          <cell r="BS335">
            <v>5279512031.0649338</v>
          </cell>
          <cell r="BT335">
            <v>4572358437.6099997</v>
          </cell>
          <cell r="BU335">
            <v>5020241600.3741989</v>
          </cell>
          <cell r="BV335" t="str">
            <v>Yes</v>
          </cell>
          <cell r="BW335" t="str">
            <v>United Kingdom</v>
          </cell>
          <cell r="BX335" t="str">
            <v>Health Care</v>
          </cell>
          <cell r="BY335">
            <v>5.56</v>
          </cell>
          <cell r="BZ335" t="str">
            <v>United Kingdom</v>
          </cell>
          <cell r="CA335" t="str">
            <v>Hotel</v>
          </cell>
          <cell r="CB335">
            <v>15.05</v>
          </cell>
          <cell r="CC335" t="str">
            <v>United Kingdom</v>
          </cell>
          <cell r="CD335" t="str">
            <v>Industrial / Logistics</v>
          </cell>
          <cell r="CE335">
            <v>4.53</v>
          </cell>
          <cell r="CF335" t="str">
            <v>United Kingdom</v>
          </cell>
          <cell r="CG335" t="str">
            <v>Leisure</v>
          </cell>
          <cell r="CH335">
            <v>13.31</v>
          </cell>
          <cell r="CI335" t="str">
            <v>United Kingdom</v>
          </cell>
          <cell r="CJ335" t="str">
            <v>Office</v>
          </cell>
          <cell r="CK335">
            <v>21.71</v>
          </cell>
          <cell r="CL335" t="str">
            <v>United Kingdom</v>
          </cell>
          <cell r="CM335" t="str">
            <v>Other</v>
          </cell>
          <cell r="CN335">
            <v>1.83</v>
          </cell>
          <cell r="CO335" t="str">
            <v>United Kingdom</v>
          </cell>
          <cell r="CP335" t="str">
            <v>Residential</v>
          </cell>
          <cell r="CQ335">
            <v>5.72</v>
          </cell>
          <cell r="CR335" t="str">
            <v>United Kingdom</v>
          </cell>
          <cell r="CS335" t="str">
            <v>Student Housing</v>
          </cell>
          <cell r="CT335">
            <v>5.41</v>
          </cell>
          <cell r="CU335" t="str">
            <v>United Kingdom</v>
          </cell>
          <cell r="CV335" t="str">
            <v>Retail</v>
          </cell>
          <cell r="CW335">
            <v>26.88</v>
          </cell>
        </row>
        <row r="336">
          <cell r="A336">
            <v>452</v>
          </cell>
          <cell r="B336" t="str">
            <v>M&amp;G UK PROPERTY FUND</v>
          </cell>
          <cell r="C336" t="str">
            <v>M&amp;G REAL ESTATE</v>
          </cell>
          <cell r="D336" t="str">
            <v>10 Fenchurch Avenue</v>
          </cell>
          <cell r="E336" t="str">
            <v>EC3M 5AG</v>
          </cell>
          <cell r="F336" t="str">
            <v>London</v>
          </cell>
          <cell r="G336" t="str">
            <v>United Kingdom</v>
          </cell>
          <cell r="H336" t="str">
            <v>+442075486600</v>
          </cell>
          <cell r="I336" t="str">
            <v>+442075483058</v>
          </cell>
          <cell r="J336" t="str">
            <v>http://www.mandg.co.uk/institutions/realestate/</v>
          </cell>
          <cell r="K336" t="str">
            <v>Dermot Kiernan</v>
          </cell>
          <cell r="L336" t="str">
            <v>Dermot.Kiernan@mandg.com</v>
          </cell>
          <cell r="M336" t="str">
            <v>+447775676405</v>
          </cell>
          <cell r="N336" t="str">
            <v>Kay Akast</v>
          </cell>
          <cell r="O336" t="str">
            <v>kay.akast@mandg.com</v>
          </cell>
          <cell r="P336" t="str">
            <v>+442039771231</v>
          </cell>
          <cell r="Q336" t="str">
            <v>United Kingdom</v>
          </cell>
          <cell r="R336" t="str">
            <v>GBP</v>
          </cell>
          <cell r="S336" t="str">
            <v>IFRS</v>
          </cell>
          <cell r="T336" t="str">
            <v>Annually</v>
          </cell>
          <cell r="U336" t="str">
            <v>Quarterly</v>
          </cell>
          <cell r="V336" t="str">
            <v>RICS</v>
          </cell>
          <cell r="W336" t="str">
            <v>INREV NAV</v>
          </cell>
          <cell r="X336" t="str">
            <v>KPMG</v>
          </cell>
          <cell r="Y336" t="str">
            <v>Managed Fund</v>
          </cell>
          <cell r="Z336" t="str">
            <v>Yes</v>
          </cell>
          <cell r="AB336">
            <v>0</v>
          </cell>
          <cell r="AC336" t="str">
            <v>Non-Listed Fund</v>
          </cell>
          <cell r="AD336" t="str">
            <v>Core</v>
          </cell>
          <cell r="AE336" t="str">
            <v>infinite</v>
          </cell>
          <cell r="AF336" t="str">
            <v>Open end</v>
          </cell>
          <cell r="AJ336" t="str">
            <v>CAPS Pooled Property Fund Median</v>
          </cell>
          <cell r="AL336">
            <v>0</v>
          </cell>
          <cell r="AM336" t="str">
            <v>≤ 40%</v>
          </cell>
          <cell r="AN336" t="str">
            <v>Institutional</v>
          </cell>
          <cell r="AO336" t="str">
            <v>&gt; 2</v>
          </cell>
          <cell r="AP336" t="str">
            <v>≥ 50%</v>
          </cell>
          <cell r="AQ336" t="str">
            <v>Europe</v>
          </cell>
          <cell r="AR336" t="str">
            <v>single country</v>
          </cell>
          <cell r="AT336" t="str">
            <v>United Kingdom</v>
          </cell>
          <cell r="AU336" t="str">
            <v>multi sector</v>
          </cell>
          <cell r="AY336">
            <v>1971</v>
          </cell>
          <cell r="BH336" t="str">
            <v>2020-12-31</v>
          </cell>
          <cell r="BI336">
            <v>460473223.63</v>
          </cell>
          <cell r="BJ336">
            <v>509075755.65587908</v>
          </cell>
          <cell r="BK336">
            <v>455219644</v>
          </cell>
          <cell r="BL336">
            <v>503267665.45042223</v>
          </cell>
          <cell r="BM336">
            <v>0</v>
          </cell>
          <cell r="BN336" t="str">
            <v>No</v>
          </cell>
          <cell r="BO336" t="str">
            <v>External</v>
          </cell>
          <cell r="BP336">
            <v>4</v>
          </cell>
          <cell r="BQ336">
            <v>29</v>
          </cell>
          <cell r="BR336">
            <v>604038162</v>
          </cell>
          <cell r="BS336">
            <v>663206428.46868157</v>
          </cell>
          <cell r="BT336">
            <v>604038162</v>
          </cell>
          <cell r="BU336">
            <v>663206428.46868157</v>
          </cell>
          <cell r="BV336" t="str">
            <v>Yes</v>
          </cell>
          <cell r="BW336" t="str">
            <v>United Kingdom</v>
          </cell>
          <cell r="BX336" t="str">
            <v>Other</v>
          </cell>
          <cell r="BY336">
            <v>12.9</v>
          </cell>
          <cell r="BZ336" t="str">
            <v>United Kingdom</v>
          </cell>
          <cell r="CA336" t="str">
            <v>Industrial / Logistics</v>
          </cell>
          <cell r="CB336">
            <v>38</v>
          </cell>
          <cell r="CC336" t="str">
            <v>United Kingdom</v>
          </cell>
          <cell r="CD336" t="str">
            <v>Retail</v>
          </cell>
          <cell r="CE336">
            <v>27.3</v>
          </cell>
          <cell r="CF336" t="str">
            <v>United Kingdom</v>
          </cell>
          <cell r="CG336" t="str">
            <v>Office</v>
          </cell>
          <cell r="CH336">
            <v>17.3</v>
          </cell>
        </row>
        <row r="337">
          <cell r="A337">
            <v>17263</v>
          </cell>
          <cell r="B337" t="str">
            <v>M&amp;G UK RESIDENTIAL PROPERTY FUND</v>
          </cell>
          <cell r="C337" t="str">
            <v>M&amp;G REAL ESTATE</v>
          </cell>
          <cell r="D337" t="str">
            <v>City Place House, 55 Basinghall Street</v>
          </cell>
          <cell r="E337" t="str">
            <v xml:space="preserve">EC2V 5DU </v>
          </cell>
          <cell r="F337" t="str">
            <v>London</v>
          </cell>
          <cell r="G337" t="str">
            <v>United Kingdom</v>
          </cell>
          <cell r="H337" t="str">
            <v>0207 548 6600</v>
          </cell>
          <cell r="I337" t="str">
            <v>0207 548 6969</v>
          </cell>
          <cell r="J337" t="str">
            <v>http://www.mandg.co.uk/institutions/realestate/</v>
          </cell>
          <cell r="K337" t="str">
            <v>Alex Greaves</v>
          </cell>
          <cell r="L337" t="str">
            <v>Alex.Greaves@mandg.com</v>
          </cell>
          <cell r="M337" t="str">
            <v>+44 7973 746 336</v>
          </cell>
          <cell r="Q337" t="str">
            <v>Luxembourg</v>
          </cell>
          <cell r="R337" t="str">
            <v>GBP</v>
          </cell>
          <cell r="S337" t="str">
            <v>IFRS</v>
          </cell>
          <cell r="T337" t="str">
            <v>Quarterly</v>
          </cell>
          <cell r="U337" t="str">
            <v>Twice per year</v>
          </cell>
          <cell r="V337" t="str">
            <v>RICS</v>
          </cell>
          <cell r="W337" t="str">
            <v>INREV NAV</v>
          </cell>
          <cell r="X337" t="str">
            <v>Ernst &amp; Young SA</v>
          </cell>
          <cell r="Y337" t="str">
            <v>FCP</v>
          </cell>
          <cell r="Z337" t="str">
            <v>Yes</v>
          </cell>
          <cell r="AA337" t="str">
            <v>Yes</v>
          </cell>
          <cell r="AB337">
            <v>10</v>
          </cell>
          <cell r="AC337" t="str">
            <v>Non-Listed Fund</v>
          </cell>
          <cell r="AD337" t="str">
            <v>Core</v>
          </cell>
          <cell r="AE337" t="str">
            <v>infinite</v>
          </cell>
          <cell r="AF337" t="str">
            <v>Open end</v>
          </cell>
          <cell r="AG337">
            <v>5</v>
          </cell>
          <cell r="AH337">
            <v>7</v>
          </cell>
          <cell r="AI337" t="str">
            <v>Net</v>
          </cell>
          <cell r="AJ337" t="str">
            <v>None</v>
          </cell>
          <cell r="AK337">
            <v>3</v>
          </cell>
          <cell r="AL337">
            <v>0</v>
          </cell>
          <cell r="AM337" t="str">
            <v>≤ 40%</v>
          </cell>
          <cell r="AN337" t="str">
            <v>Institutional</v>
          </cell>
          <cell r="AO337" t="str">
            <v>&gt; 2</v>
          </cell>
          <cell r="AP337" t="str">
            <v>≥ 50%</v>
          </cell>
          <cell r="AQ337" t="str">
            <v>Europe</v>
          </cell>
          <cell r="AR337" t="str">
            <v>single country</v>
          </cell>
          <cell r="AT337" t="str">
            <v>United Kingdom</v>
          </cell>
          <cell r="AU337" t="str">
            <v>multi sector</v>
          </cell>
          <cell r="AW337">
            <v>500000000</v>
          </cell>
          <cell r="AX337">
            <v>500000000</v>
          </cell>
          <cell r="AY337">
            <v>2013</v>
          </cell>
          <cell r="BB337" t="str">
            <v>No</v>
          </cell>
          <cell r="BD337" t="str">
            <v>No</v>
          </cell>
          <cell r="BE337" t="str">
            <v>≥ 60%</v>
          </cell>
          <cell r="BF337" t="str">
            <v>≤ 15%</v>
          </cell>
          <cell r="BG337" t="str">
            <v>&gt; 5 - ≤ 25%</v>
          </cell>
          <cell r="BH337" t="str">
            <v>2020-12-31</v>
          </cell>
          <cell r="BI337">
            <v>1096976294</v>
          </cell>
          <cell r="BJ337">
            <v>1212761149.0681541</v>
          </cell>
          <cell r="BK337">
            <v>1092485684</v>
          </cell>
          <cell r="BL337">
            <v>1207796559.2466559</v>
          </cell>
          <cell r="BM337">
            <v>0</v>
          </cell>
          <cell r="BN337" t="str">
            <v>No</v>
          </cell>
          <cell r="BO337" t="str">
            <v>External</v>
          </cell>
          <cell r="BP337">
            <v>33</v>
          </cell>
          <cell r="BQ337">
            <v>33</v>
          </cell>
          <cell r="BR337">
            <v>92900000</v>
          </cell>
          <cell r="BS337">
            <v>101999974.63858999</v>
          </cell>
          <cell r="BT337">
            <v>0</v>
          </cell>
          <cell r="BU337">
            <v>0</v>
          </cell>
          <cell r="BV337" t="str">
            <v>Yes</v>
          </cell>
          <cell r="BW337" t="str">
            <v>United Kingdom</v>
          </cell>
          <cell r="BX337" t="str">
            <v>Residential</v>
          </cell>
          <cell r="BY337">
            <v>98.6</v>
          </cell>
        </row>
        <row r="338">
          <cell r="A338">
            <v>18101</v>
          </cell>
          <cell r="B338" t="str">
            <v>M7 EREIP II</v>
          </cell>
          <cell r="C338" t="str">
            <v>M7 REAL ESTATE LTD</v>
          </cell>
          <cell r="D338" t="str">
            <v>22 Lavington Street</v>
          </cell>
          <cell r="E338" t="str">
            <v>SE1 0NZ</v>
          </cell>
          <cell r="F338" t="str">
            <v>London</v>
          </cell>
          <cell r="G338" t="str">
            <v>United Kingdom</v>
          </cell>
          <cell r="H338" t="str">
            <v>+44 (0)20 3657 5500</v>
          </cell>
          <cell r="K338" t="str">
            <v>Jack Thoms</v>
          </cell>
          <cell r="L338" t="str">
            <v>Jack.Thoms@m7re.co.uk</v>
          </cell>
          <cell r="M338">
            <v>2036575530</v>
          </cell>
          <cell r="N338" t="str">
            <v>Teresa Gilchrist</v>
          </cell>
          <cell r="O338" t="str">
            <v>Teresa.Gilchrist@m7re.co.uk</v>
          </cell>
          <cell r="P338">
            <v>2036575520</v>
          </cell>
          <cell r="Q338" t="str">
            <v>Jersey</v>
          </cell>
          <cell r="R338" t="str">
            <v>EUR</v>
          </cell>
          <cell r="S338" t="str">
            <v>IFRS</v>
          </cell>
          <cell r="T338" t="str">
            <v>Quarterly</v>
          </cell>
          <cell r="U338" t="str">
            <v>Quarterly</v>
          </cell>
          <cell r="V338" t="str">
            <v>RICS</v>
          </cell>
          <cell r="W338" t="str">
            <v>IFRS NAV</v>
          </cell>
          <cell r="X338" t="str">
            <v>KPMG</v>
          </cell>
          <cell r="Y338" t="str">
            <v>Limited Partnership</v>
          </cell>
          <cell r="Z338" t="str">
            <v>No</v>
          </cell>
          <cell r="AA338" t="str">
            <v>Yes</v>
          </cell>
          <cell r="AB338">
            <v>4</v>
          </cell>
          <cell r="AC338" t="str">
            <v>Non-Listed Fund</v>
          </cell>
          <cell r="AD338" t="str">
            <v>Value-added</v>
          </cell>
          <cell r="AE338" t="str">
            <v>finite</v>
          </cell>
          <cell r="AF338" t="str">
            <v>Closed end</v>
          </cell>
          <cell r="AM338" t="str">
            <v>&gt; 60%</v>
          </cell>
          <cell r="AN338" t="str">
            <v>Institutional</v>
          </cell>
          <cell r="AO338" t="str">
            <v>&gt; 2</v>
          </cell>
          <cell r="AP338" t="str">
            <v>≥ 50%</v>
          </cell>
          <cell r="AQ338" t="str">
            <v>Europe</v>
          </cell>
          <cell r="AR338" t="str">
            <v>single country</v>
          </cell>
          <cell r="AT338" t="str">
            <v>Netherlands</v>
          </cell>
          <cell r="AU338" t="str">
            <v>multi sector</v>
          </cell>
          <cell r="AW338">
            <v>26000000</v>
          </cell>
          <cell r="AX338">
            <v>80000000</v>
          </cell>
          <cell r="AY338">
            <v>2015</v>
          </cell>
          <cell r="AZ338">
            <v>2020</v>
          </cell>
          <cell r="BA338" t="str">
            <v>Yes</v>
          </cell>
          <cell r="BB338" t="str">
            <v>Yes</v>
          </cell>
          <cell r="BC338" t="str">
            <v>1+1 years</v>
          </cell>
        </row>
        <row r="339">
          <cell r="A339">
            <v>18557</v>
          </cell>
          <cell r="B339" t="str">
            <v>MADELEINE</v>
          </cell>
          <cell r="C339" t="str">
            <v>STAM FRANCE INVESTMENT MANAGERS</v>
          </cell>
          <cell r="D339" t="str">
            <v>18-20 PLACE DE LA MADELEINE</v>
          </cell>
          <cell r="E339">
            <v>75008</v>
          </cell>
          <cell r="F339" t="str">
            <v>PARIS</v>
          </cell>
          <cell r="G339" t="str">
            <v>France</v>
          </cell>
          <cell r="N339" t="str">
            <v>Samantha Sudre Roux</v>
          </cell>
          <cell r="O339" t="str">
            <v>ssudreroux@stam-europe.com</v>
          </cell>
          <cell r="Q339" t="str">
            <v>France</v>
          </cell>
          <cell r="R339" t="str">
            <v>EUR</v>
          </cell>
          <cell r="S339" t="str">
            <v>Local GAAP</v>
          </cell>
          <cell r="T339" t="str">
            <v>Quarterly</v>
          </cell>
          <cell r="U339" t="str">
            <v>Twice per year</v>
          </cell>
          <cell r="V339" t="str">
            <v>RICS</v>
          </cell>
          <cell r="W339" t="str">
            <v>Local GAAP NAV</v>
          </cell>
          <cell r="Y339" t="str">
            <v>Real Estate Fund</v>
          </cell>
          <cell r="Z339" t="str">
            <v>Yes</v>
          </cell>
          <cell r="AA339" t="str">
            <v>Yes</v>
          </cell>
          <cell r="AC339" t="str">
            <v>Non-Listed Fund</v>
          </cell>
          <cell r="AD339" t="str">
            <v>Core</v>
          </cell>
          <cell r="AE339" t="str">
            <v>finite</v>
          </cell>
          <cell r="AF339" t="str">
            <v>Open end</v>
          </cell>
          <cell r="AG339">
            <v>5</v>
          </cell>
          <cell r="AH339">
            <v>6</v>
          </cell>
          <cell r="AI339" t="str">
            <v>Net</v>
          </cell>
          <cell r="AK339">
            <v>4.5</v>
          </cell>
          <cell r="AM339" t="str">
            <v>&gt; 40% - ≤ 60%</v>
          </cell>
          <cell r="AN339" t="str">
            <v>Institutional</v>
          </cell>
          <cell r="AO339" t="str">
            <v>&gt; 2</v>
          </cell>
          <cell r="AP339" t="str">
            <v>≥ 50%</v>
          </cell>
          <cell r="AQ339" t="str">
            <v>Europe</v>
          </cell>
          <cell r="AR339" t="str">
            <v>single country</v>
          </cell>
          <cell r="AT339" t="str">
            <v>France</v>
          </cell>
          <cell r="AU339" t="str">
            <v>multi sector</v>
          </cell>
          <cell r="AW339">
            <v>250000000</v>
          </cell>
          <cell r="AX339">
            <v>500000000</v>
          </cell>
          <cell r="AY339">
            <v>2017</v>
          </cell>
          <cell r="BD339" t="str">
            <v>No</v>
          </cell>
          <cell r="BH339" t="str">
            <v>2020-12-31</v>
          </cell>
          <cell r="BI339">
            <v>414690000</v>
          </cell>
          <cell r="BJ339">
            <v>414690000</v>
          </cell>
          <cell r="BK339">
            <v>257533317</v>
          </cell>
          <cell r="BL339">
            <v>257533317</v>
          </cell>
          <cell r="BM339">
            <v>42.2</v>
          </cell>
          <cell r="BN339" t="str">
            <v>No</v>
          </cell>
          <cell r="BO339" t="str">
            <v>External</v>
          </cell>
          <cell r="BP339">
            <v>24</v>
          </cell>
          <cell r="BQ339">
            <v>9</v>
          </cell>
          <cell r="BR339">
            <v>248200000</v>
          </cell>
          <cell r="BS339">
            <v>248200000</v>
          </cell>
          <cell r="BT339">
            <v>248200000</v>
          </cell>
          <cell r="BU339">
            <v>248200000</v>
          </cell>
          <cell r="BV339" t="str">
            <v>No</v>
          </cell>
          <cell r="BW339" t="str">
            <v>France</v>
          </cell>
          <cell r="BX339" t="str">
            <v>Retail</v>
          </cell>
          <cell r="BY339">
            <v>6</v>
          </cell>
          <cell r="BZ339" t="str">
            <v>France</v>
          </cell>
          <cell r="CA339" t="str">
            <v>Office</v>
          </cell>
          <cell r="CB339">
            <v>94</v>
          </cell>
        </row>
        <row r="340">
          <cell r="A340">
            <v>18587</v>
          </cell>
          <cell r="B340" t="str">
            <v>MADISON INTERNATIONAL REAL ESTATE LIQUIDITY FUND VII, LP</v>
          </cell>
          <cell r="C340" t="str">
            <v>MADISON INTERNATIONAL REALTY</v>
          </cell>
          <cell r="D340" t="str">
            <v>410 Park Ave, Floor 10</v>
          </cell>
          <cell r="E340">
            <v>11217</v>
          </cell>
          <cell r="F340" t="str">
            <v>New York</v>
          </cell>
          <cell r="G340" t="str">
            <v>United States of America</v>
          </cell>
          <cell r="H340" t="str">
            <v>212-688-8777</v>
          </cell>
          <cell r="J340" t="str">
            <v>http://www.madisonint.com</v>
          </cell>
          <cell r="N340" t="str">
            <v>Edward Chen</v>
          </cell>
          <cell r="O340" t="str">
            <v>echen@madisonint.com</v>
          </cell>
          <cell r="P340">
            <v>6466952828</v>
          </cell>
          <cell r="Q340" t="str">
            <v>United States of America</v>
          </cell>
          <cell r="R340" t="str">
            <v>USD</v>
          </cell>
          <cell r="S340" t="str">
            <v>US GAAP</v>
          </cell>
          <cell r="T340" t="str">
            <v>Quarterly</v>
          </cell>
          <cell r="V340" t="str">
            <v>ASC820</v>
          </cell>
          <cell r="X340" t="str">
            <v>E&amp;Y</v>
          </cell>
          <cell r="Y340" t="str">
            <v>Real Estate Fund</v>
          </cell>
          <cell r="Z340" t="str">
            <v>No</v>
          </cell>
          <cell r="AA340" t="str">
            <v>Yes</v>
          </cell>
          <cell r="AB340">
            <v>9</v>
          </cell>
          <cell r="AC340" t="str">
            <v>Non-Listed Fund</v>
          </cell>
          <cell r="AD340" t="str">
            <v>Value-added</v>
          </cell>
          <cell r="AE340" t="str">
            <v>finite</v>
          </cell>
          <cell r="AF340" t="str">
            <v>Closed end</v>
          </cell>
          <cell r="AG340">
            <v>15</v>
          </cell>
          <cell r="AH340">
            <v>20</v>
          </cell>
          <cell r="AI340" t="str">
            <v>Gross</v>
          </cell>
          <cell r="AJ340" t="str">
            <v>None</v>
          </cell>
          <cell r="AK340">
            <v>5</v>
          </cell>
          <cell r="AL340">
            <v>50</v>
          </cell>
          <cell r="AM340" t="str">
            <v>&gt; 60%</v>
          </cell>
          <cell r="AN340" t="str">
            <v>Institutional and Retail</v>
          </cell>
          <cell r="AO340" t="str">
            <v>&gt; 2</v>
          </cell>
          <cell r="AP340" t="str">
            <v>≥ 50%</v>
          </cell>
          <cell r="AQ340" t="str">
            <v>Global</v>
          </cell>
          <cell r="AR340" t="str">
            <v>multi country</v>
          </cell>
          <cell r="AU340" t="str">
            <v>multi sector</v>
          </cell>
          <cell r="AW340">
            <v>1300000000</v>
          </cell>
          <cell r="AY340">
            <v>2018</v>
          </cell>
          <cell r="AZ340">
            <v>2026</v>
          </cell>
          <cell r="BA340" t="str">
            <v>Yes</v>
          </cell>
          <cell r="BB340" t="str">
            <v>Yes</v>
          </cell>
          <cell r="BC340" t="str">
            <v>1+1 years</v>
          </cell>
          <cell r="BD340" t="str">
            <v>No</v>
          </cell>
          <cell r="BE340" t="str">
            <v>&lt; 60%</v>
          </cell>
          <cell r="BF340" t="str">
            <v>≤ 15%</v>
          </cell>
          <cell r="BG340" t="str">
            <v>≤ 5%</v>
          </cell>
        </row>
        <row r="341">
          <cell r="A341">
            <v>17256</v>
          </cell>
          <cell r="B341" t="str">
            <v>MARK EUROPEAN RETAIL PARTNERS II</v>
          </cell>
          <cell r="C341" t="str">
            <v>MARK</v>
          </cell>
          <cell r="D341" t="str">
            <v xml:space="preserve">20 Air Street </v>
          </cell>
          <cell r="E341" t="str">
            <v>W1B 5AN</v>
          </cell>
          <cell r="F341" t="str">
            <v>London</v>
          </cell>
          <cell r="G341" t="str">
            <v>United Kingdom</v>
          </cell>
          <cell r="H341" t="str">
            <v>+442073558300</v>
          </cell>
          <cell r="I341" t="str">
            <v>+442073558301</v>
          </cell>
          <cell r="J341" t="str">
            <v>https://thisismark.com/</v>
          </cell>
          <cell r="K341" t="str">
            <v>Marcus Meijer</v>
          </cell>
          <cell r="L341" t="str">
            <v>Marcus@meyerbergman.com</v>
          </cell>
          <cell r="M341" t="str">
            <v>+442073558300</v>
          </cell>
          <cell r="N341" t="str">
            <v>Lee Purcell</v>
          </cell>
          <cell r="O341" t="str">
            <v>lee@meyerbergman.com</v>
          </cell>
          <cell r="P341" t="str">
            <v>+442073558300</v>
          </cell>
          <cell r="Q341" t="str">
            <v>United Kingdom</v>
          </cell>
          <cell r="R341" t="str">
            <v>EUR</v>
          </cell>
          <cell r="S341" t="str">
            <v>US GAAP</v>
          </cell>
          <cell r="T341" t="str">
            <v>Quarterly</v>
          </cell>
          <cell r="U341" t="str">
            <v>Annually</v>
          </cell>
          <cell r="V341" t="str">
            <v>Other - mark to market</v>
          </cell>
          <cell r="W341" t="str">
            <v>ASC 820</v>
          </cell>
          <cell r="X341" t="str">
            <v>PwC</v>
          </cell>
          <cell r="Y341" t="str">
            <v>Limited Partnership</v>
          </cell>
          <cell r="Z341" t="str">
            <v>No</v>
          </cell>
          <cell r="AA341" t="str">
            <v>Yes</v>
          </cell>
          <cell r="AB341">
            <v>2</v>
          </cell>
          <cell r="AC341" t="str">
            <v>Non-Listed Fund</v>
          </cell>
          <cell r="AD341" t="str">
            <v>Value-added</v>
          </cell>
          <cell r="AE341" t="str">
            <v>finite</v>
          </cell>
          <cell r="AF341" t="str">
            <v>Closed end</v>
          </cell>
          <cell r="AG341">
            <v>18</v>
          </cell>
          <cell r="AH341">
            <v>20</v>
          </cell>
          <cell r="AI341" t="str">
            <v>Gross</v>
          </cell>
          <cell r="AJ341" t="str">
            <v>NA</v>
          </cell>
          <cell r="AK341">
            <v>4</v>
          </cell>
          <cell r="AL341">
            <v>50</v>
          </cell>
          <cell r="AM341" t="str">
            <v>&gt; 40% - ≤ 60%</v>
          </cell>
          <cell r="AN341" t="str">
            <v>Institutional</v>
          </cell>
          <cell r="AO341" t="str">
            <v>&gt; 2</v>
          </cell>
          <cell r="AP341" t="str">
            <v>≥ 50%</v>
          </cell>
          <cell r="AQ341" t="str">
            <v>Europe</v>
          </cell>
          <cell r="AR341" t="str">
            <v>multi country</v>
          </cell>
          <cell r="AS341" t="str">
            <v>Europe</v>
          </cell>
          <cell r="AU341" t="str">
            <v>single sector</v>
          </cell>
          <cell r="AV341" t="str">
            <v>Mixed</v>
          </cell>
          <cell r="AW341">
            <v>500000000</v>
          </cell>
          <cell r="AY341">
            <v>2012</v>
          </cell>
          <cell r="AZ341">
            <v>2021</v>
          </cell>
          <cell r="BA341" t="str">
            <v>Yes</v>
          </cell>
          <cell r="BB341" t="str">
            <v>Yes</v>
          </cell>
          <cell r="BC341" t="str">
            <v>1+1 years</v>
          </cell>
          <cell r="BD341" t="str">
            <v>No</v>
          </cell>
          <cell r="BE341" t="str">
            <v>&lt; 60%</v>
          </cell>
          <cell r="BF341" t="str">
            <v>≤ 15%</v>
          </cell>
          <cell r="BG341" t="str">
            <v>&gt; 5 - ≤ 25%</v>
          </cell>
          <cell r="BH341" t="str">
            <v>2020-09-30</v>
          </cell>
          <cell r="BI341">
            <v>993200000</v>
          </cell>
          <cell r="BJ341">
            <v>993200000</v>
          </cell>
          <cell r="BK341">
            <v>501500000</v>
          </cell>
          <cell r="BL341">
            <v>501500000</v>
          </cell>
          <cell r="BM341">
            <v>49.5</v>
          </cell>
          <cell r="BN341" t="str">
            <v>No</v>
          </cell>
          <cell r="BO341" t="str">
            <v>Internal</v>
          </cell>
          <cell r="BP341">
            <v>16</v>
          </cell>
          <cell r="BQ341">
            <v>8</v>
          </cell>
          <cell r="BS341">
            <v>0</v>
          </cell>
          <cell r="BT341">
            <v>1021500000</v>
          </cell>
          <cell r="BV341" t="str">
            <v>No</v>
          </cell>
        </row>
        <row r="342">
          <cell r="A342">
            <v>17685</v>
          </cell>
          <cell r="B342" t="str">
            <v>MARK EUROPEAN RETAIL PARTNERS III</v>
          </cell>
          <cell r="C342" t="str">
            <v>MARK</v>
          </cell>
          <cell r="D342" t="str">
            <v xml:space="preserve">20 Air Street </v>
          </cell>
          <cell r="E342" t="str">
            <v>W1B 5AN</v>
          </cell>
          <cell r="F342" t="str">
            <v>London</v>
          </cell>
          <cell r="G342" t="str">
            <v>United Kingdom</v>
          </cell>
          <cell r="H342" t="str">
            <v>+442073558300</v>
          </cell>
          <cell r="I342" t="str">
            <v>+442073558301</v>
          </cell>
          <cell r="J342" t="str">
            <v>https://thisismark.com/</v>
          </cell>
          <cell r="K342" t="str">
            <v>Marcus Meijer</v>
          </cell>
          <cell r="L342" t="str">
            <v>Marcus@meyerbergman.com</v>
          </cell>
          <cell r="M342" t="str">
            <v>+442073558300</v>
          </cell>
          <cell r="N342" t="str">
            <v>Lee Purcell</v>
          </cell>
          <cell r="O342" t="str">
            <v>lee@meyerbergman.com</v>
          </cell>
          <cell r="P342" t="str">
            <v>+442073558300</v>
          </cell>
          <cell r="Q342" t="str">
            <v>United Kingdom</v>
          </cell>
          <cell r="R342" t="str">
            <v>EUR</v>
          </cell>
          <cell r="S342" t="str">
            <v>US GAAP</v>
          </cell>
          <cell r="T342" t="str">
            <v>Quarterly</v>
          </cell>
          <cell r="U342" t="str">
            <v>Annually</v>
          </cell>
          <cell r="V342" t="str">
            <v>Other - mark to market</v>
          </cell>
          <cell r="W342" t="str">
            <v>ASC 820</v>
          </cell>
          <cell r="X342" t="str">
            <v>PwC</v>
          </cell>
          <cell r="Y342" t="str">
            <v>Limited Partnership</v>
          </cell>
          <cell r="Z342" t="str">
            <v>No</v>
          </cell>
          <cell r="AA342" t="str">
            <v>Yes</v>
          </cell>
          <cell r="AB342">
            <v>2</v>
          </cell>
          <cell r="AC342" t="str">
            <v>Non-Listed Fund</v>
          </cell>
          <cell r="AD342" t="str">
            <v>Value-added</v>
          </cell>
          <cell r="AE342" t="str">
            <v>finite</v>
          </cell>
          <cell r="AF342" t="str">
            <v>Closed end</v>
          </cell>
          <cell r="AG342">
            <v>18</v>
          </cell>
          <cell r="AH342">
            <v>20</v>
          </cell>
          <cell r="AI342" t="str">
            <v>Gross</v>
          </cell>
          <cell r="AJ342" t="str">
            <v>NA</v>
          </cell>
          <cell r="AK342">
            <v>4</v>
          </cell>
          <cell r="AL342">
            <v>50</v>
          </cell>
          <cell r="AM342" t="str">
            <v>&gt; 40% - ≤ 60%</v>
          </cell>
          <cell r="AN342" t="str">
            <v>Institutional</v>
          </cell>
          <cell r="AO342" t="str">
            <v>&gt; 2</v>
          </cell>
          <cell r="AP342" t="str">
            <v>≥ 50%</v>
          </cell>
          <cell r="AQ342" t="str">
            <v>Europe</v>
          </cell>
          <cell r="AR342" t="str">
            <v>multi country</v>
          </cell>
          <cell r="AS342" t="str">
            <v>Europe</v>
          </cell>
          <cell r="AU342" t="str">
            <v>single sector</v>
          </cell>
          <cell r="AV342" t="str">
            <v>Mixed</v>
          </cell>
          <cell r="AW342">
            <v>900000000</v>
          </cell>
          <cell r="AY342">
            <v>2015</v>
          </cell>
          <cell r="AZ342">
            <v>2025</v>
          </cell>
          <cell r="BA342" t="str">
            <v>Yes</v>
          </cell>
          <cell r="BB342" t="str">
            <v>Yes</v>
          </cell>
          <cell r="BC342" t="str">
            <v>1+1 years</v>
          </cell>
          <cell r="BD342" t="str">
            <v>No</v>
          </cell>
          <cell r="BE342" t="str">
            <v>&lt; 60%</v>
          </cell>
          <cell r="BF342" t="str">
            <v>≤ 15%</v>
          </cell>
          <cell r="BG342" t="str">
            <v>&gt; 5 - ≤ 25%</v>
          </cell>
          <cell r="BH342" t="str">
            <v>2019-03-31</v>
          </cell>
          <cell r="BI342">
            <v>900900000</v>
          </cell>
          <cell r="BJ342">
            <v>900900000</v>
          </cell>
          <cell r="BK342">
            <v>536300000</v>
          </cell>
          <cell r="BL342">
            <v>536300000</v>
          </cell>
          <cell r="BM342">
            <v>40</v>
          </cell>
          <cell r="BN342" t="str">
            <v>Yes</v>
          </cell>
          <cell r="BO342" t="str">
            <v>External</v>
          </cell>
          <cell r="BP342">
            <v>15</v>
          </cell>
          <cell r="BQ342">
            <v>13</v>
          </cell>
          <cell r="BS342">
            <v>0</v>
          </cell>
          <cell r="BT342">
            <v>616100000</v>
          </cell>
          <cell r="BV342" t="str">
            <v>No</v>
          </cell>
          <cell r="BW342" t="str">
            <v>Monaco</v>
          </cell>
          <cell r="BX342" t="str">
            <v>Mixed</v>
          </cell>
          <cell r="BY342">
            <v>24</v>
          </cell>
          <cell r="BZ342" t="str">
            <v>France</v>
          </cell>
          <cell r="CA342" t="str">
            <v>Mixed</v>
          </cell>
          <cell r="CB342">
            <v>17</v>
          </cell>
          <cell r="CC342" t="str">
            <v>United Kingdom</v>
          </cell>
          <cell r="CD342" t="str">
            <v>Mixed</v>
          </cell>
          <cell r="CE342">
            <v>16</v>
          </cell>
          <cell r="CF342" t="str">
            <v>Norway</v>
          </cell>
          <cell r="CG342" t="str">
            <v>Mixed</v>
          </cell>
          <cell r="CH342">
            <v>14</v>
          </cell>
          <cell r="CI342" t="str">
            <v>Ireland</v>
          </cell>
          <cell r="CJ342" t="str">
            <v>Mixed</v>
          </cell>
          <cell r="CK342">
            <v>10</v>
          </cell>
          <cell r="CL342" t="str">
            <v>Italy</v>
          </cell>
          <cell r="CM342" t="str">
            <v>Mixed</v>
          </cell>
          <cell r="CN342">
            <v>8</v>
          </cell>
          <cell r="CO342" t="str">
            <v>Germany</v>
          </cell>
          <cell r="CP342" t="str">
            <v>Mixed</v>
          </cell>
          <cell r="CQ342">
            <v>10</v>
          </cell>
        </row>
        <row r="343">
          <cell r="A343">
            <v>19318</v>
          </cell>
          <cell r="B343" t="str">
            <v>MARKTPASSAGEN JENA WIELAND KG</v>
          </cell>
          <cell r="C343" t="str">
            <v>DWS GRUNDBESITZ GMBH</v>
          </cell>
          <cell r="D343" t="str">
            <v>Mainzer Landstr. 11-17</v>
          </cell>
          <cell r="E343" t="str">
            <v xml:space="preserve">60329 </v>
          </cell>
          <cell r="F343" t="str">
            <v>Frankfurt am Main</v>
          </cell>
          <cell r="G343" t="str">
            <v>Germany</v>
          </cell>
          <cell r="K343" t="str">
            <v>Juliane Germann</v>
          </cell>
          <cell r="L343" t="str">
            <v>juliane.germann@dws.com</v>
          </cell>
          <cell r="M343" t="str">
            <v>+49 (69) 910 - 14962</v>
          </cell>
          <cell r="Q343" t="str">
            <v>Germany</v>
          </cell>
          <cell r="R343" t="str">
            <v>EUR</v>
          </cell>
          <cell r="S343" t="str">
            <v>HGB</v>
          </cell>
          <cell r="T343" t="str">
            <v>Annually</v>
          </cell>
          <cell r="U343" t="str">
            <v>Annually</v>
          </cell>
          <cell r="V343" t="str">
            <v>ImmoWertV</v>
          </cell>
          <cell r="W343" t="str">
            <v>KAGB</v>
          </cell>
          <cell r="X343" t="str">
            <v>BDO</v>
          </cell>
          <cell r="Y343" t="str">
            <v>Publikumsfonds</v>
          </cell>
          <cell r="Z343" t="str">
            <v>No</v>
          </cell>
          <cell r="AC343" t="str">
            <v>Non-Listed Fund</v>
          </cell>
          <cell r="AD343" t="str">
            <v>Core</v>
          </cell>
          <cell r="AE343" t="str">
            <v>finite</v>
          </cell>
          <cell r="AF343" t="str">
            <v>Closed end</v>
          </cell>
          <cell r="AN343" t="str">
            <v>Retail</v>
          </cell>
          <cell r="AO343" t="str">
            <v>&gt; 2</v>
          </cell>
          <cell r="AP343" t="str">
            <v>&lt; 50%</v>
          </cell>
          <cell r="AQ343" t="str">
            <v>Europe</v>
          </cell>
          <cell r="AR343" t="str">
            <v>single country</v>
          </cell>
          <cell r="AT343" t="str">
            <v>Germany</v>
          </cell>
          <cell r="AU343" t="str">
            <v>multi sector</v>
          </cell>
          <cell r="AY343">
            <v>1997</v>
          </cell>
          <cell r="BH343" t="str">
            <v>2018-12-31</v>
          </cell>
          <cell r="BI343">
            <v>15460000</v>
          </cell>
          <cell r="BJ343">
            <v>15460000</v>
          </cell>
          <cell r="BK343">
            <v>12629760</v>
          </cell>
          <cell r="BL343">
            <v>12629760</v>
          </cell>
          <cell r="BM343">
            <v>28.37</v>
          </cell>
          <cell r="BN343" t="str">
            <v>Yes</v>
          </cell>
          <cell r="BO343" t="str">
            <v>External</v>
          </cell>
          <cell r="BP343">
            <v>0</v>
          </cell>
          <cell r="BQ343">
            <v>1</v>
          </cell>
          <cell r="BS343">
            <v>0</v>
          </cell>
          <cell r="BV343" t="str">
            <v>No</v>
          </cell>
          <cell r="BW343" t="str">
            <v>Germany</v>
          </cell>
          <cell r="BX343" t="str">
            <v>Mixed</v>
          </cell>
          <cell r="BY343">
            <v>100</v>
          </cell>
        </row>
        <row r="344">
          <cell r="A344">
            <v>19591</v>
          </cell>
          <cell r="B344" t="str">
            <v>MASTER HALLE</v>
          </cell>
          <cell r="C344" t="str">
            <v>WARBURG-HIH INVEST REAL ESTATE GMBH</v>
          </cell>
          <cell r="D344" t="str">
            <v>Gertrudenstraße 9</v>
          </cell>
          <cell r="E344">
            <v>20095</v>
          </cell>
          <cell r="F344" t="str">
            <v>Hamburg</v>
          </cell>
          <cell r="G344" t="str">
            <v>Germany</v>
          </cell>
          <cell r="H344" t="str">
            <v>+494032826317</v>
          </cell>
          <cell r="Q344" t="str">
            <v>Germany</v>
          </cell>
          <cell r="R344" t="str">
            <v>EUR</v>
          </cell>
          <cell r="S344" t="str">
            <v>German Capital Investment Law</v>
          </cell>
          <cell r="T344" t="str">
            <v>Quarterly</v>
          </cell>
          <cell r="U344" t="str">
            <v>Annually</v>
          </cell>
          <cell r="V344" t="str">
            <v>ImmoWertV</v>
          </cell>
          <cell r="W344" t="str">
            <v>BVI-Method</v>
          </cell>
          <cell r="Y344" t="str">
            <v>Spezialfonds</v>
          </cell>
          <cell r="Z344" t="str">
            <v>No</v>
          </cell>
          <cell r="AA344" t="str">
            <v>No</v>
          </cell>
          <cell r="AB344">
            <v>0</v>
          </cell>
          <cell r="AC344" t="str">
            <v>Non-Listed Fund</v>
          </cell>
          <cell r="AD344" t="str">
            <v>Core</v>
          </cell>
          <cell r="AE344" t="str">
            <v>infinite</v>
          </cell>
          <cell r="AF344" t="str">
            <v>Open end</v>
          </cell>
          <cell r="AM344" t="str">
            <v>&gt; 40% - ≤ 60%</v>
          </cell>
          <cell r="AN344" t="str">
            <v>Institutional</v>
          </cell>
          <cell r="AO344" t="str">
            <v>&gt; 2</v>
          </cell>
          <cell r="AP344" t="str">
            <v>≥ 50%</v>
          </cell>
          <cell r="AQ344" t="str">
            <v>Europe</v>
          </cell>
          <cell r="AR344" t="str">
            <v>single country</v>
          </cell>
          <cell r="AT344" t="str">
            <v>Germany</v>
          </cell>
          <cell r="AU344" t="str">
            <v>multi sector</v>
          </cell>
          <cell r="AY344">
            <v>2020</v>
          </cell>
          <cell r="BD344" t="str">
            <v>No</v>
          </cell>
          <cell r="BH344" t="str">
            <v>2020-12-31</v>
          </cell>
          <cell r="BI344">
            <v>409084995.48000002</v>
          </cell>
          <cell r="BJ344">
            <v>409084995.48000002</v>
          </cell>
          <cell r="BK344">
            <v>409051459.11000001</v>
          </cell>
          <cell r="BL344">
            <v>409051459.11000001</v>
          </cell>
          <cell r="BM344">
            <v>0</v>
          </cell>
          <cell r="BN344" t="str">
            <v>No</v>
          </cell>
          <cell r="BO344" t="str">
            <v>External</v>
          </cell>
          <cell r="BP344">
            <v>1</v>
          </cell>
          <cell r="BQ344">
            <v>0</v>
          </cell>
          <cell r="BR344">
            <v>485197988.19999999</v>
          </cell>
          <cell r="BS344">
            <v>485197988.19999999</v>
          </cell>
          <cell r="BT344">
            <v>395663340.74000001</v>
          </cell>
          <cell r="BU344">
            <v>395663340.74000001</v>
          </cell>
          <cell r="BV344" t="str">
            <v>No</v>
          </cell>
        </row>
        <row r="345">
          <cell r="A345">
            <v>18414</v>
          </cell>
          <cell r="B345" t="str">
            <v>MEDICX HEALTHFUND II</v>
          </cell>
          <cell r="C345" t="str">
            <v>MEDICX ADVISER LTD</v>
          </cell>
          <cell r="D345" t="str">
            <v>6th Floor 33 Holborn</v>
          </cell>
          <cell r="E345" t="str">
            <v>EC1N 2HT</v>
          </cell>
          <cell r="F345" t="str">
            <v>London</v>
          </cell>
          <cell r="G345" t="str">
            <v>United Kingdom</v>
          </cell>
          <cell r="J345" t="str">
            <v>https://octopusinvestments.com/institutional-investor/investment-capabilities/healthcare-infrastructure/</v>
          </cell>
          <cell r="K345" t="str">
            <v>Ben Penaliggon</v>
          </cell>
          <cell r="L345" t="str">
            <v>Ben.Penaliggon@octopushealthcare.com</v>
          </cell>
          <cell r="M345" t="str">
            <v>+44 (0) 203 142 4052</v>
          </cell>
          <cell r="N345" t="str">
            <v>Baafour Totoe</v>
          </cell>
          <cell r="O345" t="str">
            <v>baafour.totoe@octopusinvestments.com</v>
          </cell>
          <cell r="P345" t="str">
            <v>+44 (0) 203 142 4871</v>
          </cell>
          <cell r="Q345" t="str">
            <v>United Kingdom</v>
          </cell>
          <cell r="R345" t="str">
            <v>GBP</v>
          </cell>
          <cell r="S345" t="str">
            <v>IFRS</v>
          </cell>
          <cell r="T345" t="str">
            <v>Quarterly</v>
          </cell>
          <cell r="U345" t="str">
            <v>Quarterly</v>
          </cell>
          <cell r="V345" t="str">
            <v>RICS</v>
          </cell>
          <cell r="W345" t="str">
            <v>IFRS NAV</v>
          </cell>
          <cell r="X345" t="str">
            <v>BDO Limted</v>
          </cell>
          <cell r="Y345" t="str">
            <v>Limited Partnership</v>
          </cell>
          <cell r="Z345" t="str">
            <v>Yes</v>
          </cell>
          <cell r="AA345" t="str">
            <v>No</v>
          </cell>
          <cell r="AC345" t="str">
            <v>Non-Listed Fund</v>
          </cell>
          <cell r="AD345" t="str">
            <v>Core</v>
          </cell>
          <cell r="AE345" t="str">
            <v>finite</v>
          </cell>
          <cell r="AF345" t="str">
            <v>Closed end</v>
          </cell>
          <cell r="AK345">
            <v>7</v>
          </cell>
          <cell r="AL345">
            <v>30</v>
          </cell>
          <cell r="AM345" t="str">
            <v>≤ 40%</v>
          </cell>
          <cell r="AN345" t="str">
            <v>Institutional</v>
          </cell>
          <cell r="AO345" t="str">
            <v>&gt; 2</v>
          </cell>
          <cell r="AP345" t="str">
            <v>≥ 50%</v>
          </cell>
          <cell r="AQ345" t="str">
            <v>Europe</v>
          </cell>
          <cell r="AR345" t="str">
            <v>single country</v>
          </cell>
          <cell r="AT345" t="str">
            <v>United Kingdom</v>
          </cell>
          <cell r="AU345" t="str">
            <v>single sector</v>
          </cell>
          <cell r="AV345" t="str">
            <v>Health Care</v>
          </cell>
          <cell r="AW345">
            <v>252000000</v>
          </cell>
          <cell r="AX345">
            <v>252000000</v>
          </cell>
          <cell r="AY345">
            <v>2013</v>
          </cell>
          <cell r="AZ345">
            <v>2019</v>
          </cell>
          <cell r="BA345" t="str">
            <v>Yes</v>
          </cell>
          <cell r="BB345" t="str">
            <v>No</v>
          </cell>
          <cell r="BD345" t="str">
            <v>No</v>
          </cell>
          <cell r="BE345" t="str">
            <v>≥ 60%</v>
          </cell>
          <cell r="BF345" t="str">
            <v>&gt; 15% - ≤ 40%</v>
          </cell>
          <cell r="BG345" t="str">
            <v>&gt; 5 - ≤ 25%</v>
          </cell>
          <cell r="BH345" t="str">
            <v>2020-12-31</v>
          </cell>
          <cell r="BI345">
            <v>17021422</v>
          </cell>
          <cell r="BJ345">
            <v>18818017.68771309</v>
          </cell>
          <cell r="BK345">
            <v>15964690</v>
          </cell>
          <cell r="BL345">
            <v>17649748.581455551</v>
          </cell>
          <cell r="BM345">
            <v>0</v>
          </cell>
          <cell r="BN345" t="str">
            <v>No</v>
          </cell>
          <cell r="BO345" t="str">
            <v>Internal</v>
          </cell>
          <cell r="BP345">
            <v>8</v>
          </cell>
          <cell r="BQ345">
            <v>1</v>
          </cell>
          <cell r="BR345">
            <v>187900000</v>
          </cell>
          <cell r="BS345">
            <v>206305653.76309001</v>
          </cell>
          <cell r="BT345">
            <v>187900000</v>
          </cell>
          <cell r="BU345">
            <v>206305653.76309001</v>
          </cell>
          <cell r="BV345" t="str">
            <v>No</v>
          </cell>
          <cell r="BW345" t="str">
            <v>United Kingdom</v>
          </cell>
          <cell r="BX345" t="str">
            <v>Aged care</v>
          </cell>
          <cell r="BY345">
            <v>70</v>
          </cell>
        </row>
        <row r="346">
          <cell r="A346">
            <v>18454</v>
          </cell>
          <cell r="B346" t="str">
            <v>MHL</v>
          </cell>
          <cell r="C346" t="str">
            <v>MAN GLOBAL PRIVATE MARKETS</v>
          </cell>
          <cell r="D346" t="str">
            <v>2 Swan Lane</v>
          </cell>
          <cell r="E346" t="str">
            <v>EC4R 3AD</v>
          </cell>
          <cell r="F346" t="str">
            <v>London</v>
          </cell>
          <cell r="G346" t="str">
            <v>United Kingdom</v>
          </cell>
          <cell r="J346" t="str">
            <v>https://www.man.com/gpm-aalto</v>
          </cell>
          <cell r="K346" t="str">
            <v>Travis Masters</v>
          </cell>
          <cell r="L346" t="str">
            <v>Travis.Masters@man.com</v>
          </cell>
          <cell r="M346" t="str">
            <v>+1 (980) 321-7561</v>
          </cell>
          <cell r="N346" t="str">
            <v>Jonathan Shaw</v>
          </cell>
          <cell r="O346" t="str">
            <v>Jonathan.Shaw@Man.com</v>
          </cell>
          <cell r="P346">
            <v>2071142911</v>
          </cell>
          <cell r="Q346" t="str">
            <v>United States of America</v>
          </cell>
          <cell r="R346" t="str">
            <v>USD</v>
          </cell>
          <cell r="S346" t="str">
            <v>US GAAP</v>
          </cell>
          <cell r="T346" t="str">
            <v>Annually</v>
          </cell>
          <cell r="U346" t="str">
            <v>Annually</v>
          </cell>
          <cell r="V346" t="str">
            <v>CoreLogic: Automated Valuation Estimate or Broker Price Option; otherwise RedBell Valuation Risk Review ; or valued at cost if in development</v>
          </cell>
          <cell r="W346" t="str">
            <v>CoreLogic (Automated Valuation Model): PASS</v>
          </cell>
          <cell r="X346" t="str">
            <v>Grant Thornton</v>
          </cell>
          <cell r="Y346" t="str">
            <v>Real Estate Fund</v>
          </cell>
          <cell r="Z346" t="str">
            <v>No</v>
          </cell>
          <cell r="AA346" t="str">
            <v>Yes</v>
          </cell>
          <cell r="AC346" t="str">
            <v>Separate account</v>
          </cell>
          <cell r="AD346" t="str">
            <v>Core</v>
          </cell>
          <cell r="AE346" t="str">
            <v>finite</v>
          </cell>
          <cell r="AF346" t="str">
            <v>Closed end</v>
          </cell>
          <cell r="AG346">
            <v>7</v>
          </cell>
          <cell r="AH346">
            <v>9</v>
          </cell>
          <cell r="AI346" t="str">
            <v>Gross</v>
          </cell>
          <cell r="AJ346" t="str">
            <v>None</v>
          </cell>
          <cell r="AL346">
            <v>0</v>
          </cell>
          <cell r="AM346" t="str">
            <v>≤ 40%</v>
          </cell>
          <cell r="AN346" t="str">
            <v>Institutional</v>
          </cell>
          <cell r="AO346" t="str">
            <v>≤ 2</v>
          </cell>
          <cell r="AP346" t="str">
            <v>≥ 50%</v>
          </cell>
          <cell r="AQ346" t="str">
            <v>North America</v>
          </cell>
          <cell r="AR346" t="str">
            <v>single country</v>
          </cell>
          <cell r="AT346" t="str">
            <v>United States of America</v>
          </cell>
          <cell r="AU346" t="str">
            <v>single sector</v>
          </cell>
          <cell r="AV346" t="str">
            <v>Residential</v>
          </cell>
          <cell r="AW346">
            <v>50000000</v>
          </cell>
          <cell r="AY346">
            <v>2015</v>
          </cell>
          <cell r="BA346" t="str">
            <v>No</v>
          </cell>
          <cell r="BF346" t="str">
            <v>≤ 15%</v>
          </cell>
        </row>
        <row r="347">
          <cell r="A347">
            <v>17852</v>
          </cell>
          <cell r="B347" t="str">
            <v>MHREC</v>
          </cell>
          <cell r="C347" t="str">
            <v>COIMA SGR</v>
          </cell>
          <cell r="D347" t="str">
            <v>Via Moscova, 18</v>
          </cell>
          <cell r="E347">
            <v>20121</v>
          </cell>
          <cell r="F347" t="str">
            <v>Milan</v>
          </cell>
          <cell r="G347" t="str">
            <v>Italy</v>
          </cell>
          <cell r="H347" t="str">
            <v>39 02655006601</v>
          </cell>
          <cell r="J347" t="str">
            <v>http://www.coimasgr.it</v>
          </cell>
          <cell r="K347" t="str">
            <v>Luigi Massimilla</v>
          </cell>
          <cell r="L347" t="str">
            <v>luigi.massimilla@coimasgr.com</v>
          </cell>
          <cell r="M347" t="str">
            <v>+39 0265506601</v>
          </cell>
          <cell r="N347" t="str">
            <v>Kelly Russell</v>
          </cell>
          <cell r="O347" t="str">
            <v>kelly.russell@coimasgr.com</v>
          </cell>
          <cell r="P347" t="str">
            <v>+39 0265506601</v>
          </cell>
          <cell r="Q347" t="str">
            <v>Italy</v>
          </cell>
          <cell r="R347" t="str">
            <v>EUR</v>
          </cell>
          <cell r="S347" t="str">
            <v>Local GAAP</v>
          </cell>
          <cell r="T347" t="str">
            <v>Twice per year</v>
          </cell>
          <cell r="U347" t="str">
            <v>Twice per year</v>
          </cell>
          <cell r="V347" t="str">
            <v>NAV</v>
          </cell>
          <cell r="X347" t="str">
            <v>Ernst &amp; Young</v>
          </cell>
          <cell r="Y347" t="str">
            <v>Real Estate Fund</v>
          </cell>
          <cell r="Z347" t="str">
            <v>No</v>
          </cell>
          <cell r="AA347" t="str">
            <v>Yes</v>
          </cell>
          <cell r="AB347">
            <v>2</v>
          </cell>
          <cell r="AC347" t="str">
            <v>Non-Listed Fund</v>
          </cell>
          <cell r="AD347" t="str">
            <v>Value-added</v>
          </cell>
          <cell r="AE347" t="str">
            <v>finite</v>
          </cell>
          <cell r="AF347" t="str">
            <v>Closed end</v>
          </cell>
          <cell r="AM347" t="str">
            <v>&gt; 40% - ≤ 60%</v>
          </cell>
          <cell r="AN347" t="str">
            <v>Institutional</v>
          </cell>
          <cell r="AO347" t="str">
            <v>&gt; 2</v>
          </cell>
          <cell r="AP347" t="str">
            <v>≥ 50%</v>
          </cell>
          <cell r="AQ347" t="str">
            <v>Europe</v>
          </cell>
          <cell r="AR347" t="str">
            <v>multi country</v>
          </cell>
          <cell r="AS347" t="str">
            <v>Europe</v>
          </cell>
          <cell r="AU347" t="str">
            <v>multi sector</v>
          </cell>
          <cell r="AW347">
            <v>150000000</v>
          </cell>
          <cell r="AX347">
            <v>375000000</v>
          </cell>
          <cell r="AY347">
            <v>2005</v>
          </cell>
          <cell r="AZ347">
            <v>2018</v>
          </cell>
          <cell r="BA347" t="str">
            <v>Yes</v>
          </cell>
          <cell r="BB347" t="str">
            <v>Yes</v>
          </cell>
          <cell r="BC347" t="str">
            <v>3 years fixed</v>
          </cell>
          <cell r="BD347" t="str">
            <v>No</v>
          </cell>
          <cell r="BE347" t="str">
            <v>&lt; 60%</v>
          </cell>
          <cell r="BF347" t="str">
            <v>≤ 15%</v>
          </cell>
          <cell r="BG347" t="str">
            <v>≤ 5%</v>
          </cell>
          <cell r="BH347" t="str">
            <v>2020-09-30</v>
          </cell>
          <cell r="BI347">
            <v>206482989</v>
          </cell>
          <cell r="BJ347">
            <v>206482989</v>
          </cell>
          <cell r="BK347">
            <v>155928081</v>
          </cell>
          <cell r="BL347">
            <v>155928081</v>
          </cell>
          <cell r="BM347">
            <v>23</v>
          </cell>
          <cell r="BN347" t="str">
            <v>No</v>
          </cell>
          <cell r="BO347" t="str">
            <v>Internal</v>
          </cell>
          <cell r="BP347">
            <v>3</v>
          </cell>
          <cell r="BQ347">
            <v>1</v>
          </cell>
          <cell r="BR347">
            <v>169320000</v>
          </cell>
          <cell r="BS347">
            <v>169320000</v>
          </cell>
          <cell r="BT347">
            <v>169320000</v>
          </cell>
          <cell r="BU347">
            <v>169320000</v>
          </cell>
          <cell r="BV347" t="str">
            <v>No</v>
          </cell>
          <cell r="BW347" t="str">
            <v>Italy</v>
          </cell>
          <cell r="BX347" t="str">
            <v>Hotel</v>
          </cell>
          <cell r="BY347">
            <v>20</v>
          </cell>
          <cell r="BZ347" t="str">
            <v>Italy</v>
          </cell>
          <cell r="CA347" t="str">
            <v>Office</v>
          </cell>
          <cell r="CB347">
            <v>60</v>
          </cell>
        </row>
        <row r="348">
          <cell r="A348">
            <v>16677</v>
          </cell>
          <cell r="B348" t="str">
            <v>MOORFIELD REAL ESTATE FUND III</v>
          </cell>
          <cell r="C348" t="str">
            <v>MOORFIELD GROUP LTD</v>
          </cell>
          <cell r="D348" t="str">
            <v>10 Grosvenor Street</v>
          </cell>
          <cell r="E348" t="str">
            <v>W1K 4QB</v>
          </cell>
          <cell r="F348" t="str">
            <v>London</v>
          </cell>
          <cell r="G348" t="str">
            <v>United Kingdom</v>
          </cell>
          <cell r="H348" t="str">
            <v>+442073991900</v>
          </cell>
          <cell r="I348" t="str">
            <v>+442074992114</v>
          </cell>
          <cell r="J348" t="str">
            <v>http://www.moorfield.com</v>
          </cell>
          <cell r="K348" t="str">
            <v xml:space="preserve">Moorfield </v>
          </cell>
          <cell r="M348" t="str">
            <v>+442073991900</v>
          </cell>
          <cell r="N348" t="str">
            <v>Robbert Zoet</v>
          </cell>
          <cell r="O348" t="str">
            <v>robbert.zoet@moorfield.com</v>
          </cell>
          <cell r="P348" t="str">
            <v>+442073991900</v>
          </cell>
          <cell r="Q348" t="str">
            <v>United Kingdom</v>
          </cell>
          <cell r="R348" t="str">
            <v>GBP</v>
          </cell>
          <cell r="S348" t="str">
            <v>IFRS</v>
          </cell>
          <cell r="T348" t="str">
            <v>Quarterly</v>
          </cell>
          <cell r="U348" t="str">
            <v>Annually</v>
          </cell>
          <cell r="V348" t="str">
            <v>RICS</v>
          </cell>
          <cell r="W348" t="str">
            <v>IFRS NAV</v>
          </cell>
          <cell r="X348" t="str">
            <v>PricewaterhouseCoopers</v>
          </cell>
          <cell r="Y348" t="str">
            <v>Limited Partnership</v>
          </cell>
          <cell r="Z348" t="str">
            <v>No</v>
          </cell>
          <cell r="AA348" t="str">
            <v>No</v>
          </cell>
          <cell r="AB348">
            <v>0</v>
          </cell>
          <cell r="AC348" t="str">
            <v>Non-Listed Fund</v>
          </cell>
          <cell r="AD348" t="str">
            <v>Opportunity</v>
          </cell>
          <cell r="AE348" t="str">
            <v>finite</v>
          </cell>
          <cell r="AF348" t="str">
            <v>Closed end</v>
          </cell>
          <cell r="AG348">
            <v>15</v>
          </cell>
          <cell r="AH348">
            <v>20</v>
          </cell>
          <cell r="AI348" t="str">
            <v>Gross</v>
          </cell>
          <cell r="AJ348" t="str">
            <v>Absolute</v>
          </cell>
          <cell r="AL348">
            <v>50</v>
          </cell>
          <cell r="AM348" t="str">
            <v>&gt; 40% - ≤ 60%</v>
          </cell>
          <cell r="AN348" t="str">
            <v>Institutional</v>
          </cell>
          <cell r="AO348" t="str">
            <v>&gt; 2</v>
          </cell>
          <cell r="AP348" t="str">
            <v>≥ 50%</v>
          </cell>
          <cell r="AQ348" t="str">
            <v>Europe</v>
          </cell>
          <cell r="AR348" t="str">
            <v>single country</v>
          </cell>
          <cell r="AT348" t="str">
            <v>United Kingdom</v>
          </cell>
          <cell r="AU348" t="str">
            <v>multi sector</v>
          </cell>
          <cell r="AW348">
            <v>250000000</v>
          </cell>
          <cell r="AX348">
            <v>750000000</v>
          </cell>
          <cell r="AY348">
            <v>2013</v>
          </cell>
          <cell r="AZ348">
            <v>2021</v>
          </cell>
          <cell r="BA348" t="str">
            <v>Yes</v>
          </cell>
          <cell r="BB348" t="str">
            <v>Yes</v>
          </cell>
          <cell r="BC348" t="str">
            <v>1+1 years</v>
          </cell>
          <cell r="BD348" t="str">
            <v>No</v>
          </cell>
          <cell r="BE348" t="str">
            <v>&lt; 60%</v>
          </cell>
          <cell r="BF348" t="str">
            <v>≤ 15%</v>
          </cell>
          <cell r="BG348" t="str">
            <v>&gt; 5 - ≤ 25%</v>
          </cell>
          <cell r="BH348" t="str">
            <v>2018-12-31</v>
          </cell>
          <cell r="BI348">
            <v>329000000</v>
          </cell>
          <cell r="BJ348">
            <v>365340747.86580002</v>
          </cell>
          <cell r="BK348">
            <v>217000000</v>
          </cell>
          <cell r="BL348">
            <v>240969429.4434</v>
          </cell>
          <cell r="BM348">
            <v>35</v>
          </cell>
          <cell r="BS348">
            <v>0</v>
          </cell>
        </row>
        <row r="349">
          <cell r="A349">
            <v>17678</v>
          </cell>
          <cell r="B349" t="str">
            <v>MOUNTGRANGE REAL ESTATE OPPORTUNITY FUND</v>
          </cell>
          <cell r="C349" t="str">
            <v>CLEARBELL CAPITAL LLP</v>
          </cell>
          <cell r="D349" t="str">
            <v>2 Harewood Place</v>
          </cell>
          <cell r="E349" t="str">
            <v>W1S 1BX</v>
          </cell>
          <cell r="F349" t="str">
            <v>London</v>
          </cell>
          <cell r="G349" t="str">
            <v>United Kingdom</v>
          </cell>
          <cell r="H349">
            <v>2074947620</v>
          </cell>
          <cell r="J349" t="str">
            <v>http://www.clearbell.com</v>
          </cell>
          <cell r="K349" t="str">
            <v>Clearbell</v>
          </cell>
          <cell r="M349">
            <v>2074947620</v>
          </cell>
          <cell r="N349" t="str">
            <v>Sian Morgan</v>
          </cell>
          <cell r="O349" t="str">
            <v>sian@clearbell.com</v>
          </cell>
          <cell r="P349">
            <v>2074947620</v>
          </cell>
          <cell r="Q349" t="str">
            <v>United Kingdom</v>
          </cell>
          <cell r="R349" t="str">
            <v>GBP</v>
          </cell>
          <cell r="S349" t="str">
            <v>UK GAAP</v>
          </cell>
          <cell r="T349" t="str">
            <v>Quarterly</v>
          </cell>
          <cell r="U349" t="str">
            <v>Annually</v>
          </cell>
          <cell r="V349" t="str">
            <v>RICS</v>
          </cell>
          <cell r="W349" t="str">
            <v>UK GAAP</v>
          </cell>
          <cell r="X349" t="str">
            <v>Deloitte</v>
          </cell>
          <cell r="Y349" t="str">
            <v>Limited Partnership</v>
          </cell>
          <cell r="Z349" t="str">
            <v>No</v>
          </cell>
          <cell r="AA349" t="str">
            <v>No</v>
          </cell>
          <cell r="AB349">
            <v>0</v>
          </cell>
          <cell r="AC349" t="str">
            <v>Non-Listed Fund</v>
          </cell>
          <cell r="AD349" t="str">
            <v>Opportunity</v>
          </cell>
          <cell r="AE349" t="str">
            <v>finite</v>
          </cell>
          <cell r="AF349" t="str">
            <v>Closed end</v>
          </cell>
          <cell r="AG349">
            <v>20</v>
          </cell>
          <cell r="AH349">
            <v>20</v>
          </cell>
          <cell r="AI349" t="str">
            <v>Gross</v>
          </cell>
          <cell r="AJ349" t="str">
            <v>none</v>
          </cell>
          <cell r="AL349">
            <v>50</v>
          </cell>
          <cell r="AM349" t="str">
            <v>&gt; 60%</v>
          </cell>
          <cell r="AN349" t="str">
            <v>Institutional</v>
          </cell>
          <cell r="AO349" t="str">
            <v>&gt; 2</v>
          </cell>
          <cell r="AP349" t="str">
            <v>≥ 50%</v>
          </cell>
          <cell r="AQ349" t="str">
            <v>Europe</v>
          </cell>
          <cell r="AR349" t="str">
            <v>single country</v>
          </cell>
          <cell r="AT349" t="str">
            <v>United Kingdom</v>
          </cell>
          <cell r="AU349" t="str">
            <v>multi sector</v>
          </cell>
          <cell r="AW349">
            <v>400000000</v>
          </cell>
          <cell r="AX349">
            <v>800000000</v>
          </cell>
          <cell r="AY349">
            <v>2007</v>
          </cell>
          <cell r="AZ349">
            <v>2017</v>
          </cell>
          <cell r="BA349" t="str">
            <v>Yes</v>
          </cell>
          <cell r="BB349" t="str">
            <v>No</v>
          </cell>
          <cell r="BD349" t="str">
            <v>No</v>
          </cell>
          <cell r="BF349" t="str">
            <v>&gt; 15% - ≤ 40%</v>
          </cell>
          <cell r="BG349" t="str">
            <v>&gt; 25%</v>
          </cell>
        </row>
        <row r="350">
          <cell r="A350">
            <v>19267</v>
          </cell>
          <cell r="B350" t="str">
            <v>MREFIV</v>
          </cell>
          <cell r="C350" t="str">
            <v>MOORFIELD</v>
          </cell>
          <cell r="D350" t="str">
            <v>10 Grosvenor Street</v>
          </cell>
          <cell r="E350" t="str">
            <v>W1K 4QB</v>
          </cell>
          <cell r="F350" t="str">
            <v>London</v>
          </cell>
          <cell r="G350" t="str">
            <v>United Kingdom</v>
          </cell>
          <cell r="H350" t="str">
            <v>+442073991900</v>
          </cell>
          <cell r="J350" t="str">
            <v>http://www.moorfield.com</v>
          </cell>
          <cell r="K350" t="str">
            <v>Charles Ferguson Davie</v>
          </cell>
          <cell r="L350" t="str">
            <v>charles.fergusondavie@moorfield.com</v>
          </cell>
          <cell r="M350" t="str">
            <v>+442073991922</v>
          </cell>
          <cell r="N350" t="str">
            <v>Robbert Zoet</v>
          </cell>
          <cell r="O350" t="str">
            <v>robbert.zoet@moorfield.com</v>
          </cell>
          <cell r="P350" t="str">
            <v>+442073991936</v>
          </cell>
          <cell r="Q350" t="str">
            <v>United Kingdom</v>
          </cell>
          <cell r="R350" t="str">
            <v>GBP</v>
          </cell>
          <cell r="S350" t="str">
            <v>IFRS</v>
          </cell>
          <cell r="T350" t="str">
            <v>Quarterly</v>
          </cell>
          <cell r="U350" t="str">
            <v>Annually</v>
          </cell>
          <cell r="V350" t="str">
            <v>RICS</v>
          </cell>
          <cell r="W350" t="str">
            <v>IFRS NAV</v>
          </cell>
          <cell r="X350" t="str">
            <v>PWC</v>
          </cell>
          <cell r="Y350" t="str">
            <v>Limited Partnership</v>
          </cell>
          <cell r="Z350" t="str">
            <v>No</v>
          </cell>
          <cell r="AA350" t="str">
            <v>No</v>
          </cell>
          <cell r="AC350" t="str">
            <v>Non-Listed Fund</v>
          </cell>
          <cell r="AD350" t="str">
            <v>Opportunity</v>
          </cell>
          <cell r="AE350" t="str">
            <v>finite</v>
          </cell>
          <cell r="AF350" t="str">
            <v>Closed end</v>
          </cell>
          <cell r="AG350">
            <v>15</v>
          </cell>
          <cell r="AH350">
            <v>20</v>
          </cell>
          <cell r="AI350" t="str">
            <v>Gross</v>
          </cell>
          <cell r="AL350">
            <v>50</v>
          </cell>
          <cell r="AM350" t="str">
            <v>&gt; 40% - ≤ 60%</v>
          </cell>
          <cell r="AN350" t="str">
            <v>Institutional</v>
          </cell>
          <cell r="AO350" t="str">
            <v>&gt; 2</v>
          </cell>
          <cell r="AP350" t="str">
            <v>≥ 50%</v>
          </cell>
          <cell r="AQ350" t="str">
            <v>Europe</v>
          </cell>
          <cell r="AR350" t="str">
            <v>single country</v>
          </cell>
          <cell r="AT350" t="str">
            <v>United Kingdom</v>
          </cell>
          <cell r="AU350" t="str">
            <v>multi sector</v>
          </cell>
          <cell r="AW350">
            <v>220000000</v>
          </cell>
          <cell r="AX350">
            <v>450000000</v>
          </cell>
          <cell r="AY350">
            <v>2017</v>
          </cell>
          <cell r="AZ350">
            <v>2023</v>
          </cell>
          <cell r="BA350" t="str">
            <v>Yes</v>
          </cell>
          <cell r="BB350" t="str">
            <v>Yes</v>
          </cell>
          <cell r="BC350" t="str">
            <v>1+1 years</v>
          </cell>
          <cell r="BD350" t="str">
            <v>No</v>
          </cell>
          <cell r="BE350" t="str">
            <v>&lt; 60%</v>
          </cell>
          <cell r="BF350" t="str">
            <v>&gt; 15% - ≤ 40%</v>
          </cell>
          <cell r="BG350" t="str">
            <v>&gt; 5 - ≤ 25%</v>
          </cell>
          <cell r="BH350" t="str">
            <v>2019-03-31</v>
          </cell>
          <cell r="BI350">
            <v>107000000</v>
          </cell>
          <cell r="BJ350">
            <v>124441756.60770001</v>
          </cell>
          <cell r="BK350">
            <v>74000000</v>
          </cell>
          <cell r="BL350">
            <v>86062523.261399999</v>
          </cell>
          <cell r="BM350">
            <v>25</v>
          </cell>
          <cell r="BS350">
            <v>0</v>
          </cell>
        </row>
        <row r="351">
          <cell r="A351">
            <v>332</v>
          </cell>
          <cell r="B351" t="str">
            <v>MULTIPARK</v>
          </cell>
          <cell r="C351" t="str">
            <v>IMORENDIMENTO SGFII, SA</v>
          </cell>
          <cell r="D351" t="str">
            <v>Praça Bom Sucesso 127, Esc 210</v>
          </cell>
          <cell r="E351" t="str">
            <v>4050 146</v>
          </cell>
          <cell r="F351" t="str">
            <v>Porto</v>
          </cell>
          <cell r="G351" t="str">
            <v>Portugal</v>
          </cell>
          <cell r="H351" t="str">
            <v>+351 22 607 5660</v>
          </cell>
          <cell r="I351" t="str">
            <v>+351 22 607 5661</v>
          </cell>
          <cell r="J351" t="str">
            <v>http://www.imorendimento.com</v>
          </cell>
          <cell r="N351" t="str">
            <v>Armando Lacerda Queiroz</v>
          </cell>
          <cell r="O351" t="str">
            <v>lqueiroz@imorendimento.pt</v>
          </cell>
          <cell r="P351" t="str">
            <v>+351 22 607 5660</v>
          </cell>
          <cell r="Q351" t="str">
            <v>Portugal</v>
          </cell>
          <cell r="R351" t="str">
            <v>EUR</v>
          </cell>
          <cell r="T351" t="str">
            <v>Annually</v>
          </cell>
          <cell r="U351" t="str">
            <v>Quarterly</v>
          </cell>
          <cell r="X351" t="str">
            <v>PriceWaterhouseCoopers</v>
          </cell>
          <cell r="Y351" t="str">
            <v>Real Estate Fund</v>
          </cell>
          <cell r="AB351">
            <v>0</v>
          </cell>
          <cell r="AC351" t="str">
            <v>Non-Listed Fund</v>
          </cell>
          <cell r="AD351" t="str">
            <v>Opportunity</v>
          </cell>
          <cell r="AE351" t="str">
            <v>finite</v>
          </cell>
          <cell r="AF351" t="str">
            <v>Closed end</v>
          </cell>
          <cell r="AG351">
            <v>20</v>
          </cell>
          <cell r="AH351">
            <v>20</v>
          </cell>
          <cell r="AK351">
            <v>10</v>
          </cell>
          <cell r="AM351" t="str">
            <v>&gt; 60%</v>
          </cell>
          <cell r="AN351" t="str">
            <v>Institutional</v>
          </cell>
          <cell r="AQ351" t="str">
            <v>Europe</v>
          </cell>
          <cell r="AR351" t="str">
            <v>single country</v>
          </cell>
          <cell r="AT351" t="str">
            <v>Portugal</v>
          </cell>
          <cell r="AU351" t="str">
            <v>single sector</v>
          </cell>
          <cell r="AV351" t="str">
            <v>Industrial / Logistics</v>
          </cell>
          <cell r="AY351">
            <v>2006</v>
          </cell>
          <cell r="AZ351">
            <v>2016</v>
          </cell>
          <cell r="BH351" t="str">
            <v>2010-12-31</v>
          </cell>
          <cell r="BJ351">
            <v>0</v>
          </cell>
          <cell r="BK351">
            <v>8000000</v>
          </cell>
          <cell r="BL351">
            <v>8000000</v>
          </cell>
          <cell r="BP351">
            <v>5</v>
          </cell>
          <cell r="BQ351">
            <v>18</v>
          </cell>
          <cell r="BS351">
            <v>0</v>
          </cell>
          <cell r="BV351" t="str">
            <v>No</v>
          </cell>
        </row>
        <row r="352">
          <cell r="A352">
            <v>18455</v>
          </cell>
          <cell r="B352" t="str">
            <v>MURREF</v>
          </cell>
          <cell r="C352" t="str">
            <v>MAN GLOBAL PRIVATE MARKETS</v>
          </cell>
          <cell r="D352" t="str">
            <v>2 Swan Lane</v>
          </cell>
          <cell r="E352" t="str">
            <v>EC4R 3AD</v>
          </cell>
          <cell r="F352" t="str">
            <v>London</v>
          </cell>
          <cell r="G352" t="str">
            <v>United States of America</v>
          </cell>
          <cell r="J352" t="str">
            <v>https://www.man.com/gpm-aalto</v>
          </cell>
          <cell r="K352" t="str">
            <v>Travis Masters</v>
          </cell>
          <cell r="L352" t="str">
            <v>Travis.Masters@man.com</v>
          </cell>
          <cell r="M352" t="str">
            <v>+1 (980) 321-7561</v>
          </cell>
          <cell r="N352" t="str">
            <v>Jonathan Shaw</v>
          </cell>
          <cell r="O352" t="str">
            <v>Jonathan.Shaw@Man.com</v>
          </cell>
          <cell r="P352">
            <v>2071142911</v>
          </cell>
          <cell r="Q352" t="str">
            <v>United States of America</v>
          </cell>
          <cell r="R352" t="str">
            <v>USD</v>
          </cell>
          <cell r="S352" t="str">
            <v>US GAAP</v>
          </cell>
          <cell r="T352" t="str">
            <v>Annually</v>
          </cell>
          <cell r="U352" t="str">
            <v>Annually</v>
          </cell>
          <cell r="V352" t="str">
            <v>CoreLogic: Automated Valuation Estimate or Broker Price Option; otherwise RedBell Valuation Risk Review ; or valued at cost if in development</v>
          </cell>
          <cell r="W352" t="str">
            <v>CoreLogic (Automated Valuation Model): PASS</v>
          </cell>
          <cell r="Y352" t="str">
            <v>Real Estate Collective Investment</v>
          </cell>
          <cell r="Z352" t="str">
            <v>No</v>
          </cell>
          <cell r="AA352" t="str">
            <v>No</v>
          </cell>
          <cell r="AC352" t="str">
            <v>Non-Listed Fund</v>
          </cell>
          <cell r="AD352" t="str">
            <v>Value-added</v>
          </cell>
          <cell r="AE352" t="str">
            <v>infinite</v>
          </cell>
          <cell r="AF352" t="str">
            <v>Open end</v>
          </cell>
          <cell r="AG352">
            <v>10</v>
          </cell>
          <cell r="AH352">
            <v>14</v>
          </cell>
          <cell r="AI352" t="str">
            <v>Gross</v>
          </cell>
          <cell r="AJ352" t="str">
            <v>None</v>
          </cell>
          <cell r="AL352">
            <v>40</v>
          </cell>
          <cell r="AM352" t="str">
            <v>&gt; 40% - ≤ 60%</v>
          </cell>
          <cell r="AN352" t="str">
            <v>Institutional</v>
          </cell>
          <cell r="AO352" t="str">
            <v>&gt; 2</v>
          </cell>
          <cell r="AP352" t="str">
            <v>≥ 50%</v>
          </cell>
          <cell r="AQ352" t="str">
            <v>North America</v>
          </cell>
          <cell r="AR352" t="str">
            <v>single country</v>
          </cell>
          <cell r="AT352" t="str">
            <v>United States of America</v>
          </cell>
          <cell r="AU352" t="str">
            <v>single sector</v>
          </cell>
          <cell r="AV352" t="str">
            <v>Residential</v>
          </cell>
          <cell r="AW352">
            <v>1500000000</v>
          </cell>
          <cell r="AY352">
            <v>2018</v>
          </cell>
          <cell r="BD352" t="str">
            <v>No</v>
          </cell>
          <cell r="BF352" t="str">
            <v>≤ 15%</v>
          </cell>
          <cell r="BG352" t="str">
            <v>&gt; 25%</v>
          </cell>
        </row>
        <row r="353">
          <cell r="A353">
            <v>333</v>
          </cell>
          <cell r="B353" t="str">
            <v>NATURA</v>
          </cell>
          <cell r="C353" t="str">
            <v>IMORENDIMENTO SGFII, SA</v>
          </cell>
          <cell r="D353" t="str">
            <v>Praça Bom Sucesso 127, Esc 210</v>
          </cell>
          <cell r="E353" t="str">
            <v>4050 146</v>
          </cell>
          <cell r="F353" t="str">
            <v>Porto</v>
          </cell>
          <cell r="G353" t="str">
            <v>Portugal</v>
          </cell>
          <cell r="H353" t="str">
            <v>+351 22 607 5660</v>
          </cell>
          <cell r="I353" t="str">
            <v>+351 22 607 5661</v>
          </cell>
          <cell r="J353" t="str">
            <v>http://www.imorendimento.com</v>
          </cell>
          <cell r="N353" t="str">
            <v>Armando Lacerda Queiroz</v>
          </cell>
          <cell r="O353" t="str">
            <v>lqueiroz@imorendimento.pt</v>
          </cell>
          <cell r="P353" t="str">
            <v>+351 22 607 5660</v>
          </cell>
          <cell r="Q353" t="str">
            <v>Portugal</v>
          </cell>
          <cell r="R353" t="str">
            <v>EUR</v>
          </cell>
          <cell r="T353" t="str">
            <v>Annually</v>
          </cell>
          <cell r="U353" t="str">
            <v>Quarterly</v>
          </cell>
          <cell r="X353" t="str">
            <v>Mazars</v>
          </cell>
          <cell r="Y353" t="str">
            <v>Real Estate Fund</v>
          </cell>
          <cell r="AB353">
            <v>0</v>
          </cell>
          <cell r="AC353" t="str">
            <v>Non-Listed Fund</v>
          </cell>
          <cell r="AD353" t="str">
            <v>Opportunity</v>
          </cell>
          <cell r="AE353" t="str">
            <v>finite</v>
          </cell>
          <cell r="AF353" t="str">
            <v>Closed end</v>
          </cell>
          <cell r="AG353">
            <v>0</v>
          </cell>
          <cell r="AH353">
            <v>16</v>
          </cell>
          <cell r="AJ353" t="str">
            <v>IPD Portugal Index</v>
          </cell>
          <cell r="AM353" t="str">
            <v>&gt; 60%</v>
          </cell>
          <cell r="AN353" t="str">
            <v>Institutional</v>
          </cell>
          <cell r="AQ353" t="str">
            <v>Europe</v>
          </cell>
          <cell r="AR353" t="str">
            <v>single country</v>
          </cell>
          <cell r="AT353" t="str">
            <v>Portugal</v>
          </cell>
          <cell r="AU353" t="str">
            <v>multi sector</v>
          </cell>
          <cell r="AY353">
            <v>2006</v>
          </cell>
          <cell r="AZ353">
            <v>2016</v>
          </cell>
          <cell r="BA353" t="str">
            <v>Yes</v>
          </cell>
          <cell r="BB353" t="str">
            <v>No</v>
          </cell>
          <cell r="BH353" t="str">
            <v>2010-12-31</v>
          </cell>
          <cell r="BJ353">
            <v>0</v>
          </cell>
          <cell r="BK353">
            <v>12000000</v>
          </cell>
          <cell r="BL353">
            <v>12000000</v>
          </cell>
          <cell r="BP353">
            <v>1</v>
          </cell>
          <cell r="BQ353">
            <v>3</v>
          </cell>
          <cell r="BS353">
            <v>0</v>
          </cell>
          <cell r="BV353" t="str">
            <v>No</v>
          </cell>
        </row>
        <row r="354">
          <cell r="A354">
            <v>17957</v>
          </cell>
          <cell r="B354" t="str">
            <v>NEXT ESTATE INCOME FUND II</v>
          </cell>
          <cell r="C354" t="str">
            <v>BNP PARIBAS REIM</v>
          </cell>
          <cell r="D354" t="str">
            <v>167 quai de Stalingrad</v>
          </cell>
          <cell r="E354" t="str">
            <v xml:space="preserve">92867 </v>
          </cell>
          <cell r="F354" t="str">
            <v>Issy Les Moulineaux Cedex</v>
          </cell>
          <cell r="G354" t="str">
            <v>France</v>
          </cell>
          <cell r="H354" t="str">
            <v>+33 1 55 65 27 62</v>
          </cell>
          <cell r="I354" t="str">
            <v>+33 1 55 65 27 36</v>
          </cell>
          <cell r="J354" t="str">
            <v>http://www.realestate.bnpparibas.com/bnppre/fr</v>
          </cell>
          <cell r="K354" t="str">
            <v>Laurent Boissin</v>
          </cell>
          <cell r="L354" t="str">
            <v>laurent.boissin@bnpparibas.com</v>
          </cell>
          <cell r="M354" t="str">
            <v>+33 1 55 65 27 62</v>
          </cell>
          <cell r="N354" t="str">
            <v>Henri Romnicianu</v>
          </cell>
          <cell r="O354" t="str">
            <v>henri.romnicianu@bnpparibas.com</v>
          </cell>
          <cell r="P354" t="str">
            <v>+33 1 55 65 34 01</v>
          </cell>
          <cell r="Q354" t="str">
            <v>Luxembourg</v>
          </cell>
          <cell r="R354" t="str">
            <v>EUR</v>
          </cell>
          <cell r="S354" t="str">
            <v>IFRS</v>
          </cell>
          <cell r="T354" t="str">
            <v>Quarterly</v>
          </cell>
          <cell r="U354" t="str">
            <v>Quarterly</v>
          </cell>
          <cell r="V354" t="str">
            <v>RICS</v>
          </cell>
          <cell r="W354" t="str">
            <v>INREV NAV</v>
          </cell>
          <cell r="X354" t="str">
            <v>PWC</v>
          </cell>
          <cell r="Y354" t="str">
            <v>Real Estate Fund</v>
          </cell>
          <cell r="Z354" t="str">
            <v>Yes</v>
          </cell>
          <cell r="AA354" t="str">
            <v>Yes</v>
          </cell>
          <cell r="AB354">
            <v>4</v>
          </cell>
          <cell r="AC354" t="str">
            <v>Non-Listed Fund</v>
          </cell>
          <cell r="AD354" t="str">
            <v>Core</v>
          </cell>
          <cell r="AE354" t="str">
            <v>finite</v>
          </cell>
          <cell r="AF354" t="str">
            <v>Closed end</v>
          </cell>
          <cell r="AG354">
            <v>7</v>
          </cell>
          <cell r="AH354">
            <v>7</v>
          </cell>
          <cell r="AI354" t="str">
            <v>Gross</v>
          </cell>
          <cell r="AJ354" t="str">
            <v>IPD</v>
          </cell>
          <cell r="AK354">
            <v>5</v>
          </cell>
          <cell r="AL354">
            <v>40</v>
          </cell>
          <cell r="AM354" t="str">
            <v>≤ 40%</v>
          </cell>
          <cell r="AN354" t="str">
            <v>Institutional</v>
          </cell>
          <cell r="AO354" t="str">
            <v>&gt; 2</v>
          </cell>
          <cell r="AP354" t="str">
            <v>≥ 50%</v>
          </cell>
          <cell r="AQ354" t="str">
            <v>Europe</v>
          </cell>
          <cell r="AR354" t="str">
            <v>multi country</v>
          </cell>
          <cell r="AS354" t="str">
            <v>Europe</v>
          </cell>
          <cell r="AU354" t="str">
            <v>single sector</v>
          </cell>
          <cell r="AV354" t="str">
            <v>Office</v>
          </cell>
          <cell r="AW354">
            <v>500000000</v>
          </cell>
          <cell r="AX354">
            <v>850000000</v>
          </cell>
          <cell r="AY354">
            <v>2014</v>
          </cell>
          <cell r="AZ354">
            <v>2024</v>
          </cell>
          <cell r="BA354" t="str">
            <v>Yes</v>
          </cell>
          <cell r="BB354" t="str">
            <v>Yes</v>
          </cell>
          <cell r="BC354" t="str">
            <v>3 years fixed</v>
          </cell>
          <cell r="BD354" t="str">
            <v>No</v>
          </cell>
          <cell r="BE354" t="str">
            <v>≥ 60%</v>
          </cell>
          <cell r="BF354" t="str">
            <v>≤ 15%</v>
          </cell>
          <cell r="BG354" t="str">
            <v>&gt; 5 - ≤ 25%</v>
          </cell>
          <cell r="BH354" t="str">
            <v>2020-12-31</v>
          </cell>
          <cell r="BI354">
            <v>907820000</v>
          </cell>
          <cell r="BJ354">
            <v>907820000</v>
          </cell>
          <cell r="BK354">
            <v>566896000</v>
          </cell>
          <cell r="BL354">
            <v>566896000</v>
          </cell>
          <cell r="BM354">
            <v>37.4</v>
          </cell>
          <cell r="BN354" t="str">
            <v>No</v>
          </cell>
          <cell r="BO354" t="str">
            <v>External</v>
          </cell>
          <cell r="BP354">
            <v>28</v>
          </cell>
          <cell r="BQ354">
            <v>13</v>
          </cell>
          <cell r="BR354">
            <v>527000000</v>
          </cell>
          <cell r="BS354">
            <v>527000000</v>
          </cell>
          <cell r="BT354">
            <v>527000000</v>
          </cell>
          <cell r="BU354">
            <v>527000000</v>
          </cell>
          <cell r="BV354" t="str">
            <v>No</v>
          </cell>
          <cell r="BW354" t="str">
            <v>France</v>
          </cell>
          <cell r="BX354" t="str">
            <v>Office</v>
          </cell>
          <cell r="BY354">
            <v>25.9</v>
          </cell>
          <cell r="BZ354" t="str">
            <v>Luxembourg</v>
          </cell>
          <cell r="CA354" t="str">
            <v>Office</v>
          </cell>
          <cell r="CB354">
            <v>5</v>
          </cell>
          <cell r="CC354" t="str">
            <v>Ireland</v>
          </cell>
          <cell r="CD354" t="str">
            <v>Office</v>
          </cell>
          <cell r="CE354">
            <v>3.7</v>
          </cell>
          <cell r="CF354" t="str">
            <v>Austria</v>
          </cell>
          <cell r="CG354" t="str">
            <v>Office</v>
          </cell>
          <cell r="CH354">
            <v>8.6999999999999993</v>
          </cell>
          <cell r="CI354" t="str">
            <v>Italy</v>
          </cell>
          <cell r="CJ354" t="str">
            <v>Office</v>
          </cell>
          <cell r="CK354">
            <v>11.5</v>
          </cell>
          <cell r="CL354" t="str">
            <v>Germany</v>
          </cell>
          <cell r="CM354" t="str">
            <v>Office</v>
          </cell>
          <cell r="CN354">
            <v>45.2</v>
          </cell>
        </row>
        <row r="355">
          <cell r="A355">
            <v>18562</v>
          </cell>
          <cell r="B355" t="str">
            <v>NEXT ESTATE INCOME FUND III</v>
          </cell>
          <cell r="C355" t="str">
            <v>BNP PARIBAS REIM</v>
          </cell>
          <cell r="D355" t="str">
            <v>167 quai de Stalingrad</v>
          </cell>
          <cell r="E355">
            <v>92867</v>
          </cell>
          <cell r="F355" t="str">
            <v>Issy Les Moulineaux Cedex</v>
          </cell>
          <cell r="G355" t="str">
            <v>France</v>
          </cell>
          <cell r="H355" t="str">
            <v>01 55 65 20 04</v>
          </cell>
          <cell r="J355" t="str">
            <v>https://www.bnppre.fr</v>
          </cell>
          <cell r="K355" t="str">
            <v>Laurent Boissin</v>
          </cell>
          <cell r="L355" t="str">
            <v>laurent.boissin@bnpparibas.com</v>
          </cell>
          <cell r="M355" t="str">
            <v>+33 1 55 65 27 62</v>
          </cell>
          <cell r="N355" t="str">
            <v>Henri Romnicianu</v>
          </cell>
          <cell r="O355" t="str">
            <v>henri.romnicianu@bnpparibas.com</v>
          </cell>
          <cell r="P355" t="str">
            <v>+33 1 55 65 34 01</v>
          </cell>
          <cell r="Q355" t="str">
            <v>Luxembourg</v>
          </cell>
          <cell r="R355" t="str">
            <v>EUR</v>
          </cell>
          <cell r="S355" t="str">
            <v>IFRS</v>
          </cell>
          <cell r="T355" t="str">
            <v>Quarterly</v>
          </cell>
          <cell r="U355" t="str">
            <v>Quarterly</v>
          </cell>
          <cell r="V355" t="str">
            <v>RICS</v>
          </cell>
          <cell r="W355" t="str">
            <v>INREV NAV</v>
          </cell>
          <cell r="X355" t="str">
            <v>PWC</v>
          </cell>
          <cell r="Y355" t="str">
            <v>SICAV</v>
          </cell>
          <cell r="Z355" t="str">
            <v>Yes</v>
          </cell>
          <cell r="AA355" t="str">
            <v>Yes</v>
          </cell>
          <cell r="AB355">
            <v>3</v>
          </cell>
          <cell r="AC355" t="str">
            <v>Non-Listed Fund</v>
          </cell>
          <cell r="AD355" t="str">
            <v>Core</v>
          </cell>
          <cell r="AE355" t="str">
            <v>finite</v>
          </cell>
          <cell r="AF355" t="str">
            <v>Open end</v>
          </cell>
          <cell r="AG355">
            <v>5.5</v>
          </cell>
          <cell r="AH355">
            <v>5.5</v>
          </cell>
          <cell r="AI355" t="str">
            <v>Net</v>
          </cell>
          <cell r="AJ355" t="str">
            <v>IPD / MSCI</v>
          </cell>
          <cell r="AK355">
            <v>4</v>
          </cell>
          <cell r="AL355">
            <v>40</v>
          </cell>
          <cell r="AM355" t="str">
            <v>≤ 40%</v>
          </cell>
          <cell r="AN355" t="str">
            <v>Institutional</v>
          </cell>
          <cell r="AO355" t="str">
            <v>&gt; 2</v>
          </cell>
          <cell r="AP355" t="str">
            <v>≥ 50%</v>
          </cell>
          <cell r="AQ355" t="str">
            <v>Europe</v>
          </cell>
          <cell r="AR355" t="str">
            <v>multi country</v>
          </cell>
          <cell r="AS355" t="str">
            <v>Western Europe</v>
          </cell>
          <cell r="AU355" t="str">
            <v>single sector</v>
          </cell>
          <cell r="AV355" t="str">
            <v>Office</v>
          </cell>
          <cell r="AW355">
            <v>600000000</v>
          </cell>
          <cell r="AX355">
            <v>1000000000</v>
          </cell>
          <cell r="AY355">
            <v>2017</v>
          </cell>
          <cell r="BA355" t="str">
            <v>No</v>
          </cell>
          <cell r="BB355" t="str">
            <v>No</v>
          </cell>
          <cell r="BD355" t="str">
            <v>No</v>
          </cell>
          <cell r="BE355" t="str">
            <v>≥ 60%</v>
          </cell>
          <cell r="BF355" t="str">
            <v>≤ 15%</v>
          </cell>
          <cell r="BG355" t="str">
            <v>≤ 5%</v>
          </cell>
          <cell r="BH355" t="str">
            <v>2020-12-31</v>
          </cell>
          <cell r="BI355">
            <v>527500000</v>
          </cell>
          <cell r="BJ355">
            <v>527500000</v>
          </cell>
          <cell r="BK355">
            <v>380986000</v>
          </cell>
          <cell r="BL355">
            <v>380986000</v>
          </cell>
          <cell r="BM355">
            <v>39.9</v>
          </cell>
          <cell r="BN355" t="str">
            <v>No</v>
          </cell>
          <cell r="BO355" t="str">
            <v>External</v>
          </cell>
          <cell r="BP355">
            <v>21</v>
          </cell>
          <cell r="BQ355">
            <v>7</v>
          </cell>
          <cell r="BR355">
            <v>512000000</v>
          </cell>
          <cell r="BS355">
            <v>512000000</v>
          </cell>
          <cell r="BT355">
            <v>372766000</v>
          </cell>
          <cell r="BU355">
            <v>372766000</v>
          </cell>
          <cell r="BV355" t="str">
            <v>No</v>
          </cell>
          <cell r="BW355" t="str">
            <v>Spain</v>
          </cell>
          <cell r="BX355" t="str">
            <v>Office</v>
          </cell>
          <cell r="BY355">
            <v>24</v>
          </cell>
          <cell r="BZ355" t="str">
            <v>France</v>
          </cell>
          <cell r="CA355" t="str">
            <v>Office</v>
          </cell>
          <cell r="CB355">
            <v>38</v>
          </cell>
          <cell r="CC355" t="str">
            <v>Germany</v>
          </cell>
          <cell r="CD355" t="str">
            <v>Office</v>
          </cell>
          <cell r="CE355">
            <v>38</v>
          </cell>
        </row>
        <row r="356">
          <cell r="A356">
            <v>17153</v>
          </cell>
          <cell r="B356" t="str">
            <v>NEXT REAL ESTATE POLISH RETAIL S.à R.L.</v>
          </cell>
          <cell r="C356" t="str">
            <v>CROMWELL REIM LUXEMBOURG S.à R.L.</v>
          </cell>
          <cell r="D356" t="str">
            <v>Rue Hildegard Von Bingen 1</v>
          </cell>
          <cell r="E356" t="str">
            <v>L-1282</v>
          </cell>
          <cell r="F356" t="str">
            <v>Luxembourg</v>
          </cell>
          <cell r="G356" t="str">
            <v>Luxembourg</v>
          </cell>
          <cell r="H356" t="str">
            <v>+3522649584311</v>
          </cell>
          <cell r="I356" t="str">
            <v>+3522649584312</v>
          </cell>
          <cell r="J356" t="str">
            <v>http://www.cromwell.co.uk</v>
          </cell>
          <cell r="K356" t="str">
            <v>Thierry Leleu</v>
          </cell>
          <cell r="L356" t="str">
            <v>thierry.leleu@cromwellpropertygroup.co.uk</v>
          </cell>
          <cell r="M356" t="str">
            <v xml:space="preserve">+44 20 7659 6729 </v>
          </cell>
          <cell r="N356" t="str">
            <v>Thierry Leleu</v>
          </cell>
          <cell r="O356" t="str">
            <v>thierry.leleu@cromwellpropertygroup.co.uk</v>
          </cell>
          <cell r="P356" t="str">
            <v>+44 20 7659 6729</v>
          </cell>
          <cell r="Q356" t="str">
            <v>Luxembourg</v>
          </cell>
          <cell r="R356" t="str">
            <v>EUR</v>
          </cell>
          <cell r="S356" t="str">
            <v>IFRS</v>
          </cell>
          <cell r="T356" t="str">
            <v>Quarterly</v>
          </cell>
          <cell r="U356" t="str">
            <v>Annually</v>
          </cell>
          <cell r="V356" t="str">
            <v>RICS</v>
          </cell>
          <cell r="W356" t="str">
            <v>INREV NAV</v>
          </cell>
          <cell r="X356" t="str">
            <v>KPMG Luxembourg S.à r.l.</v>
          </cell>
          <cell r="Y356" t="str">
            <v>SOPARFI</v>
          </cell>
          <cell r="Z356" t="str">
            <v>Yes</v>
          </cell>
          <cell r="AA356" t="str">
            <v>No</v>
          </cell>
          <cell r="AB356">
            <v>0</v>
          </cell>
          <cell r="AC356" t="str">
            <v>Non-Listed Fund</v>
          </cell>
          <cell r="AD356" t="str">
            <v>Value-added</v>
          </cell>
          <cell r="AE356" t="str">
            <v>finite</v>
          </cell>
          <cell r="AF356" t="str">
            <v>Closed end</v>
          </cell>
          <cell r="AG356">
            <v>14</v>
          </cell>
          <cell r="AH356">
            <v>17</v>
          </cell>
          <cell r="AI356" t="str">
            <v>Net</v>
          </cell>
          <cell r="AJ356" t="str">
            <v>Total Return</v>
          </cell>
          <cell r="AK356">
            <v>7</v>
          </cell>
          <cell r="AL356">
            <v>50</v>
          </cell>
          <cell r="AM356" t="str">
            <v>&gt; 40% - ≤ 60%</v>
          </cell>
          <cell r="AN356" t="str">
            <v>Institutional</v>
          </cell>
          <cell r="AO356" t="str">
            <v>&gt; 2</v>
          </cell>
          <cell r="AP356" t="str">
            <v>≥ 50%</v>
          </cell>
          <cell r="AQ356" t="str">
            <v>Europe</v>
          </cell>
          <cell r="AR356" t="str">
            <v>single country</v>
          </cell>
          <cell r="AT356" t="str">
            <v>Poland</v>
          </cell>
          <cell r="AU356" t="str">
            <v>single sector</v>
          </cell>
          <cell r="AV356" t="str">
            <v>Retail</v>
          </cell>
          <cell r="AW356">
            <v>240000000</v>
          </cell>
          <cell r="AX356">
            <v>768000000</v>
          </cell>
          <cell r="AY356">
            <v>2011</v>
          </cell>
          <cell r="AZ356">
            <v>2018</v>
          </cell>
          <cell r="BA356" t="str">
            <v>Yes</v>
          </cell>
          <cell r="BB356" t="str">
            <v>Yes</v>
          </cell>
          <cell r="BC356" t="str">
            <v>3 years fixed</v>
          </cell>
          <cell r="BD356" t="str">
            <v>No</v>
          </cell>
          <cell r="BF356" t="str">
            <v>&gt; 15% - ≤ 40%</v>
          </cell>
          <cell r="BG356" t="str">
            <v>&gt; 5 - ≤ 25%</v>
          </cell>
          <cell r="BH356" t="str">
            <v>2019-03-31</v>
          </cell>
          <cell r="BI356">
            <v>543043662</v>
          </cell>
          <cell r="BJ356">
            <v>543043662</v>
          </cell>
          <cell r="BK356">
            <v>277699091</v>
          </cell>
          <cell r="BL356">
            <v>277699091</v>
          </cell>
          <cell r="BM356">
            <v>47.1</v>
          </cell>
          <cell r="BN356" t="str">
            <v>No</v>
          </cell>
          <cell r="BO356" t="str">
            <v>External</v>
          </cell>
          <cell r="BQ356">
            <v>7</v>
          </cell>
          <cell r="BR356">
            <v>250000000</v>
          </cell>
          <cell r="BS356">
            <v>250000000</v>
          </cell>
          <cell r="BT356">
            <v>217736695</v>
          </cell>
          <cell r="BU356">
            <v>217736695</v>
          </cell>
          <cell r="BV356" t="str">
            <v>No</v>
          </cell>
          <cell r="BW356" t="str">
            <v>Poland</v>
          </cell>
          <cell r="BX356" t="str">
            <v>Retail</v>
          </cell>
          <cell r="BY356">
            <v>100</v>
          </cell>
        </row>
        <row r="357">
          <cell r="A357">
            <v>19581</v>
          </cell>
          <cell r="B357" t="str">
            <v>NEXUS 1</v>
          </cell>
          <cell r="C357" t="str">
            <v>AMUNDI REAL ESTATE ITALIA SGR</v>
          </cell>
          <cell r="D357" t="str">
            <v>Via Cernaia 8-10</v>
          </cell>
          <cell r="E357">
            <v>20121</v>
          </cell>
          <cell r="F357" t="str">
            <v>Milan</v>
          </cell>
          <cell r="G357" t="str">
            <v>Italy</v>
          </cell>
          <cell r="J357" t="str">
            <v>https://www.amundi-re.it/</v>
          </cell>
          <cell r="N357" t="str">
            <v>Francesco Berardinelli</v>
          </cell>
          <cell r="O357" t="str">
            <v>francesco.berardinelli@amundi.com</v>
          </cell>
          <cell r="P357" t="str">
            <v>+393351576021</v>
          </cell>
          <cell r="Q357" t="str">
            <v>Italy</v>
          </cell>
          <cell r="R357" t="str">
            <v>EUR</v>
          </cell>
          <cell r="S357" t="str">
            <v>Local GAAP</v>
          </cell>
          <cell r="T357" t="str">
            <v>Quarterly</v>
          </cell>
          <cell r="U357" t="str">
            <v>Quarterly</v>
          </cell>
          <cell r="V357" t="str">
            <v>RICS</v>
          </cell>
          <cell r="W357" t="str">
            <v>Bank of Italy rules</v>
          </cell>
          <cell r="X357" t="str">
            <v>PricewaterhouseCoopers SpA</v>
          </cell>
          <cell r="Y357" t="str">
            <v>Real Estate Fund</v>
          </cell>
          <cell r="Z357" t="str">
            <v>No</v>
          </cell>
          <cell r="AA357" t="str">
            <v>Yes</v>
          </cell>
          <cell r="AB357">
            <v>2</v>
          </cell>
          <cell r="AC357" t="str">
            <v>Non-Listed Fund</v>
          </cell>
          <cell r="AD357" t="str">
            <v>Core</v>
          </cell>
          <cell r="AE357" t="str">
            <v>finite</v>
          </cell>
          <cell r="AF357" t="str">
            <v>Closed end</v>
          </cell>
          <cell r="AG357">
            <v>5</v>
          </cell>
          <cell r="AH357">
            <v>7</v>
          </cell>
          <cell r="AI357" t="str">
            <v>Net</v>
          </cell>
          <cell r="AK357">
            <v>5</v>
          </cell>
          <cell r="AM357" t="str">
            <v>≤ 40%</v>
          </cell>
          <cell r="AN357" t="str">
            <v>Institutional</v>
          </cell>
          <cell r="AO357" t="str">
            <v>&gt; 2</v>
          </cell>
          <cell r="AP357" t="str">
            <v>≥ 50%</v>
          </cell>
          <cell r="AQ357" t="str">
            <v>Europe</v>
          </cell>
          <cell r="AR357" t="str">
            <v>single country</v>
          </cell>
          <cell r="AT357" t="str">
            <v>Italy</v>
          </cell>
          <cell r="AU357" t="str">
            <v>multi sector</v>
          </cell>
          <cell r="AW357">
            <v>650000000</v>
          </cell>
          <cell r="AX357">
            <v>1000000000</v>
          </cell>
          <cell r="AY357">
            <v>2014</v>
          </cell>
          <cell r="AZ357">
            <v>2028</v>
          </cell>
          <cell r="BA357" t="str">
            <v>No</v>
          </cell>
          <cell r="BD357" t="str">
            <v>No</v>
          </cell>
          <cell r="BE357" t="str">
            <v>≥ 60%</v>
          </cell>
          <cell r="BF357" t="str">
            <v>≤ 15%</v>
          </cell>
          <cell r="BG357" t="str">
            <v>≤ 5%</v>
          </cell>
          <cell r="BH357" t="str">
            <v>2020-12-31</v>
          </cell>
          <cell r="BI357">
            <v>753491905</v>
          </cell>
          <cell r="BJ357">
            <v>753491905</v>
          </cell>
          <cell r="BK357">
            <v>535132331</v>
          </cell>
          <cell r="BL357">
            <v>535132331</v>
          </cell>
          <cell r="BM357">
            <v>28</v>
          </cell>
          <cell r="BN357" t="str">
            <v>Yes</v>
          </cell>
          <cell r="BO357" t="str">
            <v>External</v>
          </cell>
          <cell r="BP357">
            <v>5</v>
          </cell>
          <cell r="BQ357">
            <v>15</v>
          </cell>
          <cell r="BR357">
            <v>620418038</v>
          </cell>
          <cell r="BS357">
            <v>620418038</v>
          </cell>
          <cell r="BT357">
            <v>569050843</v>
          </cell>
          <cell r="BU357">
            <v>569050843</v>
          </cell>
          <cell r="BV357" t="str">
            <v>Yes</v>
          </cell>
          <cell r="BW357" t="str">
            <v>Italy</v>
          </cell>
          <cell r="BX357" t="str">
            <v>Retail</v>
          </cell>
          <cell r="BY357">
            <v>7</v>
          </cell>
          <cell r="BZ357" t="str">
            <v>Italy</v>
          </cell>
          <cell r="CA357" t="str">
            <v>Office</v>
          </cell>
          <cell r="CB357">
            <v>88</v>
          </cell>
        </row>
        <row r="358">
          <cell r="A358">
            <v>18457</v>
          </cell>
          <cell r="B358" t="str">
            <v>NGH</v>
          </cell>
          <cell r="C358" t="str">
            <v>MAN GLOBAL PRIVATE MARKETS</v>
          </cell>
          <cell r="D358" t="str">
            <v>2 Swan Lane</v>
          </cell>
          <cell r="E358" t="str">
            <v>EC4R 3AD</v>
          </cell>
          <cell r="F358" t="str">
            <v>London</v>
          </cell>
          <cell r="G358" t="str">
            <v>United States of America</v>
          </cell>
          <cell r="J358" t="str">
            <v>https://www.man.com/gpm-aalto</v>
          </cell>
          <cell r="K358" t="str">
            <v>Travis Masters</v>
          </cell>
          <cell r="L358" t="str">
            <v>Travis.Masters@man.com</v>
          </cell>
          <cell r="M358" t="str">
            <v>+1 (980) 321-7561</v>
          </cell>
          <cell r="N358" t="str">
            <v>Jonathan Shaw</v>
          </cell>
          <cell r="O358" t="str">
            <v>Jonathan.Shaw@Man.com</v>
          </cell>
          <cell r="P358">
            <v>2071142911</v>
          </cell>
          <cell r="Q358" t="str">
            <v>United States of America</v>
          </cell>
          <cell r="R358" t="str">
            <v>USD</v>
          </cell>
          <cell r="S358" t="str">
            <v>US GAAP</v>
          </cell>
          <cell r="T358" t="str">
            <v>Annually</v>
          </cell>
          <cell r="U358" t="str">
            <v>Annually</v>
          </cell>
          <cell r="V358" t="str">
            <v>CoreLogic: Automated Valuation Estimate or Broker Price Option; otherwise RedBell Valuation Risk Review ; or valued at cost if in development</v>
          </cell>
          <cell r="W358" t="str">
            <v>CoreLogic (Automated Valuation Model): PASS</v>
          </cell>
          <cell r="X358" t="str">
            <v>Grant Thornton</v>
          </cell>
          <cell r="Y358" t="str">
            <v>Real Estate Fund</v>
          </cell>
          <cell r="Z358" t="str">
            <v>No</v>
          </cell>
          <cell r="AA358" t="str">
            <v>Yes</v>
          </cell>
          <cell r="AC358" t="str">
            <v>Non-Listed Fund</v>
          </cell>
          <cell r="AD358" t="str">
            <v>Core</v>
          </cell>
          <cell r="AE358" t="str">
            <v>infinite</v>
          </cell>
          <cell r="AF358" t="str">
            <v>Closed end</v>
          </cell>
          <cell r="AG358">
            <v>7</v>
          </cell>
          <cell r="AH358">
            <v>9</v>
          </cell>
          <cell r="AI358" t="str">
            <v>Gross</v>
          </cell>
          <cell r="AJ358" t="str">
            <v>None</v>
          </cell>
          <cell r="AL358">
            <v>0</v>
          </cell>
          <cell r="AM358" t="str">
            <v>≤ 40%</v>
          </cell>
          <cell r="AN358" t="str">
            <v>Institutional</v>
          </cell>
          <cell r="AO358" t="str">
            <v>≤ 2</v>
          </cell>
          <cell r="AP358" t="str">
            <v>≥ 50%</v>
          </cell>
          <cell r="AQ358" t="str">
            <v>North America</v>
          </cell>
          <cell r="AR358" t="str">
            <v>single country</v>
          </cell>
          <cell r="AT358" t="str">
            <v>United States of America</v>
          </cell>
          <cell r="AU358" t="str">
            <v>single sector</v>
          </cell>
          <cell r="AV358" t="str">
            <v>Residential</v>
          </cell>
          <cell r="AY358">
            <v>2012</v>
          </cell>
          <cell r="BF358" t="str">
            <v>≤ 15%</v>
          </cell>
        </row>
        <row r="359">
          <cell r="A359">
            <v>16344</v>
          </cell>
          <cell r="B359" t="str">
            <v>NIAM NORDIC CORE-PLUS</v>
          </cell>
          <cell r="C359" t="str">
            <v>NIAM</v>
          </cell>
          <cell r="D359" t="str">
            <v>Stureplan 3</v>
          </cell>
          <cell r="E359" t="str">
            <v>111 45</v>
          </cell>
          <cell r="F359" t="str">
            <v>Stockholm</v>
          </cell>
          <cell r="G359" t="str">
            <v>Sweden</v>
          </cell>
          <cell r="H359" t="str">
            <v>+46851758500</v>
          </cell>
          <cell r="I359" t="str">
            <v>+46851758599</v>
          </cell>
          <cell r="J359" t="str">
            <v>http://www.niam.se/</v>
          </cell>
          <cell r="K359" t="str">
            <v>Victor Wettergren</v>
          </cell>
          <cell r="L359" t="str">
            <v>victor.wettergren@niam.com</v>
          </cell>
          <cell r="M359" t="str">
            <v>+46851758525</v>
          </cell>
          <cell r="N359" t="str">
            <v>Fanny Jörwall</v>
          </cell>
          <cell r="O359" t="str">
            <v>fanny.jorwall@niam.com</v>
          </cell>
          <cell r="P359" t="str">
            <v>+46708196839</v>
          </cell>
          <cell r="Q359" t="str">
            <v>Luxembourg</v>
          </cell>
          <cell r="R359" t="str">
            <v>EUR</v>
          </cell>
          <cell r="S359" t="str">
            <v>IFRS</v>
          </cell>
          <cell r="T359" t="str">
            <v>Quarterly</v>
          </cell>
          <cell r="U359" t="str">
            <v>Twice per year</v>
          </cell>
          <cell r="V359" t="str">
            <v>RICS</v>
          </cell>
          <cell r="W359" t="str">
            <v>IFRS NAV</v>
          </cell>
          <cell r="X359" t="str">
            <v>E&amp;Y</v>
          </cell>
          <cell r="Y359" t="str">
            <v>FCP</v>
          </cell>
          <cell r="Z359" t="str">
            <v>Yes</v>
          </cell>
          <cell r="AA359" t="str">
            <v>Yes</v>
          </cell>
          <cell r="AB359">
            <v>1</v>
          </cell>
          <cell r="AC359" t="str">
            <v>Non-Listed Fund</v>
          </cell>
          <cell r="AD359" t="str">
            <v>Core</v>
          </cell>
          <cell r="AE359" t="str">
            <v>finite</v>
          </cell>
          <cell r="AF359" t="str">
            <v>Closed end</v>
          </cell>
          <cell r="AG359">
            <v>10</v>
          </cell>
          <cell r="AH359">
            <v>10</v>
          </cell>
          <cell r="AI359" t="str">
            <v>Net</v>
          </cell>
          <cell r="AK359">
            <v>5</v>
          </cell>
          <cell r="AL359">
            <v>50</v>
          </cell>
          <cell r="AM359" t="str">
            <v>&gt; 40% - ≤ 60%</v>
          </cell>
          <cell r="AN359" t="str">
            <v>Institutional</v>
          </cell>
          <cell r="AO359" t="str">
            <v>&gt; 2</v>
          </cell>
          <cell r="AP359" t="str">
            <v>≥ 50%</v>
          </cell>
          <cell r="AQ359" t="str">
            <v>Europe</v>
          </cell>
          <cell r="AR359" t="str">
            <v>multi country</v>
          </cell>
          <cell r="AS359" t="str">
            <v>Nordic</v>
          </cell>
          <cell r="AU359" t="str">
            <v>multi sector</v>
          </cell>
          <cell r="AW359">
            <v>300</v>
          </cell>
          <cell r="AY359">
            <v>2013</v>
          </cell>
          <cell r="AZ359">
            <v>2021</v>
          </cell>
          <cell r="BA359" t="str">
            <v>Yes</v>
          </cell>
          <cell r="BB359" t="str">
            <v>Yes</v>
          </cell>
          <cell r="BC359" t="str">
            <v>1+1 years</v>
          </cell>
          <cell r="BD359" t="str">
            <v>No</v>
          </cell>
          <cell r="BH359" t="str">
            <v>2020-12-31</v>
          </cell>
          <cell r="BI359">
            <v>39788000</v>
          </cell>
          <cell r="BJ359">
            <v>39788000</v>
          </cell>
          <cell r="BK359">
            <v>18810000</v>
          </cell>
          <cell r="BL359">
            <v>18810000</v>
          </cell>
          <cell r="BM359">
            <v>51</v>
          </cell>
          <cell r="BN359" t="str">
            <v>No</v>
          </cell>
          <cell r="BO359" t="str">
            <v>Internal</v>
          </cell>
          <cell r="BP359">
            <v>12</v>
          </cell>
          <cell r="BQ359">
            <v>2</v>
          </cell>
          <cell r="BR359">
            <v>299970000</v>
          </cell>
          <cell r="BS359">
            <v>299970000</v>
          </cell>
          <cell r="BT359">
            <v>244951724</v>
          </cell>
          <cell r="BU359">
            <v>244951724</v>
          </cell>
          <cell r="BV359" t="str">
            <v>No</v>
          </cell>
          <cell r="BW359" t="str">
            <v>Sweden</v>
          </cell>
          <cell r="BX359" t="str">
            <v>Retail</v>
          </cell>
          <cell r="BY359">
            <v>47</v>
          </cell>
          <cell r="BZ359" t="str">
            <v>Denmark</v>
          </cell>
          <cell r="CA359" t="str">
            <v>Office</v>
          </cell>
          <cell r="CB359">
            <v>53</v>
          </cell>
        </row>
        <row r="360">
          <cell r="A360">
            <v>18147</v>
          </cell>
          <cell r="B360" t="str">
            <v>NIAM NORDIC CORE-PLUS II</v>
          </cell>
          <cell r="C360" t="str">
            <v>NIAM</v>
          </cell>
          <cell r="D360" t="str">
            <v>Stureplan 3</v>
          </cell>
          <cell r="E360" t="str">
            <v>111 45</v>
          </cell>
          <cell r="F360" t="str">
            <v>Stockholm</v>
          </cell>
          <cell r="G360" t="str">
            <v>Sweden</v>
          </cell>
          <cell r="H360" t="str">
            <v>+46851758500</v>
          </cell>
          <cell r="I360" t="str">
            <v>+46851758599</v>
          </cell>
          <cell r="J360" t="str">
            <v>http://www.niam.se</v>
          </cell>
          <cell r="K360" t="str">
            <v>Victor Wettergren</v>
          </cell>
          <cell r="L360" t="str">
            <v>victor.wettergren@niam.com</v>
          </cell>
          <cell r="M360" t="str">
            <v>+46851758525</v>
          </cell>
          <cell r="N360" t="str">
            <v>Fanny Jörwall</v>
          </cell>
          <cell r="O360" t="str">
            <v>fanny.jorwall@niam.com</v>
          </cell>
          <cell r="P360" t="str">
            <v>+46708196839</v>
          </cell>
          <cell r="Q360" t="str">
            <v>Luxembourg</v>
          </cell>
          <cell r="R360" t="str">
            <v>EUR</v>
          </cell>
          <cell r="S360" t="str">
            <v>IFRS</v>
          </cell>
          <cell r="T360" t="str">
            <v>Quarterly</v>
          </cell>
          <cell r="U360" t="str">
            <v>Twice per year</v>
          </cell>
          <cell r="V360" t="str">
            <v>RICS</v>
          </cell>
          <cell r="W360" t="str">
            <v>IFRS NAV</v>
          </cell>
          <cell r="Y360" t="str">
            <v>Limited Partnership</v>
          </cell>
          <cell r="Z360" t="str">
            <v>Yes</v>
          </cell>
          <cell r="AC360" t="str">
            <v>Non-Listed Fund</v>
          </cell>
          <cell r="AD360" t="str">
            <v>Core</v>
          </cell>
          <cell r="AE360" t="str">
            <v>finite</v>
          </cell>
          <cell r="AF360" t="str">
            <v>Closed end</v>
          </cell>
          <cell r="AG360">
            <v>8</v>
          </cell>
          <cell r="AH360">
            <v>8</v>
          </cell>
          <cell r="AI360" t="str">
            <v>Net</v>
          </cell>
          <cell r="AK360">
            <v>5</v>
          </cell>
          <cell r="AL360">
            <v>50</v>
          </cell>
          <cell r="AM360" t="str">
            <v>&gt; 40% - ≤ 60%</v>
          </cell>
          <cell r="AN360" t="str">
            <v>Institutional</v>
          </cell>
          <cell r="AO360" t="str">
            <v>&gt; 2</v>
          </cell>
          <cell r="AP360" t="str">
            <v>≥ 50%</v>
          </cell>
          <cell r="AQ360" t="str">
            <v>Europe</v>
          </cell>
          <cell r="AR360" t="str">
            <v>multi country</v>
          </cell>
          <cell r="AS360" t="str">
            <v>Nordic</v>
          </cell>
          <cell r="AU360" t="str">
            <v>multi sector</v>
          </cell>
          <cell r="AW360">
            <v>300000000</v>
          </cell>
          <cell r="AX360">
            <v>600000000</v>
          </cell>
          <cell r="AY360">
            <v>2017</v>
          </cell>
          <cell r="AZ360">
            <v>2025</v>
          </cell>
          <cell r="BA360" t="str">
            <v>Yes</v>
          </cell>
          <cell r="BB360" t="str">
            <v>Yes</v>
          </cell>
          <cell r="BC360" t="str">
            <v>1+1+1+1 years</v>
          </cell>
          <cell r="BD360" t="str">
            <v>No</v>
          </cell>
          <cell r="BE360" t="str">
            <v>≥ 60%</v>
          </cell>
          <cell r="BF360" t="str">
            <v>≤ 15%</v>
          </cell>
          <cell r="BH360" t="str">
            <v>2020-12-31</v>
          </cell>
          <cell r="BI360">
            <v>524414000</v>
          </cell>
          <cell r="BJ360">
            <v>524414000</v>
          </cell>
          <cell r="BK360">
            <v>254217000</v>
          </cell>
          <cell r="BL360">
            <v>254217000</v>
          </cell>
          <cell r="BM360">
            <v>48</v>
          </cell>
          <cell r="BN360" t="str">
            <v>No</v>
          </cell>
          <cell r="BO360" t="str">
            <v>Internal</v>
          </cell>
          <cell r="BP360">
            <v>16</v>
          </cell>
          <cell r="BQ360">
            <v>18</v>
          </cell>
          <cell r="BR360">
            <v>280962314</v>
          </cell>
          <cell r="BS360">
            <v>280962314</v>
          </cell>
          <cell r="BT360">
            <v>233100767</v>
          </cell>
          <cell r="BU360">
            <v>233100767</v>
          </cell>
          <cell r="BV360" t="str">
            <v>No</v>
          </cell>
          <cell r="BW360" t="str">
            <v>Denmark</v>
          </cell>
          <cell r="BX360" t="str">
            <v>Office</v>
          </cell>
          <cell r="BY360">
            <v>21.15</v>
          </cell>
          <cell r="BZ360" t="str">
            <v>Finland</v>
          </cell>
          <cell r="CA360" t="str">
            <v>Office</v>
          </cell>
          <cell r="CB360">
            <v>13.93</v>
          </cell>
          <cell r="CC360" t="str">
            <v>Norway</v>
          </cell>
          <cell r="CD360" t="str">
            <v>Office</v>
          </cell>
          <cell r="CE360">
            <v>16.739999999999998</v>
          </cell>
          <cell r="CF360" t="str">
            <v>Denmark</v>
          </cell>
          <cell r="CG360" t="str">
            <v>Other</v>
          </cell>
          <cell r="CH360">
            <v>5.55</v>
          </cell>
          <cell r="CI360" t="str">
            <v>Sweden</v>
          </cell>
          <cell r="CJ360" t="str">
            <v>Other</v>
          </cell>
          <cell r="CK360">
            <v>3.54</v>
          </cell>
          <cell r="CL360" t="str">
            <v>Sweden</v>
          </cell>
          <cell r="CM360" t="str">
            <v>Residential</v>
          </cell>
          <cell r="CN360">
            <v>8.2799999999999994</v>
          </cell>
          <cell r="CO360" t="str">
            <v>Finland</v>
          </cell>
          <cell r="CP360" t="str">
            <v>Retail</v>
          </cell>
          <cell r="CQ360">
            <v>10.52</v>
          </cell>
          <cell r="CR360" t="str">
            <v>Sweden</v>
          </cell>
          <cell r="CS360" t="str">
            <v>Retail</v>
          </cell>
          <cell r="CT360">
            <v>20.29</v>
          </cell>
        </row>
        <row r="361">
          <cell r="A361">
            <v>617</v>
          </cell>
          <cell r="B361" t="str">
            <v>NIAM NORDIC V</v>
          </cell>
          <cell r="C361" t="str">
            <v>NIAM AB</v>
          </cell>
          <cell r="D361" t="str">
            <v>Stureplan 3</v>
          </cell>
          <cell r="E361" t="str">
            <v>111 45</v>
          </cell>
          <cell r="F361" t="str">
            <v>STOCKHOLM</v>
          </cell>
          <cell r="G361" t="str">
            <v>Sweden</v>
          </cell>
          <cell r="H361" t="str">
            <v>+46851758500</v>
          </cell>
          <cell r="I361" t="str">
            <v>+46851758599</v>
          </cell>
          <cell r="J361" t="str">
            <v>http://www.niam.se</v>
          </cell>
          <cell r="K361" t="str">
            <v>Erik Rydström</v>
          </cell>
          <cell r="L361" t="str">
            <v>erik.rydstrom@niam.com</v>
          </cell>
          <cell r="M361" t="str">
            <v>+46851758544</v>
          </cell>
          <cell r="N361" t="str">
            <v>Fanny Jörwall</v>
          </cell>
          <cell r="O361" t="str">
            <v>fanny.jorwall@niam.com</v>
          </cell>
          <cell r="P361" t="str">
            <v>+46708196839</v>
          </cell>
          <cell r="Q361" t="str">
            <v>Sweden</v>
          </cell>
          <cell r="R361" t="str">
            <v>EUR</v>
          </cell>
          <cell r="S361" t="str">
            <v>IFRS</v>
          </cell>
          <cell r="T361" t="str">
            <v>Quarterly</v>
          </cell>
          <cell r="U361" t="str">
            <v>Annually</v>
          </cell>
          <cell r="V361" t="str">
            <v>RICS</v>
          </cell>
          <cell r="W361" t="str">
            <v>IFRS NAV</v>
          </cell>
          <cell r="X361" t="str">
            <v>Ernst &amp; Young</v>
          </cell>
          <cell r="Y361" t="str">
            <v>Limited Partnership</v>
          </cell>
          <cell r="Z361" t="str">
            <v>No</v>
          </cell>
          <cell r="AC361" t="str">
            <v>Non-Listed Fund</v>
          </cell>
          <cell r="AD361" t="str">
            <v>Opportunity</v>
          </cell>
          <cell r="AE361" t="str">
            <v>finite</v>
          </cell>
          <cell r="AF361" t="str">
            <v>Closed end</v>
          </cell>
          <cell r="AG361">
            <v>20</v>
          </cell>
          <cell r="AH361">
            <v>20</v>
          </cell>
          <cell r="AI361" t="str">
            <v>Gross</v>
          </cell>
          <cell r="AJ361" t="str">
            <v>IPD</v>
          </cell>
          <cell r="AL361">
            <v>75</v>
          </cell>
          <cell r="AM361" t="str">
            <v>&gt; 60%</v>
          </cell>
          <cell r="AN361" t="str">
            <v>Institutional</v>
          </cell>
          <cell r="AO361" t="str">
            <v>&gt; 2</v>
          </cell>
          <cell r="AP361" t="str">
            <v>≥ 50%</v>
          </cell>
          <cell r="AQ361" t="str">
            <v>Europe</v>
          </cell>
          <cell r="AR361" t="str">
            <v>multi country</v>
          </cell>
          <cell r="AS361" t="str">
            <v>Nordic</v>
          </cell>
          <cell r="AU361" t="str">
            <v>multi sector</v>
          </cell>
          <cell r="AW361">
            <v>600000000</v>
          </cell>
          <cell r="AY361">
            <v>2011</v>
          </cell>
          <cell r="AZ361">
            <v>2020</v>
          </cell>
          <cell r="BA361" t="str">
            <v>Yes</v>
          </cell>
          <cell r="BB361" t="str">
            <v>Yes</v>
          </cell>
          <cell r="BC361" t="str">
            <v>4 years fixed</v>
          </cell>
          <cell r="BF361" t="str">
            <v>&gt; 40%</v>
          </cell>
          <cell r="BG361" t="str">
            <v>&gt; 5 - ≤ 25%</v>
          </cell>
          <cell r="BH361" t="str">
            <v>2020-12-31</v>
          </cell>
          <cell r="BI361">
            <v>392413000</v>
          </cell>
          <cell r="BJ361">
            <v>392413000</v>
          </cell>
          <cell r="BK361">
            <v>201490000</v>
          </cell>
          <cell r="BL361">
            <v>201490000</v>
          </cell>
          <cell r="BM361">
            <v>44</v>
          </cell>
          <cell r="BN361" t="str">
            <v>No</v>
          </cell>
          <cell r="BO361" t="str">
            <v>Internal</v>
          </cell>
          <cell r="BP361">
            <v>37</v>
          </cell>
          <cell r="BQ361">
            <v>11</v>
          </cell>
          <cell r="BR361">
            <v>719372500</v>
          </cell>
          <cell r="BS361">
            <v>719372500</v>
          </cell>
          <cell r="BT361">
            <v>674417163</v>
          </cell>
          <cell r="BU361">
            <v>674417163</v>
          </cell>
          <cell r="BV361" t="str">
            <v>No</v>
          </cell>
          <cell r="BW361" t="str">
            <v>Sweden</v>
          </cell>
          <cell r="BX361" t="str">
            <v>Development Residential</v>
          </cell>
          <cell r="BY361">
            <v>11.2</v>
          </cell>
          <cell r="BZ361" t="str">
            <v>Norway</v>
          </cell>
          <cell r="CA361" t="str">
            <v>Retail</v>
          </cell>
          <cell r="CB361">
            <v>31.2</v>
          </cell>
          <cell r="CC361" t="str">
            <v>Poland</v>
          </cell>
          <cell r="CD361" t="str">
            <v>Office</v>
          </cell>
          <cell r="CE361">
            <v>28.2</v>
          </cell>
          <cell r="CF361" t="str">
            <v>Denmark</v>
          </cell>
          <cell r="CG361" t="str">
            <v>Office</v>
          </cell>
          <cell r="CH361">
            <v>29.4</v>
          </cell>
        </row>
        <row r="362">
          <cell r="A362">
            <v>17696</v>
          </cell>
          <cell r="B362" t="str">
            <v>NIAM NORDIC VI</v>
          </cell>
          <cell r="C362" t="str">
            <v>NIAM AB</v>
          </cell>
          <cell r="D362" t="str">
            <v>Stureplan 3</v>
          </cell>
          <cell r="E362" t="str">
            <v>111 45</v>
          </cell>
          <cell r="F362" t="str">
            <v>Stockholm</v>
          </cell>
          <cell r="G362" t="str">
            <v>Sweden</v>
          </cell>
          <cell r="H362" t="str">
            <v>+46851758500</v>
          </cell>
          <cell r="I362" t="str">
            <v>+46851758599</v>
          </cell>
          <cell r="J362" t="str">
            <v>http://www.niam.se</v>
          </cell>
          <cell r="K362" t="str">
            <v>Henrik Gerdin</v>
          </cell>
          <cell r="L362" t="str">
            <v>henrik.gerdin@niam.com</v>
          </cell>
          <cell r="M362" t="str">
            <v>+46851758503</v>
          </cell>
          <cell r="N362" t="str">
            <v>Fanny Jörwall</v>
          </cell>
          <cell r="O362" t="str">
            <v>fanny.jorwall@niam.com</v>
          </cell>
          <cell r="P362" t="str">
            <v>+46708196839</v>
          </cell>
          <cell r="Q362" t="str">
            <v>United Kingdom</v>
          </cell>
          <cell r="R362" t="str">
            <v>EUR</v>
          </cell>
          <cell r="S362" t="str">
            <v>IFRS</v>
          </cell>
          <cell r="T362" t="str">
            <v>Quarterly</v>
          </cell>
          <cell r="U362" t="str">
            <v>Annually</v>
          </cell>
          <cell r="V362" t="str">
            <v>RICS</v>
          </cell>
          <cell r="W362" t="str">
            <v>IFRS NAV</v>
          </cell>
          <cell r="X362" t="str">
            <v>Ernst &amp; Young</v>
          </cell>
          <cell r="Y362" t="str">
            <v>Limited Partnership</v>
          </cell>
          <cell r="Z362" t="str">
            <v>No</v>
          </cell>
          <cell r="AC362" t="str">
            <v>Non-Listed Fund</v>
          </cell>
          <cell r="AD362" t="str">
            <v>Opportunity</v>
          </cell>
          <cell r="AE362" t="str">
            <v>finite</v>
          </cell>
          <cell r="AF362" t="str">
            <v>Closed end</v>
          </cell>
          <cell r="AG362">
            <v>18</v>
          </cell>
          <cell r="AH362">
            <v>20</v>
          </cell>
          <cell r="AI362" t="str">
            <v>Gross</v>
          </cell>
          <cell r="AJ362" t="str">
            <v>Cambridge</v>
          </cell>
          <cell r="AL362">
            <v>75</v>
          </cell>
          <cell r="AM362" t="str">
            <v>&gt; 60%</v>
          </cell>
          <cell r="AN362" t="str">
            <v>Institutional</v>
          </cell>
          <cell r="AO362" t="str">
            <v>&gt; 2</v>
          </cell>
          <cell r="AP362" t="str">
            <v>≥ 50%</v>
          </cell>
          <cell r="AQ362" t="str">
            <v>Europe</v>
          </cell>
          <cell r="AR362" t="str">
            <v>multi country</v>
          </cell>
          <cell r="AS362" t="str">
            <v>Nordic</v>
          </cell>
          <cell r="AU362" t="str">
            <v>multi sector</v>
          </cell>
          <cell r="AW362">
            <v>800000000</v>
          </cell>
          <cell r="AY362">
            <v>2015</v>
          </cell>
          <cell r="AZ362">
            <v>2023</v>
          </cell>
          <cell r="BA362" t="str">
            <v>Yes</v>
          </cell>
          <cell r="BB362" t="str">
            <v>Yes</v>
          </cell>
          <cell r="BC362" t="str">
            <v>1+1+1+1 years</v>
          </cell>
          <cell r="BF362" t="str">
            <v>&gt; 15% - ≤ 40%</v>
          </cell>
          <cell r="BG362" t="str">
            <v>&gt; 5 - ≤ 25%</v>
          </cell>
          <cell r="BH362" t="str">
            <v>2020-12-31</v>
          </cell>
          <cell r="BI362">
            <v>2599740000</v>
          </cell>
          <cell r="BJ362">
            <v>2599740000</v>
          </cell>
          <cell r="BK362">
            <v>813523000</v>
          </cell>
          <cell r="BL362">
            <v>813523000</v>
          </cell>
          <cell r="BM362">
            <v>62</v>
          </cell>
          <cell r="BN362" t="str">
            <v>No</v>
          </cell>
          <cell r="BO362" t="str">
            <v>Internal</v>
          </cell>
          <cell r="BP362">
            <v>27</v>
          </cell>
          <cell r="BQ362">
            <v>219</v>
          </cell>
          <cell r="BR362">
            <v>800000000</v>
          </cell>
          <cell r="BS362">
            <v>800000000</v>
          </cell>
          <cell r="BT362">
            <v>670081027</v>
          </cell>
          <cell r="BU362">
            <v>670081027</v>
          </cell>
          <cell r="BV362" t="str">
            <v>No</v>
          </cell>
          <cell r="BW362" t="str">
            <v>Poland</v>
          </cell>
          <cell r="BX362" t="str">
            <v>Office</v>
          </cell>
          <cell r="BY362">
            <v>6.8</v>
          </cell>
          <cell r="BZ362" t="str">
            <v>Sweden</v>
          </cell>
          <cell r="CA362" t="str">
            <v>Other</v>
          </cell>
          <cell r="CB362">
            <v>3.95</v>
          </cell>
          <cell r="CC362" t="str">
            <v>Sweden</v>
          </cell>
          <cell r="CD362" t="str">
            <v>Office</v>
          </cell>
          <cell r="CE362">
            <v>4.82</v>
          </cell>
          <cell r="CF362" t="str">
            <v>Finland</v>
          </cell>
          <cell r="CG362" t="str">
            <v>Retail</v>
          </cell>
          <cell r="CH362">
            <v>7.52</v>
          </cell>
          <cell r="CI362" t="str">
            <v>Finland</v>
          </cell>
          <cell r="CJ362" t="str">
            <v>Office</v>
          </cell>
          <cell r="CK362">
            <v>11.57</v>
          </cell>
          <cell r="CL362" t="str">
            <v>Denmark</v>
          </cell>
          <cell r="CM362" t="str">
            <v>Other</v>
          </cell>
          <cell r="CN362">
            <v>0.27</v>
          </cell>
          <cell r="CO362" t="str">
            <v>Denmark</v>
          </cell>
          <cell r="CP362" t="str">
            <v>Industrial / Logistics</v>
          </cell>
          <cell r="CQ362">
            <v>2.25</v>
          </cell>
          <cell r="CR362" t="str">
            <v>Denmark</v>
          </cell>
          <cell r="CS362" t="str">
            <v>Retail</v>
          </cell>
          <cell r="CT362">
            <v>0.04</v>
          </cell>
          <cell r="CU362" t="str">
            <v>Denmark</v>
          </cell>
          <cell r="CV362" t="str">
            <v>Office</v>
          </cell>
          <cell r="CW362">
            <v>5.16</v>
          </cell>
          <cell r="CX362" t="str">
            <v>Denmark</v>
          </cell>
          <cell r="CY362" t="str">
            <v>Residential</v>
          </cell>
          <cell r="CZ362">
            <v>57.62</v>
          </cell>
        </row>
        <row r="363">
          <cell r="A363">
            <v>19346</v>
          </cell>
          <cell r="B363" t="str">
            <v>NIAM NORDIC VII</v>
          </cell>
          <cell r="C363" t="str">
            <v>NIAM AB</v>
          </cell>
          <cell r="D363" t="str">
            <v>Stureplan 3</v>
          </cell>
          <cell r="E363" t="str">
            <v>111 45</v>
          </cell>
          <cell r="F363" t="str">
            <v>Stockholm</v>
          </cell>
          <cell r="G363" t="str">
            <v>Sweden</v>
          </cell>
          <cell r="H363" t="str">
            <v>+46851758500</v>
          </cell>
          <cell r="I363" t="str">
            <v>+46851758599</v>
          </cell>
          <cell r="J363" t="str">
            <v>http://www.niam.se</v>
          </cell>
          <cell r="K363" t="str">
            <v>Erik Rydström</v>
          </cell>
          <cell r="L363" t="str">
            <v>erik.rydstrom@niam.com</v>
          </cell>
          <cell r="M363" t="str">
            <v>+46851758544</v>
          </cell>
          <cell r="N363" t="str">
            <v>Fanny Jörwall</v>
          </cell>
          <cell r="O363" t="str">
            <v>fanny.jorwall@niam.com</v>
          </cell>
          <cell r="P363" t="str">
            <v>+46708196839</v>
          </cell>
          <cell r="Q363" t="str">
            <v>Sweden</v>
          </cell>
          <cell r="R363" t="str">
            <v>EUR</v>
          </cell>
          <cell r="S363" t="str">
            <v>IFRS</v>
          </cell>
          <cell r="T363" t="str">
            <v>Quarterly</v>
          </cell>
          <cell r="U363" t="str">
            <v>Annually</v>
          </cell>
          <cell r="V363" t="str">
            <v>RICS</v>
          </cell>
          <cell r="W363" t="str">
            <v>IFRS NAV</v>
          </cell>
          <cell r="X363" t="str">
            <v>E&amp;Y</v>
          </cell>
          <cell r="Y363" t="str">
            <v>Limited Partnership</v>
          </cell>
          <cell r="Z363" t="str">
            <v>No</v>
          </cell>
          <cell r="AC363" t="str">
            <v>Non-Listed Fund</v>
          </cell>
          <cell r="AD363" t="str">
            <v>Opportunity</v>
          </cell>
          <cell r="AE363" t="str">
            <v>finite</v>
          </cell>
          <cell r="AF363" t="str">
            <v>Closed end</v>
          </cell>
          <cell r="AG363">
            <v>18</v>
          </cell>
          <cell r="AH363">
            <v>20</v>
          </cell>
          <cell r="AI363" t="str">
            <v>Gross</v>
          </cell>
          <cell r="AL363">
            <v>75</v>
          </cell>
          <cell r="AM363" t="str">
            <v>&gt; 60%</v>
          </cell>
          <cell r="AN363" t="str">
            <v>Institutional</v>
          </cell>
          <cell r="AO363" t="str">
            <v>&gt; 2</v>
          </cell>
          <cell r="AP363" t="str">
            <v>≥ 50%</v>
          </cell>
          <cell r="AQ363" t="str">
            <v>Europe</v>
          </cell>
          <cell r="AR363" t="str">
            <v>multi country</v>
          </cell>
          <cell r="AS363" t="str">
            <v>Nordic</v>
          </cell>
          <cell r="AU363" t="str">
            <v>multi sector</v>
          </cell>
          <cell r="AW363">
            <v>800000000</v>
          </cell>
          <cell r="AY363">
            <v>2018</v>
          </cell>
          <cell r="AZ363">
            <v>2028</v>
          </cell>
          <cell r="BA363" t="str">
            <v>Yes</v>
          </cell>
          <cell r="BB363" t="str">
            <v>Yes</v>
          </cell>
          <cell r="BC363" t="str">
            <v>1+1+1+1 years</v>
          </cell>
          <cell r="BF363" t="str">
            <v>&gt; 15% - ≤ 40%</v>
          </cell>
          <cell r="BG363" t="str">
            <v>&gt; 5 - ≤ 25%</v>
          </cell>
          <cell r="BH363" t="str">
            <v>2020-12-31</v>
          </cell>
          <cell r="BI363">
            <v>566057000</v>
          </cell>
          <cell r="BJ363">
            <v>566057000</v>
          </cell>
          <cell r="BK363">
            <v>179844000</v>
          </cell>
          <cell r="BL363">
            <v>179844000</v>
          </cell>
          <cell r="BM363">
            <v>59</v>
          </cell>
          <cell r="BN363" t="str">
            <v>No</v>
          </cell>
          <cell r="BO363" t="str">
            <v>Internal</v>
          </cell>
          <cell r="BP363">
            <v>31</v>
          </cell>
          <cell r="BQ363">
            <v>23</v>
          </cell>
          <cell r="BR363">
            <v>1099310606</v>
          </cell>
          <cell r="BS363">
            <v>1099310606</v>
          </cell>
          <cell r="BT363">
            <v>194157378</v>
          </cell>
          <cell r="BU363">
            <v>194157378</v>
          </cell>
          <cell r="BV363" t="str">
            <v>No</v>
          </cell>
          <cell r="BW363" t="str">
            <v>Denmark</v>
          </cell>
          <cell r="BX363" t="str">
            <v>Residential</v>
          </cell>
          <cell r="BY363">
            <v>2.73</v>
          </cell>
          <cell r="BZ363" t="str">
            <v>Sweden</v>
          </cell>
          <cell r="CA363" t="str">
            <v>Industrial / Logistics</v>
          </cell>
          <cell r="CB363">
            <v>19.38</v>
          </cell>
          <cell r="CC363" t="str">
            <v>Denmark</v>
          </cell>
          <cell r="CD363" t="str">
            <v>Industrial / Logistics</v>
          </cell>
          <cell r="CE363">
            <v>2.92</v>
          </cell>
          <cell r="CF363" t="str">
            <v>Denmark</v>
          </cell>
          <cell r="CG363" t="str">
            <v>Office</v>
          </cell>
          <cell r="CH363">
            <v>45.11</v>
          </cell>
          <cell r="CI363" t="str">
            <v>Sweden</v>
          </cell>
          <cell r="CJ363" t="str">
            <v>Residential</v>
          </cell>
          <cell r="CK363">
            <v>16.61</v>
          </cell>
          <cell r="CL363" t="str">
            <v>Denmark</v>
          </cell>
          <cell r="CM363" t="str">
            <v>Other</v>
          </cell>
          <cell r="CN363">
            <v>13.25</v>
          </cell>
        </row>
        <row r="364">
          <cell r="A364">
            <v>336</v>
          </cell>
          <cell r="B364" t="str">
            <v>NICHER REAL ESTATE</v>
          </cell>
          <cell r="C364" t="str">
            <v>FONDAMENTA SGR P.A.</v>
          </cell>
          <cell r="D364" t="str">
            <v>Via Mazzini 2</v>
          </cell>
          <cell r="E364">
            <v>20123</v>
          </cell>
          <cell r="F364" t="str">
            <v>Milano</v>
          </cell>
          <cell r="G364" t="str">
            <v>Italy</v>
          </cell>
          <cell r="H364" t="str">
            <v>+39 02 7214 7761</v>
          </cell>
          <cell r="I364" t="str">
            <v>+39 02 7214 7720</v>
          </cell>
          <cell r="J364" t="str">
            <v>http://www.fondamentasgr.com</v>
          </cell>
          <cell r="N364" t="str">
            <v>Riccardo R Sadun</v>
          </cell>
          <cell r="Q364" t="str">
            <v>Italy</v>
          </cell>
          <cell r="R364" t="str">
            <v>EUR</v>
          </cell>
          <cell r="T364" t="str">
            <v>Quarterly</v>
          </cell>
          <cell r="U364" t="str">
            <v>Quarterly</v>
          </cell>
          <cell r="X364" t="str">
            <v>Ernst &amp; Young</v>
          </cell>
          <cell r="Y364" t="str">
            <v>Closed Ended Fund</v>
          </cell>
          <cell r="AB364">
            <v>0</v>
          </cell>
          <cell r="AC364" t="str">
            <v>Non-Listed Fund</v>
          </cell>
          <cell r="AD364" t="str">
            <v>Value-added</v>
          </cell>
          <cell r="AE364" t="str">
            <v>finite</v>
          </cell>
          <cell r="AF364" t="str">
            <v>Closed end</v>
          </cell>
          <cell r="AJ364" t="str">
            <v>None</v>
          </cell>
          <cell r="AL364">
            <v>60</v>
          </cell>
          <cell r="AM364" t="str">
            <v>&gt; 40% - ≤ 60%</v>
          </cell>
          <cell r="AN364" t="str">
            <v>Institutional</v>
          </cell>
          <cell r="AP364" t="str">
            <v>≥ 50%</v>
          </cell>
          <cell r="AQ364" t="str">
            <v>Europe</v>
          </cell>
          <cell r="AR364" t="str">
            <v>single country</v>
          </cell>
          <cell r="AT364" t="str">
            <v>Italy</v>
          </cell>
          <cell r="AU364" t="str">
            <v>multi sector</v>
          </cell>
          <cell r="AX364">
            <v>375000000</v>
          </cell>
          <cell r="AY364">
            <v>2006</v>
          </cell>
          <cell r="AZ364">
            <v>2020</v>
          </cell>
          <cell r="BH364" t="str">
            <v>2008-06-30</v>
          </cell>
          <cell r="BI364">
            <v>80960000</v>
          </cell>
          <cell r="BJ364">
            <v>80960000</v>
          </cell>
          <cell r="BK364">
            <v>41680000</v>
          </cell>
          <cell r="BL364">
            <v>41680000</v>
          </cell>
          <cell r="BP364">
            <v>5</v>
          </cell>
          <cell r="BR364">
            <v>150000000</v>
          </cell>
          <cell r="BS364">
            <v>150000000</v>
          </cell>
          <cell r="BU364">
            <v>0</v>
          </cell>
        </row>
        <row r="365">
          <cell r="A365">
            <v>18546</v>
          </cell>
          <cell r="B365" t="str">
            <v>NORDIC AGED CARE FUND</v>
          </cell>
          <cell r="C365" t="str">
            <v>NORTHERN HORIZON CAPITAL AIFM OY</v>
          </cell>
          <cell r="D365" t="str">
            <v>Aleksanterinkatu 19 A</v>
          </cell>
          <cell r="E365" t="str">
            <v>FI-00101</v>
          </cell>
          <cell r="F365" t="str">
            <v>Helsinki</v>
          </cell>
          <cell r="G365" t="str">
            <v>Finland</v>
          </cell>
          <cell r="H365" t="str">
            <v>+3589667668</v>
          </cell>
          <cell r="I365" t="str">
            <v>+358947669799</v>
          </cell>
          <cell r="J365" t="str">
            <v>https://www.nh-cap.com/</v>
          </cell>
          <cell r="K365" t="str">
            <v>Riikka Moreau</v>
          </cell>
          <cell r="L365" t="str">
            <v>riikka.moreau@nh-cap.com</v>
          </cell>
          <cell r="M365" t="str">
            <v>+3584487938</v>
          </cell>
          <cell r="N365" t="str">
            <v>Riikka Moreau</v>
          </cell>
          <cell r="O365" t="str">
            <v>riikka.moreau@nh-cap.com</v>
          </cell>
          <cell r="P365" t="str">
            <v>+3584487938</v>
          </cell>
          <cell r="Q365" t="str">
            <v>Luxembourg</v>
          </cell>
          <cell r="R365" t="str">
            <v>EUR</v>
          </cell>
          <cell r="S365" t="str">
            <v>IFRS</v>
          </cell>
          <cell r="T365" t="str">
            <v>Quarterly</v>
          </cell>
          <cell r="U365" t="str">
            <v>Annually</v>
          </cell>
          <cell r="V365" t="str">
            <v>RICS</v>
          </cell>
          <cell r="W365" t="str">
            <v>INREV NAV</v>
          </cell>
          <cell r="X365" t="str">
            <v>EY</v>
          </cell>
          <cell r="Y365" t="str">
            <v>SICAV</v>
          </cell>
          <cell r="Z365" t="str">
            <v>Yes</v>
          </cell>
          <cell r="AA365" t="str">
            <v>Yes</v>
          </cell>
          <cell r="AB365">
            <v>2</v>
          </cell>
          <cell r="AC365" t="str">
            <v>Non-Listed Fund</v>
          </cell>
          <cell r="AD365" t="str">
            <v>Core</v>
          </cell>
          <cell r="AE365" t="str">
            <v>finite</v>
          </cell>
          <cell r="AF365" t="str">
            <v>Closed end</v>
          </cell>
          <cell r="AG365">
            <v>9</v>
          </cell>
          <cell r="AH365">
            <v>10</v>
          </cell>
          <cell r="AI365" t="str">
            <v>Net</v>
          </cell>
          <cell r="AL365">
            <v>50</v>
          </cell>
          <cell r="AM365" t="str">
            <v>&gt; 40% - ≤ 60%</v>
          </cell>
          <cell r="AN365" t="str">
            <v>Institutional</v>
          </cell>
          <cell r="AO365" t="str">
            <v>&gt; 2</v>
          </cell>
          <cell r="AP365" t="str">
            <v>≥ 50%</v>
          </cell>
          <cell r="AQ365" t="str">
            <v>Europe</v>
          </cell>
          <cell r="AR365" t="str">
            <v>multi country</v>
          </cell>
          <cell r="AS365" t="str">
            <v>Nordic</v>
          </cell>
          <cell r="AU365" t="str">
            <v>single sector</v>
          </cell>
          <cell r="AV365" t="str">
            <v>Aged care</v>
          </cell>
          <cell r="AW365">
            <v>250000000</v>
          </cell>
          <cell r="AX365">
            <v>500000000</v>
          </cell>
          <cell r="AY365">
            <v>2016</v>
          </cell>
          <cell r="AZ365">
            <v>2024</v>
          </cell>
          <cell r="BH365" t="str">
            <v>2020-12-31</v>
          </cell>
          <cell r="BI365">
            <v>615513000</v>
          </cell>
          <cell r="BJ365">
            <v>615513000</v>
          </cell>
          <cell r="BK365">
            <v>348476000</v>
          </cell>
          <cell r="BL365">
            <v>348476000</v>
          </cell>
          <cell r="BM365">
            <v>40</v>
          </cell>
          <cell r="BN365" t="str">
            <v>No</v>
          </cell>
          <cell r="BO365" t="str">
            <v>External</v>
          </cell>
          <cell r="BP365">
            <v>22</v>
          </cell>
          <cell r="BQ365">
            <v>56</v>
          </cell>
          <cell r="BR365">
            <v>300000000</v>
          </cell>
          <cell r="BS365">
            <v>300000000</v>
          </cell>
          <cell r="BT365">
            <v>237000000</v>
          </cell>
          <cell r="BU365">
            <v>237000000</v>
          </cell>
          <cell r="BV365" t="str">
            <v>No</v>
          </cell>
          <cell r="BW365" t="str">
            <v>Finland</v>
          </cell>
          <cell r="BX365" t="str">
            <v>Aged care</v>
          </cell>
          <cell r="BY365">
            <v>39</v>
          </cell>
          <cell r="BZ365" t="str">
            <v>Sweden</v>
          </cell>
          <cell r="CA365" t="str">
            <v>Aged care</v>
          </cell>
          <cell r="CB365">
            <v>61</v>
          </cell>
        </row>
        <row r="366">
          <cell r="A366">
            <v>337</v>
          </cell>
          <cell r="B366" t="str">
            <v>NORDIC AKTIV 2 PROPERTY FUND L.P.</v>
          </cell>
          <cell r="C366" t="str">
            <v>VALAD PROPERTY GROUP</v>
          </cell>
          <cell r="D366" t="str">
            <v>64 North Row</v>
          </cell>
          <cell r="E366" t="str">
            <v>W1K 7DA</v>
          </cell>
          <cell r="F366" t="str">
            <v>London</v>
          </cell>
          <cell r="G366" t="str">
            <v>United Kingdom</v>
          </cell>
          <cell r="H366" t="str">
            <v>+44 (0) 20 7659 6666</v>
          </cell>
          <cell r="I366" t="str">
            <v>+44 (0) 20 7659 6667</v>
          </cell>
          <cell r="J366" t="str">
            <v>http://www.valad.co.uk</v>
          </cell>
          <cell r="K366" t="str">
            <v>Robert Cotterell</v>
          </cell>
          <cell r="L366" t="str">
            <v>robert.cotterell@valad.co.uk</v>
          </cell>
          <cell r="M366" t="str">
            <v>+44 (0)113 204 4550</v>
          </cell>
          <cell r="N366" t="str">
            <v>Robert Cotterell</v>
          </cell>
          <cell r="O366" t="str">
            <v>robert.cotterell@valad.co.uk</v>
          </cell>
          <cell r="P366" t="str">
            <v>+44 (0) 20 7659 6667</v>
          </cell>
          <cell r="Q366" t="str">
            <v>United Kingdom</v>
          </cell>
          <cell r="R366" t="str">
            <v>EUR</v>
          </cell>
          <cell r="S366" t="str">
            <v>IFRS</v>
          </cell>
          <cell r="T366" t="str">
            <v>Quarterly</v>
          </cell>
          <cell r="U366" t="str">
            <v>Twice per year</v>
          </cell>
          <cell r="V366" t="str">
            <v>RICS</v>
          </cell>
          <cell r="W366" t="str">
            <v>INREV NAV</v>
          </cell>
          <cell r="X366" t="str">
            <v>PriceWaterhouseCoopers</v>
          </cell>
          <cell r="Y366" t="str">
            <v>Limited Partnership</v>
          </cell>
          <cell r="Z366" t="str">
            <v>Yes</v>
          </cell>
          <cell r="AA366" t="str">
            <v>Yes</v>
          </cell>
          <cell r="AB366">
            <v>0</v>
          </cell>
          <cell r="AC366" t="str">
            <v>Non-Listed Fund</v>
          </cell>
          <cell r="AD366" t="str">
            <v>Value-added</v>
          </cell>
          <cell r="AE366" t="str">
            <v>finite</v>
          </cell>
          <cell r="AF366" t="str">
            <v>Closed end</v>
          </cell>
          <cell r="AG366">
            <v>12</v>
          </cell>
          <cell r="AH366">
            <v>12</v>
          </cell>
          <cell r="AI366" t="str">
            <v>Net</v>
          </cell>
          <cell r="AL366">
            <v>65</v>
          </cell>
          <cell r="AM366" t="str">
            <v>&gt; 60%</v>
          </cell>
          <cell r="AN366" t="str">
            <v>Institutional</v>
          </cell>
          <cell r="AO366" t="str">
            <v>&gt; 2</v>
          </cell>
          <cell r="AP366" t="str">
            <v>≥ 50%</v>
          </cell>
          <cell r="AQ366" t="str">
            <v>Europe</v>
          </cell>
          <cell r="AR366" t="str">
            <v>multi country</v>
          </cell>
          <cell r="AS366" t="str">
            <v>Nordic</v>
          </cell>
          <cell r="AU366" t="str">
            <v>single sector</v>
          </cell>
          <cell r="AV366" t="str">
            <v>Industrial / Logistics</v>
          </cell>
          <cell r="AW366">
            <v>310000000</v>
          </cell>
          <cell r="AX366">
            <v>850000000</v>
          </cell>
          <cell r="AY366">
            <v>2008</v>
          </cell>
          <cell r="AZ366">
            <v>2017</v>
          </cell>
          <cell r="BA366" t="str">
            <v>Yes</v>
          </cell>
          <cell r="BB366" t="str">
            <v>Yes</v>
          </cell>
          <cell r="BC366" t="str">
            <v>1+1+1 years</v>
          </cell>
          <cell r="BH366" t="str">
            <v>2016-06-30</v>
          </cell>
          <cell r="BI366">
            <v>60381184</v>
          </cell>
          <cell r="BJ366">
            <v>60381184</v>
          </cell>
          <cell r="BK366">
            <v>75890630</v>
          </cell>
          <cell r="BL366">
            <v>75890630</v>
          </cell>
          <cell r="BM366">
            <v>0</v>
          </cell>
          <cell r="BN366" t="str">
            <v>No</v>
          </cell>
          <cell r="BO366" t="str">
            <v>External</v>
          </cell>
          <cell r="BQ366">
            <v>10</v>
          </cell>
          <cell r="BR366">
            <v>107800000</v>
          </cell>
          <cell r="BS366">
            <v>107800000</v>
          </cell>
          <cell r="BT366">
            <v>107800000</v>
          </cell>
          <cell r="BU366">
            <v>107800000</v>
          </cell>
          <cell r="BV366" t="str">
            <v>No</v>
          </cell>
          <cell r="BW366" t="str">
            <v>Sweden</v>
          </cell>
          <cell r="BX366" t="str">
            <v>Industrial / Logistics</v>
          </cell>
          <cell r="BY366">
            <v>3.83</v>
          </cell>
          <cell r="BZ366" t="str">
            <v>Sweden</v>
          </cell>
          <cell r="CA366" t="str">
            <v>Office</v>
          </cell>
          <cell r="CB366">
            <v>59.01</v>
          </cell>
          <cell r="CC366" t="str">
            <v>Sweden</v>
          </cell>
          <cell r="CD366" t="str">
            <v>Retail</v>
          </cell>
          <cell r="CE366">
            <v>16.43</v>
          </cell>
          <cell r="CF366" t="str">
            <v>Norway</v>
          </cell>
          <cell r="CG366" t="str">
            <v>Office</v>
          </cell>
          <cell r="CH366">
            <v>20.73</v>
          </cell>
        </row>
        <row r="367">
          <cell r="A367">
            <v>340</v>
          </cell>
          <cell r="B367" t="str">
            <v>NORDIC RETAIL FUND</v>
          </cell>
          <cell r="C367" t="str">
            <v>CORNERSTONE REAL ESTATE ADVISERS</v>
          </cell>
          <cell r="D367" t="str">
            <v>30 Old Burlington Street</v>
          </cell>
          <cell r="E367" t="str">
            <v>W1S 3AR</v>
          </cell>
          <cell r="F367" t="str">
            <v>London</v>
          </cell>
          <cell r="G367" t="str">
            <v>United Kingdom</v>
          </cell>
          <cell r="H367" t="str">
            <v>+44 (0) 20 7297 0900</v>
          </cell>
          <cell r="I367" t="str">
            <v>+44 (0) 20 7297 0999</v>
          </cell>
          <cell r="J367" t="str">
            <v>http://www.cornerstoneadvisers.com</v>
          </cell>
          <cell r="K367" t="str">
            <v>Charles Weeks</v>
          </cell>
          <cell r="L367" t="str">
            <v>cweeks@cornerstoneadvisers-eu.com</v>
          </cell>
          <cell r="M367" t="str">
            <v>+44 (0) 20 7297 0902</v>
          </cell>
          <cell r="N367" t="str">
            <v>Charles Weeks</v>
          </cell>
          <cell r="O367" t="str">
            <v>cweeks@cornerstoneadvisers-eu.com</v>
          </cell>
          <cell r="P367" t="str">
            <v>+44 (0) 20 7297 0999</v>
          </cell>
          <cell r="Q367" t="str">
            <v>Luxembourg</v>
          </cell>
          <cell r="R367" t="str">
            <v>EUR</v>
          </cell>
          <cell r="S367" t="str">
            <v>IFRS</v>
          </cell>
          <cell r="T367" t="str">
            <v>Quarterly</v>
          </cell>
          <cell r="U367" t="str">
            <v>Quarterly</v>
          </cell>
          <cell r="V367" t="str">
            <v>RICS</v>
          </cell>
          <cell r="W367" t="str">
            <v>INREV NAV</v>
          </cell>
          <cell r="X367" t="str">
            <v>Deloitte</v>
          </cell>
          <cell r="Y367" t="str">
            <v>FCP</v>
          </cell>
          <cell r="Z367" t="str">
            <v>Yes</v>
          </cell>
          <cell r="AB367">
            <v>0</v>
          </cell>
          <cell r="AC367" t="str">
            <v>Non-Listed Fund</v>
          </cell>
          <cell r="AD367" t="str">
            <v>Core</v>
          </cell>
          <cell r="AE367" t="str">
            <v>finite</v>
          </cell>
          <cell r="AF367" t="str">
            <v>Closed end</v>
          </cell>
          <cell r="AG367">
            <v>9</v>
          </cell>
          <cell r="AH367">
            <v>11</v>
          </cell>
          <cell r="AI367" t="str">
            <v>Net</v>
          </cell>
          <cell r="AJ367" t="str">
            <v>IPD</v>
          </cell>
          <cell r="AK367">
            <v>5</v>
          </cell>
          <cell r="AL367">
            <v>65</v>
          </cell>
          <cell r="AM367" t="str">
            <v>&gt; 60%</v>
          </cell>
          <cell r="AN367" t="str">
            <v>Institutional</v>
          </cell>
          <cell r="AO367" t="str">
            <v>&gt; 2</v>
          </cell>
          <cell r="AP367" t="str">
            <v>≥ 50%</v>
          </cell>
          <cell r="AQ367" t="str">
            <v>Europe</v>
          </cell>
          <cell r="AR367" t="str">
            <v>multi country</v>
          </cell>
          <cell r="AS367" t="str">
            <v>Nordic</v>
          </cell>
          <cell r="AU367" t="str">
            <v>single sector</v>
          </cell>
          <cell r="AV367" t="str">
            <v>Retail</v>
          </cell>
          <cell r="AW367">
            <v>589930000</v>
          </cell>
          <cell r="AX367">
            <v>1000000000</v>
          </cell>
          <cell r="AY367">
            <v>2007</v>
          </cell>
          <cell r="AZ367">
            <v>2017</v>
          </cell>
          <cell r="BA367" t="str">
            <v>Yes</v>
          </cell>
          <cell r="BB367" t="str">
            <v>Yes</v>
          </cell>
          <cell r="BC367" t="str">
            <v>5 years</v>
          </cell>
          <cell r="BH367" t="str">
            <v>2019-06-30</v>
          </cell>
          <cell r="BI367">
            <v>30304788</v>
          </cell>
          <cell r="BJ367">
            <v>30304788</v>
          </cell>
          <cell r="BK367">
            <v>28291213</v>
          </cell>
          <cell r="BL367">
            <v>28291213</v>
          </cell>
          <cell r="BM367">
            <v>0</v>
          </cell>
          <cell r="BN367" t="str">
            <v>No</v>
          </cell>
          <cell r="BO367" t="str">
            <v>Internal</v>
          </cell>
          <cell r="BP367">
            <v>12</v>
          </cell>
          <cell r="BQ367">
            <v>0</v>
          </cell>
          <cell r="BR367">
            <v>625628100</v>
          </cell>
          <cell r="BS367">
            <v>625628100</v>
          </cell>
          <cell r="BT367">
            <v>625628100</v>
          </cell>
          <cell r="BU367">
            <v>625628100</v>
          </cell>
          <cell r="BV367" t="str">
            <v>No</v>
          </cell>
        </row>
        <row r="368">
          <cell r="A368">
            <v>17467</v>
          </cell>
          <cell r="B368" t="str">
            <v>NREP COPENHAGEN RESIDENTIAL FUND 1 K/S</v>
          </cell>
          <cell r="C368" t="str">
            <v>NORDIC REAL ESTATE PARTNERS</v>
          </cell>
          <cell r="D368" t="str">
            <v>Skodsborgstrandvej 48A</v>
          </cell>
          <cell r="E368">
            <v>2830</v>
          </cell>
          <cell r="F368" t="str">
            <v>Virum</v>
          </cell>
          <cell r="G368" t="str">
            <v>Denmark</v>
          </cell>
          <cell r="H368" t="str">
            <v>+4539484900</v>
          </cell>
          <cell r="J368" t="str">
            <v>http://www.nrep.com</v>
          </cell>
          <cell r="K368" t="str">
            <v>Rune Kock / Rasmus Nørgaard</v>
          </cell>
          <cell r="N368" t="str">
            <v>Mikkel Bülow-Lehnsby</v>
          </cell>
          <cell r="Q368" t="str">
            <v>Denmark</v>
          </cell>
          <cell r="R368" t="str">
            <v>DKK</v>
          </cell>
          <cell r="S368" t="str">
            <v>IFRS</v>
          </cell>
          <cell r="T368" t="str">
            <v>Quarterly</v>
          </cell>
          <cell r="V368" t="str">
            <v>Other - mark to market</v>
          </cell>
          <cell r="W368" t="str">
            <v>INREV NAV</v>
          </cell>
          <cell r="X368" t="str">
            <v>PricewaterhouseCoopers</v>
          </cell>
          <cell r="Y368" t="str">
            <v>Limited Partnership</v>
          </cell>
          <cell r="Z368" t="str">
            <v>Yes</v>
          </cell>
          <cell r="AA368" t="str">
            <v>No</v>
          </cell>
          <cell r="AB368">
            <v>0</v>
          </cell>
          <cell r="AC368" t="str">
            <v>Non-Listed Fund</v>
          </cell>
          <cell r="AD368" t="str">
            <v>Opportunity</v>
          </cell>
          <cell r="AE368" t="str">
            <v>finite</v>
          </cell>
          <cell r="AF368" t="str">
            <v>Closed end</v>
          </cell>
          <cell r="AG368">
            <v>20</v>
          </cell>
          <cell r="AH368">
            <v>20</v>
          </cell>
          <cell r="AI368" t="str">
            <v>Gross</v>
          </cell>
          <cell r="AJ368" t="str">
            <v>Absolute 20% IRR net of management fees, but gross of carry</v>
          </cell>
          <cell r="AL368">
            <v>65</v>
          </cell>
          <cell r="AM368" t="str">
            <v>&gt; 60%</v>
          </cell>
          <cell r="AN368" t="str">
            <v>Institutional and Retail</v>
          </cell>
          <cell r="AO368" t="str">
            <v>≤ 2</v>
          </cell>
          <cell r="AP368" t="str">
            <v>&lt; 50%</v>
          </cell>
          <cell r="AQ368" t="str">
            <v>Europe</v>
          </cell>
          <cell r="AR368" t="str">
            <v>single country</v>
          </cell>
          <cell r="AT368" t="str">
            <v>Denmark</v>
          </cell>
          <cell r="AU368" t="str">
            <v>single sector</v>
          </cell>
          <cell r="AV368" t="str">
            <v>Development Residential</v>
          </cell>
          <cell r="AW368">
            <v>150000000</v>
          </cell>
          <cell r="AX368">
            <v>300000000</v>
          </cell>
          <cell r="AY368">
            <v>2013</v>
          </cell>
          <cell r="AZ368">
            <v>2019</v>
          </cell>
          <cell r="BA368" t="str">
            <v>Yes</v>
          </cell>
          <cell r="BB368" t="str">
            <v>Yes</v>
          </cell>
          <cell r="BC368" t="str">
            <v>1+1 years</v>
          </cell>
          <cell r="BD368" t="str">
            <v>No</v>
          </cell>
          <cell r="BE368" t="str">
            <v>&lt; 60%</v>
          </cell>
          <cell r="BF368" t="str">
            <v>&gt; 40%</v>
          </cell>
          <cell r="BG368" t="str">
            <v>&gt; 25%</v>
          </cell>
          <cell r="BH368" t="str">
            <v>2020-12-31</v>
          </cell>
          <cell r="BI368">
            <v>9507151</v>
          </cell>
          <cell r="BJ368">
            <v>1277987.7439291249</v>
          </cell>
          <cell r="BK368">
            <v>8785912</v>
          </cell>
          <cell r="BL368">
            <v>1181036.0280634889</v>
          </cell>
          <cell r="BM368">
            <v>0</v>
          </cell>
          <cell r="BN368" t="str">
            <v>No</v>
          </cell>
          <cell r="BO368" t="str">
            <v>Internal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V368" t="str">
            <v>No</v>
          </cell>
        </row>
        <row r="369">
          <cell r="A369">
            <v>635</v>
          </cell>
          <cell r="B369" t="str">
            <v>NREP NORDIC RETAIL 2</v>
          </cell>
          <cell r="C369" t="str">
            <v>NREP NORDIC RETAIL 2 AB</v>
          </cell>
          <cell r="D369" t="str">
            <v>Kungsgatan 42, 6th floor</v>
          </cell>
          <cell r="E369">
            <v>11135</v>
          </cell>
          <cell r="F369" t="str">
            <v>Stockholm</v>
          </cell>
          <cell r="G369" t="str">
            <v>Sweden</v>
          </cell>
          <cell r="H369" t="str">
            <v>+46 86 78 16 64</v>
          </cell>
          <cell r="I369" t="str">
            <v>+46 86 78 16 69</v>
          </cell>
          <cell r="J369" t="str">
            <v>http://www.nrep.com</v>
          </cell>
          <cell r="K369" t="str">
            <v>Tobias Alsborger</v>
          </cell>
          <cell r="L369" t="str">
            <v>tobias.alsborger@nrep.com</v>
          </cell>
          <cell r="N369" t="str">
            <v>Gustaf Sigge Lilliehöök</v>
          </cell>
          <cell r="O369" t="str">
            <v>gustaf.lilliehook@nrep.com</v>
          </cell>
          <cell r="Q369" t="str">
            <v>Sweden</v>
          </cell>
          <cell r="R369" t="str">
            <v>EUR</v>
          </cell>
          <cell r="S369" t="str">
            <v>IFRS</v>
          </cell>
          <cell r="T369" t="str">
            <v>Quarterly</v>
          </cell>
          <cell r="U369" t="str">
            <v>Quarterly</v>
          </cell>
          <cell r="V369" t="str">
            <v>RICS</v>
          </cell>
          <cell r="W369" t="str">
            <v>INREV NAV</v>
          </cell>
          <cell r="X369" t="str">
            <v>PWC</v>
          </cell>
          <cell r="Y369" t="str">
            <v>Swedish AB - limited (liability) company</v>
          </cell>
          <cell r="Z369" t="str">
            <v>Yes</v>
          </cell>
          <cell r="AA369" t="str">
            <v>Yes</v>
          </cell>
          <cell r="AB369">
            <v>4</v>
          </cell>
          <cell r="AC369" t="str">
            <v>Non-Listed Fund</v>
          </cell>
          <cell r="AD369" t="str">
            <v>Value-added</v>
          </cell>
          <cell r="AE369" t="str">
            <v>finite</v>
          </cell>
          <cell r="AF369" t="str">
            <v>Closed end</v>
          </cell>
          <cell r="AG369">
            <v>12.5</v>
          </cell>
          <cell r="AH369">
            <v>12.5</v>
          </cell>
          <cell r="AI369" t="str">
            <v>Net</v>
          </cell>
          <cell r="AJ369" t="str">
            <v>12.5% IRR (net of management fees, but gross of carry)</v>
          </cell>
          <cell r="AK369">
            <v>7</v>
          </cell>
          <cell r="AL369">
            <v>50</v>
          </cell>
          <cell r="AM369" t="str">
            <v>&gt; 40% - ≤ 60%</v>
          </cell>
          <cell r="AN369" t="str">
            <v>Institutional</v>
          </cell>
          <cell r="AO369" t="str">
            <v>&gt; 2</v>
          </cell>
          <cell r="AP369" t="str">
            <v>≥ 50%</v>
          </cell>
          <cell r="AQ369" t="str">
            <v>Europe</v>
          </cell>
          <cell r="AR369" t="str">
            <v>multi country</v>
          </cell>
          <cell r="AS369" t="str">
            <v>Nordic</v>
          </cell>
          <cell r="AU369" t="str">
            <v>single sector</v>
          </cell>
          <cell r="AV369" t="str">
            <v>Retail</v>
          </cell>
          <cell r="AW369">
            <v>200000000</v>
          </cell>
          <cell r="AX369">
            <v>400000000</v>
          </cell>
          <cell r="AY369">
            <v>2012</v>
          </cell>
          <cell r="AZ369">
            <v>2020</v>
          </cell>
          <cell r="BA369" t="str">
            <v>Yes</v>
          </cell>
          <cell r="BB369" t="str">
            <v>Yes</v>
          </cell>
          <cell r="BC369" t="str">
            <v>1+1 years</v>
          </cell>
          <cell r="BD369" t="str">
            <v>No</v>
          </cell>
          <cell r="BE369" t="str">
            <v>≥ 60%</v>
          </cell>
          <cell r="BF369" t="str">
            <v>≤ 15%</v>
          </cell>
          <cell r="BG369" t="str">
            <v>&gt; 5 - ≤ 25%</v>
          </cell>
          <cell r="BH369" t="str">
            <v>2020-12-31</v>
          </cell>
          <cell r="BI369">
            <v>6659219</v>
          </cell>
          <cell r="BJ369">
            <v>6659219</v>
          </cell>
          <cell r="BK369">
            <v>5021201</v>
          </cell>
          <cell r="BL369">
            <v>5021201</v>
          </cell>
          <cell r="BM369">
            <v>0</v>
          </cell>
          <cell r="BN369" t="str">
            <v>No</v>
          </cell>
          <cell r="BO369" t="str">
            <v>Internal</v>
          </cell>
          <cell r="BP369">
            <v>9</v>
          </cell>
          <cell r="BQ369">
            <v>1</v>
          </cell>
          <cell r="BR369">
            <v>174376000</v>
          </cell>
          <cell r="BS369">
            <v>174376000</v>
          </cell>
          <cell r="BT369">
            <v>173257120</v>
          </cell>
          <cell r="BU369">
            <v>173257120</v>
          </cell>
          <cell r="BV369" t="str">
            <v>No</v>
          </cell>
          <cell r="BW369" t="str">
            <v>Denmark</v>
          </cell>
          <cell r="BX369" t="str">
            <v>Development Residential</v>
          </cell>
          <cell r="BY369">
            <v>42</v>
          </cell>
        </row>
        <row r="370">
          <cell r="A370">
            <v>17468</v>
          </cell>
          <cell r="B370" t="str">
            <v>NREP NORDIC STRATEGIES FUND FCP-FIS</v>
          </cell>
          <cell r="C370" t="str">
            <v>NREP MANAGEMENT COMPANY S.A R.L</v>
          </cell>
          <cell r="D370" t="str">
            <v>2-8 Avenue Charles de Gaulle</v>
          </cell>
          <cell r="E370">
            <v>2014</v>
          </cell>
          <cell r="F370" t="str">
            <v>Luxembourg</v>
          </cell>
          <cell r="G370" t="str">
            <v>Luxembourg</v>
          </cell>
          <cell r="H370" t="str">
            <v>+4539484900</v>
          </cell>
          <cell r="J370" t="str">
            <v>http://www.nrep.com/</v>
          </cell>
          <cell r="K370" t="str">
            <v>Jani Nokkanen</v>
          </cell>
          <cell r="L370" t="str">
            <v>jani.nokkanen@nrep.com</v>
          </cell>
          <cell r="M370" t="str">
            <v>+358451228002</v>
          </cell>
          <cell r="N370" t="str">
            <v>Gustaf Lillihöök</v>
          </cell>
          <cell r="O370" t="str">
            <v>gustaf.lilliehook@nrep.com</v>
          </cell>
          <cell r="P370" t="str">
            <v>+4521120441</v>
          </cell>
          <cell r="Q370" t="str">
            <v>Luxembourg</v>
          </cell>
          <cell r="R370" t="str">
            <v>EUR</v>
          </cell>
          <cell r="S370" t="str">
            <v>IFRS</v>
          </cell>
          <cell r="T370" t="str">
            <v>Quarterly</v>
          </cell>
          <cell r="U370" t="str">
            <v>Twice per year</v>
          </cell>
          <cell r="V370" t="str">
            <v>RICS</v>
          </cell>
          <cell r="W370" t="str">
            <v>INREV NAV</v>
          </cell>
          <cell r="X370" t="str">
            <v>PricewaterhouseCoopers Luxembourg</v>
          </cell>
          <cell r="Y370" t="str">
            <v>FCP</v>
          </cell>
          <cell r="Z370" t="str">
            <v>Yes</v>
          </cell>
          <cell r="AA370" t="str">
            <v>Yes</v>
          </cell>
          <cell r="AB370">
            <v>4</v>
          </cell>
          <cell r="AC370" t="str">
            <v>Non-Listed Fund</v>
          </cell>
          <cell r="AD370" t="str">
            <v>Value-added</v>
          </cell>
          <cell r="AE370" t="str">
            <v>finite</v>
          </cell>
          <cell r="AF370" t="str">
            <v>Closed end</v>
          </cell>
          <cell r="AG370">
            <v>18</v>
          </cell>
          <cell r="AH370">
            <v>18</v>
          </cell>
          <cell r="AI370" t="str">
            <v>Gross</v>
          </cell>
          <cell r="AJ370" t="str">
            <v>18% gross performance (gross of mgmt fees and carry)</v>
          </cell>
          <cell r="AK370">
            <v>5.5</v>
          </cell>
          <cell r="AL370">
            <v>60</v>
          </cell>
          <cell r="AM370" t="str">
            <v>&gt; 60%</v>
          </cell>
          <cell r="AN370" t="str">
            <v>Institutional</v>
          </cell>
          <cell r="AO370" t="str">
            <v>&gt; 2</v>
          </cell>
          <cell r="AP370" t="str">
            <v>≥ 50%</v>
          </cell>
          <cell r="AQ370" t="str">
            <v>Europe</v>
          </cell>
          <cell r="AR370" t="str">
            <v>multi country</v>
          </cell>
          <cell r="AS370" t="str">
            <v>Nordic</v>
          </cell>
          <cell r="AU370" t="str">
            <v>multi sector</v>
          </cell>
          <cell r="AW370">
            <v>325000000</v>
          </cell>
          <cell r="AX370">
            <v>812500000</v>
          </cell>
          <cell r="AY370">
            <v>2014</v>
          </cell>
          <cell r="AZ370">
            <v>2022</v>
          </cell>
          <cell r="BA370" t="str">
            <v>Yes</v>
          </cell>
          <cell r="BB370" t="str">
            <v>Yes</v>
          </cell>
          <cell r="BC370" t="str">
            <v>1+1 years</v>
          </cell>
          <cell r="BD370" t="str">
            <v>No</v>
          </cell>
          <cell r="BE370" t="str">
            <v>&lt; 60%</v>
          </cell>
          <cell r="BF370" t="str">
            <v>&gt; 15% - ≤ 40%</v>
          </cell>
          <cell r="BG370" t="str">
            <v>&gt; 5 - ≤ 25%</v>
          </cell>
          <cell r="BH370" t="str">
            <v>2020-12-31</v>
          </cell>
          <cell r="BI370">
            <v>235458922</v>
          </cell>
          <cell r="BJ370">
            <v>235458922</v>
          </cell>
          <cell r="BK370">
            <v>88320936</v>
          </cell>
          <cell r="BL370">
            <v>88320936</v>
          </cell>
          <cell r="BM370">
            <v>35.799999999999997</v>
          </cell>
          <cell r="BN370" t="str">
            <v>No</v>
          </cell>
          <cell r="BO370" t="str">
            <v>Internal</v>
          </cell>
          <cell r="BP370">
            <v>30</v>
          </cell>
          <cell r="BQ370">
            <v>4</v>
          </cell>
          <cell r="BR370">
            <v>444780615</v>
          </cell>
          <cell r="BS370">
            <v>444780615</v>
          </cell>
          <cell r="BT370">
            <v>444780615</v>
          </cell>
          <cell r="BU370">
            <v>444780615</v>
          </cell>
          <cell r="BV370" t="str">
            <v>No</v>
          </cell>
          <cell r="BW370" t="str">
            <v>Finland</v>
          </cell>
          <cell r="BX370" t="str">
            <v>Retail</v>
          </cell>
          <cell r="BY370">
            <v>0</v>
          </cell>
          <cell r="BZ370" t="str">
            <v>Denmark</v>
          </cell>
          <cell r="CA370" t="str">
            <v>Development Retail</v>
          </cell>
          <cell r="CB370">
            <v>0</v>
          </cell>
          <cell r="CC370" t="str">
            <v>Denmark</v>
          </cell>
          <cell r="CD370" t="str">
            <v>Residential</v>
          </cell>
          <cell r="CE370">
            <v>12</v>
          </cell>
          <cell r="CF370" t="str">
            <v>Sweden</v>
          </cell>
          <cell r="CG370" t="str">
            <v>Retail</v>
          </cell>
          <cell r="CH370">
            <v>0</v>
          </cell>
          <cell r="CI370" t="str">
            <v>Finland</v>
          </cell>
          <cell r="CJ370" t="str">
            <v>Residential</v>
          </cell>
          <cell r="CK370">
            <v>8</v>
          </cell>
          <cell r="CL370" t="str">
            <v>Denmark</v>
          </cell>
          <cell r="CM370" t="str">
            <v>Development Residential</v>
          </cell>
          <cell r="CN370">
            <v>70</v>
          </cell>
        </row>
        <row r="371">
          <cell r="A371">
            <v>18374</v>
          </cell>
          <cell r="B371" t="str">
            <v>NREP NORDIC STRATEGIES FUND II LP</v>
          </cell>
          <cell r="C371" t="str">
            <v>NREP</v>
          </cell>
          <cell r="G371" t="str">
            <v>Luxembourg</v>
          </cell>
          <cell r="N371" t="str">
            <v>Gustaf Lillihöök</v>
          </cell>
          <cell r="O371" t="str">
            <v>gustaf.lilliehook@nrep.com</v>
          </cell>
          <cell r="P371" t="str">
            <v>+4521120441</v>
          </cell>
          <cell r="Q371" t="str">
            <v>Luxembourg</v>
          </cell>
          <cell r="R371" t="str">
            <v>EUR</v>
          </cell>
          <cell r="T371" t="str">
            <v>Quarterly</v>
          </cell>
          <cell r="U371" t="str">
            <v>Quarterly</v>
          </cell>
          <cell r="V371" t="str">
            <v>RICS</v>
          </cell>
          <cell r="W371" t="str">
            <v>INREV NAV</v>
          </cell>
          <cell r="AC371" t="str">
            <v>Non-Listed Fund</v>
          </cell>
          <cell r="AD371" t="str">
            <v>Value-added</v>
          </cell>
          <cell r="AE371" t="str">
            <v>finite</v>
          </cell>
          <cell r="AF371" t="str">
            <v>Closed end</v>
          </cell>
          <cell r="AN371" t="str">
            <v>Institutional</v>
          </cell>
          <cell r="AO371" t="str">
            <v>&gt; 2</v>
          </cell>
          <cell r="AP371" t="str">
            <v>≥ 50%</v>
          </cell>
          <cell r="AQ371" t="str">
            <v>Europe</v>
          </cell>
          <cell r="AR371" t="str">
            <v>multi country</v>
          </cell>
          <cell r="AS371" t="str">
            <v>Nordic</v>
          </cell>
          <cell r="AU371" t="str">
            <v>multi sector</v>
          </cell>
          <cell r="AY371">
            <v>2016</v>
          </cell>
          <cell r="BH371" t="str">
            <v>2020-12-31</v>
          </cell>
          <cell r="BI371">
            <v>1465355862</v>
          </cell>
          <cell r="BJ371">
            <v>1465355862</v>
          </cell>
          <cell r="BK371">
            <v>493025135</v>
          </cell>
          <cell r="BL371">
            <v>493025135</v>
          </cell>
          <cell r="BM371">
            <v>52.8</v>
          </cell>
          <cell r="BN371" t="str">
            <v>No</v>
          </cell>
          <cell r="BO371" t="str">
            <v>Internal</v>
          </cell>
          <cell r="BP371">
            <v>29</v>
          </cell>
          <cell r="BQ371">
            <v>55</v>
          </cell>
          <cell r="BR371">
            <v>596000000</v>
          </cell>
          <cell r="BS371">
            <v>596000000</v>
          </cell>
          <cell r="BT371">
            <v>458813228</v>
          </cell>
          <cell r="BU371">
            <v>458813228</v>
          </cell>
          <cell r="BV371" t="str">
            <v>No</v>
          </cell>
          <cell r="BW371" t="str">
            <v>Sweden</v>
          </cell>
          <cell r="BX371" t="str">
            <v>Industrial / Logistics</v>
          </cell>
          <cell r="BY371">
            <v>15.8</v>
          </cell>
          <cell r="BZ371" t="str">
            <v>Denmark</v>
          </cell>
          <cell r="CA371" t="str">
            <v>Development Retail</v>
          </cell>
          <cell r="CB371">
            <v>3.5</v>
          </cell>
          <cell r="CC371" t="str">
            <v>Denmark</v>
          </cell>
          <cell r="CD371" t="str">
            <v>Other</v>
          </cell>
          <cell r="CE371">
            <v>4.0999999999999996</v>
          </cell>
          <cell r="CF371" t="str">
            <v>Denmark</v>
          </cell>
          <cell r="CG371" t="str">
            <v>Development Residential</v>
          </cell>
          <cell r="CH371">
            <v>19.8</v>
          </cell>
          <cell r="CI371" t="str">
            <v>Sweden</v>
          </cell>
          <cell r="CJ371" t="str">
            <v>Development Industrial/Logistcis</v>
          </cell>
          <cell r="CK371">
            <v>1.5</v>
          </cell>
          <cell r="CL371" t="str">
            <v>Finland</v>
          </cell>
          <cell r="CM371" t="str">
            <v>Mixed</v>
          </cell>
          <cell r="CN371">
            <v>4.3</v>
          </cell>
          <cell r="CO371" t="str">
            <v>Finland</v>
          </cell>
          <cell r="CP371" t="str">
            <v>Other</v>
          </cell>
          <cell r="CQ371">
            <v>9.4</v>
          </cell>
          <cell r="CR371" t="str">
            <v>Sweden</v>
          </cell>
          <cell r="CS371" t="str">
            <v>Retail</v>
          </cell>
          <cell r="CT371">
            <v>2.4</v>
          </cell>
          <cell r="CU371" t="str">
            <v>Denmark</v>
          </cell>
          <cell r="CV371" t="str">
            <v>Residential</v>
          </cell>
          <cell r="CW371">
            <v>2.4</v>
          </cell>
          <cell r="CX371" t="str">
            <v>Finland</v>
          </cell>
          <cell r="CY371" t="str">
            <v>Residential</v>
          </cell>
          <cell r="CZ371">
            <v>5.9</v>
          </cell>
          <cell r="DA371" t="str">
            <v>Finland</v>
          </cell>
          <cell r="DB371" t="str">
            <v>Residential</v>
          </cell>
          <cell r="DC371">
            <v>5.9</v>
          </cell>
          <cell r="DD371" t="str">
            <v>Finland</v>
          </cell>
          <cell r="DE371" t="str">
            <v>Office</v>
          </cell>
          <cell r="DF371">
            <v>1</v>
          </cell>
          <cell r="DG371" t="str">
            <v>Norway</v>
          </cell>
          <cell r="DH371" t="str">
            <v>Industrial / Logistics</v>
          </cell>
          <cell r="DI371">
            <v>5.6</v>
          </cell>
          <cell r="DJ371" t="str">
            <v>Finland</v>
          </cell>
          <cell r="DK371" t="str">
            <v>Industrial / Logistics</v>
          </cell>
          <cell r="DL371">
            <v>3.8</v>
          </cell>
          <cell r="DM371" t="str">
            <v>Denmark</v>
          </cell>
          <cell r="DN371" t="str">
            <v>Industrial / Logistics</v>
          </cell>
          <cell r="DO371">
            <v>5.4</v>
          </cell>
          <cell r="DP371" t="str">
            <v>Finland</v>
          </cell>
          <cell r="DQ371" t="str">
            <v>Other</v>
          </cell>
          <cell r="DR371">
            <v>0.3</v>
          </cell>
        </row>
        <row r="372">
          <cell r="A372">
            <v>19588</v>
          </cell>
          <cell r="B372" t="str">
            <v>NREP NORDIC STRATEGIES FUND IV LP</v>
          </cell>
          <cell r="C372" t="str">
            <v>NREP AB</v>
          </cell>
          <cell r="D372" t="str">
            <v>Box 7543</v>
          </cell>
          <cell r="E372" t="str">
            <v>103 93</v>
          </cell>
          <cell r="F372" t="str">
            <v>Stockholm</v>
          </cell>
          <cell r="G372" t="str">
            <v>Sweden</v>
          </cell>
          <cell r="J372" t="str">
            <v>http://www.nrep.com/</v>
          </cell>
          <cell r="K372" t="str">
            <v xml:space="preserve">Jens Petter Hagen </v>
          </cell>
          <cell r="L372" t="str">
            <v>jph@nrep.com</v>
          </cell>
          <cell r="M372" t="str">
            <v>+4748278731</v>
          </cell>
          <cell r="N372" t="str">
            <v>Johanna Ekesiöö</v>
          </cell>
          <cell r="O372" t="str">
            <v>joek@nrep.com</v>
          </cell>
          <cell r="P372" t="str">
            <v>+46732009903</v>
          </cell>
          <cell r="Q372" t="str">
            <v>Luxembourg</v>
          </cell>
          <cell r="R372" t="str">
            <v>EUR</v>
          </cell>
          <cell r="S372" t="str">
            <v>IFRS</v>
          </cell>
          <cell r="T372" t="str">
            <v>Quarterly</v>
          </cell>
          <cell r="U372" t="str">
            <v>Twice per year</v>
          </cell>
          <cell r="V372" t="str">
            <v>RICS</v>
          </cell>
          <cell r="W372" t="str">
            <v>INREV NAV</v>
          </cell>
          <cell r="X372" t="str">
            <v>PricewaterhouseCoopers</v>
          </cell>
          <cell r="Y372" t="str">
            <v>Limited Partnership</v>
          </cell>
          <cell r="Z372" t="str">
            <v>Yes</v>
          </cell>
          <cell r="AA372" t="str">
            <v>Yes</v>
          </cell>
          <cell r="AB372">
            <v>0</v>
          </cell>
          <cell r="AC372" t="str">
            <v>Non-Listed Fund</v>
          </cell>
          <cell r="AD372" t="str">
            <v>Value-added</v>
          </cell>
          <cell r="AE372" t="str">
            <v>finite</v>
          </cell>
          <cell r="AF372" t="str">
            <v>Closed end</v>
          </cell>
          <cell r="AG372">
            <v>17</v>
          </cell>
          <cell r="AH372">
            <v>17</v>
          </cell>
          <cell r="AI372" t="str">
            <v>Gross</v>
          </cell>
          <cell r="AM372" t="str">
            <v>&gt; 40% - ≤ 60%</v>
          </cell>
          <cell r="AN372" t="str">
            <v>Institutional</v>
          </cell>
          <cell r="AO372" t="str">
            <v>&gt; 2</v>
          </cell>
          <cell r="AP372" t="str">
            <v>≥ 50%</v>
          </cell>
          <cell r="AQ372" t="str">
            <v>Europe</v>
          </cell>
          <cell r="AR372" t="str">
            <v>multi country</v>
          </cell>
          <cell r="AS372" t="str">
            <v>Nordic</v>
          </cell>
          <cell r="AU372" t="str">
            <v>multi sector</v>
          </cell>
          <cell r="AX372">
            <v>1250000000</v>
          </cell>
          <cell r="AY372">
            <v>2019</v>
          </cell>
          <cell r="AZ372">
            <v>2029</v>
          </cell>
          <cell r="BA372" t="str">
            <v>Yes</v>
          </cell>
          <cell r="BB372" t="str">
            <v>Yes</v>
          </cell>
          <cell r="BC372" t="str">
            <v>1+1+1 years</v>
          </cell>
          <cell r="BD372" t="str">
            <v>No</v>
          </cell>
          <cell r="BF372" t="str">
            <v>&gt; 15% - ≤ 40%</v>
          </cell>
          <cell r="BG372" t="str">
            <v>&gt; 5 - ≤ 25%</v>
          </cell>
          <cell r="BH372" t="str">
            <v>2020-12-31</v>
          </cell>
          <cell r="BI372">
            <v>507936197</v>
          </cell>
          <cell r="BJ372">
            <v>507936197</v>
          </cell>
          <cell r="BK372">
            <v>61472087</v>
          </cell>
          <cell r="BL372">
            <v>61472087</v>
          </cell>
          <cell r="BM372">
            <v>73</v>
          </cell>
          <cell r="BN372" t="str">
            <v>No</v>
          </cell>
          <cell r="BO372" t="str">
            <v>Internal</v>
          </cell>
          <cell r="BP372">
            <v>55</v>
          </cell>
          <cell r="BQ372">
            <v>28</v>
          </cell>
          <cell r="BR372">
            <v>1677953300</v>
          </cell>
          <cell r="BS372">
            <v>1677953300</v>
          </cell>
          <cell r="BT372">
            <v>86354929</v>
          </cell>
          <cell r="BU372">
            <v>86354929</v>
          </cell>
          <cell r="BV372" t="str">
            <v>No</v>
          </cell>
          <cell r="BW372" t="str">
            <v>Sweden</v>
          </cell>
          <cell r="BX372" t="str">
            <v>Development Industrial/Logistcis</v>
          </cell>
          <cell r="BY372">
            <v>3</v>
          </cell>
          <cell r="BZ372" t="str">
            <v>Norway</v>
          </cell>
          <cell r="CA372" t="str">
            <v>Development Industrial/Logistcis</v>
          </cell>
          <cell r="CB372">
            <v>1</v>
          </cell>
          <cell r="CC372" t="str">
            <v>Finland</v>
          </cell>
          <cell r="CD372" t="str">
            <v>Development Industrial/Logistcis</v>
          </cell>
          <cell r="CE372">
            <v>1</v>
          </cell>
          <cell r="CF372" t="str">
            <v>Finland</v>
          </cell>
          <cell r="CG372" t="str">
            <v>Development Retail</v>
          </cell>
          <cell r="CH372">
            <v>1</v>
          </cell>
          <cell r="CI372" t="str">
            <v>Finland</v>
          </cell>
          <cell r="CJ372" t="str">
            <v>Development Residential</v>
          </cell>
          <cell r="CK372">
            <v>14</v>
          </cell>
          <cell r="CL372" t="str">
            <v>Sweden</v>
          </cell>
          <cell r="CM372" t="str">
            <v>Development Aged care</v>
          </cell>
          <cell r="CN372">
            <v>2</v>
          </cell>
          <cell r="CO372" t="str">
            <v>Sweden</v>
          </cell>
          <cell r="CP372" t="str">
            <v>Development Aged care</v>
          </cell>
          <cell r="CQ372">
            <v>5</v>
          </cell>
          <cell r="CR372" t="str">
            <v>Sweden</v>
          </cell>
          <cell r="CS372" t="str">
            <v>Hotel</v>
          </cell>
          <cell r="CT372">
            <v>25</v>
          </cell>
          <cell r="CU372" t="str">
            <v>Sweden</v>
          </cell>
          <cell r="CV372" t="str">
            <v>Retail</v>
          </cell>
          <cell r="CW372">
            <v>23</v>
          </cell>
          <cell r="CX372" t="str">
            <v>Norway</v>
          </cell>
          <cell r="CY372" t="str">
            <v>Student Housing</v>
          </cell>
          <cell r="CZ372">
            <v>11</v>
          </cell>
        </row>
        <row r="373">
          <cell r="A373">
            <v>18413</v>
          </cell>
          <cell r="B373" t="str">
            <v>OCTOPUS HEALTHCARE FUND</v>
          </cell>
          <cell r="C373" t="str">
            <v>OCTOPUS AIF MANAGEMENT LIMITED</v>
          </cell>
          <cell r="D373" t="str">
            <v>6th Floor 33 Holborn</v>
          </cell>
          <cell r="E373" t="str">
            <v>EC1N 2HT</v>
          </cell>
          <cell r="F373" t="str">
            <v>London</v>
          </cell>
          <cell r="G373" t="str">
            <v>United Kingdom</v>
          </cell>
          <cell r="J373" t="str">
            <v>https://octopusinvestments.com/institutional-investor/investment-capabilities/healthcare-infrastructure/</v>
          </cell>
          <cell r="K373" t="str">
            <v>Ben Penaliggon</v>
          </cell>
          <cell r="L373" t="str">
            <v>Ben.Penaliggon@octopushealthcare.com</v>
          </cell>
          <cell r="M373" t="str">
            <v>+44 (0) 203 142 4052</v>
          </cell>
          <cell r="N373" t="str">
            <v>Baafour Totoe</v>
          </cell>
          <cell r="O373" t="str">
            <v>baafour.totoe@octopushealthcare.com</v>
          </cell>
          <cell r="P373" t="str">
            <v>+44 (0) 203 142 4871</v>
          </cell>
          <cell r="Q373" t="str">
            <v>Guernsey</v>
          </cell>
          <cell r="R373" t="str">
            <v>GBP</v>
          </cell>
          <cell r="S373" t="str">
            <v>IFRS</v>
          </cell>
          <cell r="T373" t="str">
            <v>Quarterly</v>
          </cell>
          <cell r="U373" t="str">
            <v>Quarterly</v>
          </cell>
          <cell r="V373" t="str">
            <v>RICS</v>
          </cell>
          <cell r="W373" t="str">
            <v>IFRS NAV</v>
          </cell>
          <cell r="X373" t="str">
            <v>BDO Limted</v>
          </cell>
          <cell r="Y373" t="str">
            <v>Unit trust</v>
          </cell>
          <cell r="Z373" t="str">
            <v>Yes</v>
          </cell>
          <cell r="AA373" t="str">
            <v>No</v>
          </cell>
          <cell r="AC373" t="str">
            <v>Non-Listed Fund</v>
          </cell>
          <cell r="AD373" t="str">
            <v>Core</v>
          </cell>
          <cell r="AE373" t="str">
            <v>finite</v>
          </cell>
          <cell r="AF373" t="str">
            <v>Open end</v>
          </cell>
          <cell r="AK373">
            <v>6</v>
          </cell>
          <cell r="AL373">
            <v>20</v>
          </cell>
          <cell r="AM373" t="str">
            <v>≤ 40%</v>
          </cell>
          <cell r="AN373" t="str">
            <v>Institutional</v>
          </cell>
          <cell r="AO373" t="str">
            <v>&gt; 2</v>
          </cell>
          <cell r="AP373" t="str">
            <v>≥ 50%</v>
          </cell>
          <cell r="AQ373" t="str">
            <v>Europe</v>
          </cell>
          <cell r="AR373" t="str">
            <v>single country</v>
          </cell>
          <cell r="AT373" t="str">
            <v>United Kingdom</v>
          </cell>
          <cell r="AU373" t="str">
            <v>single sector</v>
          </cell>
          <cell r="AV373" t="str">
            <v>Health Care</v>
          </cell>
          <cell r="AW373">
            <v>1000000000</v>
          </cell>
          <cell r="AX373">
            <v>1000000000</v>
          </cell>
          <cell r="AY373">
            <v>2017</v>
          </cell>
          <cell r="AZ373">
            <v>2057</v>
          </cell>
          <cell r="BA373" t="str">
            <v>No</v>
          </cell>
          <cell r="BD373" t="str">
            <v>No</v>
          </cell>
          <cell r="BE373" t="str">
            <v>≥ 60%</v>
          </cell>
          <cell r="BF373" t="str">
            <v>≤ 15%</v>
          </cell>
          <cell r="BG373" t="str">
            <v>&gt; 5 - ≤ 25%</v>
          </cell>
          <cell r="BH373" t="str">
            <v>2020-12-31</v>
          </cell>
          <cell r="BI373">
            <v>840716314</v>
          </cell>
          <cell r="BJ373">
            <v>929453160.09443581</v>
          </cell>
          <cell r="BK373">
            <v>656651265</v>
          </cell>
          <cell r="BL373">
            <v>725960211.75135517</v>
          </cell>
          <cell r="BM373">
            <v>19.75</v>
          </cell>
          <cell r="BN373" t="str">
            <v>No</v>
          </cell>
          <cell r="BO373" t="str">
            <v>External</v>
          </cell>
          <cell r="BP373">
            <v>28</v>
          </cell>
          <cell r="BQ373">
            <v>67</v>
          </cell>
          <cell r="BR373">
            <v>387000000</v>
          </cell>
          <cell r="BS373">
            <v>424908398.11769998</v>
          </cell>
          <cell r="BT373">
            <v>269000000</v>
          </cell>
          <cell r="BU373">
            <v>295349765.09990001</v>
          </cell>
          <cell r="BV373" t="str">
            <v>Yes</v>
          </cell>
          <cell r="BW373" t="str">
            <v>United Kingdom</v>
          </cell>
          <cell r="BX373" t="str">
            <v>Aged care</v>
          </cell>
          <cell r="BY373">
            <v>97.7</v>
          </cell>
        </row>
        <row r="374">
          <cell r="A374">
            <v>343</v>
          </cell>
          <cell r="B374" t="str">
            <v>OFFICE PARK EXPO FUND</v>
          </cell>
          <cell r="C374" t="str">
            <v>NORFIN</v>
          </cell>
          <cell r="D374" t="str">
            <v>Avenida da Republica 35-4º</v>
          </cell>
          <cell r="E374" t="str">
            <v>1050-186</v>
          </cell>
          <cell r="F374" t="str">
            <v>Lisbon</v>
          </cell>
          <cell r="G374" t="str">
            <v>Portugal</v>
          </cell>
          <cell r="H374" t="str">
            <v>+351 21 318 25 20</v>
          </cell>
          <cell r="I374" t="str">
            <v>+351 21 318 25 29</v>
          </cell>
          <cell r="J374" t="str">
            <v>http://www.norfin.eu</v>
          </cell>
          <cell r="K374" t="str">
            <v>António Pedrinho</v>
          </cell>
          <cell r="L374" t="str">
            <v>apedrinho@norfin.pt</v>
          </cell>
          <cell r="M374" t="str">
            <v>+351 21 318 25 20</v>
          </cell>
          <cell r="N374" t="str">
            <v>João Brion Sanches</v>
          </cell>
          <cell r="O374" t="str">
            <v>jbrion@norfin.pt</v>
          </cell>
          <cell r="P374" t="str">
            <v>+351 21 318 25 29</v>
          </cell>
          <cell r="Q374" t="str">
            <v>Portugal</v>
          </cell>
          <cell r="R374" t="str">
            <v>EUR</v>
          </cell>
          <cell r="T374" t="str">
            <v>Monthly</v>
          </cell>
          <cell r="U374" t="str">
            <v>Annually</v>
          </cell>
          <cell r="V374" t="str">
            <v>RICS</v>
          </cell>
          <cell r="X374" t="str">
            <v>PriceWaterhouseCoopers</v>
          </cell>
          <cell r="Y374" t="str">
            <v>Real Estate Fund</v>
          </cell>
          <cell r="Z374" t="str">
            <v>No</v>
          </cell>
          <cell r="AA374" t="str">
            <v>Yes</v>
          </cell>
          <cell r="AB374">
            <v>0</v>
          </cell>
          <cell r="AC374" t="str">
            <v>Non-Listed Fund</v>
          </cell>
          <cell r="AD374" t="str">
            <v>Value-added</v>
          </cell>
          <cell r="AE374" t="str">
            <v>finite</v>
          </cell>
          <cell r="AF374" t="str">
            <v>Closed end</v>
          </cell>
          <cell r="AG374">
            <v>7.2</v>
          </cell>
          <cell r="AH374">
            <v>7.2</v>
          </cell>
          <cell r="AI374" t="str">
            <v>Net</v>
          </cell>
          <cell r="AJ374" t="str">
            <v>IPD Portugal Index</v>
          </cell>
          <cell r="AK374">
            <v>4</v>
          </cell>
          <cell r="AL374">
            <v>33</v>
          </cell>
          <cell r="AM374" t="str">
            <v>≤ 40%</v>
          </cell>
          <cell r="AN374" t="str">
            <v>Institutional</v>
          </cell>
          <cell r="AO374" t="str">
            <v>&gt; 2</v>
          </cell>
          <cell r="AP374" t="str">
            <v>≥ 50%</v>
          </cell>
          <cell r="AQ374" t="str">
            <v>Europe</v>
          </cell>
          <cell r="AR374" t="str">
            <v>single country</v>
          </cell>
          <cell r="AT374" t="str">
            <v>Portugal</v>
          </cell>
          <cell r="AU374" t="str">
            <v>single sector</v>
          </cell>
          <cell r="AV374" t="str">
            <v>Office</v>
          </cell>
          <cell r="AW374">
            <v>200000000</v>
          </cell>
          <cell r="AX374">
            <v>200000000</v>
          </cell>
          <cell r="AY374">
            <v>2002</v>
          </cell>
          <cell r="AZ374">
            <v>2012</v>
          </cell>
          <cell r="BA374" t="str">
            <v>Yes</v>
          </cell>
          <cell r="BB374" t="str">
            <v>Yes</v>
          </cell>
          <cell r="BC374" t="str">
            <v>10 years</v>
          </cell>
          <cell r="BH374" t="str">
            <v>2018-09-30</v>
          </cell>
          <cell r="BI374">
            <v>250996036.53999999</v>
          </cell>
          <cell r="BJ374">
            <v>250996036.53999999</v>
          </cell>
          <cell r="BK374">
            <v>238410860.25</v>
          </cell>
          <cell r="BL374">
            <v>238410860.25</v>
          </cell>
          <cell r="BM374">
            <v>0</v>
          </cell>
          <cell r="BN374" t="str">
            <v>No</v>
          </cell>
          <cell r="BO374" t="str">
            <v>External</v>
          </cell>
          <cell r="BQ374">
            <v>1</v>
          </cell>
          <cell r="BR374">
            <v>180000000</v>
          </cell>
          <cell r="BS374">
            <v>180000000</v>
          </cell>
          <cell r="BT374">
            <v>180000000</v>
          </cell>
          <cell r="BU374">
            <v>180000000</v>
          </cell>
          <cell r="BV374" t="str">
            <v>No</v>
          </cell>
          <cell r="BW374" t="str">
            <v>Portugal</v>
          </cell>
          <cell r="BX374" t="str">
            <v>Office</v>
          </cell>
          <cell r="BY374">
            <v>100</v>
          </cell>
        </row>
        <row r="375">
          <cell r="A375">
            <v>19334</v>
          </cell>
          <cell r="B375" t="str">
            <v>OLYMPIA EINKAUFSZENTRUM MüNCHEN</v>
          </cell>
          <cell r="C375" t="str">
            <v>DWS GRUNDBESITZ GMBH</v>
          </cell>
          <cell r="D375" t="str">
            <v>Mainzer Landstr. 11-17</v>
          </cell>
          <cell r="E375" t="str">
            <v xml:space="preserve">60329 </v>
          </cell>
          <cell r="F375" t="str">
            <v>Frankfurt am Main</v>
          </cell>
          <cell r="G375" t="str">
            <v>Germany</v>
          </cell>
          <cell r="K375" t="str">
            <v>Toralf Steinhaus</v>
          </cell>
          <cell r="L375" t="str">
            <v>toralf.steinhaus@dws.com</v>
          </cell>
          <cell r="M375" t="str">
            <v>+49 (69) 910 - 14939</v>
          </cell>
          <cell r="Q375" t="str">
            <v>Germany</v>
          </cell>
          <cell r="R375" t="str">
            <v>EUR</v>
          </cell>
          <cell r="S375" t="str">
            <v>HGB</v>
          </cell>
          <cell r="T375" t="str">
            <v>Annually</v>
          </cell>
          <cell r="U375" t="str">
            <v>Annually</v>
          </cell>
          <cell r="V375" t="str">
            <v>ImmoWertV</v>
          </cell>
          <cell r="W375" t="str">
            <v>KAGB</v>
          </cell>
          <cell r="X375" t="str">
            <v>BDO</v>
          </cell>
          <cell r="Y375" t="str">
            <v>Publikumsfonds</v>
          </cell>
          <cell r="Z375" t="str">
            <v>No</v>
          </cell>
          <cell r="AC375" t="str">
            <v>Non-Listed Fund</v>
          </cell>
          <cell r="AD375" t="str">
            <v>Core</v>
          </cell>
          <cell r="AE375" t="str">
            <v>finite</v>
          </cell>
          <cell r="AF375" t="str">
            <v>Closed end</v>
          </cell>
          <cell r="AN375" t="str">
            <v>Retail</v>
          </cell>
          <cell r="AO375" t="str">
            <v>&gt; 2</v>
          </cell>
          <cell r="AP375" t="str">
            <v>&lt; 50%</v>
          </cell>
          <cell r="AQ375" t="str">
            <v>Europe</v>
          </cell>
          <cell r="AR375" t="str">
            <v>single country</v>
          </cell>
          <cell r="AT375" t="str">
            <v>Germany</v>
          </cell>
          <cell r="AU375" t="str">
            <v>single sector</v>
          </cell>
          <cell r="AV375" t="str">
            <v>Retail</v>
          </cell>
          <cell r="AY375">
            <v>1979</v>
          </cell>
          <cell r="BH375" t="str">
            <v>2018-12-31</v>
          </cell>
          <cell r="BI375">
            <v>412400000</v>
          </cell>
          <cell r="BJ375">
            <v>412400000</v>
          </cell>
          <cell r="BK375">
            <v>324610546</v>
          </cell>
          <cell r="BL375">
            <v>324610546</v>
          </cell>
          <cell r="BM375">
            <v>25.51</v>
          </cell>
          <cell r="BN375" t="str">
            <v>Yes</v>
          </cell>
          <cell r="BO375" t="str">
            <v>External</v>
          </cell>
          <cell r="BP375">
            <v>0</v>
          </cell>
          <cell r="BQ375">
            <v>1</v>
          </cell>
          <cell r="BS375">
            <v>0</v>
          </cell>
          <cell r="BV375" t="str">
            <v>No</v>
          </cell>
          <cell r="BW375" t="str">
            <v>Germany</v>
          </cell>
          <cell r="BX375" t="str">
            <v>Retail</v>
          </cell>
          <cell r="BY375">
            <v>100</v>
          </cell>
        </row>
        <row r="376">
          <cell r="A376">
            <v>19271</v>
          </cell>
          <cell r="B376" t="str">
            <v>OPERA</v>
          </cell>
          <cell r="C376" t="str">
            <v>STAM FRANCE INVESTMENT MANAGEMENT</v>
          </cell>
          <cell r="D376" t="str">
            <v>18-20 PLACE DE LA MADELEINE</v>
          </cell>
          <cell r="E376">
            <v>75008</v>
          </cell>
          <cell r="F376" t="str">
            <v>Paris</v>
          </cell>
          <cell r="G376" t="str">
            <v>France</v>
          </cell>
          <cell r="N376" t="str">
            <v>Samantha Sudre Roux</v>
          </cell>
          <cell r="O376" t="str">
            <v>ssudreroux@stam-europe.com</v>
          </cell>
          <cell r="Q376" t="str">
            <v>France</v>
          </cell>
          <cell r="R376" t="str">
            <v>EUR</v>
          </cell>
          <cell r="T376" t="str">
            <v>Quarterly</v>
          </cell>
          <cell r="U376" t="str">
            <v>Twice per year</v>
          </cell>
          <cell r="V376" t="str">
            <v>RICS</v>
          </cell>
          <cell r="Z376" t="str">
            <v>Yes</v>
          </cell>
          <cell r="AA376" t="str">
            <v>Yes</v>
          </cell>
          <cell r="AC376" t="str">
            <v>Non-Listed Fund</v>
          </cell>
          <cell r="AD376" t="str">
            <v>Core</v>
          </cell>
          <cell r="AE376" t="str">
            <v>finite</v>
          </cell>
          <cell r="AF376" t="str">
            <v>Open end</v>
          </cell>
          <cell r="AG376">
            <v>6</v>
          </cell>
          <cell r="AM376" t="str">
            <v>&gt; 40% - ≤ 60%</v>
          </cell>
          <cell r="AN376" t="str">
            <v>Institutional</v>
          </cell>
          <cell r="AO376" t="str">
            <v>&gt; 2</v>
          </cell>
          <cell r="AP376" t="str">
            <v>≥ 50%</v>
          </cell>
          <cell r="AQ376" t="str">
            <v>Europe</v>
          </cell>
          <cell r="AR376" t="str">
            <v>single country</v>
          </cell>
          <cell r="AT376" t="str">
            <v>France</v>
          </cell>
          <cell r="AU376" t="str">
            <v>multi sector</v>
          </cell>
          <cell r="AY376">
            <v>2018</v>
          </cell>
          <cell r="BH376" t="str">
            <v>2020-12-31</v>
          </cell>
          <cell r="BI376">
            <v>126300000</v>
          </cell>
          <cell r="BJ376">
            <v>126300000</v>
          </cell>
          <cell r="BK376">
            <v>91251553</v>
          </cell>
          <cell r="BL376">
            <v>91251553</v>
          </cell>
          <cell r="BM376">
            <v>43</v>
          </cell>
          <cell r="BN376" t="str">
            <v>No</v>
          </cell>
          <cell r="BO376" t="str">
            <v>External</v>
          </cell>
          <cell r="BP376">
            <v>4</v>
          </cell>
          <cell r="BQ376">
            <v>2</v>
          </cell>
          <cell r="BR376">
            <v>84000000</v>
          </cell>
          <cell r="BS376">
            <v>84000000</v>
          </cell>
          <cell r="BT376">
            <v>84000000</v>
          </cell>
          <cell r="BU376">
            <v>84000000</v>
          </cell>
          <cell r="BV376" t="str">
            <v>No</v>
          </cell>
          <cell r="BW376" t="str">
            <v>France</v>
          </cell>
          <cell r="BX376" t="str">
            <v>Residential</v>
          </cell>
          <cell r="BY376">
            <v>100</v>
          </cell>
        </row>
        <row r="377">
          <cell r="A377">
            <v>346</v>
          </cell>
          <cell r="B377" t="str">
            <v>ORION EUROPEAN REAL ESTATE FUND II</v>
          </cell>
          <cell r="C377" t="str">
            <v>ORION CAPITAL MANAGERS</v>
          </cell>
          <cell r="D377" t="str">
            <v>2 Cavendish Square</v>
          </cell>
          <cell r="E377" t="str">
            <v>W1G 0PD</v>
          </cell>
          <cell r="F377" t="str">
            <v>London</v>
          </cell>
          <cell r="G377" t="str">
            <v>United Kingdom</v>
          </cell>
          <cell r="H377" t="str">
            <v>+44 (0) 20 7612 9399</v>
          </cell>
          <cell r="I377" t="str">
            <v>+44 (0) 20 7612 9398</v>
          </cell>
          <cell r="J377" t="str">
            <v>http://www.orioncapman.com</v>
          </cell>
          <cell r="K377" t="str">
            <v>Van J. Stults</v>
          </cell>
          <cell r="L377" t="str">
            <v>vstults@orioncapman.com</v>
          </cell>
          <cell r="M377" t="str">
            <v>+44 (0) 20 7612 9399</v>
          </cell>
          <cell r="N377" t="str">
            <v>Van J Stults</v>
          </cell>
          <cell r="O377" t="str">
            <v>vstults@orioncapman.com</v>
          </cell>
          <cell r="P377" t="str">
            <v>+44 (0) 20 7612 9399</v>
          </cell>
          <cell r="Q377" t="str">
            <v>Netherlands</v>
          </cell>
          <cell r="R377" t="str">
            <v>EUR</v>
          </cell>
          <cell r="T377" t="str">
            <v>Quarterly</v>
          </cell>
          <cell r="U377" t="str">
            <v>Quarterly</v>
          </cell>
          <cell r="X377" t="str">
            <v>Deloitte S.A.</v>
          </cell>
          <cell r="Y377" t="str">
            <v>CV</v>
          </cell>
          <cell r="Z377" t="str">
            <v>Yes</v>
          </cell>
          <cell r="AA377" t="str">
            <v>No</v>
          </cell>
          <cell r="AB377">
            <v>0</v>
          </cell>
          <cell r="AC377" t="str">
            <v>Non-Listed Fund</v>
          </cell>
          <cell r="AD377" t="str">
            <v>Opportunity</v>
          </cell>
          <cell r="AE377" t="str">
            <v>finite</v>
          </cell>
          <cell r="AF377" t="str">
            <v>Closed end</v>
          </cell>
          <cell r="AG377">
            <v>20</v>
          </cell>
          <cell r="AH377">
            <v>20</v>
          </cell>
          <cell r="AL377">
            <v>75</v>
          </cell>
          <cell r="AM377" t="str">
            <v>&gt; 60%</v>
          </cell>
          <cell r="AN377" t="str">
            <v>Institutional</v>
          </cell>
          <cell r="AQ377" t="str">
            <v>Europe</v>
          </cell>
          <cell r="AR377" t="str">
            <v>multi country</v>
          </cell>
          <cell r="AS377" t="str">
            <v>Europe</v>
          </cell>
          <cell r="AU377" t="str">
            <v>multi sector</v>
          </cell>
          <cell r="AW377">
            <v>500000000</v>
          </cell>
          <cell r="AX377">
            <v>2000000000</v>
          </cell>
          <cell r="AY377">
            <v>2005</v>
          </cell>
          <cell r="AZ377">
            <v>2013</v>
          </cell>
          <cell r="BA377" t="str">
            <v>Yes</v>
          </cell>
          <cell r="BB377" t="str">
            <v>Yes</v>
          </cell>
          <cell r="BC377" t="str">
            <v>11 years</v>
          </cell>
          <cell r="BH377" t="str">
            <v>2008-06-30</v>
          </cell>
          <cell r="BJ377">
            <v>0</v>
          </cell>
          <cell r="BL377">
            <v>0</v>
          </cell>
          <cell r="BP377">
            <v>30</v>
          </cell>
          <cell r="BR377">
            <v>500000000</v>
          </cell>
          <cell r="BS377">
            <v>500000000</v>
          </cell>
          <cell r="BU377">
            <v>0</v>
          </cell>
          <cell r="BV377" t="str">
            <v>No</v>
          </cell>
        </row>
        <row r="378">
          <cell r="A378">
            <v>347</v>
          </cell>
          <cell r="B378" t="str">
            <v>ORION EUROPEAN REAL ESTATE FUND III</v>
          </cell>
          <cell r="C378" t="str">
            <v>ORION CAPITAL MANAGERS</v>
          </cell>
          <cell r="D378" t="str">
            <v>2 Cavendish Square</v>
          </cell>
          <cell r="E378" t="str">
            <v>W1G 0PD</v>
          </cell>
          <cell r="F378" t="str">
            <v>London</v>
          </cell>
          <cell r="G378" t="str">
            <v>United Kingdom</v>
          </cell>
          <cell r="H378" t="str">
            <v>+44 (0) 20 7612 9399</v>
          </cell>
          <cell r="I378" t="str">
            <v>+44 (0) 20 7612 9398</v>
          </cell>
          <cell r="J378" t="str">
            <v>http://www.orioncapman.com</v>
          </cell>
          <cell r="K378" t="str">
            <v>Van J Stults</v>
          </cell>
          <cell r="L378" t="str">
            <v>vstults@orioncapman.com</v>
          </cell>
          <cell r="M378" t="str">
            <v>+44 (0) 20 7612 9399</v>
          </cell>
          <cell r="N378" t="str">
            <v>Van J Stults</v>
          </cell>
          <cell r="O378" t="str">
            <v>vstults@orioncapman.com</v>
          </cell>
          <cell r="P378" t="str">
            <v>+44 (0) 20 7612 9399</v>
          </cell>
          <cell r="Q378" t="str">
            <v>Netherlands</v>
          </cell>
          <cell r="R378" t="str">
            <v>EUR</v>
          </cell>
          <cell r="S378" t="str">
            <v>US GAAP</v>
          </cell>
          <cell r="T378" t="str">
            <v>Quarterly</v>
          </cell>
          <cell r="U378" t="str">
            <v>Quarterly</v>
          </cell>
          <cell r="X378" t="str">
            <v>Deloitte SA</v>
          </cell>
          <cell r="Y378" t="str">
            <v>CV</v>
          </cell>
          <cell r="Z378" t="str">
            <v>Yes</v>
          </cell>
          <cell r="AA378" t="str">
            <v>No</v>
          </cell>
          <cell r="AB378">
            <v>0</v>
          </cell>
          <cell r="AC378" t="str">
            <v>Non-Listed Fund</v>
          </cell>
          <cell r="AD378" t="str">
            <v>Opportunity</v>
          </cell>
          <cell r="AE378" t="str">
            <v>finite</v>
          </cell>
          <cell r="AF378" t="str">
            <v>Closed end</v>
          </cell>
          <cell r="AG378">
            <v>20</v>
          </cell>
          <cell r="AH378">
            <v>20</v>
          </cell>
          <cell r="AI378" t="str">
            <v>Gross</v>
          </cell>
          <cell r="AL378">
            <v>75</v>
          </cell>
          <cell r="AM378" t="str">
            <v>&gt; 60%</v>
          </cell>
          <cell r="AN378" t="str">
            <v>Institutional</v>
          </cell>
          <cell r="AP378" t="str">
            <v>≥ 50%</v>
          </cell>
          <cell r="AQ378" t="str">
            <v>Europe</v>
          </cell>
          <cell r="AR378" t="str">
            <v>multi country</v>
          </cell>
          <cell r="AS378" t="str">
            <v>Europe</v>
          </cell>
          <cell r="AU378" t="str">
            <v>multi sector</v>
          </cell>
          <cell r="AW378">
            <v>1250000000</v>
          </cell>
          <cell r="AX378">
            <v>5000000000</v>
          </cell>
          <cell r="AY378">
            <v>2008</v>
          </cell>
          <cell r="AZ378">
            <v>2016</v>
          </cell>
          <cell r="BA378" t="str">
            <v>Yes</v>
          </cell>
          <cell r="BB378" t="str">
            <v>Yes</v>
          </cell>
          <cell r="BC378" t="str">
            <v>10 years</v>
          </cell>
          <cell r="BH378" t="str">
            <v>2008-12-31</v>
          </cell>
          <cell r="BJ378">
            <v>0</v>
          </cell>
          <cell r="BL378">
            <v>0</v>
          </cell>
          <cell r="BP378">
            <v>33</v>
          </cell>
          <cell r="BR378">
            <v>850000000</v>
          </cell>
          <cell r="BS378">
            <v>850000000</v>
          </cell>
          <cell r="BU378">
            <v>0</v>
          </cell>
          <cell r="BV378" t="str">
            <v>Yes</v>
          </cell>
        </row>
        <row r="379">
          <cell r="A379">
            <v>348</v>
          </cell>
          <cell r="B379" t="str">
            <v>ORION INCOME RETURNS PARTNERS</v>
          </cell>
          <cell r="C379" t="str">
            <v>ORION CAPITAL MANAGERS</v>
          </cell>
          <cell r="D379" t="str">
            <v>2 Cavendish Square</v>
          </cell>
          <cell r="E379" t="str">
            <v>W1G 0PD</v>
          </cell>
          <cell r="F379" t="str">
            <v>London</v>
          </cell>
          <cell r="G379" t="str">
            <v>United Kingdom</v>
          </cell>
          <cell r="H379" t="str">
            <v>+44 (0) 20 7612 9399</v>
          </cell>
          <cell r="I379" t="str">
            <v>+44 (0) 20 7612 9398</v>
          </cell>
          <cell r="J379" t="str">
            <v>http://www.orioncapman.com</v>
          </cell>
          <cell r="K379" t="str">
            <v>Van J. Stults</v>
          </cell>
          <cell r="L379" t="str">
            <v>vstults@orioncapman.com</v>
          </cell>
          <cell r="M379" t="str">
            <v>+44 (0) 20 7612 9399</v>
          </cell>
          <cell r="N379" t="str">
            <v>Van J Stults</v>
          </cell>
          <cell r="O379" t="str">
            <v>vstults@orioncapman.com</v>
          </cell>
          <cell r="P379" t="str">
            <v>+44 (0) 20 7612 9399</v>
          </cell>
          <cell r="Q379" t="str">
            <v>Netherlands</v>
          </cell>
          <cell r="R379" t="str">
            <v>EUR</v>
          </cell>
          <cell r="S379" t="str">
            <v>IFRS</v>
          </cell>
          <cell r="T379" t="str">
            <v>Quarterly</v>
          </cell>
          <cell r="U379" t="str">
            <v>Annually</v>
          </cell>
          <cell r="X379" t="str">
            <v>Deloitte &amp; Touche</v>
          </cell>
          <cell r="Y379" t="str">
            <v>CV</v>
          </cell>
          <cell r="Z379" t="str">
            <v>Yes</v>
          </cell>
          <cell r="AA379" t="str">
            <v>No</v>
          </cell>
          <cell r="AB379">
            <v>0</v>
          </cell>
          <cell r="AC379" t="str">
            <v>Non-Listed Fund</v>
          </cell>
          <cell r="AD379" t="str">
            <v>Core</v>
          </cell>
          <cell r="AE379" t="str">
            <v>finite</v>
          </cell>
          <cell r="AF379" t="str">
            <v>Closed end</v>
          </cell>
          <cell r="AG379">
            <v>12</v>
          </cell>
          <cell r="AH379">
            <v>12</v>
          </cell>
          <cell r="AL379">
            <v>60</v>
          </cell>
          <cell r="AM379" t="str">
            <v>&gt; 40% - ≤ 60%</v>
          </cell>
          <cell r="AN379" t="str">
            <v>Institutional</v>
          </cell>
          <cell r="AQ379" t="str">
            <v>Europe</v>
          </cell>
          <cell r="AR379" t="str">
            <v>multi country</v>
          </cell>
          <cell r="AS379" t="str">
            <v>Europe</v>
          </cell>
          <cell r="AU379" t="str">
            <v>multi sector</v>
          </cell>
          <cell r="AW379">
            <v>400000000</v>
          </cell>
          <cell r="AX379">
            <v>1000000000</v>
          </cell>
          <cell r="AY379">
            <v>2006</v>
          </cell>
          <cell r="AZ379">
            <v>2016</v>
          </cell>
          <cell r="BA379" t="str">
            <v>Yes</v>
          </cell>
          <cell r="BB379" t="str">
            <v>Yes</v>
          </cell>
          <cell r="BC379" t="str">
            <v>1 year</v>
          </cell>
          <cell r="BH379" t="str">
            <v>2009-06-30</v>
          </cell>
          <cell r="BJ379">
            <v>0</v>
          </cell>
          <cell r="BL379">
            <v>0</v>
          </cell>
          <cell r="BP379">
            <v>3</v>
          </cell>
          <cell r="BQ379">
            <v>1</v>
          </cell>
          <cell r="BR379">
            <v>200000000</v>
          </cell>
          <cell r="BS379">
            <v>200000000</v>
          </cell>
          <cell r="BU379">
            <v>0</v>
          </cell>
          <cell r="BV379" t="str">
            <v>No</v>
          </cell>
        </row>
        <row r="380">
          <cell r="A380">
            <v>18180</v>
          </cell>
          <cell r="B380" t="str">
            <v>OTELI FRANCE</v>
          </cell>
          <cell r="C380" t="str">
            <v>AXA INVESTMENT MANAGERS</v>
          </cell>
          <cell r="G380" t="str">
            <v>France</v>
          </cell>
          <cell r="J380" t="str">
            <v>https://realassets.axa-im.com/</v>
          </cell>
          <cell r="K380" t="str">
            <v>Nicolas Gromakowski</v>
          </cell>
          <cell r="L380" t="str">
            <v>nicolas.gromakowski@axa-im.com</v>
          </cell>
          <cell r="M380" t="str">
            <v>+33 (0)144 45 97 96</v>
          </cell>
          <cell r="N380" t="str">
            <v>Jamie-Lee Chambers</v>
          </cell>
          <cell r="O380" t="str">
            <v>jamie-lee.chambers@axa-im.com</v>
          </cell>
          <cell r="Q380" t="str">
            <v>France</v>
          </cell>
          <cell r="R380" t="str">
            <v>EUR</v>
          </cell>
          <cell r="T380" t="str">
            <v>Quarterly</v>
          </cell>
          <cell r="U380" t="str">
            <v>Quarterly</v>
          </cell>
          <cell r="Y380" t="str">
            <v>Real Estate Fund</v>
          </cell>
          <cell r="Z380" t="str">
            <v>No</v>
          </cell>
          <cell r="AC380" t="str">
            <v>Non-Listed Fund</v>
          </cell>
          <cell r="AD380" t="str">
            <v>Core</v>
          </cell>
          <cell r="AE380" t="str">
            <v>finite</v>
          </cell>
          <cell r="AF380" t="str">
            <v>Closed end</v>
          </cell>
          <cell r="AG380">
            <v>5.6</v>
          </cell>
          <cell r="AN380" t="str">
            <v>Institutional</v>
          </cell>
          <cell r="AO380" t="str">
            <v>&gt; 2</v>
          </cell>
          <cell r="AP380" t="str">
            <v>≥ 50%</v>
          </cell>
          <cell r="AQ380" t="str">
            <v>Europe</v>
          </cell>
          <cell r="AR380" t="str">
            <v>single country</v>
          </cell>
          <cell r="AT380" t="str">
            <v>France</v>
          </cell>
          <cell r="AU380" t="str">
            <v>single sector</v>
          </cell>
          <cell r="AV380" t="str">
            <v>Hotel</v>
          </cell>
          <cell r="AY380">
            <v>2008</v>
          </cell>
          <cell r="AZ380">
            <v>2020</v>
          </cell>
          <cell r="BA380" t="str">
            <v>No</v>
          </cell>
          <cell r="BB380" t="str">
            <v>No</v>
          </cell>
          <cell r="BH380" t="str">
            <v>2019-06-30</v>
          </cell>
          <cell r="BI380">
            <v>329936174.25</v>
          </cell>
          <cell r="BJ380">
            <v>329936174.25</v>
          </cell>
          <cell r="BK380">
            <v>203577504.06999999</v>
          </cell>
          <cell r="BL380">
            <v>203577504.06999999</v>
          </cell>
          <cell r="BM380">
            <v>0</v>
          </cell>
          <cell r="BN380" t="str">
            <v>No</v>
          </cell>
          <cell r="BO380" t="str">
            <v>Internal</v>
          </cell>
          <cell r="BP380">
            <v>4</v>
          </cell>
          <cell r="BQ380">
            <v>26</v>
          </cell>
          <cell r="BS380">
            <v>0</v>
          </cell>
          <cell r="BW380" t="str">
            <v>France</v>
          </cell>
          <cell r="BX380" t="str">
            <v>Hotel</v>
          </cell>
          <cell r="BY380">
            <v>96.67</v>
          </cell>
          <cell r="BZ380" t="str">
            <v>France</v>
          </cell>
          <cell r="CA380" t="str">
            <v>Other</v>
          </cell>
          <cell r="CB380">
            <v>1.34</v>
          </cell>
        </row>
        <row r="381">
          <cell r="A381">
            <v>17535</v>
          </cell>
          <cell r="B381" t="str">
            <v>PACIFIC 1</v>
          </cell>
          <cell r="C381" t="str">
            <v>BNP PARIBAS REIM ITALY</v>
          </cell>
          <cell r="D381" t="str">
            <v>Via Carlo Bo, 11</v>
          </cell>
          <cell r="E381">
            <v>20143</v>
          </cell>
          <cell r="F381" t="str">
            <v>Milan</v>
          </cell>
          <cell r="G381" t="str">
            <v>Italy</v>
          </cell>
          <cell r="N381" t="str">
            <v>Simone Roberti</v>
          </cell>
          <cell r="O381" t="str">
            <v>simone.roberti@bnpparibas.com</v>
          </cell>
          <cell r="Q381" t="str">
            <v>Italy</v>
          </cell>
          <cell r="R381" t="str">
            <v>EUR</v>
          </cell>
          <cell r="S381" t="str">
            <v>Local GAAP</v>
          </cell>
          <cell r="T381" t="str">
            <v>Twice per year</v>
          </cell>
          <cell r="U381" t="str">
            <v>Twice per year</v>
          </cell>
          <cell r="V381" t="str">
            <v>Other - mark to market</v>
          </cell>
          <cell r="W381" t="str">
            <v>INREV NAV</v>
          </cell>
          <cell r="Y381" t="str">
            <v>Real Estate Fund</v>
          </cell>
          <cell r="Z381" t="str">
            <v>Yes</v>
          </cell>
          <cell r="AC381" t="str">
            <v>Non-Listed Fund</v>
          </cell>
          <cell r="AD381" t="str">
            <v>Opportunity</v>
          </cell>
          <cell r="AE381" t="str">
            <v>finite</v>
          </cell>
          <cell r="AF381" t="str">
            <v>Closed end</v>
          </cell>
          <cell r="AM381" t="str">
            <v>&gt; 40% - ≤ 60%</v>
          </cell>
          <cell r="AN381" t="str">
            <v>Institutional</v>
          </cell>
          <cell r="AO381" t="str">
            <v>≤ 2</v>
          </cell>
          <cell r="AP381" t="str">
            <v>≥ 50%</v>
          </cell>
          <cell r="AQ381" t="str">
            <v>Europe</v>
          </cell>
          <cell r="AR381" t="str">
            <v>single country</v>
          </cell>
          <cell r="AT381" t="str">
            <v>Italy</v>
          </cell>
          <cell r="AU381" t="str">
            <v>multi sector</v>
          </cell>
          <cell r="AZ381">
            <v>2021</v>
          </cell>
          <cell r="BH381" t="str">
            <v>2015-12-31</v>
          </cell>
          <cell r="BI381">
            <v>372548632</v>
          </cell>
          <cell r="BJ381">
            <v>372548632</v>
          </cell>
          <cell r="BK381">
            <v>121838463</v>
          </cell>
          <cell r="BL381">
            <v>121838463</v>
          </cell>
          <cell r="BM381">
            <v>60.36</v>
          </cell>
          <cell r="BN381" t="str">
            <v>Yes</v>
          </cell>
          <cell r="BO381" t="str">
            <v>External</v>
          </cell>
          <cell r="BP381">
            <v>1</v>
          </cell>
          <cell r="BQ381">
            <v>9</v>
          </cell>
          <cell r="BS381">
            <v>0</v>
          </cell>
          <cell r="BV381" t="str">
            <v>No</v>
          </cell>
          <cell r="BW381" t="str">
            <v>Italy</v>
          </cell>
          <cell r="BX381" t="str">
            <v>Office</v>
          </cell>
          <cell r="BY381">
            <v>98.71</v>
          </cell>
        </row>
        <row r="382">
          <cell r="A382">
            <v>18226</v>
          </cell>
          <cell r="B382" t="str">
            <v>PAN EUROPEAN VALUE ADDED VENTURE (PEVAV)</v>
          </cell>
          <cell r="C382" t="str">
            <v>AXA REIM SGP UK</v>
          </cell>
          <cell r="D382" t="str">
            <v>21, Boulevard Grande-Duchesse Charlotte</v>
          </cell>
          <cell r="E382" t="str">
            <v xml:space="preserve">L-1331 </v>
          </cell>
          <cell r="F382" t="str">
            <v>Luxembourg</v>
          </cell>
          <cell r="G382" t="str">
            <v>Luxembourg</v>
          </cell>
          <cell r="J382" t="str">
            <v>http://realassets.axa-im.com/</v>
          </cell>
          <cell r="N382" t="str">
            <v>Jamie-Lee Chambers</v>
          </cell>
          <cell r="O382" t="str">
            <v>jamie-lee.chambers@axa-im.com</v>
          </cell>
          <cell r="Q382" t="str">
            <v>Luxembourg</v>
          </cell>
          <cell r="R382" t="str">
            <v>EUR</v>
          </cell>
          <cell r="S382" t="str">
            <v>IFRS</v>
          </cell>
          <cell r="T382" t="str">
            <v>Quarterly</v>
          </cell>
          <cell r="U382" t="str">
            <v>Quarterly</v>
          </cell>
          <cell r="V382" t="str">
            <v>Various</v>
          </cell>
          <cell r="W382" t="str">
            <v>INREV NAV</v>
          </cell>
          <cell r="Y382" t="str">
            <v>SCA</v>
          </cell>
          <cell r="Z382" t="str">
            <v>Yes</v>
          </cell>
          <cell r="AA382" t="str">
            <v>Yes</v>
          </cell>
          <cell r="AC382" t="str">
            <v>Non-Listed Fund</v>
          </cell>
          <cell r="AD382" t="str">
            <v>Value-added</v>
          </cell>
          <cell r="AE382" t="str">
            <v>finite</v>
          </cell>
          <cell r="AF382" t="str">
            <v>Closed end</v>
          </cell>
          <cell r="AG382">
            <v>12</v>
          </cell>
          <cell r="AH382">
            <v>12</v>
          </cell>
          <cell r="AI382" t="str">
            <v>Net</v>
          </cell>
          <cell r="AL382">
            <v>50</v>
          </cell>
          <cell r="AM382" t="str">
            <v>&gt; 40% - ≤ 60%</v>
          </cell>
          <cell r="AN382" t="str">
            <v>Institutional</v>
          </cell>
          <cell r="AO382" t="str">
            <v>&gt; 2</v>
          </cell>
          <cell r="AP382" t="str">
            <v>≥ 50%</v>
          </cell>
          <cell r="AQ382" t="str">
            <v>Europe</v>
          </cell>
          <cell r="AR382" t="str">
            <v>multi country</v>
          </cell>
          <cell r="AS382" t="str">
            <v>Europe</v>
          </cell>
          <cell r="AU382" t="str">
            <v>multi sector</v>
          </cell>
          <cell r="AY382">
            <v>2014</v>
          </cell>
          <cell r="AZ382">
            <v>2021</v>
          </cell>
          <cell r="BE382" t="str">
            <v>&lt; 60%</v>
          </cell>
          <cell r="BF382" t="str">
            <v>≤ 15%</v>
          </cell>
          <cell r="BH382" t="str">
            <v>2020-12-31</v>
          </cell>
          <cell r="BI382">
            <v>258907661</v>
          </cell>
          <cell r="BJ382">
            <v>258907661</v>
          </cell>
          <cell r="BK382">
            <v>156879372.02000001</v>
          </cell>
          <cell r="BL382">
            <v>156879372.02000001</v>
          </cell>
          <cell r="BM382">
            <v>35</v>
          </cell>
          <cell r="BN382" t="str">
            <v>No</v>
          </cell>
          <cell r="BO382" t="str">
            <v>External</v>
          </cell>
          <cell r="BP382">
            <v>10</v>
          </cell>
          <cell r="BQ382">
            <v>4</v>
          </cell>
          <cell r="BR382">
            <v>445000000</v>
          </cell>
          <cell r="BS382">
            <v>445000000</v>
          </cell>
          <cell r="BT382">
            <v>348067311</v>
          </cell>
          <cell r="BU382">
            <v>348067311</v>
          </cell>
          <cell r="BV382" t="str">
            <v>No</v>
          </cell>
          <cell r="BW382" t="str">
            <v>Spain</v>
          </cell>
          <cell r="BX382" t="str">
            <v>Development Residential</v>
          </cell>
          <cell r="BY382">
            <v>1.88</v>
          </cell>
          <cell r="BZ382" t="str">
            <v>Italy</v>
          </cell>
          <cell r="CA382" t="str">
            <v>Retail</v>
          </cell>
          <cell r="CB382">
            <v>9.23</v>
          </cell>
          <cell r="CC382" t="str">
            <v>United Kingdom</v>
          </cell>
          <cell r="CD382" t="str">
            <v>Office</v>
          </cell>
          <cell r="CE382">
            <v>88.89</v>
          </cell>
        </row>
        <row r="383">
          <cell r="A383">
            <v>18627</v>
          </cell>
          <cell r="B383" t="str">
            <v xml:space="preserve">PAN EUROPEAN VALUE ADDED VENTURE II </v>
          </cell>
          <cell r="C383" t="str">
            <v>AXA REIM SGP UK</v>
          </cell>
          <cell r="D383" t="str">
            <v>21, Boulevard Grande Duchesse</v>
          </cell>
          <cell r="E383" t="str">
            <v>L-1331</v>
          </cell>
          <cell r="F383" t="str">
            <v>Luxembourg</v>
          </cell>
          <cell r="G383" t="str">
            <v>Luxembourg</v>
          </cell>
          <cell r="N383" t="str">
            <v>Jamie-Lee Chambers</v>
          </cell>
          <cell r="O383" t="str">
            <v>jamie-lee.chambers@axa-im.com</v>
          </cell>
          <cell r="Q383" t="str">
            <v>Luxembourg</v>
          </cell>
          <cell r="R383" t="str">
            <v>EUR</v>
          </cell>
          <cell r="S383" t="str">
            <v>IFRS</v>
          </cell>
          <cell r="T383" t="str">
            <v>Quarterly</v>
          </cell>
          <cell r="U383" t="str">
            <v>Quarterly</v>
          </cell>
          <cell r="V383" t="str">
            <v>DCF</v>
          </cell>
          <cell r="W383" t="str">
            <v>INREV NAV</v>
          </cell>
          <cell r="X383" t="str">
            <v>MAZARS</v>
          </cell>
          <cell r="Y383" t="str">
            <v>SCA</v>
          </cell>
          <cell r="Z383" t="str">
            <v>Yes</v>
          </cell>
          <cell r="AA383" t="str">
            <v>Yes</v>
          </cell>
          <cell r="AC383" t="str">
            <v>Non-Listed Fund</v>
          </cell>
          <cell r="AD383" t="str">
            <v>Value-added</v>
          </cell>
          <cell r="AE383" t="str">
            <v>finite</v>
          </cell>
          <cell r="AF383" t="str">
            <v>Closed end</v>
          </cell>
          <cell r="AG383">
            <v>12</v>
          </cell>
          <cell r="AH383">
            <v>12</v>
          </cell>
          <cell r="AI383" t="str">
            <v>Net</v>
          </cell>
          <cell r="AN383" t="str">
            <v>Institutional</v>
          </cell>
          <cell r="AO383" t="str">
            <v>&gt; 2</v>
          </cell>
          <cell r="AP383" t="str">
            <v>≥ 50%</v>
          </cell>
          <cell r="AQ383" t="str">
            <v>Europe</v>
          </cell>
          <cell r="AR383" t="str">
            <v>multi country</v>
          </cell>
          <cell r="AS383" t="str">
            <v>Europe</v>
          </cell>
          <cell r="AU383" t="str">
            <v>multi sector</v>
          </cell>
          <cell r="AY383">
            <v>2018</v>
          </cell>
          <cell r="BA383" t="str">
            <v>Yes</v>
          </cell>
          <cell r="BB383" t="str">
            <v>No</v>
          </cell>
          <cell r="BH383" t="str">
            <v>2020-12-31</v>
          </cell>
          <cell r="BI383">
            <v>517213879</v>
          </cell>
          <cell r="BJ383">
            <v>517213879</v>
          </cell>
          <cell r="BK383">
            <v>155181947</v>
          </cell>
          <cell r="BL383">
            <v>155181947</v>
          </cell>
          <cell r="BM383">
            <v>46</v>
          </cell>
          <cell r="BN383" t="str">
            <v>No</v>
          </cell>
          <cell r="BO383" t="str">
            <v>External</v>
          </cell>
          <cell r="BP383">
            <v>28</v>
          </cell>
          <cell r="BQ383">
            <v>4</v>
          </cell>
          <cell r="BR383">
            <v>643445000</v>
          </cell>
          <cell r="BS383">
            <v>643445000</v>
          </cell>
          <cell r="BT383">
            <v>180800001</v>
          </cell>
          <cell r="BU383">
            <v>180800001</v>
          </cell>
          <cell r="BV383" t="str">
            <v>No</v>
          </cell>
          <cell r="BW383" t="str">
            <v>United Kingdom</v>
          </cell>
          <cell r="BX383" t="str">
            <v>Retail</v>
          </cell>
          <cell r="BY383">
            <v>6</v>
          </cell>
          <cell r="BZ383" t="str">
            <v>Germany</v>
          </cell>
          <cell r="CA383" t="str">
            <v>Office</v>
          </cell>
          <cell r="CB383">
            <v>49</v>
          </cell>
          <cell r="CC383" t="str">
            <v>Italy</v>
          </cell>
          <cell r="CD383" t="str">
            <v>Retail</v>
          </cell>
          <cell r="CE383">
            <v>23</v>
          </cell>
          <cell r="CF383" t="str">
            <v>Ireland</v>
          </cell>
          <cell r="CG383" t="str">
            <v>Retail</v>
          </cell>
          <cell r="CH383">
            <v>16</v>
          </cell>
        </row>
        <row r="384">
          <cell r="A384">
            <v>18577</v>
          </cell>
          <cell r="B384" t="str">
            <v>PAN-EUROPEAN REAL ESTATE FUND (PEREF I)</v>
          </cell>
          <cell r="C384" t="str">
            <v>PGIM REAL ESTATE LUXEMBOURG S.A.</v>
          </cell>
          <cell r="D384" t="str">
            <v>2, Boulevard de la Foire</v>
          </cell>
          <cell r="E384">
            <v>1528</v>
          </cell>
          <cell r="F384" t="str">
            <v>Luxembourg</v>
          </cell>
          <cell r="G384" t="str">
            <v>Luxembourg</v>
          </cell>
          <cell r="H384" t="str">
            <v> + 352 (0) 27 62 34 10</v>
          </cell>
          <cell r="K384" t="str">
            <v>Theresa Reif</v>
          </cell>
          <cell r="L384" t="str">
            <v>theresa.reif@pgim.com</v>
          </cell>
          <cell r="M384" t="str">
            <v xml:space="preserve">+ 49 (0) 89 28645 177 </v>
          </cell>
          <cell r="N384" t="str">
            <v>Tobias Waldschmidt</v>
          </cell>
          <cell r="O384" t="str">
            <v>tobias.waldschmidt@pgim.com</v>
          </cell>
          <cell r="P384" t="str">
            <v>+ 49 (0) 69 244 341 663</v>
          </cell>
          <cell r="Q384" t="str">
            <v>Luxembourg</v>
          </cell>
          <cell r="R384" t="str">
            <v>EUR</v>
          </cell>
          <cell r="S384" t="str">
            <v>Italian GAAP at the level of PEREF FCP (including FV option) </v>
          </cell>
          <cell r="T384" t="str">
            <v>Twice per year</v>
          </cell>
          <cell r="U384" t="str">
            <v>Twice per year</v>
          </cell>
          <cell r="V384" t="str">
            <v>Other - mark to market</v>
          </cell>
          <cell r="X384" t="str">
            <v> PWC Italy</v>
          </cell>
          <cell r="Y384" t="str">
            <v>Real Estate Fund</v>
          </cell>
          <cell r="Z384" t="str">
            <v>No</v>
          </cell>
          <cell r="AA384" t="str">
            <v>No</v>
          </cell>
          <cell r="AC384" t="str">
            <v>Non-Listed Fund</v>
          </cell>
          <cell r="AD384" t="str">
            <v>Core</v>
          </cell>
          <cell r="AE384" t="str">
            <v>finite</v>
          </cell>
          <cell r="AF384" t="str">
            <v>Closed end</v>
          </cell>
          <cell r="AG384">
            <v>6.5</v>
          </cell>
          <cell r="AH384">
            <v>6.5</v>
          </cell>
          <cell r="AI384" t="str">
            <v>Net</v>
          </cell>
          <cell r="AK384">
            <v>3</v>
          </cell>
          <cell r="AL384">
            <v>50</v>
          </cell>
          <cell r="AN384" t="str">
            <v>Institutional</v>
          </cell>
          <cell r="AO384" t="str">
            <v>&gt; 2</v>
          </cell>
          <cell r="AP384" t="str">
            <v>≥ 50%</v>
          </cell>
          <cell r="AQ384" t="str">
            <v>Europe</v>
          </cell>
          <cell r="AR384" t="str">
            <v>multi country</v>
          </cell>
          <cell r="AS384" t="str">
            <v>Europe</v>
          </cell>
          <cell r="AU384" t="str">
            <v>multi sector</v>
          </cell>
          <cell r="AY384">
            <v>2015</v>
          </cell>
          <cell r="AZ384">
            <v>2025</v>
          </cell>
          <cell r="BA384" t="str">
            <v>Yes</v>
          </cell>
          <cell r="BB384" t="str">
            <v>Yes</v>
          </cell>
          <cell r="BC384" t="str">
            <v>2 years fixed</v>
          </cell>
          <cell r="BH384" t="str">
            <v>2018-12-31</v>
          </cell>
          <cell r="BI384">
            <v>118488299.86</v>
          </cell>
          <cell r="BJ384">
            <v>118488299.86</v>
          </cell>
          <cell r="BK384">
            <v>118255581.56</v>
          </cell>
          <cell r="BL384">
            <v>118255581.56</v>
          </cell>
          <cell r="BM384">
            <v>48.7</v>
          </cell>
          <cell r="BS384">
            <v>0</v>
          </cell>
        </row>
        <row r="385">
          <cell r="A385">
            <v>18578</v>
          </cell>
          <cell r="B385" t="str">
            <v>PAN-EUROPEAN REAL ESTATE FUND II (PEREF II)</v>
          </cell>
          <cell r="C385" t="str">
            <v>PGIM REAL ESTATE LUXEMBOURG S.A.</v>
          </cell>
          <cell r="D385" t="str">
            <v>2, boulevard de la Foire</v>
          </cell>
          <cell r="E385" t="str">
            <v>L-1528</v>
          </cell>
          <cell r="F385" t="str">
            <v>Luxembourg</v>
          </cell>
          <cell r="G385" t="str">
            <v>Luxembourg</v>
          </cell>
          <cell r="H385">
            <v>35227623410</v>
          </cell>
          <cell r="I385">
            <v>35227623419</v>
          </cell>
          <cell r="K385" t="str">
            <v>Theresa Reif</v>
          </cell>
          <cell r="L385" t="str">
            <v>Theresa.Reif@pgim.com</v>
          </cell>
          <cell r="M385">
            <v>498928645177</v>
          </cell>
          <cell r="N385" t="str">
            <v>Tobias Waldschmidt</v>
          </cell>
          <cell r="O385" t="str">
            <v>tobias.waldschmidt@pgim.com</v>
          </cell>
          <cell r="P385">
            <v>4969244341663</v>
          </cell>
          <cell r="Q385" t="str">
            <v>Luxembourg</v>
          </cell>
          <cell r="R385" t="str">
            <v>EUR</v>
          </cell>
          <cell r="S385" t="str">
            <v>IFRS</v>
          </cell>
          <cell r="T385" t="str">
            <v>Quarterly</v>
          </cell>
          <cell r="U385" t="str">
            <v>Annually</v>
          </cell>
          <cell r="V385" t="str">
            <v>Other - mark to market</v>
          </cell>
          <cell r="X385" t="str">
            <v>PWC</v>
          </cell>
          <cell r="Y385" t="str">
            <v>Real Estate Fund</v>
          </cell>
          <cell r="AC385" t="str">
            <v>Non-Listed Fund</v>
          </cell>
          <cell r="AD385" t="str">
            <v>Core</v>
          </cell>
          <cell r="AE385" t="str">
            <v>finite</v>
          </cell>
          <cell r="AF385" t="str">
            <v>Closed end</v>
          </cell>
          <cell r="AG385">
            <v>7</v>
          </cell>
          <cell r="AH385">
            <v>8</v>
          </cell>
          <cell r="AI385" t="str">
            <v>Net</v>
          </cell>
          <cell r="AK385">
            <v>4</v>
          </cell>
          <cell r="AL385">
            <v>50</v>
          </cell>
          <cell r="AM385" t="str">
            <v>&gt; 40% - ≤ 60%</v>
          </cell>
          <cell r="AN385" t="str">
            <v>Institutional</v>
          </cell>
          <cell r="AO385" t="str">
            <v>&gt; 2</v>
          </cell>
          <cell r="AP385" t="str">
            <v>≥ 50%</v>
          </cell>
          <cell r="AQ385" t="str">
            <v>Europe</v>
          </cell>
          <cell r="AR385" t="str">
            <v>multi country</v>
          </cell>
          <cell r="AS385" t="str">
            <v>Europe</v>
          </cell>
          <cell r="AU385" t="str">
            <v>multi sector</v>
          </cell>
          <cell r="AY385">
            <v>2018</v>
          </cell>
          <cell r="AZ385">
            <v>2031</v>
          </cell>
          <cell r="BA385" t="str">
            <v>Yes</v>
          </cell>
          <cell r="BB385" t="str">
            <v>Yes</v>
          </cell>
          <cell r="BC385" t="str">
            <v>5 years fixed</v>
          </cell>
          <cell r="BE385" t="str">
            <v>≥ 60%</v>
          </cell>
          <cell r="BF385" t="str">
            <v>&gt; 15% - ≤ 40%</v>
          </cell>
          <cell r="BH385" t="str">
            <v>2020-09-30</v>
          </cell>
          <cell r="BI385">
            <v>304217925</v>
          </cell>
          <cell r="BJ385">
            <v>304217925</v>
          </cell>
          <cell r="BK385">
            <v>149320512.5</v>
          </cell>
          <cell r="BL385">
            <v>149320512.5</v>
          </cell>
          <cell r="BM385">
            <v>43.8</v>
          </cell>
          <cell r="BN385" t="str">
            <v>No</v>
          </cell>
          <cell r="BO385" t="str">
            <v>External</v>
          </cell>
          <cell r="BP385">
            <v>9</v>
          </cell>
          <cell r="BQ385">
            <v>9</v>
          </cell>
          <cell r="BR385">
            <v>320500000</v>
          </cell>
          <cell r="BS385">
            <v>320500000</v>
          </cell>
          <cell r="BT385">
            <v>151136389</v>
          </cell>
          <cell r="BU385">
            <v>151136389</v>
          </cell>
          <cell r="BV385" t="str">
            <v>Yes</v>
          </cell>
          <cell r="BW385" t="str">
            <v>Germany</v>
          </cell>
          <cell r="BX385" t="str">
            <v>Office</v>
          </cell>
          <cell r="BY385">
            <v>12.52</v>
          </cell>
          <cell r="BZ385" t="str">
            <v>France</v>
          </cell>
          <cell r="CA385" t="str">
            <v>Mixed</v>
          </cell>
          <cell r="CB385">
            <v>20.85</v>
          </cell>
          <cell r="CC385" t="str">
            <v>France</v>
          </cell>
          <cell r="CD385" t="str">
            <v>Office</v>
          </cell>
          <cell r="CE385">
            <v>26.98</v>
          </cell>
          <cell r="CF385" t="str">
            <v>Italy</v>
          </cell>
          <cell r="CG385" t="str">
            <v>Industrial / Logistics</v>
          </cell>
          <cell r="CH385">
            <v>11.79</v>
          </cell>
          <cell r="CI385" t="str">
            <v>Italy</v>
          </cell>
          <cell r="CJ385" t="str">
            <v>Hotel</v>
          </cell>
          <cell r="CK385">
            <v>7.72</v>
          </cell>
          <cell r="CL385" t="str">
            <v>Germany</v>
          </cell>
          <cell r="CM385" t="str">
            <v>Hotel</v>
          </cell>
          <cell r="CN385">
            <v>15.55</v>
          </cell>
        </row>
        <row r="386">
          <cell r="A386">
            <v>608</v>
          </cell>
          <cell r="B386" t="str">
            <v>PAN-EUROPEAN URBAN RETAIL FUND (PURETAIL FUND)</v>
          </cell>
          <cell r="C386" t="str">
            <v>SCOTTISH WIDOWS INVESTMENT PARTNERSHIP, PART OF ABERDEEN ASSET MANAGEMENT</v>
          </cell>
          <cell r="D386" t="str">
            <v>Bow Bells House, 1 Bread Street</v>
          </cell>
          <cell r="E386" t="str">
            <v>EC4M 9HH</v>
          </cell>
          <cell r="F386" t="str">
            <v>London</v>
          </cell>
          <cell r="G386" t="str">
            <v>United Kingdom</v>
          </cell>
          <cell r="H386" t="str">
            <v>+44 (0) 20 7463 6000</v>
          </cell>
          <cell r="J386" t="str">
            <v>http://www.aberdeen-asset.com</v>
          </cell>
          <cell r="K386" t="str">
            <v>Ross Braithwaite</v>
          </cell>
          <cell r="L386" t="str">
            <v>ross.braithwaite@aberdeen-asset.com</v>
          </cell>
          <cell r="M386" t="str">
            <v>+44(0)131 528 4329</v>
          </cell>
          <cell r="N386" t="str">
            <v>Robert Matthews</v>
          </cell>
          <cell r="O386" t="str">
            <v>robert.matthews@aberdeen-asset.com</v>
          </cell>
          <cell r="P386" t="str">
            <v>+44 131 528 4328</v>
          </cell>
          <cell r="Q386" t="str">
            <v>Luxembourg</v>
          </cell>
          <cell r="R386" t="str">
            <v>EUR</v>
          </cell>
          <cell r="T386" t="str">
            <v>Quarterly</v>
          </cell>
          <cell r="U386" t="str">
            <v>Quarterly</v>
          </cell>
          <cell r="V386" t="str">
            <v>RICS</v>
          </cell>
          <cell r="W386" t="str">
            <v>INREV NAV</v>
          </cell>
          <cell r="X386" t="str">
            <v>PriceWaterhouseCoopers</v>
          </cell>
          <cell r="Y386" t="str">
            <v>Luxembourg FCP</v>
          </cell>
          <cell r="Z386" t="str">
            <v>Yes</v>
          </cell>
          <cell r="AA386" t="str">
            <v>Yes</v>
          </cell>
          <cell r="AB386">
            <v>2</v>
          </cell>
          <cell r="AC386" t="str">
            <v>Non-Listed Fund</v>
          </cell>
          <cell r="AD386" t="str">
            <v>Core</v>
          </cell>
          <cell r="AE386" t="str">
            <v>finite</v>
          </cell>
          <cell r="AF386" t="str">
            <v>Closed end</v>
          </cell>
          <cell r="AG386">
            <v>10</v>
          </cell>
          <cell r="AH386">
            <v>12</v>
          </cell>
          <cell r="AI386" t="str">
            <v>Net</v>
          </cell>
          <cell r="AJ386" t="str">
            <v>Absolute return</v>
          </cell>
          <cell r="AK386">
            <v>4.5</v>
          </cell>
          <cell r="AL386">
            <v>50</v>
          </cell>
          <cell r="AM386" t="str">
            <v>&gt; 40% - ≤ 60%</v>
          </cell>
          <cell r="AN386" t="str">
            <v>Institutional</v>
          </cell>
          <cell r="AO386" t="str">
            <v>&gt; 2</v>
          </cell>
          <cell r="AP386" t="str">
            <v>≥ 50%</v>
          </cell>
          <cell r="AQ386" t="str">
            <v>Europe</v>
          </cell>
          <cell r="AR386" t="str">
            <v>multi country</v>
          </cell>
          <cell r="AS386" t="str">
            <v>Europe</v>
          </cell>
          <cell r="AU386" t="str">
            <v>single sector</v>
          </cell>
          <cell r="AV386" t="str">
            <v>Retail</v>
          </cell>
          <cell r="AW386">
            <v>250000000</v>
          </cell>
          <cell r="AX386">
            <v>500000000</v>
          </cell>
          <cell r="AY386">
            <v>2011</v>
          </cell>
          <cell r="AZ386">
            <v>2019</v>
          </cell>
          <cell r="BA386" t="str">
            <v>Yes</v>
          </cell>
          <cell r="BB386" t="str">
            <v>Yes</v>
          </cell>
          <cell r="BC386" t="str">
            <v>1+1 years</v>
          </cell>
          <cell r="BH386" t="str">
            <v>2020-12-31</v>
          </cell>
          <cell r="BI386">
            <v>18528173</v>
          </cell>
          <cell r="BJ386">
            <v>18528173</v>
          </cell>
          <cell r="BK386">
            <v>9392552</v>
          </cell>
          <cell r="BL386">
            <v>9392552</v>
          </cell>
          <cell r="BM386">
            <v>0</v>
          </cell>
          <cell r="BN386" t="str">
            <v>No</v>
          </cell>
          <cell r="BO386" t="str">
            <v>External</v>
          </cell>
          <cell r="BP386">
            <v>7</v>
          </cell>
          <cell r="BQ386">
            <v>0</v>
          </cell>
          <cell r="BR386">
            <v>0</v>
          </cell>
          <cell r="BS386">
            <v>0</v>
          </cell>
          <cell r="BT386">
            <v>9392552</v>
          </cell>
          <cell r="BV386" t="str">
            <v>No</v>
          </cell>
        </row>
        <row r="387">
          <cell r="A387">
            <v>17724</v>
          </cell>
          <cell r="B387" t="str">
            <v>PANTA RHEI DUTCH RESIDENTIAL - PDR</v>
          </cell>
          <cell r="G387" t="str">
            <v>Germany</v>
          </cell>
          <cell r="Q387" t="str">
            <v>Germany</v>
          </cell>
          <cell r="R387" t="str">
            <v>EUR</v>
          </cell>
          <cell r="T387" t="str">
            <v>Quarterly</v>
          </cell>
          <cell r="U387" t="str">
            <v>Quarterly</v>
          </cell>
          <cell r="V387" t="str">
            <v>ImmoWertV</v>
          </cell>
          <cell r="W387" t="str">
            <v>BVI</v>
          </cell>
          <cell r="Y387" t="str">
            <v>Spezialfonds</v>
          </cell>
          <cell r="AC387" t="str">
            <v>Non-Listed Fund</v>
          </cell>
          <cell r="AD387" t="str">
            <v>Core</v>
          </cell>
          <cell r="AE387" t="str">
            <v>infinite</v>
          </cell>
          <cell r="AF387" t="str">
            <v>Open end</v>
          </cell>
          <cell r="AN387" t="str">
            <v>Institutional</v>
          </cell>
          <cell r="AO387" t="str">
            <v>&gt; 2</v>
          </cell>
          <cell r="AP387" t="str">
            <v>≥ 50%</v>
          </cell>
          <cell r="AQ387" t="str">
            <v>Europe</v>
          </cell>
          <cell r="AR387" t="str">
            <v>single country</v>
          </cell>
          <cell r="AT387" t="str">
            <v>Netherlands</v>
          </cell>
          <cell r="AU387" t="str">
            <v>single sector</v>
          </cell>
          <cell r="AV387" t="str">
            <v>Residential</v>
          </cell>
          <cell r="AY387">
            <v>2015</v>
          </cell>
          <cell r="BH387" t="str">
            <v>2020-12-31</v>
          </cell>
          <cell r="BI387">
            <v>185014440</v>
          </cell>
          <cell r="BJ387">
            <v>185014440</v>
          </cell>
          <cell r="BK387">
            <v>184811584</v>
          </cell>
          <cell r="BL387">
            <v>184811584</v>
          </cell>
          <cell r="BM387">
            <v>31.6</v>
          </cell>
          <cell r="BN387" t="str">
            <v>No</v>
          </cell>
          <cell r="BO387" t="str">
            <v>Internal</v>
          </cell>
          <cell r="BP387">
            <v>6</v>
          </cell>
          <cell r="BQ387">
            <v>16</v>
          </cell>
          <cell r="BR387">
            <v>0</v>
          </cell>
          <cell r="BS387">
            <v>0</v>
          </cell>
          <cell r="BT387">
            <v>0</v>
          </cell>
          <cell r="BV387" t="str">
            <v>No</v>
          </cell>
          <cell r="BW387" t="str">
            <v>Netherlands</v>
          </cell>
          <cell r="BX387" t="str">
            <v>Other</v>
          </cell>
          <cell r="BY387">
            <v>1</v>
          </cell>
          <cell r="BZ387" t="str">
            <v>Netherlands</v>
          </cell>
          <cell r="CA387" t="str">
            <v>Residential</v>
          </cell>
          <cell r="CB387">
            <v>94</v>
          </cell>
        </row>
        <row r="388">
          <cell r="A388">
            <v>357</v>
          </cell>
          <cell r="B388" t="str">
            <v>PATRIMONIO 1</v>
          </cell>
          <cell r="C388" t="str">
            <v>BNP PARIBAS REAL ESTATE INVESTMENT MANAGEMENT ITALY SGR</v>
          </cell>
          <cell r="D388" t="str">
            <v>Piazza Lina Bo Bardi, 3</v>
          </cell>
          <cell r="E388">
            <v>20124</v>
          </cell>
          <cell r="F388" t="str">
            <v>Milan</v>
          </cell>
          <cell r="G388" t="str">
            <v>Italy</v>
          </cell>
          <cell r="J388" t="str">
            <v>http://www.reim.bnpparibas.it</v>
          </cell>
          <cell r="K388" t="str">
            <v>Daniele Cenni</v>
          </cell>
          <cell r="L388" t="str">
            <v>daniele.cenni@bnpparibas.com</v>
          </cell>
          <cell r="P388" t="str">
            <v>+39 02 5833 141</v>
          </cell>
          <cell r="Q388" t="str">
            <v>Italy</v>
          </cell>
          <cell r="R388" t="str">
            <v>EUR</v>
          </cell>
          <cell r="S388" t="str">
            <v>Local GAAP</v>
          </cell>
          <cell r="T388" t="str">
            <v>Twice per year</v>
          </cell>
          <cell r="U388" t="str">
            <v>Twice per year</v>
          </cell>
          <cell r="V388" t="str">
            <v>RICS</v>
          </cell>
          <cell r="X388" t="str">
            <v>Mazard &amp; Guarard</v>
          </cell>
          <cell r="Y388" t="str">
            <v>Closed Ended Fund</v>
          </cell>
          <cell r="Z388" t="str">
            <v>No</v>
          </cell>
          <cell r="AA388" t="str">
            <v>Yes</v>
          </cell>
          <cell r="AB388">
            <v>2</v>
          </cell>
          <cell r="AC388" t="str">
            <v>Non-Listed Fund</v>
          </cell>
          <cell r="AD388" t="str">
            <v>Value-added</v>
          </cell>
          <cell r="AE388" t="str">
            <v>finite</v>
          </cell>
          <cell r="AF388" t="str">
            <v>Closed end</v>
          </cell>
          <cell r="AG388">
            <v>12</v>
          </cell>
          <cell r="AH388">
            <v>12</v>
          </cell>
          <cell r="AI388" t="str">
            <v>Gross</v>
          </cell>
          <cell r="AJ388" t="str">
            <v>none</v>
          </cell>
          <cell r="AM388" t="str">
            <v>&gt; 40% - ≤ 60%</v>
          </cell>
          <cell r="AN388" t="str">
            <v>Institutional</v>
          </cell>
          <cell r="AO388" t="str">
            <v>&gt; 2</v>
          </cell>
          <cell r="AP388" t="str">
            <v>≥ 50%</v>
          </cell>
          <cell r="AQ388" t="str">
            <v>Europe</v>
          </cell>
          <cell r="AR388" t="str">
            <v>single country</v>
          </cell>
          <cell r="AT388" t="str">
            <v>Italy</v>
          </cell>
          <cell r="AU388" t="str">
            <v>multi sector</v>
          </cell>
          <cell r="AY388">
            <v>2005</v>
          </cell>
          <cell r="AZ388">
            <v>2017</v>
          </cell>
          <cell r="BA388" t="str">
            <v>Yes</v>
          </cell>
          <cell r="BB388" t="str">
            <v>Yes</v>
          </cell>
          <cell r="BC388" t="str">
            <v>3 years</v>
          </cell>
          <cell r="BH388" t="str">
            <v>2018-12-31</v>
          </cell>
          <cell r="BI388">
            <v>293869326</v>
          </cell>
          <cell r="BJ388">
            <v>293869326</v>
          </cell>
          <cell r="BK388">
            <v>207969436</v>
          </cell>
          <cell r="BL388">
            <v>207969436</v>
          </cell>
          <cell r="BM388">
            <v>26</v>
          </cell>
          <cell r="BN388" t="str">
            <v>No</v>
          </cell>
          <cell r="BO388" t="str">
            <v>External</v>
          </cell>
          <cell r="BP388">
            <v>15</v>
          </cell>
          <cell r="BQ388">
            <v>31</v>
          </cell>
          <cell r="BR388">
            <v>260700001</v>
          </cell>
          <cell r="BS388">
            <v>260700001</v>
          </cell>
          <cell r="BT388">
            <v>260700001</v>
          </cell>
          <cell r="BU388">
            <v>260700001</v>
          </cell>
          <cell r="BV388" t="str">
            <v>No</v>
          </cell>
          <cell r="BW388" t="str">
            <v>Italy</v>
          </cell>
          <cell r="BX388" t="str">
            <v>Retail</v>
          </cell>
          <cell r="BY388">
            <v>5</v>
          </cell>
          <cell r="BZ388" t="str">
            <v>Italy</v>
          </cell>
          <cell r="CA388" t="str">
            <v>Residential</v>
          </cell>
          <cell r="CB388">
            <v>43</v>
          </cell>
          <cell r="CC388" t="str">
            <v>Italy</v>
          </cell>
          <cell r="CD388" t="str">
            <v>Office</v>
          </cell>
          <cell r="CE388">
            <v>39</v>
          </cell>
          <cell r="CF388" t="str">
            <v>Italy</v>
          </cell>
          <cell r="CG388" t="str">
            <v>Other</v>
          </cell>
          <cell r="CH388">
            <v>7</v>
          </cell>
        </row>
        <row r="389">
          <cell r="A389">
            <v>17199</v>
          </cell>
          <cell r="B389" t="str">
            <v>PATRIZIA BüRO-INVEST EUROPA I</v>
          </cell>
          <cell r="C389" t="str">
            <v>PATRIZIA GEWERBEINVEST KVG MBH</v>
          </cell>
          <cell r="D389" t="str">
            <v>Burchardstraße 14</v>
          </cell>
          <cell r="E389">
            <v>20095</v>
          </cell>
          <cell r="F389" t="str">
            <v>Hamburg</v>
          </cell>
          <cell r="G389" t="str">
            <v>Germany</v>
          </cell>
          <cell r="H389" t="str">
            <v>+4940284067400</v>
          </cell>
          <cell r="I389" t="str">
            <v>+4940284067417</v>
          </cell>
          <cell r="J389" t="str">
            <v>http://www.patrizia.ag</v>
          </cell>
          <cell r="K389" t="str">
            <v>Kai Stolzenberg</v>
          </cell>
          <cell r="L389" t="str">
            <v>kai.stolzenberg@patrizia.ag</v>
          </cell>
          <cell r="M389" t="str">
            <v>+4940284067472</v>
          </cell>
          <cell r="N389" t="str">
            <v>Jochen Reith</v>
          </cell>
          <cell r="O389" t="str">
            <v>jochen.reith@patrizia.ag</v>
          </cell>
          <cell r="P389" t="str">
            <v>+4982150910667</v>
          </cell>
          <cell r="Q389" t="str">
            <v>Germany</v>
          </cell>
          <cell r="R389" t="str">
            <v>EUR</v>
          </cell>
          <cell r="S389" t="str">
            <v>KAGB</v>
          </cell>
          <cell r="T389" t="str">
            <v>Monthly</v>
          </cell>
          <cell r="U389" t="str">
            <v>Annually</v>
          </cell>
          <cell r="V389" t="str">
            <v>Other - mark to market</v>
          </cell>
          <cell r="W389" t="str">
            <v>KAGB</v>
          </cell>
          <cell r="X389" t="str">
            <v>Ernst &amp; Young GmbH</v>
          </cell>
          <cell r="Y389" t="str">
            <v>Spezialfonds</v>
          </cell>
          <cell r="Z389" t="str">
            <v>No</v>
          </cell>
          <cell r="AA389" t="str">
            <v>Yes</v>
          </cell>
          <cell r="AB389">
            <v>0</v>
          </cell>
          <cell r="AC389" t="str">
            <v>Non-Listed Fund</v>
          </cell>
          <cell r="AD389" t="str">
            <v>Core</v>
          </cell>
          <cell r="AE389" t="str">
            <v>infinite</v>
          </cell>
          <cell r="AF389" t="str">
            <v>Open end</v>
          </cell>
          <cell r="AK389">
            <v>5</v>
          </cell>
          <cell r="AL389">
            <v>50</v>
          </cell>
          <cell r="AM389" t="str">
            <v>&gt; 40% - ≤ 60%</v>
          </cell>
          <cell r="AN389" t="str">
            <v>Institutional</v>
          </cell>
          <cell r="AO389" t="str">
            <v>&gt; 2</v>
          </cell>
          <cell r="AP389" t="str">
            <v>≥ 50%</v>
          </cell>
          <cell r="AQ389" t="str">
            <v>Europe</v>
          </cell>
          <cell r="AR389" t="str">
            <v>multi country</v>
          </cell>
          <cell r="AS389" t="str">
            <v>Europe</v>
          </cell>
          <cell r="AU389" t="str">
            <v>single sector</v>
          </cell>
          <cell r="AV389" t="str">
            <v>Office</v>
          </cell>
          <cell r="AW389">
            <v>185000000</v>
          </cell>
          <cell r="AX389">
            <v>370000000</v>
          </cell>
          <cell r="AY389">
            <v>2004</v>
          </cell>
          <cell r="BB389" t="str">
            <v>No</v>
          </cell>
          <cell r="BD389" t="str">
            <v>No</v>
          </cell>
          <cell r="BE389" t="str">
            <v>≥ 60%</v>
          </cell>
          <cell r="BF389" t="str">
            <v>≤ 15%</v>
          </cell>
          <cell r="BG389" t="str">
            <v>≤ 5%</v>
          </cell>
          <cell r="BH389" t="str">
            <v>2020-12-31</v>
          </cell>
          <cell r="BI389">
            <v>8227792.7000000002</v>
          </cell>
          <cell r="BJ389">
            <v>8227792.7000000002</v>
          </cell>
          <cell r="BK389">
            <v>5278430.17</v>
          </cell>
          <cell r="BL389">
            <v>5278430.17</v>
          </cell>
          <cell r="BM389">
            <v>0</v>
          </cell>
          <cell r="BN389" t="str">
            <v>No</v>
          </cell>
          <cell r="BO389" t="str">
            <v>External</v>
          </cell>
          <cell r="BP389">
            <v>17</v>
          </cell>
          <cell r="BQ389">
            <v>0</v>
          </cell>
          <cell r="BR389">
            <v>16993472.48</v>
          </cell>
          <cell r="BS389">
            <v>16993472.48</v>
          </cell>
          <cell r="BT389">
            <v>16969739.670000002</v>
          </cell>
          <cell r="BU389">
            <v>16969739.670000002</v>
          </cell>
          <cell r="BV389" t="str">
            <v>No</v>
          </cell>
        </row>
        <row r="390">
          <cell r="A390">
            <v>18338</v>
          </cell>
          <cell r="B390" t="str">
            <v>PATRIZIA GEWERBE-IMMOBILIEN DEUTSCHLAND III</v>
          </cell>
          <cell r="C390" t="str">
            <v>PATRIZIA GEWERBEINVEST KVG MBH</v>
          </cell>
          <cell r="D390" t="str">
            <v>Burchardstrasse 14</v>
          </cell>
          <cell r="E390">
            <v>20095</v>
          </cell>
          <cell r="F390" t="str">
            <v>Hamburg</v>
          </cell>
          <cell r="G390" t="str">
            <v>Germany</v>
          </cell>
          <cell r="H390" t="str">
            <v>+4940284067400</v>
          </cell>
          <cell r="I390" t="str">
            <v>+4940284067417</v>
          </cell>
          <cell r="J390" t="str">
            <v>http://www.patrizia.ag</v>
          </cell>
          <cell r="K390" t="str">
            <v>Sandro Paul</v>
          </cell>
          <cell r="L390" t="str">
            <v>sandro.paul@patrizia.ag</v>
          </cell>
          <cell r="M390" t="str">
            <v>+4940284067168</v>
          </cell>
          <cell r="N390" t="str">
            <v>Jochen Reith</v>
          </cell>
          <cell r="O390" t="str">
            <v>jochen.reith@patrizia.ag</v>
          </cell>
          <cell r="P390" t="str">
            <v>+4982150910667</v>
          </cell>
          <cell r="Q390" t="str">
            <v>Germany</v>
          </cell>
          <cell r="R390" t="str">
            <v>EUR</v>
          </cell>
          <cell r="S390" t="str">
            <v>KAGB</v>
          </cell>
          <cell r="T390" t="str">
            <v>Monthly</v>
          </cell>
          <cell r="U390" t="str">
            <v>Annually</v>
          </cell>
          <cell r="V390" t="str">
            <v>Other - mark to market</v>
          </cell>
          <cell r="W390" t="str">
            <v>KAGB</v>
          </cell>
          <cell r="X390" t="str">
            <v>Ernst &amp; Young GmbH</v>
          </cell>
          <cell r="Y390" t="str">
            <v>Spezialfonds</v>
          </cell>
          <cell r="Z390" t="str">
            <v>No</v>
          </cell>
          <cell r="AA390" t="str">
            <v>Yes</v>
          </cell>
          <cell r="AB390">
            <v>0</v>
          </cell>
          <cell r="AC390" t="str">
            <v>Non-Listed Fund</v>
          </cell>
          <cell r="AD390" t="str">
            <v>Core</v>
          </cell>
          <cell r="AE390" t="str">
            <v>infinite</v>
          </cell>
          <cell r="AF390" t="str">
            <v>Open end</v>
          </cell>
          <cell r="AK390">
            <v>5</v>
          </cell>
          <cell r="AL390">
            <v>50</v>
          </cell>
          <cell r="AM390" t="str">
            <v>&gt; 40% - ≤ 60%</v>
          </cell>
          <cell r="AN390" t="str">
            <v>Institutional</v>
          </cell>
          <cell r="AO390" t="str">
            <v>&gt; 2</v>
          </cell>
          <cell r="AP390" t="str">
            <v>≥ 50%</v>
          </cell>
          <cell r="AQ390" t="str">
            <v>Europe</v>
          </cell>
          <cell r="AR390" t="str">
            <v>multi country</v>
          </cell>
          <cell r="AS390" t="str">
            <v>Europe</v>
          </cell>
          <cell r="AU390" t="str">
            <v>multi sector</v>
          </cell>
          <cell r="AW390">
            <v>300000000</v>
          </cell>
          <cell r="AX390">
            <v>600000000</v>
          </cell>
          <cell r="AY390">
            <v>2017</v>
          </cell>
          <cell r="BB390" t="str">
            <v>No</v>
          </cell>
          <cell r="BD390" t="str">
            <v>No</v>
          </cell>
          <cell r="BH390" t="str">
            <v>2020-12-31</v>
          </cell>
          <cell r="BI390">
            <v>678506042.33000004</v>
          </cell>
          <cell r="BJ390">
            <v>678506042.33000004</v>
          </cell>
          <cell r="BK390">
            <v>378612708.27999997</v>
          </cell>
          <cell r="BL390">
            <v>378612708.27999997</v>
          </cell>
          <cell r="BM390">
            <v>44.5</v>
          </cell>
          <cell r="BN390" t="str">
            <v>No</v>
          </cell>
          <cell r="BO390" t="str">
            <v>External</v>
          </cell>
          <cell r="BP390">
            <v>45</v>
          </cell>
          <cell r="BQ390">
            <v>24</v>
          </cell>
          <cell r="BR390">
            <v>400000000</v>
          </cell>
          <cell r="BS390">
            <v>400000000</v>
          </cell>
          <cell r="BT390">
            <v>347132771.14999998</v>
          </cell>
          <cell r="BU390">
            <v>347132771.14999998</v>
          </cell>
          <cell r="BV390" t="str">
            <v>No</v>
          </cell>
          <cell r="BW390" t="str">
            <v>Germany</v>
          </cell>
          <cell r="BX390" t="str">
            <v>Retail</v>
          </cell>
          <cell r="BY390">
            <v>15</v>
          </cell>
          <cell r="BZ390" t="str">
            <v>Germany</v>
          </cell>
          <cell r="CA390" t="str">
            <v>Office</v>
          </cell>
          <cell r="CB390">
            <v>80</v>
          </cell>
          <cell r="CC390" t="str">
            <v>Germany</v>
          </cell>
          <cell r="CD390" t="str">
            <v>Industrial / Logistics</v>
          </cell>
          <cell r="CE390">
            <v>5</v>
          </cell>
        </row>
        <row r="391">
          <cell r="A391">
            <v>19664</v>
          </cell>
          <cell r="B391" t="str">
            <v>PATRIZIA GEWERBE-IMMOBILIEN DEUTSCHLAND IV</v>
          </cell>
          <cell r="C391" t="str">
            <v>PATRIZIA IMMOBILIEN KVG MBH</v>
          </cell>
          <cell r="D391" t="str">
            <v>Burchardstraße 14</v>
          </cell>
          <cell r="E391">
            <v>20095</v>
          </cell>
          <cell r="F391" t="str">
            <v>Hamburg</v>
          </cell>
          <cell r="G391" t="str">
            <v>Germany</v>
          </cell>
          <cell r="Q391" t="str">
            <v>Germany</v>
          </cell>
          <cell r="R391" t="str">
            <v>EUR</v>
          </cell>
          <cell r="S391" t="str">
            <v>KAGB</v>
          </cell>
          <cell r="T391" t="str">
            <v>Monthly</v>
          </cell>
          <cell r="U391" t="str">
            <v>Annually</v>
          </cell>
          <cell r="V391" t="str">
            <v>ImmoWertV</v>
          </cell>
          <cell r="W391" t="str">
            <v>KAGB</v>
          </cell>
          <cell r="Y391" t="str">
            <v>Spezialfonds</v>
          </cell>
          <cell r="Z391" t="str">
            <v>No</v>
          </cell>
          <cell r="AA391" t="str">
            <v>No</v>
          </cell>
          <cell r="AB391">
            <v>0</v>
          </cell>
          <cell r="AC391" t="str">
            <v>Non-Listed Fund</v>
          </cell>
          <cell r="AD391" t="str">
            <v>Core</v>
          </cell>
          <cell r="AE391" t="str">
            <v>infinite</v>
          </cell>
          <cell r="AF391" t="str">
            <v>Open end</v>
          </cell>
          <cell r="AM391" t="str">
            <v>&gt; 40% - ≤ 60%</v>
          </cell>
          <cell r="AN391" t="str">
            <v>Institutional</v>
          </cell>
          <cell r="AO391" t="str">
            <v>&gt; 2</v>
          </cell>
          <cell r="AP391" t="str">
            <v>≥ 50%</v>
          </cell>
          <cell r="AQ391" t="str">
            <v>Europe</v>
          </cell>
          <cell r="AR391" t="str">
            <v>single country</v>
          </cell>
          <cell r="AT391" t="str">
            <v>Germany</v>
          </cell>
          <cell r="AU391" t="str">
            <v>multi sector</v>
          </cell>
          <cell r="AY391">
            <v>2021</v>
          </cell>
          <cell r="BH391" t="str">
            <v>2020-12-31</v>
          </cell>
          <cell r="BI391">
            <v>2721112.24</v>
          </cell>
          <cell r="BJ391">
            <v>2721112.24</v>
          </cell>
          <cell r="BK391">
            <v>2717678.24</v>
          </cell>
          <cell r="BL391">
            <v>2717678.24</v>
          </cell>
          <cell r="BM391">
            <v>0</v>
          </cell>
          <cell r="BN391" t="str">
            <v>No</v>
          </cell>
          <cell r="BO391" t="str">
            <v>External</v>
          </cell>
          <cell r="BP391">
            <v>6</v>
          </cell>
          <cell r="BQ391">
            <v>0</v>
          </cell>
          <cell r="BR391">
            <v>46500000</v>
          </cell>
          <cell r="BS391">
            <v>46500000</v>
          </cell>
          <cell r="BT391">
            <v>2718800</v>
          </cell>
          <cell r="BU391">
            <v>2718800</v>
          </cell>
          <cell r="BV391" t="str">
            <v>Yes</v>
          </cell>
        </row>
        <row r="392">
          <cell r="A392">
            <v>17219</v>
          </cell>
          <cell r="B392" t="str">
            <v>PATRIZIA HANDELS-INVEST DEUTSCHLAND I</v>
          </cell>
          <cell r="C392" t="str">
            <v>PATRIZIA GEWERBEINVEST KVG MBH</v>
          </cell>
          <cell r="D392" t="str">
            <v>Burchardstraße 14</v>
          </cell>
          <cell r="E392">
            <v>20095</v>
          </cell>
          <cell r="F392" t="str">
            <v>Hamburg</v>
          </cell>
          <cell r="G392" t="str">
            <v>Germany</v>
          </cell>
          <cell r="H392" t="str">
            <v>+4940284067400</v>
          </cell>
          <cell r="I392" t="str">
            <v>+4940284067417</v>
          </cell>
          <cell r="J392" t="str">
            <v>http://www.patrizia.ag</v>
          </cell>
          <cell r="K392" t="str">
            <v>Susanne Kreß</v>
          </cell>
          <cell r="L392" t="str">
            <v>Susanne.Kress@patrizia.ag</v>
          </cell>
          <cell r="M392" t="str">
            <v>+4940284067467</v>
          </cell>
          <cell r="N392" t="str">
            <v>Jochen Reith</v>
          </cell>
          <cell r="O392" t="str">
            <v>jochen.reith@patrizia.ag</v>
          </cell>
          <cell r="P392" t="str">
            <v>+4982150910667</v>
          </cell>
          <cell r="Q392" t="str">
            <v>Germany</v>
          </cell>
          <cell r="R392" t="str">
            <v>EUR</v>
          </cell>
          <cell r="S392" t="str">
            <v>KAGB</v>
          </cell>
          <cell r="T392" t="str">
            <v>Monthly</v>
          </cell>
          <cell r="U392" t="str">
            <v>Annually</v>
          </cell>
          <cell r="V392" t="str">
            <v>Other - mark to market</v>
          </cell>
          <cell r="W392" t="str">
            <v>KAGB</v>
          </cell>
          <cell r="X392" t="str">
            <v>Ernst &amp; Young GmbH</v>
          </cell>
          <cell r="Y392" t="str">
            <v>Spezialfonds</v>
          </cell>
          <cell r="Z392" t="str">
            <v>No</v>
          </cell>
          <cell r="AA392" t="str">
            <v>Yes</v>
          </cell>
          <cell r="AB392">
            <v>0</v>
          </cell>
          <cell r="AC392" t="str">
            <v>Non-Listed Fund</v>
          </cell>
          <cell r="AD392" t="str">
            <v>Core</v>
          </cell>
          <cell r="AE392" t="str">
            <v>infinite</v>
          </cell>
          <cell r="AF392" t="str">
            <v>Open end</v>
          </cell>
          <cell r="AK392">
            <v>6</v>
          </cell>
          <cell r="AL392">
            <v>50</v>
          </cell>
          <cell r="AM392" t="str">
            <v>&gt; 40% - ≤ 60%</v>
          </cell>
          <cell r="AN392" t="str">
            <v>Institutional</v>
          </cell>
          <cell r="AO392" t="str">
            <v>&gt; 2</v>
          </cell>
          <cell r="AP392" t="str">
            <v>≥ 50%</v>
          </cell>
          <cell r="AQ392" t="str">
            <v>Europe</v>
          </cell>
          <cell r="AR392" t="str">
            <v>single country</v>
          </cell>
          <cell r="AT392" t="str">
            <v>Germany</v>
          </cell>
          <cell r="AU392" t="str">
            <v>single sector</v>
          </cell>
          <cell r="AV392" t="str">
            <v>Retail</v>
          </cell>
          <cell r="AW392">
            <v>199000000</v>
          </cell>
          <cell r="AX392">
            <v>398000000</v>
          </cell>
          <cell r="AY392">
            <v>2002</v>
          </cell>
          <cell r="BB392" t="str">
            <v>No</v>
          </cell>
          <cell r="BD392" t="str">
            <v>No</v>
          </cell>
          <cell r="BE392" t="str">
            <v>≥ 60%</v>
          </cell>
          <cell r="BF392" t="str">
            <v>≤ 15%</v>
          </cell>
          <cell r="BG392" t="str">
            <v>≤ 5%</v>
          </cell>
          <cell r="BH392" t="str">
            <v>2020-12-31</v>
          </cell>
          <cell r="BI392">
            <v>459044755</v>
          </cell>
          <cell r="BJ392">
            <v>459044755</v>
          </cell>
          <cell r="BK392">
            <v>242330964</v>
          </cell>
          <cell r="BL392">
            <v>242330964</v>
          </cell>
          <cell r="BM392">
            <v>48.5</v>
          </cell>
          <cell r="BN392" t="str">
            <v>No</v>
          </cell>
          <cell r="BO392" t="str">
            <v>External</v>
          </cell>
          <cell r="BP392">
            <v>28</v>
          </cell>
          <cell r="BQ392">
            <v>21</v>
          </cell>
          <cell r="BR392">
            <v>250615550</v>
          </cell>
          <cell r="BS392">
            <v>250615550</v>
          </cell>
          <cell r="BT392">
            <v>244750500.19999999</v>
          </cell>
          <cell r="BU392">
            <v>244750500.19999999</v>
          </cell>
          <cell r="BV392" t="str">
            <v>No</v>
          </cell>
          <cell r="BW392" t="str">
            <v>Germany</v>
          </cell>
          <cell r="BX392" t="str">
            <v>Retail</v>
          </cell>
          <cell r="BY392">
            <v>100</v>
          </cell>
        </row>
        <row r="393">
          <cell r="A393">
            <v>17198</v>
          </cell>
          <cell r="B393" t="str">
            <v xml:space="preserve">PATRIZIA HANDELS-INVEST EUROPA I </v>
          </cell>
          <cell r="C393" t="str">
            <v>PATRIZIA GEWERBEINVEST KVG MBH</v>
          </cell>
          <cell r="D393" t="str">
            <v>Burchardstrasse 14</v>
          </cell>
          <cell r="E393">
            <v>20095</v>
          </cell>
          <cell r="F393" t="str">
            <v>Hamburg</v>
          </cell>
          <cell r="G393" t="str">
            <v>Germany</v>
          </cell>
          <cell r="H393" t="str">
            <v>+4940284067400</v>
          </cell>
          <cell r="I393" t="str">
            <v>+4940284067417</v>
          </cell>
          <cell r="J393" t="str">
            <v>http://www.patrizia.ag</v>
          </cell>
          <cell r="K393" t="str">
            <v>Susanne Kreß</v>
          </cell>
          <cell r="L393" t="str">
            <v>susanne.kress@patrizia.ag</v>
          </cell>
          <cell r="M393" t="str">
            <v>+4940284067467</v>
          </cell>
          <cell r="N393" t="str">
            <v>Jochen Reith</v>
          </cell>
          <cell r="O393" t="str">
            <v>jochen.reith@patrizia.ag</v>
          </cell>
          <cell r="P393" t="str">
            <v>+4982150910667</v>
          </cell>
          <cell r="Q393" t="str">
            <v>Germany</v>
          </cell>
          <cell r="R393" t="str">
            <v>EUR</v>
          </cell>
          <cell r="S393" t="str">
            <v>KAGB</v>
          </cell>
          <cell r="T393" t="str">
            <v>Monthly</v>
          </cell>
          <cell r="U393" t="str">
            <v>Annually</v>
          </cell>
          <cell r="V393" t="str">
            <v>Other - mark to market</v>
          </cell>
          <cell r="W393" t="str">
            <v>KAGB</v>
          </cell>
          <cell r="X393" t="str">
            <v>Ernst &amp; Young GmbH</v>
          </cell>
          <cell r="Y393" t="str">
            <v>Spezialfonds</v>
          </cell>
          <cell r="Z393" t="str">
            <v>No</v>
          </cell>
          <cell r="AA393" t="str">
            <v>Yes</v>
          </cell>
          <cell r="AB393">
            <v>0</v>
          </cell>
          <cell r="AC393" t="str">
            <v>Non-Listed Fund</v>
          </cell>
          <cell r="AD393" t="str">
            <v>Core</v>
          </cell>
          <cell r="AE393" t="str">
            <v>infinite</v>
          </cell>
          <cell r="AF393" t="str">
            <v>Open end</v>
          </cell>
          <cell r="AK393">
            <v>5.25</v>
          </cell>
          <cell r="AL393">
            <v>50</v>
          </cell>
          <cell r="AM393" t="str">
            <v>&gt; 40% - ≤ 60%</v>
          </cell>
          <cell r="AN393" t="str">
            <v>Institutional</v>
          </cell>
          <cell r="AO393" t="str">
            <v>&gt; 2</v>
          </cell>
          <cell r="AP393" t="str">
            <v>≥ 50%</v>
          </cell>
          <cell r="AQ393" t="str">
            <v>Europe</v>
          </cell>
          <cell r="AR393" t="str">
            <v>multi country</v>
          </cell>
          <cell r="AS393" t="str">
            <v>Europe</v>
          </cell>
          <cell r="AU393" t="str">
            <v>single sector</v>
          </cell>
          <cell r="AV393" t="str">
            <v>Retail</v>
          </cell>
          <cell r="AW393">
            <v>300000000</v>
          </cell>
          <cell r="AX393">
            <v>600000000</v>
          </cell>
          <cell r="AY393">
            <v>2005</v>
          </cell>
          <cell r="BB393" t="str">
            <v>No</v>
          </cell>
          <cell r="BD393" t="str">
            <v>No</v>
          </cell>
          <cell r="BE393" t="str">
            <v>≥ 60%</v>
          </cell>
          <cell r="BF393" t="str">
            <v>≤ 15%</v>
          </cell>
          <cell r="BG393" t="str">
            <v>≤ 5%</v>
          </cell>
          <cell r="BH393" t="str">
            <v>2020-12-31</v>
          </cell>
          <cell r="BI393">
            <v>250400493</v>
          </cell>
          <cell r="BJ393">
            <v>250400493</v>
          </cell>
          <cell r="BK393">
            <v>154586554</v>
          </cell>
          <cell r="BL393">
            <v>154586554</v>
          </cell>
          <cell r="BM393">
            <v>48.5</v>
          </cell>
          <cell r="BN393" t="str">
            <v>No</v>
          </cell>
          <cell r="BO393" t="str">
            <v>External</v>
          </cell>
          <cell r="BP393">
            <v>14</v>
          </cell>
          <cell r="BQ393">
            <v>18</v>
          </cell>
          <cell r="BR393">
            <v>170000020</v>
          </cell>
          <cell r="BS393">
            <v>170000020</v>
          </cell>
          <cell r="BT393">
            <v>162662923.13999999</v>
          </cell>
          <cell r="BU393">
            <v>162662923.13999999</v>
          </cell>
          <cell r="BV393" t="str">
            <v>No</v>
          </cell>
          <cell r="BW393" t="str">
            <v>Finland</v>
          </cell>
          <cell r="BX393" t="str">
            <v>Industrial / Logistics</v>
          </cell>
          <cell r="BY393">
            <v>7</v>
          </cell>
          <cell r="BZ393" t="str">
            <v>United Kingdom</v>
          </cell>
          <cell r="CA393" t="str">
            <v>Retail</v>
          </cell>
          <cell r="CB393">
            <v>7</v>
          </cell>
          <cell r="CC393" t="str">
            <v>Denmark</v>
          </cell>
          <cell r="CD393" t="str">
            <v>Retail</v>
          </cell>
          <cell r="CE393">
            <v>7</v>
          </cell>
          <cell r="CF393" t="str">
            <v>Sweden</v>
          </cell>
          <cell r="CG393" t="str">
            <v>Retail</v>
          </cell>
          <cell r="CH393">
            <v>12</v>
          </cell>
          <cell r="CI393" t="str">
            <v>Netherlands</v>
          </cell>
          <cell r="CJ393" t="str">
            <v>Retail</v>
          </cell>
          <cell r="CK393">
            <v>28</v>
          </cell>
          <cell r="CL393" t="str">
            <v>Germany</v>
          </cell>
          <cell r="CM393" t="str">
            <v>Retail</v>
          </cell>
          <cell r="CN393">
            <v>39</v>
          </cell>
        </row>
        <row r="394">
          <cell r="A394">
            <v>386</v>
          </cell>
          <cell r="B394" t="str">
            <v>PATRIZIA HANOVER PROPERTY UNIT TRUST</v>
          </cell>
          <cell r="C394" t="str">
            <v>ROCKSPRING PROPERTY INVESTMENT MANAGERS LLP</v>
          </cell>
          <cell r="D394" t="str">
            <v>166 Sloane Street</v>
          </cell>
          <cell r="E394" t="str">
            <v>SW1X 9QF</v>
          </cell>
          <cell r="F394" t="str">
            <v>London</v>
          </cell>
          <cell r="G394" t="str">
            <v>United Kingdom</v>
          </cell>
          <cell r="H394" t="str">
            <v>+44 (0) 20 7761 3300</v>
          </cell>
          <cell r="I394" t="str">
            <v>+44 (0) 20 7761 3400</v>
          </cell>
          <cell r="J394" t="str">
            <v>http://www.rockspringpim.com</v>
          </cell>
          <cell r="N394" t="str">
            <v>Kathryn Dixon</v>
          </cell>
          <cell r="O394" t="str">
            <v>kathryn.dixon@rockspringpim.com</v>
          </cell>
          <cell r="P394" t="str">
            <v>+44 (0) 20 7761 3400</v>
          </cell>
          <cell r="Q394" t="str">
            <v>Jersey</v>
          </cell>
          <cell r="R394" t="str">
            <v>GBP</v>
          </cell>
          <cell r="T394" t="str">
            <v>Quarterly</v>
          </cell>
          <cell r="U394" t="str">
            <v>Quarterly</v>
          </cell>
          <cell r="V394" t="str">
            <v>RICS</v>
          </cell>
          <cell r="W394" t="str">
            <v>AREF</v>
          </cell>
          <cell r="X394" t="str">
            <v>Deloitte</v>
          </cell>
          <cell r="Y394" t="str">
            <v>Property Unit Trust</v>
          </cell>
          <cell r="Z394" t="str">
            <v>No</v>
          </cell>
          <cell r="AA394" t="str">
            <v>Yes</v>
          </cell>
          <cell r="AB394">
            <v>4</v>
          </cell>
          <cell r="AC394" t="str">
            <v>Non-Listed Fund</v>
          </cell>
          <cell r="AD394" t="str">
            <v>Core</v>
          </cell>
          <cell r="AE394" t="str">
            <v>infinite</v>
          </cell>
          <cell r="AF394" t="str">
            <v>Open end</v>
          </cell>
          <cell r="AJ394" t="str">
            <v>IPD Other Balanced Property Funds Index</v>
          </cell>
          <cell r="AM394" t="str">
            <v>&gt; 40% - ≤ 60%</v>
          </cell>
          <cell r="AN394" t="str">
            <v>Institutional</v>
          </cell>
          <cell r="AO394" t="str">
            <v>&gt; 2</v>
          </cell>
          <cell r="AP394" t="str">
            <v>≥ 50%</v>
          </cell>
          <cell r="AQ394" t="str">
            <v>Europe</v>
          </cell>
          <cell r="AR394" t="str">
            <v>single country</v>
          </cell>
          <cell r="AT394" t="str">
            <v>United Kingdom</v>
          </cell>
          <cell r="AU394" t="str">
            <v>multi sector</v>
          </cell>
          <cell r="AY394">
            <v>1967</v>
          </cell>
          <cell r="BD394" t="str">
            <v>Yes</v>
          </cell>
          <cell r="BH394" t="str">
            <v>2020-12-31</v>
          </cell>
          <cell r="BI394">
            <v>535080031.89999998</v>
          </cell>
          <cell r="BJ394">
            <v>591557245.01961613</v>
          </cell>
          <cell r="BK394">
            <v>487617521</v>
          </cell>
          <cell r="BL394">
            <v>539085109.04769349</v>
          </cell>
          <cell r="BM394">
            <v>7.2</v>
          </cell>
          <cell r="BN394" t="str">
            <v>Yes</v>
          </cell>
          <cell r="BO394" t="str">
            <v>External</v>
          </cell>
          <cell r="BP394">
            <v>51</v>
          </cell>
          <cell r="BQ394">
            <v>22</v>
          </cell>
          <cell r="BR394">
            <v>515556423</v>
          </cell>
          <cell r="BS394">
            <v>566057503.45276833</v>
          </cell>
          <cell r="BT394">
            <v>515420688</v>
          </cell>
          <cell r="BU394">
            <v>565908472.59638977</v>
          </cell>
          <cell r="BV394" t="str">
            <v>No</v>
          </cell>
          <cell r="BW394" t="str">
            <v>United Kingdom</v>
          </cell>
          <cell r="BX394" t="str">
            <v>Hotel</v>
          </cell>
          <cell r="BY394">
            <v>5.4</v>
          </cell>
          <cell r="BZ394" t="str">
            <v>United Kingdom</v>
          </cell>
          <cell r="CA394" t="str">
            <v>Industrial / Logistics</v>
          </cell>
          <cell r="CB394">
            <v>47.9</v>
          </cell>
          <cell r="CC394" t="str">
            <v>United Kingdom</v>
          </cell>
          <cell r="CD394" t="str">
            <v>Retail</v>
          </cell>
          <cell r="CE394">
            <v>14</v>
          </cell>
          <cell r="CF394" t="str">
            <v>United Kingdom</v>
          </cell>
          <cell r="CG394" t="str">
            <v>Office</v>
          </cell>
          <cell r="CH394">
            <v>29.4</v>
          </cell>
        </row>
        <row r="395">
          <cell r="A395">
            <v>18566</v>
          </cell>
          <cell r="B395" t="str">
            <v>PATRIZIA LOGISTIK-INVEST EUROPA II</v>
          </cell>
          <cell r="C395" t="str">
            <v>PATRIZIA GEWERBEINVEST KVG MBH</v>
          </cell>
          <cell r="D395" t="str">
            <v>Burchardstraße 14</v>
          </cell>
          <cell r="E395">
            <v>20095</v>
          </cell>
          <cell r="F395" t="str">
            <v>Hamburg</v>
          </cell>
          <cell r="G395" t="str">
            <v>Germany</v>
          </cell>
          <cell r="H395" t="str">
            <v>+ 49 40 284067 - 400</v>
          </cell>
          <cell r="I395" t="str">
            <v>+ 49 40 284067 - 417</v>
          </cell>
          <cell r="J395" t="str">
            <v>https://www.patrizia.ag/</v>
          </cell>
          <cell r="K395" t="str">
            <v>Nicolai Soltau</v>
          </cell>
          <cell r="L395" t="str">
            <v>nicolai.soltau@patrizia.ag</v>
          </cell>
          <cell r="M395" t="str">
            <v>+ 49 40 284067 - 438</v>
          </cell>
          <cell r="N395" t="str">
            <v>Jochen Reith</v>
          </cell>
          <cell r="O395" t="str">
            <v>jochen.reith@patrizia.ag</v>
          </cell>
          <cell r="P395" t="str">
            <v>+ 49 821 50910 - 667</v>
          </cell>
          <cell r="Q395" t="str">
            <v>Germany</v>
          </cell>
          <cell r="R395" t="str">
            <v>EUR</v>
          </cell>
          <cell r="S395" t="str">
            <v>KAGB</v>
          </cell>
          <cell r="T395" t="str">
            <v>Monthly</v>
          </cell>
          <cell r="U395" t="str">
            <v>Annually</v>
          </cell>
          <cell r="V395" t="str">
            <v>Other - mark to market</v>
          </cell>
          <cell r="W395" t="str">
            <v>KAGB</v>
          </cell>
          <cell r="Y395" t="str">
            <v>Spezialfonds</v>
          </cell>
          <cell r="Z395" t="str">
            <v>No</v>
          </cell>
          <cell r="AC395" t="str">
            <v>Non-Listed Fund</v>
          </cell>
          <cell r="AD395" t="str">
            <v>Core</v>
          </cell>
          <cell r="AE395" t="str">
            <v>infinite</v>
          </cell>
          <cell r="AF395" t="str">
            <v>Open end</v>
          </cell>
          <cell r="AK395">
            <v>5</v>
          </cell>
          <cell r="AM395" t="str">
            <v>&gt; 40% - ≤ 60%</v>
          </cell>
          <cell r="AN395" t="str">
            <v>Institutional</v>
          </cell>
          <cell r="AO395" t="str">
            <v>&gt; 2</v>
          </cell>
          <cell r="AP395" t="str">
            <v>≥ 50%</v>
          </cell>
          <cell r="AQ395" t="str">
            <v>Europe</v>
          </cell>
          <cell r="AR395" t="str">
            <v>multi country</v>
          </cell>
          <cell r="AS395" t="str">
            <v>Europe</v>
          </cell>
          <cell r="AU395" t="str">
            <v>single sector</v>
          </cell>
          <cell r="AV395" t="str">
            <v>Industrial / Logistics</v>
          </cell>
          <cell r="AW395">
            <v>350000000</v>
          </cell>
          <cell r="AX395">
            <v>700000000</v>
          </cell>
          <cell r="AY395">
            <v>2018</v>
          </cell>
          <cell r="BH395" t="str">
            <v>2020-12-31</v>
          </cell>
          <cell r="BI395">
            <v>729384215.18851101</v>
          </cell>
          <cell r="BJ395">
            <v>729384215.18851101</v>
          </cell>
          <cell r="BK395">
            <v>460310074</v>
          </cell>
          <cell r="BL395">
            <v>460310074</v>
          </cell>
          <cell r="BM395">
            <v>47</v>
          </cell>
          <cell r="BN395" t="str">
            <v>No</v>
          </cell>
          <cell r="BO395" t="str">
            <v>External</v>
          </cell>
          <cell r="BP395">
            <v>48</v>
          </cell>
          <cell r="BQ395">
            <v>55</v>
          </cell>
          <cell r="BR395">
            <v>449997749.16000003</v>
          </cell>
          <cell r="BS395">
            <v>449997749.16000003</v>
          </cell>
          <cell r="BT395">
            <v>449997318.86000001</v>
          </cell>
          <cell r="BU395">
            <v>449997318.86000001</v>
          </cell>
          <cell r="BV395" t="str">
            <v>No</v>
          </cell>
          <cell r="BW395" t="str">
            <v>France</v>
          </cell>
          <cell r="BX395" t="str">
            <v>Industrial / Logistics</v>
          </cell>
          <cell r="BY395">
            <v>31</v>
          </cell>
          <cell r="BZ395" t="str">
            <v>Netherlands</v>
          </cell>
          <cell r="CA395" t="str">
            <v>Industrial / Logistics</v>
          </cell>
          <cell r="CB395">
            <v>32</v>
          </cell>
          <cell r="CC395" t="str">
            <v>Germany</v>
          </cell>
          <cell r="CD395" t="str">
            <v>Industrial / Logistics</v>
          </cell>
          <cell r="CE395">
            <v>19</v>
          </cell>
          <cell r="CF395" t="str">
            <v>Italy</v>
          </cell>
          <cell r="CG395" t="str">
            <v>Industrial / Logistics</v>
          </cell>
          <cell r="CH395">
            <v>13</v>
          </cell>
          <cell r="CI395" t="str">
            <v>Spain</v>
          </cell>
          <cell r="CJ395" t="str">
            <v>Industrial / Logistics</v>
          </cell>
          <cell r="CK395">
            <v>5</v>
          </cell>
        </row>
        <row r="396">
          <cell r="A396">
            <v>19663</v>
          </cell>
          <cell r="B396" t="str">
            <v>PATRIZIA LOGISTIK-INVEST EUROPA III</v>
          </cell>
          <cell r="C396" t="str">
            <v>PATRIZIA GEWERBEINVEST KVG MBH</v>
          </cell>
          <cell r="D396" t="str">
            <v>Burchardstraße 14</v>
          </cell>
          <cell r="E396">
            <v>20095</v>
          </cell>
          <cell r="F396" t="str">
            <v>Hamburg</v>
          </cell>
          <cell r="G396" t="str">
            <v>Germany</v>
          </cell>
          <cell r="Q396" t="str">
            <v>Germany</v>
          </cell>
          <cell r="R396" t="str">
            <v>EUR</v>
          </cell>
          <cell r="S396" t="str">
            <v>KAGB</v>
          </cell>
          <cell r="T396" t="str">
            <v>Monthly</v>
          </cell>
          <cell r="U396" t="str">
            <v>Annually</v>
          </cell>
          <cell r="V396" t="str">
            <v>ImmoWertV</v>
          </cell>
          <cell r="W396" t="str">
            <v>KAGB</v>
          </cell>
          <cell r="X396" t="str">
            <v>KPMG</v>
          </cell>
          <cell r="Y396" t="str">
            <v>Investment Fund</v>
          </cell>
          <cell r="Z396" t="str">
            <v>No</v>
          </cell>
          <cell r="AA396" t="str">
            <v>Yes</v>
          </cell>
          <cell r="AB396">
            <v>0</v>
          </cell>
          <cell r="AC396" t="str">
            <v>Non-Listed Fund</v>
          </cell>
          <cell r="AD396" t="str">
            <v>Core</v>
          </cell>
          <cell r="AE396" t="str">
            <v>infinite</v>
          </cell>
          <cell r="AF396" t="str">
            <v>Open end</v>
          </cell>
          <cell r="AM396" t="str">
            <v>&gt; 40% - ≤ 60%</v>
          </cell>
          <cell r="AN396" t="str">
            <v>Institutional</v>
          </cell>
          <cell r="AO396" t="str">
            <v>&gt; 2</v>
          </cell>
          <cell r="AP396" t="str">
            <v>≥ 50%</v>
          </cell>
          <cell r="AQ396" t="str">
            <v>Europe</v>
          </cell>
          <cell r="AR396" t="str">
            <v>multi country</v>
          </cell>
          <cell r="AS396" t="str">
            <v>Europe</v>
          </cell>
          <cell r="AU396" t="str">
            <v>single sector</v>
          </cell>
          <cell r="AV396" t="str">
            <v>Industrial / Logistics</v>
          </cell>
          <cell r="AY396">
            <v>2021</v>
          </cell>
          <cell r="BD396" t="str">
            <v>No</v>
          </cell>
          <cell r="BH396" t="str">
            <v>2020-12-31</v>
          </cell>
          <cell r="BI396">
            <v>17174745</v>
          </cell>
          <cell r="BJ396">
            <v>17174745</v>
          </cell>
          <cell r="BK396">
            <v>17045457</v>
          </cell>
          <cell r="BL396">
            <v>17045457</v>
          </cell>
          <cell r="BM396">
            <v>0</v>
          </cell>
          <cell r="BN396" t="str">
            <v>No</v>
          </cell>
          <cell r="BO396" t="str">
            <v>External</v>
          </cell>
          <cell r="BP396">
            <v>9</v>
          </cell>
          <cell r="BQ396">
            <v>0</v>
          </cell>
          <cell r="BR396">
            <v>110000000</v>
          </cell>
          <cell r="BS396">
            <v>110000000</v>
          </cell>
          <cell r="BT396">
            <v>17026350.420000002</v>
          </cell>
          <cell r="BU396">
            <v>17026350.420000002</v>
          </cell>
          <cell r="BV396" t="str">
            <v>Yes</v>
          </cell>
        </row>
        <row r="397">
          <cell r="A397">
            <v>387</v>
          </cell>
          <cell r="B397" t="str">
            <v>PATRIZIA PANEUROPEAN PROPERTY LIMITED PARTNERSHIP</v>
          </cell>
          <cell r="C397" t="str">
            <v>ROCKSPRING PROPERTY INVESTMENT MANAGERS LLP</v>
          </cell>
          <cell r="D397" t="str">
            <v>166 Sloane Street</v>
          </cell>
          <cell r="E397" t="str">
            <v>SW1X 9QF</v>
          </cell>
          <cell r="F397" t="str">
            <v>London</v>
          </cell>
          <cell r="G397" t="str">
            <v>United Kingdom</v>
          </cell>
          <cell r="H397" t="str">
            <v>+442077613300</v>
          </cell>
          <cell r="I397" t="str">
            <v>+442077613400</v>
          </cell>
          <cell r="J397" t="str">
            <v>http://www.rockspringpim.com</v>
          </cell>
          <cell r="K397" t="str">
            <v>Flavio Casero</v>
          </cell>
          <cell r="L397" t="str">
            <v>flavio.casero@rockspringpim.com</v>
          </cell>
          <cell r="M397" t="str">
            <v>+442077613300</v>
          </cell>
          <cell r="N397" t="str">
            <v>Kathryn Dixon</v>
          </cell>
          <cell r="O397" t="str">
            <v>kathryn.dixon@rockspringpim.com</v>
          </cell>
          <cell r="P397" t="str">
            <v>+442077613400</v>
          </cell>
          <cell r="Q397" t="str">
            <v>United Kingdom</v>
          </cell>
          <cell r="R397" t="str">
            <v>EUR</v>
          </cell>
          <cell r="S397" t="str">
            <v>IFRS</v>
          </cell>
          <cell r="T397" t="str">
            <v>Quarterly</v>
          </cell>
          <cell r="U397" t="str">
            <v>Quarterly</v>
          </cell>
          <cell r="V397" t="str">
            <v>RICS</v>
          </cell>
          <cell r="W397" t="str">
            <v>Adjusted INREV NAV</v>
          </cell>
          <cell r="Y397" t="str">
            <v>Limited Partnership</v>
          </cell>
          <cell r="Z397" t="str">
            <v>Yes</v>
          </cell>
          <cell r="AB397">
            <v>4</v>
          </cell>
          <cell r="AC397" t="str">
            <v>Non-Listed Fund</v>
          </cell>
          <cell r="AD397" t="str">
            <v>Core</v>
          </cell>
          <cell r="AE397" t="str">
            <v>infinite</v>
          </cell>
          <cell r="AF397" t="str">
            <v>Open end</v>
          </cell>
          <cell r="AG397">
            <v>9</v>
          </cell>
          <cell r="AH397">
            <v>9</v>
          </cell>
          <cell r="AM397" t="str">
            <v>&gt; 40% - ≤ 60%</v>
          </cell>
          <cell r="AN397" t="str">
            <v>Institutional</v>
          </cell>
          <cell r="AO397" t="str">
            <v>&gt; 2</v>
          </cell>
          <cell r="AP397" t="str">
            <v>≥ 50%</v>
          </cell>
          <cell r="AQ397" t="str">
            <v>Europe</v>
          </cell>
          <cell r="AR397" t="str">
            <v>multi country</v>
          </cell>
          <cell r="AS397" t="str">
            <v>Europe</v>
          </cell>
          <cell r="AU397" t="str">
            <v>multi sector</v>
          </cell>
          <cell r="AY397">
            <v>1973</v>
          </cell>
          <cell r="BE397" t="str">
            <v>≥ 60%</v>
          </cell>
          <cell r="BF397" t="str">
            <v>≤ 15%</v>
          </cell>
          <cell r="BG397" t="str">
            <v>≤ 5%</v>
          </cell>
          <cell r="BH397" t="str">
            <v>2020-12-31</v>
          </cell>
          <cell r="BI397">
            <v>720085912</v>
          </cell>
          <cell r="BJ397">
            <v>720085912</v>
          </cell>
          <cell r="BK397">
            <v>538743749</v>
          </cell>
          <cell r="BL397">
            <v>538743749</v>
          </cell>
          <cell r="BM397">
            <v>20.95</v>
          </cell>
          <cell r="BN397" t="str">
            <v>No</v>
          </cell>
          <cell r="BO397" t="str">
            <v>External</v>
          </cell>
          <cell r="BP397">
            <v>16</v>
          </cell>
          <cell r="BQ397">
            <v>12</v>
          </cell>
          <cell r="BR397">
            <v>413747299</v>
          </cell>
          <cell r="BS397">
            <v>413747299</v>
          </cell>
          <cell r="BT397">
            <v>415257621</v>
          </cell>
          <cell r="BU397">
            <v>415257621</v>
          </cell>
          <cell r="BV397" t="str">
            <v>Yes</v>
          </cell>
          <cell r="BW397" t="str">
            <v>France</v>
          </cell>
          <cell r="BX397" t="str">
            <v>Industrial / Logistics</v>
          </cell>
          <cell r="BY397">
            <v>3.3</v>
          </cell>
          <cell r="BZ397" t="str">
            <v>France</v>
          </cell>
          <cell r="CA397" t="str">
            <v>Retail</v>
          </cell>
          <cell r="CB397">
            <v>2.9</v>
          </cell>
          <cell r="CC397" t="str">
            <v>Germany</v>
          </cell>
          <cell r="CD397" t="str">
            <v>Office</v>
          </cell>
          <cell r="CE397">
            <v>18.8</v>
          </cell>
          <cell r="CF397" t="str">
            <v>Netherlands</v>
          </cell>
          <cell r="CG397" t="str">
            <v>Industrial / Logistics</v>
          </cell>
          <cell r="CH397">
            <v>8</v>
          </cell>
          <cell r="CI397" t="str">
            <v>Netherlands</v>
          </cell>
          <cell r="CJ397" t="str">
            <v>Office</v>
          </cell>
          <cell r="CK397">
            <v>20.5</v>
          </cell>
          <cell r="CL397" t="str">
            <v>Germany</v>
          </cell>
          <cell r="CM397" t="str">
            <v>Retail</v>
          </cell>
          <cell r="CN397">
            <v>17.8</v>
          </cell>
          <cell r="CO397" t="str">
            <v>Luxembourg</v>
          </cell>
          <cell r="CP397" t="str">
            <v>Office</v>
          </cell>
          <cell r="CQ397">
            <v>11.8</v>
          </cell>
        </row>
        <row r="398">
          <cell r="A398">
            <v>17750</v>
          </cell>
          <cell r="B398" t="str">
            <v>PATRIZIA SELF-STORAGE I</v>
          </cell>
          <cell r="C398" t="str">
            <v>PATRIZIA GEWERBEINVEST KVG MBH</v>
          </cell>
          <cell r="D398" t="str">
            <v>Burchardstraße 14</v>
          </cell>
          <cell r="E398">
            <v>20095</v>
          </cell>
          <cell r="F398" t="str">
            <v>Hamburg</v>
          </cell>
          <cell r="G398" t="str">
            <v>Germany</v>
          </cell>
          <cell r="H398" t="str">
            <v>+ 49 40 284067 - 0</v>
          </cell>
          <cell r="I398" t="str">
            <v>+ 49 40 284067 - 417</v>
          </cell>
          <cell r="J398" t="str">
            <v>https://www.patrizia.ag/</v>
          </cell>
          <cell r="K398" t="str">
            <v>Jan-Hendrik Jessen</v>
          </cell>
          <cell r="L398" t="str">
            <v>jan-hendrik.jessen@patrizia.ag</v>
          </cell>
          <cell r="M398" t="str">
            <v>+4940284067461</v>
          </cell>
          <cell r="N398" t="str">
            <v>Jochen Reith</v>
          </cell>
          <cell r="O398" t="str">
            <v>jochen.reith@patrizia.ag</v>
          </cell>
          <cell r="P398" t="str">
            <v>+4982150910667</v>
          </cell>
          <cell r="Q398" t="str">
            <v>Germany</v>
          </cell>
          <cell r="R398" t="str">
            <v>EUR</v>
          </cell>
          <cell r="S398" t="str">
            <v>KAGB</v>
          </cell>
          <cell r="T398" t="str">
            <v>Monthly</v>
          </cell>
          <cell r="U398" t="str">
            <v>Annually</v>
          </cell>
          <cell r="V398" t="str">
            <v>ImmoWertV</v>
          </cell>
          <cell r="W398" t="str">
            <v>KAGB</v>
          </cell>
          <cell r="X398" t="str">
            <v>Ernst &amp; Young GmbH</v>
          </cell>
          <cell r="Y398" t="str">
            <v>Spezialfonds</v>
          </cell>
          <cell r="Z398" t="str">
            <v>No</v>
          </cell>
          <cell r="AA398" t="str">
            <v>Yes</v>
          </cell>
          <cell r="AB398">
            <v>0</v>
          </cell>
          <cell r="AC398" t="str">
            <v>Non-Listed Fund</v>
          </cell>
          <cell r="AD398" t="str">
            <v>Core</v>
          </cell>
          <cell r="AE398" t="str">
            <v>infinite</v>
          </cell>
          <cell r="AF398" t="str">
            <v>Open end</v>
          </cell>
          <cell r="AK398">
            <v>4</v>
          </cell>
          <cell r="AM398" t="str">
            <v>≤ 40%</v>
          </cell>
          <cell r="AN398" t="str">
            <v>Institutional</v>
          </cell>
          <cell r="AO398" t="str">
            <v>&gt; 2</v>
          </cell>
          <cell r="AP398" t="str">
            <v>≥ 50%</v>
          </cell>
          <cell r="AQ398" t="str">
            <v>Europe</v>
          </cell>
          <cell r="AR398" t="str">
            <v>single country</v>
          </cell>
          <cell r="AT398" t="str">
            <v>Germany</v>
          </cell>
          <cell r="AU398" t="str">
            <v>single sector</v>
          </cell>
          <cell r="AV398" t="str">
            <v>Other</v>
          </cell>
          <cell r="AW398">
            <v>44000000</v>
          </cell>
          <cell r="AX398">
            <v>44000000</v>
          </cell>
          <cell r="AY398">
            <v>2012</v>
          </cell>
          <cell r="BD398" t="str">
            <v>No</v>
          </cell>
          <cell r="BH398" t="str">
            <v>2020-12-31</v>
          </cell>
          <cell r="BI398">
            <v>45503292.630000003</v>
          </cell>
          <cell r="BJ398">
            <v>45503292.630000003</v>
          </cell>
          <cell r="BK398">
            <v>45093866.020000003</v>
          </cell>
          <cell r="BL398">
            <v>45093866.020000003</v>
          </cell>
          <cell r="BM398">
            <v>0</v>
          </cell>
          <cell r="BN398" t="str">
            <v>No</v>
          </cell>
          <cell r="BO398" t="str">
            <v>External</v>
          </cell>
          <cell r="BP398">
            <v>3</v>
          </cell>
          <cell r="BQ398">
            <v>5</v>
          </cell>
          <cell r="BR398">
            <v>44100000</v>
          </cell>
          <cell r="BS398">
            <v>44100000</v>
          </cell>
          <cell r="BT398">
            <v>44040097</v>
          </cell>
          <cell r="BU398">
            <v>44040097</v>
          </cell>
          <cell r="BV398" t="str">
            <v>No</v>
          </cell>
          <cell r="BW398" t="str">
            <v>Germany</v>
          </cell>
          <cell r="BX398" t="str">
            <v>Other</v>
          </cell>
          <cell r="BY398">
            <v>100</v>
          </cell>
        </row>
        <row r="399">
          <cell r="A399">
            <v>19385</v>
          </cell>
          <cell r="B399" t="str">
            <v>PATRIZIA SOCIAL CARE FUND III</v>
          </cell>
          <cell r="C399" t="str">
            <v>PATRIZIA IMMOBILIEN KAPITALVERWALTUNGSGESELLSCHAFT MBH</v>
          </cell>
          <cell r="D399" t="str">
            <v>Burchardstraße 14</v>
          </cell>
          <cell r="E399">
            <v>20095</v>
          </cell>
          <cell r="F399" t="str">
            <v>Hamburg</v>
          </cell>
          <cell r="G399" t="str">
            <v>Germany</v>
          </cell>
          <cell r="Q399" t="str">
            <v>Germany</v>
          </cell>
          <cell r="R399" t="str">
            <v>EUR</v>
          </cell>
          <cell r="S399" t="str">
            <v>KAGB</v>
          </cell>
          <cell r="T399" t="str">
            <v>Quarterly</v>
          </cell>
          <cell r="U399" t="str">
            <v>Annually</v>
          </cell>
          <cell r="V399" t="str">
            <v>ImmoWertV</v>
          </cell>
          <cell r="W399" t="str">
            <v>KAGB NAV</v>
          </cell>
          <cell r="Y399" t="str">
            <v>Investment Fund</v>
          </cell>
          <cell r="Z399" t="str">
            <v>No</v>
          </cell>
          <cell r="AB399">
            <v>0</v>
          </cell>
          <cell r="AC399" t="str">
            <v>Non-Listed Fund</v>
          </cell>
          <cell r="AD399" t="str">
            <v>Core</v>
          </cell>
          <cell r="AE399" t="str">
            <v>infinite</v>
          </cell>
          <cell r="AF399" t="str">
            <v>Open end</v>
          </cell>
          <cell r="AM399" t="str">
            <v>&gt; 40% - ≤ 60%</v>
          </cell>
          <cell r="AN399" t="str">
            <v>Institutional</v>
          </cell>
          <cell r="AO399" t="str">
            <v>&gt; 2</v>
          </cell>
          <cell r="AP399" t="str">
            <v>≥ 50%</v>
          </cell>
          <cell r="AQ399" t="str">
            <v>Europe</v>
          </cell>
          <cell r="AR399" t="str">
            <v>multi country</v>
          </cell>
          <cell r="AS399" t="str">
            <v>Europe</v>
          </cell>
          <cell r="AU399" t="str">
            <v>single sector</v>
          </cell>
          <cell r="AV399" t="str">
            <v>Aged care</v>
          </cell>
          <cell r="AY399">
            <v>2018</v>
          </cell>
          <cell r="BH399" t="str">
            <v>2020-12-31</v>
          </cell>
          <cell r="BI399">
            <v>100205963.54000001</v>
          </cell>
          <cell r="BJ399">
            <v>100205963.54000001</v>
          </cell>
          <cell r="BK399">
            <v>56208945.979999997</v>
          </cell>
          <cell r="BL399">
            <v>56208945.979999997</v>
          </cell>
          <cell r="BM399">
            <v>49.2</v>
          </cell>
          <cell r="BN399" t="str">
            <v>No</v>
          </cell>
          <cell r="BO399" t="str">
            <v>External</v>
          </cell>
          <cell r="BP399">
            <v>30</v>
          </cell>
          <cell r="BQ399">
            <v>6</v>
          </cell>
          <cell r="BR399">
            <v>279000000</v>
          </cell>
          <cell r="BS399">
            <v>279000000</v>
          </cell>
          <cell r="BT399">
            <v>56205047.939999998</v>
          </cell>
          <cell r="BU399">
            <v>56205047.939999998</v>
          </cell>
          <cell r="BV399" t="str">
            <v>Yes</v>
          </cell>
          <cell r="BW399" t="str">
            <v>Germany</v>
          </cell>
          <cell r="BX399" t="str">
            <v>Health Care</v>
          </cell>
          <cell r="BY399">
            <v>100</v>
          </cell>
        </row>
        <row r="400">
          <cell r="A400">
            <v>572</v>
          </cell>
          <cell r="B400" t="str">
            <v>PATRIZIA TRANSEUROPEAN PROPERTY LIMITED PARTNERSHIP V</v>
          </cell>
          <cell r="C400" t="str">
            <v>ROCKSPRING PROPERTY INVESTMENT MANAGERS LLP</v>
          </cell>
          <cell r="D400" t="str">
            <v>166 Sloane Street</v>
          </cell>
          <cell r="E400" t="str">
            <v>SW1X 9QF</v>
          </cell>
          <cell r="F400" t="str">
            <v>London</v>
          </cell>
          <cell r="G400" t="str">
            <v>United Kingdom</v>
          </cell>
          <cell r="H400" t="str">
            <v>+4420 77613300</v>
          </cell>
          <cell r="I400" t="str">
            <v>+44202 77613400</v>
          </cell>
          <cell r="J400" t="str">
            <v>http://www.rockspringpim.com</v>
          </cell>
          <cell r="K400" t="str">
            <v>Charles-Nicolas Tarriere</v>
          </cell>
          <cell r="L400" t="str">
            <v>charles.tarriere@rockspringpim.com</v>
          </cell>
          <cell r="M400" t="str">
            <v>+44 2077613300</v>
          </cell>
          <cell r="N400" t="str">
            <v>Kathryn Dixon</v>
          </cell>
          <cell r="O400" t="str">
            <v>kathryn.dixon@rockspringpim.com</v>
          </cell>
          <cell r="P400" t="str">
            <v>+44202 77613400</v>
          </cell>
          <cell r="Q400" t="str">
            <v>United Kingdom</v>
          </cell>
          <cell r="R400" t="str">
            <v>EUR</v>
          </cell>
          <cell r="S400" t="str">
            <v>Local GAAP</v>
          </cell>
          <cell r="T400" t="str">
            <v>Quarterly</v>
          </cell>
          <cell r="U400" t="str">
            <v>Quarterly</v>
          </cell>
          <cell r="V400" t="str">
            <v>RICS</v>
          </cell>
          <cell r="X400" t="str">
            <v>Deloitte</v>
          </cell>
          <cell r="Y400" t="str">
            <v>Limited Partnership</v>
          </cell>
          <cell r="AA400" t="str">
            <v>Yes</v>
          </cell>
          <cell r="AB400">
            <v>2</v>
          </cell>
          <cell r="AC400" t="str">
            <v>Non-Listed Fund</v>
          </cell>
          <cell r="AD400" t="str">
            <v>Value-added</v>
          </cell>
          <cell r="AE400" t="str">
            <v>finite</v>
          </cell>
          <cell r="AF400" t="str">
            <v>Closed end</v>
          </cell>
          <cell r="AG400">
            <v>10</v>
          </cell>
          <cell r="AH400">
            <v>10</v>
          </cell>
          <cell r="AK400">
            <v>5.5</v>
          </cell>
          <cell r="AL400">
            <v>50</v>
          </cell>
          <cell r="AM400" t="str">
            <v>&gt; 40% - ≤ 60%</v>
          </cell>
          <cell r="AN400" t="str">
            <v>Institutional</v>
          </cell>
          <cell r="AO400" t="str">
            <v>&gt; 2</v>
          </cell>
          <cell r="AP400" t="str">
            <v>≥ 50%</v>
          </cell>
          <cell r="AQ400" t="str">
            <v>Europe</v>
          </cell>
          <cell r="AR400" t="str">
            <v>multi country</v>
          </cell>
          <cell r="AS400" t="str">
            <v>Europe</v>
          </cell>
          <cell r="AU400" t="str">
            <v>multi sector</v>
          </cell>
          <cell r="AW400">
            <v>350000000</v>
          </cell>
          <cell r="AX400">
            <v>700000000</v>
          </cell>
          <cell r="AY400">
            <v>2012</v>
          </cell>
          <cell r="AZ400">
            <v>2020</v>
          </cell>
          <cell r="BA400" t="str">
            <v>Yes</v>
          </cell>
          <cell r="BB400" t="str">
            <v>Yes</v>
          </cell>
          <cell r="BC400" t="str">
            <v>1+1 years</v>
          </cell>
          <cell r="BF400" t="str">
            <v>&gt; 15% - ≤ 40%</v>
          </cell>
          <cell r="BG400" t="str">
            <v>&gt; 5 - ≤ 25%</v>
          </cell>
          <cell r="BH400" t="str">
            <v>2020-12-31</v>
          </cell>
          <cell r="BI400">
            <v>47802884</v>
          </cell>
          <cell r="BJ400">
            <v>47802884</v>
          </cell>
          <cell r="BK400">
            <v>20326476</v>
          </cell>
          <cell r="BL400">
            <v>20326476</v>
          </cell>
          <cell r="BM400">
            <v>0</v>
          </cell>
          <cell r="BN400" t="str">
            <v>No</v>
          </cell>
          <cell r="BO400" t="str">
            <v>External</v>
          </cell>
          <cell r="BP400">
            <v>14</v>
          </cell>
          <cell r="BQ400">
            <v>1</v>
          </cell>
          <cell r="BR400">
            <v>352750000</v>
          </cell>
          <cell r="BS400">
            <v>352750000</v>
          </cell>
          <cell r="BT400">
            <v>352750000</v>
          </cell>
          <cell r="BU400">
            <v>352750000</v>
          </cell>
          <cell r="BV400" t="str">
            <v>No</v>
          </cell>
          <cell r="BW400" t="str">
            <v>Switzerland</v>
          </cell>
          <cell r="BX400" t="str">
            <v>Office</v>
          </cell>
          <cell r="BY400">
            <v>66.900000000000006</v>
          </cell>
        </row>
        <row r="401">
          <cell r="A401">
            <v>17670</v>
          </cell>
          <cell r="B401" t="str">
            <v>PATRIZIA TRANSEUROPEAN VI PLP</v>
          </cell>
          <cell r="C401" t="str">
            <v>ROCKSPRING PROPERTY INVESTMENT MANAGERS</v>
          </cell>
          <cell r="D401" t="str">
            <v>166 Sloane Street</v>
          </cell>
          <cell r="E401" t="str">
            <v>SW1X 9QF</v>
          </cell>
          <cell r="F401" t="str">
            <v>London</v>
          </cell>
          <cell r="G401" t="str">
            <v>United Kingdom</v>
          </cell>
          <cell r="H401" t="str">
            <v>+44 207 7613300</v>
          </cell>
          <cell r="I401" t="str">
            <v>+44 207 7613400</v>
          </cell>
          <cell r="J401" t="str">
            <v>http://www.rockspringpim.com/</v>
          </cell>
          <cell r="K401" t="str">
            <v>Charles-Nicolas Tarriere</v>
          </cell>
          <cell r="L401" t="str">
            <v>charles.tarriere@rockspringpim.com</v>
          </cell>
          <cell r="M401" t="str">
            <v>+44 207 7613300</v>
          </cell>
          <cell r="N401" t="str">
            <v>Kathryn Dixon</v>
          </cell>
          <cell r="O401" t="str">
            <v>kathryn.dixon@rockspringpim.com</v>
          </cell>
          <cell r="P401" t="str">
            <v>+44 207 7613300</v>
          </cell>
          <cell r="Q401" t="str">
            <v>United Kingdom</v>
          </cell>
          <cell r="R401" t="str">
            <v>EUR</v>
          </cell>
          <cell r="S401" t="str">
            <v>IFRS</v>
          </cell>
          <cell r="T401" t="str">
            <v>Quarterly</v>
          </cell>
          <cell r="U401" t="str">
            <v>Quarterly</v>
          </cell>
          <cell r="V401" t="str">
            <v>RICS</v>
          </cell>
          <cell r="X401" t="str">
            <v>PWC</v>
          </cell>
          <cell r="Y401" t="str">
            <v>Limited Partnership</v>
          </cell>
          <cell r="Z401" t="str">
            <v>Yes</v>
          </cell>
          <cell r="AA401" t="str">
            <v>Yes</v>
          </cell>
          <cell r="AB401">
            <v>2</v>
          </cell>
          <cell r="AC401" t="str">
            <v>Non-Listed Fund</v>
          </cell>
          <cell r="AD401" t="str">
            <v>Value-added</v>
          </cell>
          <cell r="AE401" t="str">
            <v>finite</v>
          </cell>
          <cell r="AF401" t="str">
            <v>Closed end</v>
          </cell>
          <cell r="AG401">
            <v>12</v>
          </cell>
          <cell r="AH401">
            <v>12</v>
          </cell>
          <cell r="AK401">
            <v>5.5</v>
          </cell>
          <cell r="AL401">
            <v>5.5</v>
          </cell>
          <cell r="AM401" t="str">
            <v>&gt; 40% - ≤ 60%</v>
          </cell>
          <cell r="AN401" t="str">
            <v>Institutional</v>
          </cell>
          <cell r="AO401" t="str">
            <v>&gt; 2</v>
          </cell>
          <cell r="AP401" t="str">
            <v>≥ 50%</v>
          </cell>
          <cell r="AQ401" t="str">
            <v>Europe</v>
          </cell>
          <cell r="AR401" t="str">
            <v>multi country</v>
          </cell>
          <cell r="AS401" t="str">
            <v>Western Europe</v>
          </cell>
          <cell r="AU401" t="str">
            <v>multi sector</v>
          </cell>
          <cell r="AW401">
            <v>400000000</v>
          </cell>
          <cell r="AX401">
            <v>800000000</v>
          </cell>
          <cell r="AY401">
            <v>2016</v>
          </cell>
          <cell r="AZ401">
            <v>2024</v>
          </cell>
          <cell r="BA401" t="str">
            <v>Yes</v>
          </cell>
          <cell r="BB401" t="str">
            <v>Yes</v>
          </cell>
          <cell r="BC401" t="str">
            <v>1+1 years</v>
          </cell>
          <cell r="BF401" t="str">
            <v>&gt; 15% - ≤ 40%</v>
          </cell>
          <cell r="BG401" t="str">
            <v>&gt; 5 - ≤ 25%</v>
          </cell>
          <cell r="BH401" t="str">
            <v>2020-12-31</v>
          </cell>
          <cell r="BI401">
            <v>766285482</v>
          </cell>
          <cell r="BJ401">
            <v>766285482</v>
          </cell>
          <cell r="BK401">
            <v>451321912</v>
          </cell>
          <cell r="BL401">
            <v>451321912</v>
          </cell>
          <cell r="BM401">
            <v>38.35</v>
          </cell>
          <cell r="BN401" t="str">
            <v>No</v>
          </cell>
          <cell r="BO401" t="str">
            <v>External</v>
          </cell>
          <cell r="BP401">
            <v>12</v>
          </cell>
          <cell r="BQ401">
            <v>10</v>
          </cell>
          <cell r="BR401">
            <v>429250000</v>
          </cell>
          <cell r="BS401">
            <v>429250000</v>
          </cell>
          <cell r="BT401">
            <v>429250000</v>
          </cell>
          <cell r="BU401">
            <v>429250000</v>
          </cell>
          <cell r="BV401" t="str">
            <v>No</v>
          </cell>
          <cell r="BW401" t="str">
            <v>France</v>
          </cell>
          <cell r="BX401" t="str">
            <v>Industrial / Logistics</v>
          </cell>
          <cell r="BY401">
            <v>1</v>
          </cell>
          <cell r="BZ401" t="str">
            <v>France</v>
          </cell>
          <cell r="CA401" t="str">
            <v>Retail</v>
          </cell>
          <cell r="CB401">
            <v>5.0999999999999996</v>
          </cell>
          <cell r="CC401" t="str">
            <v>Germany</v>
          </cell>
          <cell r="CD401" t="str">
            <v>Office</v>
          </cell>
          <cell r="CE401">
            <v>19.2</v>
          </cell>
          <cell r="CF401" t="str">
            <v>Germany</v>
          </cell>
          <cell r="CG401" t="str">
            <v>Retail</v>
          </cell>
          <cell r="CH401">
            <v>15.6</v>
          </cell>
          <cell r="CI401" t="str">
            <v>Portugal</v>
          </cell>
          <cell r="CJ401" t="str">
            <v>Office</v>
          </cell>
          <cell r="CK401">
            <v>5.0999999999999996</v>
          </cell>
          <cell r="CL401" t="str">
            <v>Spain</v>
          </cell>
          <cell r="CM401" t="str">
            <v>Other</v>
          </cell>
          <cell r="CN401">
            <v>3.5</v>
          </cell>
          <cell r="CO401" t="str">
            <v>Switzerland</v>
          </cell>
          <cell r="CP401" t="str">
            <v>Office</v>
          </cell>
          <cell r="CQ401">
            <v>22.6</v>
          </cell>
          <cell r="CR401" t="str">
            <v>United Kingdom</v>
          </cell>
          <cell r="CS401" t="str">
            <v>Office</v>
          </cell>
          <cell r="CT401">
            <v>10.9</v>
          </cell>
          <cell r="CU401" t="str">
            <v>United Kingdom</v>
          </cell>
          <cell r="CV401" t="str">
            <v>Residential</v>
          </cell>
          <cell r="CW401">
            <v>7.4</v>
          </cell>
        </row>
        <row r="402">
          <cell r="A402">
            <v>17669</v>
          </cell>
          <cell r="B402" t="str">
            <v>PATRIZIA UK VALUE 2 LP</v>
          </cell>
          <cell r="C402" t="str">
            <v>ROCKSPRING PROPERTY INVESTMENT MANAGERS LLP</v>
          </cell>
          <cell r="D402" t="str">
            <v>166 Sloane Street</v>
          </cell>
          <cell r="E402" t="str">
            <v>SW1X 9QF</v>
          </cell>
          <cell r="F402" t="str">
            <v>London</v>
          </cell>
          <cell r="G402" t="str">
            <v>United Kingdom</v>
          </cell>
          <cell r="H402" t="str">
            <v>+44 207 7613300</v>
          </cell>
          <cell r="I402" t="str">
            <v>+44 207 761 3400</v>
          </cell>
          <cell r="J402" t="str">
            <v>http://www.rockspringpim.com/</v>
          </cell>
          <cell r="K402" t="str">
            <v>Richard Bains</v>
          </cell>
          <cell r="L402" t="str">
            <v>richard.bains@rockspringpim.com</v>
          </cell>
          <cell r="M402" t="str">
            <v>+44 207 7613300</v>
          </cell>
          <cell r="N402" t="str">
            <v>Kathryn Dixon</v>
          </cell>
          <cell r="O402" t="str">
            <v>kathryn.dixon@rockspringpim.com</v>
          </cell>
          <cell r="P402" t="str">
            <v>+44 207 7613300</v>
          </cell>
          <cell r="Q402" t="str">
            <v>United Kingdom</v>
          </cell>
          <cell r="R402" t="str">
            <v>GBP</v>
          </cell>
          <cell r="S402" t="str">
            <v>IFRS</v>
          </cell>
          <cell r="T402" t="str">
            <v>Quarterly</v>
          </cell>
          <cell r="U402" t="str">
            <v>Quarterly</v>
          </cell>
          <cell r="V402" t="str">
            <v>RICS</v>
          </cell>
          <cell r="X402" t="str">
            <v>Deloitte</v>
          </cell>
          <cell r="Y402" t="str">
            <v>Limited Partnership</v>
          </cell>
          <cell r="Z402" t="str">
            <v>No</v>
          </cell>
          <cell r="AC402" t="str">
            <v>Non-Listed Fund</v>
          </cell>
          <cell r="AD402" t="str">
            <v>Value-added</v>
          </cell>
          <cell r="AE402" t="str">
            <v>finite</v>
          </cell>
          <cell r="AF402" t="str">
            <v>Closed end</v>
          </cell>
          <cell r="AG402">
            <v>11</v>
          </cell>
          <cell r="AI402" t="str">
            <v>Net</v>
          </cell>
          <cell r="AK402">
            <v>7</v>
          </cell>
          <cell r="AL402">
            <v>50</v>
          </cell>
          <cell r="AM402" t="str">
            <v>&gt; 40% - ≤ 60%</v>
          </cell>
          <cell r="AN402" t="str">
            <v>Institutional</v>
          </cell>
          <cell r="AO402" t="str">
            <v>&gt; 2</v>
          </cell>
          <cell r="AP402" t="str">
            <v>≥ 50%</v>
          </cell>
          <cell r="AQ402" t="str">
            <v>Europe</v>
          </cell>
          <cell r="AR402" t="str">
            <v>single country</v>
          </cell>
          <cell r="AT402" t="str">
            <v>United Kingdom</v>
          </cell>
          <cell r="AU402" t="str">
            <v>multi sector</v>
          </cell>
          <cell r="AW402">
            <v>342000000</v>
          </cell>
          <cell r="AX402">
            <v>684000000</v>
          </cell>
          <cell r="AY402">
            <v>2014</v>
          </cell>
          <cell r="AZ402">
            <v>2021</v>
          </cell>
          <cell r="BA402" t="str">
            <v>Yes</v>
          </cell>
          <cell r="BH402" t="str">
            <v>2020-12-31</v>
          </cell>
          <cell r="BI402">
            <v>283482171</v>
          </cell>
          <cell r="BJ402">
            <v>313403457.59768522</v>
          </cell>
          <cell r="BK402">
            <v>161863635</v>
          </cell>
          <cell r="BL402">
            <v>178948195.18766031</v>
          </cell>
          <cell r="BM402">
            <v>37.64</v>
          </cell>
          <cell r="BN402" t="str">
            <v>No</v>
          </cell>
          <cell r="BO402" t="str">
            <v>External</v>
          </cell>
          <cell r="BP402">
            <v>15</v>
          </cell>
          <cell r="BQ402">
            <v>22</v>
          </cell>
          <cell r="BR402">
            <v>342000000</v>
          </cell>
          <cell r="BS402">
            <v>375500444.84820002</v>
          </cell>
          <cell r="BT402">
            <v>327374367</v>
          </cell>
          <cell r="BU402">
            <v>359442165.0304032</v>
          </cell>
          <cell r="BV402" t="str">
            <v>No</v>
          </cell>
          <cell r="BW402" t="str">
            <v>United Kingdom</v>
          </cell>
          <cell r="BX402" t="str">
            <v>Office</v>
          </cell>
          <cell r="BY402">
            <v>8.6</v>
          </cell>
          <cell r="BZ402" t="str">
            <v>United Kingdom</v>
          </cell>
          <cell r="CA402" t="str">
            <v>Retail</v>
          </cell>
          <cell r="CB402">
            <v>41.8</v>
          </cell>
          <cell r="CC402" t="str">
            <v>United Kingdom</v>
          </cell>
          <cell r="CD402" t="str">
            <v>Industrial / Logistics</v>
          </cell>
          <cell r="CE402">
            <v>36.6</v>
          </cell>
          <cell r="CF402" t="str">
            <v>United Kingdom</v>
          </cell>
          <cell r="CG402" t="str">
            <v>Other</v>
          </cell>
          <cell r="CH402">
            <v>2.8</v>
          </cell>
        </row>
        <row r="403">
          <cell r="A403">
            <v>18636</v>
          </cell>
          <cell r="B403" t="str">
            <v>PATRIZIA WOHN-INVEST EUROPA I</v>
          </cell>
          <cell r="C403" t="str">
            <v>PATRIZIA AUGSBURG KVG MBH</v>
          </cell>
          <cell r="D403" t="str">
            <v>Fuggerstr. 26</v>
          </cell>
          <cell r="E403">
            <v>86150</v>
          </cell>
          <cell r="F403" t="str">
            <v>Augsburg</v>
          </cell>
          <cell r="G403" t="str">
            <v>Germany</v>
          </cell>
          <cell r="Q403" t="str">
            <v>Germany</v>
          </cell>
          <cell r="R403" t="str">
            <v>EUR</v>
          </cell>
          <cell r="T403" t="str">
            <v>Monthly</v>
          </cell>
          <cell r="U403" t="str">
            <v>Annually</v>
          </cell>
          <cell r="V403" t="str">
            <v>ImmoWertV</v>
          </cell>
          <cell r="W403" t="str">
            <v>KAGB</v>
          </cell>
          <cell r="Y403" t="str">
            <v>Spezialfonds</v>
          </cell>
          <cell r="Z403" t="str">
            <v>No</v>
          </cell>
          <cell r="AC403" t="str">
            <v>Non-Listed Fund</v>
          </cell>
          <cell r="AD403" t="str">
            <v>Core</v>
          </cell>
          <cell r="AE403" t="str">
            <v>infinite</v>
          </cell>
          <cell r="AF403" t="str">
            <v>Open end</v>
          </cell>
          <cell r="AN403" t="str">
            <v>Institutional</v>
          </cell>
          <cell r="AO403" t="str">
            <v>&gt; 2</v>
          </cell>
          <cell r="AP403" t="str">
            <v>≥ 50%</v>
          </cell>
          <cell r="AQ403" t="str">
            <v>Europe</v>
          </cell>
          <cell r="AR403" t="str">
            <v>multi country</v>
          </cell>
          <cell r="AS403" t="str">
            <v>Europe</v>
          </cell>
          <cell r="AU403" t="str">
            <v>single sector</v>
          </cell>
          <cell r="AV403" t="str">
            <v>Residential</v>
          </cell>
          <cell r="AY403">
            <v>2018</v>
          </cell>
          <cell r="BH403" t="str">
            <v>2020-12-31</v>
          </cell>
          <cell r="BI403">
            <v>159238537</v>
          </cell>
          <cell r="BJ403">
            <v>159238537</v>
          </cell>
          <cell r="BK403">
            <v>157186520</v>
          </cell>
          <cell r="BL403">
            <v>157186520</v>
          </cell>
          <cell r="BM403">
            <v>46.65</v>
          </cell>
          <cell r="BN403" t="str">
            <v>No</v>
          </cell>
          <cell r="BO403" t="str">
            <v>External</v>
          </cell>
          <cell r="BP403">
            <v>39</v>
          </cell>
          <cell r="BQ403">
            <v>8</v>
          </cell>
          <cell r="BR403">
            <v>300000000</v>
          </cell>
          <cell r="BS403">
            <v>300000000</v>
          </cell>
          <cell r="BT403">
            <v>145249643.88</v>
          </cell>
          <cell r="BU403">
            <v>145249643.88</v>
          </cell>
          <cell r="BV403" t="str">
            <v>No</v>
          </cell>
          <cell r="BW403" t="str">
            <v>Ireland</v>
          </cell>
          <cell r="BX403" t="str">
            <v>Residential</v>
          </cell>
          <cell r="BY403">
            <v>31.04</v>
          </cell>
          <cell r="BZ403" t="str">
            <v>Denmark</v>
          </cell>
          <cell r="CA403" t="str">
            <v>Residential</v>
          </cell>
          <cell r="CB403">
            <v>36.47</v>
          </cell>
          <cell r="CC403" t="str">
            <v>Netherlands</v>
          </cell>
          <cell r="CD403" t="str">
            <v>Residential</v>
          </cell>
          <cell r="CE403">
            <v>32.49</v>
          </cell>
        </row>
        <row r="404">
          <cell r="A404">
            <v>358</v>
          </cell>
          <cell r="B404" t="str">
            <v>PATRON CAPITAL L.P. III</v>
          </cell>
          <cell r="C404" t="str">
            <v>PATRON CAPITAL LTD</v>
          </cell>
          <cell r="D404" t="str">
            <v>7 Hanover Square</v>
          </cell>
          <cell r="E404" t="str">
            <v>W1K 3NB</v>
          </cell>
          <cell r="F404" t="str">
            <v>London</v>
          </cell>
          <cell r="G404" t="str">
            <v>United Kingdom</v>
          </cell>
          <cell r="H404" t="str">
            <v>+44 (0) 20 7629 9417</v>
          </cell>
          <cell r="I404" t="str">
            <v>+44 (0) 20 7629 9418</v>
          </cell>
          <cell r="J404" t="str">
            <v>http://www.patroncapital.com</v>
          </cell>
          <cell r="K404" t="str">
            <v>Shane Law</v>
          </cell>
          <cell r="L404" t="str">
            <v>shane@patroncapital.com</v>
          </cell>
          <cell r="M404" t="str">
            <v>+44 (0) 20 7629 9417</v>
          </cell>
          <cell r="N404" t="str">
            <v>Keith Breslauer</v>
          </cell>
          <cell r="O404" t="str">
            <v>keith@patroncapital.com</v>
          </cell>
          <cell r="P404" t="str">
            <v>+44 (0) 20 7629 9417</v>
          </cell>
          <cell r="Q404" t="str">
            <v>Luxembourg</v>
          </cell>
          <cell r="R404" t="str">
            <v>EUR</v>
          </cell>
          <cell r="T404" t="str">
            <v>Quarterly</v>
          </cell>
          <cell r="U404" t="str">
            <v>Quarterly</v>
          </cell>
          <cell r="X404" t="str">
            <v>Baker Tilly</v>
          </cell>
          <cell r="Y404" t="str">
            <v>Limited Partnership</v>
          </cell>
          <cell r="Z404" t="str">
            <v>No</v>
          </cell>
          <cell r="AB404">
            <v>0</v>
          </cell>
          <cell r="AC404" t="str">
            <v>Non-Listed Fund</v>
          </cell>
          <cell r="AD404" t="str">
            <v>Opportunity</v>
          </cell>
          <cell r="AE404" t="str">
            <v>finite</v>
          </cell>
          <cell r="AF404" t="str">
            <v>Closed end</v>
          </cell>
          <cell r="AG404">
            <v>20</v>
          </cell>
          <cell r="AH404">
            <v>20</v>
          </cell>
          <cell r="AJ404" t="str">
            <v>None</v>
          </cell>
          <cell r="AL404">
            <v>75</v>
          </cell>
          <cell r="AM404" t="str">
            <v>&gt; 60%</v>
          </cell>
          <cell r="AN404" t="str">
            <v>Institutional</v>
          </cell>
          <cell r="AP404" t="str">
            <v>≥ 50%</v>
          </cell>
          <cell r="AQ404" t="str">
            <v>Europe</v>
          </cell>
          <cell r="AR404" t="str">
            <v>multi country</v>
          </cell>
          <cell r="AS404" t="str">
            <v>Europe</v>
          </cell>
          <cell r="AU404" t="str">
            <v>multi sector</v>
          </cell>
          <cell r="AW404">
            <v>906080000</v>
          </cell>
          <cell r="AX404">
            <v>3624320000</v>
          </cell>
          <cell r="AY404">
            <v>2007</v>
          </cell>
          <cell r="AZ404">
            <v>2017</v>
          </cell>
          <cell r="BA404" t="str">
            <v>Yes</v>
          </cell>
          <cell r="BH404" t="str">
            <v>2009-09-30</v>
          </cell>
          <cell r="BJ404">
            <v>0</v>
          </cell>
          <cell r="BL404">
            <v>0</v>
          </cell>
          <cell r="BM404">
            <v>75</v>
          </cell>
          <cell r="BP404">
            <v>93</v>
          </cell>
          <cell r="BQ404">
            <v>57</v>
          </cell>
          <cell r="BR404">
            <v>410400000</v>
          </cell>
          <cell r="BS404">
            <v>410400000</v>
          </cell>
          <cell r="BU404">
            <v>0</v>
          </cell>
          <cell r="BV404" t="str">
            <v>No</v>
          </cell>
        </row>
        <row r="405">
          <cell r="A405">
            <v>360</v>
          </cell>
          <cell r="B405" t="str">
            <v>PATRON CAPITAL PARTNERS LP II</v>
          </cell>
          <cell r="C405" t="str">
            <v>PATRON CAPITAL</v>
          </cell>
          <cell r="D405" t="str">
            <v>7 Hanover Square</v>
          </cell>
          <cell r="E405" t="str">
            <v>W1K 3NB</v>
          </cell>
          <cell r="F405" t="str">
            <v>London</v>
          </cell>
          <cell r="G405" t="str">
            <v>United Kingdom</v>
          </cell>
          <cell r="H405" t="str">
            <v>+44 (0) 20 7629 9417</v>
          </cell>
          <cell r="I405" t="str">
            <v>+44 (0) 20 7629 9418</v>
          </cell>
          <cell r="J405" t="str">
            <v>http://www.patroncapital.com</v>
          </cell>
          <cell r="K405" t="str">
            <v>Shane Law</v>
          </cell>
          <cell r="L405" t="str">
            <v>shane@patroncapital.com</v>
          </cell>
          <cell r="M405" t="str">
            <v>+44 (0) 20 7629 9417</v>
          </cell>
          <cell r="N405" t="str">
            <v>Keith Breslauer</v>
          </cell>
          <cell r="O405" t="str">
            <v>keith@patroncapital.com</v>
          </cell>
          <cell r="P405" t="str">
            <v>+44 (0) 20 7629 9417</v>
          </cell>
          <cell r="Q405" t="str">
            <v>United Kingdom</v>
          </cell>
          <cell r="R405" t="str">
            <v>EUR</v>
          </cell>
          <cell r="T405" t="str">
            <v>Quarterly</v>
          </cell>
          <cell r="U405" t="str">
            <v>Quarterly</v>
          </cell>
          <cell r="X405" t="str">
            <v>Baker Tilly</v>
          </cell>
          <cell r="Y405" t="str">
            <v>Limited Partnership</v>
          </cell>
          <cell r="AB405">
            <v>0</v>
          </cell>
          <cell r="AC405" t="str">
            <v>Non-Listed Fund</v>
          </cell>
          <cell r="AD405" t="str">
            <v>Opportunity</v>
          </cell>
          <cell r="AE405" t="str">
            <v>finite</v>
          </cell>
          <cell r="AF405" t="str">
            <v>Closed end</v>
          </cell>
          <cell r="AG405">
            <v>20</v>
          </cell>
          <cell r="AH405">
            <v>20</v>
          </cell>
          <cell r="AJ405" t="str">
            <v>None</v>
          </cell>
          <cell r="AL405">
            <v>75</v>
          </cell>
          <cell r="AM405" t="str">
            <v>&gt; 60%</v>
          </cell>
          <cell r="AN405" t="str">
            <v>Institutional</v>
          </cell>
          <cell r="AO405" t="str">
            <v>&gt; 2</v>
          </cell>
          <cell r="AP405" t="str">
            <v>≥ 50%</v>
          </cell>
          <cell r="AQ405" t="str">
            <v>Europe</v>
          </cell>
          <cell r="AR405" t="str">
            <v>multi country</v>
          </cell>
          <cell r="AS405" t="str">
            <v>Europe</v>
          </cell>
          <cell r="AU405" t="str">
            <v>multi sector</v>
          </cell>
          <cell r="AW405">
            <v>348600000</v>
          </cell>
          <cell r="AX405">
            <v>1394400000</v>
          </cell>
          <cell r="AY405">
            <v>2004</v>
          </cell>
          <cell r="AZ405">
            <v>2011</v>
          </cell>
          <cell r="BA405" t="str">
            <v>Yes</v>
          </cell>
          <cell r="BH405" t="str">
            <v>2009-09-30</v>
          </cell>
          <cell r="BI405">
            <v>389280000</v>
          </cell>
          <cell r="BJ405">
            <v>389280000</v>
          </cell>
          <cell r="BK405">
            <v>312070000</v>
          </cell>
          <cell r="BL405">
            <v>312070000</v>
          </cell>
          <cell r="BM405">
            <v>75</v>
          </cell>
          <cell r="BP405">
            <v>45</v>
          </cell>
          <cell r="BR405">
            <v>348600000</v>
          </cell>
          <cell r="BS405">
            <v>348600000</v>
          </cell>
          <cell r="BU405">
            <v>0</v>
          </cell>
          <cell r="BV405" t="str">
            <v>No</v>
          </cell>
        </row>
        <row r="406">
          <cell r="A406">
            <v>582</v>
          </cell>
          <cell r="B406" t="str">
            <v>PBW I</v>
          </cell>
          <cell r="G406" t="str">
            <v>Netherlands</v>
          </cell>
          <cell r="Q406" t="str">
            <v>Netherlands</v>
          </cell>
          <cell r="R406" t="str">
            <v>EUR</v>
          </cell>
          <cell r="S406" t="str">
            <v>IFRS</v>
          </cell>
          <cell r="T406" t="str">
            <v>Quarterly</v>
          </cell>
          <cell r="U406" t="str">
            <v>Twice per year</v>
          </cell>
          <cell r="V406" t="str">
            <v>RICS</v>
          </cell>
          <cell r="W406" t="str">
            <v>INREV NAV</v>
          </cell>
          <cell r="X406" t="str">
            <v>Mazars</v>
          </cell>
          <cell r="Y406" t="str">
            <v>Real Estate company</v>
          </cell>
          <cell r="AB406">
            <v>0</v>
          </cell>
          <cell r="AC406" t="str">
            <v>Non-Listed Fund</v>
          </cell>
          <cell r="AD406" t="str">
            <v>Core</v>
          </cell>
          <cell r="AE406" t="str">
            <v>finite</v>
          </cell>
          <cell r="AF406" t="str">
            <v>Closed end</v>
          </cell>
          <cell r="AG406">
            <v>12.39</v>
          </cell>
          <cell r="AH406">
            <v>12.39</v>
          </cell>
          <cell r="AI406" t="str">
            <v>Net</v>
          </cell>
          <cell r="AK406">
            <v>0.24030000000000001</v>
          </cell>
          <cell r="AM406" t="str">
            <v>&gt; 40% - ≤ 60%</v>
          </cell>
          <cell r="AN406" t="str">
            <v>Institutional</v>
          </cell>
          <cell r="AO406" t="str">
            <v>&gt; 2</v>
          </cell>
          <cell r="AP406" t="str">
            <v>≥ 50%</v>
          </cell>
          <cell r="AQ406" t="str">
            <v>Europe</v>
          </cell>
          <cell r="AR406" t="str">
            <v>multi country</v>
          </cell>
          <cell r="AS406" t="str">
            <v>Central and Eastern Europe(CEE)</v>
          </cell>
          <cell r="AU406" t="str">
            <v>multi sector</v>
          </cell>
          <cell r="AW406">
            <v>240000000</v>
          </cell>
          <cell r="AX406">
            <v>480000000</v>
          </cell>
          <cell r="AY406">
            <v>2002</v>
          </cell>
          <cell r="BH406" t="str">
            <v>2020-09-30</v>
          </cell>
          <cell r="BI406">
            <v>389210455.80000001</v>
          </cell>
          <cell r="BJ406">
            <v>389210455.80000001</v>
          </cell>
          <cell r="BK406">
            <v>166629553.40000001</v>
          </cell>
          <cell r="BL406">
            <v>166629553.40000001</v>
          </cell>
          <cell r="BM406">
            <v>50</v>
          </cell>
          <cell r="BN406" t="str">
            <v>No</v>
          </cell>
          <cell r="BO406" t="str">
            <v>External</v>
          </cell>
          <cell r="BP406">
            <v>1</v>
          </cell>
          <cell r="BQ406">
            <v>4</v>
          </cell>
          <cell r="BR406">
            <v>250000000</v>
          </cell>
          <cell r="BS406">
            <v>250000000</v>
          </cell>
          <cell r="BT406">
            <v>250000000</v>
          </cell>
          <cell r="BU406">
            <v>250000000</v>
          </cell>
          <cell r="BV406" t="str">
            <v>No</v>
          </cell>
          <cell r="BW406" t="str">
            <v>Poland</v>
          </cell>
          <cell r="BX406" t="str">
            <v>Office</v>
          </cell>
          <cell r="BY406">
            <v>2</v>
          </cell>
          <cell r="BZ406" t="str">
            <v>Poland</v>
          </cell>
          <cell r="CA406" t="str">
            <v>Retail</v>
          </cell>
          <cell r="CB406">
            <v>57</v>
          </cell>
          <cell r="CC406" t="str">
            <v>Czech Republic</v>
          </cell>
          <cell r="CD406" t="str">
            <v>Retail</v>
          </cell>
          <cell r="CE406">
            <v>41</v>
          </cell>
        </row>
        <row r="407">
          <cell r="A407">
            <v>361</v>
          </cell>
          <cell r="B407" t="str">
            <v>PBW II REAL ESTATE FUND</v>
          </cell>
          <cell r="C407" t="str">
            <v>AEW EUROPE</v>
          </cell>
          <cell r="D407" t="str">
            <v>5 allee Scheffer</v>
          </cell>
          <cell r="E407" t="str">
            <v>L 2520</v>
          </cell>
          <cell r="F407" t="str">
            <v>Luxembourg</v>
          </cell>
          <cell r="G407" t="str">
            <v>Luxembourg</v>
          </cell>
          <cell r="H407" t="str">
            <v>+353 (0) 47 67 51 21</v>
          </cell>
          <cell r="I407" t="str">
            <v>+352 47 67 51 19</v>
          </cell>
          <cell r="J407" t="str">
            <v>http://www.aeweurope.com</v>
          </cell>
          <cell r="K407" t="str">
            <v>Sebastien Cappigny-Jankowski</v>
          </cell>
          <cell r="L407" t="str">
            <v>ebastien.cppigny-jankowski@aeweurope.com</v>
          </cell>
          <cell r="M407" t="str">
            <v>+333178409368</v>
          </cell>
          <cell r="N407" t="str">
            <v>Sebastien Cappigny-Jankowski</v>
          </cell>
          <cell r="O407" t="str">
            <v>sebastien.cppigny-jankowski@aeweurope.com</v>
          </cell>
          <cell r="P407" t="str">
            <v>+333178409368</v>
          </cell>
          <cell r="Q407" t="str">
            <v>Luxembourg</v>
          </cell>
          <cell r="R407" t="str">
            <v>EUR</v>
          </cell>
          <cell r="S407" t="str">
            <v>IFRS</v>
          </cell>
          <cell r="T407" t="str">
            <v>Quarterly</v>
          </cell>
          <cell r="U407" t="str">
            <v>Twice per year</v>
          </cell>
          <cell r="V407" t="str">
            <v>RICS</v>
          </cell>
          <cell r="W407" t="str">
            <v>INREV NAV</v>
          </cell>
          <cell r="X407" t="str">
            <v>Mazars</v>
          </cell>
          <cell r="Y407" t="str">
            <v>S.A. (SOPAFRI)</v>
          </cell>
          <cell r="Z407" t="str">
            <v>Yes</v>
          </cell>
          <cell r="AA407" t="str">
            <v>No</v>
          </cell>
          <cell r="AB407">
            <v>0</v>
          </cell>
          <cell r="AC407" t="str">
            <v>Non-Listed Fund</v>
          </cell>
          <cell r="AD407" t="str">
            <v>Value-added</v>
          </cell>
          <cell r="AE407" t="str">
            <v>finite</v>
          </cell>
          <cell r="AF407" t="str">
            <v>Closed end</v>
          </cell>
          <cell r="AG407">
            <v>13</v>
          </cell>
          <cell r="AI407" t="str">
            <v>Net</v>
          </cell>
          <cell r="AK407">
            <v>5</v>
          </cell>
          <cell r="AL407">
            <v>60</v>
          </cell>
          <cell r="AM407" t="str">
            <v>&gt; 40% - ≤ 60%</v>
          </cell>
          <cell r="AN407" t="str">
            <v>Institutional</v>
          </cell>
          <cell r="AO407" t="str">
            <v>&gt; 2</v>
          </cell>
          <cell r="AP407" t="str">
            <v>≥ 50%</v>
          </cell>
          <cell r="AQ407" t="str">
            <v>Europe</v>
          </cell>
          <cell r="AR407" t="str">
            <v>multi country</v>
          </cell>
          <cell r="AS407" t="str">
            <v>Central and Eastern Europe(CEE)</v>
          </cell>
          <cell r="AU407" t="str">
            <v>multi sector</v>
          </cell>
          <cell r="AW407">
            <v>377000000</v>
          </cell>
          <cell r="AX407">
            <v>940000000</v>
          </cell>
          <cell r="AY407">
            <v>2006</v>
          </cell>
          <cell r="AZ407">
            <v>2015</v>
          </cell>
          <cell r="BA407" t="str">
            <v>Yes</v>
          </cell>
          <cell r="BB407" t="str">
            <v>Yes</v>
          </cell>
          <cell r="BC407" t="str">
            <v>1 year fixed</v>
          </cell>
          <cell r="BH407" t="str">
            <v>2020-09-30</v>
          </cell>
          <cell r="BI407">
            <v>12931770</v>
          </cell>
          <cell r="BJ407">
            <v>12931770</v>
          </cell>
          <cell r="BK407">
            <v>11753309</v>
          </cell>
          <cell r="BL407">
            <v>11753309</v>
          </cell>
          <cell r="BM407">
            <v>0.9</v>
          </cell>
          <cell r="BN407" t="str">
            <v>No</v>
          </cell>
          <cell r="BO407" t="str">
            <v>External</v>
          </cell>
          <cell r="BP407">
            <v>18</v>
          </cell>
          <cell r="BQ407">
            <v>0</v>
          </cell>
          <cell r="BR407">
            <v>377401000</v>
          </cell>
          <cell r="BS407">
            <v>377401000</v>
          </cell>
          <cell r="BT407">
            <v>356475999</v>
          </cell>
          <cell r="BU407">
            <v>356475999</v>
          </cell>
          <cell r="BV407" t="str">
            <v>No</v>
          </cell>
          <cell r="BW407" t="str">
            <v>Luxembourg</v>
          </cell>
          <cell r="BX407" t="str">
            <v>Other</v>
          </cell>
          <cell r="BY407">
            <v>90.89</v>
          </cell>
        </row>
        <row r="408">
          <cell r="A408">
            <v>362</v>
          </cell>
          <cell r="B408" t="str">
            <v>PENSIONS MANAGEMENT (SWF) LTD</v>
          </cell>
          <cell r="C408" t="str">
            <v>SCOTTISH WIDOWS INVESTMENT PARTNERSHIP</v>
          </cell>
          <cell r="D408" t="str">
            <v>Edinburgh One, 69 Morrison Street</v>
          </cell>
          <cell r="E408" t="str">
            <v>EH3 8BE</v>
          </cell>
          <cell r="F408" t="str">
            <v>Edinburgh</v>
          </cell>
          <cell r="G408" t="str">
            <v>United Kingdom</v>
          </cell>
          <cell r="H408" t="str">
            <v>+44 (0) 131 655 8500</v>
          </cell>
          <cell r="I408" t="str">
            <v>+44 (0) 131 662 1553</v>
          </cell>
          <cell r="J408" t="str">
            <v>http://www.swipartnership.co.uk</v>
          </cell>
          <cell r="K408" t="str">
            <v>Gerry Ferguson</v>
          </cell>
          <cell r="L408" t="str">
            <v>gerry.ferguson@swipartnership.co.uk</v>
          </cell>
          <cell r="M408" t="str">
            <v>+44 (0) 131 655 8957</v>
          </cell>
          <cell r="N408" t="str">
            <v>Gerry Ferguson</v>
          </cell>
          <cell r="O408" t="str">
            <v>gerry.ferguson@swipartnership.co.uk</v>
          </cell>
          <cell r="P408" t="str">
            <v>+44 (0) 131 655 8957</v>
          </cell>
          <cell r="Q408" t="str">
            <v>United Kingdom</v>
          </cell>
          <cell r="R408" t="str">
            <v>GBP</v>
          </cell>
          <cell r="T408" t="str">
            <v>Annually</v>
          </cell>
          <cell r="U408" t="str">
            <v>Monthly</v>
          </cell>
          <cell r="Y408" t="str">
            <v>Managed Fund</v>
          </cell>
          <cell r="AB408">
            <v>0</v>
          </cell>
          <cell r="AC408" t="str">
            <v>Non-Listed Fund</v>
          </cell>
          <cell r="AD408" t="str">
            <v>Core</v>
          </cell>
          <cell r="AE408" t="str">
            <v>infinite</v>
          </cell>
          <cell r="AF408" t="str">
            <v>Open end</v>
          </cell>
          <cell r="AJ408" t="str">
            <v>CAPS Pooled Property Fund Median</v>
          </cell>
          <cell r="AN408" t="str">
            <v>Institutional</v>
          </cell>
          <cell r="AP408" t="str">
            <v>≥ 50%</v>
          </cell>
          <cell r="AQ408" t="str">
            <v>Europe</v>
          </cell>
          <cell r="AR408" t="str">
            <v>single country</v>
          </cell>
          <cell r="AT408" t="str">
            <v>United Kingdom</v>
          </cell>
          <cell r="AU408" t="str">
            <v>multi sector</v>
          </cell>
          <cell r="AY408">
            <v>1981</v>
          </cell>
          <cell r="BA408" t="str">
            <v>Yes</v>
          </cell>
          <cell r="BH408" t="str">
            <v>2008-06-30</v>
          </cell>
          <cell r="BI408">
            <v>78700000</v>
          </cell>
          <cell r="BJ408">
            <v>99476800</v>
          </cell>
          <cell r="BK408">
            <v>78700000</v>
          </cell>
          <cell r="BL408">
            <v>99476800</v>
          </cell>
          <cell r="BP408">
            <v>2</v>
          </cell>
          <cell r="BQ408">
            <v>2</v>
          </cell>
          <cell r="BR408">
            <v>78700000</v>
          </cell>
          <cell r="BS408">
            <v>99138390</v>
          </cell>
          <cell r="BU408">
            <v>0</v>
          </cell>
          <cell r="BV408" t="str">
            <v>No</v>
          </cell>
        </row>
        <row r="409">
          <cell r="A409">
            <v>476</v>
          </cell>
          <cell r="B409" t="str">
            <v>PGIM REAL ESTATE UK GROUND LEASE FUND</v>
          </cell>
          <cell r="C409" t="str">
            <v>PRAMERICA</v>
          </cell>
          <cell r="D409" t="str">
            <v>PO BOX 350</v>
          </cell>
          <cell r="E409" t="str">
            <v>JE4 8UJ</v>
          </cell>
          <cell r="F409" t="str">
            <v>St Helier</v>
          </cell>
          <cell r="G409" t="str">
            <v>Jersey</v>
          </cell>
          <cell r="H409" t="str">
            <v>+44 (0) 1534 701 512</v>
          </cell>
          <cell r="I409" t="str">
            <v>+44 (0) 1534 701 699</v>
          </cell>
          <cell r="J409" t="str">
            <v>http://www.pramericarei.com/pramerica/real estate/index.html</v>
          </cell>
          <cell r="K409" t="str">
            <v>Andrew Grigson</v>
          </cell>
          <cell r="L409" t="str">
            <v>andrew.grigson@pgim.com</v>
          </cell>
          <cell r="M409" t="str">
            <v>020 7766 2403</v>
          </cell>
          <cell r="N409" t="str">
            <v>Faye Crook</v>
          </cell>
          <cell r="O409" t="str">
            <v>faye.crook@pgim.com</v>
          </cell>
          <cell r="P409" t="str">
            <v>020 7766 2454</v>
          </cell>
          <cell r="Q409" t="str">
            <v>Jersey</v>
          </cell>
          <cell r="R409" t="str">
            <v>GBP</v>
          </cell>
          <cell r="S409" t="str">
            <v>Local GAAP</v>
          </cell>
          <cell r="T409" t="str">
            <v>Quarterly</v>
          </cell>
          <cell r="U409" t="str">
            <v>Monthly</v>
          </cell>
          <cell r="V409" t="str">
            <v>RICS</v>
          </cell>
          <cell r="W409" t="str">
            <v>IFRS NAV</v>
          </cell>
          <cell r="X409" t="str">
            <v>Ernst &amp; Young</v>
          </cell>
          <cell r="Y409" t="str">
            <v>Jersey Property Unit Trust</v>
          </cell>
          <cell r="Z409" t="str">
            <v>Yes</v>
          </cell>
          <cell r="AA409" t="str">
            <v>Yes</v>
          </cell>
          <cell r="AB409">
            <v>0</v>
          </cell>
          <cell r="AC409" t="str">
            <v>Non-Listed Fund</v>
          </cell>
          <cell r="AD409" t="str">
            <v>Core</v>
          </cell>
          <cell r="AE409" t="str">
            <v>infinite</v>
          </cell>
          <cell r="AF409" t="str">
            <v>Open end</v>
          </cell>
          <cell r="AG409">
            <v>4</v>
          </cell>
          <cell r="AH409">
            <v>5</v>
          </cell>
          <cell r="AI409" t="str">
            <v>Gross</v>
          </cell>
          <cell r="AJ409" t="str">
            <v>UK Treasury 1.25% Index Linked Gilt 2055 +2%p.a. over a rolling 10 year period</v>
          </cell>
          <cell r="AK409">
            <v>7</v>
          </cell>
          <cell r="AL409">
            <v>0</v>
          </cell>
          <cell r="AM409" t="str">
            <v>≤ 40%</v>
          </cell>
          <cell r="AN409" t="str">
            <v>Institutional</v>
          </cell>
          <cell r="AO409" t="str">
            <v>&gt; 2</v>
          </cell>
          <cell r="AP409" t="str">
            <v>≥ 50%</v>
          </cell>
          <cell r="AQ409" t="str">
            <v>Europe</v>
          </cell>
          <cell r="AR409" t="str">
            <v>single country</v>
          </cell>
          <cell r="AT409" t="str">
            <v>United Kingdom</v>
          </cell>
          <cell r="AU409" t="str">
            <v>multi sector</v>
          </cell>
          <cell r="AW409">
            <v>250000000</v>
          </cell>
          <cell r="AX409">
            <v>900000000</v>
          </cell>
          <cell r="AY409">
            <v>2007</v>
          </cell>
          <cell r="BA409" t="str">
            <v>No</v>
          </cell>
          <cell r="BB409" t="str">
            <v>No</v>
          </cell>
          <cell r="BE409" t="str">
            <v>≥ 60%</v>
          </cell>
          <cell r="BF409" t="str">
            <v>&gt; 40%</v>
          </cell>
          <cell r="BG409" t="str">
            <v>&gt; 25%</v>
          </cell>
          <cell r="BH409" t="str">
            <v>2020-12-31</v>
          </cell>
          <cell r="BI409">
            <v>664189654.13999999</v>
          </cell>
          <cell r="BJ409">
            <v>734294271.04284</v>
          </cell>
          <cell r="BK409">
            <v>664189654.13999999</v>
          </cell>
          <cell r="BL409">
            <v>734294271.04284</v>
          </cell>
          <cell r="BM409">
            <v>0</v>
          </cell>
          <cell r="BN409" t="str">
            <v>No</v>
          </cell>
          <cell r="BO409" t="str">
            <v>External</v>
          </cell>
          <cell r="BP409">
            <v>9</v>
          </cell>
          <cell r="BQ409">
            <v>126</v>
          </cell>
          <cell r="BR409">
            <v>505000000</v>
          </cell>
          <cell r="BS409">
            <v>554467031.13549995</v>
          </cell>
          <cell r="BT409">
            <v>394000000</v>
          </cell>
          <cell r="BU409">
            <v>432594079.73739988</v>
          </cell>
          <cell r="BV409" t="str">
            <v>Yes</v>
          </cell>
          <cell r="BW409" t="str">
            <v>United Kingdom</v>
          </cell>
          <cell r="BX409" t="str">
            <v>Other</v>
          </cell>
          <cell r="BY409">
            <v>95.26</v>
          </cell>
        </row>
        <row r="410">
          <cell r="A410">
            <v>18126</v>
          </cell>
          <cell r="B410" t="str">
            <v>PGIM REAL ESTATE UK RESIDENTIAL GROUND LEASE FUND II (“PUKRESGLF II”)</v>
          </cell>
          <cell r="C410" t="str">
            <v>PGIM LIMITED</v>
          </cell>
          <cell r="D410" t="str">
            <v>Grand Buildings,1-3 Strand</v>
          </cell>
          <cell r="E410" t="str">
            <v>WC2N 5HR</v>
          </cell>
          <cell r="F410" t="str">
            <v>London</v>
          </cell>
          <cell r="G410" t="str">
            <v>United Kingdom</v>
          </cell>
          <cell r="H410" t="str">
            <v>+44 (0)20 7766 2400</v>
          </cell>
          <cell r="K410" t="str">
            <v>Andrew Grigson</v>
          </cell>
          <cell r="L410" t="str">
            <v>andrew.grigson@pgim.com</v>
          </cell>
          <cell r="M410" t="str">
            <v>+ 44 (0)20 7766 2403</v>
          </cell>
          <cell r="N410" t="str">
            <v>Faye Crook</v>
          </cell>
          <cell r="O410" t="str">
            <v>faye.crook@pgim.com</v>
          </cell>
          <cell r="P410" t="str">
            <v>44 (0)20 7766 2454</v>
          </cell>
          <cell r="Q410" t="str">
            <v>Jersey</v>
          </cell>
          <cell r="R410" t="str">
            <v>GBP</v>
          </cell>
          <cell r="S410" t="str">
            <v>IFRS</v>
          </cell>
          <cell r="T410" t="str">
            <v>Quarterly</v>
          </cell>
          <cell r="U410" t="str">
            <v>Quarterly</v>
          </cell>
          <cell r="V410" t="str">
            <v>RICS</v>
          </cell>
          <cell r="W410" t="str">
            <v>IFRS NAV</v>
          </cell>
          <cell r="X410" t="str">
            <v>PwC</v>
          </cell>
          <cell r="Y410" t="str">
            <v>Jersey Property Unit Trust(“JPUT”)</v>
          </cell>
          <cell r="Z410" t="str">
            <v>No</v>
          </cell>
          <cell r="AA410" t="str">
            <v>No</v>
          </cell>
          <cell r="AC410" t="str">
            <v>Non-Listed Fund</v>
          </cell>
          <cell r="AD410" t="str">
            <v>Core</v>
          </cell>
          <cell r="AE410" t="str">
            <v>finite</v>
          </cell>
          <cell r="AF410" t="str">
            <v>Closed end</v>
          </cell>
          <cell r="AG410">
            <v>3</v>
          </cell>
          <cell r="AH410">
            <v>5</v>
          </cell>
          <cell r="AI410" t="str">
            <v>Net</v>
          </cell>
          <cell r="AJ410" t="str">
            <v>Over 15 year UK Index-Linked Gilt Index</v>
          </cell>
          <cell r="AL410">
            <v>0</v>
          </cell>
          <cell r="AM410" t="str">
            <v>≤ 40%</v>
          </cell>
          <cell r="AN410" t="str">
            <v>Institutional</v>
          </cell>
          <cell r="AO410" t="str">
            <v>&gt; 2</v>
          </cell>
          <cell r="AP410" t="str">
            <v>≥ 50%</v>
          </cell>
          <cell r="AQ410" t="str">
            <v>Europe</v>
          </cell>
          <cell r="AR410" t="str">
            <v>single country</v>
          </cell>
          <cell r="AT410" t="str">
            <v>United Kingdom</v>
          </cell>
          <cell r="AU410" t="str">
            <v>single sector</v>
          </cell>
          <cell r="AV410" t="str">
            <v>Other</v>
          </cell>
          <cell r="AY410">
            <v>2014</v>
          </cell>
          <cell r="BD410" t="str">
            <v>No</v>
          </cell>
          <cell r="BE410" t="str">
            <v>≥ 60%</v>
          </cell>
          <cell r="BF410" t="str">
            <v>≤ 15%</v>
          </cell>
          <cell r="BG410" t="str">
            <v>≤ 5%</v>
          </cell>
          <cell r="BH410" t="str">
            <v>2020-12-31</v>
          </cell>
          <cell r="BI410">
            <v>229351021.40000001</v>
          </cell>
          <cell r="BJ410">
            <v>253558814.1460956</v>
          </cell>
          <cell r="BK410">
            <v>229351021.40000001</v>
          </cell>
          <cell r="BL410">
            <v>253558814.1460956</v>
          </cell>
          <cell r="BM410">
            <v>0</v>
          </cell>
          <cell r="BN410" t="str">
            <v>No</v>
          </cell>
          <cell r="BO410" t="str">
            <v>External</v>
          </cell>
          <cell r="BP410">
            <v>4</v>
          </cell>
          <cell r="BQ410">
            <v>16995</v>
          </cell>
          <cell r="BR410">
            <v>224630125</v>
          </cell>
          <cell r="BS410">
            <v>246633660.42048761</v>
          </cell>
          <cell r="BT410">
            <v>224630125</v>
          </cell>
          <cell r="BU410">
            <v>246633660.42048761</v>
          </cell>
          <cell r="BV410" t="str">
            <v>No</v>
          </cell>
          <cell r="BW410" t="str">
            <v>United Kingdom</v>
          </cell>
          <cell r="BX410" t="str">
            <v>Other</v>
          </cell>
          <cell r="BY410">
            <v>97.76</v>
          </cell>
        </row>
        <row r="411">
          <cell r="A411">
            <v>17844</v>
          </cell>
          <cell r="B411" t="str">
            <v>PORTA NUOVA ISOLA</v>
          </cell>
          <cell r="C411" t="str">
            <v>COIMA SGR</v>
          </cell>
          <cell r="D411" t="str">
            <v>Via De Castillia</v>
          </cell>
          <cell r="F411">
            <v>20121</v>
          </cell>
          <cell r="G411" t="str">
            <v>Italy</v>
          </cell>
          <cell r="H411" t="str">
            <v>+39 02 66556601</v>
          </cell>
          <cell r="I411" t="str">
            <v xml:space="preserve"> 02 62690921</v>
          </cell>
          <cell r="J411" t="str">
            <v>http://www.coimasgr.com/</v>
          </cell>
          <cell r="K411" t="str">
            <v>Teresa Montanarini</v>
          </cell>
          <cell r="L411" t="str">
            <v>teresa.montanarini@coimasgr.com</v>
          </cell>
          <cell r="M411" t="str">
            <v>+39 0265506601</v>
          </cell>
          <cell r="N411" t="str">
            <v>Kelly Russell</v>
          </cell>
          <cell r="O411" t="str">
            <v>kelly.russell@coimasgr.com</v>
          </cell>
          <cell r="P411" t="str">
            <v>+39 02655006601</v>
          </cell>
          <cell r="Q411" t="str">
            <v>Italy</v>
          </cell>
          <cell r="R411" t="str">
            <v>EUR</v>
          </cell>
          <cell r="S411" t="str">
            <v>Local GAAP</v>
          </cell>
          <cell r="T411" t="str">
            <v>Twice per year</v>
          </cell>
          <cell r="U411" t="str">
            <v>Twice per year</v>
          </cell>
          <cell r="V411" t="str">
            <v>NAV</v>
          </cell>
          <cell r="X411" t="str">
            <v>Ernst&amp;Young</v>
          </cell>
          <cell r="Y411" t="str">
            <v>Real Estate Fund</v>
          </cell>
          <cell r="Z411" t="str">
            <v>No</v>
          </cell>
          <cell r="AA411" t="str">
            <v>Yes</v>
          </cell>
          <cell r="AB411">
            <v>3</v>
          </cell>
          <cell r="AC411" t="str">
            <v>Non-Listed Fund</v>
          </cell>
          <cell r="AD411" t="str">
            <v>Core</v>
          </cell>
          <cell r="AE411" t="str">
            <v>finite</v>
          </cell>
          <cell r="AF411" t="str">
            <v>Closed end</v>
          </cell>
          <cell r="AG411">
            <v>8</v>
          </cell>
          <cell r="AH411">
            <v>8</v>
          </cell>
          <cell r="AI411" t="str">
            <v>Gross</v>
          </cell>
          <cell r="AL411">
            <v>80</v>
          </cell>
          <cell r="AM411" t="str">
            <v>&gt; 60%</v>
          </cell>
          <cell r="AN411" t="str">
            <v>Institutional</v>
          </cell>
          <cell r="AO411" t="str">
            <v>≤ 2</v>
          </cell>
          <cell r="AP411" t="str">
            <v>≥ 50%</v>
          </cell>
          <cell r="AQ411" t="str">
            <v>Europe</v>
          </cell>
          <cell r="AR411" t="str">
            <v>single country</v>
          </cell>
          <cell r="AT411" t="str">
            <v>Italy</v>
          </cell>
          <cell r="AU411" t="str">
            <v>multi sector</v>
          </cell>
          <cell r="AW411">
            <v>90000000</v>
          </cell>
          <cell r="AX411">
            <v>200000000</v>
          </cell>
          <cell r="AY411">
            <v>2013</v>
          </cell>
          <cell r="AZ411">
            <v>2030</v>
          </cell>
          <cell r="BA411" t="str">
            <v>No</v>
          </cell>
          <cell r="BB411" t="str">
            <v>Yes</v>
          </cell>
          <cell r="BC411" t="str">
            <v>3 years fixed</v>
          </cell>
          <cell r="BD411" t="str">
            <v>No</v>
          </cell>
          <cell r="BH411" t="str">
            <v>2019-12-31</v>
          </cell>
          <cell r="BI411">
            <v>105257615</v>
          </cell>
          <cell r="BJ411">
            <v>105257615</v>
          </cell>
          <cell r="BK411">
            <v>102101052</v>
          </cell>
          <cell r="BL411">
            <v>102101052</v>
          </cell>
          <cell r="BM411">
            <v>0</v>
          </cell>
          <cell r="BN411" t="str">
            <v>Yes</v>
          </cell>
          <cell r="BO411" t="str">
            <v>External</v>
          </cell>
          <cell r="BP411">
            <v>1</v>
          </cell>
          <cell r="BQ411">
            <v>4</v>
          </cell>
          <cell r="BR411">
            <v>83394522</v>
          </cell>
          <cell r="BS411">
            <v>83394522</v>
          </cell>
          <cell r="BT411">
            <v>73800481</v>
          </cell>
          <cell r="BU411">
            <v>73800481</v>
          </cell>
          <cell r="BV411" t="str">
            <v>No</v>
          </cell>
          <cell r="BW411" t="str">
            <v>Italy</v>
          </cell>
          <cell r="BX411" t="str">
            <v>Residential</v>
          </cell>
          <cell r="BY411">
            <v>100</v>
          </cell>
        </row>
        <row r="412">
          <cell r="A412">
            <v>367</v>
          </cell>
          <cell r="B412" t="str">
            <v>PRADERA EUROPEAN RETAIL FUND</v>
          </cell>
          <cell r="C412" t="str">
            <v>PRADERA - AM PLC</v>
          </cell>
          <cell r="D412" t="str">
            <v>Eldon House, 2-3 Eldon Street</v>
          </cell>
          <cell r="E412" t="str">
            <v>EC2M 7LS</v>
          </cell>
          <cell r="F412" t="str">
            <v>London</v>
          </cell>
          <cell r="G412" t="str">
            <v>United Kingdom</v>
          </cell>
          <cell r="H412" t="str">
            <v>+44 (0) 20 7539 5432</v>
          </cell>
          <cell r="I412" t="str">
            <v>+44 (0) 20 7504 8524</v>
          </cell>
          <cell r="J412" t="str">
            <v>http://www.pradera.com</v>
          </cell>
          <cell r="K412" t="str">
            <v>Murray Ridgeway</v>
          </cell>
          <cell r="L412" t="str">
            <v>murray.ridgeway@pradera.com</v>
          </cell>
          <cell r="M412" t="str">
            <v>+44 2075395458</v>
          </cell>
          <cell r="N412" t="str">
            <v>Murray Ridgeway</v>
          </cell>
          <cell r="O412" t="str">
            <v>murray.ridgeway@pradera.com</v>
          </cell>
          <cell r="P412" t="str">
            <v>+44 2075395458</v>
          </cell>
          <cell r="Q412" t="str">
            <v>Luxembourg</v>
          </cell>
          <cell r="R412" t="str">
            <v>EUR</v>
          </cell>
          <cell r="S412" t="str">
            <v>Local GAAP</v>
          </cell>
          <cell r="T412" t="str">
            <v>Twice per year</v>
          </cell>
          <cell r="U412" t="str">
            <v>Twice per year</v>
          </cell>
          <cell r="V412" t="str">
            <v>RICS</v>
          </cell>
          <cell r="W412" t="str">
            <v>INREV NAV</v>
          </cell>
          <cell r="X412" t="str">
            <v>Deloitte</v>
          </cell>
          <cell r="Y412" t="str">
            <v>FCP</v>
          </cell>
          <cell r="Z412" t="str">
            <v>Yes</v>
          </cell>
          <cell r="AA412" t="str">
            <v>Yes</v>
          </cell>
          <cell r="AB412">
            <v>4</v>
          </cell>
          <cell r="AC412" t="str">
            <v>Non-Listed Fund</v>
          </cell>
          <cell r="AD412" t="str">
            <v>Value-added</v>
          </cell>
          <cell r="AE412" t="str">
            <v>finite</v>
          </cell>
          <cell r="AF412" t="str">
            <v>Closed end</v>
          </cell>
          <cell r="AG412">
            <v>11</v>
          </cell>
          <cell r="AH412">
            <v>11</v>
          </cell>
          <cell r="AI412" t="str">
            <v>Net</v>
          </cell>
          <cell r="AJ412" t="str">
            <v>None</v>
          </cell>
          <cell r="AK412">
            <v>8</v>
          </cell>
          <cell r="AL412">
            <v>50</v>
          </cell>
          <cell r="AM412" t="str">
            <v>&gt; 40% - ≤ 60%</v>
          </cell>
          <cell r="AN412" t="str">
            <v>Institutional</v>
          </cell>
          <cell r="AO412" t="str">
            <v>&gt; 2</v>
          </cell>
          <cell r="AP412" t="str">
            <v>≥ 50%</v>
          </cell>
          <cell r="AQ412" t="str">
            <v>Europe</v>
          </cell>
          <cell r="AR412" t="str">
            <v>multi country</v>
          </cell>
          <cell r="AS412" t="str">
            <v>Southern Europe</v>
          </cell>
          <cell r="AU412" t="str">
            <v>single sector</v>
          </cell>
          <cell r="AV412" t="str">
            <v>Retail</v>
          </cell>
          <cell r="AW412">
            <v>400000000</v>
          </cell>
          <cell r="AX412">
            <v>1000000000</v>
          </cell>
          <cell r="AY412">
            <v>2004</v>
          </cell>
          <cell r="AZ412">
            <v>2018</v>
          </cell>
          <cell r="BA412" t="str">
            <v>Yes</v>
          </cell>
          <cell r="BB412" t="str">
            <v>Yes</v>
          </cell>
          <cell r="BC412" t="str">
            <v>1+1 years</v>
          </cell>
          <cell r="BH412" t="str">
            <v>2020-06-30</v>
          </cell>
          <cell r="BI412">
            <v>181344429</v>
          </cell>
          <cell r="BJ412">
            <v>181344429</v>
          </cell>
          <cell r="BK412">
            <v>91496683.359999999</v>
          </cell>
          <cell r="BL412">
            <v>91496683.359999999</v>
          </cell>
          <cell r="BM412">
            <v>36</v>
          </cell>
          <cell r="BN412" t="str">
            <v>No</v>
          </cell>
          <cell r="BO412" t="str">
            <v>External</v>
          </cell>
          <cell r="BP412">
            <v>11</v>
          </cell>
          <cell r="BQ412">
            <v>5</v>
          </cell>
          <cell r="BR412">
            <v>304000000</v>
          </cell>
          <cell r="BS412">
            <v>304000000</v>
          </cell>
          <cell r="BT412">
            <v>304000000</v>
          </cell>
          <cell r="BU412">
            <v>304000000</v>
          </cell>
          <cell r="BV412" t="str">
            <v>No</v>
          </cell>
          <cell r="BW412" t="str">
            <v>Greece</v>
          </cell>
          <cell r="BX412" t="str">
            <v>Retail</v>
          </cell>
          <cell r="BY412">
            <v>38</v>
          </cell>
          <cell r="BZ412" t="str">
            <v>Italy</v>
          </cell>
          <cell r="CA412" t="str">
            <v>Retail</v>
          </cell>
          <cell r="CB412">
            <v>61</v>
          </cell>
          <cell r="CC412" t="str">
            <v>Spain</v>
          </cell>
          <cell r="CD412" t="str">
            <v>Retail</v>
          </cell>
          <cell r="CE412">
            <v>1</v>
          </cell>
        </row>
        <row r="413">
          <cell r="A413">
            <v>18442</v>
          </cell>
          <cell r="B413" t="str">
            <v xml:space="preserve">PRADERA EUROPEAN RETAIL PARKS </v>
          </cell>
          <cell r="C413" t="str">
            <v xml:space="preserve">PRADERA </v>
          </cell>
          <cell r="D413" t="str">
            <v xml:space="preserve">Eldon House, 2-3 Eldon Street </v>
          </cell>
          <cell r="E413" t="str">
            <v>EC2M 7LS</v>
          </cell>
          <cell r="F413" t="str">
            <v>London</v>
          </cell>
          <cell r="G413" t="str">
            <v>United Kingdom</v>
          </cell>
          <cell r="H413" t="str">
            <v>0044 207 539 5432</v>
          </cell>
          <cell r="J413" t="str">
            <v>http://www.pradera.com</v>
          </cell>
          <cell r="K413" t="str">
            <v xml:space="preserve">John Hopkins </v>
          </cell>
          <cell r="L413" t="str">
            <v>john.hopkins@pradera.com</v>
          </cell>
          <cell r="M413" t="str">
            <v>0044 207 539 5432</v>
          </cell>
          <cell r="N413" t="str">
            <v>john.hopkins@pradera.com</v>
          </cell>
          <cell r="O413" t="str">
            <v>john.hopkins@pradera.com</v>
          </cell>
          <cell r="P413" t="str">
            <v>0044 207 539 5432</v>
          </cell>
          <cell r="Q413" t="str">
            <v>Luxembourg</v>
          </cell>
          <cell r="R413" t="str">
            <v>EUR</v>
          </cell>
          <cell r="S413" t="str">
            <v>Local GAAP</v>
          </cell>
          <cell r="T413" t="str">
            <v>Annually</v>
          </cell>
          <cell r="U413" t="str">
            <v>Twice per year</v>
          </cell>
          <cell r="V413" t="str">
            <v>RICS</v>
          </cell>
          <cell r="W413" t="str">
            <v>Lux NAV</v>
          </cell>
          <cell r="X413" t="str">
            <v>EY</v>
          </cell>
          <cell r="Y413" t="str">
            <v>SCSp</v>
          </cell>
          <cell r="Z413" t="str">
            <v>Yes</v>
          </cell>
          <cell r="AC413" t="str">
            <v>Non-Listed Fund</v>
          </cell>
          <cell r="AD413" t="str">
            <v>Core</v>
          </cell>
          <cell r="AE413" t="str">
            <v>finite</v>
          </cell>
          <cell r="AF413" t="str">
            <v>Closed end</v>
          </cell>
          <cell r="AG413">
            <v>10</v>
          </cell>
          <cell r="AH413">
            <v>10</v>
          </cell>
          <cell r="AK413">
            <v>8</v>
          </cell>
          <cell r="AN413" t="str">
            <v>Institutional</v>
          </cell>
          <cell r="AO413" t="str">
            <v>&gt; 2</v>
          </cell>
          <cell r="AP413" t="str">
            <v>≥ 50%</v>
          </cell>
          <cell r="AQ413" t="str">
            <v>Europe</v>
          </cell>
          <cell r="AR413" t="str">
            <v>multi country</v>
          </cell>
          <cell r="AS413" t="str">
            <v>Western Europe</v>
          </cell>
          <cell r="AU413" t="str">
            <v>single sector</v>
          </cell>
          <cell r="AV413" t="str">
            <v>Retail</v>
          </cell>
          <cell r="AY413">
            <v>2017</v>
          </cell>
          <cell r="BH413" t="str">
            <v>2020-06-30</v>
          </cell>
          <cell r="BI413">
            <v>740645169</v>
          </cell>
          <cell r="BJ413">
            <v>740645169</v>
          </cell>
          <cell r="BK413">
            <v>235729585</v>
          </cell>
          <cell r="BL413">
            <v>235729585</v>
          </cell>
          <cell r="BM413">
            <v>67</v>
          </cell>
          <cell r="BN413" t="str">
            <v>No</v>
          </cell>
          <cell r="BO413" t="str">
            <v>Internal</v>
          </cell>
          <cell r="BP413">
            <v>26</v>
          </cell>
          <cell r="BQ413">
            <v>18</v>
          </cell>
          <cell r="BR413">
            <v>254300000</v>
          </cell>
          <cell r="BS413">
            <v>254300000</v>
          </cell>
          <cell r="BT413">
            <v>254300000</v>
          </cell>
          <cell r="BU413">
            <v>254300000</v>
          </cell>
          <cell r="BV413" t="str">
            <v>No</v>
          </cell>
          <cell r="BW413" t="str">
            <v>Czech Republic</v>
          </cell>
          <cell r="BX413" t="str">
            <v>Retail</v>
          </cell>
          <cell r="BY413">
            <v>9</v>
          </cell>
          <cell r="BZ413" t="str">
            <v>France</v>
          </cell>
          <cell r="CA413" t="str">
            <v>Retail</v>
          </cell>
          <cell r="CB413">
            <v>16</v>
          </cell>
          <cell r="CC413" t="str">
            <v>Poland</v>
          </cell>
          <cell r="CD413" t="str">
            <v>Retail</v>
          </cell>
          <cell r="CE413">
            <v>34</v>
          </cell>
          <cell r="CF413" t="str">
            <v>Germany</v>
          </cell>
          <cell r="CG413" t="str">
            <v>Retail</v>
          </cell>
          <cell r="CH413">
            <v>41</v>
          </cell>
        </row>
        <row r="414">
          <cell r="A414">
            <v>18128</v>
          </cell>
          <cell r="B414" t="str">
            <v>PRIME LONDON RESIDENTIAL DEVELOPMENT FUND I</v>
          </cell>
          <cell r="C414" t="str">
            <v>SAVILLS INVESTMENT MANAGEMENT</v>
          </cell>
          <cell r="D414" t="str">
            <v>33 Margaret Street</v>
          </cell>
          <cell r="E414" t="str">
            <v>W1G0JD</v>
          </cell>
          <cell r="F414" t="str">
            <v>London</v>
          </cell>
          <cell r="G414" t="str">
            <v>United Kingdom</v>
          </cell>
          <cell r="H414" t="str">
            <v>+44 (0)20 7877 4700</v>
          </cell>
          <cell r="I414" t="str">
            <v>+44 (0)20 7877 4777</v>
          </cell>
          <cell r="J414" t="str">
            <v>http://savillsim.com</v>
          </cell>
          <cell r="K414" t="str">
            <v>Patrick Carr</v>
          </cell>
          <cell r="L414" t="str">
            <v>patrick.carr@savillsim.com</v>
          </cell>
          <cell r="M414" t="str">
            <v>+44 (0)20 7409 8715</v>
          </cell>
          <cell r="N414" t="str">
            <v>Lucy Auden</v>
          </cell>
          <cell r="O414" t="str">
            <v>lucy.auden@savillsim.com</v>
          </cell>
          <cell r="P414" t="str">
            <v>+44 (0)20 7409 8758</v>
          </cell>
          <cell r="Q414" t="str">
            <v>United Kingdom</v>
          </cell>
          <cell r="R414" t="str">
            <v>GBP</v>
          </cell>
          <cell r="S414" t="str">
            <v>IFRS</v>
          </cell>
          <cell r="T414" t="str">
            <v>Quarterly</v>
          </cell>
          <cell r="U414" t="str">
            <v>Quarterly</v>
          </cell>
          <cell r="X414" t="str">
            <v>KPMG</v>
          </cell>
          <cell r="Y414" t="str">
            <v>Limited Partnership</v>
          </cell>
          <cell r="Z414" t="str">
            <v>No</v>
          </cell>
          <cell r="AA414" t="str">
            <v>No</v>
          </cell>
          <cell r="AC414" t="str">
            <v>Non-Listed Fund</v>
          </cell>
          <cell r="AD414" t="str">
            <v>Opportunity</v>
          </cell>
          <cell r="AE414" t="str">
            <v>finite</v>
          </cell>
          <cell r="AF414" t="str">
            <v>Closed end</v>
          </cell>
          <cell r="AG414">
            <v>18</v>
          </cell>
          <cell r="AH414">
            <v>20</v>
          </cell>
          <cell r="AI414" t="str">
            <v>Net</v>
          </cell>
          <cell r="AJ414" t="str">
            <v>n/a</v>
          </cell>
          <cell r="AN414" t="str">
            <v>Retail</v>
          </cell>
          <cell r="AO414" t="str">
            <v>&gt; 2</v>
          </cell>
          <cell r="AP414" t="str">
            <v>≥ 50%</v>
          </cell>
          <cell r="AQ414" t="str">
            <v>Europe</v>
          </cell>
          <cell r="AR414" t="str">
            <v>single country</v>
          </cell>
          <cell r="AT414" t="str">
            <v>United Kingdom</v>
          </cell>
          <cell r="AU414" t="str">
            <v>single sector</v>
          </cell>
          <cell r="AV414" t="str">
            <v>Development Residential</v>
          </cell>
          <cell r="AW414">
            <v>125000000</v>
          </cell>
          <cell r="AY414">
            <v>2012</v>
          </cell>
          <cell r="AZ414">
            <v>2016</v>
          </cell>
          <cell r="BA414" t="str">
            <v>Yes</v>
          </cell>
          <cell r="BB414" t="str">
            <v>Yes</v>
          </cell>
          <cell r="BC414" t="str">
            <v>1+1 years</v>
          </cell>
          <cell r="BD414" t="str">
            <v>No</v>
          </cell>
          <cell r="BF414" t="str">
            <v>&gt; 40%</v>
          </cell>
          <cell r="BG414" t="str">
            <v>&gt; 25%</v>
          </cell>
        </row>
        <row r="415">
          <cell r="A415">
            <v>618</v>
          </cell>
          <cell r="B415" t="str">
            <v>PRIME RETAIL DEUTSCHLAND</v>
          </cell>
          <cell r="C415" t="str">
            <v>QUANTUM IMMOBILIEN KAPITALVERWALTUNGSGESELLSCHAFT MBH</v>
          </cell>
          <cell r="D415" t="str">
            <v>Dornbusch 4</v>
          </cell>
          <cell r="E415">
            <v>20095</v>
          </cell>
          <cell r="F415" t="str">
            <v>Hamburg</v>
          </cell>
          <cell r="G415" t="str">
            <v>Germany</v>
          </cell>
          <cell r="H415" t="str">
            <v>+49404143300</v>
          </cell>
          <cell r="I415" t="str">
            <v>+4940414330511</v>
          </cell>
          <cell r="J415" t="str">
            <v>http://quantum.ag/</v>
          </cell>
          <cell r="N415" t="str">
            <v>Johanna Jachczik</v>
          </cell>
          <cell r="O415" t="str">
            <v>jj@quantum.ag</v>
          </cell>
          <cell r="P415" t="str">
            <v>+4940414330544</v>
          </cell>
          <cell r="Q415" t="str">
            <v>Germany</v>
          </cell>
          <cell r="R415" t="str">
            <v>EUR</v>
          </cell>
          <cell r="S415" t="str">
            <v>Local GAAP</v>
          </cell>
          <cell r="T415" t="str">
            <v>Monthly</v>
          </cell>
          <cell r="U415" t="str">
            <v>Annually</v>
          </cell>
          <cell r="W415" t="str">
            <v>INREV NAV</v>
          </cell>
          <cell r="X415" t="str">
            <v>KPMG</v>
          </cell>
          <cell r="Y415" t="str">
            <v>Spezialfonds</v>
          </cell>
          <cell r="Z415" t="str">
            <v>Yes</v>
          </cell>
          <cell r="AA415" t="str">
            <v>Yes</v>
          </cell>
          <cell r="AB415">
            <v>3</v>
          </cell>
          <cell r="AC415" t="str">
            <v>Non-Listed Fund</v>
          </cell>
          <cell r="AD415" t="str">
            <v>Core</v>
          </cell>
          <cell r="AE415" t="str">
            <v>infinite</v>
          </cell>
          <cell r="AF415" t="str">
            <v>Open end</v>
          </cell>
          <cell r="AG415">
            <v>6</v>
          </cell>
          <cell r="AH415">
            <v>6.5</v>
          </cell>
          <cell r="AK415">
            <v>5.2</v>
          </cell>
          <cell r="AL415">
            <v>50</v>
          </cell>
          <cell r="AM415" t="str">
            <v>&gt; 40% - ≤ 60%</v>
          </cell>
          <cell r="AN415" t="str">
            <v>Institutional</v>
          </cell>
          <cell r="AO415" t="str">
            <v>&gt; 2</v>
          </cell>
          <cell r="AP415" t="str">
            <v>≥ 50%</v>
          </cell>
          <cell r="AQ415" t="str">
            <v>Europe</v>
          </cell>
          <cell r="AR415" t="str">
            <v>single country</v>
          </cell>
          <cell r="AT415" t="str">
            <v>Germany</v>
          </cell>
          <cell r="AU415" t="str">
            <v>single sector</v>
          </cell>
          <cell r="AV415" t="str">
            <v>Retail</v>
          </cell>
          <cell r="AW415">
            <v>150000000</v>
          </cell>
          <cell r="AX415">
            <v>250000000</v>
          </cell>
          <cell r="AY415">
            <v>2011</v>
          </cell>
          <cell r="BB415" t="str">
            <v>No</v>
          </cell>
          <cell r="BD415" t="str">
            <v>No</v>
          </cell>
          <cell r="BH415" t="str">
            <v>2020-12-31</v>
          </cell>
          <cell r="BI415">
            <v>274340235</v>
          </cell>
          <cell r="BJ415">
            <v>274340235</v>
          </cell>
          <cell r="BK415">
            <v>148923849</v>
          </cell>
          <cell r="BL415">
            <v>148923849</v>
          </cell>
          <cell r="BM415">
            <v>46.3</v>
          </cell>
          <cell r="BN415" t="str">
            <v>No</v>
          </cell>
          <cell r="BO415" t="str">
            <v>External</v>
          </cell>
          <cell r="BP415">
            <v>4</v>
          </cell>
          <cell r="BQ415">
            <v>3</v>
          </cell>
          <cell r="BR415">
            <v>150000000</v>
          </cell>
          <cell r="BS415">
            <v>150000000</v>
          </cell>
          <cell r="BT415">
            <v>139999933</v>
          </cell>
          <cell r="BU415">
            <v>139999933</v>
          </cell>
          <cell r="BV415" t="str">
            <v>No</v>
          </cell>
          <cell r="BW415" t="str">
            <v>Germany</v>
          </cell>
          <cell r="BX415" t="str">
            <v>Retail</v>
          </cell>
          <cell r="BY415">
            <v>100</v>
          </cell>
        </row>
        <row r="416">
          <cell r="A416">
            <v>372</v>
          </cell>
          <cell r="B416" t="str">
            <v>PRIME VALUE</v>
          </cell>
          <cell r="C416" t="str">
            <v>IMORENDIMENTO SGFII, SA</v>
          </cell>
          <cell r="D416" t="str">
            <v>Praça Bom Sucesso 127, Esc 210</v>
          </cell>
          <cell r="E416" t="str">
            <v>4050 146</v>
          </cell>
          <cell r="F416" t="str">
            <v>Porto</v>
          </cell>
          <cell r="G416" t="str">
            <v>Portugal</v>
          </cell>
          <cell r="H416" t="str">
            <v>+351 22 607 5660</v>
          </cell>
          <cell r="I416" t="str">
            <v>+351 22 607 5661</v>
          </cell>
          <cell r="J416" t="str">
            <v>http://www.imorendimento.com</v>
          </cell>
          <cell r="N416" t="str">
            <v>Armando Lacerda Queiroz</v>
          </cell>
          <cell r="O416" t="str">
            <v>lqueiroz@imorendimento.pt</v>
          </cell>
          <cell r="P416" t="str">
            <v>+351 22 607 5660</v>
          </cell>
          <cell r="Q416" t="str">
            <v>Portugal</v>
          </cell>
          <cell r="R416" t="str">
            <v>EUR</v>
          </cell>
          <cell r="T416" t="str">
            <v>Annually</v>
          </cell>
          <cell r="U416" t="str">
            <v>Quarterly</v>
          </cell>
          <cell r="X416" t="str">
            <v>PriceWaterhouseCoopers</v>
          </cell>
          <cell r="Y416" t="str">
            <v>Real Estate Fund</v>
          </cell>
          <cell r="AB416">
            <v>0</v>
          </cell>
          <cell r="AC416" t="str">
            <v>Non-Listed Fund</v>
          </cell>
          <cell r="AD416" t="str">
            <v>Value-added</v>
          </cell>
          <cell r="AE416" t="str">
            <v>finite</v>
          </cell>
          <cell r="AF416" t="str">
            <v>Closed end</v>
          </cell>
          <cell r="AG416">
            <v>0</v>
          </cell>
          <cell r="AH416">
            <v>10.5</v>
          </cell>
          <cell r="AJ416" t="str">
            <v>IPD Portugal Index</v>
          </cell>
          <cell r="AM416" t="str">
            <v>&gt; 60%</v>
          </cell>
          <cell r="AN416" t="str">
            <v>Institutional and Retail</v>
          </cell>
          <cell r="AQ416" t="str">
            <v>Europe</v>
          </cell>
          <cell r="AR416" t="str">
            <v>single country</v>
          </cell>
          <cell r="AT416" t="str">
            <v>Portugal</v>
          </cell>
          <cell r="AU416" t="str">
            <v>multi sector</v>
          </cell>
          <cell r="AY416">
            <v>2006</v>
          </cell>
          <cell r="AZ416">
            <v>2016</v>
          </cell>
          <cell r="BA416" t="str">
            <v>Yes</v>
          </cell>
          <cell r="BB416" t="str">
            <v>No</v>
          </cell>
          <cell r="BH416" t="str">
            <v>2010-12-31</v>
          </cell>
          <cell r="BJ416">
            <v>0</v>
          </cell>
          <cell r="BK416">
            <v>11000000</v>
          </cell>
          <cell r="BL416">
            <v>11000000</v>
          </cell>
          <cell r="BP416">
            <v>4</v>
          </cell>
          <cell r="BS416">
            <v>0</v>
          </cell>
          <cell r="BV416" t="str">
            <v>No</v>
          </cell>
        </row>
        <row r="417">
          <cell r="A417">
            <v>17154</v>
          </cell>
          <cell r="B417" t="str">
            <v>PRIMEVEST EUROPEAN PARKING FUND II</v>
          </cell>
          <cell r="C417" t="str">
            <v>PRIMEVEST CAPITAL PARTNERS NEDERLAND B.V.</v>
          </cell>
          <cell r="D417" t="str">
            <v>Maliebaan 27</v>
          </cell>
          <cell r="E417" t="str">
            <v>3581CC</v>
          </cell>
          <cell r="F417" t="str">
            <v>Utrecht</v>
          </cell>
          <cell r="G417" t="str">
            <v>Netherlands</v>
          </cell>
          <cell r="J417" t="str">
            <v>http://www.primevestcp.com</v>
          </cell>
          <cell r="K417" t="str">
            <v>Ruud Roosen</v>
          </cell>
          <cell r="L417" t="str">
            <v>ruud.roosen@primevestcp.com</v>
          </cell>
          <cell r="M417" t="str">
            <v>+31(0)6 13 61 22 35</v>
          </cell>
          <cell r="N417" t="str">
            <v>Bart Pierik</v>
          </cell>
          <cell r="O417" t="str">
            <v>bart.pierik@primevestcp.com</v>
          </cell>
          <cell r="P417" t="str">
            <v>+31 620 39 66 15</v>
          </cell>
          <cell r="Q417" t="str">
            <v>Germany</v>
          </cell>
          <cell r="R417" t="str">
            <v>EUR</v>
          </cell>
          <cell r="S417" t="str">
            <v>Local GAAP</v>
          </cell>
          <cell r="T417" t="str">
            <v>Quarterly</v>
          </cell>
          <cell r="U417" t="str">
            <v>Annually</v>
          </cell>
          <cell r="V417" t="str">
            <v>Ertragswert</v>
          </cell>
          <cell r="W417" t="str">
            <v>Local GAAP</v>
          </cell>
          <cell r="X417" t="str">
            <v>KPMG</v>
          </cell>
          <cell r="Y417" t="str">
            <v>Spezialfonds</v>
          </cell>
          <cell r="Z417" t="str">
            <v>No</v>
          </cell>
          <cell r="AA417" t="str">
            <v>Yes</v>
          </cell>
          <cell r="AB417">
            <v>4</v>
          </cell>
          <cell r="AC417" t="str">
            <v>Non-Listed Fund</v>
          </cell>
          <cell r="AD417" t="str">
            <v>Core</v>
          </cell>
          <cell r="AE417" t="str">
            <v>finite</v>
          </cell>
          <cell r="AF417" t="str">
            <v>Closed end</v>
          </cell>
          <cell r="AG417">
            <v>7</v>
          </cell>
          <cell r="AH417">
            <v>8</v>
          </cell>
          <cell r="AI417" t="str">
            <v>Net</v>
          </cell>
          <cell r="AJ417" t="str">
            <v>NA</v>
          </cell>
          <cell r="AK417">
            <v>5</v>
          </cell>
          <cell r="AL417">
            <v>50</v>
          </cell>
          <cell r="AM417" t="str">
            <v>&gt; 40%</v>
          </cell>
          <cell r="AN417" t="str">
            <v>Institutional</v>
          </cell>
          <cell r="AO417" t="str">
            <v>&gt; 2</v>
          </cell>
          <cell r="AP417" t="str">
            <v>≥ 50%</v>
          </cell>
          <cell r="AQ417" t="str">
            <v>Europe</v>
          </cell>
          <cell r="AR417" t="str">
            <v>multi country</v>
          </cell>
          <cell r="AS417" t="str">
            <v>Europe</v>
          </cell>
          <cell r="AU417" t="str">
            <v>single sector</v>
          </cell>
          <cell r="AV417" t="str">
            <v>Parking</v>
          </cell>
          <cell r="AW417">
            <v>187000000</v>
          </cell>
          <cell r="AX417">
            <v>350000000</v>
          </cell>
          <cell r="AY417">
            <v>2012</v>
          </cell>
          <cell r="AZ417">
            <v>2022</v>
          </cell>
          <cell r="BA417" t="str">
            <v>No</v>
          </cell>
          <cell r="BB417" t="str">
            <v>No</v>
          </cell>
          <cell r="BD417" t="str">
            <v>No</v>
          </cell>
          <cell r="BE417" t="str">
            <v>≥ 60%</v>
          </cell>
          <cell r="BF417" t="str">
            <v>≤ 15%</v>
          </cell>
          <cell r="BG417" t="str">
            <v>≤ 5%</v>
          </cell>
          <cell r="BH417" t="str">
            <v>2018-09-30</v>
          </cell>
          <cell r="BI417">
            <v>324722727</v>
          </cell>
          <cell r="BJ417">
            <v>324722727</v>
          </cell>
          <cell r="BK417">
            <v>187987567</v>
          </cell>
          <cell r="BL417">
            <v>187987567</v>
          </cell>
          <cell r="BM417">
            <v>41.3</v>
          </cell>
          <cell r="BN417" t="str">
            <v>No</v>
          </cell>
          <cell r="BO417" t="str">
            <v>External</v>
          </cell>
          <cell r="BP417">
            <v>9</v>
          </cell>
          <cell r="BQ417">
            <v>13</v>
          </cell>
          <cell r="BR417">
            <v>183500000</v>
          </cell>
          <cell r="BS417">
            <v>183500000</v>
          </cell>
          <cell r="BT417">
            <v>183500000</v>
          </cell>
          <cell r="BU417">
            <v>183500000</v>
          </cell>
          <cell r="BV417" t="str">
            <v>No</v>
          </cell>
        </row>
        <row r="418">
          <cell r="A418">
            <v>17577</v>
          </cell>
          <cell r="B418" t="str">
            <v>PRIMEVEST EUROPEAN PARKING FUND III</v>
          </cell>
          <cell r="C418" t="str">
            <v>PRIMEVEST CAPITAL PARTNERS</v>
          </cell>
          <cell r="D418" t="str">
            <v>Maliebaan 27</v>
          </cell>
          <cell r="E418" t="str">
            <v>3581CC</v>
          </cell>
          <cell r="F418" t="str">
            <v>Utrecht</v>
          </cell>
          <cell r="G418" t="str">
            <v>Netherlands</v>
          </cell>
          <cell r="J418" t="str">
            <v>http://www.primevestcp.com</v>
          </cell>
          <cell r="K418" t="str">
            <v>René Zerull</v>
          </cell>
          <cell r="L418" t="str">
            <v>rene.zerull@primevestcp.com</v>
          </cell>
          <cell r="M418" t="str">
            <v>+49 173 235 7221</v>
          </cell>
          <cell r="N418" t="str">
            <v>Bart Pierik</v>
          </cell>
          <cell r="O418" t="str">
            <v>bart.pierik@primevestcp.com</v>
          </cell>
          <cell r="P418" t="str">
            <v>+31 620 39 66 15</v>
          </cell>
          <cell r="Q418" t="str">
            <v>Germany</v>
          </cell>
          <cell r="R418" t="str">
            <v>EUR</v>
          </cell>
          <cell r="S418" t="str">
            <v>Local GAAP</v>
          </cell>
          <cell r="T418" t="str">
            <v>Monthly</v>
          </cell>
          <cell r="U418" t="str">
            <v>Annually</v>
          </cell>
          <cell r="V418" t="str">
            <v>Other - mark to market</v>
          </cell>
          <cell r="W418" t="str">
            <v>INREV NAV</v>
          </cell>
          <cell r="Y418" t="str">
            <v>Spezialfonds</v>
          </cell>
          <cell r="Z418" t="str">
            <v>Yes</v>
          </cell>
          <cell r="AA418" t="str">
            <v>Yes</v>
          </cell>
          <cell r="AC418" t="str">
            <v>Non-Listed Fund</v>
          </cell>
          <cell r="AD418" t="str">
            <v>Core</v>
          </cell>
          <cell r="AE418" t="str">
            <v>infinite</v>
          </cell>
          <cell r="AF418" t="str">
            <v>Open end</v>
          </cell>
          <cell r="AG418">
            <v>6</v>
          </cell>
          <cell r="AH418">
            <v>7</v>
          </cell>
          <cell r="AI418" t="str">
            <v>Net</v>
          </cell>
          <cell r="AL418">
            <v>50</v>
          </cell>
          <cell r="AM418" t="str">
            <v>&gt; 40% - ≤ 60%</v>
          </cell>
          <cell r="AN418" t="str">
            <v>Institutional</v>
          </cell>
          <cell r="AO418" t="str">
            <v>&gt; 2</v>
          </cell>
          <cell r="AP418" t="str">
            <v>≥ 50%</v>
          </cell>
          <cell r="AQ418" t="str">
            <v>Europe</v>
          </cell>
          <cell r="AR418" t="str">
            <v>multi country</v>
          </cell>
          <cell r="AS418" t="str">
            <v>Europe</v>
          </cell>
          <cell r="AU418" t="str">
            <v>single sector</v>
          </cell>
          <cell r="AV418" t="str">
            <v>Parking</v>
          </cell>
          <cell r="AW418">
            <v>210000000</v>
          </cell>
          <cell r="AX418">
            <v>400000000</v>
          </cell>
          <cell r="AY418">
            <v>2014</v>
          </cell>
          <cell r="BD418" t="str">
            <v>No</v>
          </cell>
          <cell r="BE418" t="str">
            <v>≥ 60%</v>
          </cell>
          <cell r="BF418" t="str">
            <v>≤ 15%</v>
          </cell>
          <cell r="BG418" t="str">
            <v>≤ 5%</v>
          </cell>
          <cell r="BH418" t="str">
            <v>2018-09-30</v>
          </cell>
          <cell r="BI418">
            <v>457254480</v>
          </cell>
          <cell r="BJ418">
            <v>457254480</v>
          </cell>
          <cell r="BK418">
            <v>237034536.08000001</v>
          </cell>
          <cell r="BL418">
            <v>237034536.08000001</v>
          </cell>
          <cell r="BM418">
            <v>39.700000000000003</v>
          </cell>
          <cell r="BN418" t="str">
            <v>No</v>
          </cell>
          <cell r="BO418" t="str">
            <v>External</v>
          </cell>
          <cell r="BP418">
            <v>8</v>
          </cell>
          <cell r="BQ418">
            <v>22</v>
          </cell>
          <cell r="BR418">
            <v>220700000</v>
          </cell>
          <cell r="BS418">
            <v>220700000</v>
          </cell>
          <cell r="BT418">
            <v>220700000</v>
          </cell>
          <cell r="BU418">
            <v>220700000</v>
          </cell>
          <cell r="BW418" t="str">
            <v>Netherlands</v>
          </cell>
          <cell r="BX418" t="str">
            <v>Parking</v>
          </cell>
          <cell r="BY418">
            <v>38.5</v>
          </cell>
          <cell r="BZ418" t="str">
            <v>France</v>
          </cell>
          <cell r="CA418" t="str">
            <v>Parking</v>
          </cell>
          <cell r="CB418">
            <v>18.5</v>
          </cell>
          <cell r="CC418" t="str">
            <v>United Kingdom</v>
          </cell>
          <cell r="CD418" t="str">
            <v>Parking</v>
          </cell>
          <cell r="CE418">
            <v>17</v>
          </cell>
          <cell r="CF418" t="str">
            <v>Germany</v>
          </cell>
          <cell r="CG418" t="str">
            <v>Parking</v>
          </cell>
          <cell r="CH418">
            <v>12.7</v>
          </cell>
          <cell r="CI418" t="str">
            <v>Finland</v>
          </cell>
          <cell r="CJ418" t="str">
            <v>Parking</v>
          </cell>
          <cell r="CK418">
            <v>6.8</v>
          </cell>
          <cell r="CL418" t="str">
            <v>Spain</v>
          </cell>
          <cell r="CM418" t="str">
            <v>Parking</v>
          </cell>
          <cell r="CN418">
            <v>3.6</v>
          </cell>
          <cell r="CO418" t="str">
            <v>Ireland</v>
          </cell>
          <cell r="CP418" t="str">
            <v>Parking</v>
          </cell>
          <cell r="CQ418">
            <v>2.9</v>
          </cell>
        </row>
        <row r="419">
          <cell r="A419">
            <v>19146</v>
          </cell>
          <cell r="B419" t="str">
            <v>PRINCIPAL EUROPEAN CORE FUND</v>
          </cell>
          <cell r="C419" t="str">
            <v>PRINCIPAL REAL ESTATE EUROPE</v>
          </cell>
          <cell r="D419" t="str">
            <v>65 Grosvenor Street</v>
          </cell>
          <cell r="E419" t="str">
            <v>W1K3JH</v>
          </cell>
          <cell r="F419" t="str">
            <v>London</v>
          </cell>
          <cell r="G419" t="str">
            <v>United Kingdom</v>
          </cell>
          <cell r="K419" t="str">
            <v>Giles Smith</v>
          </cell>
          <cell r="L419" t="str">
            <v>smith.giles@principalreeurope.com</v>
          </cell>
          <cell r="M419" t="str">
            <v>+44 (0) 20 7355 8819</v>
          </cell>
          <cell r="N419" t="str">
            <v>Michelle Fang</v>
          </cell>
          <cell r="Q419" t="str">
            <v>Luxembourg</v>
          </cell>
          <cell r="R419" t="str">
            <v>EUR</v>
          </cell>
          <cell r="S419" t="str">
            <v>Luxembourg GAAP</v>
          </cell>
          <cell r="T419" t="str">
            <v>Quarterly</v>
          </cell>
          <cell r="U419" t="str">
            <v>Quarterly</v>
          </cell>
          <cell r="V419" t="str">
            <v>RICS</v>
          </cell>
          <cell r="W419" t="str">
            <v>Luxembourg GAAP</v>
          </cell>
          <cell r="X419" t="str">
            <v>EY</v>
          </cell>
          <cell r="Y419" t="str">
            <v>Spezialfonds</v>
          </cell>
          <cell r="Z419" t="str">
            <v>No</v>
          </cell>
          <cell r="AA419" t="str">
            <v>No</v>
          </cell>
          <cell r="AB419">
            <v>0</v>
          </cell>
          <cell r="AC419" t="str">
            <v>Non-Listed Fund</v>
          </cell>
          <cell r="AD419" t="str">
            <v>Core</v>
          </cell>
          <cell r="AE419" t="str">
            <v>infinite</v>
          </cell>
          <cell r="AF419" t="str">
            <v>Open end</v>
          </cell>
          <cell r="AG419">
            <v>6</v>
          </cell>
          <cell r="AH419">
            <v>8</v>
          </cell>
          <cell r="AI419" t="str">
            <v>Net</v>
          </cell>
          <cell r="AK419">
            <v>5</v>
          </cell>
          <cell r="AL419">
            <v>30</v>
          </cell>
          <cell r="AM419" t="str">
            <v>&gt; 40%</v>
          </cell>
          <cell r="AN419" t="str">
            <v>Institutional</v>
          </cell>
          <cell r="AO419" t="str">
            <v>&gt; 2</v>
          </cell>
          <cell r="AP419" t="str">
            <v>≥ 50%</v>
          </cell>
          <cell r="AQ419" t="str">
            <v>Europe</v>
          </cell>
          <cell r="AR419" t="str">
            <v>multi country</v>
          </cell>
          <cell r="AS419" t="str">
            <v>Europe</v>
          </cell>
          <cell r="AU419" t="str">
            <v>multi sector</v>
          </cell>
          <cell r="AW419">
            <v>1400000000</v>
          </cell>
          <cell r="AX419">
            <v>2000000000</v>
          </cell>
          <cell r="AY419">
            <v>2017</v>
          </cell>
          <cell r="BD419" t="str">
            <v>No</v>
          </cell>
          <cell r="BE419" t="str">
            <v>≥ 60%</v>
          </cell>
          <cell r="BF419" t="str">
            <v>≤ 15%</v>
          </cell>
          <cell r="BG419" t="str">
            <v>&gt; 5 - ≤ 25%</v>
          </cell>
          <cell r="BH419" t="str">
            <v>2020-12-31</v>
          </cell>
          <cell r="BI419">
            <v>243895644.55000001</v>
          </cell>
          <cell r="BJ419">
            <v>243895644.55000001</v>
          </cell>
          <cell r="BK419">
            <v>164938962</v>
          </cell>
          <cell r="BL419">
            <v>164938962</v>
          </cell>
          <cell r="BM419">
            <v>29.41</v>
          </cell>
          <cell r="BN419" t="str">
            <v>No</v>
          </cell>
          <cell r="BO419" t="str">
            <v>External</v>
          </cell>
          <cell r="BP419">
            <v>10</v>
          </cell>
          <cell r="BQ419">
            <v>8</v>
          </cell>
          <cell r="BR419">
            <v>203132193</v>
          </cell>
          <cell r="BS419">
            <v>203132193</v>
          </cell>
          <cell r="BT419">
            <v>163921104</v>
          </cell>
          <cell r="BU419">
            <v>163921104</v>
          </cell>
          <cell r="BV419" t="str">
            <v>No</v>
          </cell>
          <cell r="BW419" t="str">
            <v>Netherlands</v>
          </cell>
          <cell r="BX419" t="str">
            <v>Industrial / Logistics</v>
          </cell>
          <cell r="BY419">
            <v>9.35</v>
          </cell>
          <cell r="BZ419" t="str">
            <v>Spain</v>
          </cell>
          <cell r="CA419" t="str">
            <v>Office</v>
          </cell>
          <cell r="CB419">
            <v>5.08</v>
          </cell>
          <cell r="CC419" t="str">
            <v>Germany</v>
          </cell>
          <cell r="CD419" t="str">
            <v>Mixed</v>
          </cell>
          <cell r="CE419">
            <v>26.69</v>
          </cell>
          <cell r="CF419" t="str">
            <v>Italy</v>
          </cell>
          <cell r="CG419" t="str">
            <v>Office</v>
          </cell>
          <cell r="CH419">
            <v>5.41</v>
          </cell>
          <cell r="CI419" t="str">
            <v>Italy</v>
          </cell>
          <cell r="CJ419" t="str">
            <v>Industrial / Logistics</v>
          </cell>
          <cell r="CK419">
            <v>13.32</v>
          </cell>
          <cell r="CL419" t="str">
            <v>France</v>
          </cell>
          <cell r="CM419" t="str">
            <v>Office</v>
          </cell>
          <cell r="CN419">
            <v>34.89</v>
          </cell>
        </row>
        <row r="420">
          <cell r="A420">
            <v>151</v>
          </cell>
          <cell r="B420" t="str">
            <v>PRINCIPAL EUROPEAN OFFICE FUND</v>
          </cell>
          <cell r="C420" t="str">
            <v>PRINCIPAL REAL ESTATE SPEZIALFONDSGESELLSCHAFT MBH</v>
          </cell>
          <cell r="D420" t="str">
            <v>Taunusanlage 16</v>
          </cell>
          <cell r="E420">
            <v>60325</v>
          </cell>
          <cell r="F420" t="str">
            <v>Frankfurt am Main</v>
          </cell>
          <cell r="G420" t="str">
            <v>Germany</v>
          </cell>
          <cell r="H420" t="str">
            <v>+49 (0) 69 50 50 66 90</v>
          </cell>
          <cell r="I420" t="str">
            <v>+49 69 50 50 66 9-29</v>
          </cell>
          <cell r="J420" t="str">
            <v>http://www.principalreeurope.com</v>
          </cell>
          <cell r="K420" t="str">
            <v>Aleksandar Varnev</v>
          </cell>
          <cell r="L420" t="str">
            <v>Varnev.Aleksandar@PrincipalREEurope.com</v>
          </cell>
          <cell r="M420" t="str">
            <v>+49 (0) 69 50 50 66 959</v>
          </cell>
          <cell r="N420" t="str">
            <v>Frank Richter</v>
          </cell>
          <cell r="O420" t="str">
            <v>Richter.Frank@principal.com</v>
          </cell>
          <cell r="P420" t="str">
            <v>+49 (0) 69 50 50 66 90</v>
          </cell>
          <cell r="Q420" t="str">
            <v>Germany</v>
          </cell>
          <cell r="R420" t="str">
            <v>EUR</v>
          </cell>
          <cell r="T420" t="str">
            <v>Twice per year</v>
          </cell>
          <cell r="U420" t="str">
            <v>Annually</v>
          </cell>
          <cell r="W420" t="str">
            <v>German investment tax law</v>
          </cell>
          <cell r="X420" t="str">
            <v>EY</v>
          </cell>
          <cell r="Y420" t="str">
            <v>Spezialfonds</v>
          </cell>
          <cell r="Z420" t="str">
            <v>No</v>
          </cell>
          <cell r="AA420" t="str">
            <v>Yes</v>
          </cell>
          <cell r="AC420" t="str">
            <v>Non-Listed Fund</v>
          </cell>
          <cell r="AD420" t="str">
            <v>Core</v>
          </cell>
          <cell r="AE420" t="str">
            <v>infinite</v>
          </cell>
          <cell r="AF420" t="str">
            <v>Open end</v>
          </cell>
          <cell r="AG420">
            <v>4.5</v>
          </cell>
          <cell r="AH420">
            <v>4.5</v>
          </cell>
          <cell r="AI420" t="str">
            <v>Net</v>
          </cell>
          <cell r="AK420">
            <v>5</v>
          </cell>
          <cell r="AL420">
            <v>45</v>
          </cell>
          <cell r="AM420" t="str">
            <v>&gt; 40% - ≤ 60%</v>
          </cell>
          <cell r="AN420" t="str">
            <v>Institutional</v>
          </cell>
          <cell r="AO420" t="str">
            <v>&gt; 2</v>
          </cell>
          <cell r="AP420" t="str">
            <v>≥ 50%</v>
          </cell>
          <cell r="AQ420" t="str">
            <v>Europe</v>
          </cell>
          <cell r="AR420" t="str">
            <v>multi country</v>
          </cell>
          <cell r="AS420" t="str">
            <v>Europe</v>
          </cell>
          <cell r="AU420" t="str">
            <v>single sector</v>
          </cell>
          <cell r="AV420" t="str">
            <v>Office</v>
          </cell>
          <cell r="AW420">
            <v>300000000</v>
          </cell>
          <cell r="AX420">
            <v>600000000</v>
          </cell>
          <cell r="AY420">
            <v>2003</v>
          </cell>
          <cell r="BH420" t="str">
            <v>2020-12-31</v>
          </cell>
          <cell r="BI420">
            <v>355211829</v>
          </cell>
          <cell r="BJ420">
            <v>355211829</v>
          </cell>
          <cell r="BK420">
            <v>197436829</v>
          </cell>
          <cell r="BL420">
            <v>197436829</v>
          </cell>
          <cell r="BM420">
            <v>44.42</v>
          </cell>
          <cell r="BN420" t="str">
            <v>No</v>
          </cell>
          <cell r="BO420" t="str">
            <v>Internal</v>
          </cell>
          <cell r="BP420">
            <v>14</v>
          </cell>
          <cell r="BQ420">
            <v>9</v>
          </cell>
          <cell r="BR420">
            <v>256144710</v>
          </cell>
          <cell r="BS420">
            <v>256144710</v>
          </cell>
          <cell r="BT420">
            <v>203447777</v>
          </cell>
          <cell r="BU420">
            <v>203447777</v>
          </cell>
          <cell r="BV420" t="str">
            <v>Yes</v>
          </cell>
          <cell r="BW420" t="str">
            <v>France</v>
          </cell>
          <cell r="BX420" t="str">
            <v>Office</v>
          </cell>
          <cell r="BY420">
            <v>33.659999999999997</v>
          </cell>
          <cell r="BZ420" t="str">
            <v>Italy</v>
          </cell>
          <cell r="CA420" t="str">
            <v>Office</v>
          </cell>
          <cell r="CB420">
            <v>16.77</v>
          </cell>
          <cell r="CC420" t="str">
            <v>Netherlands</v>
          </cell>
          <cell r="CD420" t="str">
            <v>Office</v>
          </cell>
          <cell r="CE420">
            <v>29.76</v>
          </cell>
          <cell r="CF420" t="str">
            <v>Portugal</v>
          </cell>
          <cell r="CG420" t="str">
            <v>Office</v>
          </cell>
          <cell r="CH420">
            <v>9.84</v>
          </cell>
          <cell r="CI420" t="str">
            <v>Spain</v>
          </cell>
          <cell r="CJ420" t="str">
            <v>Office</v>
          </cell>
          <cell r="CK420">
            <v>9.9700000000000006</v>
          </cell>
        </row>
        <row r="421">
          <cell r="A421">
            <v>374</v>
          </cell>
          <cell r="B421" t="str">
            <v>PRODESPA</v>
          </cell>
          <cell r="C421" t="str">
            <v>DEKA IMMOBILIEN INVESTMENT</v>
          </cell>
          <cell r="D421" t="str">
            <v>Taunusanlage 1</v>
          </cell>
          <cell r="E421">
            <v>60329</v>
          </cell>
          <cell r="F421" t="str">
            <v>Frankfurt</v>
          </cell>
          <cell r="G421" t="str">
            <v>Germany</v>
          </cell>
          <cell r="H421" t="str">
            <v>+49 (0) 69 71 47 0</v>
          </cell>
          <cell r="I421" t="str">
            <v>+49 (0) 69 71 47 31 14</v>
          </cell>
          <cell r="J421" t="str">
            <v>http://www.deka-immobilien.de</v>
          </cell>
          <cell r="K421" t="str">
            <v>Andreas Barak</v>
          </cell>
          <cell r="L421" t="str">
            <v>andreas.barak@deka.de</v>
          </cell>
          <cell r="M421" t="str">
            <v>+49 (0) 69 71 47 77 43</v>
          </cell>
          <cell r="N421" t="str">
            <v>Michaela Graefe</v>
          </cell>
          <cell r="O421" t="str">
            <v>michaela.graefe@deka.de</v>
          </cell>
          <cell r="P421" t="str">
            <v>+49 (0) 69 71 47 35 04</v>
          </cell>
          <cell r="Q421" t="str">
            <v>Germany</v>
          </cell>
          <cell r="R421" t="str">
            <v>EUR</v>
          </cell>
          <cell r="S421" t="str">
            <v>German HGB</v>
          </cell>
          <cell r="T421" t="str">
            <v>Annually</v>
          </cell>
          <cell r="U421" t="str">
            <v>Annually</v>
          </cell>
          <cell r="V421" t="str">
            <v>ImmoWertV</v>
          </cell>
          <cell r="X421" t="str">
            <v>KPMG</v>
          </cell>
          <cell r="Y421" t="str">
            <v>Spezialfonds</v>
          </cell>
          <cell r="Z421" t="str">
            <v>No</v>
          </cell>
          <cell r="AA421" t="str">
            <v>Yes</v>
          </cell>
          <cell r="AB421">
            <v>10</v>
          </cell>
          <cell r="AC421" t="str">
            <v>Non-Listed Fund</v>
          </cell>
          <cell r="AD421" t="str">
            <v>Core</v>
          </cell>
          <cell r="AE421" t="str">
            <v>infinite</v>
          </cell>
          <cell r="AF421" t="str">
            <v>Open end</v>
          </cell>
          <cell r="AG421">
            <v>4</v>
          </cell>
          <cell r="AH421">
            <v>6</v>
          </cell>
          <cell r="AJ421" t="str">
            <v>BVI Open Real Estate</v>
          </cell>
          <cell r="AK421">
            <v>5</v>
          </cell>
          <cell r="AL421">
            <v>50</v>
          </cell>
          <cell r="AM421" t="str">
            <v>&gt; 40% - ≤ 60%</v>
          </cell>
          <cell r="AN421" t="str">
            <v>Institutional</v>
          </cell>
          <cell r="AO421" t="str">
            <v>&gt; 2</v>
          </cell>
          <cell r="AP421" t="str">
            <v>≥ 50%</v>
          </cell>
          <cell r="AQ421" t="str">
            <v>Europe</v>
          </cell>
          <cell r="AR421" t="str">
            <v>multi country</v>
          </cell>
          <cell r="AS421" t="str">
            <v>Europe</v>
          </cell>
          <cell r="AU421" t="str">
            <v>multi sector</v>
          </cell>
          <cell r="AW421">
            <v>450000000</v>
          </cell>
          <cell r="AX421">
            <v>900000000</v>
          </cell>
          <cell r="AY421">
            <v>1998</v>
          </cell>
          <cell r="BA421" t="str">
            <v>No</v>
          </cell>
          <cell r="BH421" t="str">
            <v>2020-12-31</v>
          </cell>
          <cell r="BI421">
            <v>8674360</v>
          </cell>
          <cell r="BJ421">
            <v>8674360</v>
          </cell>
          <cell r="BK421">
            <v>8638822</v>
          </cell>
          <cell r="BL421">
            <v>8638822</v>
          </cell>
          <cell r="BM421">
            <v>0</v>
          </cell>
          <cell r="BN421" t="str">
            <v>No</v>
          </cell>
          <cell r="BO421" t="str">
            <v>External</v>
          </cell>
          <cell r="BP421">
            <v>13</v>
          </cell>
          <cell r="BQ421">
            <v>0</v>
          </cell>
          <cell r="BR421">
            <v>43593151</v>
          </cell>
          <cell r="BS421">
            <v>43593151</v>
          </cell>
          <cell r="BT421">
            <v>43593151</v>
          </cell>
          <cell r="BU421">
            <v>43593151</v>
          </cell>
          <cell r="BV421" t="str">
            <v>No</v>
          </cell>
        </row>
        <row r="422">
          <cell r="A422">
            <v>375</v>
          </cell>
          <cell r="B422" t="str">
            <v>PROLOGIS EUROPEAN LOGISTICS FUND</v>
          </cell>
          <cell r="C422" t="str">
            <v>PROLOGIS MANAGEMENT SARL II</v>
          </cell>
          <cell r="D422" t="str">
            <v>34-38 Avenue de la Liberté</v>
          </cell>
          <cell r="E422" t="str">
            <v>L-193</v>
          </cell>
          <cell r="F422" t="str">
            <v>Luxembourg</v>
          </cell>
          <cell r="G422" t="str">
            <v>Luxembourg</v>
          </cell>
          <cell r="H422" t="str">
            <v>+352 2620 5740</v>
          </cell>
          <cell r="I422" t="str">
            <v>+352 2620 5744</v>
          </cell>
          <cell r="K422" t="str">
            <v>Ali Nassiri</v>
          </cell>
          <cell r="L422" t="str">
            <v>anassiri@prologis.com</v>
          </cell>
          <cell r="M422" t="str">
            <v>+31206556658</v>
          </cell>
          <cell r="N422" t="str">
            <v>Jamie Cameron</v>
          </cell>
          <cell r="O422" t="str">
            <v>jcameron@prologis.com</v>
          </cell>
          <cell r="P422" t="str">
            <v>+44 2075188710</v>
          </cell>
          <cell r="Q422" t="str">
            <v>Luxembourg</v>
          </cell>
          <cell r="R422" t="str">
            <v>EUR</v>
          </cell>
          <cell r="S422" t="str">
            <v>IFRS</v>
          </cell>
          <cell r="T422" t="str">
            <v>Quarterly</v>
          </cell>
          <cell r="U422" t="str">
            <v>Quarterly</v>
          </cell>
          <cell r="V422" t="str">
            <v>RICS</v>
          </cell>
          <cell r="W422" t="str">
            <v>IFRS NAV</v>
          </cell>
          <cell r="X422" t="str">
            <v>KPMG</v>
          </cell>
          <cell r="Y422" t="str">
            <v>FCP</v>
          </cell>
          <cell r="Z422" t="str">
            <v>Yes</v>
          </cell>
          <cell r="AA422" t="str">
            <v>Yes</v>
          </cell>
          <cell r="AB422">
            <v>5</v>
          </cell>
          <cell r="AC422" t="str">
            <v>Non-Listed Fund</v>
          </cell>
          <cell r="AD422" t="str">
            <v>Core</v>
          </cell>
          <cell r="AE422" t="str">
            <v>infinite</v>
          </cell>
          <cell r="AF422" t="str">
            <v>Open end</v>
          </cell>
          <cell r="AG422">
            <v>7</v>
          </cell>
          <cell r="AH422">
            <v>9</v>
          </cell>
          <cell r="AI422" t="str">
            <v>Net</v>
          </cell>
          <cell r="AJ422" t="str">
            <v>IPD Pan-European Industrial Benchmark</v>
          </cell>
          <cell r="AK422">
            <v>5</v>
          </cell>
          <cell r="AL422">
            <v>35</v>
          </cell>
          <cell r="AM422" t="str">
            <v>&gt; 40% - ≤ 60%</v>
          </cell>
          <cell r="AN422" t="str">
            <v>Institutional</v>
          </cell>
          <cell r="AO422" t="str">
            <v>&gt; 2</v>
          </cell>
          <cell r="AP422" t="str">
            <v>≥ 50%</v>
          </cell>
          <cell r="AQ422" t="str">
            <v>Europe</v>
          </cell>
          <cell r="AR422" t="str">
            <v>multi country</v>
          </cell>
          <cell r="AS422" t="str">
            <v>Europe</v>
          </cell>
          <cell r="AU422" t="str">
            <v>single sector</v>
          </cell>
          <cell r="AV422" t="str">
            <v>Industrial / Logistics</v>
          </cell>
          <cell r="AW422">
            <v>3000000000</v>
          </cell>
          <cell r="AX422">
            <v>4250000000</v>
          </cell>
          <cell r="AY422">
            <v>2007</v>
          </cell>
          <cell r="BA422" t="str">
            <v>No</v>
          </cell>
          <cell r="BB422" t="str">
            <v>No</v>
          </cell>
          <cell r="BD422" t="str">
            <v>No</v>
          </cell>
          <cell r="BF422" t="str">
            <v>≤ 15%</v>
          </cell>
          <cell r="BG422" t="str">
            <v>≤ 5%</v>
          </cell>
          <cell r="BH422" t="str">
            <v>2020-12-31</v>
          </cell>
          <cell r="BI422">
            <v>14089303897</v>
          </cell>
          <cell r="BJ422">
            <v>14089303897</v>
          </cell>
          <cell r="BK422">
            <v>9672282000</v>
          </cell>
          <cell r="BL422">
            <v>9672282000</v>
          </cell>
          <cell r="BM422">
            <v>19.600000000000001</v>
          </cell>
          <cell r="BN422" t="str">
            <v>Yes</v>
          </cell>
          <cell r="BO422" t="str">
            <v>External</v>
          </cell>
          <cell r="BP422">
            <v>115</v>
          </cell>
          <cell r="BQ422">
            <v>537</v>
          </cell>
          <cell r="BR422">
            <v>9118400000</v>
          </cell>
          <cell r="BS422">
            <v>9118400000</v>
          </cell>
          <cell r="BT422">
            <v>7641200000</v>
          </cell>
          <cell r="BU422">
            <v>7641200000</v>
          </cell>
          <cell r="BV422" t="str">
            <v>Yes</v>
          </cell>
          <cell r="BW422" t="str">
            <v>Sweden</v>
          </cell>
          <cell r="BX422" t="str">
            <v>Industrial / Logistics</v>
          </cell>
          <cell r="BY422">
            <v>6.6</v>
          </cell>
          <cell r="BZ422" t="str">
            <v>Netherlands</v>
          </cell>
          <cell r="CA422" t="str">
            <v>Industrial / Logistics</v>
          </cell>
          <cell r="CB422">
            <v>14.2</v>
          </cell>
          <cell r="CC422" t="str">
            <v>Czech Republic</v>
          </cell>
          <cell r="CD422" t="str">
            <v>Industrial / Logistics</v>
          </cell>
          <cell r="CE422">
            <v>5.8</v>
          </cell>
          <cell r="CF422" t="str">
            <v>Belgium</v>
          </cell>
          <cell r="CG422" t="str">
            <v>Industrial / Logistics</v>
          </cell>
          <cell r="CH422">
            <v>2.2999999999999998</v>
          </cell>
          <cell r="CI422" t="str">
            <v>France</v>
          </cell>
          <cell r="CJ422" t="str">
            <v>Industrial / Logistics</v>
          </cell>
          <cell r="CK422">
            <v>16.399999999999999</v>
          </cell>
          <cell r="CL422" t="str">
            <v>Germany</v>
          </cell>
          <cell r="CM422" t="str">
            <v>Industrial / Logistics</v>
          </cell>
          <cell r="CN422">
            <v>20.7</v>
          </cell>
          <cell r="CO422" t="str">
            <v>Hungary</v>
          </cell>
          <cell r="CP422" t="str">
            <v>Industrial / Logistics</v>
          </cell>
          <cell r="CQ422">
            <v>2.1</v>
          </cell>
          <cell r="CR422" t="str">
            <v>Italy</v>
          </cell>
          <cell r="CS422" t="str">
            <v>Industrial / Logistics</v>
          </cell>
          <cell r="CT422">
            <v>3.9</v>
          </cell>
          <cell r="CU422" t="str">
            <v>Poland</v>
          </cell>
          <cell r="CV422" t="str">
            <v>Industrial / Logistics</v>
          </cell>
          <cell r="CW422">
            <v>6.5</v>
          </cell>
          <cell r="CX422" t="str">
            <v>Slovakia</v>
          </cell>
          <cell r="CY422" t="str">
            <v>Industrial / Logistics</v>
          </cell>
          <cell r="CZ422">
            <v>2</v>
          </cell>
          <cell r="DA422" t="str">
            <v>Spain</v>
          </cell>
          <cell r="DB422" t="str">
            <v>Industrial / Logistics</v>
          </cell>
          <cell r="DC422">
            <v>4.7</v>
          </cell>
          <cell r="DD422" t="str">
            <v>United Kingdom</v>
          </cell>
          <cell r="DE422" t="str">
            <v>Industrial / Logistics</v>
          </cell>
          <cell r="DF422">
            <v>14.8</v>
          </cell>
        </row>
        <row r="423">
          <cell r="A423">
            <v>631</v>
          </cell>
          <cell r="B423" t="str">
            <v>QUERISTICS</v>
          </cell>
          <cell r="C423" t="str">
            <v>EQUITY ESTATE BV</v>
          </cell>
          <cell r="D423" t="str">
            <v>Kabelweg 37</v>
          </cell>
          <cell r="E423" t="str">
            <v>1014 BA</v>
          </cell>
          <cell r="F423" t="str">
            <v>Amsterdam</v>
          </cell>
          <cell r="G423" t="str">
            <v>Netherlands</v>
          </cell>
          <cell r="H423" t="str">
            <v>+31 (0)20 4881442</v>
          </cell>
          <cell r="I423" t="str">
            <v>+31 (0)20 6889703</v>
          </cell>
          <cell r="K423" t="str">
            <v>Enrico van Erkelens</v>
          </cell>
          <cell r="L423" t="str">
            <v>vanerkelens@equityestate.nl</v>
          </cell>
          <cell r="M423" t="str">
            <v>+31 (0)20 4881442</v>
          </cell>
          <cell r="N423" t="str">
            <v>Enrico van Erkelens</v>
          </cell>
          <cell r="O423" t="str">
            <v>vanerkelens@equityestate.nl</v>
          </cell>
          <cell r="P423" t="str">
            <v>+31 (0)20 4881442</v>
          </cell>
          <cell r="Q423" t="str">
            <v>Luxembourg</v>
          </cell>
          <cell r="R423" t="str">
            <v>EUR</v>
          </cell>
          <cell r="S423" t="str">
            <v>IFRS</v>
          </cell>
          <cell r="T423" t="str">
            <v>Quarterly</v>
          </cell>
          <cell r="U423" t="str">
            <v>Annually</v>
          </cell>
          <cell r="X423" t="str">
            <v>Deloitte</v>
          </cell>
          <cell r="Y423" t="str">
            <v>SARL</v>
          </cell>
          <cell r="Z423" t="str">
            <v>No</v>
          </cell>
          <cell r="AA423" t="str">
            <v>Yes</v>
          </cell>
          <cell r="AB423">
            <v>1</v>
          </cell>
          <cell r="AC423" t="str">
            <v>Non-Listed Fund</v>
          </cell>
          <cell r="AD423" t="str">
            <v>Value-added</v>
          </cell>
          <cell r="AE423" t="str">
            <v>finite</v>
          </cell>
          <cell r="AF423" t="str">
            <v>Closed end</v>
          </cell>
          <cell r="AG423">
            <v>12</v>
          </cell>
          <cell r="AH423">
            <v>12</v>
          </cell>
          <cell r="AK423">
            <v>9</v>
          </cell>
          <cell r="AL423">
            <v>70</v>
          </cell>
          <cell r="AN423" t="str">
            <v>Institutional</v>
          </cell>
          <cell r="AQ423" t="str">
            <v>Europe</v>
          </cell>
          <cell r="AR423" t="str">
            <v>multi country</v>
          </cell>
          <cell r="AS423" t="str">
            <v>Europe</v>
          </cell>
          <cell r="AU423" t="str">
            <v>multi sector</v>
          </cell>
          <cell r="AW423">
            <v>60000000</v>
          </cell>
          <cell r="AX423">
            <v>175000000</v>
          </cell>
          <cell r="AY423">
            <v>2005</v>
          </cell>
          <cell r="AZ423">
            <v>2014</v>
          </cell>
          <cell r="BH423" t="str">
            <v>2017-06-30</v>
          </cell>
          <cell r="BI423">
            <v>63451632</v>
          </cell>
          <cell r="BJ423">
            <v>63451632</v>
          </cell>
          <cell r="BK423">
            <v>58395000</v>
          </cell>
          <cell r="BL423">
            <v>58395000</v>
          </cell>
          <cell r="BM423">
            <v>64.8</v>
          </cell>
          <cell r="BN423" t="str">
            <v>Yes</v>
          </cell>
          <cell r="BO423" t="str">
            <v>External</v>
          </cell>
          <cell r="BQ423">
            <v>4</v>
          </cell>
          <cell r="BR423">
            <v>60000000</v>
          </cell>
          <cell r="BS423">
            <v>60000000</v>
          </cell>
          <cell r="BT423">
            <v>27000000</v>
          </cell>
          <cell r="BU423">
            <v>27000000</v>
          </cell>
          <cell r="BV423" t="str">
            <v>No</v>
          </cell>
          <cell r="BW423" t="str">
            <v>Belgium</v>
          </cell>
          <cell r="BX423" t="str">
            <v>Industrial / Logistics</v>
          </cell>
          <cell r="BY423">
            <v>34</v>
          </cell>
          <cell r="BZ423" t="str">
            <v>Germany</v>
          </cell>
          <cell r="CA423" t="str">
            <v>Industrial / Logistics</v>
          </cell>
          <cell r="CB423">
            <v>29</v>
          </cell>
          <cell r="CC423" t="str">
            <v>Netherlands</v>
          </cell>
          <cell r="CD423" t="str">
            <v>Industrial / Logistics</v>
          </cell>
          <cell r="CE423">
            <v>14</v>
          </cell>
          <cell r="CF423" t="str">
            <v>Netherlands</v>
          </cell>
          <cell r="CG423" t="str">
            <v>Office</v>
          </cell>
          <cell r="CH423">
            <v>23</v>
          </cell>
        </row>
        <row r="424">
          <cell r="A424">
            <v>19314</v>
          </cell>
          <cell r="B424" t="str">
            <v>RATHAUSCENTER LUDWIGSHAFEN</v>
          </cell>
          <cell r="C424" t="str">
            <v>DWS GRUNDBESITZ GMBH</v>
          </cell>
          <cell r="D424" t="str">
            <v>Mainzer Landstr. 11-17</v>
          </cell>
          <cell r="E424" t="str">
            <v xml:space="preserve">60329 </v>
          </cell>
          <cell r="F424" t="str">
            <v>Frankfurt am Main</v>
          </cell>
          <cell r="G424" t="str">
            <v>Germany</v>
          </cell>
          <cell r="K424" t="str">
            <v>Thomas Köhler</v>
          </cell>
          <cell r="L424" t="str">
            <v>thomas-d.koehler@dws.com</v>
          </cell>
          <cell r="M424" t="str">
            <v>+49 (69) 910 - 14934</v>
          </cell>
          <cell r="Q424" t="str">
            <v>Germany</v>
          </cell>
          <cell r="R424" t="str">
            <v>EUR</v>
          </cell>
          <cell r="S424" t="str">
            <v>HGB</v>
          </cell>
          <cell r="T424" t="str">
            <v>Annually</v>
          </cell>
          <cell r="U424" t="str">
            <v>Annually</v>
          </cell>
          <cell r="V424" t="str">
            <v>ImmoWertV</v>
          </cell>
          <cell r="W424" t="str">
            <v>KAGB</v>
          </cell>
          <cell r="X424" t="str">
            <v>BDO</v>
          </cell>
          <cell r="Y424" t="str">
            <v>Publikumsfonds</v>
          </cell>
          <cell r="Z424" t="str">
            <v>No</v>
          </cell>
          <cell r="AC424" t="str">
            <v>Non-Listed Fund</v>
          </cell>
          <cell r="AD424" t="str">
            <v>Core</v>
          </cell>
          <cell r="AE424" t="str">
            <v>finite</v>
          </cell>
          <cell r="AF424" t="str">
            <v>Closed end</v>
          </cell>
          <cell r="AN424" t="str">
            <v>Retail</v>
          </cell>
          <cell r="AO424" t="str">
            <v>&gt; 2</v>
          </cell>
          <cell r="AP424" t="str">
            <v>&lt; 50%</v>
          </cell>
          <cell r="AQ424" t="str">
            <v>Europe</v>
          </cell>
          <cell r="AR424" t="str">
            <v>single country</v>
          </cell>
          <cell r="AT424" t="str">
            <v>Germany</v>
          </cell>
          <cell r="AU424" t="str">
            <v>single sector</v>
          </cell>
          <cell r="AV424" t="str">
            <v>Retail</v>
          </cell>
          <cell r="AY424">
            <v>1979</v>
          </cell>
          <cell r="AZ424">
            <v>2024</v>
          </cell>
          <cell r="BH424" t="str">
            <v>2018-12-31</v>
          </cell>
          <cell r="BI424">
            <v>42400000</v>
          </cell>
          <cell r="BJ424">
            <v>42400000</v>
          </cell>
          <cell r="BK424">
            <v>24180000</v>
          </cell>
          <cell r="BL424">
            <v>24180000</v>
          </cell>
          <cell r="BM424">
            <v>54.31</v>
          </cell>
          <cell r="BN424" t="str">
            <v>Yes</v>
          </cell>
          <cell r="BO424" t="str">
            <v>External</v>
          </cell>
          <cell r="BP424">
            <v>0</v>
          </cell>
          <cell r="BQ424">
            <v>1</v>
          </cell>
          <cell r="BS424">
            <v>0</v>
          </cell>
          <cell r="BV424" t="str">
            <v>No</v>
          </cell>
          <cell r="BW424" t="str">
            <v>Germany</v>
          </cell>
          <cell r="BX424" t="str">
            <v>Retail</v>
          </cell>
          <cell r="BY424">
            <v>100</v>
          </cell>
        </row>
        <row r="425">
          <cell r="A425">
            <v>18174</v>
          </cell>
          <cell r="B425" t="str">
            <v>REAL ESTATE PARTNERS EUROPE L.P.</v>
          </cell>
          <cell r="C425" t="str">
            <v>KKR</v>
          </cell>
          <cell r="D425" t="str">
            <v>Stirling Square, 7 Carlton Gardens</v>
          </cell>
          <cell r="E425" t="str">
            <v>SW1Y 5AD</v>
          </cell>
          <cell r="F425" t="str">
            <v>London</v>
          </cell>
          <cell r="G425" t="str">
            <v>United Kingdom</v>
          </cell>
          <cell r="H425" t="str">
            <v>+442078399800</v>
          </cell>
          <cell r="J425" t="str">
            <v>http://www.kkr.com/</v>
          </cell>
          <cell r="K425" t="str">
            <v>Guillaume Cassou</v>
          </cell>
          <cell r="N425" t="str">
            <v>Natasha Socolof</v>
          </cell>
          <cell r="O425" t="str">
            <v>natasha.socolof@kkr.com</v>
          </cell>
          <cell r="P425">
            <v>2124010431</v>
          </cell>
          <cell r="Q425" t="str">
            <v>United Kingdom</v>
          </cell>
          <cell r="R425" t="str">
            <v>EUR</v>
          </cell>
          <cell r="S425" t="str">
            <v>US GAAP</v>
          </cell>
          <cell r="T425" t="str">
            <v>Quarterly</v>
          </cell>
          <cell r="U425" t="str">
            <v>Quarterly</v>
          </cell>
          <cell r="V425" t="str">
            <v>CBRE (independent valuation firm)</v>
          </cell>
          <cell r="W425" t="str">
            <v>US GAAP</v>
          </cell>
          <cell r="X425" t="str">
            <v>Deloitte</v>
          </cell>
          <cell r="Y425" t="str">
            <v>Limited Partnership</v>
          </cell>
          <cell r="Z425" t="str">
            <v>No</v>
          </cell>
          <cell r="AC425" t="str">
            <v>Non-Listed Fund</v>
          </cell>
          <cell r="AD425" t="str">
            <v>Value-added</v>
          </cell>
          <cell r="AE425" t="str">
            <v>finite</v>
          </cell>
          <cell r="AF425" t="str">
            <v>Closed end</v>
          </cell>
          <cell r="AG425">
            <v>15</v>
          </cell>
          <cell r="AH425">
            <v>16</v>
          </cell>
          <cell r="AI425" t="str">
            <v>Gross</v>
          </cell>
          <cell r="AL425">
            <v>60</v>
          </cell>
          <cell r="AN425" t="str">
            <v>Institutional and Retail</v>
          </cell>
          <cell r="AO425" t="str">
            <v>&gt; 2</v>
          </cell>
          <cell r="AP425" t="str">
            <v>≥ 50%</v>
          </cell>
          <cell r="AQ425" t="str">
            <v>Europe</v>
          </cell>
          <cell r="AR425" t="str">
            <v>multi country</v>
          </cell>
          <cell r="AS425" t="str">
            <v>Western Europe</v>
          </cell>
          <cell r="AU425" t="str">
            <v>multi sector</v>
          </cell>
          <cell r="AY425">
            <v>2016</v>
          </cell>
          <cell r="AZ425">
            <v>2025</v>
          </cell>
          <cell r="BA425" t="str">
            <v>Yes</v>
          </cell>
          <cell r="BB425" t="str">
            <v>Yes</v>
          </cell>
          <cell r="BC425" t="str">
            <v>1+1 years</v>
          </cell>
          <cell r="BD425" t="str">
            <v>No</v>
          </cell>
          <cell r="BE425" t="str">
            <v>&lt; 60%</v>
          </cell>
          <cell r="BF425" t="str">
            <v>≤ 15%</v>
          </cell>
          <cell r="BG425" t="str">
            <v>&gt; 25%</v>
          </cell>
          <cell r="BH425" t="str">
            <v>2020-12-31</v>
          </cell>
          <cell r="BI425">
            <v>592123433</v>
          </cell>
          <cell r="BJ425">
            <v>592123433</v>
          </cell>
          <cell r="BK425">
            <v>248546981</v>
          </cell>
          <cell r="BL425">
            <v>248546981</v>
          </cell>
          <cell r="BM425">
            <v>58.02</v>
          </cell>
          <cell r="BN425" t="str">
            <v>No</v>
          </cell>
          <cell r="BO425" t="str">
            <v>External</v>
          </cell>
          <cell r="BP425">
            <v>23</v>
          </cell>
          <cell r="BQ425">
            <v>13</v>
          </cell>
          <cell r="BR425">
            <v>136752467</v>
          </cell>
          <cell r="BS425">
            <v>136752467</v>
          </cell>
          <cell r="BT425">
            <v>111069059</v>
          </cell>
          <cell r="BU425">
            <v>111069059</v>
          </cell>
          <cell r="BW425" t="str">
            <v>Ireland</v>
          </cell>
          <cell r="BX425" t="str">
            <v>Residential</v>
          </cell>
          <cell r="BY425">
            <v>13.4</v>
          </cell>
          <cell r="BZ425" t="str">
            <v>Ireland</v>
          </cell>
          <cell r="CA425" t="str">
            <v>Industrial / Logistics</v>
          </cell>
          <cell r="CB425">
            <v>3</v>
          </cell>
          <cell r="CC425" t="str">
            <v>Belgium</v>
          </cell>
          <cell r="CD425" t="str">
            <v>Hotel</v>
          </cell>
          <cell r="CE425">
            <v>0</v>
          </cell>
          <cell r="CF425" t="str">
            <v>Spain</v>
          </cell>
          <cell r="CG425" t="str">
            <v>Hotel</v>
          </cell>
          <cell r="CH425">
            <v>10.8</v>
          </cell>
          <cell r="CI425" t="str">
            <v>Spain</v>
          </cell>
          <cell r="CJ425" t="str">
            <v>Industrial / Logistics</v>
          </cell>
          <cell r="CK425">
            <v>5.3</v>
          </cell>
          <cell r="CL425" t="str">
            <v>Spain</v>
          </cell>
          <cell r="CM425" t="str">
            <v>Residential</v>
          </cell>
          <cell r="CN425">
            <v>8</v>
          </cell>
          <cell r="CO425" t="str">
            <v>United Kingdom</v>
          </cell>
          <cell r="CP425" t="str">
            <v>Student Housing</v>
          </cell>
          <cell r="CQ425">
            <v>11</v>
          </cell>
          <cell r="CR425" t="str">
            <v>United Kingdom</v>
          </cell>
          <cell r="CS425" t="str">
            <v>Residential</v>
          </cell>
          <cell r="CT425">
            <v>1.9</v>
          </cell>
          <cell r="CU425" t="str">
            <v>United Kingdom</v>
          </cell>
          <cell r="CV425" t="str">
            <v>Retail</v>
          </cell>
          <cell r="CW425">
            <v>0.5</v>
          </cell>
          <cell r="CX425" t="str">
            <v>Italy</v>
          </cell>
          <cell r="CY425" t="str">
            <v>Industrial / Logistics</v>
          </cell>
          <cell r="CZ425">
            <v>13.4</v>
          </cell>
          <cell r="DA425" t="str">
            <v>Italy</v>
          </cell>
          <cell r="DB425" t="str">
            <v>Retail</v>
          </cell>
          <cell r="DC425">
            <v>4.0999999999999996</v>
          </cell>
          <cell r="DD425" t="str">
            <v>France</v>
          </cell>
          <cell r="DE425" t="str">
            <v>Office</v>
          </cell>
          <cell r="DF425">
            <v>6</v>
          </cell>
          <cell r="DG425" t="str">
            <v>France</v>
          </cell>
          <cell r="DH425" t="str">
            <v>Hotel</v>
          </cell>
          <cell r="DI425">
            <v>3.1</v>
          </cell>
          <cell r="DJ425" t="str">
            <v>France</v>
          </cell>
          <cell r="DK425" t="str">
            <v>Industrial / Logistics</v>
          </cell>
          <cell r="DL425">
            <v>0</v>
          </cell>
          <cell r="DM425" t="str">
            <v>Germany</v>
          </cell>
          <cell r="DN425" t="str">
            <v>Residential</v>
          </cell>
          <cell r="DO425">
            <v>5.3</v>
          </cell>
          <cell r="DP425" t="str">
            <v>Netherlands</v>
          </cell>
          <cell r="DQ425" t="str">
            <v>Student Housing</v>
          </cell>
          <cell r="DR425">
            <v>12.9</v>
          </cell>
        </row>
        <row r="426">
          <cell r="A426">
            <v>18160</v>
          </cell>
          <cell r="B426" t="str">
            <v>REAL ESTATE VALUE FUND</v>
          </cell>
          <cell r="C426" t="str">
            <v>TRIUVA KAPITALVERWALTUNGSGESELLSCHAFT MBH</v>
          </cell>
          <cell r="D426" t="str">
            <v>THE SQUAIRE 18, Am Flughafen</v>
          </cell>
          <cell r="E426">
            <v>60549</v>
          </cell>
          <cell r="F426" t="str">
            <v>Frankfurt am Main</v>
          </cell>
          <cell r="G426" t="str">
            <v>Germany</v>
          </cell>
          <cell r="N426" t="str">
            <v>Trond Conrad</v>
          </cell>
          <cell r="O426" t="str">
            <v>trond.conrad@triuva.com</v>
          </cell>
          <cell r="P426" t="str">
            <v>+49 69 643 505 1553</v>
          </cell>
          <cell r="Q426" t="str">
            <v>Germany</v>
          </cell>
          <cell r="R426" t="str">
            <v>EUR</v>
          </cell>
          <cell r="T426" t="str">
            <v>Quarterly</v>
          </cell>
          <cell r="U426" t="str">
            <v>Annually</v>
          </cell>
          <cell r="Y426" t="str">
            <v>Spezialfonds</v>
          </cell>
          <cell r="Z426" t="str">
            <v>No</v>
          </cell>
          <cell r="AC426" t="str">
            <v>Separate account</v>
          </cell>
          <cell r="AD426" t="str">
            <v>Core</v>
          </cell>
          <cell r="AE426" t="str">
            <v>infinite</v>
          </cell>
          <cell r="AF426" t="str">
            <v>Open end</v>
          </cell>
          <cell r="AM426" t="str">
            <v>&gt; 40% - ≤ 60%</v>
          </cell>
          <cell r="AN426" t="str">
            <v>Institutional</v>
          </cell>
          <cell r="AO426" t="str">
            <v>≤ 2</v>
          </cell>
          <cell r="AP426" t="str">
            <v>≥ 50%</v>
          </cell>
          <cell r="AQ426" t="str">
            <v>Europe</v>
          </cell>
          <cell r="AR426" t="str">
            <v>multi country</v>
          </cell>
          <cell r="AS426" t="str">
            <v>Western Europe</v>
          </cell>
          <cell r="AU426" t="str">
            <v>single sector</v>
          </cell>
          <cell r="AV426" t="str">
            <v>Office</v>
          </cell>
          <cell r="AY426">
            <v>2016</v>
          </cell>
          <cell r="BH426" t="str">
            <v>2020-12-31</v>
          </cell>
          <cell r="BI426">
            <v>128267657.84</v>
          </cell>
          <cell r="BJ426">
            <v>128267657.84</v>
          </cell>
          <cell r="BK426">
            <v>71702787.170000002</v>
          </cell>
          <cell r="BL426">
            <v>71702787.170000002</v>
          </cell>
          <cell r="BM426">
            <v>47.15</v>
          </cell>
          <cell r="BN426" t="str">
            <v>No</v>
          </cell>
          <cell r="BO426" t="str">
            <v>Internal</v>
          </cell>
          <cell r="BP426">
            <v>1</v>
          </cell>
          <cell r="BQ426">
            <v>4</v>
          </cell>
          <cell r="BR426">
            <v>0</v>
          </cell>
          <cell r="BS426">
            <v>0</v>
          </cell>
          <cell r="BT426">
            <v>0</v>
          </cell>
          <cell r="BV426" t="str">
            <v>No</v>
          </cell>
          <cell r="BW426" t="str">
            <v>Germany</v>
          </cell>
          <cell r="BX426" t="str">
            <v>Office</v>
          </cell>
          <cell r="BY426">
            <v>24.09</v>
          </cell>
          <cell r="BZ426" t="str">
            <v>Ireland</v>
          </cell>
          <cell r="CA426" t="str">
            <v>Office</v>
          </cell>
          <cell r="CB426">
            <v>30.92</v>
          </cell>
          <cell r="CC426" t="str">
            <v>Spain</v>
          </cell>
          <cell r="CD426" t="str">
            <v>Other</v>
          </cell>
          <cell r="CE426">
            <v>23.54</v>
          </cell>
          <cell r="CF426" t="str">
            <v>United Kingdom</v>
          </cell>
          <cell r="CG426" t="str">
            <v>Office</v>
          </cell>
          <cell r="CH426">
            <v>21.45</v>
          </cell>
        </row>
        <row r="427">
          <cell r="A427">
            <v>382</v>
          </cell>
          <cell r="B427" t="str">
            <v>REALKAPITAL EUROPEAN OPPORTUNITY II</v>
          </cell>
          <cell r="C427" t="str">
            <v>REALKAPITAL PARTNERS LUXEMBOURG S.A</v>
          </cell>
          <cell r="D427" t="str">
            <v>16 Rue Beck</v>
          </cell>
          <cell r="E427" t="str">
            <v>L-1222</v>
          </cell>
          <cell r="F427" t="str">
            <v>Luxembourg</v>
          </cell>
          <cell r="G427" t="str">
            <v>Luxembourg</v>
          </cell>
          <cell r="H427" t="str">
            <v>+352 264 7791</v>
          </cell>
          <cell r="I427" t="str">
            <v>+352 264 789 98</v>
          </cell>
          <cell r="J427" t="str">
            <v>http://www.realkapital.eu</v>
          </cell>
          <cell r="K427" t="str">
            <v>Marcus Kruus</v>
          </cell>
          <cell r="L427" t="str">
            <v>marcus.kruus@obligoim.com</v>
          </cell>
          <cell r="M427" t="str">
            <v>+352 621 228 414</v>
          </cell>
          <cell r="N427" t="str">
            <v>Stian Soebyskogen</v>
          </cell>
          <cell r="O427" t="str">
            <v>stian.sobyskogen@obligoim.com</v>
          </cell>
          <cell r="P427" t="str">
            <v>+47 984 93 676</v>
          </cell>
          <cell r="Q427" t="str">
            <v>Luxembourg</v>
          </cell>
          <cell r="R427" t="str">
            <v>EUR</v>
          </cell>
          <cell r="S427" t="str">
            <v>Local GAAP</v>
          </cell>
          <cell r="T427" t="str">
            <v>Quarterly</v>
          </cell>
          <cell r="U427" t="str">
            <v>Annually</v>
          </cell>
          <cell r="X427" t="str">
            <v>Ernst &amp; Young</v>
          </cell>
          <cell r="Y427" t="str">
            <v>SIF - FCP</v>
          </cell>
          <cell r="Z427" t="str">
            <v>Yes</v>
          </cell>
          <cell r="AA427" t="str">
            <v>Yes</v>
          </cell>
          <cell r="AB427">
            <v>2</v>
          </cell>
          <cell r="AC427" t="str">
            <v>Non-Listed Fund</v>
          </cell>
          <cell r="AD427" t="str">
            <v>Opportunity</v>
          </cell>
          <cell r="AE427" t="str">
            <v>finite</v>
          </cell>
          <cell r="AF427" t="str">
            <v>Closed end</v>
          </cell>
          <cell r="AG427">
            <v>16</v>
          </cell>
          <cell r="AI427" t="str">
            <v>Net</v>
          </cell>
          <cell r="AJ427" t="str">
            <v>Absolute return</v>
          </cell>
          <cell r="AL427">
            <v>60</v>
          </cell>
          <cell r="AM427" t="str">
            <v>&gt; 60%</v>
          </cell>
          <cell r="AN427" t="str">
            <v>Institutional and Retail</v>
          </cell>
          <cell r="AQ427" t="str">
            <v>Europe</v>
          </cell>
          <cell r="AR427" t="str">
            <v>multi country</v>
          </cell>
          <cell r="AS427" t="str">
            <v>Europe</v>
          </cell>
          <cell r="AU427" t="str">
            <v>multi sector</v>
          </cell>
          <cell r="AW427">
            <v>250000000</v>
          </cell>
          <cell r="AX427">
            <v>600000000</v>
          </cell>
          <cell r="AY427">
            <v>2008</v>
          </cell>
          <cell r="AZ427">
            <v>2017</v>
          </cell>
          <cell r="BA427" t="str">
            <v>Yes</v>
          </cell>
          <cell r="BB427" t="str">
            <v>Yes</v>
          </cell>
          <cell r="BC427" t="str">
            <v>1 year</v>
          </cell>
          <cell r="BH427" t="str">
            <v>2008-09-30</v>
          </cell>
          <cell r="BI427">
            <v>28000000</v>
          </cell>
          <cell r="BJ427">
            <v>28000000</v>
          </cell>
          <cell r="BK427">
            <v>6700000</v>
          </cell>
          <cell r="BL427">
            <v>6700000</v>
          </cell>
          <cell r="BP427">
            <v>1</v>
          </cell>
          <cell r="BQ427">
            <v>2</v>
          </cell>
          <cell r="BR427">
            <v>8000000</v>
          </cell>
          <cell r="BS427">
            <v>8000000</v>
          </cell>
          <cell r="BU427">
            <v>0</v>
          </cell>
          <cell r="BV427" t="str">
            <v>Yes</v>
          </cell>
        </row>
        <row r="428">
          <cell r="A428">
            <v>391</v>
          </cell>
          <cell r="B428" t="str">
            <v>ROCKSPRING TRANSEUROPEAN PROPERTY LP IV</v>
          </cell>
          <cell r="C428" t="str">
            <v>ROCKSPRING PROPERTY INVESTMENT MANAGERS LLP</v>
          </cell>
          <cell r="D428" t="str">
            <v>166 Sloane Street</v>
          </cell>
          <cell r="E428" t="str">
            <v>SW1X 9QF</v>
          </cell>
          <cell r="F428" t="str">
            <v>London</v>
          </cell>
          <cell r="G428" t="str">
            <v>United Kingdom</v>
          </cell>
          <cell r="H428" t="str">
            <v>+44 (0) 20 7761 3300</v>
          </cell>
          <cell r="I428" t="str">
            <v>+44 (0) 20 7761 3400</v>
          </cell>
          <cell r="J428" t="str">
            <v>http://www.rockspringpim.com</v>
          </cell>
          <cell r="K428" t="str">
            <v>Charles-Nicolas Tarriere</v>
          </cell>
          <cell r="L428" t="str">
            <v>charles.tarriere@rockspringpim.com</v>
          </cell>
          <cell r="M428" t="str">
            <v>+44 2077613300</v>
          </cell>
          <cell r="N428" t="str">
            <v>Kathryn Dixon</v>
          </cell>
          <cell r="O428" t="str">
            <v>kathryn.dixon@rockspringpim.com</v>
          </cell>
          <cell r="P428" t="str">
            <v>+44 (0) 20 7761 3400</v>
          </cell>
          <cell r="Q428" t="str">
            <v>United Kingdom</v>
          </cell>
          <cell r="R428" t="str">
            <v>EUR</v>
          </cell>
          <cell r="S428" t="str">
            <v>Local GAAP</v>
          </cell>
          <cell r="T428" t="str">
            <v>Quarterly</v>
          </cell>
          <cell r="U428" t="str">
            <v>Quarterly</v>
          </cell>
          <cell r="V428" t="str">
            <v>RICS</v>
          </cell>
          <cell r="X428" t="str">
            <v>Deloitte</v>
          </cell>
          <cell r="Y428" t="str">
            <v>Limited Partnership</v>
          </cell>
          <cell r="AA428" t="str">
            <v>Yes</v>
          </cell>
          <cell r="AB428">
            <v>2</v>
          </cell>
          <cell r="AC428" t="str">
            <v>Non-Listed Fund</v>
          </cell>
          <cell r="AD428" t="str">
            <v>Value-added</v>
          </cell>
          <cell r="AE428" t="str">
            <v>finite</v>
          </cell>
          <cell r="AF428" t="str">
            <v>Closed end</v>
          </cell>
          <cell r="AG428">
            <v>10</v>
          </cell>
          <cell r="AH428">
            <v>11</v>
          </cell>
          <cell r="AI428" t="str">
            <v>Net</v>
          </cell>
          <cell r="AM428" t="str">
            <v>&gt; 40% - ≤ 60%</v>
          </cell>
          <cell r="AN428" t="str">
            <v>Institutional</v>
          </cell>
          <cell r="AO428" t="str">
            <v>&gt; 2</v>
          </cell>
          <cell r="AP428" t="str">
            <v>≥ 50%</v>
          </cell>
          <cell r="AQ428" t="str">
            <v>Europe</v>
          </cell>
          <cell r="AR428" t="str">
            <v>multi country</v>
          </cell>
          <cell r="AS428" t="str">
            <v>Europe</v>
          </cell>
          <cell r="AU428" t="str">
            <v>multi sector</v>
          </cell>
          <cell r="AW428">
            <v>274000000</v>
          </cell>
          <cell r="AX428">
            <v>548000000</v>
          </cell>
          <cell r="AY428">
            <v>2007</v>
          </cell>
          <cell r="AZ428">
            <v>2017</v>
          </cell>
          <cell r="BA428" t="str">
            <v>Yes</v>
          </cell>
          <cell r="BB428" t="str">
            <v>Yes</v>
          </cell>
          <cell r="BC428" t="str">
            <v>1+1 years</v>
          </cell>
          <cell r="BF428" t="str">
            <v>&gt; 15% - ≤ 40%</v>
          </cell>
          <cell r="BG428" t="str">
            <v>&gt; 5 - ≤ 25%</v>
          </cell>
          <cell r="BH428" t="str">
            <v>2020-12-31</v>
          </cell>
          <cell r="BI428">
            <v>41255527</v>
          </cell>
          <cell r="BJ428">
            <v>41255527</v>
          </cell>
          <cell r="BK428">
            <v>24717343</v>
          </cell>
          <cell r="BL428">
            <v>24717343</v>
          </cell>
          <cell r="BM428">
            <v>35.200000000000003</v>
          </cell>
          <cell r="BN428" t="str">
            <v>No</v>
          </cell>
          <cell r="BO428" t="str">
            <v>External</v>
          </cell>
          <cell r="BP428">
            <v>13</v>
          </cell>
          <cell r="BQ428">
            <v>1</v>
          </cell>
          <cell r="BR428">
            <v>274000000</v>
          </cell>
          <cell r="BS428">
            <v>274000000</v>
          </cell>
          <cell r="BT428">
            <v>274000000</v>
          </cell>
          <cell r="BU428">
            <v>274000000</v>
          </cell>
          <cell r="BV428" t="str">
            <v>No</v>
          </cell>
          <cell r="BW428" t="str">
            <v>Croatia</v>
          </cell>
          <cell r="BX428" t="str">
            <v>Retail</v>
          </cell>
          <cell r="BY428">
            <v>69.3</v>
          </cell>
        </row>
        <row r="429">
          <cell r="A429">
            <v>392</v>
          </cell>
          <cell r="B429" t="str">
            <v>ROYAL LONDON PROPERTY FUND</v>
          </cell>
          <cell r="C429" t="str">
            <v>ROYAL LONDON ASSET MANAGEMENT LTD</v>
          </cell>
          <cell r="D429" t="str">
            <v>55 Gracechurch Street</v>
          </cell>
          <cell r="E429" t="str">
            <v>EC3V 0UF</v>
          </cell>
          <cell r="F429" t="str">
            <v>London</v>
          </cell>
          <cell r="G429" t="str">
            <v>United Kingdom</v>
          </cell>
          <cell r="H429" t="str">
            <v>+44 (0) 20 7506 6500</v>
          </cell>
          <cell r="I429" t="str">
            <v>+44 (0) 20 7506 6705</v>
          </cell>
          <cell r="J429" t="str">
            <v>http://www.rlam.co.uk</v>
          </cell>
          <cell r="K429" t="str">
            <v>Stephen Elliott</v>
          </cell>
          <cell r="L429" t="str">
            <v>stephen.elliott@rlam.co.uk</v>
          </cell>
          <cell r="M429" t="str">
            <v>+44 (0) 20 7506 6761</v>
          </cell>
          <cell r="N429" t="str">
            <v>Stephen Elliott</v>
          </cell>
          <cell r="O429" t="str">
            <v>stephen.elliott@rlam.co.uk</v>
          </cell>
          <cell r="P429" t="str">
            <v>+44 (0) 20 7506 6761</v>
          </cell>
          <cell r="Q429" t="str">
            <v>United Kingdom</v>
          </cell>
          <cell r="R429" t="str">
            <v>GBP</v>
          </cell>
          <cell r="S429" t="str">
            <v>Local GAAP</v>
          </cell>
          <cell r="T429" t="str">
            <v>Twice per year</v>
          </cell>
          <cell r="U429" t="str">
            <v>Monthly</v>
          </cell>
          <cell r="V429" t="str">
            <v>RICS</v>
          </cell>
          <cell r="X429" t="str">
            <v>PriceWaterhouseCoopers</v>
          </cell>
          <cell r="Y429" t="str">
            <v>Unit trust</v>
          </cell>
          <cell r="Z429" t="str">
            <v>No</v>
          </cell>
          <cell r="AA429" t="str">
            <v>No</v>
          </cell>
          <cell r="AB429">
            <v>0</v>
          </cell>
          <cell r="AC429" t="str">
            <v>Non-Listed Fund</v>
          </cell>
          <cell r="AD429" t="str">
            <v>Value-added</v>
          </cell>
          <cell r="AE429" t="str">
            <v>infinite</v>
          </cell>
          <cell r="AF429" t="str">
            <v>Open end</v>
          </cell>
          <cell r="AI429" t="str">
            <v>Net</v>
          </cell>
          <cell r="AJ429" t="str">
            <v>IPD UK Pooled Property Fund Indices Balanced Property Unit Trust Index</v>
          </cell>
          <cell r="AL429">
            <v>0</v>
          </cell>
          <cell r="AM429" t="str">
            <v>≤ 40%</v>
          </cell>
          <cell r="AN429" t="str">
            <v>Institutional</v>
          </cell>
          <cell r="AP429" t="str">
            <v>≥ 50%</v>
          </cell>
          <cell r="AQ429" t="str">
            <v>Europe</v>
          </cell>
          <cell r="AR429" t="str">
            <v>single country</v>
          </cell>
          <cell r="AT429" t="str">
            <v>United Kingdom</v>
          </cell>
          <cell r="AU429" t="str">
            <v>multi sector</v>
          </cell>
          <cell r="AW429">
            <v>215000000</v>
          </cell>
          <cell r="AY429">
            <v>1991</v>
          </cell>
          <cell r="BB429" t="str">
            <v>No</v>
          </cell>
          <cell r="BH429" t="str">
            <v>2012-06-30</v>
          </cell>
          <cell r="BI429">
            <v>215000000</v>
          </cell>
          <cell r="BJ429">
            <v>266987000</v>
          </cell>
          <cell r="BK429">
            <v>215000000</v>
          </cell>
          <cell r="BL429">
            <v>266987000</v>
          </cell>
          <cell r="BM429">
            <v>0</v>
          </cell>
          <cell r="BN429" t="str">
            <v>No</v>
          </cell>
          <cell r="BO429" t="str">
            <v>External</v>
          </cell>
          <cell r="BP429">
            <v>25</v>
          </cell>
          <cell r="BQ429">
            <v>36</v>
          </cell>
          <cell r="BR429">
            <v>215000000</v>
          </cell>
          <cell r="BS429">
            <v>258365500</v>
          </cell>
          <cell r="BU429">
            <v>0</v>
          </cell>
          <cell r="BV429" t="str">
            <v>No</v>
          </cell>
        </row>
        <row r="430">
          <cell r="A430">
            <v>616</v>
          </cell>
          <cell r="B430" t="str">
            <v>RREEF PROPERTY PENSION FUND</v>
          </cell>
          <cell r="C430" t="str">
            <v>DWS ALTERNATIVES GMBH</v>
          </cell>
          <cell r="D430" t="str">
            <v>Mainzer Landstraße 11-17</v>
          </cell>
          <cell r="E430">
            <v>60329</v>
          </cell>
          <cell r="F430" t="str">
            <v>Frankfurt</v>
          </cell>
          <cell r="G430" t="str">
            <v>Germany</v>
          </cell>
          <cell r="H430" t="str">
            <v>+496991016853</v>
          </cell>
          <cell r="I430" t="str">
            <v>+496991016909</v>
          </cell>
          <cell r="J430" t="str">
            <v>https://www.dws.de/</v>
          </cell>
          <cell r="K430" t="str">
            <v>Markus Wickenträger</v>
          </cell>
          <cell r="L430" t="str">
            <v>markus.wickentraeger@dws.com</v>
          </cell>
          <cell r="M430" t="str">
            <v>+496991016457</v>
          </cell>
          <cell r="N430" t="str">
            <v>Dr. Ulrich von Creytz</v>
          </cell>
          <cell r="O430" t="str">
            <v>ulrich-von.creytz@dwsw.com</v>
          </cell>
          <cell r="P430" t="str">
            <v>+496991016429</v>
          </cell>
          <cell r="Q430" t="str">
            <v>Germany</v>
          </cell>
          <cell r="R430" t="str">
            <v>EUR</v>
          </cell>
          <cell r="S430" t="str">
            <v>HGB</v>
          </cell>
          <cell r="T430" t="str">
            <v>Quarterly</v>
          </cell>
          <cell r="U430" t="str">
            <v>Annually</v>
          </cell>
          <cell r="V430" t="str">
            <v>ImmoWertV</v>
          </cell>
          <cell r="W430" t="str">
            <v>HGB</v>
          </cell>
          <cell r="X430" t="str">
            <v>KPMG</v>
          </cell>
          <cell r="Y430" t="str">
            <v>Spezialfonds</v>
          </cell>
          <cell r="Z430" t="str">
            <v>No</v>
          </cell>
          <cell r="AA430" t="str">
            <v>Yes</v>
          </cell>
          <cell r="AB430">
            <v>0</v>
          </cell>
          <cell r="AC430" t="str">
            <v>Non-Listed Fund</v>
          </cell>
          <cell r="AD430" t="str">
            <v>Core</v>
          </cell>
          <cell r="AE430" t="str">
            <v>infinite</v>
          </cell>
          <cell r="AF430" t="str">
            <v>Open end</v>
          </cell>
          <cell r="AI430" t="str">
            <v>Net</v>
          </cell>
          <cell r="AJ430" t="str">
            <v>MSCI SFIX</v>
          </cell>
          <cell r="AM430" t="str">
            <v>&gt; 40% - ≤ 60%</v>
          </cell>
          <cell r="AN430" t="str">
            <v>Institutional</v>
          </cell>
          <cell r="AO430" t="str">
            <v>&gt; 2</v>
          </cell>
          <cell r="AP430" t="str">
            <v>≥ 50%</v>
          </cell>
          <cell r="AQ430" t="str">
            <v>Europe</v>
          </cell>
          <cell r="AR430" t="str">
            <v>multi country</v>
          </cell>
          <cell r="AS430" t="str">
            <v>Western Europe</v>
          </cell>
          <cell r="AU430" t="str">
            <v>multi sector</v>
          </cell>
          <cell r="AY430">
            <v>2011</v>
          </cell>
          <cell r="BD430" t="str">
            <v>No</v>
          </cell>
          <cell r="BH430" t="str">
            <v>2020-12-31</v>
          </cell>
          <cell r="BI430">
            <v>1044835094.72</v>
          </cell>
          <cell r="BJ430">
            <v>1044835094.72</v>
          </cell>
          <cell r="BK430">
            <v>611526474.75</v>
          </cell>
          <cell r="BL430">
            <v>611526474.75</v>
          </cell>
          <cell r="BM430">
            <v>41.47</v>
          </cell>
          <cell r="BN430" t="str">
            <v>No</v>
          </cell>
          <cell r="BO430" t="str">
            <v>External</v>
          </cell>
          <cell r="BP430">
            <v>28</v>
          </cell>
          <cell r="BQ430">
            <v>217</v>
          </cell>
          <cell r="BR430">
            <v>645619289</v>
          </cell>
          <cell r="BS430">
            <v>645619289</v>
          </cell>
          <cell r="BT430">
            <v>563368116</v>
          </cell>
          <cell r="BU430">
            <v>563368116</v>
          </cell>
          <cell r="BV430" t="str">
            <v>Yes</v>
          </cell>
          <cell r="BW430" t="str">
            <v>Ireland</v>
          </cell>
          <cell r="BX430" t="str">
            <v>Industrial / Logistics</v>
          </cell>
          <cell r="BY430">
            <v>4.8600000000000003</v>
          </cell>
          <cell r="BZ430" t="str">
            <v>Netherlands</v>
          </cell>
          <cell r="CA430" t="str">
            <v>Residential</v>
          </cell>
          <cell r="CB430">
            <v>20.18</v>
          </cell>
          <cell r="CC430" t="str">
            <v>Germany</v>
          </cell>
          <cell r="CD430" t="str">
            <v>Residential</v>
          </cell>
          <cell r="CE430">
            <v>57.28</v>
          </cell>
          <cell r="CF430" t="str">
            <v>Germany</v>
          </cell>
          <cell r="CG430" t="str">
            <v>Retail</v>
          </cell>
          <cell r="CH430">
            <v>0.13</v>
          </cell>
          <cell r="CI430" t="str">
            <v>Germany</v>
          </cell>
          <cell r="CJ430" t="str">
            <v>Hotel</v>
          </cell>
          <cell r="CK430">
            <v>4.43</v>
          </cell>
          <cell r="CL430" t="str">
            <v>Germany</v>
          </cell>
          <cell r="CM430" t="str">
            <v>Parking</v>
          </cell>
          <cell r="CN430">
            <v>0.01</v>
          </cell>
          <cell r="CO430" t="str">
            <v>Germany</v>
          </cell>
          <cell r="CP430" t="str">
            <v>Mixed</v>
          </cell>
          <cell r="CQ430">
            <v>5.04</v>
          </cell>
          <cell r="CR430" t="str">
            <v>United Kingdom</v>
          </cell>
          <cell r="CS430" t="str">
            <v>Retail</v>
          </cell>
          <cell r="CT430">
            <v>3.5</v>
          </cell>
          <cell r="CU430" t="str">
            <v>France</v>
          </cell>
          <cell r="CV430" t="str">
            <v>Retail</v>
          </cell>
          <cell r="CW430">
            <v>4.57</v>
          </cell>
        </row>
        <row r="431">
          <cell r="A431">
            <v>409</v>
          </cell>
          <cell r="B431" t="str">
            <v>S-DOMUS-FONDS NO. 1</v>
          </cell>
          <cell r="C431" t="str">
            <v>DEKA IMMOBILIEN INVESTMENT</v>
          </cell>
          <cell r="D431" t="str">
            <v>Taunusanlage 1</v>
          </cell>
          <cell r="E431">
            <v>60329</v>
          </cell>
          <cell r="F431" t="str">
            <v>Frankfurt</v>
          </cell>
          <cell r="G431" t="str">
            <v>Germany</v>
          </cell>
          <cell r="H431" t="str">
            <v>+49 (0) 69 71 47 0</v>
          </cell>
          <cell r="I431" t="str">
            <v>+49 (0) 69 71 47 31 14</v>
          </cell>
          <cell r="J431" t="str">
            <v>http://www.deka-immobilien.de</v>
          </cell>
          <cell r="K431" t="str">
            <v>Dirk Schleif</v>
          </cell>
          <cell r="L431" t="str">
            <v>dirk.schleif@deka.de</v>
          </cell>
          <cell r="M431" t="str">
            <v>+49 (0) 69 71 47 78 96</v>
          </cell>
          <cell r="N431" t="str">
            <v>Michaela Graefe</v>
          </cell>
          <cell r="O431" t="str">
            <v>michaela.graefe@deka.de</v>
          </cell>
          <cell r="P431" t="str">
            <v>+49 (0) 69 71 47 35 04</v>
          </cell>
          <cell r="Q431" t="str">
            <v>Germany</v>
          </cell>
          <cell r="R431" t="str">
            <v>EUR</v>
          </cell>
          <cell r="S431" t="str">
            <v>German HGB</v>
          </cell>
          <cell r="T431" t="str">
            <v>Annually</v>
          </cell>
          <cell r="U431" t="str">
            <v>Annually</v>
          </cell>
          <cell r="V431" t="str">
            <v>ImmoWertV</v>
          </cell>
          <cell r="X431" t="str">
            <v>KPMG</v>
          </cell>
          <cell r="Y431" t="str">
            <v>Spezialfonds</v>
          </cell>
          <cell r="Z431" t="str">
            <v>No</v>
          </cell>
          <cell r="AA431" t="str">
            <v>Yes</v>
          </cell>
          <cell r="AB431">
            <v>11</v>
          </cell>
          <cell r="AC431" t="str">
            <v>Non-Listed Fund</v>
          </cell>
          <cell r="AD431" t="str">
            <v>Core</v>
          </cell>
          <cell r="AE431" t="str">
            <v>infinite</v>
          </cell>
          <cell r="AF431" t="str">
            <v>Open end</v>
          </cell>
          <cell r="AG431">
            <v>4.5</v>
          </cell>
          <cell r="AH431">
            <v>5.5</v>
          </cell>
          <cell r="AI431" t="str">
            <v>Net</v>
          </cell>
          <cell r="AJ431" t="str">
            <v>None</v>
          </cell>
          <cell r="AK431">
            <v>5</v>
          </cell>
          <cell r="AL431">
            <v>50</v>
          </cell>
          <cell r="AM431" t="str">
            <v>&gt; 40% - ≤ 60%</v>
          </cell>
          <cell r="AN431" t="str">
            <v>Institutional</v>
          </cell>
          <cell r="AO431" t="str">
            <v>&gt; 2</v>
          </cell>
          <cell r="AP431" t="str">
            <v>≥ 50%</v>
          </cell>
          <cell r="AQ431" t="str">
            <v>Europe</v>
          </cell>
          <cell r="AR431" t="str">
            <v>multi country</v>
          </cell>
          <cell r="AS431" t="str">
            <v>Europe</v>
          </cell>
          <cell r="AU431" t="str">
            <v>multi sector</v>
          </cell>
          <cell r="AW431">
            <v>250000000</v>
          </cell>
          <cell r="AX431">
            <v>500000000</v>
          </cell>
          <cell r="AY431">
            <v>2001</v>
          </cell>
          <cell r="BA431" t="str">
            <v>No</v>
          </cell>
          <cell r="BH431" t="str">
            <v>2020-12-31</v>
          </cell>
          <cell r="BI431">
            <v>487575929</v>
          </cell>
          <cell r="BJ431">
            <v>487575929</v>
          </cell>
          <cell r="BK431">
            <v>262545977</v>
          </cell>
          <cell r="BL431">
            <v>262545977</v>
          </cell>
          <cell r="BM431">
            <v>48.7</v>
          </cell>
          <cell r="BN431" t="str">
            <v>No</v>
          </cell>
          <cell r="BO431" t="str">
            <v>External</v>
          </cell>
          <cell r="BP431">
            <v>11</v>
          </cell>
          <cell r="BQ431">
            <v>18</v>
          </cell>
          <cell r="BR431">
            <v>253996343</v>
          </cell>
          <cell r="BS431">
            <v>253996343</v>
          </cell>
          <cell r="BT431">
            <v>253996343</v>
          </cell>
          <cell r="BU431">
            <v>253996343</v>
          </cell>
          <cell r="BV431" t="str">
            <v>No</v>
          </cell>
          <cell r="BW431" t="str">
            <v>Germany</v>
          </cell>
          <cell r="BX431" t="str">
            <v>Office</v>
          </cell>
          <cell r="BY431">
            <v>13.2</v>
          </cell>
          <cell r="BZ431" t="str">
            <v>Germany</v>
          </cell>
          <cell r="CA431" t="str">
            <v>Industrial / Logistics</v>
          </cell>
          <cell r="CB431">
            <v>2.7</v>
          </cell>
          <cell r="CC431" t="str">
            <v>United Kingdom</v>
          </cell>
          <cell r="CD431" t="str">
            <v>Office</v>
          </cell>
          <cell r="CE431">
            <v>5.3</v>
          </cell>
          <cell r="CF431" t="str">
            <v>Netherlands</v>
          </cell>
          <cell r="CG431" t="str">
            <v>Office</v>
          </cell>
          <cell r="CH431">
            <v>1.7</v>
          </cell>
          <cell r="CI431" t="str">
            <v>Belgium</v>
          </cell>
          <cell r="CJ431" t="str">
            <v>Office</v>
          </cell>
          <cell r="CK431">
            <v>8.1</v>
          </cell>
          <cell r="CL431" t="str">
            <v>France</v>
          </cell>
          <cell r="CM431" t="str">
            <v>Office</v>
          </cell>
          <cell r="CN431">
            <v>5.9</v>
          </cell>
          <cell r="CO431" t="str">
            <v>Italy</v>
          </cell>
          <cell r="CP431" t="str">
            <v>Office</v>
          </cell>
          <cell r="CQ431">
            <v>6.1</v>
          </cell>
          <cell r="CR431" t="str">
            <v>Poland</v>
          </cell>
          <cell r="CS431" t="str">
            <v>Hotel</v>
          </cell>
          <cell r="CT431">
            <v>6.4</v>
          </cell>
          <cell r="CU431" t="str">
            <v>Czech Republic</v>
          </cell>
          <cell r="CV431" t="str">
            <v>Office</v>
          </cell>
          <cell r="CW431">
            <v>8.5</v>
          </cell>
          <cell r="CX431" t="str">
            <v>Finland</v>
          </cell>
          <cell r="CY431" t="str">
            <v>Office</v>
          </cell>
          <cell r="CZ431">
            <v>8.3000000000000007</v>
          </cell>
          <cell r="DA431" t="str">
            <v>Germany</v>
          </cell>
          <cell r="DB431" t="str">
            <v>Mixed</v>
          </cell>
          <cell r="DC431">
            <v>9.4</v>
          </cell>
          <cell r="DD431" t="str">
            <v>United Kingdom</v>
          </cell>
          <cell r="DE431" t="str">
            <v>Hotel</v>
          </cell>
          <cell r="DF431">
            <v>8.6</v>
          </cell>
          <cell r="DG431" t="str">
            <v>Switzerland</v>
          </cell>
          <cell r="DH431" t="str">
            <v>Office</v>
          </cell>
          <cell r="DI431">
            <v>5.6</v>
          </cell>
          <cell r="DJ431" t="str">
            <v>Netherlands</v>
          </cell>
          <cell r="DK431" t="str">
            <v>Retail</v>
          </cell>
          <cell r="DL431">
            <v>10.199999999999999</v>
          </cell>
        </row>
        <row r="432">
          <cell r="A432">
            <v>16077</v>
          </cell>
          <cell r="B432" t="str">
            <v>SARASIN SUSTAINABLE PROPERTIES - EUROPEAN CITIES</v>
          </cell>
          <cell r="C432" t="str">
            <v>CATELLA REAL ESTATE AG</v>
          </cell>
          <cell r="D432" t="str">
            <v>Alter Hof 5</v>
          </cell>
          <cell r="E432">
            <v>80331</v>
          </cell>
          <cell r="F432" t="str">
            <v>Munich</v>
          </cell>
          <cell r="G432" t="str">
            <v>Germany</v>
          </cell>
          <cell r="H432" t="str">
            <v>+4989166511</v>
          </cell>
          <cell r="I432" t="str">
            <v>+4989166566</v>
          </cell>
          <cell r="J432" t="str">
            <v>https://catella-realestate.de</v>
          </cell>
          <cell r="K432" t="str">
            <v>Nicolas Hartel</v>
          </cell>
          <cell r="L432" t="str">
            <v>nicolas.hartel@catella.de</v>
          </cell>
          <cell r="M432" t="str">
            <v>+49 89 189 16 65 26</v>
          </cell>
          <cell r="N432" t="str">
            <v>Carolin von Miller</v>
          </cell>
          <cell r="O432" t="str">
            <v>carolin.miller@catella.de</v>
          </cell>
          <cell r="P432" t="str">
            <v>+49 89 189 16 65 37</v>
          </cell>
          <cell r="Q432" t="str">
            <v>Germany</v>
          </cell>
          <cell r="R432" t="str">
            <v>EUR</v>
          </cell>
          <cell r="T432" t="str">
            <v>Monthly</v>
          </cell>
          <cell r="U432" t="str">
            <v>Annually</v>
          </cell>
          <cell r="V432" t="str">
            <v>Other - mark to market</v>
          </cell>
          <cell r="W432" t="str">
            <v>BVI</v>
          </cell>
          <cell r="X432" t="str">
            <v>PWC</v>
          </cell>
          <cell r="Y432" t="str">
            <v>Spezialfonds</v>
          </cell>
          <cell r="Z432" t="str">
            <v>No</v>
          </cell>
          <cell r="AA432" t="str">
            <v>Yes</v>
          </cell>
          <cell r="AB432">
            <v>8</v>
          </cell>
          <cell r="AC432" t="str">
            <v>Non-Listed Fund</v>
          </cell>
          <cell r="AD432" t="str">
            <v>Core</v>
          </cell>
          <cell r="AE432" t="str">
            <v>infinite</v>
          </cell>
          <cell r="AF432" t="str">
            <v>Open end</v>
          </cell>
          <cell r="AK432">
            <v>4.5</v>
          </cell>
          <cell r="AL432">
            <v>30</v>
          </cell>
          <cell r="AN432" t="str">
            <v>Institutional</v>
          </cell>
          <cell r="AO432" t="str">
            <v>&gt; 2</v>
          </cell>
          <cell r="AP432" t="str">
            <v>≥ 50%</v>
          </cell>
          <cell r="AQ432" t="str">
            <v>Europe</v>
          </cell>
          <cell r="AR432" t="str">
            <v>multi country</v>
          </cell>
          <cell r="AS432" t="str">
            <v>Europe</v>
          </cell>
          <cell r="AU432" t="str">
            <v>multi sector</v>
          </cell>
          <cell r="AY432">
            <v>2011</v>
          </cell>
          <cell r="BH432" t="str">
            <v>2020-12-31</v>
          </cell>
          <cell r="BI432">
            <v>555766713.02999997</v>
          </cell>
          <cell r="BJ432">
            <v>555766713.02999997</v>
          </cell>
          <cell r="BK432">
            <v>469068596.16000003</v>
          </cell>
          <cell r="BL432">
            <v>469068596.16000003</v>
          </cell>
          <cell r="BM432">
            <v>27.3</v>
          </cell>
          <cell r="BN432" t="str">
            <v>No</v>
          </cell>
          <cell r="BO432" t="str">
            <v>Internal</v>
          </cell>
          <cell r="BP432">
            <v>47</v>
          </cell>
          <cell r="BQ432">
            <v>22</v>
          </cell>
          <cell r="BR432">
            <v>0</v>
          </cell>
          <cell r="BS432">
            <v>0</v>
          </cell>
          <cell r="BT432">
            <v>0</v>
          </cell>
          <cell r="BV432" t="str">
            <v>No</v>
          </cell>
          <cell r="BW432" t="str">
            <v>Germany</v>
          </cell>
          <cell r="BX432" t="str">
            <v>Other</v>
          </cell>
          <cell r="BY432">
            <v>2.7</v>
          </cell>
          <cell r="BZ432" t="str">
            <v>Germany</v>
          </cell>
          <cell r="CA432" t="str">
            <v>Retail</v>
          </cell>
          <cell r="CB432">
            <v>3</v>
          </cell>
          <cell r="CC432" t="str">
            <v>Germany</v>
          </cell>
          <cell r="CD432" t="str">
            <v>Office</v>
          </cell>
          <cell r="CE432">
            <v>24</v>
          </cell>
          <cell r="CF432" t="str">
            <v>Netherlands</v>
          </cell>
          <cell r="CG432" t="str">
            <v>Office</v>
          </cell>
          <cell r="CH432">
            <v>17.600000000000001</v>
          </cell>
          <cell r="CI432" t="str">
            <v>Netherlands</v>
          </cell>
          <cell r="CJ432" t="str">
            <v>Office</v>
          </cell>
          <cell r="CK432">
            <v>2.2000000000000002</v>
          </cell>
          <cell r="CL432" t="str">
            <v>Netherlands</v>
          </cell>
          <cell r="CM432" t="str">
            <v>Other</v>
          </cell>
          <cell r="CN432">
            <v>2</v>
          </cell>
          <cell r="CO432" t="str">
            <v>Belgium</v>
          </cell>
          <cell r="CP432" t="str">
            <v>Office</v>
          </cell>
          <cell r="CQ432">
            <v>12</v>
          </cell>
          <cell r="CR432" t="str">
            <v>Belgium</v>
          </cell>
          <cell r="CS432" t="str">
            <v>Retail</v>
          </cell>
          <cell r="CT432">
            <v>1.5</v>
          </cell>
          <cell r="CU432" t="str">
            <v>Belgium</v>
          </cell>
          <cell r="CV432" t="str">
            <v>Other</v>
          </cell>
          <cell r="CW432">
            <v>1.35</v>
          </cell>
          <cell r="CX432" t="str">
            <v>Ireland</v>
          </cell>
          <cell r="CY432" t="str">
            <v>Office</v>
          </cell>
          <cell r="CZ432">
            <v>7</v>
          </cell>
          <cell r="DA432" t="str">
            <v>Ireland</v>
          </cell>
          <cell r="DB432" t="str">
            <v>Retail</v>
          </cell>
          <cell r="DC432">
            <v>1</v>
          </cell>
          <cell r="DD432" t="str">
            <v>Ireland</v>
          </cell>
          <cell r="DE432" t="str">
            <v>Other</v>
          </cell>
          <cell r="DF432">
            <v>1</v>
          </cell>
        </row>
        <row r="433">
          <cell r="A433">
            <v>106</v>
          </cell>
          <cell r="B433" t="str">
            <v>SAVILLS IM EUROPEAN COMMERCIAL FUND</v>
          </cell>
          <cell r="C433" t="str">
            <v>SAVILLS INVESTMENT MANAGEMENT (LUXEMBOURG) S.à R. L.</v>
          </cell>
          <cell r="D433" t="str">
            <v>10 Rue C.M. Spoo</v>
          </cell>
          <cell r="E433" t="str">
            <v>L-2546</v>
          </cell>
          <cell r="F433" t="str">
            <v>Luxembourg</v>
          </cell>
          <cell r="G433" t="str">
            <v>Luxembourg</v>
          </cell>
          <cell r="H433" t="str">
            <v>+35226649339</v>
          </cell>
          <cell r="I433" t="str">
            <v>+35226649941</v>
          </cell>
          <cell r="J433" t="str">
            <v>http://www.savillsim.com</v>
          </cell>
          <cell r="K433" t="str">
            <v>Gerhard Lehner</v>
          </cell>
          <cell r="L433" t="str">
            <v>gerhard.lehner@savillsim.com</v>
          </cell>
          <cell r="M433" t="str">
            <v>+4989203020226</v>
          </cell>
          <cell r="N433" t="str">
            <v>Stefanie Volz</v>
          </cell>
          <cell r="O433" t="str">
            <v>stefanie.volz@savillsim-kvg.com</v>
          </cell>
          <cell r="P433" t="str">
            <v>+4969272991222</v>
          </cell>
          <cell r="Q433" t="str">
            <v>Luxembourg</v>
          </cell>
          <cell r="R433" t="str">
            <v>EUR</v>
          </cell>
          <cell r="S433" t="str">
            <v>IFRS</v>
          </cell>
          <cell r="T433" t="str">
            <v>Quarterly</v>
          </cell>
          <cell r="U433" t="str">
            <v>Quarterly</v>
          </cell>
          <cell r="V433" t="str">
            <v>RICS</v>
          </cell>
          <cell r="W433" t="str">
            <v>INREV NAV</v>
          </cell>
          <cell r="X433" t="str">
            <v>PriceWaterhouseCoopers</v>
          </cell>
          <cell r="Y433" t="str">
            <v>FCP</v>
          </cell>
          <cell r="Z433" t="str">
            <v>Yes</v>
          </cell>
          <cell r="AA433" t="str">
            <v>Yes</v>
          </cell>
          <cell r="AB433">
            <v>0</v>
          </cell>
          <cell r="AC433" t="str">
            <v>Non-Listed Fund</v>
          </cell>
          <cell r="AD433" t="str">
            <v>Core</v>
          </cell>
          <cell r="AE433" t="str">
            <v>infinite</v>
          </cell>
          <cell r="AF433" t="str">
            <v>Open end</v>
          </cell>
          <cell r="AG433">
            <v>7</v>
          </cell>
          <cell r="AH433">
            <v>7</v>
          </cell>
          <cell r="AI433" t="str">
            <v>Net</v>
          </cell>
          <cell r="AJ433" t="str">
            <v>None</v>
          </cell>
          <cell r="AK433">
            <v>5</v>
          </cell>
          <cell r="AL433">
            <v>50</v>
          </cell>
          <cell r="AM433" t="str">
            <v>&gt; 40% - ≤ 60%</v>
          </cell>
          <cell r="AN433" t="str">
            <v>Institutional</v>
          </cell>
          <cell r="AO433" t="str">
            <v>&gt; 2</v>
          </cell>
          <cell r="AP433" t="str">
            <v>≥ 50%</v>
          </cell>
          <cell r="AQ433" t="str">
            <v>Europe</v>
          </cell>
          <cell r="AR433" t="str">
            <v>multi country</v>
          </cell>
          <cell r="AS433" t="str">
            <v>Western Europe</v>
          </cell>
          <cell r="AU433" t="str">
            <v>multi sector</v>
          </cell>
          <cell r="AW433">
            <v>350000000</v>
          </cell>
          <cell r="AX433">
            <v>700000000</v>
          </cell>
          <cell r="AY433">
            <v>2008</v>
          </cell>
          <cell r="BE433" t="str">
            <v>≥ 60%</v>
          </cell>
          <cell r="BF433" t="str">
            <v>≤ 15%</v>
          </cell>
          <cell r="BG433" t="str">
            <v>≤ 5%</v>
          </cell>
          <cell r="BH433" t="str">
            <v>2020-09-30</v>
          </cell>
          <cell r="BI433">
            <v>895002764</v>
          </cell>
          <cell r="BJ433">
            <v>895002764</v>
          </cell>
          <cell r="BK433">
            <v>486249687</v>
          </cell>
          <cell r="BL433">
            <v>486249687</v>
          </cell>
          <cell r="BM433">
            <v>44.2</v>
          </cell>
          <cell r="BN433" t="str">
            <v>Yes</v>
          </cell>
          <cell r="BO433" t="str">
            <v>External</v>
          </cell>
          <cell r="BP433">
            <v>10</v>
          </cell>
          <cell r="BQ433">
            <v>19</v>
          </cell>
          <cell r="BR433">
            <v>509000000</v>
          </cell>
          <cell r="BS433">
            <v>509000000</v>
          </cell>
          <cell r="BT433">
            <v>474000000</v>
          </cell>
          <cell r="BU433">
            <v>474000000</v>
          </cell>
          <cell r="BV433" t="str">
            <v>Yes</v>
          </cell>
          <cell r="BW433" t="str">
            <v>Denmark</v>
          </cell>
          <cell r="BX433" t="str">
            <v>Other</v>
          </cell>
          <cell r="BY433">
            <v>1.5</v>
          </cell>
          <cell r="BZ433" t="str">
            <v>Denmark</v>
          </cell>
          <cell r="CA433" t="str">
            <v>Office</v>
          </cell>
          <cell r="CB433">
            <v>2.2000000000000002</v>
          </cell>
          <cell r="CC433" t="str">
            <v>Denmark</v>
          </cell>
          <cell r="CD433" t="str">
            <v>Retail</v>
          </cell>
          <cell r="CE433">
            <v>4.5</v>
          </cell>
          <cell r="CF433" t="str">
            <v>Finland</v>
          </cell>
          <cell r="CG433" t="str">
            <v>Other</v>
          </cell>
          <cell r="CH433">
            <v>0.4</v>
          </cell>
          <cell r="CI433" t="str">
            <v>Finland</v>
          </cell>
          <cell r="CJ433" t="str">
            <v>Office</v>
          </cell>
          <cell r="CK433">
            <v>3</v>
          </cell>
          <cell r="CL433" t="str">
            <v>Finland</v>
          </cell>
          <cell r="CM433" t="str">
            <v>Retail</v>
          </cell>
          <cell r="CN433">
            <v>5.2</v>
          </cell>
          <cell r="CO433" t="str">
            <v>Germany</v>
          </cell>
          <cell r="CP433" t="str">
            <v>Other</v>
          </cell>
          <cell r="CQ433">
            <v>1.8</v>
          </cell>
          <cell r="CR433" t="str">
            <v>Germany</v>
          </cell>
          <cell r="CS433" t="str">
            <v>Industrial / Logistics</v>
          </cell>
          <cell r="CT433">
            <v>3.7</v>
          </cell>
          <cell r="CU433" t="str">
            <v>Germany</v>
          </cell>
          <cell r="CV433" t="str">
            <v>Office</v>
          </cell>
          <cell r="CW433">
            <v>9.1</v>
          </cell>
          <cell r="CX433" t="str">
            <v>Germany</v>
          </cell>
          <cell r="CY433" t="str">
            <v>Retail</v>
          </cell>
          <cell r="CZ433">
            <v>6.8</v>
          </cell>
          <cell r="DA433" t="str">
            <v>Italy</v>
          </cell>
          <cell r="DB433" t="str">
            <v>Office</v>
          </cell>
          <cell r="DC433">
            <v>4.3</v>
          </cell>
          <cell r="DD433" t="str">
            <v>Italy</v>
          </cell>
          <cell r="DE433" t="str">
            <v>Retail</v>
          </cell>
          <cell r="DF433">
            <v>4.8</v>
          </cell>
          <cell r="DG433" t="str">
            <v>Belgium</v>
          </cell>
          <cell r="DH433" t="str">
            <v>Office</v>
          </cell>
          <cell r="DI433">
            <v>3.9</v>
          </cell>
          <cell r="DJ433" t="str">
            <v>United Kingdom</v>
          </cell>
          <cell r="DK433" t="str">
            <v>Other</v>
          </cell>
          <cell r="DL433">
            <v>0.2</v>
          </cell>
          <cell r="DM433" t="str">
            <v>United Kingdom</v>
          </cell>
          <cell r="DN433" t="str">
            <v>Office</v>
          </cell>
          <cell r="DO433">
            <v>8.1</v>
          </cell>
          <cell r="DP433" t="str">
            <v>United Kingdom</v>
          </cell>
          <cell r="DQ433" t="str">
            <v>Retail</v>
          </cell>
          <cell r="DR433">
            <v>4.5</v>
          </cell>
          <cell r="DS433" t="str">
            <v>France</v>
          </cell>
          <cell r="DT433" t="str">
            <v>Industrial / Logistics</v>
          </cell>
          <cell r="DU433">
            <v>2.5</v>
          </cell>
          <cell r="DV433" t="str">
            <v>France</v>
          </cell>
          <cell r="DW433" t="str">
            <v>Office</v>
          </cell>
          <cell r="DX433">
            <v>10.199999999999999</v>
          </cell>
          <cell r="DY433" t="str">
            <v>France</v>
          </cell>
          <cell r="DZ433" t="str">
            <v>Retail</v>
          </cell>
          <cell r="EA433">
            <v>9.4</v>
          </cell>
          <cell r="EB433" t="str">
            <v>Sweden</v>
          </cell>
          <cell r="EC433" t="str">
            <v>Other</v>
          </cell>
          <cell r="ED433">
            <v>0.1</v>
          </cell>
          <cell r="EE433" t="str">
            <v>Sweden</v>
          </cell>
          <cell r="EF433" t="str">
            <v>Retail</v>
          </cell>
          <cell r="EG433">
            <v>7.2</v>
          </cell>
        </row>
        <row r="434">
          <cell r="A434">
            <v>18125</v>
          </cell>
          <cell r="B434" t="str">
            <v>SAVILLS IM EUROPEAN LOGISTICS FUND 2</v>
          </cell>
          <cell r="C434" t="str">
            <v>SAVILLS INVESTMENT MANAGEMENT KVG GMBH</v>
          </cell>
          <cell r="D434" t="str">
            <v>Rotfeder-Ring 7</v>
          </cell>
          <cell r="E434">
            <v>60327</v>
          </cell>
          <cell r="F434" t="str">
            <v>Frankfurt am Main</v>
          </cell>
          <cell r="G434" t="str">
            <v>Germany</v>
          </cell>
          <cell r="H434" t="str">
            <v>+49 69 272 99 1000</v>
          </cell>
          <cell r="I434" t="str">
            <v>+49 69 272 99 090</v>
          </cell>
          <cell r="J434" t="str">
            <v>http://www.savillsim.de/uber-uns/savills-investment-management-kvg-gmbh.aspx</v>
          </cell>
          <cell r="K434" t="str">
            <v>Daniel Hohenthanner</v>
          </cell>
          <cell r="L434" t="str">
            <v>daniel.hohenthanner@savillsim.com</v>
          </cell>
          <cell r="M434" t="str">
            <v>+49 89 20 30 20 206</v>
          </cell>
          <cell r="N434" t="str">
            <v>Sophie Schäfer</v>
          </cell>
          <cell r="O434" t="str">
            <v>sophie.schaefer@savillsim.com</v>
          </cell>
          <cell r="P434" t="str">
            <v>+49 89 20 30 20 210</v>
          </cell>
          <cell r="Q434" t="str">
            <v>Germany</v>
          </cell>
          <cell r="R434" t="str">
            <v>EUR</v>
          </cell>
          <cell r="S434" t="str">
            <v>Local GAAP</v>
          </cell>
          <cell r="T434" t="str">
            <v>Monthly</v>
          </cell>
          <cell r="U434" t="str">
            <v>Annually</v>
          </cell>
          <cell r="V434" t="str">
            <v>ImmoWertV</v>
          </cell>
          <cell r="W434" t="str">
            <v>German Investment Act (KAGB) based on German Gaap (HGB)</v>
          </cell>
          <cell r="X434" t="str">
            <v>KPMG</v>
          </cell>
          <cell r="Y434" t="str">
            <v>Spezialfonds</v>
          </cell>
          <cell r="Z434" t="str">
            <v>No</v>
          </cell>
          <cell r="AA434" t="str">
            <v>Yes</v>
          </cell>
          <cell r="AB434">
            <v>0</v>
          </cell>
          <cell r="AC434" t="str">
            <v>Non-Listed Fund</v>
          </cell>
          <cell r="AD434" t="str">
            <v>Core</v>
          </cell>
          <cell r="AE434" t="str">
            <v>infinite</v>
          </cell>
          <cell r="AF434" t="str">
            <v>Open end</v>
          </cell>
          <cell r="AG434">
            <v>6</v>
          </cell>
          <cell r="AH434">
            <v>6.5</v>
          </cell>
          <cell r="AI434" t="str">
            <v>Net</v>
          </cell>
          <cell r="AK434">
            <v>6</v>
          </cell>
          <cell r="AL434">
            <v>50</v>
          </cell>
          <cell r="AM434" t="str">
            <v>&gt; 40% - ≤ 60%</v>
          </cell>
          <cell r="AN434" t="str">
            <v>Institutional</v>
          </cell>
          <cell r="AO434" t="str">
            <v>&gt; 2</v>
          </cell>
          <cell r="AP434" t="str">
            <v>≥ 50%</v>
          </cell>
          <cell r="AQ434" t="str">
            <v>Europe</v>
          </cell>
          <cell r="AR434" t="str">
            <v>multi country</v>
          </cell>
          <cell r="AS434" t="str">
            <v>Europe</v>
          </cell>
          <cell r="AU434" t="str">
            <v>single sector</v>
          </cell>
          <cell r="AV434" t="str">
            <v>Industrial / Logistics</v>
          </cell>
          <cell r="AW434">
            <v>250000000</v>
          </cell>
          <cell r="AX434">
            <v>500000000</v>
          </cell>
          <cell r="AY434">
            <v>2015</v>
          </cell>
          <cell r="BB434" t="str">
            <v>No</v>
          </cell>
          <cell r="BD434" t="str">
            <v>Yes</v>
          </cell>
          <cell r="BE434" t="str">
            <v>≥ 60%</v>
          </cell>
          <cell r="BF434" t="str">
            <v>≤ 15%</v>
          </cell>
          <cell r="BG434" t="str">
            <v>≤ 5%</v>
          </cell>
          <cell r="BH434" t="str">
            <v>2020-12-31</v>
          </cell>
          <cell r="BI434">
            <v>753905213.47000003</v>
          </cell>
          <cell r="BJ434">
            <v>753905213.47000003</v>
          </cell>
          <cell r="BK434">
            <v>606890574.23000002</v>
          </cell>
          <cell r="BL434">
            <v>606890574.23000002</v>
          </cell>
          <cell r="BM434">
            <v>44.13</v>
          </cell>
          <cell r="BN434" t="str">
            <v>No</v>
          </cell>
          <cell r="BO434" t="str">
            <v>External</v>
          </cell>
          <cell r="BP434">
            <v>28</v>
          </cell>
          <cell r="BQ434">
            <v>27</v>
          </cell>
          <cell r="BR434">
            <v>560000000</v>
          </cell>
          <cell r="BS434">
            <v>560000000</v>
          </cell>
          <cell r="BT434">
            <v>560000000</v>
          </cell>
          <cell r="BU434">
            <v>560000000</v>
          </cell>
          <cell r="BV434" t="str">
            <v>No</v>
          </cell>
          <cell r="BW434" t="str">
            <v>Poland</v>
          </cell>
          <cell r="BX434" t="str">
            <v>Industrial / Logistics</v>
          </cell>
          <cell r="BY434">
            <v>9</v>
          </cell>
          <cell r="BZ434" t="str">
            <v>Spain</v>
          </cell>
          <cell r="CA434" t="str">
            <v>Industrial / Logistics</v>
          </cell>
          <cell r="CB434">
            <v>6</v>
          </cell>
          <cell r="CC434" t="str">
            <v>Sweden</v>
          </cell>
          <cell r="CD434" t="str">
            <v>Industrial / Logistics</v>
          </cell>
          <cell r="CE434">
            <v>10</v>
          </cell>
          <cell r="CF434" t="str">
            <v>Netherlands</v>
          </cell>
          <cell r="CG434" t="str">
            <v>Industrial / Logistics</v>
          </cell>
          <cell r="CH434">
            <v>19</v>
          </cell>
          <cell r="CI434" t="str">
            <v>Germany</v>
          </cell>
          <cell r="CJ434" t="str">
            <v>Industrial / Logistics</v>
          </cell>
          <cell r="CK434">
            <v>32</v>
          </cell>
          <cell r="CL434" t="str">
            <v>France</v>
          </cell>
          <cell r="CM434" t="str">
            <v>Industrial / Logistics</v>
          </cell>
          <cell r="CN434">
            <v>24</v>
          </cell>
        </row>
        <row r="435">
          <cell r="A435">
            <v>598</v>
          </cell>
          <cell r="B435" t="str">
            <v>SAVILLS IM EUROPEAN OFFICE FUND</v>
          </cell>
          <cell r="C435" t="str">
            <v>SAVILLS FUND MANAGEMENT GMBH</v>
          </cell>
          <cell r="D435" t="str">
            <v>Rotfeder-Ring 7</v>
          </cell>
          <cell r="E435">
            <v>60327</v>
          </cell>
          <cell r="F435" t="str">
            <v>Frankfurt</v>
          </cell>
          <cell r="G435" t="str">
            <v>Germany</v>
          </cell>
          <cell r="H435" t="str">
            <v>+49 69 27299 1000</v>
          </cell>
          <cell r="I435" t="str">
            <v>+49 69 27299 090</v>
          </cell>
          <cell r="J435" t="str">
            <v>http://www.savillsim.de</v>
          </cell>
          <cell r="K435" t="str">
            <v>Roland M. Döhn</v>
          </cell>
          <cell r="L435" t="str">
            <v>Roland.Doehn@savillsim-kvg.com</v>
          </cell>
          <cell r="M435" t="str">
            <v>+49 69 27299 1200</v>
          </cell>
          <cell r="N435" t="str">
            <v>Kai Hagenmaier</v>
          </cell>
          <cell r="O435" t="str">
            <v>kai.hagenmaier@savillsim-kvg.com</v>
          </cell>
          <cell r="P435" t="str">
            <v>+49 69 27299 1221</v>
          </cell>
          <cell r="Q435" t="str">
            <v>Germany</v>
          </cell>
          <cell r="R435" t="str">
            <v>EUR</v>
          </cell>
          <cell r="S435" t="str">
            <v>Local GAAP</v>
          </cell>
          <cell r="T435" t="str">
            <v>Annually</v>
          </cell>
          <cell r="U435" t="str">
            <v>Annually</v>
          </cell>
          <cell r="W435" t="str">
            <v>KAGB</v>
          </cell>
          <cell r="Y435" t="str">
            <v>Spezialfonds</v>
          </cell>
          <cell r="Z435" t="str">
            <v>No</v>
          </cell>
          <cell r="AB435">
            <v>0</v>
          </cell>
          <cell r="AC435" t="str">
            <v>Non-Listed Fund</v>
          </cell>
          <cell r="AD435" t="str">
            <v>Core</v>
          </cell>
          <cell r="AE435" t="str">
            <v>infinite</v>
          </cell>
          <cell r="AF435" t="str">
            <v>Open end</v>
          </cell>
          <cell r="AG435">
            <v>7</v>
          </cell>
          <cell r="AH435">
            <v>10</v>
          </cell>
          <cell r="AI435" t="str">
            <v>Net</v>
          </cell>
          <cell r="AK435">
            <v>5</v>
          </cell>
          <cell r="AL435">
            <v>50</v>
          </cell>
          <cell r="AM435" t="str">
            <v>&gt; 40% - ≤ 60%</v>
          </cell>
          <cell r="AN435" t="str">
            <v>Institutional</v>
          </cell>
          <cell r="AO435" t="str">
            <v>&gt; 2</v>
          </cell>
          <cell r="AP435" t="str">
            <v>≥ 50%</v>
          </cell>
          <cell r="AQ435" t="str">
            <v>Europe</v>
          </cell>
          <cell r="AR435" t="str">
            <v>multi country</v>
          </cell>
          <cell r="AS435" t="str">
            <v>Europe</v>
          </cell>
          <cell r="AU435" t="str">
            <v>single sector</v>
          </cell>
          <cell r="AV435" t="str">
            <v>Office</v>
          </cell>
          <cell r="AW435">
            <v>800000000</v>
          </cell>
          <cell r="AX435">
            <v>1600000000</v>
          </cell>
          <cell r="AY435">
            <v>2009</v>
          </cell>
          <cell r="BA435" t="str">
            <v>No</v>
          </cell>
          <cell r="BB435" t="str">
            <v>No</v>
          </cell>
          <cell r="BD435" t="str">
            <v>No</v>
          </cell>
          <cell r="BH435" t="str">
            <v>2020-12-31</v>
          </cell>
          <cell r="BI435">
            <v>78667727.469999999</v>
          </cell>
          <cell r="BJ435">
            <v>78667727.469999999</v>
          </cell>
          <cell r="BK435">
            <v>52636685.240000002</v>
          </cell>
          <cell r="BL435">
            <v>52636685.240000002</v>
          </cell>
          <cell r="BM435">
            <v>21.4</v>
          </cell>
          <cell r="BN435" t="str">
            <v>No</v>
          </cell>
          <cell r="BO435" t="str">
            <v>External</v>
          </cell>
          <cell r="BP435">
            <v>5</v>
          </cell>
          <cell r="BQ435">
            <v>2</v>
          </cell>
          <cell r="BR435">
            <v>68600000</v>
          </cell>
          <cell r="BS435">
            <v>68600000</v>
          </cell>
          <cell r="BT435">
            <v>62500000</v>
          </cell>
          <cell r="BU435">
            <v>62500000</v>
          </cell>
          <cell r="BV435" t="str">
            <v>No</v>
          </cell>
          <cell r="BW435" t="str">
            <v>Germany</v>
          </cell>
          <cell r="BX435" t="str">
            <v>Office</v>
          </cell>
          <cell r="BY435">
            <v>59</v>
          </cell>
          <cell r="BZ435" t="str">
            <v>Poland</v>
          </cell>
          <cell r="CA435" t="str">
            <v>Office</v>
          </cell>
          <cell r="CB435">
            <v>41</v>
          </cell>
        </row>
        <row r="436">
          <cell r="A436">
            <v>628</v>
          </cell>
          <cell r="B436" t="str">
            <v>SAVILLS IM EUROPEAN RETAIL FUND</v>
          </cell>
          <cell r="C436" t="str">
            <v>SAVILLS INVESTMENT MANAGEMENT (LUXEMBOURG) S.à.R.L.</v>
          </cell>
          <cell r="D436" t="str">
            <v>10 Rue C. M. Spoo</v>
          </cell>
          <cell r="E436" t="str">
            <v>L-2546</v>
          </cell>
          <cell r="F436" t="str">
            <v>Luxembourg</v>
          </cell>
          <cell r="G436" t="str">
            <v>Luxembourg</v>
          </cell>
          <cell r="H436" t="str">
            <v>+352 26 64 9339</v>
          </cell>
          <cell r="I436" t="str">
            <v>+352 26 64 9941</v>
          </cell>
          <cell r="J436" t="str">
            <v>http://www.savillsim.com</v>
          </cell>
          <cell r="K436" t="str">
            <v>Thomas Guetle</v>
          </cell>
          <cell r="L436" t="str">
            <v>thomas.guetle@savillsim.com</v>
          </cell>
          <cell r="M436" t="str">
            <v>+49 (0) 89 20 30 20 230</v>
          </cell>
          <cell r="N436" t="str">
            <v>Matthias Reiss</v>
          </cell>
          <cell r="O436" t="str">
            <v>matthias.reiss@savillsim.com</v>
          </cell>
          <cell r="P436" t="str">
            <v>+49 (0) 89 20 30 20 215</v>
          </cell>
          <cell r="Q436" t="str">
            <v>Luxembourg</v>
          </cell>
          <cell r="R436" t="str">
            <v>EUR</v>
          </cell>
          <cell r="S436" t="str">
            <v>IFRS</v>
          </cell>
          <cell r="T436" t="str">
            <v>Quarterly</v>
          </cell>
          <cell r="U436" t="str">
            <v>Quarterly</v>
          </cell>
          <cell r="W436" t="str">
            <v>Mix of IFRS and INREV NAV</v>
          </cell>
          <cell r="X436" t="str">
            <v>PricewaterhouseCoopers</v>
          </cell>
          <cell r="Y436" t="str">
            <v>FCP</v>
          </cell>
          <cell r="Z436" t="str">
            <v>Yes</v>
          </cell>
          <cell r="AA436" t="str">
            <v>Yes</v>
          </cell>
          <cell r="AB436">
            <v>2</v>
          </cell>
          <cell r="AC436" t="str">
            <v>Non-Listed Fund</v>
          </cell>
          <cell r="AD436" t="str">
            <v>Core</v>
          </cell>
          <cell r="AE436" t="str">
            <v>finite</v>
          </cell>
          <cell r="AF436" t="str">
            <v>Closed end</v>
          </cell>
          <cell r="AG436">
            <v>7</v>
          </cell>
          <cell r="AH436">
            <v>7</v>
          </cell>
          <cell r="AI436" t="str">
            <v>Net</v>
          </cell>
          <cell r="AJ436" t="str">
            <v>None</v>
          </cell>
          <cell r="AK436">
            <v>5</v>
          </cell>
          <cell r="AL436">
            <v>50</v>
          </cell>
          <cell r="AM436" t="str">
            <v>&gt; 40% - ≤ 60%</v>
          </cell>
          <cell r="AN436" t="str">
            <v>Institutional</v>
          </cell>
          <cell r="AO436" t="str">
            <v>&gt; 2</v>
          </cell>
          <cell r="AP436" t="str">
            <v>≥ 50%</v>
          </cell>
          <cell r="AQ436" t="str">
            <v>Europe</v>
          </cell>
          <cell r="AR436" t="str">
            <v>multi country</v>
          </cell>
          <cell r="AS436" t="str">
            <v>Western Europe</v>
          </cell>
          <cell r="AU436" t="str">
            <v>single sector</v>
          </cell>
          <cell r="AV436" t="str">
            <v>Retail</v>
          </cell>
          <cell r="AW436">
            <v>300000000</v>
          </cell>
          <cell r="AX436">
            <v>600000000</v>
          </cell>
          <cell r="AY436">
            <v>2012</v>
          </cell>
          <cell r="AZ436">
            <v>2022</v>
          </cell>
          <cell r="BA436" t="str">
            <v>Yes</v>
          </cell>
          <cell r="BB436" t="str">
            <v>Yes</v>
          </cell>
          <cell r="BC436" t="str">
            <v>5 years</v>
          </cell>
          <cell r="BH436" t="str">
            <v>2020-09-30</v>
          </cell>
          <cell r="BI436">
            <v>609818642.10000002</v>
          </cell>
          <cell r="BJ436">
            <v>609818642.10000002</v>
          </cell>
          <cell r="BK436">
            <v>340967777</v>
          </cell>
          <cell r="BL436">
            <v>340967777</v>
          </cell>
          <cell r="BM436">
            <v>45.28</v>
          </cell>
          <cell r="BN436" t="str">
            <v>Yes</v>
          </cell>
          <cell r="BO436" t="str">
            <v>External</v>
          </cell>
          <cell r="BP436">
            <v>18</v>
          </cell>
          <cell r="BQ436">
            <v>18</v>
          </cell>
          <cell r="BR436">
            <v>379800000</v>
          </cell>
          <cell r="BS436">
            <v>379800000</v>
          </cell>
          <cell r="BT436">
            <v>350800000</v>
          </cell>
          <cell r="BU436">
            <v>350800000</v>
          </cell>
          <cell r="BV436" t="str">
            <v>No</v>
          </cell>
          <cell r="BW436" t="str">
            <v>Portugal</v>
          </cell>
          <cell r="BX436" t="str">
            <v>Retail</v>
          </cell>
          <cell r="BY436">
            <v>4.0999999999999996</v>
          </cell>
          <cell r="BZ436" t="str">
            <v>Denmark</v>
          </cell>
          <cell r="CA436" t="str">
            <v>Retail</v>
          </cell>
          <cell r="CB436">
            <v>18.899999999999999</v>
          </cell>
          <cell r="CC436" t="str">
            <v>Netherlands</v>
          </cell>
          <cell r="CD436" t="str">
            <v>Retail</v>
          </cell>
          <cell r="CE436">
            <v>17.899999999999999</v>
          </cell>
          <cell r="CF436" t="str">
            <v>Sweden</v>
          </cell>
          <cell r="CG436" t="str">
            <v>Retail</v>
          </cell>
          <cell r="CH436">
            <v>5.5</v>
          </cell>
          <cell r="CI436" t="str">
            <v>Italy</v>
          </cell>
          <cell r="CJ436" t="str">
            <v>Retail</v>
          </cell>
          <cell r="CK436">
            <v>6.6</v>
          </cell>
          <cell r="CL436" t="str">
            <v>Ireland</v>
          </cell>
          <cell r="CM436" t="str">
            <v>Retail</v>
          </cell>
          <cell r="CN436">
            <v>8.5</v>
          </cell>
          <cell r="CO436" t="str">
            <v>Spain</v>
          </cell>
          <cell r="CP436" t="str">
            <v>Retail</v>
          </cell>
          <cell r="CQ436">
            <v>10.7</v>
          </cell>
          <cell r="CR436" t="str">
            <v>France</v>
          </cell>
          <cell r="CS436" t="str">
            <v>Retail</v>
          </cell>
          <cell r="CT436">
            <v>9.5</v>
          </cell>
          <cell r="CU436" t="str">
            <v>Germany</v>
          </cell>
          <cell r="CV436" t="str">
            <v>Retail</v>
          </cell>
          <cell r="CW436">
            <v>13.4</v>
          </cell>
          <cell r="CX436" t="str">
            <v>United Kingdom</v>
          </cell>
          <cell r="CY436" t="str">
            <v>Retail</v>
          </cell>
          <cell r="CZ436">
            <v>4.9000000000000004</v>
          </cell>
        </row>
        <row r="437">
          <cell r="A437">
            <v>19272</v>
          </cell>
          <cell r="B437" t="str">
            <v xml:space="preserve">SAVILLS IM NORDIC III - RETAIL </v>
          </cell>
          <cell r="C437" t="str">
            <v>SAVILLS INVESTMENT MANAGEMENT KVG GMBH</v>
          </cell>
          <cell r="D437" t="str">
            <v>Rotfeder-Ring 7</v>
          </cell>
          <cell r="E437">
            <v>60327</v>
          </cell>
          <cell r="F437" t="str">
            <v>Frankfurt am Main</v>
          </cell>
          <cell r="G437" t="str">
            <v>Germany</v>
          </cell>
          <cell r="H437" t="str">
            <v>+4969272991000</v>
          </cell>
          <cell r="I437" t="str">
            <v>+496927299090</v>
          </cell>
          <cell r="J437" t="str">
            <v>http://www.savillsim.com</v>
          </cell>
          <cell r="K437" t="str">
            <v>Peter Broström</v>
          </cell>
          <cell r="L437" t="str">
            <v>Peter.Brostrom@savillsim.com</v>
          </cell>
          <cell r="N437" t="str">
            <v>Kai Hagenmaier</v>
          </cell>
          <cell r="O437" t="str">
            <v>kai.hagenmaier@savillim-kvg.com</v>
          </cell>
          <cell r="P437" t="str">
            <v xml:space="preserve">+4969272991221 </v>
          </cell>
          <cell r="Q437" t="str">
            <v>Germany</v>
          </cell>
          <cell r="R437" t="str">
            <v>EUR</v>
          </cell>
          <cell r="S437" t="str">
            <v>Local GAAP</v>
          </cell>
          <cell r="T437" t="str">
            <v>Monthly</v>
          </cell>
          <cell r="U437" t="str">
            <v>Annually</v>
          </cell>
          <cell r="V437" t="str">
            <v>Valuations will be carried out in accordance with the KAGB and the general fund terms</v>
          </cell>
          <cell r="W437" t="str">
            <v>The fund  reports an NAV compliant with regulations according to KAGB</v>
          </cell>
          <cell r="X437" t="str">
            <v>KPMG</v>
          </cell>
          <cell r="Y437" t="str">
            <v>Spezialfonds</v>
          </cell>
          <cell r="Z437" t="str">
            <v>No</v>
          </cell>
          <cell r="AA437" t="str">
            <v>Yes</v>
          </cell>
          <cell r="AC437" t="str">
            <v>Non-Listed Fund</v>
          </cell>
          <cell r="AD437" t="str">
            <v>Core</v>
          </cell>
          <cell r="AE437" t="str">
            <v>finite</v>
          </cell>
          <cell r="AF437" t="str">
            <v>Closed end</v>
          </cell>
          <cell r="AG437">
            <v>7</v>
          </cell>
          <cell r="AH437">
            <v>9</v>
          </cell>
          <cell r="AI437" t="str">
            <v>Net</v>
          </cell>
          <cell r="AK437">
            <v>5.5</v>
          </cell>
          <cell r="AL437">
            <v>50</v>
          </cell>
          <cell r="AM437" t="str">
            <v>≤ 40%</v>
          </cell>
          <cell r="AN437" t="str">
            <v>Institutional</v>
          </cell>
          <cell r="AO437" t="str">
            <v>&gt; 2</v>
          </cell>
          <cell r="AP437" t="str">
            <v>≥ 50%</v>
          </cell>
          <cell r="AQ437" t="str">
            <v>Europe</v>
          </cell>
          <cell r="AR437" t="str">
            <v>multi country</v>
          </cell>
          <cell r="AS437" t="str">
            <v>Nordic</v>
          </cell>
          <cell r="AU437" t="str">
            <v>multi sector</v>
          </cell>
          <cell r="AW437">
            <v>150000000</v>
          </cell>
          <cell r="AX437">
            <v>300000000</v>
          </cell>
          <cell r="AY437">
            <v>2017</v>
          </cell>
          <cell r="AZ437">
            <v>2027</v>
          </cell>
          <cell r="BA437" t="str">
            <v>No</v>
          </cell>
          <cell r="BB437" t="str">
            <v>No</v>
          </cell>
          <cell r="BD437" t="str">
            <v>No</v>
          </cell>
          <cell r="BE437" t="str">
            <v>≥ 60%</v>
          </cell>
          <cell r="BH437" t="str">
            <v>2020-12-31</v>
          </cell>
          <cell r="BI437">
            <v>96049325.909999996</v>
          </cell>
          <cell r="BJ437">
            <v>96049325.909999996</v>
          </cell>
          <cell r="BK437">
            <v>94392179.510000005</v>
          </cell>
          <cell r="BL437">
            <v>94392179.510000005</v>
          </cell>
          <cell r="BM437">
            <v>46.6</v>
          </cell>
          <cell r="BN437" t="str">
            <v>No</v>
          </cell>
          <cell r="BO437" t="str">
            <v>External</v>
          </cell>
          <cell r="BP437">
            <v>4</v>
          </cell>
          <cell r="BQ437">
            <v>6</v>
          </cell>
          <cell r="BR437">
            <v>120000000</v>
          </cell>
          <cell r="BS437">
            <v>120000000</v>
          </cell>
          <cell r="BT437">
            <v>97000445</v>
          </cell>
          <cell r="BU437">
            <v>97000445</v>
          </cell>
          <cell r="BV437" t="str">
            <v>Yes</v>
          </cell>
          <cell r="BW437" t="str">
            <v>Denmark</v>
          </cell>
          <cell r="BX437" t="str">
            <v>Office</v>
          </cell>
          <cell r="BY437">
            <v>18</v>
          </cell>
          <cell r="BZ437" t="str">
            <v>Sweden</v>
          </cell>
          <cell r="CA437" t="str">
            <v>Office</v>
          </cell>
          <cell r="CB437">
            <v>82</v>
          </cell>
        </row>
        <row r="438">
          <cell r="A438">
            <v>555</v>
          </cell>
          <cell r="B438" t="str">
            <v>SAVILLS IM UK INCOME AND GROWTH FUND</v>
          </cell>
          <cell r="C438" t="str">
            <v>CORDEA SAVILLS FUND MANAGERS (JERSEY) LIMITED</v>
          </cell>
          <cell r="D438" t="str">
            <v>3rd Floor Walker House, 28-34 Hill Street</v>
          </cell>
          <cell r="E438" t="str">
            <v>JE4 8PN</v>
          </cell>
          <cell r="F438" t="str">
            <v>St Helier</v>
          </cell>
          <cell r="G438" t="str">
            <v>Jersey</v>
          </cell>
          <cell r="H438" t="str">
            <v>+44 (0)20 7877 4700</v>
          </cell>
          <cell r="J438" t="str">
            <v>http://www.savills.com</v>
          </cell>
          <cell r="K438" t="str">
            <v>Jamie Pearson</v>
          </cell>
          <cell r="L438" t="str">
            <v>jamie.pearson@savillsim.com</v>
          </cell>
          <cell r="M438" t="str">
            <v>+44 (0)20 3107 5429</v>
          </cell>
          <cell r="N438" t="str">
            <v>Katie Joyce</v>
          </cell>
          <cell r="O438" t="str">
            <v>katie.joyce@savillsim.com</v>
          </cell>
          <cell r="P438" t="str">
            <v>+44 (0)20 7877 4777</v>
          </cell>
          <cell r="Q438" t="str">
            <v>Jersey</v>
          </cell>
          <cell r="R438" t="str">
            <v>GBP</v>
          </cell>
          <cell r="S438" t="str">
            <v>IFRS</v>
          </cell>
          <cell r="T438" t="str">
            <v>Quarterly</v>
          </cell>
          <cell r="U438" t="str">
            <v>Monthly</v>
          </cell>
          <cell r="V438" t="str">
            <v>RICS</v>
          </cell>
          <cell r="W438" t="str">
            <v>INREV NAV</v>
          </cell>
          <cell r="X438" t="str">
            <v>KPMG</v>
          </cell>
          <cell r="Y438" t="str">
            <v>Jersey Property Unit Trust</v>
          </cell>
          <cell r="Z438" t="str">
            <v>Yes</v>
          </cell>
          <cell r="AB438">
            <v>2</v>
          </cell>
          <cell r="AC438" t="str">
            <v>Non-Listed Fund</v>
          </cell>
          <cell r="AD438" t="str">
            <v>Core</v>
          </cell>
          <cell r="AE438" t="str">
            <v>infinite</v>
          </cell>
          <cell r="AF438" t="str">
            <v>Open end</v>
          </cell>
          <cell r="AJ438" t="str">
            <v>IPD UK Monthly All Property Index</v>
          </cell>
          <cell r="AK438">
            <v>5</v>
          </cell>
          <cell r="AM438" t="str">
            <v>≤ 40%</v>
          </cell>
          <cell r="AN438" t="str">
            <v>Institutional</v>
          </cell>
          <cell r="AO438" t="str">
            <v>&gt; 2</v>
          </cell>
          <cell r="AP438" t="str">
            <v>≥ 50%</v>
          </cell>
          <cell r="AQ438" t="str">
            <v>Europe</v>
          </cell>
          <cell r="AR438" t="str">
            <v>single country</v>
          </cell>
          <cell r="AT438" t="str">
            <v>United Kingdom</v>
          </cell>
          <cell r="AU438" t="str">
            <v>multi sector</v>
          </cell>
          <cell r="AX438">
            <v>500000000</v>
          </cell>
          <cell r="AY438">
            <v>2010</v>
          </cell>
          <cell r="BE438" t="str">
            <v>≥ 60%</v>
          </cell>
          <cell r="BH438" t="str">
            <v>2020-12-31</v>
          </cell>
          <cell r="BI438">
            <v>116200615</v>
          </cell>
          <cell r="BJ438">
            <v>128465484.7516934</v>
          </cell>
          <cell r="BK438">
            <v>112605000</v>
          </cell>
          <cell r="BL438">
            <v>124490355.842475</v>
          </cell>
          <cell r="BM438">
            <v>0</v>
          </cell>
          <cell r="BN438" t="str">
            <v>Yes</v>
          </cell>
          <cell r="BO438" t="str">
            <v>External</v>
          </cell>
          <cell r="BP438">
            <v>13</v>
          </cell>
          <cell r="BQ438">
            <v>21</v>
          </cell>
          <cell r="BR438">
            <v>104599181</v>
          </cell>
          <cell r="BS438">
            <v>114845143.2639105</v>
          </cell>
          <cell r="BT438">
            <v>104599181</v>
          </cell>
          <cell r="BU438">
            <v>114845143.2639105</v>
          </cell>
          <cell r="BV438" t="str">
            <v>Yes</v>
          </cell>
          <cell r="BW438" t="str">
            <v>United Kingdom</v>
          </cell>
          <cell r="BX438" t="str">
            <v>Industrial / Logistics</v>
          </cell>
          <cell r="BY438">
            <v>51.6</v>
          </cell>
          <cell r="BZ438" t="str">
            <v>United Kingdom</v>
          </cell>
          <cell r="CA438" t="str">
            <v>Other</v>
          </cell>
          <cell r="CB438">
            <v>7.8</v>
          </cell>
          <cell r="CC438" t="str">
            <v>United Kingdom</v>
          </cell>
          <cell r="CD438" t="str">
            <v>Retail</v>
          </cell>
          <cell r="CE438">
            <v>31.5</v>
          </cell>
          <cell r="CF438" t="str">
            <v>United Kingdom</v>
          </cell>
          <cell r="CG438" t="str">
            <v>Office</v>
          </cell>
          <cell r="CH438">
            <v>7</v>
          </cell>
        </row>
        <row r="439">
          <cell r="A439">
            <v>399</v>
          </cell>
          <cell r="B439" t="str">
            <v>SCARLATTI</v>
          </cell>
          <cell r="C439" t="str">
            <v>GENERALI IMMOBILIARE ITALIA SGR</v>
          </cell>
          <cell r="D439" t="str">
            <v>Corso Italia, 6</v>
          </cell>
          <cell r="E439">
            <v>20122</v>
          </cell>
          <cell r="F439" t="str">
            <v>Milan</v>
          </cell>
          <cell r="G439" t="str">
            <v>Italy</v>
          </cell>
          <cell r="H439" t="str">
            <v>+39 02 72 504 264</v>
          </cell>
          <cell r="I439" t="str">
            <v>+39 02 801 433</v>
          </cell>
          <cell r="K439" t="str">
            <v>Benedetto Giustiniani</v>
          </cell>
          <cell r="L439" t="str">
            <v>benedetto.giustiniani@gii.generali.com</v>
          </cell>
          <cell r="M439" t="str">
            <v>+39 02 72 504 264</v>
          </cell>
          <cell r="N439" t="str">
            <v>Giuseppe Cerami</v>
          </cell>
          <cell r="O439" t="str">
            <v>giuseppe.cerami@gii.generali.com</v>
          </cell>
          <cell r="P439" t="str">
            <v>+39 02 72 504 264</v>
          </cell>
          <cell r="Q439" t="str">
            <v>Italy</v>
          </cell>
          <cell r="R439" t="str">
            <v>EUR</v>
          </cell>
          <cell r="S439" t="str">
            <v>Local GAAP</v>
          </cell>
          <cell r="T439" t="str">
            <v>Twice per year</v>
          </cell>
          <cell r="U439" t="str">
            <v>Twice per year</v>
          </cell>
          <cell r="X439" t="str">
            <v>Ernst &amp; Young</v>
          </cell>
          <cell r="Y439" t="str">
            <v>Closed Ended Fund</v>
          </cell>
          <cell r="Z439" t="str">
            <v>No</v>
          </cell>
          <cell r="AA439" t="str">
            <v>Yes</v>
          </cell>
          <cell r="AB439">
            <v>1</v>
          </cell>
          <cell r="AC439" t="str">
            <v>Non-Listed Fund</v>
          </cell>
          <cell r="AD439" t="str">
            <v>Core</v>
          </cell>
          <cell r="AE439" t="str">
            <v>finite</v>
          </cell>
          <cell r="AF439" t="str">
            <v>Closed end</v>
          </cell>
          <cell r="AG439">
            <v>9</v>
          </cell>
          <cell r="AH439">
            <v>9</v>
          </cell>
          <cell r="AI439" t="str">
            <v>Net</v>
          </cell>
          <cell r="AJ439" t="str">
            <v>Absolute return</v>
          </cell>
          <cell r="AK439">
            <v>5.5</v>
          </cell>
          <cell r="AL439">
            <v>50</v>
          </cell>
          <cell r="AM439" t="str">
            <v>&gt; 40% - ≤ 60%</v>
          </cell>
          <cell r="AN439" t="str">
            <v>Institutional</v>
          </cell>
          <cell r="AO439" t="str">
            <v>&gt; 2</v>
          </cell>
          <cell r="AP439" t="str">
            <v>≥ 50%</v>
          </cell>
          <cell r="AQ439" t="str">
            <v>Europe</v>
          </cell>
          <cell r="AR439" t="str">
            <v>single country</v>
          </cell>
          <cell r="AT439" t="str">
            <v>Italy</v>
          </cell>
          <cell r="AU439" t="str">
            <v>multi sector</v>
          </cell>
          <cell r="AW439">
            <v>650000000</v>
          </cell>
          <cell r="AX439">
            <v>1300000000</v>
          </cell>
          <cell r="AY439">
            <v>2006</v>
          </cell>
          <cell r="AZ439">
            <v>2019</v>
          </cell>
          <cell r="BA439" t="str">
            <v>Yes</v>
          </cell>
          <cell r="BB439" t="str">
            <v>Yes</v>
          </cell>
          <cell r="BC439">
            <v>19</v>
          </cell>
          <cell r="BH439" t="str">
            <v>2018-12-31</v>
          </cell>
          <cell r="BI439">
            <v>773925716</v>
          </cell>
          <cell r="BJ439">
            <v>773925716</v>
          </cell>
          <cell r="BK439">
            <v>365681276</v>
          </cell>
          <cell r="BL439">
            <v>365681276</v>
          </cell>
          <cell r="BM439">
            <v>52.7</v>
          </cell>
          <cell r="BS439">
            <v>0</v>
          </cell>
          <cell r="BW439" t="str">
            <v>Italy</v>
          </cell>
          <cell r="BX439" t="str">
            <v>Industrial / Logistics</v>
          </cell>
          <cell r="BY439">
            <v>1.7</v>
          </cell>
          <cell r="BZ439" t="str">
            <v>Italy</v>
          </cell>
          <cell r="CA439" t="str">
            <v>Residential</v>
          </cell>
          <cell r="CB439">
            <v>0.3</v>
          </cell>
          <cell r="CC439" t="str">
            <v>Italy</v>
          </cell>
          <cell r="CD439" t="str">
            <v>Office</v>
          </cell>
          <cell r="CE439">
            <v>98</v>
          </cell>
        </row>
        <row r="440">
          <cell r="A440">
            <v>407</v>
          </cell>
          <cell r="B440" t="str">
            <v>SCHRODER NORDIC REAL ESTATE FUND</v>
          </cell>
          <cell r="C440" t="str">
            <v>SCHRODER REAL ESTATE KAPITVERWALTUNGSGESELLSCHAFT MBH</v>
          </cell>
          <cell r="D440" t="str">
            <v>Taunustor 1</v>
          </cell>
          <cell r="E440">
            <v>60310</v>
          </cell>
          <cell r="F440" t="str">
            <v>Frankfurt</v>
          </cell>
          <cell r="G440" t="str">
            <v>Germany</v>
          </cell>
          <cell r="H440" t="str">
            <v>+49 (0) 69 97 57 17 700</v>
          </cell>
          <cell r="I440" t="str">
            <v>+49 (0) 69 97 57 17 798</v>
          </cell>
          <cell r="J440" t="str">
            <v>http://www.schroders.com</v>
          </cell>
          <cell r="N440" t="str">
            <v>Klaus Gehlenborg</v>
          </cell>
          <cell r="O440" t="str">
            <v>klaus.gehlenborg@schroders.com</v>
          </cell>
          <cell r="P440" t="str">
            <v>+49 (0) 69 97 57 17 804</v>
          </cell>
          <cell r="Q440" t="str">
            <v>Germany</v>
          </cell>
          <cell r="R440" t="str">
            <v>EUR</v>
          </cell>
          <cell r="T440" t="str">
            <v>Monthly</v>
          </cell>
          <cell r="U440" t="str">
            <v>Quarterly</v>
          </cell>
          <cell r="V440" t="str">
            <v>RICS</v>
          </cell>
          <cell r="W440" t="str">
            <v>IFRS NAV</v>
          </cell>
          <cell r="X440" t="str">
            <v>KPMG</v>
          </cell>
          <cell r="Y440" t="str">
            <v>Spezialfonds</v>
          </cell>
          <cell r="AB440">
            <v>0</v>
          </cell>
          <cell r="AC440" t="str">
            <v>Non-Listed Fund</v>
          </cell>
          <cell r="AD440" t="str">
            <v>Core</v>
          </cell>
          <cell r="AE440" t="str">
            <v>infinite</v>
          </cell>
          <cell r="AF440" t="str">
            <v>Open end</v>
          </cell>
          <cell r="AG440">
            <v>8.5</v>
          </cell>
          <cell r="AH440">
            <v>8.5</v>
          </cell>
          <cell r="AI440" t="str">
            <v>Net</v>
          </cell>
          <cell r="AJ440" t="str">
            <v>None</v>
          </cell>
          <cell r="AK440">
            <v>5</v>
          </cell>
          <cell r="AL440">
            <v>45</v>
          </cell>
          <cell r="AM440" t="str">
            <v>&gt; 40% - ≤ 60%</v>
          </cell>
          <cell r="AN440" t="str">
            <v>Institutional</v>
          </cell>
          <cell r="AO440" t="str">
            <v>&gt; 2</v>
          </cell>
          <cell r="AP440" t="str">
            <v>≥ 50%</v>
          </cell>
          <cell r="AQ440" t="str">
            <v>Europe</v>
          </cell>
          <cell r="AR440" t="str">
            <v>multi country</v>
          </cell>
          <cell r="AS440" t="str">
            <v>Nordic</v>
          </cell>
          <cell r="AU440" t="str">
            <v>multi sector</v>
          </cell>
          <cell r="AW440">
            <v>250000000</v>
          </cell>
          <cell r="AX440">
            <v>500000000</v>
          </cell>
          <cell r="AY440">
            <v>2005</v>
          </cell>
          <cell r="BH440" t="str">
            <v>2019-06-30</v>
          </cell>
          <cell r="BI440">
            <v>612317377</v>
          </cell>
          <cell r="BJ440">
            <v>612317377</v>
          </cell>
          <cell r="BK440">
            <v>399093606</v>
          </cell>
          <cell r="BL440">
            <v>399093606</v>
          </cell>
          <cell r="BM440">
            <v>35.1</v>
          </cell>
          <cell r="BN440" t="str">
            <v>No</v>
          </cell>
          <cell r="BO440" t="str">
            <v>External</v>
          </cell>
          <cell r="BP440">
            <v>10</v>
          </cell>
          <cell r="BQ440">
            <v>25</v>
          </cell>
          <cell r="BR440">
            <v>350708677</v>
          </cell>
          <cell r="BS440">
            <v>350708677</v>
          </cell>
          <cell r="BT440">
            <v>350708677</v>
          </cell>
          <cell r="BU440">
            <v>350708677</v>
          </cell>
          <cell r="BW440" t="str">
            <v>Finland</v>
          </cell>
          <cell r="BX440" t="str">
            <v>Office</v>
          </cell>
          <cell r="BY440">
            <v>77</v>
          </cell>
          <cell r="BZ440" t="str">
            <v>Sweden</v>
          </cell>
          <cell r="CA440" t="str">
            <v>Retail</v>
          </cell>
          <cell r="CB440">
            <v>22</v>
          </cell>
        </row>
        <row r="441">
          <cell r="A441">
            <v>403</v>
          </cell>
          <cell r="B441" t="str">
            <v>SCHRODER UK PROPERTY FUND</v>
          </cell>
          <cell r="C441" t="str">
            <v>SCHRODER PROPERTY INVESTMENT MANAGEMENT LIMITED</v>
          </cell>
          <cell r="D441" t="str">
            <v>31 Gresham Street</v>
          </cell>
          <cell r="E441" t="str">
            <v>EC2V 7QA</v>
          </cell>
          <cell r="F441" t="str">
            <v>London</v>
          </cell>
          <cell r="G441" t="str">
            <v>United Kingdom</v>
          </cell>
          <cell r="H441" t="str">
            <v>+44 (0) 20 7658 6000</v>
          </cell>
          <cell r="I441" t="str">
            <v>+44 (0) 20 7658 3960</v>
          </cell>
          <cell r="J441" t="str">
            <v>http://www.schroderproperty.com</v>
          </cell>
          <cell r="K441" t="str">
            <v>James Lass</v>
          </cell>
          <cell r="L441" t="str">
            <v>James.Lass@schroders.com</v>
          </cell>
          <cell r="M441" t="str">
            <v>+44 (0)20 7658 3980</v>
          </cell>
          <cell r="N441" t="str">
            <v>Alice Wilcox</v>
          </cell>
          <cell r="O441" t="str">
            <v>alice.wilcox@schroders.com</v>
          </cell>
          <cell r="P441" t="str">
            <v>+44 (0) 20 7658 3552</v>
          </cell>
          <cell r="Q441" t="str">
            <v>United Kingdom</v>
          </cell>
          <cell r="R441" t="str">
            <v>GBP</v>
          </cell>
          <cell r="S441" t="str">
            <v>Local GAAP</v>
          </cell>
          <cell r="T441" t="str">
            <v>Twice per year</v>
          </cell>
          <cell r="U441" t="str">
            <v>Monthly</v>
          </cell>
          <cell r="V441" t="str">
            <v>RICS</v>
          </cell>
          <cell r="W441" t="str">
            <v>INREV NAV</v>
          </cell>
          <cell r="X441" t="str">
            <v>PriceWaterhouseCoopers</v>
          </cell>
          <cell r="Y441" t="str">
            <v>Property Unit Trust</v>
          </cell>
          <cell r="Z441" t="str">
            <v>No</v>
          </cell>
          <cell r="AA441" t="str">
            <v>Yes</v>
          </cell>
          <cell r="AB441">
            <v>4</v>
          </cell>
          <cell r="AC441" t="str">
            <v>Non-Listed Fund</v>
          </cell>
          <cell r="AD441" t="str">
            <v>Core</v>
          </cell>
          <cell r="AE441" t="str">
            <v>finite</v>
          </cell>
          <cell r="AF441" t="str">
            <v>Open end</v>
          </cell>
          <cell r="AJ441" t="str">
            <v>IPD UK Pooled Property Fund Indices All Balanced Funds Index Median</v>
          </cell>
          <cell r="AL441">
            <v>25</v>
          </cell>
          <cell r="AM441" t="str">
            <v>≤ 40%</v>
          </cell>
          <cell r="AN441" t="str">
            <v>Institutional</v>
          </cell>
          <cell r="AO441" t="str">
            <v>&gt; 2</v>
          </cell>
          <cell r="AP441" t="str">
            <v>≥ 50%</v>
          </cell>
          <cell r="AQ441" t="str">
            <v>Europe</v>
          </cell>
          <cell r="AR441" t="str">
            <v>single country</v>
          </cell>
          <cell r="AT441" t="str">
            <v>United Kingdom</v>
          </cell>
          <cell r="AU441" t="str">
            <v>multi sector</v>
          </cell>
          <cell r="AY441">
            <v>1971</v>
          </cell>
          <cell r="AZ441">
            <v>2071</v>
          </cell>
          <cell r="BA441" t="str">
            <v>No</v>
          </cell>
          <cell r="BH441" t="str">
            <v>2020-12-31</v>
          </cell>
          <cell r="BI441">
            <v>2261833641.27</v>
          </cell>
          <cell r="BJ441">
            <v>2500568135.1466031</v>
          </cell>
          <cell r="BK441">
            <v>2217353566.1799998</v>
          </cell>
          <cell r="BL441">
            <v>2451393228.3853221</v>
          </cell>
          <cell r="BM441">
            <v>0.4</v>
          </cell>
          <cell r="BN441" t="str">
            <v>No</v>
          </cell>
          <cell r="BO441" t="str">
            <v>External</v>
          </cell>
          <cell r="BP441">
            <v>194</v>
          </cell>
          <cell r="BQ441">
            <v>53</v>
          </cell>
          <cell r="BR441">
            <v>0</v>
          </cell>
          <cell r="BS441">
            <v>0</v>
          </cell>
          <cell r="BT441">
            <v>0</v>
          </cell>
          <cell r="BV441" t="str">
            <v>Yes</v>
          </cell>
          <cell r="BW441" t="str">
            <v>United Kingdom</v>
          </cell>
          <cell r="BX441" t="str">
            <v>Other</v>
          </cell>
          <cell r="BY441">
            <v>10.5</v>
          </cell>
          <cell r="BZ441" t="str">
            <v>United Kingdom</v>
          </cell>
          <cell r="CA441" t="str">
            <v>Industrial / Logistics</v>
          </cell>
          <cell r="CB441">
            <v>21.6</v>
          </cell>
          <cell r="CC441" t="str">
            <v>United Kingdom</v>
          </cell>
          <cell r="CD441" t="str">
            <v>Retail</v>
          </cell>
          <cell r="CE441">
            <v>12.1</v>
          </cell>
          <cell r="CF441" t="str">
            <v>United Kingdom</v>
          </cell>
          <cell r="CG441" t="str">
            <v>Office</v>
          </cell>
          <cell r="CH441">
            <v>45.5</v>
          </cell>
        </row>
        <row r="442">
          <cell r="A442">
            <v>17847</v>
          </cell>
          <cell r="B442" t="str">
            <v xml:space="preserve">SHOPPING PROPERTY FUND 1				</v>
          </cell>
          <cell r="C442" t="str">
            <v>BNP PARIBAS REIM FRANCE</v>
          </cell>
          <cell r="D442" t="str">
            <v>167 quai de la bataille de Stalingrad</v>
          </cell>
          <cell r="E442">
            <v>92130</v>
          </cell>
          <cell r="F442" t="str">
            <v>Issy Les Moulineaux</v>
          </cell>
          <cell r="G442" t="str">
            <v>France</v>
          </cell>
          <cell r="O442" t="str">
            <v>REIM.relations-investisseurs@realestate.bnpparibas</v>
          </cell>
          <cell r="Q442" t="str">
            <v>France</v>
          </cell>
          <cell r="R442" t="str">
            <v>EUR</v>
          </cell>
          <cell r="S442" t="str">
            <v>French Accounting</v>
          </cell>
          <cell r="T442" t="str">
            <v>Quarterly</v>
          </cell>
          <cell r="U442" t="str">
            <v>Quarterly</v>
          </cell>
          <cell r="V442" t="str">
            <v>Other - mark to market</v>
          </cell>
          <cell r="W442" t="str">
            <v>French GAAP</v>
          </cell>
          <cell r="Y442" t="str">
            <v>OPCI</v>
          </cell>
          <cell r="Z442" t="str">
            <v>Yes</v>
          </cell>
          <cell r="AC442" t="str">
            <v>Non-Listed Fund</v>
          </cell>
          <cell r="AD442" t="str">
            <v>Core</v>
          </cell>
          <cell r="AE442" t="str">
            <v>finite</v>
          </cell>
          <cell r="AF442" t="str">
            <v>Closed end</v>
          </cell>
          <cell r="AM442" t="str">
            <v>&gt; 60%</v>
          </cell>
          <cell r="AN442" t="str">
            <v>Institutional</v>
          </cell>
          <cell r="AO442" t="str">
            <v>&gt; 2</v>
          </cell>
          <cell r="AP442" t="str">
            <v>≥ 50%</v>
          </cell>
          <cell r="AQ442" t="str">
            <v>Europe</v>
          </cell>
          <cell r="AR442" t="str">
            <v>single country</v>
          </cell>
          <cell r="AT442" t="str">
            <v>France</v>
          </cell>
          <cell r="AU442" t="str">
            <v>single sector</v>
          </cell>
          <cell r="AV442" t="str">
            <v>Retail</v>
          </cell>
          <cell r="AY442">
            <v>2010</v>
          </cell>
          <cell r="AZ442">
            <v>2020</v>
          </cell>
          <cell r="BH442" t="str">
            <v>2020-12-31</v>
          </cell>
          <cell r="BI442">
            <v>35631808</v>
          </cell>
          <cell r="BJ442">
            <v>35631808</v>
          </cell>
          <cell r="BK442">
            <v>25675342</v>
          </cell>
          <cell r="BL442">
            <v>25675342</v>
          </cell>
          <cell r="BM442">
            <v>0</v>
          </cell>
          <cell r="BN442" t="str">
            <v>Yes</v>
          </cell>
          <cell r="BO442" t="str">
            <v>External</v>
          </cell>
          <cell r="BP442">
            <v>30</v>
          </cell>
          <cell r="BQ442">
            <v>6</v>
          </cell>
          <cell r="BR442">
            <v>311881733</v>
          </cell>
          <cell r="BS442">
            <v>311881733</v>
          </cell>
          <cell r="BT442">
            <v>311881733</v>
          </cell>
          <cell r="BU442">
            <v>311881733</v>
          </cell>
          <cell r="BV442" t="str">
            <v>No</v>
          </cell>
          <cell r="BW442" t="str">
            <v>France</v>
          </cell>
          <cell r="BX442" t="str">
            <v>Retail</v>
          </cell>
          <cell r="BY442">
            <v>41</v>
          </cell>
        </row>
        <row r="443">
          <cell r="A443">
            <v>17848</v>
          </cell>
          <cell r="B443" t="str">
            <v xml:space="preserve">SHOPPING PROPERTY FUND 2				</v>
          </cell>
          <cell r="C443" t="str">
            <v>BNP PARIBAS REIM FRANCE</v>
          </cell>
          <cell r="D443" t="str">
            <v>167 quai de la bataille de Stalingrad</v>
          </cell>
          <cell r="E443">
            <v>92130</v>
          </cell>
          <cell r="F443" t="str">
            <v>Issy Les Moulineaux</v>
          </cell>
          <cell r="G443" t="str">
            <v>France</v>
          </cell>
          <cell r="O443" t="str">
            <v>REIM.relations-investisseurs@realestate.bnpparibas</v>
          </cell>
          <cell r="Q443" t="str">
            <v>France</v>
          </cell>
          <cell r="R443" t="str">
            <v>EUR</v>
          </cell>
          <cell r="S443" t="str">
            <v>French Accounting</v>
          </cell>
          <cell r="T443" t="str">
            <v>Quarterly</v>
          </cell>
          <cell r="U443" t="str">
            <v>Quarterly</v>
          </cell>
          <cell r="V443" t="str">
            <v>Other - mark to market</v>
          </cell>
          <cell r="W443" t="str">
            <v>French GAAP</v>
          </cell>
          <cell r="Y443" t="str">
            <v>OPCI</v>
          </cell>
          <cell r="Z443" t="str">
            <v>Yes</v>
          </cell>
          <cell r="AC443" t="str">
            <v>Non-Listed Fund</v>
          </cell>
          <cell r="AD443" t="str">
            <v>Core</v>
          </cell>
          <cell r="AE443" t="str">
            <v>finite</v>
          </cell>
          <cell r="AF443" t="str">
            <v>Closed end</v>
          </cell>
          <cell r="AM443" t="str">
            <v>&gt; 40% - ≤ 60%</v>
          </cell>
          <cell r="AN443" t="str">
            <v>Institutional</v>
          </cell>
          <cell r="AO443" t="str">
            <v>&gt; 2</v>
          </cell>
          <cell r="AP443" t="str">
            <v>≥ 50%</v>
          </cell>
          <cell r="AQ443" t="str">
            <v>Europe</v>
          </cell>
          <cell r="AR443" t="str">
            <v>single country</v>
          </cell>
          <cell r="AT443" t="str">
            <v>France</v>
          </cell>
          <cell r="AU443" t="str">
            <v>single sector</v>
          </cell>
          <cell r="AV443" t="str">
            <v>Retail</v>
          </cell>
          <cell r="AY443">
            <v>2013</v>
          </cell>
          <cell r="AZ443">
            <v>2023</v>
          </cell>
          <cell r="BH443" t="str">
            <v>2020-12-31</v>
          </cell>
          <cell r="BI443">
            <v>422864939</v>
          </cell>
          <cell r="BJ443">
            <v>422864939</v>
          </cell>
          <cell r="BK443">
            <v>220818303</v>
          </cell>
          <cell r="BL443">
            <v>220818303</v>
          </cell>
          <cell r="BM443">
            <v>45.9</v>
          </cell>
          <cell r="BN443" t="str">
            <v>Yes</v>
          </cell>
          <cell r="BO443" t="str">
            <v>External</v>
          </cell>
          <cell r="BP443">
            <v>31</v>
          </cell>
          <cell r="BQ443">
            <v>34</v>
          </cell>
          <cell r="BR443">
            <v>288538462</v>
          </cell>
          <cell r="BS443">
            <v>288538462</v>
          </cell>
          <cell r="BT443">
            <v>288538462</v>
          </cell>
          <cell r="BU443">
            <v>288538462</v>
          </cell>
          <cell r="BV443" t="str">
            <v>No</v>
          </cell>
          <cell r="BW443" t="str">
            <v>France</v>
          </cell>
          <cell r="BX443" t="str">
            <v>Retail</v>
          </cell>
          <cell r="BY443">
            <v>94.4</v>
          </cell>
        </row>
        <row r="444">
          <cell r="A444">
            <v>414</v>
          </cell>
          <cell r="B444" t="str">
            <v>SHOPPINGCENTERD</v>
          </cell>
          <cell r="C444" t="str">
            <v>PRINCIPAL REAL ESTATE SPEZIALFONDSGESELLSCHAFT MBH</v>
          </cell>
          <cell r="D444" t="str">
            <v>Taunusanlage 16</v>
          </cell>
          <cell r="E444">
            <v>60325</v>
          </cell>
          <cell r="F444" t="str">
            <v>Frankfurt am Main</v>
          </cell>
          <cell r="G444" t="str">
            <v>Germany</v>
          </cell>
          <cell r="H444" t="str">
            <v>+49 (0) 69 50 50 66 90</v>
          </cell>
          <cell r="I444" t="str">
            <v>+49 69 50 50 66 9-29</v>
          </cell>
          <cell r="J444" t="str">
            <v>http://www.principalreeurope.com</v>
          </cell>
          <cell r="K444" t="str">
            <v xml:space="preserve">Alexandru Gavriliu </v>
          </cell>
          <cell r="L444" t="str">
            <v>Gavriliu.Alexandru@principalREeurope.com</v>
          </cell>
          <cell r="M444" t="str">
            <v xml:space="preserve">+49 69 50 50 66 979 </v>
          </cell>
          <cell r="N444" t="str">
            <v>Frank Richter</v>
          </cell>
          <cell r="O444" t="str">
            <v>Richter.Frank@principal.com</v>
          </cell>
          <cell r="P444" t="str">
            <v>+49 (0) 69 50 50 66 90</v>
          </cell>
          <cell r="Q444" t="str">
            <v>Germany</v>
          </cell>
          <cell r="R444" t="str">
            <v>EUR</v>
          </cell>
          <cell r="T444" t="str">
            <v>Monthly</v>
          </cell>
          <cell r="U444" t="str">
            <v>Annually</v>
          </cell>
          <cell r="W444" t="str">
            <v>German investment tax law</v>
          </cell>
          <cell r="X444" t="str">
            <v>EY</v>
          </cell>
          <cell r="Y444" t="str">
            <v>Spezialfonds</v>
          </cell>
          <cell r="Z444" t="str">
            <v>No</v>
          </cell>
          <cell r="AA444" t="str">
            <v>No</v>
          </cell>
          <cell r="AB444">
            <v>0</v>
          </cell>
          <cell r="AC444" t="str">
            <v>Non-Listed Fund</v>
          </cell>
          <cell r="AD444" t="str">
            <v>Core</v>
          </cell>
          <cell r="AE444" t="str">
            <v>infinite</v>
          </cell>
          <cell r="AF444" t="str">
            <v>Open end</v>
          </cell>
          <cell r="AI444" t="str">
            <v>Net</v>
          </cell>
          <cell r="AJ444" t="str">
            <v>Cash return of 6%</v>
          </cell>
          <cell r="AK444">
            <v>6</v>
          </cell>
          <cell r="AL444">
            <v>50</v>
          </cell>
          <cell r="AM444" t="str">
            <v>&gt; 40% - ≤ 60%</v>
          </cell>
          <cell r="AN444" t="str">
            <v>Institutional</v>
          </cell>
          <cell r="AO444" t="str">
            <v>&gt; 2</v>
          </cell>
          <cell r="AP444" t="str">
            <v>≥ 50%</v>
          </cell>
          <cell r="AQ444" t="str">
            <v>Europe</v>
          </cell>
          <cell r="AR444" t="str">
            <v>single country</v>
          </cell>
          <cell r="AT444" t="str">
            <v>Germany</v>
          </cell>
          <cell r="AU444" t="str">
            <v>single sector</v>
          </cell>
          <cell r="AV444" t="str">
            <v>Retail</v>
          </cell>
          <cell r="AW444">
            <v>175000000</v>
          </cell>
          <cell r="AX444">
            <v>500000000</v>
          </cell>
          <cell r="AY444">
            <v>2005</v>
          </cell>
          <cell r="BH444" t="str">
            <v>2020-12-31</v>
          </cell>
          <cell r="BI444">
            <v>361726451.47000003</v>
          </cell>
          <cell r="BJ444">
            <v>361726451.47000003</v>
          </cell>
          <cell r="BK444">
            <v>219766451.47</v>
          </cell>
          <cell r="BL444">
            <v>219766451.47</v>
          </cell>
          <cell r="BM444">
            <v>39.25</v>
          </cell>
          <cell r="BN444" t="str">
            <v>No</v>
          </cell>
          <cell r="BO444" t="str">
            <v>Internal</v>
          </cell>
          <cell r="BP444">
            <v>7</v>
          </cell>
          <cell r="BQ444">
            <v>5</v>
          </cell>
          <cell r="BR444">
            <v>194000000</v>
          </cell>
          <cell r="BS444">
            <v>194000000</v>
          </cell>
          <cell r="BT444">
            <v>193400107</v>
          </cell>
          <cell r="BU444">
            <v>193400107</v>
          </cell>
          <cell r="BV444" t="str">
            <v>No</v>
          </cell>
          <cell r="BW444" t="str">
            <v>Germany</v>
          </cell>
          <cell r="BX444" t="str">
            <v>Retail</v>
          </cell>
          <cell r="BY444">
            <v>100</v>
          </cell>
        </row>
        <row r="445">
          <cell r="A445">
            <v>415</v>
          </cell>
          <cell r="B445" t="str">
            <v>SIERRA EUROPEAN RETAIL REAL ESTATE ASSETS HOLDINGS BV</v>
          </cell>
          <cell r="C445" t="str">
            <v>SONAE SIERRA</v>
          </cell>
          <cell r="D445" t="str">
            <v>Lugar do Espido via Norte</v>
          </cell>
          <cell r="E445" t="str">
            <v>4471-909</v>
          </cell>
          <cell r="F445" t="str">
            <v>Maia</v>
          </cell>
          <cell r="G445" t="str">
            <v>Portugal</v>
          </cell>
          <cell r="H445" t="str">
            <v>+351 22 010 4549</v>
          </cell>
          <cell r="I445" t="str">
            <v>+351 22 010 4452</v>
          </cell>
          <cell r="J445" t="str">
            <v>http://www.sonaesierra.com</v>
          </cell>
          <cell r="K445" t="str">
            <v>Pedro Caupers</v>
          </cell>
          <cell r="L445" t="str">
            <v>p.caupers@sonaesierra.com</v>
          </cell>
          <cell r="M445" t="str">
            <v>+351 21 751 5033</v>
          </cell>
          <cell r="N445" t="str">
            <v>Joao Lelis</v>
          </cell>
          <cell r="O445" t="str">
            <v>jclelis@sonaesierra.com</v>
          </cell>
          <cell r="P445" t="str">
            <v>+351 22 010 4452</v>
          </cell>
          <cell r="Q445" t="str">
            <v>Netherlands</v>
          </cell>
          <cell r="R445" t="str">
            <v>EUR</v>
          </cell>
          <cell r="S445" t="str">
            <v>IFRS</v>
          </cell>
          <cell r="T445" t="str">
            <v>Quarterly</v>
          </cell>
          <cell r="U445" t="str">
            <v>Quarterly</v>
          </cell>
          <cell r="V445" t="str">
            <v>RICS</v>
          </cell>
          <cell r="W445" t="str">
            <v>INREV NAV</v>
          </cell>
          <cell r="X445" t="str">
            <v>Deloitte &amp; Touche</v>
          </cell>
          <cell r="Y445" t="str">
            <v>BV</v>
          </cell>
          <cell r="Z445" t="str">
            <v>Yes</v>
          </cell>
          <cell r="AA445" t="str">
            <v>No</v>
          </cell>
          <cell r="AB445">
            <v>0</v>
          </cell>
          <cell r="AC445" t="str">
            <v>Non-Listed Fund</v>
          </cell>
          <cell r="AD445" t="str">
            <v>Core</v>
          </cell>
          <cell r="AE445" t="str">
            <v>finite</v>
          </cell>
          <cell r="AF445" t="str">
            <v>Closed end</v>
          </cell>
          <cell r="AG445">
            <v>11</v>
          </cell>
          <cell r="AH445">
            <v>13</v>
          </cell>
          <cell r="AI445" t="str">
            <v>Net</v>
          </cell>
          <cell r="AJ445" t="str">
            <v>None</v>
          </cell>
          <cell r="AK445">
            <v>6</v>
          </cell>
          <cell r="AL445">
            <v>50</v>
          </cell>
          <cell r="AM445" t="str">
            <v>&gt; 40% - ≤ 60%</v>
          </cell>
          <cell r="AN445" t="str">
            <v>Institutional</v>
          </cell>
          <cell r="AO445" t="str">
            <v>&gt; 2</v>
          </cell>
          <cell r="AP445" t="str">
            <v>≥ 50%</v>
          </cell>
          <cell r="AQ445" t="str">
            <v>Europe</v>
          </cell>
          <cell r="AR445" t="str">
            <v>multi country</v>
          </cell>
          <cell r="AS445" t="str">
            <v>Western Europe</v>
          </cell>
          <cell r="AU445" t="str">
            <v>single sector</v>
          </cell>
          <cell r="AV445" t="str">
            <v>Retail</v>
          </cell>
          <cell r="AW445">
            <v>1080000000</v>
          </cell>
          <cell r="AY445">
            <v>2003</v>
          </cell>
          <cell r="AZ445">
            <v>2013</v>
          </cell>
          <cell r="BA445" t="str">
            <v>No</v>
          </cell>
          <cell r="BH445" t="str">
            <v>2020-12-31</v>
          </cell>
          <cell r="BI445">
            <v>1822857000</v>
          </cell>
          <cell r="BJ445">
            <v>1822857000</v>
          </cell>
          <cell r="BK445">
            <v>1092231000</v>
          </cell>
          <cell r="BL445">
            <v>1092231000</v>
          </cell>
          <cell r="BM445">
            <v>35.9</v>
          </cell>
          <cell r="BN445" t="str">
            <v>Yes</v>
          </cell>
          <cell r="BO445" t="str">
            <v>External</v>
          </cell>
          <cell r="BP445">
            <v>4</v>
          </cell>
          <cell r="BQ445">
            <v>6</v>
          </cell>
          <cell r="BR445">
            <v>0</v>
          </cell>
          <cell r="BS445">
            <v>0</v>
          </cell>
          <cell r="BT445">
            <v>0</v>
          </cell>
          <cell r="BV445" t="str">
            <v>No</v>
          </cell>
          <cell r="BW445" t="str">
            <v>Portugal</v>
          </cell>
          <cell r="BX445" t="str">
            <v>Retail</v>
          </cell>
          <cell r="BY445">
            <v>81.5</v>
          </cell>
          <cell r="BZ445" t="str">
            <v>Spain</v>
          </cell>
          <cell r="CA445" t="str">
            <v>Retail</v>
          </cell>
          <cell r="CB445">
            <v>13.4</v>
          </cell>
          <cell r="CC445" t="str">
            <v>Portugal</v>
          </cell>
          <cell r="CD445" t="str">
            <v>Development Retail</v>
          </cell>
          <cell r="CE445">
            <v>0.5</v>
          </cell>
          <cell r="CF445" t="str">
            <v>Spain</v>
          </cell>
          <cell r="CG445" t="str">
            <v>Development Retail</v>
          </cell>
          <cell r="CH445">
            <v>0.2</v>
          </cell>
        </row>
        <row r="446">
          <cell r="A446">
            <v>19558</v>
          </cell>
          <cell r="B446" t="str">
            <v>SIERRA RETAIL VENTURES</v>
          </cell>
          <cell r="C446" t="str">
            <v>SONAE SIERRA</v>
          </cell>
          <cell r="D446" t="str">
            <v>Lugar do Espido Via Norte</v>
          </cell>
          <cell r="E446" t="str">
            <v>4471-909</v>
          </cell>
          <cell r="F446" t="str">
            <v>Maia</v>
          </cell>
          <cell r="G446" t="str">
            <v>Portugal</v>
          </cell>
          <cell r="H446" t="str">
            <v>+351220104549</v>
          </cell>
          <cell r="I446" t="str">
            <v>+351220104452</v>
          </cell>
          <cell r="J446" t="str">
            <v>http://www.sonaesierra.com</v>
          </cell>
          <cell r="K446" t="str">
            <v>Pedro Caupers</v>
          </cell>
          <cell r="L446" t="str">
            <v>p.caupers@sonaesierra.com</v>
          </cell>
          <cell r="M446" t="str">
            <v>+351217515033</v>
          </cell>
          <cell r="N446" t="str">
            <v>Joao Lelis</v>
          </cell>
          <cell r="O446" t="str">
            <v>jclelis@sonaesierra.com</v>
          </cell>
          <cell r="P446" t="str">
            <v>+351220104452</v>
          </cell>
          <cell r="Q446" t="str">
            <v>Netherlands</v>
          </cell>
          <cell r="R446" t="str">
            <v>EUR</v>
          </cell>
          <cell r="S446" t="str">
            <v>IFRS</v>
          </cell>
          <cell r="T446" t="str">
            <v>Quarterly</v>
          </cell>
          <cell r="U446" t="str">
            <v>Twice per year</v>
          </cell>
          <cell r="V446" t="str">
            <v>RICS</v>
          </cell>
          <cell r="W446" t="str">
            <v>INREV NAV</v>
          </cell>
          <cell r="Y446" t="str">
            <v>BV</v>
          </cell>
          <cell r="Z446" t="str">
            <v>Yes</v>
          </cell>
          <cell r="AB446">
            <v>0</v>
          </cell>
          <cell r="AC446" t="str">
            <v>Non-Listed Fund</v>
          </cell>
          <cell r="AD446" t="str">
            <v>Value-added</v>
          </cell>
          <cell r="AE446" t="str">
            <v>finite</v>
          </cell>
          <cell r="AF446" t="str">
            <v>Closed end</v>
          </cell>
          <cell r="AI446" t="str">
            <v>Net</v>
          </cell>
          <cell r="AM446" t="str">
            <v>&gt; 40% - ≤ 60%</v>
          </cell>
          <cell r="AN446" t="str">
            <v>Institutional</v>
          </cell>
          <cell r="AO446" t="str">
            <v>≤ 2</v>
          </cell>
          <cell r="AP446" t="str">
            <v>&lt; 50%</v>
          </cell>
          <cell r="AQ446" t="str">
            <v>Europe</v>
          </cell>
          <cell r="AR446" t="str">
            <v>single country</v>
          </cell>
          <cell r="AT446" t="str">
            <v>Portugal</v>
          </cell>
          <cell r="AU446" t="str">
            <v>single sector</v>
          </cell>
          <cell r="AV446" t="str">
            <v>Retail</v>
          </cell>
          <cell r="AY446">
            <v>2020</v>
          </cell>
          <cell r="BE446" t="str">
            <v>&lt; 60%</v>
          </cell>
          <cell r="BF446" t="str">
            <v>≤ 15%</v>
          </cell>
          <cell r="BG446" t="str">
            <v>≤ 5%</v>
          </cell>
          <cell r="BH446" t="str">
            <v>2020-12-31</v>
          </cell>
          <cell r="BI446">
            <v>252314000</v>
          </cell>
          <cell r="BJ446">
            <v>252314000</v>
          </cell>
          <cell r="BK446">
            <v>152282000</v>
          </cell>
          <cell r="BL446">
            <v>152282000</v>
          </cell>
          <cell r="BM446">
            <v>30</v>
          </cell>
          <cell r="BN446" t="str">
            <v>Yes</v>
          </cell>
          <cell r="BO446" t="str">
            <v>External</v>
          </cell>
          <cell r="BP446">
            <v>2</v>
          </cell>
          <cell r="BQ446">
            <v>5</v>
          </cell>
          <cell r="BR446">
            <v>0</v>
          </cell>
          <cell r="BS446">
            <v>0</v>
          </cell>
          <cell r="BT446">
            <v>0</v>
          </cell>
          <cell r="BV446" t="str">
            <v>No</v>
          </cell>
          <cell r="BW446" t="str">
            <v>Portugal</v>
          </cell>
          <cell r="BX446" t="str">
            <v>Retail</v>
          </cell>
          <cell r="BY446">
            <v>85.3</v>
          </cell>
        </row>
        <row r="447">
          <cell r="A447">
            <v>416</v>
          </cell>
          <cell r="B447" t="str">
            <v>SII</v>
          </cell>
          <cell r="C447" t="str">
            <v>IMORENDIMENTO SGFII, SA</v>
          </cell>
          <cell r="D447" t="str">
            <v>Praça Bom Sucesso 127, Esc 210</v>
          </cell>
          <cell r="E447" t="str">
            <v>4050 146</v>
          </cell>
          <cell r="F447" t="str">
            <v>Porto</v>
          </cell>
          <cell r="G447" t="str">
            <v>Portugal</v>
          </cell>
          <cell r="H447" t="str">
            <v>+351 22 607 5660</v>
          </cell>
          <cell r="I447" t="str">
            <v>+351 22 607 5661</v>
          </cell>
          <cell r="J447" t="str">
            <v>http://www.imorendimento.com</v>
          </cell>
          <cell r="N447" t="str">
            <v>Armando Lacerda Queiroz</v>
          </cell>
          <cell r="O447" t="str">
            <v>lqueiroz@imorendimento.pt</v>
          </cell>
          <cell r="P447" t="str">
            <v>+351 22 607 5660</v>
          </cell>
          <cell r="Q447" t="str">
            <v>Portugal</v>
          </cell>
          <cell r="R447" t="str">
            <v>EUR</v>
          </cell>
          <cell r="S447" t="str">
            <v>Local GAAP</v>
          </cell>
          <cell r="T447" t="str">
            <v>Annually</v>
          </cell>
          <cell r="U447" t="str">
            <v>Quarterly</v>
          </cell>
          <cell r="Y447" t="str">
            <v>SPV</v>
          </cell>
          <cell r="AB447">
            <v>0</v>
          </cell>
          <cell r="AC447" t="str">
            <v>Non-Listed Fund</v>
          </cell>
          <cell r="AD447" t="str">
            <v>Value-added</v>
          </cell>
          <cell r="AE447" t="str">
            <v>infinite</v>
          </cell>
          <cell r="AF447" t="str">
            <v>Open end</v>
          </cell>
          <cell r="AG447">
            <v>0</v>
          </cell>
          <cell r="AH447">
            <v>22</v>
          </cell>
          <cell r="AN447" t="str">
            <v>Institutional</v>
          </cell>
          <cell r="AQ447" t="str">
            <v>Europe</v>
          </cell>
          <cell r="AR447" t="str">
            <v>single country</v>
          </cell>
          <cell r="AT447" t="str">
            <v>Portugal</v>
          </cell>
          <cell r="AU447" t="str">
            <v>multi sector</v>
          </cell>
          <cell r="AY447">
            <v>2005</v>
          </cell>
          <cell r="BH447" t="str">
            <v>2010-12-31</v>
          </cell>
          <cell r="BI447">
            <v>20000000</v>
          </cell>
          <cell r="BJ447">
            <v>20000000</v>
          </cell>
          <cell r="BK447">
            <v>14000000</v>
          </cell>
          <cell r="BL447">
            <v>14000000</v>
          </cell>
          <cell r="BQ447">
            <v>4</v>
          </cell>
          <cell r="BR447">
            <v>20000000</v>
          </cell>
          <cell r="BS447">
            <v>20000000</v>
          </cell>
          <cell r="BU447">
            <v>0</v>
          </cell>
          <cell r="BV447" t="str">
            <v>No</v>
          </cell>
        </row>
        <row r="448">
          <cell r="A448">
            <v>417</v>
          </cell>
          <cell r="B448" t="str">
            <v>SIREO IMMOBILIENFONDS NO. 1</v>
          </cell>
          <cell r="C448" t="str">
            <v>CORPUS SIREO</v>
          </cell>
          <cell r="D448" t="str">
            <v>Jahnstraße 64</v>
          </cell>
          <cell r="E448">
            <v>63150</v>
          </cell>
          <cell r="F448" t="str">
            <v>Heusenstamm</v>
          </cell>
          <cell r="G448" t="str">
            <v>Germany</v>
          </cell>
          <cell r="H448" t="str">
            <v>+49 (0) 6104 664 0</v>
          </cell>
          <cell r="I448" t="str">
            <v>+49 (0) 6104 664 599</v>
          </cell>
          <cell r="J448" t="str">
            <v>http://www.corpussireo.com</v>
          </cell>
          <cell r="K448" t="str">
            <v>Franziska Feitzinger</v>
          </cell>
          <cell r="L448" t="str">
            <v>franziska.feitzinger@swisslife-fm.com</v>
          </cell>
          <cell r="M448" t="str">
            <v>+352 267585-500</v>
          </cell>
          <cell r="N448" t="str">
            <v>Timo Ollinger</v>
          </cell>
          <cell r="O448" t="str">
            <v>timo.ollinger@swisslife-fm.com</v>
          </cell>
          <cell r="P448" t="str">
            <v>+352 267585-404</v>
          </cell>
          <cell r="Q448" t="str">
            <v>Germany</v>
          </cell>
          <cell r="R448" t="str">
            <v>EUR</v>
          </cell>
          <cell r="S448" t="str">
            <v>Local GAAP</v>
          </cell>
          <cell r="T448" t="str">
            <v>Twice per year</v>
          </cell>
          <cell r="U448" t="str">
            <v>Quarterly</v>
          </cell>
          <cell r="W448" t="str">
            <v>German GAAP</v>
          </cell>
          <cell r="X448" t="str">
            <v>PriceWaterhouseCoopers</v>
          </cell>
          <cell r="Y448" t="str">
            <v>Closed Ended Fund / German KG</v>
          </cell>
          <cell r="AB448">
            <v>0</v>
          </cell>
          <cell r="AC448" t="str">
            <v>Non-Listed Fund</v>
          </cell>
          <cell r="AD448" t="str">
            <v>Core</v>
          </cell>
          <cell r="AE448" t="str">
            <v>finite</v>
          </cell>
          <cell r="AF448" t="str">
            <v>Closed end</v>
          </cell>
          <cell r="AG448">
            <v>7</v>
          </cell>
          <cell r="AH448">
            <v>9</v>
          </cell>
          <cell r="AJ448" t="str">
            <v>DIX/IPD Germany Index</v>
          </cell>
          <cell r="AK448">
            <v>9</v>
          </cell>
          <cell r="AL448">
            <v>50</v>
          </cell>
          <cell r="AM448" t="str">
            <v>&gt; 40% - ≤ 60%</v>
          </cell>
          <cell r="AN448" t="str">
            <v>Institutional</v>
          </cell>
          <cell r="AO448" t="str">
            <v>&gt; 2</v>
          </cell>
          <cell r="AP448" t="str">
            <v>≥ 50%</v>
          </cell>
          <cell r="AQ448" t="str">
            <v>Europe</v>
          </cell>
          <cell r="AR448" t="str">
            <v>single country</v>
          </cell>
          <cell r="AT448" t="str">
            <v>Germany</v>
          </cell>
          <cell r="AU448" t="str">
            <v>single sector</v>
          </cell>
          <cell r="AV448" t="str">
            <v>Office</v>
          </cell>
          <cell r="AW448">
            <v>274300000</v>
          </cell>
          <cell r="AX448">
            <v>525000000</v>
          </cell>
          <cell r="AY448">
            <v>2002</v>
          </cell>
          <cell r="AZ448">
            <v>2017</v>
          </cell>
          <cell r="BH448" t="str">
            <v>2020-06-30</v>
          </cell>
          <cell r="BI448">
            <v>250834435</v>
          </cell>
          <cell r="BJ448">
            <v>250834435</v>
          </cell>
          <cell r="BK448">
            <v>176746958</v>
          </cell>
          <cell r="BL448">
            <v>176746958</v>
          </cell>
          <cell r="BM448">
            <v>29</v>
          </cell>
          <cell r="BN448" t="str">
            <v>No</v>
          </cell>
          <cell r="BO448" t="str">
            <v>Internal</v>
          </cell>
          <cell r="BP448">
            <v>1</v>
          </cell>
          <cell r="BQ448">
            <v>11</v>
          </cell>
          <cell r="BR448">
            <v>274329500</v>
          </cell>
          <cell r="BS448">
            <v>274329500</v>
          </cell>
          <cell r="BT448">
            <v>274329500</v>
          </cell>
          <cell r="BU448">
            <v>274329500</v>
          </cell>
          <cell r="BV448" t="str">
            <v>No</v>
          </cell>
          <cell r="BW448" t="str">
            <v>Germany</v>
          </cell>
          <cell r="BX448" t="str">
            <v>Office</v>
          </cell>
          <cell r="BY448">
            <v>100</v>
          </cell>
        </row>
        <row r="449">
          <cell r="A449">
            <v>419</v>
          </cell>
          <cell r="B449" t="str">
            <v>SIREO IMMOBILIENFONDS NO. 5</v>
          </cell>
          <cell r="C449" t="str">
            <v>SWISS LIFE FUND MANAGEMENT (LUX) S.A.</v>
          </cell>
          <cell r="D449" t="str">
            <v>4a rue Albert Borschette</v>
          </cell>
          <cell r="E449">
            <v>1246</v>
          </cell>
          <cell r="F449" t="str">
            <v>Luxembourg</v>
          </cell>
          <cell r="G449" t="str">
            <v>Luxembourg</v>
          </cell>
          <cell r="H449" t="str">
            <v>+352 267585-0</v>
          </cell>
          <cell r="I449" t="str">
            <v>+352 267585-199</v>
          </cell>
          <cell r="J449" t="str">
            <v>http://www.swisslife-am.com</v>
          </cell>
          <cell r="K449" t="str">
            <v>Christian Höttermann</v>
          </cell>
          <cell r="L449" t="str">
            <v>christian.hoettermann@corpussireo.com</v>
          </cell>
          <cell r="M449" t="str">
            <v>+352 245 280</v>
          </cell>
          <cell r="N449" t="str">
            <v>Nicole Jacquey</v>
          </cell>
          <cell r="O449" t="str">
            <v>nicole.jacquey@swisslife-fm.com</v>
          </cell>
          <cell r="P449" t="str">
            <v>+352 267585-402</v>
          </cell>
          <cell r="Q449" t="str">
            <v>Luxembourg</v>
          </cell>
          <cell r="R449" t="str">
            <v>EUR</v>
          </cell>
          <cell r="S449" t="str">
            <v>Local GAAP</v>
          </cell>
          <cell r="T449" t="str">
            <v>Monthly</v>
          </cell>
          <cell r="U449" t="str">
            <v>Annually</v>
          </cell>
          <cell r="V449" t="str">
            <v>ImmoWertV</v>
          </cell>
          <cell r="W449" t="str">
            <v>Fund-GAAP</v>
          </cell>
          <cell r="X449" t="str">
            <v>Deloitte S.A.</v>
          </cell>
          <cell r="Y449" t="str">
            <v>SICAV</v>
          </cell>
          <cell r="Z449" t="str">
            <v>No</v>
          </cell>
          <cell r="AA449" t="str">
            <v>Yes</v>
          </cell>
          <cell r="AB449">
            <v>0</v>
          </cell>
          <cell r="AC449" t="str">
            <v>Non-Listed Fund</v>
          </cell>
          <cell r="AD449" t="str">
            <v>Core</v>
          </cell>
          <cell r="AE449" t="str">
            <v>finite</v>
          </cell>
          <cell r="AF449" t="str">
            <v>Closed end</v>
          </cell>
          <cell r="AG449">
            <v>7.5</v>
          </cell>
          <cell r="AH449">
            <v>7.5</v>
          </cell>
          <cell r="AI449" t="str">
            <v>Net</v>
          </cell>
          <cell r="AK449">
            <v>7.5</v>
          </cell>
          <cell r="AL449">
            <v>60</v>
          </cell>
          <cell r="AM449" t="str">
            <v>&gt; 40% - ≤ 60%</v>
          </cell>
          <cell r="AN449" t="str">
            <v>Institutional</v>
          </cell>
          <cell r="AO449" t="str">
            <v>&gt; 2</v>
          </cell>
          <cell r="AP449" t="str">
            <v>≥ 50%</v>
          </cell>
          <cell r="AQ449" t="str">
            <v>Europe</v>
          </cell>
          <cell r="AR449" t="str">
            <v>single country</v>
          </cell>
          <cell r="AT449" t="str">
            <v>Germany</v>
          </cell>
          <cell r="AU449" t="str">
            <v>single sector</v>
          </cell>
          <cell r="AV449" t="str">
            <v>Health Care</v>
          </cell>
          <cell r="AW449">
            <v>300000000</v>
          </cell>
          <cell r="AX449">
            <v>700000000</v>
          </cell>
          <cell r="AY449">
            <v>2006</v>
          </cell>
          <cell r="AZ449">
            <v>2017</v>
          </cell>
          <cell r="BH449" t="str">
            <v>2020-06-30</v>
          </cell>
          <cell r="BI449">
            <v>4905332</v>
          </cell>
          <cell r="BJ449">
            <v>4905332</v>
          </cell>
          <cell r="BK449">
            <v>3024136</v>
          </cell>
          <cell r="BL449">
            <v>3024136</v>
          </cell>
          <cell r="BM449">
            <v>0</v>
          </cell>
          <cell r="BN449" t="str">
            <v>No</v>
          </cell>
          <cell r="BO449" t="str">
            <v>Internal</v>
          </cell>
          <cell r="BP449">
            <v>8</v>
          </cell>
          <cell r="BQ449">
            <v>0</v>
          </cell>
          <cell r="BR449">
            <v>280000000</v>
          </cell>
          <cell r="BS449">
            <v>280000000</v>
          </cell>
          <cell r="BT449">
            <v>208700649</v>
          </cell>
          <cell r="BU449">
            <v>208700649</v>
          </cell>
          <cell r="BV449" t="str">
            <v>No</v>
          </cell>
          <cell r="BW449" t="str">
            <v>Germany</v>
          </cell>
          <cell r="BX449" t="str">
            <v>Health Care</v>
          </cell>
          <cell r="BY449">
            <v>100</v>
          </cell>
        </row>
        <row r="450">
          <cell r="A450">
            <v>17699</v>
          </cell>
          <cell r="B450" t="str">
            <v>SIRIUS FUND I GROCERY SCSP</v>
          </cell>
          <cell r="C450" t="str">
            <v>LUXEMBOURG INVESTMENT SOLUTIONS</v>
          </cell>
          <cell r="D450" t="str">
            <v>15, rue Edward Steichen</v>
          </cell>
          <cell r="E450" t="str">
            <v>L-2540 Luxembourg</v>
          </cell>
          <cell r="F450" t="str">
            <v>Luxembourg</v>
          </cell>
          <cell r="G450" t="str">
            <v>Luxembourg</v>
          </cell>
          <cell r="J450" t="str">
            <v>http://www.sirius.fi/</v>
          </cell>
          <cell r="N450" t="str">
            <v>Patrick Gylling</v>
          </cell>
          <cell r="O450" t="str">
            <v>patrick.gylling@sirius.fi</v>
          </cell>
          <cell r="P450" t="str">
            <v>+358405426397</v>
          </cell>
          <cell r="Q450" t="str">
            <v>Luxembourg</v>
          </cell>
          <cell r="R450" t="str">
            <v>EUR</v>
          </cell>
          <cell r="S450" t="str">
            <v>Local GAAP</v>
          </cell>
          <cell r="T450" t="str">
            <v>Quarterly</v>
          </cell>
          <cell r="U450" t="str">
            <v>Quarterly</v>
          </cell>
          <cell r="W450" t="str">
            <v>INREV NAV</v>
          </cell>
          <cell r="X450" t="str">
            <v>KPMG</v>
          </cell>
          <cell r="Y450" t="str">
            <v>SCSp</v>
          </cell>
          <cell r="Z450" t="str">
            <v>Yes</v>
          </cell>
          <cell r="AA450" t="str">
            <v>Yes</v>
          </cell>
          <cell r="AB450">
            <v>1</v>
          </cell>
          <cell r="AC450" t="str">
            <v>Non-Listed Fund</v>
          </cell>
          <cell r="AD450" t="str">
            <v>Value-added</v>
          </cell>
          <cell r="AE450" t="str">
            <v>finite</v>
          </cell>
          <cell r="AF450" t="str">
            <v>Closed end</v>
          </cell>
          <cell r="AG450">
            <v>20</v>
          </cell>
          <cell r="AI450" t="str">
            <v>Gross</v>
          </cell>
          <cell r="AL450">
            <v>60</v>
          </cell>
          <cell r="AM450" t="str">
            <v>&gt; 60%</v>
          </cell>
          <cell r="AN450" t="str">
            <v>Institutional and Retail</v>
          </cell>
          <cell r="AO450" t="str">
            <v>&gt; 2</v>
          </cell>
          <cell r="AP450" t="str">
            <v>≥ 50%</v>
          </cell>
          <cell r="AQ450" t="str">
            <v>Europe</v>
          </cell>
          <cell r="AR450" t="str">
            <v>single country</v>
          </cell>
          <cell r="AT450" t="str">
            <v>Finland</v>
          </cell>
          <cell r="AU450" t="str">
            <v>single sector</v>
          </cell>
          <cell r="AV450" t="str">
            <v>Other</v>
          </cell>
          <cell r="AW450">
            <v>100000000</v>
          </cell>
          <cell r="AX450">
            <v>250000000</v>
          </cell>
          <cell r="AY450">
            <v>2015</v>
          </cell>
          <cell r="AZ450">
            <v>2022</v>
          </cell>
          <cell r="BA450" t="str">
            <v>Yes</v>
          </cell>
          <cell r="BB450" t="str">
            <v>No</v>
          </cell>
          <cell r="BH450" t="str">
            <v>2020-12-31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 t="str">
            <v>No</v>
          </cell>
          <cell r="BO450" t="str">
            <v>External</v>
          </cell>
          <cell r="BP450">
            <v>4</v>
          </cell>
          <cell r="BQ450">
            <v>0</v>
          </cell>
          <cell r="BR450">
            <v>100000000</v>
          </cell>
          <cell r="BS450">
            <v>100000000</v>
          </cell>
          <cell r="BT450">
            <v>95310912</v>
          </cell>
          <cell r="BU450">
            <v>95310912</v>
          </cell>
          <cell r="BV450" t="str">
            <v>No</v>
          </cell>
          <cell r="BW450" t="str">
            <v>Finland</v>
          </cell>
          <cell r="BX450" t="str">
            <v>Retail</v>
          </cell>
          <cell r="BY450">
            <v>0</v>
          </cell>
        </row>
        <row r="451">
          <cell r="A451">
            <v>18228</v>
          </cell>
          <cell r="B451" t="str">
            <v>SIRIUS FUND II SCSP</v>
          </cell>
          <cell r="C451" t="str">
            <v>LUXEMBOURG INVESTMENT SOLUTIONS S.A.</v>
          </cell>
          <cell r="D451" t="str">
            <v>14, rue Edward Steichen</v>
          </cell>
          <cell r="E451" t="str">
            <v>L-2540 Luxembourg</v>
          </cell>
          <cell r="F451" t="str">
            <v>Luxembourg</v>
          </cell>
          <cell r="G451" t="str">
            <v>Luxembourg</v>
          </cell>
          <cell r="J451" t="str">
            <v>http://www.sirius.fi</v>
          </cell>
          <cell r="N451" t="str">
            <v>Patrick Gylling</v>
          </cell>
          <cell r="O451" t="str">
            <v>patrick.gylling@sirius.fi</v>
          </cell>
          <cell r="P451" t="str">
            <v>+358405426397</v>
          </cell>
          <cell r="Q451" t="str">
            <v>Luxembourg</v>
          </cell>
          <cell r="R451" t="str">
            <v>EUR</v>
          </cell>
          <cell r="S451" t="str">
            <v>Local GAAP</v>
          </cell>
          <cell r="T451" t="str">
            <v>Quarterly</v>
          </cell>
          <cell r="U451" t="str">
            <v>Quarterly</v>
          </cell>
          <cell r="W451" t="str">
            <v>INREV NAV</v>
          </cell>
          <cell r="X451" t="str">
            <v>KPMG</v>
          </cell>
          <cell r="Y451" t="str">
            <v>SCSp</v>
          </cell>
          <cell r="Z451" t="str">
            <v>Yes</v>
          </cell>
          <cell r="AA451" t="str">
            <v>Yes</v>
          </cell>
          <cell r="AB451">
            <v>1</v>
          </cell>
          <cell r="AC451" t="str">
            <v>Non-Listed Fund</v>
          </cell>
          <cell r="AD451" t="str">
            <v>Value-added</v>
          </cell>
          <cell r="AE451" t="str">
            <v>finite</v>
          </cell>
          <cell r="AF451" t="str">
            <v>Closed end</v>
          </cell>
          <cell r="AG451">
            <v>20</v>
          </cell>
          <cell r="AI451" t="str">
            <v>Gross</v>
          </cell>
          <cell r="AL451">
            <v>60</v>
          </cell>
          <cell r="AM451" t="str">
            <v>&gt; 60%</v>
          </cell>
          <cell r="AN451" t="str">
            <v>Institutional</v>
          </cell>
          <cell r="AO451" t="str">
            <v>&gt; 2</v>
          </cell>
          <cell r="AP451" t="str">
            <v>≥ 50%</v>
          </cell>
          <cell r="AQ451" t="str">
            <v>Europe</v>
          </cell>
          <cell r="AR451" t="str">
            <v>single country</v>
          </cell>
          <cell r="AT451" t="str">
            <v>Finland</v>
          </cell>
          <cell r="AU451" t="str">
            <v>single sector</v>
          </cell>
          <cell r="AV451" t="str">
            <v>Other</v>
          </cell>
          <cell r="AW451">
            <v>135000000</v>
          </cell>
          <cell r="AX451">
            <v>350000000</v>
          </cell>
          <cell r="AY451">
            <v>2016</v>
          </cell>
          <cell r="AZ451">
            <v>2023</v>
          </cell>
          <cell r="BA451" t="str">
            <v>Yes</v>
          </cell>
          <cell r="BB451" t="str">
            <v>No</v>
          </cell>
          <cell r="BH451" t="str">
            <v>2020-12-31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 t="str">
            <v>No</v>
          </cell>
          <cell r="BO451" t="str">
            <v>External</v>
          </cell>
          <cell r="BP451">
            <v>7</v>
          </cell>
          <cell r="BQ451">
            <v>0</v>
          </cell>
          <cell r="BR451">
            <v>135010000</v>
          </cell>
          <cell r="BS451">
            <v>135010000</v>
          </cell>
          <cell r="BT451">
            <v>132200000</v>
          </cell>
          <cell r="BU451">
            <v>132200000</v>
          </cell>
          <cell r="BV451" t="str">
            <v>No</v>
          </cell>
          <cell r="BW451" t="str">
            <v>Finland</v>
          </cell>
          <cell r="BX451" t="str">
            <v>Retail</v>
          </cell>
          <cell r="BY451">
            <v>0</v>
          </cell>
        </row>
        <row r="452">
          <cell r="A452">
            <v>18596</v>
          </cell>
          <cell r="B452" t="str">
            <v>SIRIUS FUND III SCSP</v>
          </cell>
          <cell r="C452" t="str">
            <v>LUXEMBOURG INVESTMENT SOLUTIONS</v>
          </cell>
          <cell r="D452" t="str">
            <v>14, rue Edward Steichen</v>
          </cell>
          <cell r="E452" t="str">
            <v>L-2540 Luxembourg</v>
          </cell>
          <cell r="F452" t="str">
            <v>Luxembourg</v>
          </cell>
          <cell r="G452" t="str">
            <v>Luxembourg</v>
          </cell>
          <cell r="J452" t="str">
            <v>http://www.sirius.fi</v>
          </cell>
          <cell r="N452" t="str">
            <v>Patrick Gylling</v>
          </cell>
          <cell r="O452" t="str">
            <v>patrick.gylling@sirius.fi</v>
          </cell>
          <cell r="P452" t="str">
            <v>+358405426397</v>
          </cell>
          <cell r="Q452" t="str">
            <v>Luxembourg</v>
          </cell>
          <cell r="R452" t="str">
            <v>EUR</v>
          </cell>
          <cell r="S452" t="str">
            <v>IFRS</v>
          </cell>
          <cell r="T452" t="str">
            <v>Quarterly</v>
          </cell>
          <cell r="U452" t="str">
            <v>Quarterly</v>
          </cell>
          <cell r="W452" t="str">
            <v>INREV NAV</v>
          </cell>
          <cell r="X452" t="str">
            <v>KPMG</v>
          </cell>
          <cell r="Y452" t="str">
            <v>SCSp</v>
          </cell>
          <cell r="Z452" t="str">
            <v>Yes</v>
          </cell>
          <cell r="AA452" t="str">
            <v>Yes</v>
          </cell>
          <cell r="AB452">
            <v>1</v>
          </cell>
          <cell r="AC452" t="str">
            <v>Non-Listed Fund</v>
          </cell>
          <cell r="AD452" t="str">
            <v>Value-added</v>
          </cell>
          <cell r="AE452" t="str">
            <v>finite</v>
          </cell>
          <cell r="AF452" t="str">
            <v>Closed end</v>
          </cell>
          <cell r="AG452">
            <v>20</v>
          </cell>
          <cell r="AI452" t="str">
            <v>Gross</v>
          </cell>
          <cell r="AL452">
            <v>55</v>
          </cell>
          <cell r="AM452" t="str">
            <v>&gt; 60%</v>
          </cell>
          <cell r="AN452" t="str">
            <v>Institutional</v>
          </cell>
          <cell r="AO452" t="str">
            <v>&gt; 2</v>
          </cell>
          <cell r="AP452" t="str">
            <v>≥ 50%</v>
          </cell>
          <cell r="AQ452" t="str">
            <v>Europe</v>
          </cell>
          <cell r="AR452" t="str">
            <v>single country</v>
          </cell>
          <cell r="AT452" t="str">
            <v>Finland</v>
          </cell>
          <cell r="AU452" t="str">
            <v>single sector</v>
          </cell>
          <cell r="AV452" t="str">
            <v>Office</v>
          </cell>
          <cell r="AW452">
            <v>35000000</v>
          </cell>
          <cell r="AX452">
            <v>100000000</v>
          </cell>
          <cell r="AY452">
            <v>2018</v>
          </cell>
          <cell r="AZ452">
            <v>2025</v>
          </cell>
          <cell r="BA452" t="str">
            <v>Yes</v>
          </cell>
          <cell r="BB452" t="str">
            <v>No</v>
          </cell>
          <cell r="BH452" t="str">
            <v>2020-12-31</v>
          </cell>
          <cell r="BI452">
            <v>30200000</v>
          </cell>
          <cell r="BJ452">
            <v>30200000</v>
          </cell>
          <cell r="BK452">
            <v>20550000</v>
          </cell>
          <cell r="BL452">
            <v>20550000</v>
          </cell>
          <cell r="BM452">
            <v>36</v>
          </cell>
          <cell r="BN452" t="str">
            <v>Yes</v>
          </cell>
          <cell r="BO452" t="str">
            <v>External</v>
          </cell>
          <cell r="BP452">
            <v>2</v>
          </cell>
          <cell r="BQ452">
            <v>2</v>
          </cell>
          <cell r="BR452">
            <v>35000000</v>
          </cell>
          <cell r="BS452">
            <v>35000000</v>
          </cell>
          <cell r="BT452">
            <v>30100000</v>
          </cell>
          <cell r="BU452">
            <v>30100000</v>
          </cell>
          <cell r="BV452" t="str">
            <v>No</v>
          </cell>
          <cell r="BW452" t="str">
            <v>Finland</v>
          </cell>
          <cell r="BX452" t="str">
            <v>Office</v>
          </cell>
          <cell r="BY452">
            <v>100</v>
          </cell>
        </row>
        <row r="453">
          <cell r="A453">
            <v>17497</v>
          </cell>
          <cell r="B453" t="str">
            <v>SOUTH EAST OFFICE FUND</v>
          </cell>
          <cell r="C453" t="str">
            <v xml:space="preserve">AEW UK </v>
          </cell>
          <cell r="D453" t="str">
            <v>33 Jermyn Street</v>
          </cell>
          <cell r="E453" t="str">
            <v>SW1Y 6DN</v>
          </cell>
          <cell r="F453" t="str">
            <v>London</v>
          </cell>
          <cell r="G453" t="str">
            <v>United Kingdom</v>
          </cell>
          <cell r="H453" t="str">
            <v>+44 (0)20 7016 4800</v>
          </cell>
          <cell r="I453" t="str">
            <v>+44 (0)20 7016 4700</v>
          </cell>
          <cell r="K453" t="str">
            <v>Nick Winsley</v>
          </cell>
          <cell r="L453" t="str">
            <v>nick.winsley@aeweurope.com</v>
          </cell>
          <cell r="M453" t="str">
            <v>+44 (0)20 7016 4841</v>
          </cell>
          <cell r="N453" t="str">
            <v>Dana Eisner</v>
          </cell>
          <cell r="O453" t="str">
            <v>dana.eisner@aeweurope.com</v>
          </cell>
          <cell r="P453" t="str">
            <v>+44 (0)20 7016 4883</v>
          </cell>
          <cell r="Q453" t="str">
            <v>United Kingdom</v>
          </cell>
          <cell r="R453" t="str">
            <v>GBP</v>
          </cell>
          <cell r="S453" t="str">
            <v>IFRS</v>
          </cell>
          <cell r="T453" t="str">
            <v>Quarterly</v>
          </cell>
          <cell r="U453" t="str">
            <v>Annually</v>
          </cell>
          <cell r="V453" t="str">
            <v>RICS</v>
          </cell>
          <cell r="Y453" t="str">
            <v>Limited Partnership</v>
          </cell>
          <cell r="AC453" t="str">
            <v>Non-Listed Fund</v>
          </cell>
          <cell r="AD453" t="str">
            <v>Value-added</v>
          </cell>
          <cell r="AE453" t="str">
            <v>finite</v>
          </cell>
          <cell r="AF453" t="str">
            <v>Closed end</v>
          </cell>
          <cell r="AG453">
            <v>12</v>
          </cell>
          <cell r="AH453">
            <v>20</v>
          </cell>
          <cell r="AI453" t="str">
            <v>Net</v>
          </cell>
          <cell r="AM453" t="str">
            <v>&gt; 40% - ≤ 60%</v>
          </cell>
          <cell r="AN453" t="str">
            <v>Institutional</v>
          </cell>
          <cell r="AO453" t="str">
            <v>&gt; 2</v>
          </cell>
          <cell r="AP453" t="str">
            <v>≥ 50%</v>
          </cell>
          <cell r="AQ453" t="str">
            <v>Europe</v>
          </cell>
          <cell r="AR453" t="str">
            <v>single country</v>
          </cell>
          <cell r="AT453" t="str">
            <v>United Kingdom</v>
          </cell>
          <cell r="AU453" t="str">
            <v>single sector</v>
          </cell>
          <cell r="AV453" t="str">
            <v>Office</v>
          </cell>
          <cell r="AW453">
            <v>100000000</v>
          </cell>
          <cell r="AY453">
            <v>2014</v>
          </cell>
          <cell r="AZ453">
            <v>2019</v>
          </cell>
          <cell r="BH453" t="str">
            <v>2017-12-31</v>
          </cell>
          <cell r="BI453">
            <v>130130906.64</v>
          </cell>
          <cell r="BJ453">
            <v>146589072.21661371</v>
          </cell>
          <cell r="BK453">
            <v>93886766.180000007</v>
          </cell>
          <cell r="BL453">
            <v>105760993.3189685</v>
          </cell>
          <cell r="BM453">
            <v>26.25</v>
          </cell>
          <cell r="BS453">
            <v>0</v>
          </cell>
          <cell r="BW453" t="str">
            <v>United Kingdom</v>
          </cell>
          <cell r="BX453" t="str">
            <v>Office</v>
          </cell>
          <cell r="BY453">
            <v>100</v>
          </cell>
        </row>
        <row r="454">
          <cell r="A454">
            <v>421</v>
          </cell>
          <cell r="B454" t="str">
            <v>SPF - SIERRA PORTUGAL REAL ESTATE</v>
          </cell>
          <cell r="C454" t="str">
            <v>SONAE SIERRA</v>
          </cell>
          <cell r="D454" t="str">
            <v>Lugar do Espido via Norte</v>
          </cell>
          <cell r="E454" t="str">
            <v>4471-909</v>
          </cell>
          <cell r="F454" t="str">
            <v>Maia</v>
          </cell>
          <cell r="G454" t="str">
            <v>Portugal</v>
          </cell>
          <cell r="H454" t="str">
            <v>+351 22 010 4549</v>
          </cell>
          <cell r="I454" t="str">
            <v>+351 22 010 4452</v>
          </cell>
          <cell r="J454" t="str">
            <v>http://www.sonaesierra.com</v>
          </cell>
          <cell r="K454" t="str">
            <v>Pedro Caupers</v>
          </cell>
          <cell r="L454" t="str">
            <v>p.caupers@sonaesierra.com</v>
          </cell>
          <cell r="M454" t="str">
            <v>+351 21 751 5033</v>
          </cell>
          <cell r="N454" t="str">
            <v>Joao Lelis</v>
          </cell>
          <cell r="O454" t="str">
            <v>jclelis@sonaesierra.com</v>
          </cell>
          <cell r="P454" t="str">
            <v>+351 22 010 4452</v>
          </cell>
          <cell r="Q454" t="str">
            <v>Luxembourg</v>
          </cell>
          <cell r="R454" t="str">
            <v>EUR</v>
          </cell>
          <cell r="S454" t="str">
            <v>IFRS</v>
          </cell>
          <cell r="T454" t="str">
            <v>Quarterly</v>
          </cell>
          <cell r="U454" t="str">
            <v>Quarterly</v>
          </cell>
          <cell r="V454" t="str">
            <v>RICS</v>
          </cell>
          <cell r="W454" t="str">
            <v>INREV NAV</v>
          </cell>
          <cell r="X454" t="str">
            <v>Deloitte &amp; Touche</v>
          </cell>
          <cell r="Y454" t="str">
            <v>SCA</v>
          </cell>
          <cell r="Z454" t="str">
            <v>Yes</v>
          </cell>
          <cell r="AA454" t="str">
            <v>No</v>
          </cell>
          <cell r="AB454">
            <v>0</v>
          </cell>
          <cell r="AC454" t="str">
            <v>Non-Listed Fund</v>
          </cell>
          <cell r="AD454" t="str">
            <v>Core</v>
          </cell>
          <cell r="AE454" t="str">
            <v>finite</v>
          </cell>
          <cell r="AF454" t="str">
            <v>Closed end</v>
          </cell>
          <cell r="AG454">
            <v>8</v>
          </cell>
          <cell r="AH454">
            <v>11</v>
          </cell>
          <cell r="AI454" t="str">
            <v>Net</v>
          </cell>
          <cell r="AJ454" t="str">
            <v>None</v>
          </cell>
          <cell r="AK454">
            <v>6</v>
          </cell>
          <cell r="AL454">
            <v>50</v>
          </cell>
          <cell r="AM454" t="str">
            <v>&gt; 40% - ≤ 60%</v>
          </cell>
          <cell r="AN454" t="str">
            <v>Institutional</v>
          </cell>
          <cell r="AO454" t="str">
            <v>&gt; 2</v>
          </cell>
          <cell r="AP454" t="str">
            <v>≥ 50%</v>
          </cell>
          <cell r="AQ454" t="str">
            <v>Europe</v>
          </cell>
          <cell r="AR454" t="str">
            <v>single country</v>
          </cell>
          <cell r="AT454" t="str">
            <v>Portugal</v>
          </cell>
          <cell r="AU454" t="str">
            <v>single sector</v>
          </cell>
          <cell r="AV454" t="str">
            <v>Retail</v>
          </cell>
          <cell r="AW454">
            <v>300000000</v>
          </cell>
          <cell r="AY454">
            <v>2008</v>
          </cell>
          <cell r="AZ454">
            <v>2018</v>
          </cell>
          <cell r="BA454" t="str">
            <v>No</v>
          </cell>
          <cell r="BH454" t="str">
            <v>2020-12-31</v>
          </cell>
          <cell r="BI454">
            <v>150823000</v>
          </cell>
          <cell r="BJ454">
            <v>150823000</v>
          </cell>
          <cell r="BK454">
            <v>94370000</v>
          </cell>
          <cell r="BL454">
            <v>94370000</v>
          </cell>
          <cell r="BM454">
            <v>27.3</v>
          </cell>
          <cell r="BN454" t="str">
            <v>Yes</v>
          </cell>
          <cell r="BO454" t="str">
            <v>External</v>
          </cell>
          <cell r="BP454">
            <v>4</v>
          </cell>
          <cell r="BQ454">
            <v>2</v>
          </cell>
          <cell r="BR454">
            <v>0</v>
          </cell>
          <cell r="BS454">
            <v>0</v>
          </cell>
          <cell r="BT454">
            <v>0</v>
          </cell>
          <cell r="BV454" t="str">
            <v>No</v>
          </cell>
          <cell r="BW454" t="str">
            <v>Portugal</v>
          </cell>
          <cell r="BX454" t="str">
            <v>Retail</v>
          </cell>
          <cell r="BY454">
            <v>87</v>
          </cell>
        </row>
        <row r="455">
          <cell r="A455">
            <v>16085</v>
          </cell>
          <cell r="B455" t="str">
            <v>STADTE UND WOHNEN</v>
          </cell>
          <cell r="C455" t="str">
            <v>ABERDEEN ASSET MANAGEMENT DEUTSCHLAND AG</v>
          </cell>
          <cell r="D455" t="str">
            <v>Bettinastrasse 53-55</v>
          </cell>
          <cell r="E455">
            <v>60325</v>
          </cell>
          <cell r="F455" t="str">
            <v>Frankfurt am Main</v>
          </cell>
          <cell r="G455" t="str">
            <v>Germany</v>
          </cell>
          <cell r="H455" t="str">
            <v>+49697680720</v>
          </cell>
          <cell r="I455" t="str">
            <v>+4969768072256</v>
          </cell>
          <cell r="J455" t="str">
            <v>https://www.aberdeenstandard.com</v>
          </cell>
          <cell r="K455" t="str">
            <v>Mihaela Ruhl</v>
          </cell>
          <cell r="L455" t="str">
            <v>mihaela.ruhl@aberdeen-asset.com</v>
          </cell>
          <cell r="M455" t="str">
            <v>+4969768072203</v>
          </cell>
          <cell r="N455" t="str">
            <v>Robert Bauer</v>
          </cell>
          <cell r="O455" t="str">
            <v>info.germany@aberdeen-asset.com</v>
          </cell>
          <cell r="P455" t="str">
            <v>+49697680720</v>
          </cell>
          <cell r="Q455" t="str">
            <v>Germany</v>
          </cell>
          <cell r="R455" t="str">
            <v>EUR</v>
          </cell>
          <cell r="S455" t="str">
            <v>Local GAAP</v>
          </cell>
          <cell r="T455" t="str">
            <v>Quarterly</v>
          </cell>
          <cell r="U455" t="str">
            <v>Annually</v>
          </cell>
          <cell r="V455" t="str">
            <v>ImmoWertV</v>
          </cell>
          <cell r="W455" t="str">
            <v>KARBV</v>
          </cell>
          <cell r="X455" t="str">
            <v>KPMG AG</v>
          </cell>
          <cell r="Y455" t="str">
            <v>Spezialfonds</v>
          </cell>
          <cell r="Z455" t="str">
            <v>No</v>
          </cell>
          <cell r="AA455" t="str">
            <v>Yes</v>
          </cell>
          <cell r="AC455" t="str">
            <v>Non-Listed Fund</v>
          </cell>
          <cell r="AD455" t="str">
            <v>Core</v>
          </cell>
          <cell r="AE455" t="str">
            <v>infinite</v>
          </cell>
          <cell r="AF455" t="str">
            <v>Open end</v>
          </cell>
          <cell r="AH455">
            <v>5.7</v>
          </cell>
          <cell r="AI455" t="str">
            <v>Net</v>
          </cell>
          <cell r="AK455">
            <v>4</v>
          </cell>
          <cell r="AL455">
            <v>30</v>
          </cell>
          <cell r="AM455" t="str">
            <v>≤ 40%</v>
          </cell>
          <cell r="AN455" t="str">
            <v>Institutional</v>
          </cell>
          <cell r="AO455" t="str">
            <v>&gt; 2</v>
          </cell>
          <cell r="AP455" t="str">
            <v>≥ 50%</v>
          </cell>
          <cell r="AQ455" t="str">
            <v>Europe</v>
          </cell>
          <cell r="AR455" t="str">
            <v>single country</v>
          </cell>
          <cell r="AT455" t="str">
            <v>Germany</v>
          </cell>
          <cell r="AU455" t="str">
            <v>single sector</v>
          </cell>
          <cell r="AV455" t="str">
            <v>Residential</v>
          </cell>
          <cell r="AW455">
            <v>540000000</v>
          </cell>
          <cell r="AX455">
            <v>900000000</v>
          </cell>
          <cell r="AY455">
            <v>2012</v>
          </cell>
          <cell r="BB455" t="str">
            <v>No</v>
          </cell>
          <cell r="BD455" t="str">
            <v>No</v>
          </cell>
          <cell r="BE455" t="str">
            <v>≥ 60%</v>
          </cell>
          <cell r="BF455" t="str">
            <v>≤ 15%</v>
          </cell>
          <cell r="BG455" t="str">
            <v>≤ 5%</v>
          </cell>
          <cell r="BH455" t="str">
            <v>2020-12-31</v>
          </cell>
          <cell r="BI455">
            <v>702667992</v>
          </cell>
          <cell r="BJ455">
            <v>702667992</v>
          </cell>
          <cell r="BK455">
            <v>544953505.95000005</v>
          </cell>
          <cell r="BL455">
            <v>544953505.95000005</v>
          </cell>
          <cell r="BM455">
            <v>20.2</v>
          </cell>
          <cell r="BN455" t="str">
            <v>No</v>
          </cell>
          <cell r="BO455" t="str">
            <v>External</v>
          </cell>
          <cell r="BP455">
            <v>14</v>
          </cell>
          <cell r="BQ455">
            <v>16</v>
          </cell>
          <cell r="BR455">
            <v>465331951.13</v>
          </cell>
          <cell r="BS455">
            <v>465331951.13</v>
          </cell>
          <cell r="BT455">
            <v>465331951.13</v>
          </cell>
          <cell r="BU455">
            <v>465331951.13</v>
          </cell>
          <cell r="BV455" t="str">
            <v>No</v>
          </cell>
          <cell r="BW455" t="str">
            <v>Germany</v>
          </cell>
          <cell r="BX455" t="str">
            <v>Residential</v>
          </cell>
          <cell r="BY455">
            <v>74.599999999999994</v>
          </cell>
          <cell r="BZ455" t="str">
            <v>Germany</v>
          </cell>
          <cell r="CA455" t="str">
            <v>Development Residential</v>
          </cell>
          <cell r="CB455">
            <v>9.1999999999999993</v>
          </cell>
        </row>
        <row r="456">
          <cell r="A456">
            <v>428</v>
          </cell>
          <cell r="B456" t="str">
            <v>STANDARD LIFE INVESTMENTS POOLED PROPERTY PENSION FUND</v>
          </cell>
          <cell r="C456" t="str">
            <v>ABERDEEN STANDARD INVESTMENTS</v>
          </cell>
          <cell r="D456" t="str">
            <v>1 George Street</v>
          </cell>
          <cell r="E456" t="str">
            <v>EH2 2LL</v>
          </cell>
          <cell r="F456" t="str">
            <v>Edinburgh</v>
          </cell>
          <cell r="G456" t="str">
            <v>United Kingdom</v>
          </cell>
          <cell r="H456" t="str">
            <v>+44 (0) 131 225 2345</v>
          </cell>
          <cell r="I456" t="str">
            <v>+44 (0) 131 245 2547</v>
          </cell>
          <cell r="J456" t="str">
            <v>http://www.aberdeenstandard.com</v>
          </cell>
          <cell r="K456" t="str">
            <v>David Stewart</v>
          </cell>
          <cell r="L456" t="str">
            <v>david.a.stewart@aberdeenstandard.com</v>
          </cell>
          <cell r="M456" t="str">
            <v xml:space="preserve">+441312452813 </v>
          </cell>
          <cell r="N456" t="str">
            <v>Robert Mattews</v>
          </cell>
          <cell r="O456" t="str">
            <v>robert.matthews@aberdeen-asset.com</v>
          </cell>
          <cell r="P456" t="str">
            <v xml:space="preserve">+44 2076 18 1582 </v>
          </cell>
          <cell r="Q456" t="str">
            <v>United Kingdom</v>
          </cell>
          <cell r="R456" t="str">
            <v>GBP</v>
          </cell>
          <cell r="S456" t="str">
            <v>Local GAAP</v>
          </cell>
          <cell r="T456" t="str">
            <v>Quarterly</v>
          </cell>
          <cell r="U456" t="str">
            <v>Quarterly</v>
          </cell>
          <cell r="V456" t="str">
            <v>RICS</v>
          </cell>
          <cell r="W456" t="str">
            <v>INREV NAV</v>
          </cell>
          <cell r="X456" t="str">
            <v>PriceWaterhouseCoopers</v>
          </cell>
          <cell r="Y456" t="str">
            <v>Insurance linked pooled fund</v>
          </cell>
          <cell r="Z456" t="str">
            <v>No</v>
          </cell>
          <cell r="AA456" t="str">
            <v>No</v>
          </cell>
          <cell r="AB456">
            <v>0</v>
          </cell>
          <cell r="AC456" t="str">
            <v>Non-Listed Fund</v>
          </cell>
          <cell r="AD456" t="str">
            <v>Core</v>
          </cell>
          <cell r="AE456" t="str">
            <v>infinite</v>
          </cell>
          <cell r="AF456" t="str">
            <v>Open end</v>
          </cell>
          <cell r="AJ456" t="str">
            <v>IPD UK PPF Index-All Balanced Fund Weighted Average</v>
          </cell>
          <cell r="AN456" t="str">
            <v>Institutional</v>
          </cell>
          <cell r="AO456" t="str">
            <v>&gt; 2</v>
          </cell>
          <cell r="AP456" t="str">
            <v>≥ 50%</v>
          </cell>
          <cell r="AQ456" t="str">
            <v>Europe</v>
          </cell>
          <cell r="AR456" t="str">
            <v>single country</v>
          </cell>
          <cell r="AT456" t="str">
            <v>United Kingdom</v>
          </cell>
          <cell r="AU456" t="str">
            <v>multi sector</v>
          </cell>
          <cell r="AY456">
            <v>1984</v>
          </cell>
          <cell r="BA456" t="str">
            <v>No</v>
          </cell>
          <cell r="BH456" t="str">
            <v>2020-12-31</v>
          </cell>
          <cell r="BI456">
            <v>2467394263</v>
          </cell>
          <cell r="BJ456">
            <v>2727825494.4678421</v>
          </cell>
          <cell r="BK456">
            <v>2467394263</v>
          </cell>
          <cell r="BL456">
            <v>2727825494.4678421</v>
          </cell>
          <cell r="BM456">
            <v>0</v>
          </cell>
          <cell r="BN456" t="str">
            <v>No</v>
          </cell>
          <cell r="BO456" t="str">
            <v>External</v>
          </cell>
          <cell r="BP456">
            <v>129</v>
          </cell>
          <cell r="BQ456">
            <v>50</v>
          </cell>
          <cell r="BR456">
            <v>2467394263</v>
          </cell>
          <cell r="BS456">
            <v>2709086676.5274749</v>
          </cell>
          <cell r="BT456">
            <v>2467394263</v>
          </cell>
          <cell r="BU456">
            <v>2709086676.5274749</v>
          </cell>
          <cell r="BV456" t="str">
            <v>Yes</v>
          </cell>
          <cell r="BW456" t="str">
            <v>United Kingdom</v>
          </cell>
          <cell r="BX456" t="str">
            <v>Other</v>
          </cell>
          <cell r="BY456">
            <v>7.42</v>
          </cell>
          <cell r="BZ456" t="str">
            <v>United Kingdom</v>
          </cell>
          <cell r="CA456" t="str">
            <v>Retail</v>
          </cell>
          <cell r="CB456">
            <v>16.8</v>
          </cell>
          <cell r="CC456" t="str">
            <v>United Kingdom</v>
          </cell>
          <cell r="CD456" t="str">
            <v>Office</v>
          </cell>
          <cell r="CE456">
            <v>17.12</v>
          </cell>
          <cell r="CF456" t="str">
            <v>United Kingdom</v>
          </cell>
          <cell r="CG456" t="str">
            <v>Industrial / Logistics</v>
          </cell>
          <cell r="CH456">
            <v>41.01</v>
          </cell>
        </row>
        <row r="457">
          <cell r="A457">
            <v>429</v>
          </cell>
          <cell r="B457" t="str">
            <v>STANDARD LIFE UK RETAIL PARK TRUST</v>
          </cell>
          <cell r="C457" t="str">
            <v>ABERDEEN STANDARD INVESTMENTS</v>
          </cell>
          <cell r="D457" t="str">
            <v>1 George Street</v>
          </cell>
          <cell r="E457" t="str">
            <v>EH2 2LL</v>
          </cell>
          <cell r="F457" t="str">
            <v>Edinburgh</v>
          </cell>
          <cell r="G457" t="str">
            <v>United Kingdom</v>
          </cell>
          <cell r="H457" t="str">
            <v>+44 (0) 131 225 2345</v>
          </cell>
          <cell r="I457" t="str">
            <v>+44 (0) 131 245 2547</v>
          </cell>
          <cell r="J457" t="str">
            <v>http://www.aberdeenstandard.com</v>
          </cell>
          <cell r="K457" t="str">
            <v>Sandy Pringle</v>
          </cell>
          <cell r="L457" t="str">
            <v>sandy.pringle@aberdeen-asset.com</v>
          </cell>
          <cell r="N457" t="str">
            <v>Robert Mattews</v>
          </cell>
          <cell r="O457" t="str">
            <v>robert.matthews@aberdeen-asset.com</v>
          </cell>
          <cell r="P457" t="str">
            <v xml:space="preserve">+44 2076 18 1582 </v>
          </cell>
          <cell r="Q457" t="str">
            <v>Jersey</v>
          </cell>
          <cell r="R457" t="str">
            <v>GBP</v>
          </cell>
          <cell r="S457" t="str">
            <v>IFRS</v>
          </cell>
          <cell r="T457" t="str">
            <v>Monthly</v>
          </cell>
          <cell r="U457" t="str">
            <v>Monthly</v>
          </cell>
          <cell r="V457" t="str">
            <v>RICS</v>
          </cell>
          <cell r="W457" t="str">
            <v>IFRS NAV</v>
          </cell>
          <cell r="X457" t="str">
            <v>PriceWaterhouseCoopers</v>
          </cell>
          <cell r="Y457" t="str">
            <v>Jersey Property Unit Trust</v>
          </cell>
          <cell r="Z457" t="str">
            <v>Yes</v>
          </cell>
          <cell r="AA457" t="str">
            <v>No</v>
          </cell>
          <cell r="AB457">
            <v>0</v>
          </cell>
          <cell r="AC457" t="str">
            <v>Non-Listed Fund</v>
          </cell>
          <cell r="AD457" t="str">
            <v>Core</v>
          </cell>
          <cell r="AE457" t="str">
            <v>finite</v>
          </cell>
          <cell r="AF457" t="str">
            <v>Closed end</v>
          </cell>
          <cell r="AJ457" t="str">
            <v>IPD Universe (Retail Warehouse sub-sector)</v>
          </cell>
          <cell r="AL457">
            <v>0</v>
          </cell>
          <cell r="AM457" t="str">
            <v>≤ 40%</v>
          </cell>
          <cell r="AN457" t="str">
            <v>Institutional</v>
          </cell>
          <cell r="AO457" t="str">
            <v>&gt; 2</v>
          </cell>
          <cell r="AP457" t="str">
            <v>≥ 50%</v>
          </cell>
          <cell r="AQ457" t="str">
            <v>Europe</v>
          </cell>
          <cell r="AR457" t="str">
            <v>single country</v>
          </cell>
          <cell r="AT457" t="str">
            <v>United Kingdom</v>
          </cell>
          <cell r="AU457" t="str">
            <v>single sector</v>
          </cell>
          <cell r="AV457" t="str">
            <v>Retail</v>
          </cell>
          <cell r="AY457">
            <v>2005</v>
          </cell>
          <cell r="AZ457">
            <v>2020</v>
          </cell>
          <cell r="BA457" t="str">
            <v>Yes</v>
          </cell>
          <cell r="BB457" t="str">
            <v>Yes</v>
          </cell>
          <cell r="BC457" t="str">
            <v>2 years</v>
          </cell>
          <cell r="BH457" t="str">
            <v>2020-12-31</v>
          </cell>
          <cell r="BI457">
            <v>132901866.27</v>
          </cell>
          <cell r="BJ457">
            <v>146929537.9786095</v>
          </cell>
          <cell r="BK457">
            <v>130764104.98999999</v>
          </cell>
          <cell r="BL457">
            <v>144566137.93017951</v>
          </cell>
          <cell r="BM457">
            <v>0</v>
          </cell>
          <cell r="BN457" t="str">
            <v>No</v>
          </cell>
          <cell r="BO457" t="str">
            <v>External</v>
          </cell>
          <cell r="BP457">
            <v>43</v>
          </cell>
          <cell r="BQ457">
            <v>3</v>
          </cell>
          <cell r="BR457">
            <v>345322610</v>
          </cell>
          <cell r="BS457">
            <v>379148519.50626159</v>
          </cell>
          <cell r="BT457">
            <v>130764104.98999999</v>
          </cell>
          <cell r="BU457">
            <v>143573039.74830911</v>
          </cell>
          <cell r="BV457" t="str">
            <v>No</v>
          </cell>
          <cell r="BW457" t="str">
            <v>United Kingdom</v>
          </cell>
          <cell r="BX457" t="str">
            <v>Retail</v>
          </cell>
          <cell r="BY457">
            <v>95.77</v>
          </cell>
        </row>
        <row r="458">
          <cell r="A458">
            <v>430</v>
          </cell>
          <cell r="B458" t="str">
            <v>STANDARD LIFE UK SHOPPING CENTRE TRUST</v>
          </cell>
          <cell r="C458" t="str">
            <v>ABERDEEN STANDARD INVESTMENTS</v>
          </cell>
          <cell r="D458" t="str">
            <v>1 George Street</v>
          </cell>
          <cell r="E458" t="str">
            <v>EH2 2LL</v>
          </cell>
          <cell r="F458" t="str">
            <v>Edinburgh</v>
          </cell>
          <cell r="G458" t="str">
            <v>United Kingdom</v>
          </cell>
          <cell r="H458" t="str">
            <v>+44 (0) 131 225 2345</v>
          </cell>
          <cell r="I458" t="str">
            <v>+44 (0) 131 245 2547</v>
          </cell>
          <cell r="J458" t="str">
            <v>http://www.aberdeenstandard.com</v>
          </cell>
          <cell r="K458" t="str">
            <v>Ed Jenkins</v>
          </cell>
          <cell r="L458" t="str">
            <v>ed.jenkins@aberdeenstandard.com</v>
          </cell>
          <cell r="M458" t="str">
            <v>+44 (0) 131 245 8098</v>
          </cell>
          <cell r="N458" t="str">
            <v>Robert Mattews</v>
          </cell>
          <cell r="O458" t="str">
            <v>robert.matthews@aberdeen-asset.com</v>
          </cell>
          <cell r="P458" t="str">
            <v xml:space="preserve">+44 2076 18 1582 </v>
          </cell>
          <cell r="Q458" t="str">
            <v>Jersey</v>
          </cell>
          <cell r="R458" t="str">
            <v>GBP</v>
          </cell>
          <cell r="S458" t="str">
            <v>IFRS</v>
          </cell>
          <cell r="T458" t="str">
            <v>Monthly</v>
          </cell>
          <cell r="U458" t="str">
            <v>Monthly</v>
          </cell>
          <cell r="V458" t="str">
            <v>RICS</v>
          </cell>
          <cell r="W458" t="str">
            <v>IFRS NAV</v>
          </cell>
          <cell r="X458" t="str">
            <v>PriceWaterhouseCoopers</v>
          </cell>
          <cell r="Y458" t="str">
            <v>Jersey Property Unit Trust</v>
          </cell>
          <cell r="Z458" t="str">
            <v>Yes</v>
          </cell>
          <cell r="AA458" t="str">
            <v>No</v>
          </cell>
          <cell r="AB458">
            <v>0</v>
          </cell>
          <cell r="AC458" t="str">
            <v>Non-Listed Fund</v>
          </cell>
          <cell r="AD458" t="str">
            <v>Core</v>
          </cell>
          <cell r="AE458" t="str">
            <v>finite</v>
          </cell>
          <cell r="AF458" t="str">
            <v>Closed end</v>
          </cell>
          <cell r="AJ458" t="str">
            <v>IPD Universe (Shopping Centre sub-sector)</v>
          </cell>
          <cell r="AL458">
            <v>0</v>
          </cell>
          <cell r="AM458" t="str">
            <v>≤ 40%</v>
          </cell>
          <cell r="AN458" t="str">
            <v>Institutional</v>
          </cell>
          <cell r="AO458" t="str">
            <v>&gt; 2</v>
          </cell>
          <cell r="AP458" t="str">
            <v>≥ 50%</v>
          </cell>
          <cell r="AQ458" t="str">
            <v>Europe</v>
          </cell>
          <cell r="AR458" t="str">
            <v>single country</v>
          </cell>
          <cell r="AT458" t="str">
            <v>United Kingdom</v>
          </cell>
          <cell r="AU458" t="str">
            <v>single sector</v>
          </cell>
          <cell r="AV458" t="str">
            <v>Retail</v>
          </cell>
          <cell r="AY458">
            <v>2005</v>
          </cell>
          <cell r="AZ458">
            <v>2025</v>
          </cell>
          <cell r="BA458" t="str">
            <v>Yes</v>
          </cell>
          <cell r="BB458" t="str">
            <v>Yes</v>
          </cell>
          <cell r="BC458" t="str">
            <v>2 years</v>
          </cell>
          <cell r="BH458" t="str">
            <v>2020-12-31</v>
          </cell>
          <cell r="BI458">
            <v>812837188</v>
          </cell>
          <cell r="BJ458">
            <v>898631417.57574487</v>
          </cell>
          <cell r="BK458">
            <v>796059100</v>
          </cell>
          <cell r="BL458">
            <v>880082417.57151449</v>
          </cell>
          <cell r="BM458">
            <v>0</v>
          </cell>
          <cell r="BN458" t="str">
            <v>No</v>
          </cell>
          <cell r="BO458" t="str">
            <v>External</v>
          </cell>
          <cell r="BP458">
            <v>48</v>
          </cell>
          <cell r="BQ458">
            <v>4</v>
          </cell>
          <cell r="BR458">
            <v>949425200</v>
          </cell>
          <cell r="BS458">
            <v>1042425686.988571</v>
          </cell>
          <cell r="BT458">
            <v>949425200</v>
          </cell>
          <cell r="BU458">
            <v>1042425686.988571</v>
          </cell>
          <cell r="BV458" t="str">
            <v>No</v>
          </cell>
          <cell r="BW458" t="str">
            <v>United Kingdom</v>
          </cell>
          <cell r="BX458" t="str">
            <v>Retail</v>
          </cell>
          <cell r="BY458">
            <v>86.46</v>
          </cell>
        </row>
        <row r="459">
          <cell r="A459">
            <v>19668</v>
          </cell>
          <cell r="B459" t="str">
            <v>STORAG ETZEL GMBH &amp; GESCHL. INVKG</v>
          </cell>
          <cell r="C459" t="str">
            <v>PATRIZIA FRANKFURT KAPITALVERWALTUNGSGESELLSCHAFT MBH</v>
          </cell>
          <cell r="D459" t="str">
            <v>The Squaire 18</v>
          </cell>
          <cell r="E459">
            <v>60549</v>
          </cell>
          <cell r="F459" t="str">
            <v>Frankfurt am Main</v>
          </cell>
          <cell r="G459" t="str">
            <v>Germany</v>
          </cell>
          <cell r="Q459" t="str">
            <v>Germany</v>
          </cell>
          <cell r="R459" t="str">
            <v>EUR</v>
          </cell>
          <cell r="S459" t="str">
            <v>German Investment Law</v>
          </cell>
          <cell r="T459" t="str">
            <v>Annually</v>
          </cell>
          <cell r="U459" t="str">
            <v>Annually</v>
          </cell>
          <cell r="V459" t="str">
            <v>ImmoWertV</v>
          </cell>
          <cell r="W459" t="str">
            <v>Other</v>
          </cell>
          <cell r="Y459" t="str">
            <v>Limited Partnership</v>
          </cell>
          <cell r="Z459" t="str">
            <v>No</v>
          </cell>
          <cell r="AB459">
            <v>0</v>
          </cell>
          <cell r="AC459" t="str">
            <v>Joint Venture</v>
          </cell>
          <cell r="AD459" t="str">
            <v>Core</v>
          </cell>
          <cell r="AE459" t="str">
            <v>infinite</v>
          </cell>
          <cell r="AF459" t="str">
            <v>Closed end</v>
          </cell>
          <cell r="AN459" t="str">
            <v>Institutional</v>
          </cell>
          <cell r="AO459" t="str">
            <v>&gt; 2</v>
          </cell>
          <cell r="AP459" t="str">
            <v>≥ 50%</v>
          </cell>
          <cell r="AQ459" t="str">
            <v>Europe</v>
          </cell>
          <cell r="AR459" t="str">
            <v>single country</v>
          </cell>
          <cell r="AT459" t="str">
            <v>Germany</v>
          </cell>
          <cell r="AU459" t="str">
            <v>single sector</v>
          </cell>
          <cell r="AV459" t="str">
            <v>Other</v>
          </cell>
          <cell r="AY459">
            <v>2020</v>
          </cell>
          <cell r="BH459" t="str">
            <v>2020-12-31</v>
          </cell>
          <cell r="BI459">
            <v>20825619.289999999</v>
          </cell>
          <cell r="BJ459">
            <v>20825619.289999999</v>
          </cell>
          <cell r="BK459">
            <v>20825619.289999999</v>
          </cell>
          <cell r="BL459">
            <v>20825619.289999999</v>
          </cell>
          <cell r="BM459">
            <v>0</v>
          </cell>
          <cell r="BN459" t="str">
            <v>No</v>
          </cell>
          <cell r="BO459" t="str">
            <v>Internal</v>
          </cell>
          <cell r="BP459">
            <v>32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V459" t="str">
            <v>No</v>
          </cell>
          <cell r="BW459" t="str">
            <v>Germany</v>
          </cell>
          <cell r="BX459" t="str">
            <v>Other</v>
          </cell>
          <cell r="BY459">
            <v>100</v>
          </cell>
        </row>
        <row r="460">
          <cell r="A460">
            <v>17747</v>
          </cell>
          <cell r="B460" t="str">
            <v>SV-DOMUS-FONDS</v>
          </cell>
          <cell r="C460" t="str">
            <v>DEKA IMMOBILIEN INVESTMENT GMBH</v>
          </cell>
          <cell r="D460" t="str">
            <v>Taunusanlage 1</v>
          </cell>
          <cell r="E460">
            <v>60329</v>
          </cell>
          <cell r="F460" t="str">
            <v>Frankfurt am Main</v>
          </cell>
          <cell r="G460" t="str">
            <v>Germany</v>
          </cell>
          <cell r="J460" t="str">
            <v>http://www.deka-immobilien.de</v>
          </cell>
          <cell r="K460" t="str">
            <v xml:space="preserve">Vanessa Heißenberg </v>
          </cell>
          <cell r="L460" t="str">
            <v>Vanessa.Heissenberg@deka.de</v>
          </cell>
          <cell r="M460">
            <v>496971479374</v>
          </cell>
          <cell r="N460" t="str">
            <v>Michaela Graefe</v>
          </cell>
          <cell r="O460" t="str">
            <v>michaela.graefe@deka.de</v>
          </cell>
          <cell r="P460">
            <v>496971473504</v>
          </cell>
          <cell r="Q460" t="str">
            <v>Germany</v>
          </cell>
          <cell r="R460" t="str">
            <v>EUR</v>
          </cell>
          <cell r="S460" t="str">
            <v>Local GAAP</v>
          </cell>
          <cell r="T460" t="str">
            <v>Annually</v>
          </cell>
          <cell r="U460" t="str">
            <v>Annually</v>
          </cell>
          <cell r="V460" t="str">
            <v>ImmoWertV</v>
          </cell>
          <cell r="X460" t="str">
            <v>KPMG</v>
          </cell>
          <cell r="Y460" t="str">
            <v>Spezialfonds</v>
          </cell>
          <cell r="Z460" t="str">
            <v>No</v>
          </cell>
          <cell r="AA460" t="str">
            <v>Yes</v>
          </cell>
          <cell r="AB460">
            <v>3</v>
          </cell>
          <cell r="AC460" t="str">
            <v>Non-Listed Fund</v>
          </cell>
          <cell r="AD460" t="str">
            <v>Core</v>
          </cell>
          <cell r="AE460" t="str">
            <v>infinite</v>
          </cell>
          <cell r="AF460" t="str">
            <v>Open end</v>
          </cell>
          <cell r="AL460">
            <v>0</v>
          </cell>
          <cell r="AM460" t="str">
            <v>≤ 40%</v>
          </cell>
          <cell r="AN460" t="str">
            <v>Institutional</v>
          </cell>
          <cell r="AO460" t="str">
            <v>≤ 2</v>
          </cell>
          <cell r="AP460" t="str">
            <v>≥ 50%</v>
          </cell>
          <cell r="AQ460" t="str">
            <v>Europe</v>
          </cell>
          <cell r="AR460" t="str">
            <v>single country</v>
          </cell>
          <cell r="AT460" t="str">
            <v>Germany</v>
          </cell>
          <cell r="AU460" t="str">
            <v>multi sector</v>
          </cell>
          <cell r="AW460">
            <v>83886822</v>
          </cell>
          <cell r="AX460">
            <v>0</v>
          </cell>
          <cell r="AY460">
            <v>2002</v>
          </cell>
          <cell r="BD460" t="str">
            <v>No</v>
          </cell>
          <cell r="BH460" t="str">
            <v>2020-12-31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 t="str">
            <v>No</v>
          </cell>
          <cell r="BO460" t="str">
            <v>External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V460" t="str">
            <v>No</v>
          </cell>
        </row>
        <row r="461">
          <cell r="A461">
            <v>432</v>
          </cell>
          <cell r="B461" t="str">
            <v>SVEAFASTIGHETER FUND II</v>
          </cell>
          <cell r="C461" t="str">
            <v>SVEAFASTIGHETER</v>
          </cell>
          <cell r="D461" t="str">
            <v>Norrlandsgatan 15</v>
          </cell>
          <cell r="E461">
            <v>11143</v>
          </cell>
          <cell r="F461" t="str">
            <v>Stockholm</v>
          </cell>
          <cell r="G461" t="str">
            <v>Sweden</v>
          </cell>
          <cell r="H461" t="str">
            <v>+46 (0) 8 54 50 75 00</v>
          </cell>
          <cell r="I461" t="str">
            <v>+46 (0) 8 54 50 75 10</v>
          </cell>
          <cell r="J461" t="str">
            <v>http://www.sveafastigheter.se</v>
          </cell>
          <cell r="K461" t="str">
            <v>Anna Åkerlund</v>
          </cell>
          <cell r="L461" t="str">
            <v>anna.akerlund@sveafastigheter.se</v>
          </cell>
          <cell r="M461" t="str">
            <v>+46 (0) 8 54 50 75 12</v>
          </cell>
          <cell r="N461" t="str">
            <v>Anna Åkerlund</v>
          </cell>
          <cell r="O461" t="str">
            <v>anna.akerlund@sveafastigheter.se</v>
          </cell>
          <cell r="P461" t="str">
            <v>+46 (0) 8 54 50 75 12</v>
          </cell>
          <cell r="Q461" t="str">
            <v>Sweden</v>
          </cell>
          <cell r="R461" t="str">
            <v>SEK</v>
          </cell>
          <cell r="S461" t="str">
            <v>Local GAAP</v>
          </cell>
          <cell r="T461" t="str">
            <v>Quarterly</v>
          </cell>
          <cell r="U461" t="str">
            <v>Annually</v>
          </cell>
          <cell r="X461" t="str">
            <v>KPMG</v>
          </cell>
          <cell r="Z461" t="str">
            <v>No</v>
          </cell>
          <cell r="AA461" t="str">
            <v>Yes</v>
          </cell>
          <cell r="AB461">
            <v>3</v>
          </cell>
          <cell r="AC461" t="str">
            <v>Non-Listed Fund</v>
          </cell>
          <cell r="AD461" t="str">
            <v>Opportunity</v>
          </cell>
          <cell r="AE461" t="str">
            <v>finite</v>
          </cell>
          <cell r="AF461" t="str">
            <v>Closed end</v>
          </cell>
          <cell r="AG461">
            <v>18</v>
          </cell>
          <cell r="AH461">
            <v>18</v>
          </cell>
          <cell r="AI461" t="str">
            <v>Net</v>
          </cell>
          <cell r="AJ461" t="str">
            <v>None</v>
          </cell>
          <cell r="AL461">
            <v>85</v>
          </cell>
          <cell r="AM461" t="str">
            <v>&gt; 60%</v>
          </cell>
          <cell r="AN461" t="str">
            <v>Institutional</v>
          </cell>
          <cell r="AP461" t="str">
            <v>≥ 50%</v>
          </cell>
          <cell r="AQ461" t="str">
            <v>Europe</v>
          </cell>
          <cell r="AR461" t="str">
            <v>multi country</v>
          </cell>
          <cell r="AS461" t="str">
            <v>Europe</v>
          </cell>
          <cell r="AU461" t="str">
            <v>multi sector</v>
          </cell>
          <cell r="AW461">
            <v>1358940000</v>
          </cell>
          <cell r="AX461">
            <v>11324470000</v>
          </cell>
          <cell r="AY461">
            <v>2006</v>
          </cell>
          <cell r="AZ461">
            <v>2020</v>
          </cell>
          <cell r="BA461" t="str">
            <v>Yes</v>
          </cell>
          <cell r="BB461" t="str">
            <v>No</v>
          </cell>
          <cell r="BH461" t="str">
            <v>2018-06-30</v>
          </cell>
          <cell r="BI461">
            <v>15916236</v>
          </cell>
          <cell r="BJ461">
            <v>1524308.1399435119</v>
          </cell>
          <cell r="BK461">
            <v>13098702</v>
          </cell>
          <cell r="BL461">
            <v>1254471.0999066839</v>
          </cell>
          <cell r="BM461">
            <v>0</v>
          </cell>
          <cell r="BN461" t="str">
            <v>No</v>
          </cell>
          <cell r="BO461" t="str">
            <v>External</v>
          </cell>
          <cell r="BP461">
            <v>10</v>
          </cell>
          <cell r="BQ461">
            <v>15</v>
          </cell>
          <cell r="BR461">
            <v>1200000000</v>
          </cell>
          <cell r="BS461">
            <v>116941397.76000001</v>
          </cell>
          <cell r="BT461">
            <v>1161600000</v>
          </cell>
          <cell r="BU461">
            <v>113199273.03168</v>
          </cell>
          <cell r="BV461" t="str">
            <v>No</v>
          </cell>
        </row>
        <row r="462">
          <cell r="A462">
            <v>548</v>
          </cell>
          <cell r="B462" t="str">
            <v>SVEAFASTIGHETER FUND III</v>
          </cell>
          <cell r="C462" t="str">
            <v>SVEAFASTIGHETER</v>
          </cell>
          <cell r="D462" t="str">
            <v>Norrlandsgatan 15</v>
          </cell>
          <cell r="E462">
            <v>11143</v>
          </cell>
          <cell r="F462" t="str">
            <v>Stockholm</v>
          </cell>
          <cell r="G462" t="str">
            <v>Sweden</v>
          </cell>
          <cell r="H462" t="str">
            <v>+46854507500</v>
          </cell>
          <cell r="I462" t="str">
            <v>+46854507510</v>
          </cell>
          <cell r="J462" t="str">
            <v>http://www.sveafastigheter.se</v>
          </cell>
          <cell r="K462" t="str">
            <v>David Brandemark</v>
          </cell>
          <cell r="L462" t="str">
            <v>david.brandemark@sveafastigheter.se</v>
          </cell>
          <cell r="N462" t="str">
            <v xml:space="preserve">Anna Åkerlund </v>
          </cell>
          <cell r="O462" t="str">
            <v>anna.akerlund@sveafastigheter.se</v>
          </cell>
          <cell r="P462" t="str">
            <v>+46854507512</v>
          </cell>
          <cell r="Q462" t="str">
            <v>Sweden</v>
          </cell>
          <cell r="R462" t="str">
            <v>EUR</v>
          </cell>
          <cell r="S462" t="str">
            <v>Local GAAP</v>
          </cell>
          <cell r="T462" t="str">
            <v>Quarterly</v>
          </cell>
          <cell r="U462" t="str">
            <v>Quarterly</v>
          </cell>
          <cell r="X462" t="str">
            <v>KPMG</v>
          </cell>
          <cell r="Y462" t="str">
            <v>AB</v>
          </cell>
          <cell r="Z462" t="str">
            <v>Yes</v>
          </cell>
          <cell r="AA462" t="str">
            <v>Yes</v>
          </cell>
          <cell r="AB462">
            <v>3</v>
          </cell>
          <cell r="AC462" t="str">
            <v>Non-Listed Fund</v>
          </cell>
          <cell r="AD462" t="str">
            <v>Opportunity</v>
          </cell>
          <cell r="AE462" t="str">
            <v>finite</v>
          </cell>
          <cell r="AF462" t="str">
            <v>Closed end</v>
          </cell>
          <cell r="AG462">
            <v>20</v>
          </cell>
          <cell r="AI462" t="str">
            <v>Gross</v>
          </cell>
          <cell r="AJ462" t="str">
            <v>None</v>
          </cell>
          <cell r="AL462">
            <v>60</v>
          </cell>
          <cell r="AM462" t="str">
            <v>&gt; 60%</v>
          </cell>
          <cell r="AN462" t="str">
            <v>Institutional</v>
          </cell>
          <cell r="AO462" t="str">
            <v>&gt; 2</v>
          </cell>
          <cell r="AP462" t="str">
            <v>≥ 50%</v>
          </cell>
          <cell r="AQ462" t="str">
            <v>Europe</v>
          </cell>
          <cell r="AR462" t="str">
            <v>multi country</v>
          </cell>
          <cell r="AS462" t="str">
            <v>Nordic</v>
          </cell>
          <cell r="AU462" t="str">
            <v>multi sector</v>
          </cell>
          <cell r="AW462">
            <v>400000000</v>
          </cell>
          <cell r="AX462">
            <v>1000000000</v>
          </cell>
          <cell r="AY462">
            <v>2010</v>
          </cell>
          <cell r="AZ462">
            <v>2017</v>
          </cell>
          <cell r="BA462" t="str">
            <v>Yes</v>
          </cell>
          <cell r="BB462" t="str">
            <v>Yes</v>
          </cell>
          <cell r="BC462" t="str">
            <v>1+1 years</v>
          </cell>
          <cell r="BH462" t="str">
            <v>2018-06-30</v>
          </cell>
          <cell r="BI462">
            <v>16961650</v>
          </cell>
          <cell r="BJ462">
            <v>16961650</v>
          </cell>
          <cell r="BK462">
            <v>16961650</v>
          </cell>
          <cell r="BL462">
            <v>16961650</v>
          </cell>
          <cell r="BM462">
            <v>0</v>
          </cell>
          <cell r="BN462" t="str">
            <v>No</v>
          </cell>
          <cell r="BO462" t="str">
            <v>External</v>
          </cell>
          <cell r="BQ462">
            <v>2</v>
          </cell>
          <cell r="BR462">
            <v>316860000</v>
          </cell>
          <cell r="BS462">
            <v>316860000</v>
          </cell>
          <cell r="BT462">
            <v>232823422</v>
          </cell>
          <cell r="BU462">
            <v>232823422</v>
          </cell>
          <cell r="BV462" t="str">
            <v>No</v>
          </cell>
        </row>
        <row r="463">
          <cell r="A463">
            <v>17866</v>
          </cell>
          <cell r="B463" t="str">
            <v xml:space="preserve">SVI-FONDS				</v>
          </cell>
          <cell r="C463" t="str">
            <v xml:space="preserve">HANSAINVEST HANSEATISCHE INVESTMENT-GMBH				</v>
          </cell>
          <cell r="D463" t="str">
            <v xml:space="preserve">Kapstadtring 8				</v>
          </cell>
          <cell r="E463" t="str">
            <v xml:space="preserve">22297				</v>
          </cell>
          <cell r="F463" t="str">
            <v xml:space="preserve">Hamburg				</v>
          </cell>
          <cell r="G463" t="str">
            <v>Germany</v>
          </cell>
          <cell r="Q463" t="str">
            <v>Germany</v>
          </cell>
          <cell r="R463" t="str">
            <v>EUR</v>
          </cell>
          <cell r="T463" t="str">
            <v>Quarterly</v>
          </cell>
          <cell r="U463" t="str">
            <v>Quarterly</v>
          </cell>
          <cell r="Y463" t="str">
            <v>Spezialfonds</v>
          </cell>
          <cell r="AC463" t="str">
            <v>Non-Listed Fund</v>
          </cell>
          <cell r="AD463" t="str">
            <v>Core</v>
          </cell>
          <cell r="AE463" t="str">
            <v>infinite</v>
          </cell>
          <cell r="AF463" t="str">
            <v>Open end</v>
          </cell>
          <cell r="AN463" t="str">
            <v>Institutional</v>
          </cell>
          <cell r="AO463" t="str">
            <v>&gt; 2</v>
          </cell>
          <cell r="AP463" t="str">
            <v>≥ 50%</v>
          </cell>
          <cell r="AQ463" t="str">
            <v>Global</v>
          </cell>
          <cell r="AR463" t="str">
            <v>multi country</v>
          </cell>
          <cell r="AU463" t="str">
            <v>multi sector</v>
          </cell>
          <cell r="AY463">
            <v>1998</v>
          </cell>
          <cell r="BH463" t="str">
            <v>2020-12-31</v>
          </cell>
          <cell r="BI463">
            <v>203240908</v>
          </cell>
          <cell r="BJ463">
            <v>203240908</v>
          </cell>
          <cell r="BK463">
            <v>182783849.97999999</v>
          </cell>
          <cell r="BL463">
            <v>182783849.97999999</v>
          </cell>
          <cell r="BM463">
            <v>10.1</v>
          </cell>
          <cell r="BN463" t="str">
            <v>No</v>
          </cell>
          <cell r="BS463">
            <v>0</v>
          </cell>
          <cell r="BV463" t="str">
            <v>No</v>
          </cell>
        </row>
        <row r="464">
          <cell r="A464">
            <v>17504</v>
          </cell>
          <cell r="B464" t="str">
            <v>TARGETSELECT HOTEL</v>
          </cell>
          <cell r="C464" t="str">
            <v>WESTINVEST GESELLSCHAFT FüR INVESTMENTFONDS MBH</v>
          </cell>
          <cell r="D464" t="str">
            <v>Hans-Böckler-Straße 33</v>
          </cell>
          <cell r="E464">
            <v>40476</v>
          </cell>
          <cell r="F464" t="str">
            <v>Düsseldorf</v>
          </cell>
          <cell r="G464" t="str">
            <v>Germany</v>
          </cell>
          <cell r="J464" t="str">
            <v>http://www.westinvest.de/</v>
          </cell>
          <cell r="N464" t="str">
            <v>Michaela Graefe</v>
          </cell>
          <cell r="O464" t="str">
            <v>michaela.graefe@deka.de</v>
          </cell>
          <cell r="P464" t="str">
            <v>+496971473504</v>
          </cell>
          <cell r="Q464" t="str">
            <v>Germany</v>
          </cell>
          <cell r="R464" t="str">
            <v>EUR</v>
          </cell>
          <cell r="S464" t="str">
            <v>Local GAAP</v>
          </cell>
          <cell r="T464" t="str">
            <v>Annually</v>
          </cell>
          <cell r="U464" t="str">
            <v>Quarterly</v>
          </cell>
          <cell r="Y464" t="str">
            <v>Spezialfonds</v>
          </cell>
          <cell r="AC464" t="str">
            <v>Non-Listed Fund</v>
          </cell>
          <cell r="AD464" t="str">
            <v>Core</v>
          </cell>
          <cell r="AE464" t="str">
            <v>infinite</v>
          </cell>
          <cell r="AF464" t="str">
            <v>Open end</v>
          </cell>
          <cell r="AK464">
            <v>4.5</v>
          </cell>
          <cell r="AM464" t="str">
            <v>&gt; 40% - ≤ 60%</v>
          </cell>
          <cell r="AN464" t="str">
            <v>Institutional</v>
          </cell>
          <cell r="AO464" t="str">
            <v>&gt; 2</v>
          </cell>
          <cell r="AP464" t="str">
            <v>≥ 50%</v>
          </cell>
          <cell r="AQ464" t="str">
            <v>Europe</v>
          </cell>
          <cell r="AR464" t="str">
            <v>multi country</v>
          </cell>
          <cell r="AS464" t="str">
            <v>Europe</v>
          </cell>
          <cell r="AU464" t="str">
            <v>single sector</v>
          </cell>
          <cell r="AV464" t="str">
            <v>Hotel</v>
          </cell>
          <cell r="AW464">
            <v>500000000</v>
          </cell>
          <cell r="AX464">
            <v>1000000000</v>
          </cell>
          <cell r="AY464">
            <v>2009</v>
          </cell>
          <cell r="BH464" t="str">
            <v>2020-12-31</v>
          </cell>
          <cell r="BI464">
            <v>849994404</v>
          </cell>
          <cell r="BJ464">
            <v>849994404</v>
          </cell>
          <cell r="BK464">
            <v>621710549</v>
          </cell>
          <cell r="BL464">
            <v>621710549</v>
          </cell>
          <cell r="BM464">
            <v>38.5</v>
          </cell>
          <cell r="BN464" t="str">
            <v>No</v>
          </cell>
          <cell r="BO464" t="str">
            <v>External</v>
          </cell>
          <cell r="BP464">
            <v>78</v>
          </cell>
          <cell r="BQ464">
            <v>18</v>
          </cell>
          <cell r="BR464">
            <v>618847522</v>
          </cell>
          <cell r="BS464">
            <v>618847522</v>
          </cell>
          <cell r="BT464">
            <v>618847522</v>
          </cell>
          <cell r="BU464">
            <v>618847522</v>
          </cell>
          <cell r="BV464" t="str">
            <v>No</v>
          </cell>
          <cell r="BW464" t="str">
            <v>United Kingdom</v>
          </cell>
          <cell r="BX464" t="str">
            <v>Hotel</v>
          </cell>
          <cell r="BY464">
            <v>14.8</v>
          </cell>
          <cell r="BZ464" t="str">
            <v>Germany</v>
          </cell>
          <cell r="CA464" t="str">
            <v>Hotel</v>
          </cell>
          <cell r="CB464">
            <v>37.4</v>
          </cell>
          <cell r="CC464" t="str">
            <v>Austria</v>
          </cell>
          <cell r="CD464" t="str">
            <v>Hotel</v>
          </cell>
          <cell r="CE464">
            <v>9.3000000000000007</v>
          </cell>
          <cell r="CF464" t="str">
            <v>Netherlands</v>
          </cell>
          <cell r="CG464" t="str">
            <v>Hotel</v>
          </cell>
          <cell r="CH464">
            <v>22.5</v>
          </cell>
          <cell r="CI464" t="str">
            <v>Italy</v>
          </cell>
          <cell r="CJ464" t="str">
            <v>Hotel</v>
          </cell>
          <cell r="CK464">
            <v>13.5</v>
          </cell>
          <cell r="CL464" t="str">
            <v>Ireland</v>
          </cell>
          <cell r="CM464" t="str">
            <v>Hotel</v>
          </cell>
          <cell r="CN464">
            <v>2.5</v>
          </cell>
        </row>
        <row r="465">
          <cell r="A465">
            <v>17505</v>
          </cell>
          <cell r="B465" t="str">
            <v>TARGETSELECT LOGISTICS</v>
          </cell>
          <cell r="C465" t="str">
            <v>WESTINVEST GESELLSCHAFT FüR INVESTMENTFONDS MBH</v>
          </cell>
          <cell r="D465" t="str">
            <v>Hans-Böckler-Straße 33</v>
          </cell>
          <cell r="E465">
            <v>40476</v>
          </cell>
          <cell r="F465" t="str">
            <v>Düsseldorf</v>
          </cell>
          <cell r="G465" t="str">
            <v>Germany</v>
          </cell>
          <cell r="N465" t="str">
            <v>Michaela Graefe</v>
          </cell>
          <cell r="O465" t="str">
            <v>michaela.graefe@deka.de</v>
          </cell>
          <cell r="P465" t="str">
            <v>+496971473504</v>
          </cell>
          <cell r="Q465" t="str">
            <v>Germany</v>
          </cell>
          <cell r="R465" t="str">
            <v>EUR</v>
          </cell>
          <cell r="S465" t="str">
            <v>Local GAAP</v>
          </cell>
          <cell r="T465" t="str">
            <v>Annually</v>
          </cell>
          <cell r="U465" t="str">
            <v>Quarterly</v>
          </cell>
          <cell r="Y465" t="str">
            <v>Spezialfonds</v>
          </cell>
          <cell r="AC465" t="str">
            <v>Non-Listed Fund</v>
          </cell>
          <cell r="AD465" t="str">
            <v>Core</v>
          </cell>
          <cell r="AE465" t="str">
            <v>infinite</v>
          </cell>
          <cell r="AF465" t="str">
            <v>Open end</v>
          </cell>
          <cell r="AK465">
            <v>4.5</v>
          </cell>
          <cell r="AM465" t="str">
            <v>&gt; 40% - ≤ 60%</v>
          </cell>
          <cell r="AN465" t="str">
            <v>Institutional</v>
          </cell>
          <cell r="AO465" t="str">
            <v>&gt; 2</v>
          </cell>
          <cell r="AP465" t="str">
            <v>≥ 50%</v>
          </cell>
          <cell r="AQ465" t="str">
            <v>Europe</v>
          </cell>
          <cell r="AR465" t="str">
            <v>multi country</v>
          </cell>
          <cell r="AS465" t="str">
            <v>Europe</v>
          </cell>
          <cell r="AU465" t="str">
            <v>single sector</v>
          </cell>
          <cell r="AV465" t="str">
            <v>Industrial / Logistics</v>
          </cell>
          <cell r="AW465">
            <v>500000000</v>
          </cell>
          <cell r="AX465">
            <v>1000000000</v>
          </cell>
          <cell r="AY465">
            <v>2009</v>
          </cell>
          <cell r="BH465" t="str">
            <v>2020-12-31</v>
          </cell>
          <cell r="BI465">
            <v>959064674</v>
          </cell>
          <cell r="BJ465">
            <v>959064674</v>
          </cell>
          <cell r="BK465">
            <v>727067330</v>
          </cell>
          <cell r="BL465">
            <v>727067330</v>
          </cell>
          <cell r="BM465">
            <v>32.1</v>
          </cell>
          <cell r="BN465" t="str">
            <v>No</v>
          </cell>
          <cell r="BO465" t="str">
            <v>External</v>
          </cell>
          <cell r="BP465">
            <v>98</v>
          </cell>
          <cell r="BQ465">
            <v>24</v>
          </cell>
          <cell r="BR465">
            <v>727067320</v>
          </cell>
          <cell r="BS465">
            <v>727067320</v>
          </cell>
          <cell r="BT465">
            <v>727067320</v>
          </cell>
          <cell r="BU465">
            <v>727067320</v>
          </cell>
          <cell r="BV465" t="str">
            <v>No</v>
          </cell>
          <cell r="BW465" t="str">
            <v>Germany</v>
          </cell>
          <cell r="BX465" t="str">
            <v>Other</v>
          </cell>
          <cell r="BY465">
            <v>0.5</v>
          </cell>
          <cell r="BZ465" t="str">
            <v>Austria</v>
          </cell>
          <cell r="CA465" t="str">
            <v>Industrial / Logistics</v>
          </cell>
          <cell r="CB465">
            <v>9.6999999999999993</v>
          </cell>
          <cell r="CC465" t="str">
            <v>Germany</v>
          </cell>
          <cell r="CD465" t="str">
            <v>Industrial / Logistics</v>
          </cell>
          <cell r="CE465">
            <v>40.4</v>
          </cell>
          <cell r="CF465" t="str">
            <v>Netherlands</v>
          </cell>
          <cell r="CG465" t="str">
            <v>Industrial / Logistics</v>
          </cell>
          <cell r="CH465">
            <v>31.1</v>
          </cell>
          <cell r="CI465" t="str">
            <v>France</v>
          </cell>
          <cell r="CJ465" t="str">
            <v>Industrial / Logistics</v>
          </cell>
          <cell r="CK465">
            <v>7.4</v>
          </cell>
          <cell r="CL465" t="str">
            <v>Czech Republic</v>
          </cell>
          <cell r="CM465" t="str">
            <v>Industrial / Logistics</v>
          </cell>
          <cell r="CN465">
            <v>10.9</v>
          </cell>
        </row>
        <row r="466">
          <cell r="A466">
            <v>17507</v>
          </cell>
          <cell r="B466" t="str">
            <v>TARGETSELECT SHOPPING</v>
          </cell>
          <cell r="C466" t="str">
            <v>WESTINVEST GESELLSCHAFT FüR INVESTMENTFONDS MBH</v>
          </cell>
          <cell r="D466" t="str">
            <v>Hans-Böckler-Straße 33</v>
          </cell>
          <cell r="E466">
            <v>40476</v>
          </cell>
          <cell r="F466" t="str">
            <v>Düsseldorf</v>
          </cell>
          <cell r="G466" t="str">
            <v>Germany</v>
          </cell>
          <cell r="N466" t="str">
            <v>Michaela Graefe</v>
          </cell>
          <cell r="O466" t="str">
            <v>michaela.graefe@deka.de</v>
          </cell>
          <cell r="P466" t="str">
            <v>+496971473504</v>
          </cell>
          <cell r="Q466" t="str">
            <v>Germany</v>
          </cell>
          <cell r="R466" t="str">
            <v>EUR</v>
          </cell>
          <cell r="S466" t="str">
            <v>Local GAAP</v>
          </cell>
          <cell r="T466" t="str">
            <v>Annually</v>
          </cell>
          <cell r="U466" t="str">
            <v>Quarterly</v>
          </cell>
          <cell r="Y466" t="str">
            <v>Spezialfonds</v>
          </cell>
          <cell r="AC466" t="str">
            <v>Non-Listed Fund</v>
          </cell>
          <cell r="AD466" t="str">
            <v>Core</v>
          </cell>
          <cell r="AE466" t="str">
            <v>infinite</v>
          </cell>
          <cell r="AF466" t="str">
            <v>Open end</v>
          </cell>
          <cell r="AK466">
            <v>4.5</v>
          </cell>
          <cell r="AM466" t="str">
            <v>&gt; 40% - ≤ 60%</v>
          </cell>
          <cell r="AN466" t="str">
            <v>Institutional</v>
          </cell>
          <cell r="AO466" t="str">
            <v>&gt; 2</v>
          </cell>
          <cell r="AP466" t="str">
            <v>≥ 50%</v>
          </cell>
          <cell r="AQ466" t="str">
            <v>Europe</v>
          </cell>
          <cell r="AR466" t="str">
            <v>multi country</v>
          </cell>
          <cell r="AS466" t="str">
            <v>Europe</v>
          </cell>
          <cell r="AU466" t="str">
            <v>single sector</v>
          </cell>
          <cell r="AV466" t="str">
            <v>Retail</v>
          </cell>
          <cell r="AW466">
            <v>500000000</v>
          </cell>
          <cell r="AX466">
            <v>1000000000</v>
          </cell>
          <cell r="AY466">
            <v>2009</v>
          </cell>
          <cell r="BH466" t="str">
            <v>2020-12-31</v>
          </cell>
          <cell r="BI466">
            <v>974305669</v>
          </cell>
          <cell r="BJ466">
            <v>974305669</v>
          </cell>
          <cell r="BK466">
            <v>677474648</v>
          </cell>
          <cell r="BL466">
            <v>677474648</v>
          </cell>
          <cell r="BM466">
            <v>43.6</v>
          </cell>
          <cell r="BN466" t="str">
            <v>No</v>
          </cell>
          <cell r="BO466" t="str">
            <v>External</v>
          </cell>
          <cell r="BP466">
            <v>87</v>
          </cell>
          <cell r="BQ466">
            <v>17</v>
          </cell>
          <cell r="BR466">
            <v>718568343</v>
          </cell>
          <cell r="BS466">
            <v>718568343</v>
          </cell>
          <cell r="BT466">
            <v>718568343</v>
          </cell>
          <cell r="BU466">
            <v>718568343</v>
          </cell>
          <cell r="BV466" t="str">
            <v>No</v>
          </cell>
          <cell r="BW466" t="str">
            <v>Belgium</v>
          </cell>
          <cell r="BX466" t="str">
            <v>Retail</v>
          </cell>
          <cell r="BY466">
            <v>3.9</v>
          </cell>
          <cell r="BZ466" t="str">
            <v>Norway</v>
          </cell>
          <cell r="CA466" t="str">
            <v>Retail</v>
          </cell>
          <cell r="CB466">
            <v>5</v>
          </cell>
          <cell r="CC466" t="str">
            <v>Germany</v>
          </cell>
          <cell r="CD466" t="str">
            <v>Retail</v>
          </cell>
          <cell r="CE466">
            <v>61.3</v>
          </cell>
          <cell r="CF466" t="str">
            <v>Netherlands</v>
          </cell>
          <cell r="CG466" t="str">
            <v>Retail</v>
          </cell>
          <cell r="CH466">
            <v>3.6</v>
          </cell>
          <cell r="CI466" t="str">
            <v>France</v>
          </cell>
          <cell r="CJ466" t="str">
            <v>Retail</v>
          </cell>
          <cell r="CK466">
            <v>7.6</v>
          </cell>
          <cell r="CL466" t="str">
            <v>Lithuania</v>
          </cell>
          <cell r="CM466" t="str">
            <v>Retail</v>
          </cell>
          <cell r="CN466">
            <v>3.1</v>
          </cell>
          <cell r="CO466" t="str">
            <v>Sweden</v>
          </cell>
          <cell r="CP466" t="str">
            <v>Retail</v>
          </cell>
          <cell r="CQ466">
            <v>15.5</v>
          </cell>
        </row>
        <row r="467">
          <cell r="A467">
            <v>17850</v>
          </cell>
          <cell r="B467" t="str">
            <v>TECHNICAL PROPERTY FUND 2</v>
          </cell>
          <cell r="G467" t="str">
            <v>France</v>
          </cell>
          <cell r="Q467" t="str">
            <v>France</v>
          </cell>
          <cell r="R467" t="str">
            <v>EUR</v>
          </cell>
          <cell r="T467" t="str">
            <v>Quarterly</v>
          </cell>
          <cell r="U467" t="str">
            <v>Quarterly</v>
          </cell>
          <cell r="V467" t="str">
            <v>Other - mark to market</v>
          </cell>
          <cell r="W467" t="str">
            <v>French GAAP</v>
          </cell>
          <cell r="Y467" t="str">
            <v>OPCI</v>
          </cell>
          <cell r="AC467" t="str">
            <v>Non-Listed Fund</v>
          </cell>
          <cell r="AD467" t="str">
            <v>Core</v>
          </cell>
          <cell r="AE467" t="str">
            <v>finite</v>
          </cell>
          <cell r="AF467" t="str">
            <v>Closed end</v>
          </cell>
          <cell r="AN467" t="str">
            <v>Institutional</v>
          </cell>
          <cell r="AO467" t="str">
            <v>&gt; 2</v>
          </cell>
          <cell r="AP467" t="str">
            <v>≥ 50%</v>
          </cell>
          <cell r="AQ467" t="str">
            <v>Europe</v>
          </cell>
          <cell r="AR467" t="str">
            <v>single country</v>
          </cell>
          <cell r="AT467" t="str">
            <v>France</v>
          </cell>
          <cell r="AU467" t="str">
            <v>single sector</v>
          </cell>
          <cell r="AV467" t="str">
            <v>Industrial / Logistics</v>
          </cell>
          <cell r="AY467">
            <v>2008</v>
          </cell>
          <cell r="BH467" t="str">
            <v>2020-12-31</v>
          </cell>
          <cell r="BI467">
            <v>330361736</v>
          </cell>
          <cell r="BJ467">
            <v>330361736</v>
          </cell>
          <cell r="BK467">
            <v>247164857</v>
          </cell>
          <cell r="BL467">
            <v>247164857</v>
          </cell>
          <cell r="BM467">
            <v>25</v>
          </cell>
          <cell r="BN467" t="str">
            <v>Yes</v>
          </cell>
          <cell r="BO467" t="str">
            <v>External</v>
          </cell>
          <cell r="BP467">
            <v>15</v>
          </cell>
          <cell r="BQ467">
            <v>11</v>
          </cell>
          <cell r="BR467">
            <v>248907631</v>
          </cell>
          <cell r="BS467">
            <v>248907631</v>
          </cell>
          <cell r="BT467">
            <v>248907631</v>
          </cell>
          <cell r="BU467">
            <v>248907631</v>
          </cell>
          <cell r="BV467" t="str">
            <v>No</v>
          </cell>
          <cell r="BW467" t="str">
            <v>France</v>
          </cell>
          <cell r="BX467" t="str">
            <v>Industrial / Logistics</v>
          </cell>
          <cell r="BY467">
            <v>98.4</v>
          </cell>
        </row>
        <row r="468">
          <cell r="A468">
            <v>443</v>
          </cell>
          <cell r="B468" t="str">
            <v>THE CHARITIES PROPERTY FUND</v>
          </cell>
          <cell r="C468" t="str">
            <v>SAVILLS INVESTMENT MANAGEMENT (UK) LIMITED</v>
          </cell>
          <cell r="D468" t="str">
            <v>33 Margaret Street</v>
          </cell>
          <cell r="E468" t="str">
            <v>W1G 0JD</v>
          </cell>
          <cell r="F468" t="str">
            <v>London</v>
          </cell>
          <cell r="G468" t="str">
            <v>United Kingdom</v>
          </cell>
          <cell r="H468">
            <v>2031075439</v>
          </cell>
          <cell r="I468">
            <v>8454091281</v>
          </cell>
          <cell r="J468" t="str">
            <v>http://www.savillsim.com</v>
          </cell>
          <cell r="K468" t="str">
            <v>Harry de Ferry Foster</v>
          </cell>
          <cell r="L468" t="str">
            <v>harry.deferryfoster@savillsim.com</v>
          </cell>
          <cell r="M468" t="str">
            <v>+44 (0) 20 7409 8715</v>
          </cell>
          <cell r="N468" t="str">
            <v>Amy Joslin</v>
          </cell>
          <cell r="O468" t="str">
            <v>amy.joslin@savillsim.com</v>
          </cell>
          <cell r="P468">
            <v>2031075439</v>
          </cell>
          <cell r="Q468" t="str">
            <v>United Kingdom</v>
          </cell>
          <cell r="R468" t="str">
            <v>GBP</v>
          </cell>
          <cell r="S468" t="str">
            <v>Local GAAP</v>
          </cell>
          <cell r="T468" t="str">
            <v>Twice per year</v>
          </cell>
          <cell r="U468" t="str">
            <v>Quarterly</v>
          </cell>
          <cell r="V468" t="str">
            <v>RICS</v>
          </cell>
          <cell r="X468" t="str">
            <v>KPMG</v>
          </cell>
          <cell r="Y468" t="str">
            <v>Common Investment Fund</v>
          </cell>
          <cell r="Z468" t="str">
            <v>No</v>
          </cell>
          <cell r="AA468" t="str">
            <v>Yes</v>
          </cell>
          <cell r="AB468">
            <v>0</v>
          </cell>
          <cell r="AC468" t="str">
            <v>Non-Listed Fund</v>
          </cell>
          <cell r="AD468" t="str">
            <v>Core</v>
          </cell>
          <cell r="AE468" t="str">
            <v>infinite</v>
          </cell>
          <cell r="AF468" t="str">
            <v>Open end</v>
          </cell>
          <cell r="AG468">
            <v>8</v>
          </cell>
          <cell r="AH468">
            <v>8</v>
          </cell>
          <cell r="AJ468" t="str">
            <v>Absolute return of 8% pa</v>
          </cell>
          <cell r="AK468">
            <v>6</v>
          </cell>
          <cell r="AN468" t="str">
            <v>Institutional</v>
          </cell>
          <cell r="AO468" t="str">
            <v>&gt; 2</v>
          </cell>
          <cell r="AP468" t="str">
            <v>≥ 50%</v>
          </cell>
          <cell r="AQ468" t="str">
            <v>Europe</v>
          </cell>
          <cell r="AR468" t="str">
            <v>single country</v>
          </cell>
          <cell r="AT468" t="str">
            <v>United Kingdom</v>
          </cell>
          <cell r="AU468" t="str">
            <v>multi sector</v>
          </cell>
          <cell r="AY468">
            <v>2000</v>
          </cell>
          <cell r="BD468" t="str">
            <v>No</v>
          </cell>
          <cell r="BH468" t="str">
            <v>2020-12-31</v>
          </cell>
          <cell r="BI468">
            <v>1187779915</v>
          </cell>
          <cell r="BJ468">
            <v>1313149010.0874269</v>
          </cell>
          <cell r="BK468">
            <v>1186654124</v>
          </cell>
          <cell r="BL468">
            <v>1311904392.8662181</v>
          </cell>
          <cell r="BM468">
            <v>0</v>
          </cell>
          <cell r="BN468" t="str">
            <v>Yes</v>
          </cell>
          <cell r="BO468" t="str">
            <v>External</v>
          </cell>
          <cell r="BP468">
            <v>1693</v>
          </cell>
          <cell r="BQ468">
            <v>119</v>
          </cell>
          <cell r="BR468">
            <v>959309740</v>
          </cell>
          <cell r="BS468">
            <v>1053278462.331027</v>
          </cell>
          <cell r="BT468">
            <v>1017309740</v>
          </cell>
          <cell r="BU468">
            <v>1116959824.3228271</v>
          </cell>
          <cell r="BV468" t="str">
            <v>Yes</v>
          </cell>
          <cell r="BW468" t="str">
            <v>United Kingdom</v>
          </cell>
          <cell r="BX468" t="str">
            <v>Office</v>
          </cell>
          <cell r="BY468">
            <v>20.3</v>
          </cell>
          <cell r="BZ468" t="str">
            <v>United Kingdom</v>
          </cell>
          <cell r="CA468" t="str">
            <v>Retail</v>
          </cell>
          <cell r="CB468">
            <v>20.2</v>
          </cell>
          <cell r="CC468" t="str">
            <v>United Kingdom</v>
          </cell>
          <cell r="CD468" t="str">
            <v>Industrial / Logistics</v>
          </cell>
          <cell r="CE468">
            <v>29.1</v>
          </cell>
          <cell r="CF468" t="str">
            <v>United Kingdom</v>
          </cell>
          <cell r="CG468" t="str">
            <v>Other</v>
          </cell>
          <cell r="CH468">
            <v>23.7</v>
          </cell>
        </row>
        <row r="469">
          <cell r="A469">
            <v>448</v>
          </cell>
          <cell r="B469" t="str">
            <v>THE LEISURE FUND LP</v>
          </cell>
          <cell r="C469" t="str">
            <v>LEGAL &amp; GENERAL PROPERTY LTD</v>
          </cell>
          <cell r="D469" t="str">
            <v>1 Coleman Street</v>
          </cell>
          <cell r="E469" t="str">
            <v>EC2R 5AA</v>
          </cell>
          <cell r="F469" t="str">
            <v>London</v>
          </cell>
          <cell r="G469" t="str">
            <v>United Kingdom</v>
          </cell>
          <cell r="H469" t="str">
            <v>+44 (0) 20 3124 2770</v>
          </cell>
          <cell r="I469" t="str">
            <v>+44 (0) 20 3124 2542</v>
          </cell>
          <cell r="J469" t="str">
            <v>http://www.lgim.co.uk</v>
          </cell>
          <cell r="K469" t="str">
            <v>Andrew Ferguson</v>
          </cell>
          <cell r="N469" t="str">
            <v>Callum Fraser</v>
          </cell>
          <cell r="O469" t="str">
            <v>callum.fraser@lgim.co.uk</v>
          </cell>
          <cell r="P469" t="str">
            <v>+44 (0) 20 3124 2542</v>
          </cell>
          <cell r="Q469" t="str">
            <v>United Kingdom</v>
          </cell>
          <cell r="R469" t="str">
            <v>GBP</v>
          </cell>
          <cell r="S469" t="str">
            <v>Local GAAP</v>
          </cell>
          <cell r="T469" t="str">
            <v>Quarterly</v>
          </cell>
          <cell r="U469" t="str">
            <v>Quarterly</v>
          </cell>
          <cell r="V469" t="str">
            <v>RICS</v>
          </cell>
          <cell r="W469" t="str">
            <v>IFRS NAV</v>
          </cell>
          <cell r="X469" t="str">
            <v>PriceWaterhouseCoopers</v>
          </cell>
          <cell r="Y469" t="str">
            <v>Limited Partnership</v>
          </cell>
          <cell r="Z469" t="str">
            <v>No</v>
          </cell>
          <cell r="AA469" t="str">
            <v>No</v>
          </cell>
          <cell r="AB469">
            <v>0</v>
          </cell>
          <cell r="AC469" t="str">
            <v>Non-Listed Fund</v>
          </cell>
          <cell r="AD469" t="str">
            <v>Value-added</v>
          </cell>
          <cell r="AE469" t="str">
            <v>finite</v>
          </cell>
          <cell r="AF469" t="str">
            <v>Closed end</v>
          </cell>
          <cell r="AJ469" t="str">
            <v>IPD UK Leisure Annual Index</v>
          </cell>
          <cell r="AK469">
            <v>7</v>
          </cell>
          <cell r="AL469">
            <v>20</v>
          </cell>
          <cell r="AM469" t="str">
            <v>&gt; 40% - ≤ 60%</v>
          </cell>
          <cell r="AN469" t="str">
            <v>Institutional</v>
          </cell>
          <cell r="AO469" t="str">
            <v>&gt; 2</v>
          </cell>
          <cell r="AP469" t="str">
            <v>≥ 50%</v>
          </cell>
          <cell r="AQ469" t="str">
            <v>Europe</v>
          </cell>
          <cell r="AR469" t="str">
            <v>single country</v>
          </cell>
          <cell r="AT469" t="str">
            <v>United Kingdom</v>
          </cell>
          <cell r="AU469" t="str">
            <v>single sector</v>
          </cell>
          <cell r="AV469" t="str">
            <v>Leisure</v>
          </cell>
          <cell r="AY469">
            <v>2005</v>
          </cell>
          <cell r="AZ469">
            <v>2014</v>
          </cell>
          <cell r="BA469" t="str">
            <v>Yes</v>
          </cell>
          <cell r="BB469" t="str">
            <v>Yes</v>
          </cell>
          <cell r="BH469" t="str">
            <v>2020-12-31</v>
          </cell>
          <cell r="BI469">
            <v>474649295.74000001</v>
          </cell>
          <cell r="BJ469">
            <v>524748099.34774429</v>
          </cell>
          <cell r="BK469">
            <v>296035987</v>
          </cell>
          <cell r="BL469">
            <v>327282317.51528168</v>
          </cell>
          <cell r="BM469">
            <v>36.909999999999997</v>
          </cell>
          <cell r="BN469" t="str">
            <v>No</v>
          </cell>
          <cell r="BO469" t="str">
            <v>External</v>
          </cell>
          <cell r="BP469">
            <v>35</v>
          </cell>
          <cell r="BQ469">
            <v>18</v>
          </cell>
          <cell r="BR469">
            <v>0</v>
          </cell>
          <cell r="BS469">
            <v>0</v>
          </cell>
          <cell r="BT469">
            <v>0</v>
          </cell>
          <cell r="BV469" t="str">
            <v>No</v>
          </cell>
          <cell r="BW469" t="str">
            <v>United Kingdom</v>
          </cell>
          <cell r="BX469" t="str">
            <v>Leisure</v>
          </cell>
          <cell r="BY469">
            <v>99.2</v>
          </cell>
        </row>
        <row r="470">
          <cell r="A470">
            <v>450</v>
          </cell>
          <cell r="B470" t="str">
            <v>THE LENDLEASE RETAIL LP</v>
          </cell>
          <cell r="C470" t="str">
            <v>LEND LEASE REAL ESTATE INVESTMENTS</v>
          </cell>
          <cell r="D470" t="str">
            <v>20 Triton Street, Regent's Place</v>
          </cell>
          <cell r="E470" t="str">
            <v>NW1 3BF</v>
          </cell>
          <cell r="F470" t="str">
            <v>London</v>
          </cell>
          <cell r="G470" t="str">
            <v>United Kingdom</v>
          </cell>
          <cell r="H470" t="str">
            <v>+44 (0) 20 3420900</v>
          </cell>
          <cell r="J470" t="str">
            <v>http://www.lendlease.com</v>
          </cell>
          <cell r="K470" t="str">
            <v>Jenny Harbord</v>
          </cell>
          <cell r="L470" t="str">
            <v>jenny.harbord@lendlease.com</v>
          </cell>
          <cell r="M470" t="str">
            <v>07830 164437</v>
          </cell>
          <cell r="N470" t="str">
            <v>Piers Cartwright-Taylor</v>
          </cell>
          <cell r="O470" t="str">
            <v>piers.cartwright-taylor@lendlease.com</v>
          </cell>
          <cell r="P470">
            <v>7775663466</v>
          </cell>
          <cell r="Q470" t="str">
            <v>United Kingdom</v>
          </cell>
          <cell r="R470" t="str">
            <v>GBP</v>
          </cell>
          <cell r="S470" t="str">
            <v>Local GAAP</v>
          </cell>
          <cell r="T470" t="str">
            <v>Quarterly</v>
          </cell>
          <cell r="U470" t="str">
            <v>Monthly</v>
          </cell>
          <cell r="V470" t="str">
            <v>RICS</v>
          </cell>
          <cell r="W470" t="str">
            <v>INREV NAV</v>
          </cell>
          <cell r="X470" t="str">
            <v>KPMG</v>
          </cell>
          <cell r="Y470" t="str">
            <v>Limited Partnership</v>
          </cell>
          <cell r="Z470" t="str">
            <v>Yes</v>
          </cell>
          <cell r="AA470" t="str">
            <v>Yes</v>
          </cell>
          <cell r="AB470">
            <v>0</v>
          </cell>
          <cell r="AC470" t="str">
            <v>Non-Listed Fund</v>
          </cell>
          <cell r="AD470" t="str">
            <v>Core</v>
          </cell>
          <cell r="AE470" t="str">
            <v>finite</v>
          </cell>
          <cell r="AF470" t="str">
            <v>Closed end</v>
          </cell>
          <cell r="AJ470" t="str">
            <v>IPD UK All Shopping Centre Annual Index</v>
          </cell>
          <cell r="AL470">
            <v>0</v>
          </cell>
          <cell r="AM470" t="str">
            <v>≤ 40%</v>
          </cell>
          <cell r="AN470" t="str">
            <v>Institutional</v>
          </cell>
          <cell r="AO470" t="str">
            <v>&gt; 2</v>
          </cell>
          <cell r="AP470" t="str">
            <v>≥ 50%</v>
          </cell>
          <cell r="AQ470" t="str">
            <v>Europe</v>
          </cell>
          <cell r="AR470" t="str">
            <v>single country</v>
          </cell>
          <cell r="AT470" t="str">
            <v>United Kingdom</v>
          </cell>
          <cell r="AU470" t="str">
            <v>single sector</v>
          </cell>
          <cell r="AV470" t="str">
            <v>Retail</v>
          </cell>
          <cell r="AW470">
            <v>690450000</v>
          </cell>
          <cell r="AX470">
            <v>922640000</v>
          </cell>
          <cell r="AY470">
            <v>1999</v>
          </cell>
          <cell r="AZ470">
            <v>2017</v>
          </cell>
          <cell r="BA470" t="str">
            <v>Yes</v>
          </cell>
          <cell r="BB470" t="str">
            <v>No</v>
          </cell>
          <cell r="BH470" t="str">
            <v>2019-09-30</v>
          </cell>
          <cell r="BI470">
            <v>631550000</v>
          </cell>
          <cell r="BJ470">
            <v>709719351.97907996</v>
          </cell>
          <cell r="BK470">
            <v>630720259</v>
          </cell>
          <cell r="BL470">
            <v>708786910.77120972</v>
          </cell>
          <cell r="BM470">
            <v>0</v>
          </cell>
          <cell r="BN470" t="str">
            <v>No</v>
          </cell>
          <cell r="BO470" t="str">
            <v>External</v>
          </cell>
          <cell r="BP470">
            <v>61</v>
          </cell>
          <cell r="BQ470">
            <v>2</v>
          </cell>
          <cell r="BR470">
            <v>0</v>
          </cell>
          <cell r="BS470">
            <v>0</v>
          </cell>
          <cell r="BV470" t="str">
            <v>No</v>
          </cell>
          <cell r="BW470" t="str">
            <v>United Kingdom</v>
          </cell>
          <cell r="BX470" t="str">
            <v>Retail</v>
          </cell>
          <cell r="BY470">
            <v>98.7</v>
          </cell>
        </row>
        <row r="471">
          <cell r="A471">
            <v>455</v>
          </cell>
          <cell r="B471" t="str">
            <v>THE PROPERTY INCOME TRUST FOR CHARITIES</v>
          </cell>
          <cell r="C471" t="str">
            <v>MAYFAIR CAPITAL</v>
          </cell>
          <cell r="D471" t="str">
            <v>2 Cavendish Square</v>
          </cell>
          <cell r="E471" t="str">
            <v>W1G 0PU</v>
          </cell>
          <cell r="F471" t="str">
            <v>London</v>
          </cell>
          <cell r="G471" t="str">
            <v>United Kingdom</v>
          </cell>
          <cell r="H471" t="str">
            <v>+44 (0) 20 7495 1929</v>
          </cell>
          <cell r="I471" t="str">
            <v>+44 (0) 20 7317 3680</v>
          </cell>
          <cell r="J471" t="str">
            <v>http://www.mayfaircapital.co.uk</v>
          </cell>
          <cell r="K471" t="str">
            <v>James Lloyd</v>
          </cell>
          <cell r="L471" t="str">
            <v>jlloyd@mayfaircapital.co.uk</v>
          </cell>
          <cell r="M471" t="str">
            <v>+44 (0) 20 7371 3684</v>
          </cell>
          <cell r="N471" t="str">
            <v>James Thornton</v>
          </cell>
          <cell r="O471" t="str">
            <v>jthornton@mayfair.co.uk</v>
          </cell>
          <cell r="P471" t="str">
            <v>+44 (0) 20 7495 1929</v>
          </cell>
          <cell r="Q471" t="str">
            <v>United Kingdom</v>
          </cell>
          <cell r="R471" t="str">
            <v>GBP</v>
          </cell>
          <cell r="S471" t="str">
            <v>Local GAAP</v>
          </cell>
          <cell r="T471" t="str">
            <v>Quarterly</v>
          </cell>
          <cell r="U471" t="str">
            <v>Monthly</v>
          </cell>
          <cell r="V471" t="str">
            <v>RICS</v>
          </cell>
          <cell r="W471" t="str">
            <v>GAAP</v>
          </cell>
          <cell r="X471" t="str">
            <v>KPMG</v>
          </cell>
          <cell r="Y471" t="str">
            <v>Managed Fund</v>
          </cell>
          <cell r="Z471" t="str">
            <v>No</v>
          </cell>
          <cell r="AA471" t="str">
            <v>Yes</v>
          </cell>
          <cell r="AB471">
            <v>5</v>
          </cell>
          <cell r="AC471" t="str">
            <v>Non-Listed Fund</v>
          </cell>
          <cell r="AD471" t="str">
            <v>Core</v>
          </cell>
          <cell r="AE471" t="str">
            <v>infinite</v>
          </cell>
          <cell r="AF471" t="str">
            <v>Open end</v>
          </cell>
          <cell r="AG471">
            <v>6</v>
          </cell>
          <cell r="AH471">
            <v>6</v>
          </cell>
          <cell r="AJ471" t="str">
            <v>Absolute return</v>
          </cell>
          <cell r="AK471">
            <v>6</v>
          </cell>
          <cell r="AL471">
            <v>20</v>
          </cell>
          <cell r="AM471" t="str">
            <v>&gt; 40% - ≤ 60%</v>
          </cell>
          <cell r="AN471" t="str">
            <v>Institutional</v>
          </cell>
          <cell r="AO471" t="str">
            <v>&gt; 2</v>
          </cell>
          <cell r="AP471" t="str">
            <v>≥ 50%</v>
          </cell>
          <cell r="AQ471" t="str">
            <v>Europe</v>
          </cell>
          <cell r="AR471" t="str">
            <v>single country</v>
          </cell>
          <cell r="AT471" t="str">
            <v>United Kingdom</v>
          </cell>
          <cell r="AU471" t="str">
            <v>multi sector</v>
          </cell>
          <cell r="AX471">
            <v>1000000000</v>
          </cell>
          <cell r="AY471">
            <v>2005</v>
          </cell>
          <cell r="BH471" t="str">
            <v>2020-12-31</v>
          </cell>
          <cell r="BI471">
            <v>644800169</v>
          </cell>
          <cell r="BJ471">
            <v>712858243.29379702</v>
          </cell>
          <cell r="BK471">
            <v>568257815.41999996</v>
          </cell>
          <cell r="BL471">
            <v>628236913.5642581</v>
          </cell>
          <cell r="BM471">
            <v>11.71</v>
          </cell>
          <cell r="BN471" t="str">
            <v>No</v>
          </cell>
          <cell r="BO471" t="str">
            <v>External</v>
          </cell>
          <cell r="BP471">
            <v>1349</v>
          </cell>
          <cell r="BQ471">
            <v>55</v>
          </cell>
          <cell r="BR471">
            <v>573223417.70000005</v>
          </cell>
          <cell r="BS471">
            <v>629373240.77121508</v>
          </cell>
          <cell r="BT471">
            <v>573223417.70000005</v>
          </cell>
          <cell r="BU471">
            <v>629373240.77121508</v>
          </cell>
          <cell r="BV471" t="str">
            <v>No</v>
          </cell>
          <cell r="BW471" t="str">
            <v>United Kingdom</v>
          </cell>
          <cell r="BX471" t="str">
            <v>Health Care</v>
          </cell>
          <cell r="BY471">
            <v>1.4</v>
          </cell>
          <cell r="BZ471" t="str">
            <v>United Kingdom</v>
          </cell>
          <cell r="CA471" t="str">
            <v>Student Housing</v>
          </cell>
          <cell r="CB471">
            <v>3.28</v>
          </cell>
          <cell r="CC471" t="str">
            <v>United Kingdom</v>
          </cell>
          <cell r="CD471" t="str">
            <v>Hotel</v>
          </cell>
          <cell r="CE471">
            <v>4.54</v>
          </cell>
          <cell r="CF471" t="str">
            <v>United Kingdom</v>
          </cell>
          <cell r="CG471" t="str">
            <v>Retail</v>
          </cell>
          <cell r="CH471">
            <v>13.53</v>
          </cell>
          <cell r="CI471" t="str">
            <v>United Kingdom</v>
          </cell>
          <cell r="CJ471" t="str">
            <v>Office</v>
          </cell>
          <cell r="CK471">
            <v>29.85</v>
          </cell>
          <cell r="CL471" t="str">
            <v>United Kingdom</v>
          </cell>
          <cell r="CM471" t="str">
            <v>Industrial / Logistics</v>
          </cell>
          <cell r="CN471">
            <v>38.25</v>
          </cell>
        </row>
        <row r="472">
          <cell r="A472">
            <v>456</v>
          </cell>
          <cell r="B472" t="str">
            <v>THE QUERCUS HEALTHCARE PROPERTY PARTNERSHIP</v>
          </cell>
          <cell r="C472" t="str">
            <v>AVIVA INVESTORS</v>
          </cell>
          <cell r="D472" t="str">
            <v>1 Poultry</v>
          </cell>
          <cell r="E472" t="str">
            <v>EC2R 8EJ</v>
          </cell>
          <cell r="F472" t="str">
            <v>London</v>
          </cell>
          <cell r="G472" t="str">
            <v>United Kingdom</v>
          </cell>
          <cell r="H472" t="str">
            <v>+44 (0) 20 7809 6000</v>
          </cell>
          <cell r="I472" t="str">
            <v>+44 (0) 20 7809 6816</v>
          </cell>
          <cell r="J472" t="str">
            <v>http://www.avivainvestors.com</v>
          </cell>
          <cell r="K472" t="str">
            <v>James Allum</v>
          </cell>
          <cell r="L472" t="str">
            <v>james.allum@avivainvestors.com</v>
          </cell>
          <cell r="M472" t="str">
            <v>+44 (0) 20 7809 8288</v>
          </cell>
          <cell r="N472" t="str">
            <v>James Allum</v>
          </cell>
          <cell r="O472" t="str">
            <v>james.allum@avivainvestors.com</v>
          </cell>
          <cell r="P472" t="str">
            <v>+44 (0) 20 7809 6816</v>
          </cell>
          <cell r="Q472" t="str">
            <v>United Kingdom</v>
          </cell>
          <cell r="R472" t="str">
            <v>GBP</v>
          </cell>
          <cell r="S472" t="str">
            <v>Local GAAP</v>
          </cell>
          <cell r="T472" t="str">
            <v>Quarterly</v>
          </cell>
          <cell r="U472" t="str">
            <v>Monthly</v>
          </cell>
          <cell r="V472" t="str">
            <v>RICS</v>
          </cell>
          <cell r="X472" t="str">
            <v>KPMG</v>
          </cell>
          <cell r="Y472" t="str">
            <v>Jersey Property Unit Trust</v>
          </cell>
          <cell r="Z472" t="str">
            <v>No</v>
          </cell>
          <cell r="AA472" t="str">
            <v>No</v>
          </cell>
          <cell r="AB472">
            <v>0</v>
          </cell>
          <cell r="AC472" t="str">
            <v>Non-Listed Fund</v>
          </cell>
          <cell r="AD472" t="str">
            <v>Core</v>
          </cell>
          <cell r="AE472" t="str">
            <v>finite</v>
          </cell>
          <cell r="AF472" t="str">
            <v>Closed end</v>
          </cell>
          <cell r="AG472">
            <v>10</v>
          </cell>
          <cell r="AH472">
            <v>12</v>
          </cell>
          <cell r="AI472" t="str">
            <v>Net</v>
          </cell>
          <cell r="AJ472" t="str">
            <v>IPD All Property Index</v>
          </cell>
          <cell r="AL472">
            <v>40</v>
          </cell>
          <cell r="AM472" t="str">
            <v>&gt; 40% - ≤ 60%</v>
          </cell>
          <cell r="AN472" t="str">
            <v>Institutional</v>
          </cell>
          <cell r="AO472" t="str">
            <v>&gt; 2</v>
          </cell>
          <cell r="AP472" t="str">
            <v>≥ 50%</v>
          </cell>
          <cell r="AQ472" t="str">
            <v>Europe</v>
          </cell>
          <cell r="AR472" t="str">
            <v>single country</v>
          </cell>
          <cell r="AT472" t="str">
            <v>United Kingdom</v>
          </cell>
          <cell r="AU472" t="str">
            <v>single sector</v>
          </cell>
          <cell r="AV472" t="str">
            <v>Health Care</v>
          </cell>
          <cell r="AX472">
            <v>1000000000</v>
          </cell>
          <cell r="AY472">
            <v>1998</v>
          </cell>
          <cell r="AZ472">
            <v>2013</v>
          </cell>
          <cell r="BA472" t="str">
            <v>Yes</v>
          </cell>
          <cell r="BB472" t="str">
            <v>Yes</v>
          </cell>
          <cell r="BC472" t="str">
            <v>5 yearly extension until final terminatino of 2028</v>
          </cell>
          <cell r="BH472" t="str">
            <v>2014-06-30</v>
          </cell>
          <cell r="BI472">
            <v>510579859</v>
          </cell>
          <cell r="BJ472">
            <v>637816359.8628</v>
          </cell>
          <cell r="BK472">
            <v>256139056</v>
          </cell>
          <cell r="BL472">
            <v>319968908.75520003</v>
          </cell>
          <cell r="BM472">
            <v>53.4</v>
          </cell>
          <cell r="BN472" t="str">
            <v>No</v>
          </cell>
          <cell r="BO472" t="str">
            <v>External</v>
          </cell>
          <cell r="BP472">
            <v>53</v>
          </cell>
          <cell r="BQ472">
            <v>182</v>
          </cell>
          <cell r="BS472">
            <v>0</v>
          </cell>
          <cell r="BV472" t="str">
            <v>No</v>
          </cell>
          <cell r="BW472" t="str">
            <v>United Kingdom</v>
          </cell>
          <cell r="BX472" t="str">
            <v>Health Care</v>
          </cell>
          <cell r="BY472">
            <v>100</v>
          </cell>
        </row>
        <row r="473">
          <cell r="A473">
            <v>458</v>
          </cell>
          <cell r="B473" t="str">
            <v>THE ROCKSPRING GERMAN RETAIL BOX FUND LP</v>
          </cell>
          <cell r="C473" t="str">
            <v>ROCKSPRING PROPERTY INVESTMENT MANAGERS LLP</v>
          </cell>
          <cell r="D473" t="str">
            <v>166 Sloane Street</v>
          </cell>
          <cell r="E473" t="str">
            <v>SW1X 9QF</v>
          </cell>
          <cell r="F473" t="str">
            <v>London</v>
          </cell>
          <cell r="G473" t="str">
            <v>United Kingdom</v>
          </cell>
          <cell r="H473" t="str">
            <v>+44 (0) 20 7761 3300</v>
          </cell>
          <cell r="I473" t="str">
            <v>+44 (0) 20 7761 3400</v>
          </cell>
          <cell r="J473" t="str">
            <v>http://www.rockspringpim.com</v>
          </cell>
          <cell r="K473" t="str">
            <v>Rockspring / Prime Management</v>
          </cell>
          <cell r="L473" t="str">
            <v>martin.trodden@rockspringpim.com</v>
          </cell>
          <cell r="M473" t="str">
            <v>+442077613300</v>
          </cell>
          <cell r="N473" t="str">
            <v>Kathryn Dixon</v>
          </cell>
          <cell r="O473" t="str">
            <v>kathryn.dixon@rockspringpim.com</v>
          </cell>
          <cell r="P473" t="str">
            <v>+44 (0) 20 7761 3400</v>
          </cell>
          <cell r="Q473" t="str">
            <v>United Kingdom</v>
          </cell>
          <cell r="R473" t="str">
            <v>EUR</v>
          </cell>
          <cell r="T473" t="str">
            <v>Quarterly</v>
          </cell>
          <cell r="U473" t="str">
            <v>Quarterly</v>
          </cell>
          <cell r="V473" t="str">
            <v>RICS</v>
          </cell>
          <cell r="X473" t="str">
            <v>PWC</v>
          </cell>
          <cell r="Y473" t="str">
            <v>Limited Partnership</v>
          </cell>
          <cell r="AA473" t="str">
            <v>Yes</v>
          </cell>
          <cell r="AB473">
            <v>2</v>
          </cell>
          <cell r="AC473" t="str">
            <v>Non-Listed Fund</v>
          </cell>
          <cell r="AD473" t="str">
            <v>Value-added</v>
          </cell>
          <cell r="AE473" t="str">
            <v>finite</v>
          </cell>
          <cell r="AF473" t="str">
            <v>Closed end</v>
          </cell>
          <cell r="AG473">
            <v>11</v>
          </cell>
          <cell r="AH473">
            <v>11</v>
          </cell>
          <cell r="AJ473" t="str">
            <v>IPD</v>
          </cell>
          <cell r="AK473">
            <v>8.5</v>
          </cell>
          <cell r="AL473">
            <v>50</v>
          </cell>
          <cell r="AM473" t="str">
            <v>&gt; 60%</v>
          </cell>
          <cell r="AN473" t="str">
            <v>Institutional</v>
          </cell>
          <cell r="AO473" t="str">
            <v>&gt; 2</v>
          </cell>
          <cell r="AP473" t="str">
            <v>≥ 50%</v>
          </cell>
          <cell r="AQ473" t="str">
            <v>Europe</v>
          </cell>
          <cell r="AR473" t="str">
            <v>single country</v>
          </cell>
          <cell r="AT473" t="str">
            <v>Germany</v>
          </cell>
          <cell r="AU473" t="str">
            <v>single sector</v>
          </cell>
          <cell r="AV473" t="str">
            <v>Retail</v>
          </cell>
          <cell r="AY473">
            <v>2005</v>
          </cell>
          <cell r="AZ473">
            <v>2020</v>
          </cell>
          <cell r="BA473" t="str">
            <v>Yes</v>
          </cell>
          <cell r="BB473" t="str">
            <v>Yes</v>
          </cell>
          <cell r="BC473" t="str">
            <v>3 years fixed</v>
          </cell>
          <cell r="BD473" t="str">
            <v>No</v>
          </cell>
          <cell r="BH473" t="str">
            <v>2020-12-31</v>
          </cell>
          <cell r="BI473">
            <v>598477304</v>
          </cell>
          <cell r="BJ473">
            <v>598477304</v>
          </cell>
          <cell r="BK473">
            <v>330314025</v>
          </cell>
          <cell r="BL473">
            <v>330314025</v>
          </cell>
          <cell r="BM473">
            <v>43.11</v>
          </cell>
          <cell r="BN473" t="str">
            <v>No</v>
          </cell>
          <cell r="BO473" t="str">
            <v>External</v>
          </cell>
          <cell r="BP473">
            <v>10</v>
          </cell>
          <cell r="BQ473">
            <v>26</v>
          </cell>
          <cell r="BR473">
            <v>352422254</v>
          </cell>
          <cell r="BS473">
            <v>352422254</v>
          </cell>
          <cell r="BT473">
            <v>491928944</v>
          </cell>
          <cell r="BU473">
            <v>491928944</v>
          </cell>
          <cell r="BV473" t="str">
            <v>No</v>
          </cell>
          <cell r="BW473" t="str">
            <v>Germany</v>
          </cell>
          <cell r="BX473" t="str">
            <v>Retail</v>
          </cell>
          <cell r="BY473">
            <v>94.69</v>
          </cell>
        </row>
        <row r="474">
          <cell r="A474">
            <v>461</v>
          </cell>
          <cell r="B474" t="str">
            <v>THE X-LEISURE UNIT TRUST</v>
          </cell>
          <cell r="C474" t="str">
            <v>HERMES REAL ESTATE INVESTMENT MANAGEMENT LTD</v>
          </cell>
          <cell r="D474" t="str">
            <v>Lloyds Chambers, 1 Portsoken Street</v>
          </cell>
          <cell r="E474" t="str">
            <v>E1 8HZ</v>
          </cell>
          <cell r="F474" t="str">
            <v>London</v>
          </cell>
          <cell r="G474" t="str">
            <v>United Kingdom</v>
          </cell>
          <cell r="H474" t="str">
            <v>+44 (0) 20 7702 0888</v>
          </cell>
          <cell r="I474" t="str">
            <v>+44 (0) 20 7702 9453</v>
          </cell>
          <cell r="J474" t="str">
            <v>http://www.hermes.co.uk</v>
          </cell>
          <cell r="K474" t="str">
            <v>Susannah Bourke</v>
          </cell>
          <cell r="L474" t="str">
            <v>s.bourke@hermes.co.uk</v>
          </cell>
          <cell r="M474" t="str">
            <v>+44 (0) 20 7702 0888</v>
          </cell>
          <cell r="N474" t="str">
            <v>Susannah Bourke</v>
          </cell>
          <cell r="O474" t="str">
            <v>s.bourke@hermes.co.uk</v>
          </cell>
          <cell r="P474" t="str">
            <v>+44 (0) 20 7702 9453</v>
          </cell>
          <cell r="Q474" t="str">
            <v>Jersey</v>
          </cell>
          <cell r="R474" t="str">
            <v>GBP</v>
          </cell>
          <cell r="S474" t="str">
            <v>Local GAAP</v>
          </cell>
          <cell r="T474" t="str">
            <v>Quarterly</v>
          </cell>
          <cell r="U474" t="str">
            <v>Quarterly</v>
          </cell>
          <cell r="V474" t="str">
            <v>RICS</v>
          </cell>
          <cell r="X474" t="str">
            <v>KPMG</v>
          </cell>
          <cell r="Y474" t="str">
            <v>Jersey Property Unit Trust</v>
          </cell>
          <cell r="AB474">
            <v>0</v>
          </cell>
          <cell r="AC474" t="str">
            <v>Non-Listed Fund</v>
          </cell>
          <cell r="AD474" t="str">
            <v>Core</v>
          </cell>
          <cell r="AE474" t="str">
            <v>finite</v>
          </cell>
          <cell r="AF474" t="str">
            <v>Open end</v>
          </cell>
          <cell r="AG474">
            <v>12</v>
          </cell>
          <cell r="AH474">
            <v>12</v>
          </cell>
          <cell r="AJ474" t="str">
            <v>Absolute return of 12% p.a.</v>
          </cell>
          <cell r="AK474">
            <v>4</v>
          </cell>
          <cell r="AL474">
            <v>50</v>
          </cell>
          <cell r="AM474" t="str">
            <v>&gt; 60%</v>
          </cell>
          <cell r="AN474" t="str">
            <v>Institutional</v>
          </cell>
          <cell r="AO474" t="str">
            <v>&gt; 2</v>
          </cell>
          <cell r="AP474" t="str">
            <v>≥ 50%</v>
          </cell>
          <cell r="AQ474" t="str">
            <v>Europe</v>
          </cell>
          <cell r="AR474" t="str">
            <v>single country</v>
          </cell>
          <cell r="AT474" t="str">
            <v>United Kingdom</v>
          </cell>
          <cell r="AU474" t="str">
            <v>multi sector</v>
          </cell>
          <cell r="AW474">
            <v>1026510000</v>
          </cell>
          <cell r="AX474">
            <v>1466440000</v>
          </cell>
          <cell r="AY474">
            <v>2004</v>
          </cell>
          <cell r="AZ474">
            <v>2019</v>
          </cell>
          <cell r="BA474" t="str">
            <v>Yes</v>
          </cell>
          <cell r="BB474" t="str">
            <v>Yes</v>
          </cell>
          <cell r="BC474" t="str">
            <v>5 years</v>
          </cell>
          <cell r="BH474" t="str">
            <v>2012-09-30</v>
          </cell>
          <cell r="BI474">
            <v>585663000</v>
          </cell>
          <cell r="BJ474">
            <v>736354089.89999998</v>
          </cell>
          <cell r="BK474">
            <v>286253000</v>
          </cell>
          <cell r="BL474">
            <v>359905896.89999998</v>
          </cell>
          <cell r="BM474">
            <v>59</v>
          </cell>
          <cell r="BS474">
            <v>0</v>
          </cell>
          <cell r="BW474" t="str">
            <v>United Kingdom</v>
          </cell>
          <cell r="BX474" t="str">
            <v>Leisure</v>
          </cell>
          <cell r="BY474">
            <v>100</v>
          </cell>
        </row>
        <row r="475">
          <cell r="A475">
            <v>18453</v>
          </cell>
          <cell r="B475" t="str">
            <v>THI</v>
          </cell>
          <cell r="C475" t="str">
            <v>MAN GLOBAL PRIVATE MARKETS</v>
          </cell>
          <cell r="D475" t="str">
            <v>2 Swan Lane</v>
          </cell>
          <cell r="E475" t="str">
            <v>EC4R 3AD</v>
          </cell>
          <cell r="F475" t="str">
            <v>London</v>
          </cell>
          <cell r="G475" t="str">
            <v>United Kingdom</v>
          </cell>
          <cell r="J475" t="str">
            <v>https://www.man.com/gpm-aalto</v>
          </cell>
          <cell r="K475" t="str">
            <v>Travis Masters</v>
          </cell>
          <cell r="L475" t="str">
            <v>Travis.Masters@man.com</v>
          </cell>
          <cell r="M475" t="str">
            <v>+1 (980) 321-7561</v>
          </cell>
          <cell r="N475" t="str">
            <v>Jonathan Shaw</v>
          </cell>
          <cell r="O475" t="str">
            <v>Jonathan.Shaw@Man.com</v>
          </cell>
          <cell r="P475">
            <v>2071142911</v>
          </cell>
          <cell r="Q475" t="str">
            <v>United Kingdom</v>
          </cell>
          <cell r="R475" t="str">
            <v>USD</v>
          </cell>
          <cell r="S475" t="str">
            <v>US GAAP</v>
          </cell>
          <cell r="T475" t="str">
            <v>Annually</v>
          </cell>
          <cell r="U475" t="str">
            <v>Annually</v>
          </cell>
          <cell r="V475" t="str">
            <v>CoreLogic: Automated Valuation Estimate or Broker Price Option; otherwise RedBell Valuation Risk Review ; or valued at cost if in development</v>
          </cell>
          <cell r="W475" t="str">
            <v>CoreLogic (Automated Valuation Model): PASS</v>
          </cell>
          <cell r="X475" t="str">
            <v>Grant Thornton</v>
          </cell>
          <cell r="Y475" t="str">
            <v>Real Estate Fund</v>
          </cell>
          <cell r="Z475" t="str">
            <v>No</v>
          </cell>
          <cell r="AA475" t="str">
            <v>Yes</v>
          </cell>
          <cell r="AC475" t="str">
            <v>Separate account</v>
          </cell>
          <cell r="AD475" t="str">
            <v>Core</v>
          </cell>
          <cell r="AE475" t="str">
            <v>infinite</v>
          </cell>
          <cell r="AF475" t="str">
            <v>Closed end</v>
          </cell>
          <cell r="AG475">
            <v>7</v>
          </cell>
          <cell r="AH475">
            <v>9</v>
          </cell>
          <cell r="AI475" t="str">
            <v>Gross</v>
          </cell>
          <cell r="AJ475" t="str">
            <v>None</v>
          </cell>
          <cell r="AL475">
            <v>0</v>
          </cell>
          <cell r="AM475" t="str">
            <v>≤ 40%</v>
          </cell>
          <cell r="AN475" t="str">
            <v>Institutional</v>
          </cell>
          <cell r="AO475" t="str">
            <v>≤ 2</v>
          </cell>
          <cell r="AP475" t="str">
            <v>≥ 50%</v>
          </cell>
          <cell r="AQ475" t="str">
            <v>North America</v>
          </cell>
          <cell r="AR475" t="str">
            <v>single country</v>
          </cell>
          <cell r="AT475" t="str">
            <v>United States of America</v>
          </cell>
          <cell r="AU475" t="str">
            <v>single sector</v>
          </cell>
          <cell r="AV475" t="str">
            <v>Residential</v>
          </cell>
          <cell r="AW475">
            <v>201000000</v>
          </cell>
          <cell r="AY475">
            <v>2014</v>
          </cell>
          <cell r="BA475" t="str">
            <v>No</v>
          </cell>
          <cell r="BD475" t="str">
            <v>No</v>
          </cell>
          <cell r="BF475" t="str">
            <v>≤ 15%</v>
          </cell>
        </row>
        <row r="476">
          <cell r="A476">
            <v>462</v>
          </cell>
          <cell r="B476" t="str">
            <v>THREADNEEDLE PENSION PROPERTY FUND</v>
          </cell>
          <cell r="C476" t="str">
            <v>THREADNEEDLE ASSET MANAGEMENT LTD</v>
          </cell>
          <cell r="D476" t="str">
            <v>Cannon Place, 78 Cannon Street</v>
          </cell>
          <cell r="E476" t="str">
            <v>EC4N 6AG</v>
          </cell>
          <cell r="F476" t="str">
            <v>London</v>
          </cell>
          <cell r="G476" t="str">
            <v>United Kingdom</v>
          </cell>
          <cell r="H476" t="str">
            <v>+442074645000</v>
          </cell>
          <cell r="I476" t="str">
            <v>+44709190</v>
          </cell>
          <cell r="J476" t="str">
            <v>http://www.columbiathreadneedle.com</v>
          </cell>
          <cell r="K476" t="str">
            <v>Robin Jones</v>
          </cell>
          <cell r="P476" t="str">
            <v>+44709190</v>
          </cell>
          <cell r="Q476" t="str">
            <v>United Kingdom</v>
          </cell>
          <cell r="R476" t="str">
            <v>GBP</v>
          </cell>
          <cell r="S476" t="str">
            <v>Local GAAP</v>
          </cell>
          <cell r="T476" t="str">
            <v>Annually</v>
          </cell>
          <cell r="U476" t="str">
            <v>Monthly</v>
          </cell>
          <cell r="V476" t="str">
            <v>RICS</v>
          </cell>
          <cell r="Y476" t="str">
            <v>Unit-linked life and pension fund</v>
          </cell>
          <cell r="AA476" t="str">
            <v>No</v>
          </cell>
          <cell r="AB476">
            <v>0</v>
          </cell>
          <cell r="AC476" t="str">
            <v>Non-Listed Fund</v>
          </cell>
          <cell r="AD476" t="str">
            <v>Core</v>
          </cell>
          <cell r="AE476" t="str">
            <v>infinite</v>
          </cell>
          <cell r="AF476" t="str">
            <v>Open end</v>
          </cell>
          <cell r="AJ476" t="str">
            <v>AREF/MSCI All Balanced Property Fund IndexAREF/MSCI All Balanced Property Fund Index</v>
          </cell>
          <cell r="AN476" t="str">
            <v>Institutional</v>
          </cell>
          <cell r="AO476" t="str">
            <v>&gt; 2</v>
          </cell>
          <cell r="AP476" t="str">
            <v>≥ 50%</v>
          </cell>
          <cell r="AQ476" t="str">
            <v>Europe</v>
          </cell>
          <cell r="AR476" t="str">
            <v>single country</v>
          </cell>
          <cell r="AT476" t="str">
            <v>United Kingdom</v>
          </cell>
          <cell r="AU476" t="str">
            <v>multi sector</v>
          </cell>
          <cell r="AX476">
            <v>2591800000</v>
          </cell>
          <cell r="AY476">
            <v>1979</v>
          </cell>
          <cell r="BA476" t="str">
            <v>Yes</v>
          </cell>
          <cell r="BH476" t="str">
            <v>2020-12-31</v>
          </cell>
          <cell r="BI476">
            <v>1952743190.73</v>
          </cell>
          <cell r="BJ476">
            <v>2158853467.278964</v>
          </cell>
          <cell r="BK476">
            <v>1952743190.73</v>
          </cell>
          <cell r="BL476">
            <v>2158853467.278964</v>
          </cell>
          <cell r="BN476" t="str">
            <v>No</v>
          </cell>
          <cell r="BO476" t="str">
            <v>External</v>
          </cell>
          <cell r="BP476">
            <v>56</v>
          </cell>
          <cell r="BQ476">
            <v>267</v>
          </cell>
          <cell r="BS476">
            <v>0</v>
          </cell>
          <cell r="BW476" t="str">
            <v>United Kingdom</v>
          </cell>
          <cell r="BX476" t="str">
            <v>Other</v>
          </cell>
          <cell r="BY476">
            <v>6.69</v>
          </cell>
          <cell r="BZ476" t="str">
            <v>United Kingdom</v>
          </cell>
          <cell r="CA476" t="str">
            <v>Industrial / Logistics</v>
          </cell>
          <cell r="CB476">
            <v>41.02</v>
          </cell>
          <cell r="CC476" t="str">
            <v>United Kingdom</v>
          </cell>
          <cell r="CD476" t="str">
            <v>Office</v>
          </cell>
          <cell r="CE476">
            <v>33.49</v>
          </cell>
          <cell r="CF476" t="str">
            <v>United Kingdom</v>
          </cell>
          <cell r="CG476" t="str">
            <v>Retail</v>
          </cell>
          <cell r="CH476">
            <v>18.77</v>
          </cell>
        </row>
        <row r="477">
          <cell r="A477">
            <v>463</v>
          </cell>
          <cell r="B477" t="str">
            <v>THREADNEEDLE PROPERTY UNIT TRUST</v>
          </cell>
          <cell r="C477" t="str">
            <v>THREADNEEDLE ASSET MANAGEMENT (CHANNEL ISLANDS) LTD</v>
          </cell>
          <cell r="D477" t="str">
            <v>BNP House, Anley Street</v>
          </cell>
          <cell r="E477" t="str">
            <v>JE2 3QE</v>
          </cell>
          <cell r="F477" t="str">
            <v>St. Helier</v>
          </cell>
          <cell r="G477" t="str">
            <v>Jersey</v>
          </cell>
          <cell r="H477" t="str">
            <v>+44709100</v>
          </cell>
          <cell r="I477" t="str">
            <v>+44709190</v>
          </cell>
          <cell r="J477" t="str">
            <v>http://www.columbiathreadneedle.com</v>
          </cell>
          <cell r="K477" t="str">
            <v>James Coke</v>
          </cell>
          <cell r="N477" t="str">
            <v>Barbara Cullen</v>
          </cell>
          <cell r="O477" t="str">
            <v>barbara.cullen@bnpparibas.com</v>
          </cell>
          <cell r="P477" t="str">
            <v>+44709190</v>
          </cell>
          <cell r="Q477" t="str">
            <v>Jersey</v>
          </cell>
          <cell r="R477" t="str">
            <v>GBP</v>
          </cell>
          <cell r="T477" t="str">
            <v>Annually</v>
          </cell>
          <cell r="U477" t="str">
            <v>Monthly</v>
          </cell>
          <cell r="V477" t="str">
            <v>RICS</v>
          </cell>
          <cell r="X477" t="str">
            <v>PriceWaterhouseCoopers</v>
          </cell>
          <cell r="Y477" t="str">
            <v>Property Unit Trust</v>
          </cell>
          <cell r="AA477" t="str">
            <v>Yes</v>
          </cell>
          <cell r="AB477">
            <v>0</v>
          </cell>
          <cell r="AC477" t="str">
            <v>Non-Listed Fund</v>
          </cell>
          <cell r="AD477" t="str">
            <v>Core</v>
          </cell>
          <cell r="AE477" t="str">
            <v>infinite</v>
          </cell>
          <cell r="AF477" t="str">
            <v>Open end</v>
          </cell>
          <cell r="AJ477" t="str">
            <v>AREF/MSCI All Balanced Property Fund Index</v>
          </cell>
          <cell r="AM477" t="str">
            <v>≤ 40%</v>
          </cell>
          <cell r="AN477" t="str">
            <v>Institutional</v>
          </cell>
          <cell r="AO477" t="str">
            <v>&gt; 2</v>
          </cell>
          <cell r="AP477" t="str">
            <v>≥ 50%</v>
          </cell>
          <cell r="AQ477" t="str">
            <v>Europe</v>
          </cell>
          <cell r="AR477" t="str">
            <v>single country</v>
          </cell>
          <cell r="AT477" t="str">
            <v>United Kingdom</v>
          </cell>
          <cell r="AU477" t="str">
            <v>multi sector</v>
          </cell>
          <cell r="AX477">
            <v>2591800000</v>
          </cell>
          <cell r="AY477">
            <v>1967</v>
          </cell>
          <cell r="BH477" t="str">
            <v>2020-12-31</v>
          </cell>
          <cell r="BI477">
            <v>1427200000</v>
          </cell>
          <cell r="BJ477">
            <v>1577839668.3840001</v>
          </cell>
          <cell r="BK477">
            <v>1427200000</v>
          </cell>
          <cell r="BL477">
            <v>1577839668.3840001</v>
          </cell>
          <cell r="BN477" t="str">
            <v>No</v>
          </cell>
          <cell r="BO477" t="str">
            <v>External</v>
          </cell>
          <cell r="BQ477">
            <v>199</v>
          </cell>
          <cell r="BS477">
            <v>0</v>
          </cell>
          <cell r="BW477" t="str">
            <v>United Kingdom</v>
          </cell>
          <cell r="BX477" t="str">
            <v>Other</v>
          </cell>
          <cell r="BY477">
            <v>6.4</v>
          </cell>
          <cell r="BZ477" t="str">
            <v>United Kingdom</v>
          </cell>
          <cell r="CA477" t="str">
            <v>Industrial / Logistics</v>
          </cell>
          <cell r="CB477">
            <v>39.799999999999997</v>
          </cell>
          <cell r="CC477" t="str">
            <v>United Kingdom</v>
          </cell>
          <cell r="CD477" t="str">
            <v>Office</v>
          </cell>
          <cell r="CE477">
            <v>33.200000000000003</v>
          </cell>
          <cell r="CF477" t="str">
            <v>United Kingdom</v>
          </cell>
          <cell r="CG477" t="str">
            <v>Retail</v>
          </cell>
          <cell r="CH477">
            <v>20.6</v>
          </cell>
        </row>
        <row r="478">
          <cell r="A478">
            <v>466</v>
          </cell>
          <cell r="B478" t="str">
            <v>TISHMAN SPEYER EUROPEAN CORE FUND FCP-SIF</v>
          </cell>
          <cell r="C478" t="str">
            <v>TISHMAN SPEYER</v>
          </cell>
          <cell r="D478" t="str">
            <v>10 Bressenden Place</v>
          </cell>
          <cell r="E478" t="str">
            <v>SW1E 5DR</v>
          </cell>
          <cell r="F478" t="str">
            <v>London</v>
          </cell>
          <cell r="G478" t="str">
            <v>United Kingdom</v>
          </cell>
          <cell r="H478" t="str">
            <v>+442073332400</v>
          </cell>
          <cell r="I478" t="str">
            <v>+442073332500</v>
          </cell>
          <cell r="J478" t="str">
            <v>http://www.tishmanspeyer.com</v>
          </cell>
          <cell r="K478" t="str">
            <v>David Pinguelo</v>
          </cell>
          <cell r="L478" t="str">
            <v>DPinguelo@TishmanSpeyer.com</v>
          </cell>
          <cell r="M478" t="str">
            <v>+442073332591</v>
          </cell>
          <cell r="N478" t="str">
            <v>Michelle Doran</v>
          </cell>
          <cell r="O478" t="str">
            <v>mdoran@tishmanspeyer.com</v>
          </cell>
          <cell r="P478" t="str">
            <v>+442073332420</v>
          </cell>
          <cell r="Q478" t="str">
            <v>Luxembourg</v>
          </cell>
          <cell r="R478" t="str">
            <v>EUR</v>
          </cell>
          <cell r="S478" t="str">
            <v>IFRS</v>
          </cell>
          <cell r="T478" t="str">
            <v>Quarterly</v>
          </cell>
          <cell r="U478" t="str">
            <v>Quarterly</v>
          </cell>
          <cell r="W478" t="str">
            <v>IFRS NAV + Adjustments</v>
          </cell>
          <cell r="X478" t="str">
            <v>KPMG</v>
          </cell>
          <cell r="Y478" t="str">
            <v>Lux FCP-FIS</v>
          </cell>
          <cell r="Z478" t="str">
            <v>Yes</v>
          </cell>
          <cell r="AA478" t="str">
            <v>Yes</v>
          </cell>
          <cell r="AB478">
            <v>0</v>
          </cell>
          <cell r="AC478" t="str">
            <v>Non-Listed Fund</v>
          </cell>
          <cell r="AD478" t="str">
            <v>Core</v>
          </cell>
          <cell r="AE478" t="str">
            <v>infinite</v>
          </cell>
          <cell r="AF478" t="str">
            <v>Open end</v>
          </cell>
          <cell r="AG478">
            <v>8</v>
          </cell>
          <cell r="AH478">
            <v>10</v>
          </cell>
          <cell r="AI478" t="str">
            <v>Net</v>
          </cell>
          <cell r="AJ478" t="str">
            <v>None</v>
          </cell>
          <cell r="AK478">
            <v>4</v>
          </cell>
          <cell r="AL478">
            <v>40</v>
          </cell>
          <cell r="AM478" t="str">
            <v>&gt; 40% - ≤ 60%</v>
          </cell>
          <cell r="AN478" t="str">
            <v>Institutional</v>
          </cell>
          <cell r="AO478" t="str">
            <v>&gt; 2</v>
          </cell>
          <cell r="AP478" t="str">
            <v>≥ 50%</v>
          </cell>
          <cell r="AQ478" t="str">
            <v>Europe</v>
          </cell>
          <cell r="AR478" t="str">
            <v>multi country</v>
          </cell>
          <cell r="AS478" t="str">
            <v>Europe</v>
          </cell>
          <cell r="AU478" t="str">
            <v>single sector</v>
          </cell>
          <cell r="AV478" t="str">
            <v>Office</v>
          </cell>
          <cell r="AW478">
            <v>2000000000</v>
          </cell>
          <cell r="AX478">
            <v>4000000000</v>
          </cell>
          <cell r="AY478">
            <v>2007</v>
          </cell>
          <cell r="BA478" t="str">
            <v>Yes</v>
          </cell>
          <cell r="BB478" t="str">
            <v>No</v>
          </cell>
          <cell r="BD478" t="str">
            <v>No</v>
          </cell>
          <cell r="BE478" t="str">
            <v>&lt; 60%</v>
          </cell>
          <cell r="BH478" t="str">
            <v>2020-12-31</v>
          </cell>
          <cell r="BI478">
            <v>988395001</v>
          </cell>
          <cell r="BJ478">
            <v>988395001</v>
          </cell>
          <cell r="BK478">
            <v>629180682</v>
          </cell>
          <cell r="BL478">
            <v>629180682</v>
          </cell>
          <cell r="BM478">
            <v>34.5</v>
          </cell>
          <cell r="BN478" t="str">
            <v>No</v>
          </cell>
          <cell r="BO478" t="str">
            <v>External</v>
          </cell>
          <cell r="BP478">
            <v>15</v>
          </cell>
          <cell r="BQ478">
            <v>5</v>
          </cell>
          <cell r="BR478">
            <v>652644000</v>
          </cell>
          <cell r="BS478">
            <v>652644000</v>
          </cell>
          <cell r="BT478">
            <v>645144000</v>
          </cell>
          <cell r="BU478">
            <v>645144000</v>
          </cell>
          <cell r="BW478" t="str">
            <v>United Kingdom</v>
          </cell>
          <cell r="BX478" t="str">
            <v>Office</v>
          </cell>
          <cell r="BY478">
            <v>13.5</v>
          </cell>
          <cell r="BZ478" t="str">
            <v>Germany</v>
          </cell>
          <cell r="CA478" t="str">
            <v>Office</v>
          </cell>
          <cell r="CB478">
            <v>70.3</v>
          </cell>
        </row>
        <row r="479">
          <cell r="A479">
            <v>467</v>
          </cell>
          <cell r="B479" t="str">
            <v>TISHMAN SPEYER EUROPEAN REAL ESTATE VENTURE VI LP</v>
          </cell>
          <cell r="C479" t="str">
            <v>TISHMAN SPEYER</v>
          </cell>
          <cell r="D479" t="str">
            <v>61 Aldwych</v>
          </cell>
          <cell r="E479" t="str">
            <v>WC2B 4AE</v>
          </cell>
          <cell r="F479" t="str">
            <v>London</v>
          </cell>
          <cell r="G479" t="str">
            <v>United Kingdom</v>
          </cell>
          <cell r="H479" t="str">
            <v>+44 (0) 207333 2400</v>
          </cell>
          <cell r="I479" t="str">
            <v>+44 (0) 207333 2500</v>
          </cell>
          <cell r="J479" t="str">
            <v>http://www.tishmanspeyer.com</v>
          </cell>
          <cell r="K479" t="str">
            <v>Ioanna Paschalidou</v>
          </cell>
          <cell r="L479" t="str">
            <v>IPaschalidou@tishmanspeyer.com</v>
          </cell>
          <cell r="M479" t="str">
            <v>+44 (20) 7333-2432</v>
          </cell>
          <cell r="N479" t="str">
            <v>Matthias Huenlein</v>
          </cell>
          <cell r="O479" t="str">
            <v>mhuenlein@tishmanspeyer.com</v>
          </cell>
          <cell r="P479" t="str">
            <v>+44 (0) 207333 2500</v>
          </cell>
          <cell r="Q479" t="str">
            <v>United Kingdom</v>
          </cell>
          <cell r="R479" t="str">
            <v>EUR</v>
          </cell>
          <cell r="S479" t="str">
            <v>IFRS</v>
          </cell>
          <cell r="T479" t="str">
            <v>Quarterly</v>
          </cell>
          <cell r="U479" t="str">
            <v>Annually</v>
          </cell>
          <cell r="V479" t="str">
            <v>RICS</v>
          </cell>
          <cell r="X479" t="str">
            <v>KPMG</v>
          </cell>
          <cell r="Y479" t="str">
            <v>Limited Partnership</v>
          </cell>
          <cell r="Z479" t="str">
            <v>No</v>
          </cell>
          <cell r="AA479" t="str">
            <v>Yes</v>
          </cell>
          <cell r="AB479">
            <v>5</v>
          </cell>
          <cell r="AC479" t="str">
            <v>Non-Listed Fund</v>
          </cell>
          <cell r="AD479" t="str">
            <v>Value-added</v>
          </cell>
          <cell r="AE479" t="str">
            <v>finite</v>
          </cell>
          <cell r="AF479" t="str">
            <v>Closed end</v>
          </cell>
          <cell r="AG479">
            <v>14</v>
          </cell>
          <cell r="AH479">
            <v>18</v>
          </cell>
          <cell r="AI479" t="str">
            <v>Gross</v>
          </cell>
          <cell r="AJ479" t="str">
            <v>None</v>
          </cell>
          <cell r="AL479">
            <v>75</v>
          </cell>
          <cell r="AM479" t="str">
            <v>&gt; 60%</v>
          </cell>
          <cell r="AN479" t="str">
            <v>Institutional</v>
          </cell>
          <cell r="AO479" t="str">
            <v>&gt; 2</v>
          </cell>
          <cell r="AP479" t="str">
            <v>≥ 50%</v>
          </cell>
          <cell r="AQ479" t="str">
            <v>Europe</v>
          </cell>
          <cell r="AR479" t="str">
            <v>multi country</v>
          </cell>
          <cell r="AS479" t="str">
            <v>Europe</v>
          </cell>
          <cell r="AU479" t="str">
            <v>multi sector</v>
          </cell>
          <cell r="AW479">
            <v>1000000000</v>
          </cell>
          <cell r="AX479">
            <v>3000000000</v>
          </cell>
          <cell r="AY479">
            <v>2006</v>
          </cell>
          <cell r="AZ479">
            <v>2014</v>
          </cell>
          <cell r="BA479" t="str">
            <v>Yes</v>
          </cell>
          <cell r="BB479" t="str">
            <v>Yes</v>
          </cell>
          <cell r="BC479" t="str">
            <v>3 years</v>
          </cell>
          <cell r="BH479" t="str">
            <v>2020-12-31</v>
          </cell>
          <cell r="BI479">
            <v>8653588</v>
          </cell>
          <cell r="BJ479">
            <v>8653588</v>
          </cell>
          <cell r="BK479">
            <v>8653588</v>
          </cell>
          <cell r="BL479">
            <v>8653588</v>
          </cell>
          <cell r="BM479">
            <v>0</v>
          </cell>
          <cell r="BN479" t="str">
            <v>Yes</v>
          </cell>
          <cell r="BO479" t="str">
            <v>Internal</v>
          </cell>
          <cell r="BP479">
            <v>0</v>
          </cell>
          <cell r="BQ479">
            <v>0</v>
          </cell>
          <cell r="BR479">
            <v>1000109665</v>
          </cell>
          <cell r="BS479">
            <v>1000109665</v>
          </cell>
          <cell r="BT479">
            <v>958000000</v>
          </cell>
          <cell r="BU479">
            <v>958000000</v>
          </cell>
          <cell r="BV479" t="str">
            <v>No</v>
          </cell>
        </row>
        <row r="480">
          <cell r="A480">
            <v>17726</v>
          </cell>
          <cell r="B480" t="str">
            <v>TISHMAN SPEYER EUROPEAN REAL ESTATE VENTURE VII LP</v>
          </cell>
          <cell r="C480" t="str">
            <v>TISHMAN SPEYER EUROPE SARL</v>
          </cell>
          <cell r="G480" t="str">
            <v>United Kingdom</v>
          </cell>
          <cell r="Q480" t="str">
            <v>United Kingdom</v>
          </cell>
          <cell r="R480" t="str">
            <v>EUR</v>
          </cell>
          <cell r="S480" t="str">
            <v>IFRS</v>
          </cell>
          <cell r="T480" t="str">
            <v>Quarterly</v>
          </cell>
          <cell r="U480" t="str">
            <v>Annually</v>
          </cell>
          <cell r="V480" t="str">
            <v>RICS</v>
          </cell>
          <cell r="W480" t="str">
            <v>IFRS NAV</v>
          </cell>
          <cell r="X480" t="str">
            <v>KPMG</v>
          </cell>
          <cell r="Y480" t="str">
            <v>Limited Partnership</v>
          </cell>
          <cell r="Z480" t="str">
            <v>Yes</v>
          </cell>
          <cell r="AC480" t="str">
            <v>Non-Listed Fund</v>
          </cell>
          <cell r="AD480" t="str">
            <v>Value-added</v>
          </cell>
          <cell r="AE480" t="str">
            <v>finite</v>
          </cell>
          <cell r="AF480" t="str">
            <v>Closed end</v>
          </cell>
          <cell r="AG480">
            <v>14</v>
          </cell>
          <cell r="AH480">
            <v>16</v>
          </cell>
          <cell r="AI480" t="str">
            <v>Gross</v>
          </cell>
          <cell r="AM480" t="str">
            <v>&gt; 60%</v>
          </cell>
          <cell r="AN480" t="str">
            <v>Institutional</v>
          </cell>
          <cell r="AO480" t="str">
            <v>&gt; 2</v>
          </cell>
          <cell r="AP480" t="str">
            <v>≥ 50%</v>
          </cell>
          <cell r="AQ480" t="str">
            <v>Europe</v>
          </cell>
          <cell r="AR480" t="str">
            <v>multi country</v>
          </cell>
          <cell r="AS480" t="str">
            <v>Western Europe</v>
          </cell>
          <cell r="AU480" t="str">
            <v>single sector</v>
          </cell>
          <cell r="AV480" t="str">
            <v>Office</v>
          </cell>
          <cell r="AW480">
            <v>500000000</v>
          </cell>
          <cell r="AY480">
            <v>2015</v>
          </cell>
          <cell r="AZ480">
            <v>2023</v>
          </cell>
          <cell r="BA480" t="str">
            <v>Yes</v>
          </cell>
          <cell r="BB480" t="str">
            <v>Yes</v>
          </cell>
          <cell r="BC480" t="str">
            <v>1+1+1 years</v>
          </cell>
          <cell r="BD480" t="str">
            <v>No</v>
          </cell>
          <cell r="BH480" t="str">
            <v>2020-12-31</v>
          </cell>
          <cell r="BI480">
            <v>63165262</v>
          </cell>
          <cell r="BJ480">
            <v>63165262</v>
          </cell>
          <cell r="BK480">
            <v>26189450</v>
          </cell>
          <cell r="BL480">
            <v>26189450</v>
          </cell>
          <cell r="BM480">
            <v>0</v>
          </cell>
          <cell r="BN480" t="str">
            <v>Yes</v>
          </cell>
          <cell r="BO480" t="str">
            <v>Internal</v>
          </cell>
          <cell r="BP480">
            <v>0</v>
          </cell>
          <cell r="BQ480">
            <v>0</v>
          </cell>
          <cell r="BR480">
            <v>484800000</v>
          </cell>
          <cell r="BS480">
            <v>484800000</v>
          </cell>
          <cell r="BT480">
            <v>458100000</v>
          </cell>
          <cell r="BU480">
            <v>458100000</v>
          </cell>
          <cell r="BV480" t="str">
            <v>No</v>
          </cell>
        </row>
        <row r="481">
          <cell r="A481">
            <v>19265</v>
          </cell>
          <cell r="B481" t="str">
            <v>TISHMAN SPEYER EUROPEAN REAL ESTATE VENTURE VIII</v>
          </cell>
          <cell r="C481" t="str">
            <v>TISHMAN SPEYER</v>
          </cell>
          <cell r="D481" t="str">
            <v>34-38, Avenue de la Liberte</v>
          </cell>
          <cell r="F481" t="str">
            <v>Luxembourg</v>
          </cell>
          <cell r="G481" t="str">
            <v>Luxembourg</v>
          </cell>
          <cell r="Q481" t="str">
            <v>Luxembourg</v>
          </cell>
          <cell r="R481" t="str">
            <v>EUR</v>
          </cell>
          <cell r="S481" t="str">
            <v>IFRS</v>
          </cell>
          <cell r="T481" t="str">
            <v>Quarterly</v>
          </cell>
          <cell r="U481" t="str">
            <v>Quarterly</v>
          </cell>
          <cell r="V481" t="str">
            <v>RICS</v>
          </cell>
          <cell r="Y481" t="str">
            <v>Limited Partnership</v>
          </cell>
          <cell r="Z481" t="str">
            <v>No</v>
          </cell>
          <cell r="AC481" t="str">
            <v>Non-Listed Fund</v>
          </cell>
          <cell r="AD481" t="str">
            <v>Value-added</v>
          </cell>
          <cell r="AE481" t="str">
            <v>finite</v>
          </cell>
          <cell r="AF481" t="str">
            <v>Closed end</v>
          </cell>
          <cell r="AG481">
            <v>11</v>
          </cell>
          <cell r="AH481">
            <v>13</v>
          </cell>
          <cell r="AI481" t="str">
            <v>Net</v>
          </cell>
          <cell r="AM481" t="str">
            <v>&gt; 60%</v>
          </cell>
          <cell r="AN481" t="str">
            <v>Institutional</v>
          </cell>
          <cell r="AO481" t="str">
            <v>&gt; 2</v>
          </cell>
          <cell r="AP481" t="str">
            <v>≥ 50%</v>
          </cell>
          <cell r="AQ481" t="str">
            <v>Europe</v>
          </cell>
          <cell r="AR481" t="str">
            <v>multi country</v>
          </cell>
          <cell r="AS481" t="str">
            <v>Western Europe</v>
          </cell>
          <cell r="AU481" t="str">
            <v>multi sector</v>
          </cell>
          <cell r="AY481">
            <v>2017</v>
          </cell>
          <cell r="BA481" t="str">
            <v>Yes</v>
          </cell>
          <cell r="BG481" t="str">
            <v>&gt; 25%</v>
          </cell>
          <cell r="BH481" t="str">
            <v>2020-12-31</v>
          </cell>
          <cell r="BI481">
            <v>480782768</v>
          </cell>
          <cell r="BJ481">
            <v>480782768</v>
          </cell>
          <cell r="BK481">
            <v>132295017</v>
          </cell>
          <cell r="BL481">
            <v>132295017</v>
          </cell>
          <cell r="BM481">
            <v>60</v>
          </cell>
          <cell r="BN481" t="str">
            <v>Yes</v>
          </cell>
          <cell r="BO481" t="str">
            <v>Internal</v>
          </cell>
          <cell r="BP481">
            <v>0</v>
          </cell>
          <cell r="BQ481">
            <v>6</v>
          </cell>
          <cell r="BR481">
            <v>750247983</v>
          </cell>
          <cell r="BS481">
            <v>750247983</v>
          </cell>
          <cell r="BT481">
            <v>160525020</v>
          </cell>
          <cell r="BU481">
            <v>160525020</v>
          </cell>
          <cell r="BV481" t="str">
            <v>No</v>
          </cell>
          <cell r="BW481" t="str">
            <v>France</v>
          </cell>
          <cell r="BX481" t="str">
            <v>Office</v>
          </cell>
          <cell r="BY481">
            <v>87</v>
          </cell>
          <cell r="BZ481" t="str">
            <v>Germany</v>
          </cell>
          <cell r="CA481" t="str">
            <v>Office</v>
          </cell>
          <cell r="CB481">
            <v>8</v>
          </cell>
          <cell r="CC481" t="str">
            <v>Spain</v>
          </cell>
          <cell r="CD481" t="str">
            <v>Office</v>
          </cell>
          <cell r="CE481">
            <v>5</v>
          </cell>
        </row>
        <row r="482">
          <cell r="A482">
            <v>19582</v>
          </cell>
          <cell r="B482" t="str">
            <v xml:space="preserve">TRANSEUROPEAN PROPERTY VII </v>
          </cell>
          <cell r="C482" t="str">
            <v>PATRIZIA PROPERTY INVESTMENT MANAGERS LLP</v>
          </cell>
          <cell r="D482" t="str">
            <v>166 Sloane Street</v>
          </cell>
          <cell r="E482" t="str">
            <v>SW1X 9QF</v>
          </cell>
          <cell r="F482" t="str">
            <v>London</v>
          </cell>
          <cell r="G482" t="str">
            <v>United Kingdom</v>
          </cell>
          <cell r="H482" t="str">
            <v>+442077613300</v>
          </cell>
          <cell r="K482" t="str">
            <v>Charles Tarriere</v>
          </cell>
          <cell r="L482" t="str">
            <v>Charles.Tarriere@patrizia.ag</v>
          </cell>
          <cell r="M482" t="str">
            <v>+442077613385</v>
          </cell>
          <cell r="Q482" t="str">
            <v>United Kingdom</v>
          </cell>
          <cell r="R482" t="str">
            <v>EUR</v>
          </cell>
          <cell r="S482" t="str">
            <v>IFRS</v>
          </cell>
          <cell r="T482" t="str">
            <v>Quarterly</v>
          </cell>
          <cell r="U482" t="str">
            <v>Quarterly</v>
          </cell>
          <cell r="V482" t="str">
            <v>RICS</v>
          </cell>
          <cell r="W482" t="str">
            <v>INREV NAV</v>
          </cell>
          <cell r="Y482" t="str">
            <v>Limited Partnership</v>
          </cell>
          <cell r="Z482" t="str">
            <v>Yes</v>
          </cell>
          <cell r="AB482">
            <v>0</v>
          </cell>
          <cell r="AC482" t="str">
            <v>Non-Listed Fund</v>
          </cell>
          <cell r="AD482" t="str">
            <v>Value-added</v>
          </cell>
          <cell r="AE482" t="str">
            <v>finite</v>
          </cell>
          <cell r="AF482" t="str">
            <v>Closed end</v>
          </cell>
          <cell r="AI482" t="str">
            <v>Net</v>
          </cell>
          <cell r="AM482" t="str">
            <v>&gt; 40% - ≤ 60%</v>
          </cell>
          <cell r="AN482" t="str">
            <v>Institutional</v>
          </cell>
          <cell r="AO482" t="str">
            <v>&gt; 2</v>
          </cell>
          <cell r="AP482" t="str">
            <v>≥ 50%</v>
          </cell>
          <cell r="AQ482" t="str">
            <v>Europe</v>
          </cell>
          <cell r="AR482" t="str">
            <v>multi country</v>
          </cell>
          <cell r="AS482" t="str">
            <v>Europe</v>
          </cell>
          <cell r="AU482" t="str">
            <v>multi sector</v>
          </cell>
          <cell r="AY482">
            <v>2018</v>
          </cell>
          <cell r="BD482" t="str">
            <v>No</v>
          </cell>
          <cell r="BH482" t="str">
            <v>2020-12-31</v>
          </cell>
          <cell r="BI482">
            <v>624276442</v>
          </cell>
          <cell r="BJ482">
            <v>624276442</v>
          </cell>
          <cell r="BK482">
            <v>323014074</v>
          </cell>
          <cell r="BL482">
            <v>323014074</v>
          </cell>
          <cell r="BM482">
            <v>43.68</v>
          </cell>
          <cell r="BN482" t="str">
            <v>No</v>
          </cell>
          <cell r="BO482" t="str">
            <v>External</v>
          </cell>
          <cell r="BP482">
            <v>13</v>
          </cell>
          <cell r="BQ482">
            <v>13</v>
          </cell>
          <cell r="BR482">
            <v>735280000</v>
          </cell>
          <cell r="BS482">
            <v>735280000</v>
          </cell>
          <cell r="BT482">
            <v>253714929</v>
          </cell>
          <cell r="BU482">
            <v>253714929</v>
          </cell>
          <cell r="BV482" t="str">
            <v>No</v>
          </cell>
          <cell r="BW482" t="str">
            <v>Denmark</v>
          </cell>
          <cell r="BX482" t="str">
            <v>Office</v>
          </cell>
          <cell r="BY482">
            <v>2.7</v>
          </cell>
          <cell r="BZ482" t="str">
            <v>United Kingdom</v>
          </cell>
          <cell r="CA482" t="str">
            <v>Office</v>
          </cell>
          <cell r="CB482">
            <v>12.4</v>
          </cell>
          <cell r="CC482" t="str">
            <v>Germany</v>
          </cell>
          <cell r="CD482" t="str">
            <v>Office</v>
          </cell>
          <cell r="CE482">
            <v>20.399999999999999</v>
          </cell>
          <cell r="CF482" t="str">
            <v>United Kingdom</v>
          </cell>
          <cell r="CG482" t="str">
            <v>Retail</v>
          </cell>
          <cell r="CH482">
            <v>10.1</v>
          </cell>
          <cell r="CI482" t="str">
            <v>France</v>
          </cell>
          <cell r="CJ482" t="str">
            <v>Industrial / Logistics</v>
          </cell>
          <cell r="CK482">
            <v>14</v>
          </cell>
          <cell r="CL482" t="str">
            <v>France</v>
          </cell>
          <cell r="CM482" t="str">
            <v>Office</v>
          </cell>
          <cell r="CN482">
            <v>7.3</v>
          </cell>
          <cell r="CO482" t="str">
            <v>Spain</v>
          </cell>
          <cell r="CP482" t="str">
            <v>Office</v>
          </cell>
          <cell r="CQ482">
            <v>8.9</v>
          </cell>
          <cell r="CR482" t="str">
            <v>Spain</v>
          </cell>
          <cell r="CS482" t="str">
            <v>Industrial / Logistics</v>
          </cell>
          <cell r="CT482">
            <v>7.3</v>
          </cell>
        </row>
        <row r="483">
          <cell r="A483">
            <v>18590</v>
          </cell>
          <cell r="B483" t="str">
            <v>TREVIAN FINLAND PROPERTIES I</v>
          </cell>
          <cell r="C483" t="str">
            <v>TREVIAN FUNDS AIFM</v>
          </cell>
          <cell r="D483" t="str">
            <v>Pohjoisesplanadi 35 E</v>
          </cell>
          <cell r="E483">
            <v>100</v>
          </cell>
          <cell r="F483" t="str">
            <v>Helsinki</v>
          </cell>
          <cell r="G483" t="str">
            <v>Finland</v>
          </cell>
          <cell r="H483" t="str">
            <v>+358105813850</v>
          </cell>
          <cell r="J483" t="str">
            <v>https://trevian.fi/</v>
          </cell>
          <cell r="K483" t="str">
            <v>Risto Aro</v>
          </cell>
          <cell r="L483" t="str">
            <v>risto.aro@trevianrahastot.fi</v>
          </cell>
          <cell r="N483" t="str">
            <v>Jussipekka Aumo</v>
          </cell>
          <cell r="O483" t="str">
            <v>jussipekka.aumo@trevianrahastot.fi</v>
          </cell>
          <cell r="P483" t="str">
            <v>+358504280668</v>
          </cell>
          <cell r="Q483" t="str">
            <v>Finland</v>
          </cell>
          <cell r="R483" t="str">
            <v>EUR</v>
          </cell>
          <cell r="S483" t="str">
            <v>Local GAAP</v>
          </cell>
          <cell r="T483" t="str">
            <v>Quarterly</v>
          </cell>
          <cell r="U483" t="str">
            <v>Quarterly</v>
          </cell>
          <cell r="V483" t="str">
            <v>RICS</v>
          </cell>
          <cell r="X483" t="str">
            <v>KPMG</v>
          </cell>
          <cell r="Y483" t="str">
            <v>Real Estate Fund</v>
          </cell>
          <cell r="AC483" t="str">
            <v>Non-Listed Fund</v>
          </cell>
          <cell r="AD483" t="str">
            <v>Value-added</v>
          </cell>
          <cell r="AE483" t="str">
            <v>infinite</v>
          </cell>
          <cell r="AF483" t="str">
            <v>Open end</v>
          </cell>
          <cell r="AL483">
            <v>45</v>
          </cell>
          <cell r="AM483" t="str">
            <v>&gt; 40% - ≤ 60%</v>
          </cell>
          <cell r="AN483" t="str">
            <v>Institutional</v>
          </cell>
          <cell r="AO483" t="str">
            <v>&gt; 2</v>
          </cell>
          <cell r="AP483" t="str">
            <v>≥ 50%</v>
          </cell>
          <cell r="AQ483" t="str">
            <v>Europe</v>
          </cell>
          <cell r="AR483" t="str">
            <v>single country</v>
          </cell>
          <cell r="AT483" t="str">
            <v>Finland</v>
          </cell>
          <cell r="AU483" t="str">
            <v>multi sector</v>
          </cell>
          <cell r="AW483">
            <v>500000000</v>
          </cell>
          <cell r="AX483">
            <v>800000000</v>
          </cell>
          <cell r="AY483">
            <v>2017</v>
          </cell>
          <cell r="BE483" t="str">
            <v>≥ 60%</v>
          </cell>
          <cell r="BF483" t="str">
            <v>≤ 15%</v>
          </cell>
          <cell r="BG483" t="str">
            <v>&gt; 5 - ≤ 25%</v>
          </cell>
          <cell r="BH483" t="str">
            <v>2019-09-30</v>
          </cell>
          <cell r="BI483">
            <v>254404222.38999999</v>
          </cell>
          <cell r="BJ483">
            <v>254404222.38999999</v>
          </cell>
          <cell r="BK483">
            <v>169217988.84999999</v>
          </cell>
          <cell r="BL483">
            <v>169217988.84999999</v>
          </cell>
          <cell r="BM483">
            <v>31.3</v>
          </cell>
          <cell r="BN483" t="str">
            <v>Yes</v>
          </cell>
          <cell r="BO483" t="str">
            <v>External</v>
          </cell>
          <cell r="BS483">
            <v>0</v>
          </cell>
          <cell r="BW483" t="str">
            <v>Finland</v>
          </cell>
          <cell r="BX483" t="str">
            <v>Mixed</v>
          </cell>
          <cell r="BY483">
            <v>97.3</v>
          </cell>
        </row>
        <row r="484">
          <cell r="A484">
            <v>478</v>
          </cell>
          <cell r="B484" t="str">
            <v>TRITON PROPERTY FUND LP</v>
          </cell>
          <cell r="C484" t="str">
            <v>UBS ASSET MANAGEMENT FUNDS LTD</v>
          </cell>
          <cell r="D484" t="str">
            <v>5 Broadgate</v>
          </cell>
          <cell r="E484" t="str">
            <v>EC2M 2QS</v>
          </cell>
          <cell r="F484" t="str">
            <v>London</v>
          </cell>
          <cell r="G484" t="str">
            <v>United Kingdom</v>
          </cell>
          <cell r="H484" t="str">
            <v>+44 (0) 20 7567 8000</v>
          </cell>
          <cell r="J484" t="str">
            <v>http://www.ubs.com</v>
          </cell>
          <cell r="K484" t="str">
            <v>Jonathan Hollick</v>
          </cell>
          <cell r="L484" t="str">
            <v>jonathan.hollick@ubs.com</v>
          </cell>
          <cell r="M484" t="str">
            <v>+44 20 79015988</v>
          </cell>
          <cell r="N484" t="str">
            <v>Eoin Bastible</v>
          </cell>
          <cell r="O484" t="str">
            <v>eoin.bastible@ubs.com</v>
          </cell>
          <cell r="P484" t="str">
            <v>+44 20 79015204</v>
          </cell>
          <cell r="Q484" t="str">
            <v>United Kingdom</v>
          </cell>
          <cell r="R484" t="str">
            <v>GBP</v>
          </cell>
          <cell r="S484" t="str">
            <v>IFRS</v>
          </cell>
          <cell r="T484" t="str">
            <v>Annually</v>
          </cell>
          <cell r="U484" t="str">
            <v>Monthly</v>
          </cell>
          <cell r="V484" t="str">
            <v>RICS</v>
          </cell>
          <cell r="W484" t="str">
            <v>IFRS NAV</v>
          </cell>
          <cell r="X484" t="str">
            <v>Ernst &amp; Young</v>
          </cell>
          <cell r="Y484" t="str">
            <v>Limited Partnership</v>
          </cell>
          <cell r="Z484" t="str">
            <v>No</v>
          </cell>
          <cell r="AA484" t="str">
            <v>Yes</v>
          </cell>
          <cell r="AB484">
            <v>3</v>
          </cell>
          <cell r="AC484" t="str">
            <v>Non-Listed Fund</v>
          </cell>
          <cell r="AD484" t="str">
            <v>Core</v>
          </cell>
          <cell r="AE484" t="str">
            <v>finite</v>
          </cell>
          <cell r="AF484" t="str">
            <v>Open end</v>
          </cell>
          <cell r="AJ484" t="str">
            <v>MSCI/AREF UK Quarterly Property Fund Indices All Balanced Funds Index Weighted Average</v>
          </cell>
          <cell r="AL484">
            <v>10</v>
          </cell>
          <cell r="AM484" t="str">
            <v>≤ 40%</v>
          </cell>
          <cell r="AN484" t="str">
            <v>Institutional</v>
          </cell>
          <cell r="AO484" t="str">
            <v>&gt; 2</v>
          </cell>
          <cell r="AP484" t="str">
            <v>≥ 50%</v>
          </cell>
          <cell r="AQ484" t="str">
            <v>Europe</v>
          </cell>
          <cell r="AR484" t="str">
            <v>single country</v>
          </cell>
          <cell r="AT484" t="str">
            <v>United Kingdom</v>
          </cell>
          <cell r="AU484" t="str">
            <v>multi sector</v>
          </cell>
          <cell r="AY484">
            <v>1994</v>
          </cell>
          <cell r="AZ484">
            <v>2070</v>
          </cell>
          <cell r="BA484" t="str">
            <v>No</v>
          </cell>
          <cell r="BB484" t="str">
            <v>No</v>
          </cell>
          <cell r="BD484" t="str">
            <v>Yes</v>
          </cell>
          <cell r="BG484" t="str">
            <v>&gt; 5 - ≤ 25%</v>
          </cell>
          <cell r="BH484" t="str">
            <v>2020-12-31</v>
          </cell>
          <cell r="BI484">
            <v>939381744.47000003</v>
          </cell>
          <cell r="BJ484">
            <v>1038532637.45833</v>
          </cell>
          <cell r="BK484">
            <v>883622233.47000003</v>
          </cell>
          <cell r="BL484">
            <v>976887760.53463721</v>
          </cell>
          <cell r="BM484">
            <v>5.9357669370000004</v>
          </cell>
          <cell r="BN484" t="str">
            <v>No</v>
          </cell>
          <cell r="BO484" t="str">
            <v>External</v>
          </cell>
          <cell r="BP484">
            <v>55</v>
          </cell>
          <cell r="BQ484">
            <v>29</v>
          </cell>
          <cell r="BS484">
            <v>0</v>
          </cell>
          <cell r="BV484" t="str">
            <v>Yes</v>
          </cell>
          <cell r="BW484" t="str">
            <v>United Kingdom</v>
          </cell>
          <cell r="BX484" t="str">
            <v>Leisure</v>
          </cell>
          <cell r="BY484">
            <v>2.48</v>
          </cell>
          <cell r="BZ484" t="str">
            <v>United Kingdom</v>
          </cell>
          <cell r="CA484" t="str">
            <v>Student Housing</v>
          </cell>
          <cell r="CB484">
            <v>9.99</v>
          </cell>
          <cell r="CC484" t="str">
            <v>United Kingdom</v>
          </cell>
          <cell r="CD484" t="str">
            <v>Industrial / Logistics</v>
          </cell>
          <cell r="CE484">
            <v>43.62</v>
          </cell>
          <cell r="CF484" t="str">
            <v>United Kingdom</v>
          </cell>
          <cell r="CG484" t="str">
            <v>Retail</v>
          </cell>
          <cell r="CH484">
            <v>20.190000000000001</v>
          </cell>
          <cell r="CI484" t="str">
            <v>United Kingdom</v>
          </cell>
          <cell r="CJ484" t="str">
            <v>Office</v>
          </cell>
          <cell r="CK484">
            <v>23.44</v>
          </cell>
        </row>
        <row r="485">
          <cell r="A485">
            <v>18390</v>
          </cell>
          <cell r="B485" t="str">
            <v>TRIUVA GARBE LOGISTIK EUROPA</v>
          </cell>
          <cell r="G485" t="str">
            <v>Germany</v>
          </cell>
          <cell r="Q485" t="str">
            <v>Germany</v>
          </cell>
          <cell r="R485" t="str">
            <v>EUR</v>
          </cell>
          <cell r="T485" t="str">
            <v>Quarterly</v>
          </cell>
          <cell r="U485" t="str">
            <v>Quarterly</v>
          </cell>
          <cell r="W485" t="str">
            <v>German Special Fund Investment Law GAAP</v>
          </cell>
          <cell r="Y485" t="str">
            <v>Spezialfonds</v>
          </cell>
          <cell r="AC485" t="str">
            <v>Non-Listed Fund</v>
          </cell>
          <cell r="AD485" t="str">
            <v>Core</v>
          </cell>
          <cell r="AE485" t="str">
            <v>infinite</v>
          </cell>
          <cell r="AF485" t="str">
            <v>Open end</v>
          </cell>
          <cell r="AM485" t="str">
            <v>≤ 40%</v>
          </cell>
          <cell r="AN485" t="str">
            <v>Institutional</v>
          </cell>
          <cell r="AO485" t="str">
            <v>&gt; 2</v>
          </cell>
          <cell r="AP485" t="str">
            <v>≥ 50%</v>
          </cell>
          <cell r="AQ485" t="str">
            <v>Europe</v>
          </cell>
          <cell r="AR485" t="str">
            <v>multi country</v>
          </cell>
          <cell r="AS485" t="str">
            <v>Europe</v>
          </cell>
          <cell r="AU485" t="str">
            <v>single sector</v>
          </cell>
          <cell r="AV485" t="str">
            <v>Industrial / Logistics</v>
          </cell>
          <cell r="AY485">
            <v>2017</v>
          </cell>
          <cell r="BH485" t="str">
            <v>2020-12-31</v>
          </cell>
          <cell r="BI485">
            <v>208732687.12</v>
          </cell>
          <cell r="BJ485">
            <v>208732687.12</v>
          </cell>
          <cell r="BK485">
            <v>208732687.12</v>
          </cell>
          <cell r="BL485">
            <v>208732687.12</v>
          </cell>
          <cell r="BM485">
            <v>0</v>
          </cell>
          <cell r="BN485" t="str">
            <v>No</v>
          </cell>
          <cell r="BO485" t="str">
            <v>Internal</v>
          </cell>
          <cell r="BP485">
            <v>5</v>
          </cell>
          <cell r="BQ485">
            <v>9</v>
          </cell>
          <cell r="BR485">
            <v>0</v>
          </cell>
          <cell r="BS485">
            <v>0</v>
          </cell>
          <cell r="BT485">
            <v>0</v>
          </cell>
          <cell r="BV485" t="str">
            <v>No</v>
          </cell>
          <cell r="BW485" t="str">
            <v>France</v>
          </cell>
          <cell r="BX485" t="str">
            <v>Industrial / Logistics</v>
          </cell>
          <cell r="BY485">
            <v>27.62</v>
          </cell>
          <cell r="BZ485" t="str">
            <v>Netherlands</v>
          </cell>
          <cell r="CA485" t="str">
            <v>Industrial / Logistics</v>
          </cell>
          <cell r="CB485">
            <v>34.1</v>
          </cell>
          <cell r="CC485" t="str">
            <v>Germany</v>
          </cell>
          <cell r="CD485" t="str">
            <v>Industrial / Logistics</v>
          </cell>
          <cell r="CE485">
            <v>38.28</v>
          </cell>
        </row>
        <row r="486">
          <cell r="A486">
            <v>471</v>
          </cell>
          <cell r="B486" t="str">
            <v>UBS (D) 3 SECTOR REAL ESTATE EUROPE</v>
          </cell>
          <cell r="C486" t="str">
            <v>UBS REAL ESTATE GMBH ON BEHALF OF CACEIS BANK DEUTSCHLAND GMBH</v>
          </cell>
          <cell r="D486" t="str">
            <v>Theatinerstrasse 16</v>
          </cell>
          <cell r="E486">
            <v>80333</v>
          </cell>
          <cell r="F486" t="str">
            <v>Munich</v>
          </cell>
          <cell r="G486" t="str">
            <v>Germany</v>
          </cell>
          <cell r="H486" t="str">
            <v>+49892060950</v>
          </cell>
          <cell r="I486" t="str">
            <v>+4989206095200</v>
          </cell>
          <cell r="J486" t="str">
            <v>http://www.3-sector-real-estate-europe.de</v>
          </cell>
          <cell r="K486" t="str">
            <v>Anita Koch</v>
          </cell>
          <cell r="L486" t="str">
            <v>anita.koch@ubs.com</v>
          </cell>
          <cell r="M486" t="str">
            <v>+4989206095107</v>
          </cell>
          <cell r="N486" t="str">
            <v>Hubert Kirchberger</v>
          </cell>
          <cell r="O486" t="str">
            <v>anita.koch@ubs.com</v>
          </cell>
          <cell r="P486" t="str">
            <v>+4989206095280</v>
          </cell>
          <cell r="Q486" t="str">
            <v>Germany</v>
          </cell>
          <cell r="R486" t="str">
            <v>EUR</v>
          </cell>
          <cell r="T486" t="str">
            <v>Twice per year</v>
          </cell>
          <cell r="U486" t="str">
            <v>Annually</v>
          </cell>
          <cell r="W486" t="str">
            <v>KAGB</v>
          </cell>
          <cell r="X486" t="str">
            <v>Ernst &amp; Young GmbH</v>
          </cell>
          <cell r="Y486" t="str">
            <v>Publikumsfonds</v>
          </cell>
          <cell r="Z486" t="str">
            <v>No</v>
          </cell>
          <cell r="AB486">
            <v>0</v>
          </cell>
          <cell r="AC486" t="str">
            <v>Non-Listed Fund</v>
          </cell>
          <cell r="AD486" t="str">
            <v>Core</v>
          </cell>
          <cell r="AE486" t="str">
            <v>infinite</v>
          </cell>
          <cell r="AF486" t="str">
            <v>Open end</v>
          </cell>
          <cell r="AG486">
            <v>4</v>
          </cell>
          <cell r="AH486">
            <v>6</v>
          </cell>
          <cell r="AI486" t="str">
            <v>Net</v>
          </cell>
          <cell r="AK486">
            <v>4</v>
          </cell>
          <cell r="AL486">
            <v>0</v>
          </cell>
          <cell r="AN486" t="str">
            <v>Institutional and Retail</v>
          </cell>
          <cell r="AO486" t="str">
            <v>&gt; 2</v>
          </cell>
          <cell r="AP486" t="str">
            <v>≥ 50%</v>
          </cell>
          <cell r="AQ486" t="str">
            <v>Europe</v>
          </cell>
          <cell r="AR486" t="str">
            <v>multi country</v>
          </cell>
          <cell r="AS486" t="str">
            <v>Europe</v>
          </cell>
          <cell r="AU486" t="str">
            <v>multi sector</v>
          </cell>
          <cell r="AW486">
            <v>0</v>
          </cell>
          <cell r="AX486">
            <v>0</v>
          </cell>
          <cell r="AY486">
            <v>2003</v>
          </cell>
          <cell r="BH486" t="str">
            <v>2020-12-31</v>
          </cell>
          <cell r="BI486">
            <v>15163173</v>
          </cell>
          <cell r="BJ486">
            <v>15163173</v>
          </cell>
          <cell r="BK486">
            <v>14422481</v>
          </cell>
          <cell r="BL486">
            <v>14422481</v>
          </cell>
          <cell r="BM486">
            <v>0</v>
          </cell>
          <cell r="BN486" t="str">
            <v>No</v>
          </cell>
          <cell r="BO486" t="str">
            <v>External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V486" t="str">
            <v>No</v>
          </cell>
        </row>
        <row r="487">
          <cell r="A487">
            <v>613</v>
          </cell>
          <cell r="B487" t="str">
            <v>UBS (D) CORE OPPORTUNITIES EUROPE</v>
          </cell>
          <cell r="C487" t="str">
            <v>UBS REAL ESTATE GMBH</v>
          </cell>
          <cell r="D487" t="str">
            <v>Theatinerstr. 16</v>
          </cell>
          <cell r="E487" t="str">
            <v>D-80333</v>
          </cell>
          <cell r="F487" t="str">
            <v>Munich</v>
          </cell>
          <cell r="G487" t="str">
            <v>Germany</v>
          </cell>
          <cell r="H487" t="str">
            <v>+49-89-20 60 95 0</v>
          </cell>
          <cell r="I487" t="str">
            <v>+49-89-20 60 95-200</v>
          </cell>
          <cell r="J487" t="str">
            <v>http://www.ubs.com</v>
          </cell>
          <cell r="K487" t="str">
            <v>Anna Dorothea Koestler</v>
          </cell>
          <cell r="L487" t="str">
            <v>anna.dorothea.koestler@ubs.com</v>
          </cell>
          <cell r="M487" t="str">
            <v>+49-89-20 60 95-146</v>
          </cell>
          <cell r="N487" t="str">
            <v>Anna Dorothea Koestler</v>
          </cell>
          <cell r="O487" t="str">
            <v>anna-dorothea.koestler@ubs.com</v>
          </cell>
          <cell r="P487" t="str">
            <v>+49-89-20 60 95-200</v>
          </cell>
          <cell r="Q487" t="str">
            <v>Germany</v>
          </cell>
          <cell r="R487" t="str">
            <v>EUR</v>
          </cell>
          <cell r="T487" t="str">
            <v>Monthly</v>
          </cell>
          <cell r="U487" t="str">
            <v>Annually</v>
          </cell>
          <cell r="W487" t="str">
            <v>KAGB</v>
          </cell>
          <cell r="X487" t="str">
            <v>Ernst &amp; Young</v>
          </cell>
          <cell r="Y487" t="str">
            <v>Spezialfonds</v>
          </cell>
          <cell r="Z487" t="str">
            <v>No</v>
          </cell>
          <cell r="AB487">
            <v>0</v>
          </cell>
          <cell r="AC487" t="str">
            <v>Non-Listed Fund</v>
          </cell>
          <cell r="AD487" t="str">
            <v>Core</v>
          </cell>
          <cell r="AE487" t="str">
            <v>infinite</v>
          </cell>
          <cell r="AF487" t="str">
            <v>Open end</v>
          </cell>
          <cell r="AG487">
            <v>5</v>
          </cell>
          <cell r="AJ487" t="str">
            <v>IPD SFIX</v>
          </cell>
          <cell r="AK487">
            <v>4.5</v>
          </cell>
          <cell r="AL487">
            <v>40</v>
          </cell>
          <cell r="AM487" t="str">
            <v>&gt; 40% - ≤ 60%</v>
          </cell>
          <cell r="AN487" t="str">
            <v>Institutional</v>
          </cell>
          <cell r="AO487" t="str">
            <v>&gt; 2</v>
          </cell>
          <cell r="AP487" t="str">
            <v>≥ 50%</v>
          </cell>
          <cell r="AQ487" t="str">
            <v>Europe</v>
          </cell>
          <cell r="AR487" t="str">
            <v>multi country</v>
          </cell>
          <cell r="AS487" t="str">
            <v>Europe</v>
          </cell>
          <cell r="AU487" t="str">
            <v>multi sector</v>
          </cell>
          <cell r="AY487">
            <v>2011</v>
          </cell>
          <cell r="BH487" t="str">
            <v>2020-12-31</v>
          </cell>
          <cell r="BI487">
            <v>283201903</v>
          </cell>
          <cell r="BJ487">
            <v>283201903</v>
          </cell>
          <cell r="BK487">
            <v>167265861</v>
          </cell>
          <cell r="BL487">
            <v>167265861</v>
          </cell>
          <cell r="BM487">
            <v>41.7</v>
          </cell>
          <cell r="BN487" t="str">
            <v>No</v>
          </cell>
          <cell r="BO487" t="str">
            <v>External</v>
          </cell>
          <cell r="BP487">
            <v>0</v>
          </cell>
          <cell r="BQ487">
            <v>6</v>
          </cell>
          <cell r="BR487">
            <v>0</v>
          </cell>
          <cell r="BS487">
            <v>0</v>
          </cell>
          <cell r="BT487">
            <v>0</v>
          </cell>
          <cell r="BV487" t="str">
            <v>No</v>
          </cell>
          <cell r="BW487" t="str">
            <v>Spain</v>
          </cell>
          <cell r="BX487" t="str">
            <v>Office</v>
          </cell>
          <cell r="BY487">
            <v>39</v>
          </cell>
          <cell r="BZ487" t="str">
            <v>Spain</v>
          </cell>
          <cell r="CA487" t="str">
            <v>Retail</v>
          </cell>
          <cell r="CB487">
            <v>7</v>
          </cell>
          <cell r="CC487" t="str">
            <v>France</v>
          </cell>
          <cell r="CD487" t="str">
            <v>Retail</v>
          </cell>
          <cell r="CE487">
            <v>13</v>
          </cell>
          <cell r="CF487" t="str">
            <v>Germany</v>
          </cell>
          <cell r="CG487" t="str">
            <v>Office</v>
          </cell>
          <cell r="CH487">
            <v>27</v>
          </cell>
          <cell r="CI487" t="str">
            <v>United Kingdom</v>
          </cell>
          <cell r="CJ487" t="str">
            <v>Office</v>
          </cell>
          <cell r="CK487">
            <v>14</v>
          </cell>
        </row>
        <row r="488">
          <cell r="A488">
            <v>472</v>
          </cell>
          <cell r="B488" t="str">
            <v>UBS (D) EUROINVEST IMMOBILIEN I-DIST</v>
          </cell>
          <cell r="C488" t="str">
            <v>UBS REAL ESTATE GMBH</v>
          </cell>
          <cell r="D488" t="str">
            <v>Theatinerstrasse 16</v>
          </cell>
          <cell r="E488">
            <v>80333</v>
          </cell>
          <cell r="F488" t="str">
            <v>Munich</v>
          </cell>
          <cell r="G488" t="str">
            <v>Germany</v>
          </cell>
          <cell r="H488" t="str">
            <v>+49 (0) 89 206 095 0</v>
          </cell>
          <cell r="I488" t="str">
            <v>+49 (0) 89 206 095 200</v>
          </cell>
          <cell r="J488" t="str">
            <v>http://www.ubs.com</v>
          </cell>
          <cell r="K488" t="str">
            <v>Alexander Isak</v>
          </cell>
          <cell r="L488" t="str">
            <v>alexander.isak@ubs.com</v>
          </cell>
          <cell r="M488" t="str">
            <v>+49 (0) 89 20 60 95 124</v>
          </cell>
          <cell r="N488" t="str">
            <v>Hubert Kirchberger</v>
          </cell>
          <cell r="O488" t="str">
            <v>hubert.kirchberger@ubs.com</v>
          </cell>
          <cell r="P488" t="str">
            <v>+49 (0) 89 206 095 280</v>
          </cell>
          <cell r="Q488" t="str">
            <v>Germany</v>
          </cell>
          <cell r="R488" t="str">
            <v>EUR</v>
          </cell>
          <cell r="T488" t="str">
            <v>Twice per year</v>
          </cell>
          <cell r="U488" t="str">
            <v>Quarterly</v>
          </cell>
          <cell r="V488" t="str">
            <v>ImmoWertV</v>
          </cell>
          <cell r="W488" t="str">
            <v>KAGB</v>
          </cell>
          <cell r="X488" t="str">
            <v>Ernst &amp; Young GmbH</v>
          </cell>
          <cell r="Y488" t="str">
            <v>Publikumsfonds</v>
          </cell>
          <cell r="Z488" t="str">
            <v>No</v>
          </cell>
          <cell r="AB488">
            <v>0</v>
          </cell>
          <cell r="AC488" t="str">
            <v>Non-Listed Fund</v>
          </cell>
          <cell r="AD488" t="str">
            <v>Core</v>
          </cell>
          <cell r="AE488" t="str">
            <v>infinite</v>
          </cell>
          <cell r="AF488" t="str">
            <v>Open end</v>
          </cell>
          <cell r="AG488">
            <v>3</v>
          </cell>
          <cell r="AH488">
            <v>5</v>
          </cell>
          <cell r="AI488" t="str">
            <v>Net</v>
          </cell>
          <cell r="AK488">
            <v>2</v>
          </cell>
          <cell r="AL488">
            <v>30</v>
          </cell>
          <cell r="AM488" t="str">
            <v>≤ 40%</v>
          </cell>
          <cell r="AN488" t="str">
            <v>Institutional</v>
          </cell>
          <cell r="AO488" t="str">
            <v>&gt; 2</v>
          </cell>
          <cell r="AP488" t="str">
            <v>≥ 50%</v>
          </cell>
          <cell r="AQ488" t="str">
            <v>Europe</v>
          </cell>
          <cell r="AR488" t="str">
            <v>multi country</v>
          </cell>
          <cell r="AS488" t="str">
            <v>Europe</v>
          </cell>
          <cell r="AU488" t="str">
            <v>single sector</v>
          </cell>
          <cell r="AV488" t="str">
            <v>Office</v>
          </cell>
          <cell r="AW488">
            <v>800000000</v>
          </cell>
          <cell r="AX488">
            <v>100000000</v>
          </cell>
          <cell r="AY488">
            <v>1999</v>
          </cell>
          <cell r="BH488" t="str">
            <v>2020-12-31</v>
          </cell>
          <cell r="BI488">
            <v>841234994</v>
          </cell>
          <cell r="BJ488">
            <v>841234994</v>
          </cell>
          <cell r="BK488">
            <v>563050900</v>
          </cell>
          <cell r="BL488">
            <v>563050900</v>
          </cell>
          <cell r="BM488">
            <v>29.7</v>
          </cell>
          <cell r="BN488" t="str">
            <v>No</v>
          </cell>
          <cell r="BO488" t="str">
            <v>External</v>
          </cell>
          <cell r="BP488">
            <v>0</v>
          </cell>
          <cell r="BQ488">
            <v>13</v>
          </cell>
          <cell r="BR488">
            <v>0</v>
          </cell>
          <cell r="BS488">
            <v>0</v>
          </cell>
          <cell r="BT488">
            <v>0</v>
          </cell>
          <cell r="BV488" t="str">
            <v>Yes</v>
          </cell>
          <cell r="BW488" t="str">
            <v>Slovakia</v>
          </cell>
          <cell r="BX488" t="str">
            <v>Office</v>
          </cell>
          <cell r="BY488">
            <v>5</v>
          </cell>
          <cell r="BZ488" t="str">
            <v>Italy</v>
          </cell>
          <cell r="CA488" t="str">
            <v>Office</v>
          </cell>
          <cell r="CB488">
            <v>15</v>
          </cell>
          <cell r="CC488" t="str">
            <v>Luxembourg</v>
          </cell>
          <cell r="CD488" t="str">
            <v>Office</v>
          </cell>
          <cell r="CE488">
            <v>16</v>
          </cell>
          <cell r="CF488" t="str">
            <v>Belgium</v>
          </cell>
          <cell r="CG488" t="str">
            <v>Office</v>
          </cell>
          <cell r="CH488">
            <v>15</v>
          </cell>
          <cell r="CI488" t="str">
            <v>Spain</v>
          </cell>
          <cell r="CJ488" t="str">
            <v>Office</v>
          </cell>
          <cell r="CK488">
            <v>19</v>
          </cell>
          <cell r="CL488" t="str">
            <v>France</v>
          </cell>
          <cell r="CM488" t="str">
            <v>Office</v>
          </cell>
          <cell r="CN488">
            <v>30</v>
          </cell>
        </row>
        <row r="489">
          <cell r="A489">
            <v>19270</v>
          </cell>
          <cell r="B489" t="str">
            <v>UBS (D) EUROINVEST IMMOBILIEN P-DIST</v>
          </cell>
          <cell r="C489" t="str">
            <v>UBS REAL ESTATE GMBH</v>
          </cell>
          <cell r="D489" t="str">
            <v>Theatinerstraßsse 16</v>
          </cell>
          <cell r="E489">
            <v>80333</v>
          </cell>
          <cell r="F489" t="str">
            <v>Munich</v>
          </cell>
          <cell r="G489" t="str">
            <v>Germany</v>
          </cell>
          <cell r="H489" t="str">
            <v>+49 (0) 89 206 095 0</v>
          </cell>
          <cell r="I489" t="str">
            <v>+49 (0) 89 206 095 200</v>
          </cell>
          <cell r="J489" t="str">
            <v>http://www.ubs.com/immobilienfonds-deutschland</v>
          </cell>
          <cell r="K489" t="str">
            <v>Alexander Isak</v>
          </cell>
          <cell r="L489" t="str">
            <v>alexander.isak@ubs.com</v>
          </cell>
          <cell r="M489" t="str">
            <v>+49 (0) 89 206 095 124</v>
          </cell>
          <cell r="N489" t="str">
            <v>Anita Koch</v>
          </cell>
          <cell r="O489" t="str">
            <v>anita.koch@ubs.com</v>
          </cell>
          <cell r="P489" t="str">
            <v>+49 (0) 89 206 095 107</v>
          </cell>
          <cell r="Q489" t="str">
            <v>Germany</v>
          </cell>
          <cell r="R489" t="str">
            <v>EUR</v>
          </cell>
          <cell r="S489" t="str">
            <v>KAGB</v>
          </cell>
          <cell r="T489" t="str">
            <v>Twice per year</v>
          </cell>
          <cell r="U489" t="str">
            <v>Quarterly</v>
          </cell>
          <cell r="V489" t="str">
            <v>ImmoWertV</v>
          </cell>
          <cell r="X489" t="str">
            <v>Ernst &amp; Young GmbH</v>
          </cell>
          <cell r="Y489" t="str">
            <v>Publikumsfonds</v>
          </cell>
          <cell r="Z489" t="str">
            <v>No</v>
          </cell>
          <cell r="AC489" t="str">
            <v>Non-Listed Fund</v>
          </cell>
          <cell r="AD489" t="str">
            <v>Core</v>
          </cell>
          <cell r="AE489" t="str">
            <v>infinite</v>
          </cell>
          <cell r="AF489" t="str">
            <v>Open end</v>
          </cell>
          <cell r="AG489">
            <v>3</v>
          </cell>
          <cell r="AH489">
            <v>5</v>
          </cell>
          <cell r="AI489" t="str">
            <v>Net</v>
          </cell>
          <cell r="AK489">
            <v>2</v>
          </cell>
          <cell r="AL489">
            <v>30</v>
          </cell>
          <cell r="AM489" t="str">
            <v>≤ 40%</v>
          </cell>
          <cell r="AN489" t="str">
            <v>Retail</v>
          </cell>
          <cell r="AO489" t="str">
            <v>&gt; 2</v>
          </cell>
          <cell r="AP489" t="str">
            <v>&lt; 50%</v>
          </cell>
          <cell r="AQ489" t="str">
            <v>Europe</v>
          </cell>
          <cell r="AR489" t="str">
            <v>multi country</v>
          </cell>
          <cell r="AS489" t="str">
            <v>Europe</v>
          </cell>
          <cell r="AU489" t="str">
            <v>single sector</v>
          </cell>
          <cell r="AV489" t="str">
            <v>Office</v>
          </cell>
          <cell r="AW489">
            <v>800000000</v>
          </cell>
          <cell r="AX489">
            <v>1000000000</v>
          </cell>
          <cell r="AY489">
            <v>2019</v>
          </cell>
          <cell r="BH489" t="str">
            <v>2020-12-31</v>
          </cell>
          <cell r="BI489">
            <v>12088765</v>
          </cell>
          <cell r="BJ489">
            <v>12088765</v>
          </cell>
          <cell r="BK489">
            <v>8088043</v>
          </cell>
          <cell r="BL489">
            <v>8088043</v>
          </cell>
          <cell r="BM489">
            <v>29.7</v>
          </cell>
          <cell r="BN489" t="str">
            <v>No</v>
          </cell>
          <cell r="BO489" t="str">
            <v>External</v>
          </cell>
          <cell r="BP489">
            <v>0</v>
          </cell>
          <cell r="BQ489">
            <v>13</v>
          </cell>
          <cell r="BR489">
            <v>8088043</v>
          </cell>
          <cell r="BS489">
            <v>8088043</v>
          </cell>
          <cell r="BT489">
            <v>8088043</v>
          </cell>
          <cell r="BU489">
            <v>8088043</v>
          </cell>
          <cell r="BV489" t="str">
            <v>Yes</v>
          </cell>
          <cell r="BW489" t="str">
            <v>Slovakia</v>
          </cell>
          <cell r="BX489" t="str">
            <v>Office</v>
          </cell>
          <cell r="BY489">
            <v>5</v>
          </cell>
          <cell r="BZ489" t="str">
            <v>Italy</v>
          </cell>
          <cell r="CA489" t="str">
            <v>Office</v>
          </cell>
          <cell r="CB489">
            <v>15</v>
          </cell>
          <cell r="CC489" t="str">
            <v>Luxembourg</v>
          </cell>
          <cell r="CD489" t="str">
            <v>Office</v>
          </cell>
          <cell r="CE489">
            <v>16</v>
          </cell>
          <cell r="CF489" t="str">
            <v>Belgium</v>
          </cell>
          <cell r="CG489" t="str">
            <v>Office</v>
          </cell>
          <cell r="CH489">
            <v>15</v>
          </cell>
          <cell r="CI489" t="str">
            <v>Spain</v>
          </cell>
          <cell r="CJ489" t="str">
            <v>Office</v>
          </cell>
          <cell r="CK489">
            <v>19</v>
          </cell>
          <cell r="CL489" t="str">
            <v>France</v>
          </cell>
          <cell r="CM489" t="str">
            <v>Office</v>
          </cell>
          <cell r="CN489">
            <v>30</v>
          </cell>
        </row>
        <row r="490">
          <cell r="A490">
            <v>19269</v>
          </cell>
          <cell r="B490" t="str">
            <v>UBS (D) EUROINVEST IMMOBILIEN Q-DIST</v>
          </cell>
          <cell r="C490" t="str">
            <v>UBS REAL ESTATE GMBH</v>
          </cell>
          <cell r="D490" t="str">
            <v>Theatinerstrasse 16</v>
          </cell>
          <cell r="E490">
            <v>80333</v>
          </cell>
          <cell r="F490" t="str">
            <v>Munich</v>
          </cell>
          <cell r="G490" t="str">
            <v>Germany</v>
          </cell>
          <cell r="H490" t="str">
            <v>+49 (0) 89 206 095 0</v>
          </cell>
          <cell r="I490" t="str">
            <v>+49 (0) 89 206 095 200</v>
          </cell>
          <cell r="J490" t="str">
            <v>http://www.ubs.com/immobilienfonds-deutschland</v>
          </cell>
          <cell r="K490" t="str">
            <v>Alexander Isak</v>
          </cell>
          <cell r="L490" t="str">
            <v>alexander.isak@ubs.com</v>
          </cell>
          <cell r="M490" t="str">
            <v>+49 (0) 89 206 095 124</v>
          </cell>
          <cell r="N490" t="str">
            <v>Anita Koch</v>
          </cell>
          <cell r="O490" t="str">
            <v>anita.koch@ubs.com</v>
          </cell>
          <cell r="P490" t="str">
            <v>+49 (0) 89 206 095 107</v>
          </cell>
          <cell r="Q490" t="str">
            <v>Germany</v>
          </cell>
          <cell r="R490" t="str">
            <v>EUR</v>
          </cell>
          <cell r="S490" t="str">
            <v>KAGB</v>
          </cell>
          <cell r="T490" t="str">
            <v>Twice per year</v>
          </cell>
          <cell r="U490" t="str">
            <v>Quarterly</v>
          </cell>
          <cell r="V490" t="str">
            <v>ImmoWertV</v>
          </cell>
          <cell r="X490" t="str">
            <v>Ernst &amp; Young GmbH</v>
          </cell>
          <cell r="Y490" t="str">
            <v>Publikumsfonds</v>
          </cell>
          <cell r="Z490" t="str">
            <v>No</v>
          </cell>
          <cell r="AC490" t="str">
            <v>Non-Listed Fund</v>
          </cell>
          <cell r="AD490" t="str">
            <v>Core</v>
          </cell>
          <cell r="AE490" t="str">
            <v>infinite</v>
          </cell>
          <cell r="AF490" t="str">
            <v>Open end</v>
          </cell>
          <cell r="AG490">
            <v>3</v>
          </cell>
          <cell r="AH490">
            <v>5</v>
          </cell>
          <cell r="AI490" t="str">
            <v>Net</v>
          </cell>
          <cell r="AK490">
            <v>2</v>
          </cell>
          <cell r="AL490">
            <v>30</v>
          </cell>
          <cell r="AM490" t="str">
            <v>≤ 40%</v>
          </cell>
          <cell r="AN490" t="str">
            <v>Retail</v>
          </cell>
          <cell r="AO490" t="str">
            <v>&gt; 2</v>
          </cell>
          <cell r="AP490" t="str">
            <v>&lt; 50%</v>
          </cell>
          <cell r="AQ490" t="str">
            <v>Europe</v>
          </cell>
          <cell r="AR490" t="str">
            <v>multi country</v>
          </cell>
          <cell r="AS490" t="str">
            <v>Europe</v>
          </cell>
          <cell r="AU490" t="str">
            <v>single sector</v>
          </cell>
          <cell r="AV490" t="str">
            <v>Office</v>
          </cell>
          <cell r="AW490">
            <v>800000000</v>
          </cell>
          <cell r="AX490">
            <v>1000000000</v>
          </cell>
          <cell r="AY490">
            <v>2019</v>
          </cell>
          <cell r="BH490" t="str">
            <v>2020-12-31</v>
          </cell>
          <cell r="BI490">
            <v>6155079</v>
          </cell>
          <cell r="BJ490">
            <v>6155079</v>
          </cell>
          <cell r="BK490">
            <v>4119698</v>
          </cell>
          <cell r="BL490">
            <v>4119698</v>
          </cell>
          <cell r="BM490">
            <v>29.7</v>
          </cell>
          <cell r="BN490" t="str">
            <v>No</v>
          </cell>
          <cell r="BO490" t="str">
            <v>External</v>
          </cell>
          <cell r="BP490">
            <v>0</v>
          </cell>
          <cell r="BQ490">
            <v>13</v>
          </cell>
          <cell r="BR490">
            <v>4119698</v>
          </cell>
          <cell r="BS490">
            <v>4119698</v>
          </cell>
          <cell r="BT490">
            <v>4119698</v>
          </cell>
          <cell r="BU490">
            <v>4119698</v>
          </cell>
          <cell r="BV490" t="str">
            <v>Yes</v>
          </cell>
          <cell r="BW490" t="str">
            <v>Slovakia</v>
          </cell>
          <cell r="BX490" t="str">
            <v>Office</v>
          </cell>
          <cell r="BY490">
            <v>5</v>
          </cell>
          <cell r="BZ490" t="str">
            <v>Italy</v>
          </cell>
          <cell r="CA490" t="str">
            <v>Office</v>
          </cell>
          <cell r="CB490">
            <v>15</v>
          </cell>
          <cell r="CC490" t="str">
            <v>Luxembourg</v>
          </cell>
          <cell r="CD490" t="str">
            <v>Office</v>
          </cell>
          <cell r="CE490">
            <v>16</v>
          </cell>
          <cell r="CF490" t="str">
            <v>Belgium</v>
          </cell>
          <cell r="CG490" t="str">
            <v>Office</v>
          </cell>
          <cell r="CH490">
            <v>15</v>
          </cell>
          <cell r="CI490" t="str">
            <v>Spain</v>
          </cell>
          <cell r="CJ490" t="str">
            <v>Office</v>
          </cell>
          <cell r="CK490">
            <v>19</v>
          </cell>
          <cell r="CL490" t="str">
            <v>France</v>
          </cell>
          <cell r="CM490" t="str">
            <v>Office</v>
          </cell>
          <cell r="CN490">
            <v>30</v>
          </cell>
        </row>
        <row r="491">
          <cell r="A491">
            <v>16071</v>
          </cell>
          <cell r="B491" t="str">
            <v>UBS (D) GERMAN LOGISTICS PROPERTY FUND 2</v>
          </cell>
          <cell r="C491" t="str">
            <v>UBS REAL ESTATE GMBH</v>
          </cell>
          <cell r="D491" t="str">
            <v>Theatinerstr. 16</v>
          </cell>
          <cell r="E491" t="str">
            <v>D-80333</v>
          </cell>
          <cell r="F491" t="str">
            <v>München</v>
          </cell>
          <cell r="G491" t="str">
            <v>Germany</v>
          </cell>
          <cell r="H491" t="str">
            <v>+49(0)892060950</v>
          </cell>
          <cell r="I491" t="str">
            <v>+49(0)206095200</v>
          </cell>
          <cell r="J491" t="str">
            <v>http://www.ubs.com/immobilienfonds-deutschland</v>
          </cell>
          <cell r="K491" t="str">
            <v>Andreas Langer</v>
          </cell>
          <cell r="L491" t="str">
            <v>andreas.langer@ubs.com</v>
          </cell>
          <cell r="M491" t="str">
            <v>+49(0)89206095111</v>
          </cell>
          <cell r="N491" t="str">
            <v>Andreas Langer</v>
          </cell>
          <cell r="O491" t="str">
            <v>andreas.langer@ubs.com</v>
          </cell>
          <cell r="P491" t="str">
            <v>+49(0)89206095 111</v>
          </cell>
          <cell r="Q491" t="str">
            <v>Germany</v>
          </cell>
          <cell r="R491" t="str">
            <v>EUR</v>
          </cell>
          <cell r="S491" t="str">
            <v>Local GAAP</v>
          </cell>
          <cell r="T491" t="str">
            <v>Monthly</v>
          </cell>
          <cell r="U491" t="str">
            <v>Annually</v>
          </cell>
          <cell r="W491" t="str">
            <v>KAGB</v>
          </cell>
          <cell r="X491" t="str">
            <v>Ernst &amp; Young GmbH</v>
          </cell>
          <cell r="Y491" t="str">
            <v>Spezialfonds</v>
          </cell>
          <cell r="Z491" t="str">
            <v>No</v>
          </cell>
          <cell r="AA491" t="str">
            <v>Yes</v>
          </cell>
          <cell r="AB491">
            <v>5</v>
          </cell>
          <cell r="AC491" t="str">
            <v>Non-Listed Fund</v>
          </cell>
          <cell r="AD491" t="str">
            <v>Core</v>
          </cell>
          <cell r="AE491" t="str">
            <v>infinite</v>
          </cell>
          <cell r="AF491" t="str">
            <v>Open end</v>
          </cell>
          <cell r="AG491">
            <v>7</v>
          </cell>
          <cell r="AH491">
            <v>7</v>
          </cell>
          <cell r="AI491" t="str">
            <v>Net</v>
          </cell>
          <cell r="AJ491" t="str">
            <v>IPD SFIX</v>
          </cell>
          <cell r="AK491">
            <v>7</v>
          </cell>
          <cell r="AL491">
            <v>49</v>
          </cell>
          <cell r="AM491" t="str">
            <v>&gt; 40%</v>
          </cell>
          <cell r="AN491" t="str">
            <v>Institutional</v>
          </cell>
          <cell r="AO491" t="str">
            <v>&gt; 2</v>
          </cell>
          <cell r="AP491" t="str">
            <v>≥ 50%</v>
          </cell>
          <cell r="AQ491" t="str">
            <v>Europe</v>
          </cell>
          <cell r="AR491" t="str">
            <v>single country</v>
          </cell>
          <cell r="AT491" t="str">
            <v>Germany</v>
          </cell>
          <cell r="AU491" t="str">
            <v>single sector</v>
          </cell>
          <cell r="AV491" t="str">
            <v>Industrial / Logistics</v>
          </cell>
          <cell r="AW491">
            <v>150000000</v>
          </cell>
          <cell r="AX491">
            <v>300000000</v>
          </cell>
          <cell r="AY491">
            <v>2012</v>
          </cell>
          <cell r="BH491" t="str">
            <v>2020-12-31</v>
          </cell>
          <cell r="BI491">
            <v>233543591</v>
          </cell>
          <cell r="BJ491">
            <v>233543591</v>
          </cell>
          <cell r="BK491">
            <v>141104071</v>
          </cell>
          <cell r="BL491">
            <v>141104071</v>
          </cell>
          <cell r="BM491">
            <v>40.200000000000003</v>
          </cell>
          <cell r="BN491" t="str">
            <v>No</v>
          </cell>
          <cell r="BO491" t="str">
            <v>External</v>
          </cell>
          <cell r="BP491">
            <v>0</v>
          </cell>
          <cell r="BQ491">
            <v>10</v>
          </cell>
          <cell r="BR491">
            <v>0</v>
          </cell>
          <cell r="BS491">
            <v>0</v>
          </cell>
          <cell r="BT491">
            <v>0</v>
          </cell>
          <cell r="BV491" t="str">
            <v>No</v>
          </cell>
          <cell r="BW491" t="str">
            <v>Germany</v>
          </cell>
          <cell r="BX491" t="str">
            <v>Industrial / Logistics</v>
          </cell>
          <cell r="BY491">
            <v>100</v>
          </cell>
        </row>
        <row r="492">
          <cell r="A492">
            <v>474</v>
          </cell>
          <cell r="B492" t="str">
            <v>UBS (LUX) REAL ESTATE - EURO CORE FUND - EURO ZONE</v>
          </cell>
          <cell r="C492" t="str">
            <v>UBS ASSET MANAGEMENT (UK) LTD</v>
          </cell>
          <cell r="D492" t="str">
            <v>5 Broadgate</v>
          </cell>
          <cell r="E492" t="str">
            <v>EC2M 2QS</v>
          </cell>
          <cell r="F492" t="str">
            <v>London</v>
          </cell>
          <cell r="G492" t="str">
            <v>United Kingdom</v>
          </cell>
          <cell r="H492" t="str">
            <v>+44 (0) 20 7567 8000</v>
          </cell>
          <cell r="J492" t="str">
            <v>http://www.ubs.com</v>
          </cell>
          <cell r="K492" t="str">
            <v>Mark Gifford</v>
          </cell>
          <cell r="L492" t="str">
            <v>mark.gifford@ubs.com</v>
          </cell>
          <cell r="M492" t="str">
            <v>+44 (0) 20 7901 5343</v>
          </cell>
          <cell r="N492" t="str">
            <v>Eoin Bastible</v>
          </cell>
          <cell r="O492" t="str">
            <v>eoin.bastible@ubs.com</v>
          </cell>
          <cell r="P492" t="str">
            <v>+44 20 7901 5204</v>
          </cell>
          <cell r="Q492" t="str">
            <v>Luxembourg</v>
          </cell>
          <cell r="R492" t="str">
            <v>EUR</v>
          </cell>
          <cell r="S492" t="str">
            <v>Local GAAP</v>
          </cell>
          <cell r="T492" t="str">
            <v>Quarterly</v>
          </cell>
          <cell r="U492" t="str">
            <v>Quarterly</v>
          </cell>
          <cell r="V492" t="str">
            <v>RICS</v>
          </cell>
          <cell r="W492" t="str">
            <v>IFRS NAV</v>
          </cell>
          <cell r="X492" t="str">
            <v>PriceWaterhouseCoopers</v>
          </cell>
          <cell r="Y492" t="str">
            <v>FCP</v>
          </cell>
          <cell r="Z492" t="str">
            <v>No</v>
          </cell>
          <cell r="AA492" t="str">
            <v>No</v>
          </cell>
          <cell r="AB492">
            <v>0</v>
          </cell>
          <cell r="AC492" t="str">
            <v>Non-Listed Fund</v>
          </cell>
          <cell r="AD492" t="str">
            <v>Core</v>
          </cell>
          <cell r="AE492" t="str">
            <v>infinite</v>
          </cell>
          <cell r="AF492" t="str">
            <v>Open end</v>
          </cell>
          <cell r="AM492" t="str">
            <v>≤ 40%</v>
          </cell>
          <cell r="AN492" t="str">
            <v>Institutional</v>
          </cell>
          <cell r="AO492" t="str">
            <v>&gt; 2</v>
          </cell>
          <cell r="AP492" t="str">
            <v>≥ 50%</v>
          </cell>
          <cell r="AQ492" t="str">
            <v>Europe</v>
          </cell>
          <cell r="AR492" t="str">
            <v>multi country</v>
          </cell>
          <cell r="AS492" t="str">
            <v>Europe</v>
          </cell>
          <cell r="AU492" t="str">
            <v>multi sector</v>
          </cell>
          <cell r="AY492">
            <v>2005</v>
          </cell>
          <cell r="BA492" t="str">
            <v>Yes</v>
          </cell>
          <cell r="BD492" t="str">
            <v>No</v>
          </cell>
          <cell r="BH492" t="str">
            <v>2019-09-30</v>
          </cell>
          <cell r="BI492">
            <v>57098000</v>
          </cell>
          <cell r="BJ492">
            <v>57098000</v>
          </cell>
          <cell r="BK492">
            <v>53850000</v>
          </cell>
          <cell r="BL492">
            <v>53850000</v>
          </cell>
          <cell r="BM492">
            <v>0</v>
          </cell>
          <cell r="BN492" t="str">
            <v>No</v>
          </cell>
          <cell r="BO492" t="str">
            <v>External</v>
          </cell>
          <cell r="BP492">
            <v>47</v>
          </cell>
          <cell r="BQ492">
            <v>2</v>
          </cell>
          <cell r="BS492">
            <v>0</v>
          </cell>
          <cell r="BW492" t="str">
            <v>Finland</v>
          </cell>
          <cell r="BX492" t="str">
            <v>Industrial / Logistics</v>
          </cell>
          <cell r="BY492">
            <v>100</v>
          </cell>
        </row>
        <row r="493">
          <cell r="A493">
            <v>19666</v>
          </cell>
          <cell r="B493" t="str">
            <v>UII GARBE LOGISTICS REAL ESTATE FUND</v>
          </cell>
          <cell r="C493" t="str">
            <v>UNION INVESTMENT REAL ESTATE GMBH</v>
          </cell>
          <cell r="D493" t="str">
            <v>Valentinskamp 70, EMPORIO</v>
          </cell>
          <cell r="E493">
            <v>201355</v>
          </cell>
          <cell r="F493" t="str">
            <v>Hamburg</v>
          </cell>
          <cell r="G493" t="str">
            <v>Germany</v>
          </cell>
          <cell r="K493" t="str">
            <v>Marco Jüngling</v>
          </cell>
          <cell r="L493" t="str">
            <v>Marco.Juengling@union-investment.de</v>
          </cell>
          <cell r="M493" t="str">
            <v>+4940349194126</v>
          </cell>
          <cell r="Q493" t="str">
            <v>Germany</v>
          </cell>
          <cell r="R493" t="str">
            <v>EUR</v>
          </cell>
          <cell r="S493" t="str">
            <v>IFRS</v>
          </cell>
          <cell r="T493" t="str">
            <v>Quarterly</v>
          </cell>
          <cell r="U493" t="str">
            <v>Quarterly</v>
          </cell>
          <cell r="V493" t="str">
            <v>ImmoWertV</v>
          </cell>
          <cell r="W493" t="str">
            <v>InvRBV</v>
          </cell>
          <cell r="Y493" t="str">
            <v>Spezialfonds</v>
          </cell>
          <cell r="Z493" t="str">
            <v>No</v>
          </cell>
          <cell r="AB493">
            <v>0</v>
          </cell>
          <cell r="AC493" t="str">
            <v>Non-Listed Fund</v>
          </cell>
          <cell r="AD493" t="str">
            <v>Core</v>
          </cell>
          <cell r="AE493" t="str">
            <v>infinite</v>
          </cell>
          <cell r="AF493" t="str">
            <v>Open end</v>
          </cell>
          <cell r="AN493" t="str">
            <v>Institutional</v>
          </cell>
          <cell r="AO493" t="str">
            <v>&gt; 2</v>
          </cell>
          <cell r="AP493" t="str">
            <v>≥ 50%</v>
          </cell>
          <cell r="AQ493" t="str">
            <v>Europe</v>
          </cell>
          <cell r="AR493" t="str">
            <v>multi country</v>
          </cell>
          <cell r="AS493" t="str">
            <v>Europe</v>
          </cell>
          <cell r="AU493" t="str">
            <v>multi sector</v>
          </cell>
          <cell r="AY493">
            <v>2020</v>
          </cell>
          <cell r="BH493" t="str">
            <v>2020-12-31</v>
          </cell>
          <cell r="BI493">
            <v>50526327.850000001</v>
          </cell>
          <cell r="BJ493">
            <v>50526327.850000001</v>
          </cell>
          <cell r="BK493">
            <v>42263285.170000002</v>
          </cell>
          <cell r="BL493">
            <v>42263285.170000002</v>
          </cell>
          <cell r="BM493">
            <v>36.6</v>
          </cell>
          <cell r="BN493" t="str">
            <v>Yes</v>
          </cell>
          <cell r="BO493" t="str">
            <v>External</v>
          </cell>
          <cell r="BP493">
            <v>5</v>
          </cell>
          <cell r="BQ493">
            <v>2</v>
          </cell>
          <cell r="BR493">
            <v>97500000</v>
          </cell>
          <cell r="BS493">
            <v>97500000</v>
          </cell>
          <cell r="BT493">
            <v>42300986</v>
          </cell>
          <cell r="BU493">
            <v>42300986</v>
          </cell>
          <cell r="BV493" t="str">
            <v>No</v>
          </cell>
          <cell r="BW493" t="str">
            <v>Germany</v>
          </cell>
          <cell r="BX493" t="str">
            <v>Industrial / Logistics</v>
          </cell>
          <cell r="BY493">
            <v>100</v>
          </cell>
        </row>
        <row r="494">
          <cell r="A494">
            <v>19665</v>
          </cell>
          <cell r="B494" t="str">
            <v>UII GARBE LOGISTIK FONDS</v>
          </cell>
          <cell r="C494" t="str">
            <v>UNION INVESTMENT REAL ESTATE GMBH</v>
          </cell>
          <cell r="D494" t="str">
            <v>Valentinskamp 70, EMPORIO</v>
          </cell>
          <cell r="E494">
            <v>201355</v>
          </cell>
          <cell r="F494" t="str">
            <v>Hamburg</v>
          </cell>
          <cell r="G494" t="str">
            <v>Germany</v>
          </cell>
          <cell r="K494" t="str">
            <v>Marco Jüngling</v>
          </cell>
          <cell r="L494" t="str">
            <v>Marco.Juengling@union-investment.de</v>
          </cell>
          <cell r="M494" t="str">
            <v>+4940349194126</v>
          </cell>
          <cell r="Q494" t="str">
            <v>Germany</v>
          </cell>
          <cell r="R494" t="str">
            <v>EUR</v>
          </cell>
          <cell r="S494" t="str">
            <v>IFRS</v>
          </cell>
          <cell r="T494" t="str">
            <v>Quarterly</v>
          </cell>
          <cell r="U494" t="str">
            <v>Quarterly</v>
          </cell>
          <cell r="V494" t="str">
            <v>ImmoWertV</v>
          </cell>
          <cell r="W494" t="str">
            <v>InvRBV</v>
          </cell>
          <cell r="Y494" t="str">
            <v>Spezialfonds</v>
          </cell>
          <cell r="Z494" t="str">
            <v>No</v>
          </cell>
          <cell r="AB494">
            <v>0</v>
          </cell>
          <cell r="AC494" t="str">
            <v>Non-Listed Fund</v>
          </cell>
          <cell r="AD494" t="str">
            <v>Core</v>
          </cell>
          <cell r="AE494" t="str">
            <v>infinite</v>
          </cell>
          <cell r="AF494" t="str">
            <v>Open end</v>
          </cell>
          <cell r="AN494" t="str">
            <v>Institutional</v>
          </cell>
          <cell r="AO494" t="str">
            <v>&gt; 2</v>
          </cell>
          <cell r="AP494" t="str">
            <v>≥ 50%</v>
          </cell>
          <cell r="AQ494" t="str">
            <v>Europe</v>
          </cell>
          <cell r="AR494" t="str">
            <v>single country</v>
          </cell>
          <cell r="AT494" t="str">
            <v>Germany</v>
          </cell>
          <cell r="AU494" t="str">
            <v>multi sector</v>
          </cell>
          <cell r="AY494">
            <v>2020</v>
          </cell>
          <cell r="BD494" t="str">
            <v>No</v>
          </cell>
          <cell r="BH494" t="str">
            <v>2020-12-31</v>
          </cell>
          <cell r="BI494">
            <v>81544553.569999993</v>
          </cell>
          <cell r="BJ494">
            <v>81544553.569999993</v>
          </cell>
          <cell r="BK494">
            <v>119962399.2</v>
          </cell>
          <cell r="BL494">
            <v>119962399.2</v>
          </cell>
          <cell r="BM494">
            <v>17.600000000000001</v>
          </cell>
          <cell r="BN494" t="str">
            <v>Yes</v>
          </cell>
          <cell r="BO494" t="str">
            <v>External</v>
          </cell>
          <cell r="BP494">
            <v>67</v>
          </cell>
          <cell r="BQ494">
            <v>1</v>
          </cell>
          <cell r="BR494">
            <v>291500000</v>
          </cell>
          <cell r="BS494">
            <v>291500000</v>
          </cell>
          <cell r="BT494">
            <v>120002500</v>
          </cell>
          <cell r="BU494">
            <v>120002500</v>
          </cell>
          <cell r="BV494" t="str">
            <v>No</v>
          </cell>
          <cell r="BW494" t="str">
            <v>Germany</v>
          </cell>
          <cell r="BX494" t="str">
            <v>Industrial / Logistics</v>
          </cell>
          <cell r="BY494">
            <v>100</v>
          </cell>
        </row>
        <row r="495">
          <cell r="A495">
            <v>18275</v>
          </cell>
          <cell r="B495" t="str">
            <v>UII GERMAN M</v>
          </cell>
          <cell r="C495" t="str">
            <v>UNION INVESTMENT REAL ESTATE GMBH</v>
          </cell>
          <cell r="D495" t="str">
            <v>Valentinskamp 70, EMPORIO</v>
          </cell>
          <cell r="E495">
            <v>201355</v>
          </cell>
          <cell r="F495" t="str">
            <v>Hamburg</v>
          </cell>
          <cell r="G495" t="str">
            <v>Germany</v>
          </cell>
          <cell r="K495" t="str">
            <v>Matthias Bulir</v>
          </cell>
          <cell r="L495" t="str">
            <v>Matthias.Bulir@union-investment.de</v>
          </cell>
          <cell r="M495" t="str">
            <v>+4940349194732</v>
          </cell>
          <cell r="Q495" t="str">
            <v>Germany</v>
          </cell>
          <cell r="R495" t="str">
            <v>EUR</v>
          </cell>
          <cell r="S495" t="str">
            <v>IFRS</v>
          </cell>
          <cell r="T495" t="str">
            <v>Quarterly</v>
          </cell>
          <cell r="U495" t="str">
            <v>Annually</v>
          </cell>
          <cell r="V495" t="str">
            <v>ImmoWertV</v>
          </cell>
          <cell r="W495" t="str">
            <v>InvRBV</v>
          </cell>
          <cell r="X495" t="str">
            <v>KPMG</v>
          </cell>
          <cell r="Y495" t="str">
            <v>Spezialfonds</v>
          </cell>
          <cell r="Z495" t="str">
            <v>No</v>
          </cell>
          <cell r="AA495" t="str">
            <v>No</v>
          </cell>
          <cell r="AC495" t="str">
            <v>Non-Listed Fund</v>
          </cell>
          <cell r="AD495" t="str">
            <v>Core</v>
          </cell>
          <cell r="AE495" t="str">
            <v>infinite</v>
          </cell>
          <cell r="AF495" t="str">
            <v>Open end</v>
          </cell>
          <cell r="AN495" t="str">
            <v>Institutional</v>
          </cell>
          <cell r="AO495" t="str">
            <v>&gt; 2</v>
          </cell>
          <cell r="AP495" t="str">
            <v>≥ 50%</v>
          </cell>
          <cell r="AQ495" t="str">
            <v>Europe</v>
          </cell>
          <cell r="AR495" t="str">
            <v>single country</v>
          </cell>
          <cell r="AT495" t="str">
            <v>Germany</v>
          </cell>
          <cell r="AU495" t="str">
            <v>multi sector</v>
          </cell>
          <cell r="AY495">
            <v>2016</v>
          </cell>
          <cell r="BD495" t="str">
            <v>No</v>
          </cell>
          <cell r="BH495" t="str">
            <v>2020-12-31</v>
          </cell>
          <cell r="BI495">
            <v>446806816.69999999</v>
          </cell>
          <cell r="BJ495">
            <v>446806816.69999999</v>
          </cell>
          <cell r="BK495">
            <v>360180827.80000001</v>
          </cell>
          <cell r="BL495">
            <v>360180827.80000001</v>
          </cell>
          <cell r="BM495">
            <v>15.2</v>
          </cell>
          <cell r="BN495" t="str">
            <v>Yes</v>
          </cell>
          <cell r="BO495" t="str">
            <v>External</v>
          </cell>
          <cell r="BP495">
            <v>89</v>
          </cell>
          <cell r="BQ495">
            <v>19</v>
          </cell>
          <cell r="BR495">
            <v>392700000</v>
          </cell>
          <cell r="BS495">
            <v>392700000</v>
          </cell>
          <cell r="BT495">
            <v>356842708</v>
          </cell>
          <cell r="BU495">
            <v>356842708</v>
          </cell>
          <cell r="BV495" t="str">
            <v>No</v>
          </cell>
          <cell r="BW495" t="str">
            <v>Germany</v>
          </cell>
          <cell r="BX495" t="str">
            <v>Retail</v>
          </cell>
          <cell r="BY495">
            <v>10.1</v>
          </cell>
          <cell r="BZ495" t="str">
            <v>Germany</v>
          </cell>
          <cell r="CA495" t="str">
            <v>Office</v>
          </cell>
          <cell r="CB495">
            <v>89.9</v>
          </cell>
        </row>
        <row r="496">
          <cell r="A496">
            <v>19660</v>
          </cell>
          <cell r="B496" t="str">
            <v>UII GERMAN PRIME SELECT</v>
          </cell>
          <cell r="C496" t="str">
            <v>UNION INVESTMENT REAL ESTATE GMBH</v>
          </cell>
          <cell r="D496" t="str">
            <v>Valentinskamp 70, EMPORIO</v>
          </cell>
          <cell r="E496">
            <v>201355</v>
          </cell>
          <cell r="F496" t="str">
            <v>Hamburg</v>
          </cell>
          <cell r="G496" t="str">
            <v>Germany</v>
          </cell>
          <cell r="K496" t="str">
            <v>Matthias Bulir</v>
          </cell>
          <cell r="L496" t="str">
            <v>Matthias.Bulir@union-investment.de</v>
          </cell>
          <cell r="M496" t="str">
            <v>+4940349194732</v>
          </cell>
          <cell r="Q496" t="str">
            <v>Germany</v>
          </cell>
          <cell r="R496" t="str">
            <v>EUR</v>
          </cell>
          <cell r="S496" t="str">
            <v>IFRS</v>
          </cell>
          <cell r="T496" t="str">
            <v>Quarterly</v>
          </cell>
          <cell r="U496" t="str">
            <v>Quarterly</v>
          </cell>
          <cell r="V496" t="str">
            <v>ImmoWertV</v>
          </cell>
          <cell r="W496" t="str">
            <v>InvRBV</v>
          </cell>
          <cell r="X496" t="str">
            <v>KPMG</v>
          </cell>
          <cell r="Y496" t="str">
            <v>Spezialfonds</v>
          </cell>
          <cell r="Z496" t="str">
            <v>No</v>
          </cell>
          <cell r="AA496" t="str">
            <v>No</v>
          </cell>
          <cell r="AB496">
            <v>0</v>
          </cell>
          <cell r="AC496" t="str">
            <v>Non-Listed Fund</v>
          </cell>
          <cell r="AD496" t="str">
            <v>Core</v>
          </cell>
          <cell r="AE496" t="str">
            <v>infinite</v>
          </cell>
          <cell r="AF496" t="str">
            <v>Open end</v>
          </cell>
          <cell r="AN496" t="str">
            <v>Institutional</v>
          </cell>
          <cell r="AO496" t="str">
            <v>&gt; 2</v>
          </cell>
          <cell r="AP496" t="str">
            <v>≥ 50%</v>
          </cell>
          <cell r="AQ496" t="str">
            <v>Europe</v>
          </cell>
          <cell r="AR496" t="str">
            <v>single country</v>
          </cell>
          <cell r="AT496" t="str">
            <v>Germany</v>
          </cell>
          <cell r="AU496" t="str">
            <v>multi sector</v>
          </cell>
          <cell r="AY496">
            <v>2020</v>
          </cell>
          <cell r="BH496" t="str">
            <v>2020-12-31</v>
          </cell>
          <cell r="BI496">
            <v>471522106.80000001</v>
          </cell>
          <cell r="BJ496">
            <v>471522106.80000001</v>
          </cell>
          <cell r="BK496">
            <v>416916472.89999998</v>
          </cell>
          <cell r="BL496">
            <v>416916472.89999998</v>
          </cell>
          <cell r="BM496">
            <v>9.5</v>
          </cell>
          <cell r="BN496" t="str">
            <v>Yes</v>
          </cell>
          <cell r="BO496" t="str">
            <v>External</v>
          </cell>
          <cell r="BP496">
            <v>199</v>
          </cell>
          <cell r="BQ496">
            <v>6</v>
          </cell>
          <cell r="BR496">
            <v>831800000</v>
          </cell>
          <cell r="BS496">
            <v>831800000</v>
          </cell>
          <cell r="BT496">
            <v>417001300</v>
          </cell>
          <cell r="BU496">
            <v>417001300</v>
          </cell>
          <cell r="BV496" t="str">
            <v>No</v>
          </cell>
          <cell r="BW496" t="str">
            <v>Germany</v>
          </cell>
          <cell r="BX496" t="str">
            <v>Office</v>
          </cell>
          <cell r="BY496">
            <v>100</v>
          </cell>
        </row>
        <row r="497">
          <cell r="A497">
            <v>17530</v>
          </cell>
          <cell r="B497" t="str">
            <v>UII HOTEL NR.1</v>
          </cell>
          <cell r="C497" t="str">
            <v>UNION INVESTMENT INSTITUTIONAL PROPERTY GMBH</v>
          </cell>
          <cell r="D497" t="str">
            <v>Valentinskamp 70</v>
          </cell>
          <cell r="E497">
            <v>20355</v>
          </cell>
          <cell r="F497" t="str">
            <v>Hamburg</v>
          </cell>
          <cell r="G497" t="str">
            <v>Germany</v>
          </cell>
          <cell r="H497" t="str">
            <v>+4940349190</v>
          </cell>
          <cell r="I497" t="str">
            <v>+494034919190</v>
          </cell>
          <cell r="J497" t="str">
            <v>http://institutional.union-investment.de/startseite-institutionelle-kunden/asset-klassen/immobilien.html</v>
          </cell>
          <cell r="K497" t="str">
            <v>Jens Völker</v>
          </cell>
          <cell r="L497" t="str">
            <v>jens.voelker@union-investment.de</v>
          </cell>
          <cell r="M497" t="str">
            <v>+4940349194165</v>
          </cell>
          <cell r="N497" t="str">
            <v>Jörn Stobbe</v>
          </cell>
          <cell r="O497" t="str">
            <v>Joern.Stobbe@union-investment.de</v>
          </cell>
          <cell r="P497" t="str">
            <v>+4940349194455</v>
          </cell>
          <cell r="Q497" t="str">
            <v>Germany</v>
          </cell>
          <cell r="R497" t="str">
            <v>EUR</v>
          </cell>
          <cell r="S497" t="str">
            <v>German Trade Law / Investment Law</v>
          </cell>
          <cell r="T497" t="str">
            <v>Quarterly</v>
          </cell>
          <cell r="U497" t="str">
            <v>Annually</v>
          </cell>
          <cell r="V497" t="str">
            <v>ImmoWertV</v>
          </cell>
          <cell r="W497" t="str">
            <v>InvRBV - German Investment Law {no INREV-based calculation method}</v>
          </cell>
          <cell r="X497" t="str">
            <v>KPMG</v>
          </cell>
          <cell r="Y497" t="str">
            <v>Spezialfonds</v>
          </cell>
          <cell r="Z497" t="str">
            <v>No</v>
          </cell>
          <cell r="AA497" t="str">
            <v>No</v>
          </cell>
          <cell r="AC497" t="str">
            <v>Non-Listed Fund</v>
          </cell>
          <cell r="AD497" t="str">
            <v>Core</v>
          </cell>
          <cell r="AE497" t="str">
            <v>finite</v>
          </cell>
          <cell r="AF497" t="str">
            <v>Closed end</v>
          </cell>
          <cell r="AG497">
            <v>6</v>
          </cell>
          <cell r="AH497">
            <v>7</v>
          </cell>
          <cell r="AI497" t="str">
            <v>Net</v>
          </cell>
          <cell r="AK497">
            <v>5</v>
          </cell>
          <cell r="AL497">
            <v>40</v>
          </cell>
          <cell r="AM497" t="str">
            <v>&gt; 40% - ≤ 60%</v>
          </cell>
          <cell r="AN497" t="str">
            <v>Institutional</v>
          </cell>
          <cell r="AO497" t="str">
            <v>&gt; 2</v>
          </cell>
          <cell r="AP497" t="str">
            <v>≥ 50%</v>
          </cell>
          <cell r="AQ497" t="str">
            <v>Europe</v>
          </cell>
          <cell r="AR497" t="str">
            <v>multi country</v>
          </cell>
          <cell r="AS497" t="str">
            <v>Europe</v>
          </cell>
          <cell r="AU497" t="str">
            <v>single sector</v>
          </cell>
          <cell r="AV497" t="str">
            <v>Hotel</v>
          </cell>
          <cell r="AW497">
            <v>300000000</v>
          </cell>
          <cell r="AX497">
            <v>420000000</v>
          </cell>
          <cell r="AY497">
            <v>2013</v>
          </cell>
          <cell r="AZ497">
            <v>2023</v>
          </cell>
          <cell r="BA497" t="str">
            <v>No</v>
          </cell>
          <cell r="BB497" t="str">
            <v>No</v>
          </cell>
          <cell r="BD497" t="str">
            <v>No</v>
          </cell>
          <cell r="BE497" t="str">
            <v>≥ 60%</v>
          </cell>
          <cell r="BF497" t="str">
            <v>≤ 15%</v>
          </cell>
          <cell r="BG497" t="str">
            <v>&gt; 5 - ≤ 25%</v>
          </cell>
          <cell r="BH497" t="str">
            <v>2020-12-31</v>
          </cell>
          <cell r="BI497">
            <v>498358186.39999998</v>
          </cell>
          <cell r="BJ497">
            <v>498358186.39999998</v>
          </cell>
          <cell r="BK497">
            <v>351392503.10000002</v>
          </cell>
          <cell r="BL497">
            <v>351392503.10000002</v>
          </cell>
          <cell r="BM497">
            <v>32.6</v>
          </cell>
          <cell r="BN497" t="str">
            <v>Yes</v>
          </cell>
          <cell r="BO497" t="str">
            <v>External</v>
          </cell>
          <cell r="BP497">
            <v>28</v>
          </cell>
          <cell r="BQ497">
            <v>12</v>
          </cell>
          <cell r="BR497">
            <v>312000000</v>
          </cell>
          <cell r="BS497">
            <v>312000000</v>
          </cell>
          <cell r="BT497">
            <v>312000000</v>
          </cell>
          <cell r="BU497">
            <v>312000000</v>
          </cell>
          <cell r="BV497" t="str">
            <v>No</v>
          </cell>
          <cell r="BW497" t="str">
            <v>Germany</v>
          </cell>
          <cell r="BX497" t="str">
            <v>Hotel</v>
          </cell>
          <cell r="BY497">
            <v>79.3</v>
          </cell>
          <cell r="BZ497" t="str">
            <v>Poland</v>
          </cell>
          <cell r="CA497" t="str">
            <v>Hotel</v>
          </cell>
          <cell r="CB497">
            <v>13.1</v>
          </cell>
          <cell r="CC497" t="str">
            <v>Austria</v>
          </cell>
          <cell r="CD497" t="str">
            <v>Hotel</v>
          </cell>
          <cell r="CE497">
            <v>7.6</v>
          </cell>
        </row>
        <row r="498">
          <cell r="A498">
            <v>16689</v>
          </cell>
          <cell r="B498" t="str">
            <v>UII SHOPPING NR.1</v>
          </cell>
          <cell r="C498" t="str">
            <v>UNION INVESTMENT INSTITUTIONAL PROPERTY GMBH</v>
          </cell>
          <cell r="D498" t="str">
            <v>Valentinskamp 70</v>
          </cell>
          <cell r="E498">
            <v>20355</v>
          </cell>
          <cell r="F498" t="str">
            <v>Hamburg</v>
          </cell>
          <cell r="G498" t="str">
            <v>Germany</v>
          </cell>
          <cell r="H498" t="str">
            <v>+4940349190</v>
          </cell>
          <cell r="I498" t="str">
            <v>+494034919190</v>
          </cell>
          <cell r="J498" t="str">
            <v>http://www.realestate.union-investment.com</v>
          </cell>
          <cell r="K498" t="str">
            <v>Jens Voelker</v>
          </cell>
          <cell r="L498" t="str">
            <v>jens.voelker@union-investment.de</v>
          </cell>
          <cell r="M498" t="str">
            <v>+4940349194165</v>
          </cell>
          <cell r="N498" t="str">
            <v>Jörn Stobbe</v>
          </cell>
          <cell r="O498" t="str">
            <v>Joern.Stobbe@union-investment.de</v>
          </cell>
          <cell r="P498" t="str">
            <v>+4940349194455</v>
          </cell>
          <cell r="Q498" t="str">
            <v>Germany</v>
          </cell>
          <cell r="R498" t="str">
            <v>EUR</v>
          </cell>
          <cell r="S498" t="str">
            <v>German Trade Law / Investment Law</v>
          </cell>
          <cell r="T498" t="str">
            <v>Quarterly</v>
          </cell>
          <cell r="U498" t="str">
            <v>Annually</v>
          </cell>
          <cell r="V498" t="str">
            <v>ImmoWertV</v>
          </cell>
          <cell r="W498" t="str">
            <v>InvRBV - German Investment Law {no INREV-based calculation method}</v>
          </cell>
          <cell r="X498" t="str">
            <v>KPMG</v>
          </cell>
          <cell r="Y498" t="str">
            <v>Spezialfonds</v>
          </cell>
          <cell r="Z498" t="str">
            <v>No</v>
          </cell>
          <cell r="AA498" t="str">
            <v>No</v>
          </cell>
          <cell r="AC498" t="str">
            <v>Non-Listed Fund</v>
          </cell>
          <cell r="AD498" t="str">
            <v>Core</v>
          </cell>
          <cell r="AE498" t="str">
            <v>infinite</v>
          </cell>
          <cell r="AF498" t="str">
            <v>Open end</v>
          </cell>
          <cell r="AG498">
            <v>7</v>
          </cell>
          <cell r="AH498">
            <v>7</v>
          </cell>
          <cell r="AI498" t="str">
            <v>Net</v>
          </cell>
          <cell r="AK498">
            <v>5</v>
          </cell>
          <cell r="AL498">
            <v>40</v>
          </cell>
          <cell r="AM498" t="str">
            <v>≤ 40%</v>
          </cell>
          <cell r="AN498" t="str">
            <v>Institutional</v>
          </cell>
          <cell r="AO498" t="str">
            <v>&gt; 2</v>
          </cell>
          <cell r="AP498" t="str">
            <v>≥ 50%</v>
          </cell>
          <cell r="AQ498" t="str">
            <v>Europe</v>
          </cell>
          <cell r="AR498" t="str">
            <v>multi country</v>
          </cell>
          <cell r="AS498" t="str">
            <v>Europe</v>
          </cell>
          <cell r="AU498" t="str">
            <v>single sector</v>
          </cell>
          <cell r="AV498" t="str">
            <v>Retail</v>
          </cell>
          <cell r="AW498">
            <v>500</v>
          </cell>
          <cell r="AX498">
            <v>850</v>
          </cell>
          <cell r="AY498">
            <v>2011</v>
          </cell>
          <cell r="BD498" t="str">
            <v>No</v>
          </cell>
          <cell r="BE498" t="str">
            <v>&lt; 60%</v>
          </cell>
          <cell r="BF498" t="str">
            <v>≤ 15%</v>
          </cell>
          <cell r="BG498" t="str">
            <v>≤ 5%</v>
          </cell>
          <cell r="BH498" t="str">
            <v>2020-12-31</v>
          </cell>
          <cell r="BI498">
            <v>457686024.30000001</v>
          </cell>
          <cell r="BJ498">
            <v>457686024.30000001</v>
          </cell>
          <cell r="BK498">
            <v>322974743</v>
          </cell>
          <cell r="BL498">
            <v>322974743</v>
          </cell>
          <cell r="BM498">
            <v>29.5</v>
          </cell>
          <cell r="BN498" t="str">
            <v>Yes</v>
          </cell>
          <cell r="BO498" t="str">
            <v>External</v>
          </cell>
          <cell r="BP498">
            <v>22</v>
          </cell>
          <cell r="BQ498">
            <v>7</v>
          </cell>
          <cell r="BR498">
            <v>358667008</v>
          </cell>
          <cell r="BS498">
            <v>358667008</v>
          </cell>
          <cell r="BT498">
            <v>358667008</v>
          </cell>
          <cell r="BU498">
            <v>358667008</v>
          </cell>
          <cell r="BV498" t="str">
            <v>No</v>
          </cell>
          <cell r="BW498" t="str">
            <v>Poland</v>
          </cell>
          <cell r="BX498" t="str">
            <v>Retail</v>
          </cell>
          <cell r="BY498">
            <v>43.7</v>
          </cell>
          <cell r="BZ498" t="str">
            <v>Netherlands</v>
          </cell>
          <cell r="CA498" t="str">
            <v>Retail</v>
          </cell>
          <cell r="CB498">
            <v>27.6</v>
          </cell>
          <cell r="CC498" t="str">
            <v>Belgium</v>
          </cell>
          <cell r="CD498" t="str">
            <v>Retail</v>
          </cell>
          <cell r="CE498">
            <v>6.3</v>
          </cell>
          <cell r="CF498" t="str">
            <v>France</v>
          </cell>
          <cell r="CG498" t="str">
            <v>Retail</v>
          </cell>
          <cell r="CH498">
            <v>9.9</v>
          </cell>
          <cell r="CI498" t="str">
            <v>Germany</v>
          </cell>
          <cell r="CJ498" t="str">
            <v>Retail</v>
          </cell>
          <cell r="CK498">
            <v>12.5</v>
          </cell>
        </row>
        <row r="499">
          <cell r="A499">
            <v>16307</v>
          </cell>
          <cell r="B499" t="str">
            <v>UK LONG LEASE PROPERTY FUND</v>
          </cell>
          <cell r="C499" t="str">
            <v>AXA REAL ESTATE INVESTMENT MANAGERS UK LTD</v>
          </cell>
          <cell r="D499" t="str">
            <v>155 Bishopsgate</v>
          </cell>
          <cell r="E499" t="str">
            <v>EC2M 3XJ</v>
          </cell>
          <cell r="F499" t="str">
            <v>LONDON</v>
          </cell>
          <cell r="G499" t="str">
            <v>United Kingdom</v>
          </cell>
          <cell r="J499" t="str">
            <v>https://realassets.axa-im.com</v>
          </cell>
          <cell r="K499" t="str">
            <v>Ian Pollard</v>
          </cell>
          <cell r="L499" t="str">
            <v>ian.pollard@axa-im.com</v>
          </cell>
          <cell r="M499" t="str">
            <v>+44 20 7003 2852</v>
          </cell>
          <cell r="N499" t="str">
            <v>Jamie-Lee Chambers</v>
          </cell>
          <cell r="O499" t="str">
            <v>jamie-lee.chambers@axa-im.com</v>
          </cell>
          <cell r="P499" t="str">
            <v>+44 20 7003 2845</v>
          </cell>
          <cell r="Q499" t="str">
            <v>Jersey</v>
          </cell>
          <cell r="R499" t="str">
            <v>GBP</v>
          </cell>
          <cell r="S499" t="str">
            <v>Local GAAP</v>
          </cell>
          <cell r="T499" t="str">
            <v>Annually</v>
          </cell>
          <cell r="U499" t="str">
            <v>Quarterly</v>
          </cell>
          <cell r="V499" t="str">
            <v>RICS</v>
          </cell>
          <cell r="W499" t="str">
            <v>UK GAAP</v>
          </cell>
          <cell r="X499" t="str">
            <v>PricewaterhouseCoopers</v>
          </cell>
          <cell r="Y499" t="str">
            <v>Unit trust</v>
          </cell>
          <cell r="Z499" t="str">
            <v>Yes</v>
          </cell>
          <cell r="AA499" t="str">
            <v>No</v>
          </cell>
          <cell r="AB499">
            <v>0</v>
          </cell>
          <cell r="AC499" t="str">
            <v>Non-Listed Fund</v>
          </cell>
          <cell r="AD499" t="str">
            <v>Core</v>
          </cell>
          <cell r="AE499" t="str">
            <v>infinite</v>
          </cell>
          <cell r="AF499" t="str">
            <v>Open end</v>
          </cell>
          <cell r="AG499">
            <v>6</v>
          </cell>
          <cell r="AH499">
            <v>6</v>
          </cell>
          <cell r="AI499" t="str">
            <v>Gross</v>
          </cell>
          <cell r="AJ499" t="str">
            <v>UK 10-YearGilt GBP Total Return Index  +1.5% p.a. on a rolling 5-yr basis</v>
          </cell>
          <cell r="AK499">
            <v>4.5</v>
          </cell>
          <cell r="AL499">
            <v>0</v>
          </cell>
          <cell r="AM499" t="str">
            <v>≤ 40%</v>
          </cell>
          <cell r="AN499" t="str">
            <v>Institutional</v>
          </cell>
          <cell r="AO499" t="str">
            <v>&gt; 2</v>
          </cell>
          <cell r="AP499" t="str">
            <v>≥ 50%</v>
          </cell>
          <cell r="AQ499" t="str">
            <v>Europe</v>
          </cell>
          <cell r="AR499" t="str">
            <v>single country</v>
          </cell>
          <cell r="AT499" t="str">
            <v>United Kingdom</v>
          </cell>
          <cell r="AU499" t="str">
            <v>multi sector</v>
          </cell>
          <cell r="AW499">
            <v>1000000000</v>
          </cell>
          <cell r="AX499">
            <v>1000000000</v>
          </cell>
          <cell r="AY499">
            <v>2012</v>
          </cell>
          <cell r="BB499" t="str">
            <v>No</v>
          </cell>
          <cell r="BD499" t="str">
            <v>No</v>
          </cell>
          <cell r="BG499" t="str">
            <v>&gt; 5 - ≤ 25%</v>
          </cell>
          <cell r="BH499" t="str">
            <v>2020-12-31</v>
          </cell>
          <cell r="BI499">
            <v>435749790</v>
          </cell>
          <cell r="BJ499">
            <v>481742785.98093998</v>
          </cell>
          <cell r="BK499">
            <v>428866559</v>
          </cell>
          <cell r="BL499">
            <v>474133036.17821407</v>
          </cell>
          <cell r="BM499">
            <v>0</v>
          </cell>
          <cell r="BN499" t="str">
            <v>No</v>
          </cell>
          <cell r="BO499" t="str">
            <v>External</v>
          </cell>
          <cell r="BP499">
            <v>6</v>
          </cell>
          <cell r="BQ499">
            <v>36</v>
          </cell>
          <cell r="BR499">
            <v>430450729</v>
          </cell>
          <cell r="BS499">
            <v>472615322.29453802</v>
          </cell>
          <cell r="BT499">
            <v>393224647</v>
          </cell>
          <cell r="BU499">
            <v>431742777.40870303</v>
          </cell>
          <cell r="BV499" t="str">
            <v>No</v>
          </cell>
          <cell r="BW499" t="str">
            <v>United Kingdom</v>
          </cell>
          <cell r="BX499" t="str">
            <v>Mixed</v>
          </cell>
          <cell r="BY499">
            <v>100</v>
          </cell>
        </row>
        <row r="500">
          <cell r="A500">
            <v>17350</v>
          </cell>
          <cell r="B500" t="str">
            <v>UK PENSION PROPERTY PORTFOLIO LP</v>
          </cell>
          <cell r="C500" t="str">
            <v>FIRST PROPERTY GROUP</v>
          </cell>
          <cell r="D500" t="str">
            <v>35 Old Queen Street</v>
          </cell>
          <cell r="E500" t="str">
            <v>SW1H 9JA</v>
          </cell>
          <cell r="F500" t="str">
            <v>London</v>
          </cell>
          <cell r="G500" t="str">
            <v>United Kingdom</v>
          </cell>
          <cell r="H500" t="str">
            <v>+44 20 7340 0270</v>
          </cell>
          <cell r="J500" t="str">
            <v>http://www.fprop.com</v>
          </cell>
          <cell r="N500" t="str">
            <v>Jeremy Barkes</v>
          </cell>
          <cell r="O500" t="str">
            <v>jeremy.barkes@fprop.com</v>
          </cell>
          <cell r="P500" t="str">
            <v>+44 20 7340 0270</v>
          </cell>
          <cell r="Q500" t="str">
            <v>United Kingdom</v>
          </cell>
          <cell r="R500" t="str">
            <v>GBP</v>
          </cell>
          <cell r="S500" t="str">
            <v>IFRS</v>
          </cell>
          <cell r="T500" t="str">
            <v>Quarterly</v>
          </cell>
          <cell r="U500" t="str">
            <v>Quarterly</v>
          </cell>
          <cell r="V500" t="str">
            <v>RICS</v>
          </cell>
          <cell r="X500" t="str">
            <v>Moore Stephens</v>
          </cell>
          <cell r="Y500" t="str">
            <v>Limited Partnership</v>
          </cell>
          <cell r="Z500" t="str">
            <v>Yes</v>
          </cell>
          <cell r="AA500" t="str">
            <v>No</v>
          </cell>
          <cell r="AC500" t="str">
            <v>Non-Listed Fund</v>
          </cell>
          <cell r="AD500" t="str">
            <v>Core</v>
          </cell>
          <cell r="AE500" t="str">
            <v>finite</v>
          </cell>
          <cell r="AF500" t="str">
            <v>Closed end</v>
          </cell>
          <cell r="AG500">
            <v>7</v>
          </cell>
          <cell r="AI500" t="str">
            <v>Net</v>
          </cell>
          <cell r="AK500">
            <v>6</v>
          </cell>
          <cell r="AL500">
            <v>0</v>
          </cell>
          <cell r="AN500" t="str">
            <v>Institutional</v>
          </cell>
          <cell r="AO500" t="str">
            <v>&gt; 2</v>
          </cell>
          <cell r="AP500" t="str">
            <v>≥ 50%</v>
          </cell>
          <cell r="AQ500" t="str">
            <v>Europe</v>
          </cell>
          <cell r="AR500" t="str">
            <v>single country</v>
          </cell>
          <cell r="AT500" t="str">
            <v>United Kingdom</v>
          </cell>
          <cell r="AU500" t="str">
            <v>multi sector</v>
          </cell>
          <cell r="AY500">
            <v>2010</v>
          </cell>
          <cell r="AZ500">
            <v>2017</v>
          </cell>
          <cell r="BA500" t="str">
            <v>Yes</v>
          </cell>
          <cell r="BD500" t="str">
            <v>Yes</v>
          </cell>
          <cell r="BE500" t="str">
            <v>≥ 60%</v>
          </cell>
          <cell r="BF500" t="str">
            <v>≤ 15%</v>
          </cell>
          <cell r="BG500" t="str">
            <v>≤ 5%</v>
          </cell>
          <cell r="BH500" t="str">
            <v>2014-03-31</v>
          </cell>
          <cell r="BJ500">
            <v>0</v>
          </cell>
          <cell r="BL500">
            <v>0</v>
          </cell>
          <cell r="BS500">
            <v>0</v>
          </cell>
        </row>
        <row r="501">
          <cell r="A501">
            <v>233</v>
          </cell>
          <cell r="B501" t="str">
            <v>UK PROPERTY FUND</v>
          </cell>
          <cell r="C501" t="str">
            <v>HENDERSON GLOBAL INVESTORS</v>
          </cell>
          <cell r="D501" t="str">
            <v>Bishopsgate 201</v>
          </cell>
          <cell r="E501" t="str">
            <v>EC2M 3AE</v>
          </cell>
          <cell r="F501" t="str">
            <v>London</v>
          </cell>
          <cell r="G501" t="str">
            <v>United Kingdom</v>
          </cell>
          <cell r="H501" t="str">
            <v>+44 (0) 20 7818 1818</v>
          </cell>
          <cell r="I501" t="str">
            <v>+44 (0) 20 7818 1819</v>
          </cell>
          <cell r="J501" t="str">
            <v>http://www.henderson.com/property</v>
          </cell>
          <cell r="K501" t="str">
            <v>Cameron Fraser</v>
          </cell>
          <cell r="L501" t="str">
            <v>cameron.fraser@henderson.com</v>
          </cell>
          <cell r="M501" t="str">
            <v>+44 (0) 20 7818 3099</v>
          </cell>
          <cell r="N501" t="str">
            <v>Daniel McAllister</v>
          </cell>
          <cell r="O501" t="str">
            <v>daniel.mcallister@henderson.com</v>
          </cell>
          <cell r="P501" t="str">
            <v>+44 (0) 20 7818 1819</v>
          </cell>
          <cell r="Q501" t="str">
            <v>Jersey</v>
          </cell>
          <cell r="R501" t="str">
            <v>GBP</v>
          </cell>
          <cell r="S501" t="str">
            <v>Local GAAP</v>
          </cell>
          <cell r="T501" t="str">
            <v>Twice per year</v>
          </cell>
          <cell r="U501" t="str">
            <v>Monthly</v>
          </cell>
          <cell r="V501" t="str">
            <v>RICS</v>
          </cell>
          <cell r="W501" t="str">
            <v>IFRS NAV</v>
          </cell>
          <cell r="X501" t="str">
            <v>KPMG</v>
          </cell>
          <cell r="Y501" t="str">
            <v>Property Unit Trust</v>
          </cell>
          <cell r="AA501" t="str">
            <v>Yes</v>
          </cell>
          <cell r="AB501">
            <v>3</v>
          </cell>
          <cell r="AC501" t="str">
            <v>Non-Listed Fund</v>
          </cell>
          <cell r="AD501" t="str">
            <v>Core</v>
          </cell>
          <cell r="AE501" t="str">
            <v>infinite</v>
          </cell>
          <cell r="AF501" t="str">
            <v>Open end</v>
          </cell>
          <cell r="AJ501" t="str">
            <v>IPD UK Pooled Property Fund Indices All Balanced Funds Index</v>
          </cell>
          <cell r="AM501" t="str">
            <v>≤ 40%</v>
          </cell>
          <cell r="AN501" t="str">
            <v>Institutional</v>
          </cell>
          <cell r="AO501" t="str">
            <v>&gt; 2</v>
          </cell>
          <cell r="AP501" t="str">
            <v>≥ 50%</v>
          </cell>
          <cell r="AQ501" t="str">
            <v>Europe</v>
          </cell>
          <cell r="AR501" t="str">
            <v>single country</v>
          </cell>
          <cell r="AT501" t="str">
            <v>United Kingdom</v>
          </cell>
          <cell r="AU501" t="str">
            <v>multi sector</v>
          </cell>
          <cell r="AY501">
            <v>1994</v>
          </cell>
          <cell r="BH501" t="str">
            <v>2020-12-31</v>
          </cell>
          <cell r="BI501">
            <v>165579980</v>
          </cell>
          <cell r="BJ501">
            <v>183056797.03911811</v>
          </cell>
          <cell r="BK501">
            <v>162283695</v>
          </cell>
          <cell r="BL501">
            <v>179412592.140506</v>
          </cell>
          <cell r="BM501">
            <v>0</v>
          </cell>
          <cell r="BN501" t="str">
            <v>No</v>
          </cell>
          <cell r="BO501" t="str">
            <v>External</v>
          </cell>
          <cell r="BP501">
            <v>27</v>
          </cell>
          <cell r="BQ501">
            <v>19</v>
          </cell>
          <cell r="BR501">
            <v>0</v>
          </cell>
          <cell r="BS501">
            <v>0</v>
          </cell>
          <cell r="BT501">
            <v>0</v>
          </cell>
          <cell r="BV501" t="str">
            <v>Yes</v>
          </cell>
          <cell r="BW501" t="str">
            <v>United Kingdom</v>
          </cell>
          <cell r="BX501" t="str">
            <v>Office</v>
          </cell>
          <cell r="BY501">
            <v>27</v>
          </cell>
          <cell r="BZ501" t="str">
            <v>United Kingdom</v>
          </cell>
          <cell r="CA501" t="str">
            <v>Retail</v>
          </cell>
          <cell r="CB501">
            <v>21</v>
          </cell>
          <cell r="CC501" t="str">
            <v>United Kingdom</v>
          </cell>
          <cell r="CD501" t="str">
            <v>Industrial / Logistics</v>
          </cell>
          <cell r="CE501">
            <v>49</v>
          </cell>
        </row>
        <row r="502">
          <cell r="A502">
            <v>17492</v>
          </cell>
          <cell r="B502" t="str">
            <v>UK PROPERTY INCOME FUND II</v>
          </cell>
          <cell r="C502" t="str">
            <v>LEGAL &amp; GENERAL PROPERTY</v>
          </cell>
          <cell r="D502" t="str">
            <v>One Coleman Street</v>
          </cell>
          <cell r="E502" t="str">
            <v>EC2R 5AA</v>
          </cell>
          <cell r="F502" t="str">
            <v>London</v>
          </cell>
          <cell r="G502" t="str">
            <v>United Kingdom</v>
          </cell>
          <cell r="Q502" t="str">
            <v>United Kingdom</v>
          </cell>
          <cell r="R502" t="str">
            <v>GBP</v>
          </cell>
          <cell r="S502" t="str">
            <v>Local GAAP</v>
          </cell>
          <cell r="T502" t="str">
            <v>Quarterly</v>
          </cell>
          <cell r="U502" t="str">
            <v>Quarterly</v>
          </cell>
          <cell r="V502" t="str">
            <v>RICS</v>
          </cell>
          <cell r="W502" t="str">
            <v>INREV NAV</v>
          </cell>
          <cell r="Y502" t="str">
            <v>Limited Partnership</v>
          </cell>
          <cell r="Z502" t="str">
            <v>No</v>
          </cell>
          <cell r="AC502" t="str">
            <v>Non-Listed Fund</v>
          </cell>
          <cell r="AD502" t="str">
            <v>Core</v>
          </cell>
          <cell r="AE502" t="str">
            <v>finite</v>
          </cell>
          <cell r="AF502" t="str">
            <v>Closed end</v>
          </cell>
          <cell r="AG502">
            <v>8</v>
          </cell>
          <cell r="AH502">
            <v>14</v>
          </cell>
          <cell r="AI502" t="str">
            <v>Net</v>
          </cell>
          <cell r="AJ502" t="str">
            <v>All IPD Quarterly and Monthly Funds</v>
          </cell>
          <cell r="AM502" t="str">
            <v>&gt; 40%</v>
          </cell>
          <cell r="AN502" t="str">
            <v>Institutional</v>
          </cell>
          <cell r="AO502" t="str">
            <v>&gt; 2</v>
          </cell>
          <cell r="AP502" t="str">
            <v>≥ 50%</v>
          </cell>
          <cell r="AQ502" t="str">
            <v>Europe</v>
          </cell>
          <cell r="AR502" t="str">
            <v>single country</v>
          </cell>
          <cell r="AT502" t="str">
            <v>United Kingdom</v>
          </cell>
          <cell r="AU502" t="str">
            <v>multi sector</v>
          </cell>
          <cell r="AW502">
            <v>500000000</v>
          </cell>
          <cell r="AX502">
            <v>750000000</v>
          </cell>
          <cell r="AY502">
            <v>2014</v>
          </cell>
          <cell r="AZ502">
            <v>2021</v>
          </cell>
          <cell r="BA502" t="str">
            <v>Yes</v>
          </cell>
          <cell r="BB502" t="str">
            <v>No</v>
          </cell>
          <cell r="BD502" t="str">
            <v>No</v>
          </cell>
          <cell r="BE502" t="str">
            <v>≥ 60%</v>
          </cell>
          <cell r="BF502" t="str">
            <v>≤ 15%</v>
          </cell>
          <cell r="BG502" t="str">
            <v>≤ 5%</v>
          </cell>
          <cell r="BH502" t="str">
            <v>2020-12-31</v>
          </cell>
          <cell r="BI502">
            <v>213578784</v>
          </cell>
          <cell r="BJ502">
            <v>236121831.3624005</v>
          </cell>
          <cell r="BK502">
            <v>130697347</v>
          </cell>
          <cell r="BL502">
            <v>144492333.69475099</v>
          </cell>
          <cell r="BM502">
            <v>33.79</v>
          </cell>
          <cell r="BN502" t="str">
            <v>No</v>
          </cell>
          <cell r="BO502" t="str">
            <v>External</v>
          </cell>
          <cell r="BP502">
            <v>15</v>
          </cell>
          <cell r="BQ502">
            <v>4</v>
          </cell>
          <cell r="BR502">
            <v>403500000</v>
          </cell>
          <cell r="BS502">
            <v>443024647.64985001</v>
          </cell>
          <cell r="BT502">
            <v>360627374</v>
          </cell>
          <cell r="BU502">
            <v>395952454.27321112</v>
          </cell>
          <cell r="BV502" t="str">
            <v>No</v>
          </cell>
          <cell r="BW502" t="str">
            <v>United Kingdom</v>
          </cell>
          <cell r="BX502" t="str">
            <v>Retail</v>
          </cell>
          <cell r="BY502">
            <v>72.67</v>
          </cell>
          <cell r="BZ502" t="str">
            <v>United Kingdom</v>
          </cell>
          <cell r="CA502" t="str">
            <v>Office</v>
          </cell>
          <cell r="CB502">
            <v>27.33</v>
          </cell>
        </row>
        <row r="503">
          <cell r="A503">
            <v>234</v>
          </cell>
          <cell r="B503" t="str">
            <v>UK RETAIL WAREHOUSE FUND</v>
          </cell>
          <cell r="C503" t="str">
            <v>HENDERSON GLOBAL INVESTORS</v>
          </cell>
          <cell r="D503" t="str">
            <v>201 Bishopsgate</v>
          </cell>
          <cell r="E503" t="str">
            <v>EC2M 2AE</v>
          </cell>
          <cell r="F503" t="str">
            <v>London</v>
          </cell>
          <cell r="G503" t="str">
            <v>United Kingdom</v>
          </cell>
          <cell r="H503" t="str">
            <v>+44 (0) 20 7818 1818</v>
          </cell>
          <cell r="I503" t="str">
            <v>+44 (0) 20 7818 1819</v>
          </cell>
          <cell r="J503" t="str">
            <v>http://www.henderson.com</v>
          </cell>
          <cell r="K503" t="str">
            <v>Michael Neal</v>
          </cell>
          <cell r="L503" t="str">
            <v>michael.neal@henderson.com</v>
          </cell>
          <cell r="M503" t="str">
            <v>+44 (0) 20 7818 4442</v>
          </cell>
          <cell r="N503" t="str">
            <v>Roger Hodgson</v>
          </cell>
          <cell r="O503" t="str">
            <v>roger.hodgson@henderson.com</v>
          </cell>
          <cell r="P503" t="str">
            <v>+44 (0) 20 7818 1819</v>
          </cell>
          <cell r="Q503" t="str">
            <v>Jersey</v>
          </cell>
          <cell r="R503" t="str">
            <v>GBP</v>
          </cell>
          <cell r="T503" t="str">
            <v>Twice per year</v>
          </cell>
          <cell r="U503" t="str">
            <v>Monthly</v>
          </cell>
          <cell r="V503" t="str">
            <v>RICS</v>
          </cell>
          <cell r="W503" t="str">
            <v>IFRS NAV</v>
          </cell>
          <cell r="X503" t="str">
            <v>KPMG</v>
          </cell>
          <cell r="Y503" t="str">
            <v>Property Unit Trust</v>
          </cell>
          <cell r="Z503" t="str">
            <v>No</v>
          </cell>
          <cell r="AB503">
            <v>0</v>
          </cell>
          <cell r="AC503" t="str">
            <v>Non-Listed Fund</v>
          </cell>
          <cell r="AD503" t="str">
            <v>Core</v>
          </cell>
          <cell r="AE503" t="str">
            <v>finite</v>
          </cell>
          <cell r="AF503" t="str">
            <v>Closed end</v>
          </cell>
          <cell r="AJ503" t="str">
            <v>IPD UK Retail Warehouse Annual Universe</v>
          </cell>
          <cell r="AM503" t="str">
            <v>&gt; 40% - ≤ 60%</v>
          </cell>
          <cell r="AN503" t="str">
            <v>Institutional</v>
          </cell>
          <cell r="AO503" t="str">
            <v>&gt; 2</v>
          </cell>
          <cell r="AP503" t="str">
            <v>≥ 50%</v>
          </cell>
          <cell r="AQ503" t="str">
            <v>Europe</v>
          </cell>
          <cell r="AR503" t="str">
            <v>single country</v>
          </cell>
          <cell r="AT503" t="str">
            <v>United Kingdom</v>
          </cell>
          <cell r="AU503" t="str">
            <v>single sector</v>
          </cell>
          <cell r="AV503" t="str">
            <v>Retail</v>
          </cell>
          <cell r="AY503">
            <v>2001</v>
          </cell>
          <cell r="AZ503">
            <v>2015</v>
          </cell>
          <cell r="BA503" t="str">
            <v>Yes</v>
          </cell>
          <cell r="BB503" t="str">
            <v>Yes</v>
          </cell>
          <cell r="BC503" t="str">
            <v>Length as the manager may determine with the approval of unit holders years</v>
          </cell>
          <cell r="BH503" t="str">
            <v>2020-12-31</v>
          </cell>
          <cell r="BI503">
            <v>616323164</v>
          </cell>
          <cell r="BJ503">
            <v>681375516.18773663</v>
          </cell>
          <cell r="BK503">
            <v>241323164</v>
          </cell>
          <cell r="BL503">
            <v>266794605.5627366</v>
          </cell>
          <cell r="BM503">
            <v>61</v>
          </cell>
          <cell r="BN503" t="str">
            <v>No</v>
          </cell>
          <cell r="BO503" t="str">
            <v>External</v>
          </cell>
          <cell r="BP503">
            <v>56</v>
          </cell>
          <cell r="BQ503">
            <v>13</v>
          </cell>
          <cell r="BR503">
            <v>0</v>
          </cell>
          <cell r="BS503">
            <v>0</v>
          </cell>
          <cell r="BT503">
            <v>0</v>
          </cell>
          <cell r="BV503" t="str">
            <v>No</v>
          </cell>
          <cell r="BW503" t="str">
            <v>United Kingdom</v>
          </cell>
          <cell r="BX503" t="str">
            <v>Retail</v>
          </cell>
          <cell r="BY503">
            <v>98</v>
          </cell>
        </row>
        <row r="504">
          <cell r="A504">
            <v>236</v>
          </cell>
          <cell r="B504" t="str">
            <v>UK SHOPPING CENTRE FUND</v>
          </cell>
          <cell r="C504" t="str">
            <v>HENDERSON GLOBAL INVESTORS</v>
          </cell>
          <cell r="D504" t="str">
            <v>201 Bishopsgate</v>
          </cell>
          <cell r="E504" t="str">
            <v>EC2M 2AE</v>
          </cell>
          <cell r="F504" t="str">
            <v>London</v>
          </cell>
          <cell r="G504" t="str">
            <v>United Kingdom</v>
          </cell>
          <cell r="H504" t="str">
            <v>+44 (0) 20 7818 1818</v>
          </cell>
          <cell r="I504" t="str">
            <v>+44 (0) 20 7818 1819</v>
          </cell>
          <cell r="J504" t="str">
            <v>http://www.henderson.com/property</v>
          </cell>
          <cell r="K504" t="str">
            <v>Myles White</v>
          </cell>
          <cell r="L504" t="str">
            <v>myles.white@henderson.com</v>
          </cell>
          <cell r="M504" t="str">
            <v>+44 (0) 20 7818 5640</v>
          </cell>
          <cell r="N504" t="str">
            <v>Roger Hodgson</v>
          </cell>
          <cell r="O504" t="str">
            <v>roger.hodgson@henderson.com</v>
          </cell>
          <cell r="P504" t="str">
            <v>+44 (0) 20 7818 1819</v>
          </cell>
          <cell r="Q504" t="str">
            <v>Jersey</v>
          </cell>
          <cell r="R504" t="str">
            <v>GBP</v>
          </cell>
          <cell r="S504" t="str">
            <v>Local GAAP</v>
          </cell>
          <cell r="T504" t="str">
            <v>Twice per year</v>
          </cell>
          <cell r="U504" t="str">
            <v>Monthly</v>
          </cell>
          <cell r="V504" t="str">
            <v>RICS</v>
          </cell>
          <cell r="W504" t="str">
            <v>IFRS NAV</v>
          </cell>
          <cell r="X504" t="str">
            <v>KPMG</v>
          </cell>
          <cell r="Y504" t="str">
            <v>Property Unit Trust</v>
          </cell>
          <cell r="AB504">
            <v>0</v>
          </cell>
          <cell r="AC504" t="str">
            <v>Non-Listed Fund</v>
          </cell>
          <cell r="AD504" t="str">
            <v>Core</v>
          </cell>
          <cell r="AE504" t="str">
            <v>finite</v>
          </cell>
          <cell r="AF504" t="str">
            <v>Closed end</v>
          </cell>
          <cell r="AJ504" t="str">
            <v>IPD UK All Shopping Centre Annual Index</v>
          </cell>
          <cell r="AN504" t="str">
            <v>Institutional</v>
          </cell>
          <cell r="AO504" t="str">
            <v>&gt; 2</v>
          </cell>
          <cell r="AP504" t="str">
            <v>≥ 50%</v>
          </cell>
          <cell r="AQ504" t="str">
            <v>Europe</v>
          </cell>
          <cell r="AR504" t="str">
            <v>single country</v>
          </cell>
          <cell r="AT504" t="str">
            <v>United Kingdom</v>
          </cell>
          <cell r="AU504" t="str">
            <v>single sector</v>
          </cell>
          <cell r="AV504" t="str">
            <v>Retail</v>
          </cell>
          <cell r="AY504">
            <v>2004</v>
          </cell>
          <cell r="AZ504">
            <v>2014</v>
          </cell>
          <cell r="BA504" t="str">
            <v>Yes</v>
          </cell>
          <cell r="BB504" t="str">
            <v>Yes</v>
          </cell>
          <cell r="BC504" t="str">
            <v>31-dec-21</v>
          </cell>
          <cell r="BH504" t="str">
            <v>2020-12-31</v>
          </cell>
          <cell r="BI504">
            <v>425683088</v>
          </cell>
          <cell r="BJ504">
            <v>470613552.69520527</v>
          </cell>
          <cell r="BK504">
            <v>185225774</v>
          </cell>
          <cell r="BL504">
            <v>204776186.81637451</v>
          </cell>
          <cell r="BM504">
            <v>55</v>
          </cell>
          <cell r="BN504" t="str">
            <v>No</v>
          </cell>
          <cell r="BO504" t="str">
            <v>External</v>
          </cell>
          <cell r="BP504">
            <v>35</v>
          </cell>
          <cell r="BQ504">
            <v>3</v>
          </cell>
          <cell r="BR504">
            <v>0</v>
          </cell>
          <cell r="BS504">
            <v>0</v>
          </cell>
          <cell r="BT504">
            <v>0</v>
          </cell>
          <cell r="BV504" t="str">
            <v>No</v>
          </cell>
          <cell r="BW504" t="str">
            <v>United Kingdom</v>
          </cell>
          <cell r="BX504" t="str">
            <v>Retail</v>
          </cell>
          <cell r="BY504">
            <v>93</v>
          </cell>
        </row>
        <row r="505">
          <cell r="A505">
            <v>482</v>
          </cell>
          <cell r="B505" t="str">
            <v>UNIIMMO: DEUTSCHLAND</v>
          </cell>
          <cell r="C505" t="str">
            <v>UNION INVESTMENT REAL ESTATE GMBH</v>
          </cell>
          <cell r="D505" t="str">
            <v>Valentinskamp 70</v>
          </cell>
          <cell r="E505">
            <v>20355</v>
          </cell>
          <cell r="F505" t="str">
            <v>Hamburg</v>
          </cell>
          <cell r="G505" t="str">
            <v>Germany</v>
          </cell>
          <cell r="H505" t="str">
            <v>+4940349190</v>
          </cell>
          <cell r="I505" t="str">
            <v>+494034919190</v>
          </cell>
          <cell r="J505" t="str">
            <v>http://www.realestate.union-investment.com</v>
          </cell>
          <cell r="K505" t="str">
            <v>Thomas Röhrs</v>
          </cell>
          <cell r="L505" t="str">
            <v>thomas.roehrs@union-investment.de</v>
          </cell>
          <cell r="M505" t="str">
            <v>+4940349194164</v>
          </cell>
          <cell r="N505" t="str">
            <v>Jörn Stobbe</v>
          </cell>
          <cell r="O505" t="str">
            <v>Joern.Stobbe@union-investment.de</v>
          </cell>
          <cell r="P505" t="str">
            <v>+4940349194455</v>
          </cell>
          <cell r="Q505" t="str">
            <v>Germany</v>
          </cell>
          <cell r="R505" t="str">
            <v>EUR</v>
          </cell>
          <cell r="S505" t="str">
            <v>German Trade Law / Investment Law</v>
          </cell>
          <cell r="T505" t="str">
            <v>Quarterly</v>
          </cell>
          <cell r="U505" t="str">
            <v>Quarterly</v>
          </cell>
          <cell r="V505" t="str">
            <v>ImmoWertV</v>
          </cell>
          <cell r="W505" t="str">
            <v>InvRBV - German Investment Law {no INREV-based calculation method}</v>
          </cell>
          <cell r="X505" t="str">
            <v>KPMG</v>
          </cell>
          <cell r="Y505" t="str">
            <v>Publikumsfonds</v>
          </cell>
          <cell r="Z505" t="str">
            <v>No</v>
          </cell>
          <cell r="AA505" t="str">
            <v>No</v>
          </cell>
          <cell r="AB505">
            <v>0</v>
          </cell>
          <cell r="AC505" t="str">
            <v>Non-Listed Fund</v>
          </cell>
          <cell r="AD505" t="str">
            <v>Core</v>
          </cell>
          <cell r="AE505" t="str">
            <v>infinite</v>
          </cell>
          <cell r="AF505" t="str">
            <v>Open end</v>
          </cell>
          <cell r="AJ505" t="str">
            <v>BVI Open Real Estate</v>
          </cell>
          <cell r="AL505">
            <v>20</v>
          </cell>
          <cell r="AM505" t="str">
            <v>&gt; 40% - ≤ 60%</v>
          </cell>
          <cell r="AN505" t="str">
            <v>Institutional and Retail</v>
          </cell>
          <cell r="AO505" t="str">
            <v>&gt; 2</v>
          </cell>
          <cell r="AP505" t="str">
            <v>&lt; 50%</v>
          </cell>
          <cell r="AQ505" t="str">
            <v>Europe</v>
          </cell>
          <cell r="AR505" t="str">
            <v>multi country</v>
          </cell>
          <cell r="AS505" t="str">
            <v>Europe</v>
          </cell>
          <cell r="AU505" t="str">
            <v>multi sector</v>
          </cell>
          <cell r="AY505">
            <v>1966</v>
          </cell>
          <cell r="BD505" t="str">
            <v>No</v>
          </cell>
          <cell r="BG505" t="str">
            <v>&gt; 5 - ≤ 25%</v>
          </cell>
          <cell r="BH505" t="str">
            <v>2020-12-31</v>
          </cell>
          <cell r="BI505">
            <v>14469062259</v>
          </cell>
          <cell r="BJ505">
            <v>14469062259</v>
          </cell>
          <cell r="BK505">
            <v>14050630131.889999</v>
          </cell>
          <cell r="BL505">
            <v>14050630131.889999</v>
          </cell>
          <cell r="BM505">
            <v>1.9</v>
          </cell>
          <cell r="BN505" t="str">
            <v>Yes</v>
          </cell>
          <cell r="BO505" t="str">
            <v>External</v>
          </cell>
          <cell r="BP505">
            <v>0</v>
          </cell>
          <cell r="BQ505">
            <v>78</v>
          </cell>
          <cell r="BR505">
            <v>0</v>
          </cell>
          <cell r="BS505">
            <v>0</v>
          </cell>
          <cell r="BT505">
            <v>0</v>
          </cell>
          <cell r="BV505" t="str">
            <v>No</v>
          </cell>
          <cell r="BW505" t="str">
            <v>Finland</v>
          </cell>
          <cell r="BX505" t="str">
            <v>Retail</v>
          </cell>
          <cell r="BY505">
            <v>1.3</v>
          </cell>
          <cell r="BZ505" t="str">
            <v>Spain</v>
          </cell>
          <cell r="CA505" t="str">
            <v>Retail</v>
          </cell>
          <cell r="CB505">
            <v>2.1</v>
          </cell>
          <cell r="CC505" t="str">
            <v>Germany</v>
          </cell>
          <cell r="CD505" t="str">
            <v>Office</v>
          </cell>
          <cell r="CE505">
            <v>21.7</v>
          </cell>
          <cell r="CF505" t="str">
            <v>France</v>
          </cell>
          <cell r="CG505" t="str">
            <v>Office</v>
          </cell>
          <cell r="CH505">
            <v>11.6</v>
          </cell>
          <cell r="CI505" t="str">
            <v>Germany</v>
          </cell>
          <cell r="CJ505" t="str">
            <v>Hotel</v>
          </cell>
          <cell r="CK505">
            <v>9.5</v>
          </cell>
          <cell r="CL505" t="str">
            <v>Czech Republic</v>
          </cell>
          <cell r="CM505" t="str">
            <v>Retail</v>
          </cell>
          <cell r="CN505">
            <v>5.4</v>
          </cell>
          <cell r="CO505" t="str">
            <v>Poland</v>
          </cell>
          <cell r="CP505" t="str">
            <v>Retail</v>
          </cell>
          <cell r="CQ505">
            <v>4.2</v>
          </cell>
          <cell r="CR505" t="str">
            <v>United Kingdom</v>
          </cell>
          <cell r="CS505" t="str">
            <v>Office</v>
          </cell>
          <cell r="CT505">
            <v>3.9</v>
          </cell>
          <cell r="CU505" t="str">
            <v>Finland</v>
          </cell>
          <cell r="CV505" t="str">
            <v>Office</v>
          </cell>
          <cell r="CW505">
            <v>1.4</v>
          </cell>
          <cell r="CX505" t="str">
            <v>Austria</v>
          </cell>
          <cell r="CY505" t="str">
            <v>Office</v>
          </cell>
          <cell r="CZ505">
            <v>2.5</v>
          </cell>
          <cell r="DA505" t="str">
            <v>Germany</v>
          </cell>
          <cell r="DB505" t="str">
            <v>Industrial / Logistics</v>
          </cell>
          <cell r="DC505">
            <v>2</v>
          </cell>
          <cell r="DD505" t="str">
            <v>Netherlands</v>
          </cell>
          <cell r="DE505" t="str">
            <v>Office</v>
          </cell>
          <cell r="DF505">
            <v>2.1</v>
          </cell>
          <cell r="DG505" t="str">
            <v>Sweden</v>
          </cell>
          <cell r="DH505" t="str">
            <v>Office</v>
          </cell>
          <cell r="DI505">
            <v>2.1</v>
          </cell>
          <cell r="DJ505" t="str">
            <v>Poland</v>
          </cell>
          <cell r="DK505" t="str">
            <v>Office</v>
          </cell>
          <cell r="DL505">
            <v>1.5</v>
          </cell>
          <cell r="DM505" t="str">
            <v>Ireland</v>
          </cell>
          <cell r="DN505" t="str">
            <v>Office</v>
          </cell>
          <cell r="DO505">
            <v>2</v>
          </cell>
          <cell r="DP505" t="str">
            <v>France</v>
          </cell>
          <cell r="DQ505" t="str">
            <v>Hotel</v>
          </cell>
          <cell r="DR505">
            <v>1.1000000000000001</v>
          </cell>
          <cell r="DS505" t="str">
            <v>Luxembourg</v>
          </cell>
          <cell r="DT505" t="str">
            <v>Office</v>
          </cell>
          <cell r="DU505">
            <v>1.3</v>
          </cell>
          <cell r="DV505" t="str">
            <v>Belgium</v>
          </cell>
          <cell r="DW505" t="str">
            <v>Hotel</v>
          </cell>
          <cell r="DX505">
            <v>0.6</v>
          </cell>
          <cell r="DY505" t="str">
            <v>Netherlands</v>
          </cell>
          <cell r="DZ505" t="str">
            <v>Hotel</v>
          </cell>
          <cell r="EA505">
            <v>0.5</v>
          </cell>
          <cell r="EB505" t="str">
            <v>Poland</v>
          </cell>
          <cell r="EC505" t="str">
            <v>Hotel</v>
          </cell>
          <cell r="ED505">
            <v>0.4</v>
          </cell>
          <cell r="EE505" t="str">
            <v>United Kingdom</v>
          </cell>
          <cell r="EF505" t="str">
            <v>Hotel</v>
          </cell>
          <cell r="EG505">
            <v>0.3</v>
          </cell>
          <cell r="EH505" t="str">
            <v>Germany</v>
          </cell>
          <cell r="EI505" t="str">
            <v>Retail</v>
          </cell>
          <cell r="EJ505">
            <v>22.5</v>
          </cell>
        </row>
        <row r="506">
          <cell r="A506">
            <v>483</v>
          </cell>
          <cell r="B506" t="str">
            <v>UNIIMMO: EUROPA</v>
          </cell>
          <cell r="C506" t="str">
            <v>UNION INVESTMENT REAL ESTATE AG</v>
          </cell>
          <cell r="D506" t="str">
            <v>Valentinskamp 70</v>
          </cell>
          <cell r="E506">
            <v>20355</v>
          </cell>
          <cell r="F506" t="str">
            <v>Hamburg</v>
          </cell>
          <cell r="G506" t="str">
            <v>Germany</v>
          </cell>
          <cell r="H506" t="str">
            <v>+4940349190</v>
          </cell>
          <cell r="I506" t="str">
            <v>+494034919190</v>
          </cell>
          <cell r="J506" t="str">
            <v>http://www.realestate.union-investment.com</v>
          </cell>
          <cell r="K506" t="str">
            <v>Björn Thiemann</v>
          </cell>
          <cell r="L506" t="str">
            <v>Bjoern.Thiemann@union-investment.de</v>
          </cell>
          <cell r="M506" t="str">
            <v>+4940349194422</v>
          </cell>
          <cell r="N506" t="str">
            <v>Jörn Stobbe</v>
          </cell>
          <cell r="O506" t="str">
            <v>Joern.Stobbe@union-investment.de</v>
          </cell>
          <cell r="P506" t="str">
            <v>+4940349194455</v>
          </cell>
          <cell r="Q506" t="str">
            <v>Germany</v>
          </cell>
          <cell r="R506" t="str">
            <v>EUR</v>
          </cell>
          <cell r="S506" t="str">
            <v>German Trade Law / Investment Law</v>
          </cell>
          <cell r="T506" t="str">
            <v>Quarterly</v>
          </cell>
          <cell r="U506" t="str">
            <v>Quarterly</v>
          </cell>
          <cell r="V506" t="str">
            <v>ImmoWertV</v>
          </cell>
          <cell r="W506" t="str">
            <v>InvRBV - German Investment Law {no INREV-based calculation method}</v>
          </cell>
          <cell r="X506" t="str">
            <v>KPMG</v>
          </cell>
          <cell r="Y506" t="str">
            <v>Publikumsfonds</v>
          </cell>
          <cell r="Z506" t="str">
            <v>No</v>
          </cell>
          <cell r="AA506" t="str">
            <v>No</v>
          </cell>
          <cell r="AB506">
            <v>0</v>
          </cell>
          <cell r="AC506" t="str">
            <v>Non-Listed Fund</v>
          </cell>
          <cell r="AD506" t="str">
            <v>Core</v>
          </cell>
          <cell r="AE506" t="str">
            <v>infinite</v>
          </cell>
          <cell r="AF506" t="str">
            <v>Open end</v>
          </cell>
          <cell r="AJ506" t="str">
            <v>BVI Open Real Estate</v>
          </cell>
          <cell r="AM506" t="str">
            <v>&gt; 40% - ≤ 60%</v>
          </cell>
          <cell r="AN506" t="str">
            <v>Institutional and Retail</v>
          </cell>
          <cell r="AO506" t="str">
            <v>&gt; 2</v>
          </cell>
          <cell r="AP506" t="str">
            <v>&lt; 50%</v>
          </cell>
          <cell r="AQ506" t="str">
            <v>Europe</v>
          </cell>
          <cell r="AR506" t="str">
            <v>multi country</v>
          </cell>
          <cell r="AS506" t="str">
            <v>Europe</v>
          </cell>
          <cell r="AU506" t="str">
            <v>multi sector</v>
          </cell>
          <cell r="AY506">
            <v>1985</v>
          </cell>
          <cell r="BG506" t="str">
            <v>&gt; 5 - ≤ 25%</v>
          </cell>
          <cell r="BH506" t="str">
            <v>2020-12-31</v>
          </cell>
          <cell r="BI506">
            <v>15569482412</v>
          </cell>
          <cell r="BJ506">
            <v>15569482412</v>
          </cell>
          <cell r="BK506">
            <v>13451877845</v>
          </cell>
          <cell r="BL506">
            <v>13451877845</v>
          </cell>
          <cell r="BM506">
            <v>13.7</v>
          </cell>
          <cell r="BN506" t="str">
            <v>Yes</v>
          </cell>
          <cell r="BO506" t="str">
            <v>External</v>
          </cell>
          <cell r="BP506">
            <v>0</v>
          </cell>
          <cell r="BQ506">
            <v>95</v>
          </cell>
          <cell r="BR506">
            <v>0</v>
          </cell>
          <cell r="BS506">
            <v>0</v>
          </cell>
          <cell r="BT506">
            <v>0</v>
          </cell>
          <cell r="BV506" t="str">
            <v>No</v>
          </cell>
          <cell r="BW506" t="str">
            <v>Netherlands</v>
          </cell>
          <cell r="BX506" t="str">
            <v>Residential</v>
          </cell>
          <cell r="BY506">
            <v>0.4</v>
          </cell>
          <cell r="BZ506" t="str">
            <v>Netherlands</v>
          </cell>
          <cell r="CA506" t="str">
            <v>Hotel</v>
          </cell>
          <cell r="CB506">
            <v>1.3</v>
          </cell>
          <cell r="CC506" t="str">
            <v>Australia</v>
          </cell>
          <cell r="CD506" t="str">
            <v>Office</v>
          </cell>
          <cell r="CE506">
            <v>1</v>
          </cell>
          <cell r="CF506" t="str">
            <v>Netherlands</v>
          </cell>
          <cell r="CG506" t="str">
            <v>Industrial / Logistics</v>
          </cell>
          <cell r="CH506">
            <v>0.7</v>
          </cell>
          <cell r="CI506" t="str">
            <v>France</v>
          </cell>
          <cell r="CJ506" t="str">
            <v>Industrial / Logistics</v>
          </cell>
          <cell r="CK506">
            <v>1</v>
          </cell>
          <cell r="CL506" t="str">
            <v>United States of America</v>
          </cell>
          <cell r="CM506" t="str">
            <v>Office</v>
          </cell>
          <cell r="CN506">
            <v>23</v>
          </cell>
          <cell r="CO506" t="str">
            <v>Germany</v>
          </cell>
          <cell r="CP506" t="str">
            <v>Retail</v>
          </cell>
          <cell r="CQ506">
            <v>17</v>
          </cell>
          <cell r="CR506" t="str">
            <v>France</v>
          </cell>
          <cell r="CS506" t="str">
            <v>Office</v>
          </cell>
          <cell r="CT506">
            <v>7.6</v>
          </cell>
          <cell r="CU506" t="str">
            <v>United Kingdom</v>
          </cell>
          <cell r="CV506" t="str">
            <v>Office</v>
          </cell>
          <cell r="CW506">
            <v>7.5</v>
          </cell>
          <cell r="CX506" t="str">
            <v>United States of America</v>
          </cell>
          <cell r="CY506" t="str">
            <v>Hotel</v>
          </cell>
          <cell r="CZ506">
            <v>3.2</v>
          </cell>
          <cell r="DA506" t="str">
            <v>Netherlands</v>
          </cell>
          <cell r="DB506" t="str">
            <v>Office</v>
          </cell>
          <cell r="DC506">
            <v>3.5</v>
          </cell>
          <cell r="DD506" t="str">
            <v>Ireland</v>
          </cell>
          <cell r="DE506" t="str">
            <v>Office</v>
          </cell>
          <cell r="DF506">
            <v>3.4</v>
          </cell>
          <cell r="DG506" t="str">
            <v>Poland</v>
          </cell>
          <cell r="DH506" t="str">
            <v>Retail</v>
          </cell>
          <cell r="DI506">
            <v>2.8</v>
          </cell>
          <cell r="DJ506" t="str">
            <v>Germany</v>
          </cell>
          <cell r="DK506" t="str">
            <v>Office</v>
          </cell>
          <cell r="DL506">
            <v>3.2</v>
          </cell>
          <cell r="DM506" t="str">
            <v>Belgium</v>
          </cell>
          <cell r="DN506" t="str">
            <v>Retail</v>
          </cell>
          <cell r="DO506">
            <v>2.6</v>
          </cell>
          <cell r="DP506" t="str">
            <v>Italy</v>
          </cell>
          <cell r="DQ506" t="str">
            <v>Retail</v>
          </cell>
          <cell r="DR506">
            <v>2.2000000000000002</v>
          </cell>
          <cell r="DS506" t="str">
            <v>Austria</v>
          </cell>
          <cell r="DT506" t="str">
            <v>Office</v>
          </cell>
          <cell r="DU506">
            <v>2.1</v>
          </cell>
          <cell r="DV506" t="str">
            <v>Germany</v>
          </cell>
          <cell r="DW506" t="str">
            <v>Hotel</v>
          </cell>
          <cell r="DX506">
            <v>2</v>
          </cell>
          <cell r="DY506" t="str">
            <v>Japan</v>
          </cell>
          <cell r="DZ506" t="str">
            <v>Retail</v>
          </cell>
          <cell r="EA506">
            <v>1.1000000000000001</v>
          </cell>
          <cell r="EB506" t="str">
            <v>Turkey</v>
          </cell>
          <cell r="EC506" t="str">
            <v>Retail</v>
          </cell>
          <cell r="ED506">
            <v>0.9</v>
          </cell>
          <cell r="EE506" t="str">
            <v>Japan</v>
          </cell>
          <cell r="EF506" t="str">
            <v>Office</v>
          </cell>
          <cell r="EG506">
            <v>1.1000000000000001</v>
          </cell>
          <cell r="EH506" t="str">
            <v>Germany</v>
          </cell>
          <cell r="EI506" t="str">
            <v>Industrial / Logistics</v>
          </cell>
          <cell r="EJ506">
            <v>4.0999999999999996</v>
          </cell>
          <cell r="EK506" t="str">
            <v>Luxembourg</v>
          </cell>
          <cell r="EL506" t="str">
            <v>Office</v>
          </cell>
          <cell r="EM506">
            <v>1.1000000000000001</v>
          </cell>
          <cell r="EN506" t="str">
            <v>Switzerland</v>
          </cell>
          <cell r="EO506" t="str">
            <v>Office</v>
          </cell>
          <cell r="EP506">
            <v>0.9</v>
          </cell>
          <cell r="EQ506" t="str">
            <v>Sweden</v>
          </cell>
          <cell r="ER506" t="str">
            <v>Office</v>
          </cell>
          <cell r="ES506">
            <v>0.9</v>
          </cell>
          <cell r="ET506" t="str">
            <v>Finland</v>
          </cell>
          <cell r="EU506" t="str">
            <v>Office</v>
          </cell>
        </row>
        <row r="507">
          <cell r="A507">
            <v>484</v>
          </cell>
          <cell r="B507" t="str">
            <v>UNIIMMO: GLOBAL</v>
          </cell>
          <cell r="C507" t="str">
            <v>UNION INVESTMENT REAL ESTATE GMBH</v>
          </cell>
          <cell r="D507" t="str">
            <v>Valentinskamp 70</v>
          </cell>
          <cell r="E507">
            <v>20355</v>
          </cell>
          <cell r="F507" t="str">
            <v>Hamburg</v>
          </cell>
          <cell r="G507" t="str">
            <v>Germany</v>
          </cell>
          <cell r="H507" t="str">
            <v>+4940349190</v>
          </cell>
          <cell r="I507" t="str">
            <v>+494034919190</v>
          </cell>
          <cell r="J507" t="str">
            <v>http://www.realestate.union-investment.com</v>
          </cell>
          <cell r="K507" t="str">
            <v>Björn Thiemann</v>
          </cell>
          <cell r="L507" t="str">
            <v>Bjoern.Thiemann@union-investment.de</v>
          </cell>
          <cell r="M507" t="str">
            <v>+4940349194422</v>
          </cell>
          <cell r="N507" t="str">
            <v>Jörn Stobbe</v>
          </cell>
          <cell r="O507" t="str">
            <v>Joern.Stobbe@union-investment.de</v>
          </cell>
          <cell r="P507" t="str">
            <v>+4940349194455</v>
          </cell>
          <cell r="Q507" t="str">
            <v>Germany</v>
          </cell>
          <cell r="R507" t="str">
            <v>EUR</v>
          </cell>
          <cell r="S507" t="str">
            <v>German Trade Law / Investment Law</v>
          </cell>
          <cell r="T507" t="str">
            <v>Quarterly</v>
          </cell>
          <cell r="U507" t="str">
            <v>Quarterly</v>
          </cell>
          <cell r="V507" t="str">
            <v>ImmoWertV</v>
          </cell>
          <cell r="W507" t="str">
            <v>InvRBV - German Investment Law {no INREV-based calculation method}</v>
          </cell>
          <cell r="X507" t="str">
            <v>KPMG</v>
          </cell>
          <cell r="Y507" t="str">
            <v>Publikumsfonds</v>
          </cell>
          <cell r="Z507" t="str">
            <v>No</v>
          </cell>
          <cell r="AA507" t="str">
            <v>No</v>
          </cell>
          <cell r="AB507">
            <v>0</v>
          </cell>
          <cell r="AC507" t="str">
            <v>Non-Listed Fund</v>
          </cell>
          <cell r="AD507" t="str">
            <v>Core</v>
          </cell>
          <cell r="AE507" t="str">
            <v>infinite</v>
          </cell>
          <cell r="AF507" t="str">
            <v>Open end</v>
          </cell>
          <cell r="AJ507" t="str">
            <v>BVI Open Real Estate</v>
          </cell>
          <cell r="AM507" t="str">
            <v>≤ 40%</v>
          </cell>
          <cell r="AN507" t="str">
            <v>Institutional and Retail</v>
          </cell>
          <cell r="AO507" t="str">
            <v>&gt; 2</v>
          </cell>
          <cell r="AP507" t="str">
            <v>&lt; 50%</v>
          </cell>
          <cell r="AQ507" t="str">
            <v>Global</v>
          </cell>
          <cell r="AR507" t="str">
            <v>multi country</v>
          </cell>
          <cell r="AU507" t="str">
            <v>multi sector</v>
          </cell>
          <cell r="AY507">
            <v>2004</v>
          </cell>
          <cell r="BG507" t="str">
            <v>&gt; 5 - ≤ 25%</v>
          </cell>
          <cell r="BH507" t="str">
            <v>2020-12-31</v>
          </cell>
          <cell r="BI507">
            <v>4540719039</v>
          </cell>
          <cell r="BJ507">
            <v>4540719039</v>
          </cell>
          <cell r="BK507">
            <v>3848940252</v>
          </cell>
          <cell r="BL507">
            <v>3848940252</v>
          </cell>
          <cell r="BM507">
            <v>17.7</v>
          </cell>
          <cell r="BN507" t="str">
            <v>Yes</v>
          </cell>
          <cell r="BO507" t="str">
            <v>External</v>
          </cell>
          <cell r="BP507">
            <v>0</v>
          </cell>
          <cell r="BQ507">
            <v>44</v>
          </cell>
          <cell r="BR507">
            <v>0</v>
          </cell>
          <cell r="BS507">
            <v>0</v>
          </cell>
          <cell r="BT507">
            <v>0</v>
          </cell>
          <cell r="BV507" t="str">
            <v>No</v>
          </cell>
          <cell r="BW507" t="str">
            <v>Mexico</v>
          </cell>
          <cell r="BX507" t="str">
            <v>Office</v>
          </cell>
          <cell r="BY507">
            <v>8.5</v>
          </cell>
          <cell r="BZ507" t="str">
            <v>Germany</v>
          </cell>
          <cell r="CA507" t="str">
            <v>Retail</v>
          </cell>
          <cell r="CB507">
            <v>7.4</v>
          </cell>
          <cell r="CC507" t="str">
            <v>Singapore</v>
          </cell>
          <cell r="CD507" t="str">
            <v>Office</v>
          </cell>
          <cell r="CE507">
            <v>5.0999999999999996</v>
          </cell>
          <cell r="CF507" t="str">
            <v>United Kingdom</v>
          </cell>
          <cell r="CG507" t="str">
            <v>Office</v>
          </cell>
          <cell r="CH507">
            <v>5</v>
          </cell>
          <cell r="CI507" t="str">
            <v>United States of America</v>
          </cell>
          <cell r="CJ507" t="str">
            <v>Retail</v>
          </cell>
          <cell r="CK507">
            <v>3.9</v>
          </cell>
          <cell r="CL507" t="str">
            <v>Switzerland</v>
          </cell>
          <cell r="CM507" t="str">
            <v>Office</v>
          </cell>
          <cell r="CN507">
            <v>4.3</v>
          </cell>
          <cell r="CO507" t="str">
            <v>Australia</v>
          </cell>
          <cell r="CP507" t="str">
            <v>Office</v>
          </cell>
          <cell r="CQ507">
            <v>3.5</v>
          </cell>
          <cell r="CR507" t="str">
            <v>United Kingdom</v>
          </cell>
          <cell r="CS507" t="str">
            <v>Hotel</v>
          </cell>
          <cell r="CT507">
            <v>2.9</v>
          </cell>
          <cell r="CU507" t="str">
            <v>Germany</v>
          </cell>
          <cell r="CV507" t="str">
            <v>Office</v>
          </cell>
          <cell r="CW507">
            <v>2.9</v>
          </cell>
          <cell r="CX507" t="str">
            <v>Poland</v>
          </cell>
          <cell r="CY507" t="str">
            <v>Retail</v>
          </cell>
          <cell r="CZ507">
            <v>1.8</v>
          </cell>
          <cell r="DA507" t="str">
            <v>Japan</v>
          </cell>
          <cell r="DB507" t="str">
            <v>Retail</v>
          </cell>
          <cell r="DC507">
            <v>1.9</v>
          </cell>
          <cell r="DD507" t="str">
            <v>Portugal</v>
          </cell>
          <cell r="DE507" t="str">
            <v>Office</v>
          </cell>
          <cell r="DF507">
            <v>2</v>
          </cell>
          <cell r="DG507" t="str">
            <v>Poland</v>
          </cell>
          <cell r="DH507" t="str">
            <v>Office</v>
          </cell>
          <cell r="DI507">
            <v>1.9</v>
          </cell>
          <cell r="DJ507" t="str">
            <v>Sweden</v>
          </cell>
          <cell r="DK507" t="str">
            <v>Office</v>
          </cell>
          <cell r="DL507">
            <v>1.9</v>
          </cell>
          <cell r="DM507" t="str">
            <v>Germany</v>
          </cell>
          <cell r="DN507" t="str">
            <v>Hotel</v>
          </cell>
          <cell r="DO507">
            <v>1.7</v>
          </cell>
          <cell r="DP507" t="str">
            <v>Germany</v>
          </cell>
          <cell r="DQ507" t="str">
            <v>Industrial / Logistics</v>
          </cell>
          <cell r="DR507">
            <v>5.8</v>
          </cell>
          <cell r="DS507" t="str">
            <v>Austria</v>
          </cell>
          <cell r="DT507" t="str">
            <v>Office</v>
          </cell>
          <cell r="DU507">
            <v>1</v>
          </cell>
          <cell r="DV507" t="str">
            <v>United States of America</v>
          </cell>
          <cell r="DW507" t="str">
            <v>Hotel</v>
          </cell>
          <cell r="DX507">
            <v>11.4</v>
          </cell>
          <cell r="DY507" t="str">
            <v>United States of America</v>
          </cell>
          <cell r="DZ507" t="str">
            <v>Office</v>
          </cell>
          <cell r="EA507">
            <v>20</v>
          </cell>
          <cell r="EB507" t="str">
            <v>Turkey</v>
          </cell>
          <cell r="EC507" t="str">
            <v>Retail</v>
          </cell>
          <cell r="ED507">
            <v>5.0999999999999996</v>
          </cell>
          <cell r="EE507" t="str">
            <v>Netherlands</v>
          </cell>
          <cell r="EF507" t="str">
            <v>Industrial / Logistics</v>
          </cell>
          <cell r="EG507">
            <v>2</v>
          </cell>
        </row>
        <row r="508">
          <cell r="A508">
            <v>255</v>
          </cell>
          <cell r="B508" t="str">
            <v>UNIINSTITUTIONAL EUROPEAN REAL ESTATE</v>
          </cell>
          <cell r="C508" t="str">
            <v>UNION INVESTMENT INSTITUTIONAL GMBH</v>
          </cell>
          <cell r="D508" t="str">
            <v>P.O Box 30 11 99</v>
          </cell>
          <cell r="E508">
            <v>20304</v>
          </cell>
          <cell r="F508" t="str">
            <v>Hamburg</v>
          </cell>
          <cell r="G508" t="str">
            <v>Germany</v>
          </cell>
          <cell r="H508" t="str">
            <v>+4940349190</v>
          </cell>
          <cell r="I508" t="str">
            <v>+494034919190</v>
          </cell>
          <cell r="J508" t="str">
            <v>http://www.union-investment.de</v>
          </cell>
          <cell r="K508" t="str">
            <v>Carsten Thiel</v>
          </cell>
          <cell r="L508" t="str">
            <v>carsten.thiel@union-investment.de</v>
          </cell>
          <cell r="M508" t="str">
            <v>+4940349194341</v>
          </cell>
          <cell r="N508" t="str">
            <v>Jörn Stobbe</v>
          </cell>
          <cell r="O508" t="str">
            <v>Joern.Stobbe@union-investment.de</v>
          </cell>
          <cell r="P508" t="str">
            <v>+4940349194455</v>
          </cell>
          <cell r="Q508" t="str">
            <v>Germany</v>
          </cell>
          <cell r="R508" t="str">
            <v>EUR</v>
          </cell>
          <cell r="S508" t="str">
            <v>German Trade Law / Investment Law</v>
          </cell>
          <cell r="T508" t="str">
            <v>Quarterly</v>
          </cell>
          <cell r="U508" t="str">
            <v>Annually</v>
          </cell>
          <cell r="V508" t="str">
            <v>ImmoWertV</v>
          </cell>
          <cell r="W508" t="str">
            <v>InvRBV - German Investment Law {no INREV-based calculation method}</v>
          </cell>
          <cell r="X508" t="str">
            <v>KPMG</v>
          </cell>
          <cell r="Y508" t="str">
            <v>Publikumsfonds</v>
          </cell>
          <cell r="Z508" t="str">
            <v>No</v>
          </cell>
          <cell r="AA508" t="str">
            <v>No</v>
          </cell>
          <cell r="AB508">
            <v>0</v>
          </cell>
          <cell r="AC508" t="str">
            <v>Non-Listed Fund</v>
          </cell>
          <cell r="AD508" t="str">
            <v>Core</v>
          </cell>
          <cell r="AE508" t="str">
            <v>infinite</v>
          </cell>
          <cell r="AF508" t="str">
            <v>Open end</v>
          </cell>
          <cell r="AL508">
            <v>50</v>
          </cell>
          <cell r="AM508" t="str">
            <v>≤ 40%</v>
          </cell>
          <cell r="AN508" t="str">
            <v>Institutional</v>
          </cell>
          <cell r="AO508" t="str">
            <v>&gt; 2</v>
          </cell>
          <cell r="AP508" t="str">
            <v>≥ 50%</v>
          </cell>
          <cell r="AQ508" t="str">
            <v>Europe</v>
          </cell>
          <cell r="AR508" t="str">
            <v>multi country</v>
          </cell>
          <cell r="AS508" t="str">
            <v>Europe</v>
          </cell>
          <cell r="AU508" t="str">
            <v>multi sector</v>
          </cell>
          <cell r="AY508">
            <v>2004</v>
          </cell>
          <cell r="BG508" t="str">
            <v>&gt; 25%</v>
          </cell>
          <cell r="BH508" t="str">
            <v>2020-12-31</v>
          </cell>
          <cell r="BI508">
            <v>3765729735.4099998</v>
          </cell>
          <cell r="BJ508">
            <v>3765729735.4099998</v>
          </cell>
          <cell r="BK508">
            <v>3475265220</v>
          </cell>
          <cell r="BL508">
            <v>3475265220</v>
          </cell>
          <cell r="BM508">
            <v>6.4</v>
          </cell>
          <cell r="BN508" t="str">
            <v>Yes</v>
          </cell>
          <cell r="BO508" t="str">
            <v>External</v>
          </cell>
          <cell r="BP508">
            <v>2050</v>
          </cell>
          <cell r="BQ508">
            <v>55</v>
          </cell>
          <cell r="BR508">
            <v>0</v>
          </cell>
          <cell r="BS508">
            <v>0</v>
          </cell>
          <cell r="BT508">
            <v>0</v>
          </cell>
          <cell r="BV508" t="str">
            <v>No</v>
          </cell>
          <cell r="BW508" t="str">
            <v>Germany</v>
          </cell>
          <cell r="BX508" t="str">
            <v>Office</v>
          </cell>
          <cell r="BY508">
            <v>15.3</v>
          </cell>
          <cell r="BZ508" t="str">
            <v>Germany</v>
          </cell>
          <cell r="CA508" t="str">
            <v>Retail</v>
          </cell>
          <cell r="CB508">
            <v>8.4</v>
          </cell>
          <cell r="CC508" t="str">
            <v>France</v>
          </cell>
          <cell r="CD508" t="str">
            <v>Office</v>
          </cell>
          <cell r="CE508">
            <v>8.9</v>
          </cell>
          <cell r="CF508" t="str">
            <v>Poland</v>
          </cell>
          <cell r="CG508" t="str">
            <v>Retail</v>
          </cell>
          <cell r="CH508">
            <v>7.5</v>
          </cell>
          <cell r="CI508" t="str">
            <v>Germany</v>
          </cell>
          <cell r="CJ508" t="str">
            <v>Industrial / Logistics</v>
          </cell>
          <cell r="CK508">
            <v>7</v>
          </cell>
          <cell r="CL508" t="str">
            <v>Netherlands</v>
          </cell>
          <cell r="CM508" t="str">
            <v>Office</v>
          </cell>
          <cell r="CN508">
            <v>6.4</v>
          </cell>
          <cell r="CO508" t="str">
            <v>Sweden</v>
          </cell>
          <cell r="CP508" t="str">
            <v>Office</v>
          </cell>
          <cell r="CQ508">
            <v>5.9</v>
          </cell>
          <cell r="CR508" t="str">
            <v>Luxembourg</v>
          </cell>
          <cell r="CS508" t="str">
            <v>Office</v>
          </cell>
          <cell r="CT508">
            <v>4.4000000000000004</v>
          </cell>
          <cell r="CU508" t="str">
            <v>United Kingdom</v>
          </cell>
          <cell r="CV508" t="str">
            <v>Office</v>
          </cell>
          <cell r="CW508">
            <v>5.7</v>
          </cell>
          <cell r="CX508" t="str">
            <v>Poland</v>
          </cell>
          <cell r="CY508" t="str">
            <v>Hotel</v>
          </cell>
          <cell r="CZ508">
            <v>0.6</v>
          </cell>
          <cell r="DA508" t="str">
            <v>Denmark</v>
          </cell>
          <cell r="DB508" t="str">
            <v>Retail</v>
          </cell>
          <cell r="DC508">
            <v>0.8</v>
          </cell>
          <cell r="DD508" t="str">
            <v>Belgium</v>
          </cell>
          <cell r="DE508" t="str">
            <v>Hotel</v>
          </cell>
          <cell r="DF508">
            <v>1.6</v>
          </cell>
          <cell r="DG508" t="str">
            <v>Austria</v>
          </cell>
          <cell r="DH508" t="str">
            <v>Retail</v>
          </cell>
          <cell r="DI508">
            <v>1.7</v>
          </cell>
          <cell r="DJ508" t="str">
            <v>Poland</v>
          </cell>
          <cell r="DK508" t="str">
            <v>Office</v>
          </cell>
          <cell r="DL508">
            <v>1.6</v>
          </cell>
          <cell r="DM508" t="str">
            <v>United Kingdom</v>
          </cell>
          <cell r="DN508" t="str">
            <v>Hotel</v>
          </cell>
          <cell r="DO508">
            <v>1.9</v>
          </cell>
          <cell r="DP508" t="str">
            <v>Germany</v>
          </cell>
          <cell r="DQ508" t="str">
            <v>Hotel</v>
          </cell>
          <cell r="DR508">
            <v>4.7</v>
          </cell>
          <cell r="DS508" t="str">
            <v>Italy</v>
          </cell>
          <cell r="DT508" t="str">
            <v>Retail</v>
          </cell>
          <cell r="DU508">
            <v>4.3</v>
          </cell>
          <cell r="DV508" t="str">
            <v>Netherlands</v>
          </cell>
          <cell r="DW508" t="str">
            <v>Hotel</v>
          </cell>
          <cell r="DX508">
            <v>2.8</v>
          </cell>
          <cell r="DY508" t="str">
            <v>Finland</v>
          </cell>
          <cell r="DZ508" t="str">
            <v>Office</v>
          </cell>
          <cell r="EA508">
            <v>2.4</v>
          </cell>
          <cell r="EB508" t="str">
            <v>Spain</v>
          </cell>
          <cell r="EC508" t="str">
            <v>Office</v>
          </cell>
          <cell r="ED508">
            <v>2.1</v>
          </cell>
          <cell r="EE508" t="str">
            <v>Switzerland</v>
          </cell>
          <cell r="EF508" t="str">
            <v>Industrial / Logistics</v>
          </cell>
          <cell r="EG508">
            <v>1.6</v>
          </cell>
          <cell r="EH508" t="str">
            <v>Spain</v>
          </cell>
          <cell r="EI508" t="str">
            <v>Retail</v>
          </cell>
          <cell r="EJ508">
            <v>0.8</v>
          </cell>
          <cell r="EK508" t="str">
            <v>Ireland</v>
          </cell>
          <cell r="EL508" t="str">
            <v>Office</v>
          </cell>
          <cell r="EM508">
            <v>0.8</v>
          </cell>
          <cell r="EN508" t="str">
            <v>Belgium</v>
          </cell>
          <cell r="EO508" t="str">
            <v>Office</v>
          </cell>
          <cell r="EP508">
            <v>0.4</v>
          </cell>
          <cell r="EQ508" t="str">
            <v>Turkey</v>
          </cell>
          <cell r="ER508" t="str">
            <v>Retail</v>
          </cell>
          <cell r="ES508">
            <v>0.6</v>
          </cell>
          <cell r="ET508" t="str">
            <v>Netherlands</v>
          </cell>
          <cell r="EU508" t="str">
            <v>Industrial / Logistics</v>
          </cell>
        </row>
        <row r="509">
          <cell r="A509">
            <v>16688</v>
          </cell>
          <cell r="B509" t="str">
            <v>UNIINSTITUTIONAL GERMAN REAL ESTATE</v>
          </cell>
          <cell r="C509" t="str">
            <v>UNION INVESTMENT REAL ESTATE GMBH</v>
          </cell>
          <cell r="D509" t="str">
            <v>Valentinskamp 70</v>
          </cell>
          <cell r="E509">
            <v>20355</v>
          </cell>
          <cell r="F509" t="str">
            <v>Hamburg</v>
          </cell>
          <cell r="G509" t="str">
            <v>Germany</v>
          </cell>
          <cell r="H509" t="str">
            <v>+4940349190</v>
          </cell>
          <cell r="I509" t="str">
            <v>+494034919190</v>
          </cell>
          <cell r="J509" t="str">
            <v>http://www.realestate.union-investment.com</v>
          </cell>
          <cell r="K509" t="str">
            <v>Matthias Bulir</v>
          </cell>
          <cell r="L509" t="str">
            <v>matthias.bulir@union-investment.de</v>
          </cell>
          <cell r="M509" t="str">
            <v>+4940349194732</v>
          </cell>
          <cell r="N509" t="str">
            <v>Jörn Stobbe</v>
          </cell>
          <cell r="O509" t="str">
            <v>Joern.Stobbe@union-investment.de</v>
          </cell>
          <cell r="P509" t="str">
            <v>+4940349194455</v>
          </cell>
          <cell r="Q509" t="str">
            <v>Germany</v>
          </cell>
          <cell r="R509" t="str">
            <v>EUR</v>
          </cell>
          <cell r="S509" t="str">
            <v>German Trade Law / Investment Law</v>
          </cell>
          <cell r="T509" t="str">
            <v>Quarterly</v>
          </cell>
          <cell r="U509" t="str">
            <v>Quarterly</v>
          </cell>
          <cell r="V509" t="str">
            <v>ImmoWertV</v>
          </cell>
          <cell r="W509" t="str">
            <v>InvRBV - German Investment Law {no INREV-based calculation method}</v>
          </cell>
          <cell r="X509" t="str">
            <v>E&amp;Y</v>
          </cell>
          <cell r="Y509" t="str">
            <v>Publikumsfonds</v>
          </cell>
          <cell r="Z509" t="str">
            <v>No</v>
          </cell>
          <cell r="AA509" t="str">
            <v>No</v>
          </cell>
          <cell r="AC509" t="str">
            <v>Non-Listed Fund</v>
          </cell>
          <cell r="AD509" t="str">
            <v>Core</v>
          </cell>
          <cell r="AE509" t="str">
            <v>infinite</v>
          </cell>
          <cell r="AF509" t="str">
            <v>Open end</v>
          </cell>
          <cell r="AM509" t="str">
            <v>≤ 40%</v>
          </cell>
          <cell r="AN509" t="str">
            <v>Institutional</v>
          </cell>
          <cell r="AO509" t="str">
            <v>&gt; 2</v>
          </cell>
          <cell r="AP509" t="str">
            <v>≥ 50%</v>
          </cell>
          <cell r="AQ509" t="str">
            <v>Europe</v>
          </cell>
          <cell r="AR509" t="str">
            <v>single country</v>
          </cell>
          <cell r="AT509" t="str">
            <v>Germany</v>
          </cell>
          <cell r="AU509" t="str">
            <v>multi sector</v>
          </cell>
          <cell r="AY509">
            <v>2012</v>
          </cell>
          <cell r="BD509" t="str">
            <v>No</v>
          </cell>
          <cell r="BH509" t="str">
            <v>2020-12-31</v>
          </cell>
          <cell r="BI509">
            <v>701881853</v>
          </cell>
          <cell r="BJ509">
            <v>701881853</v>
          </cell>
          <cell r="BK509">
            <v>683129615.29999995</v>
          </cell>
          <cell r="BL509">
            <v>683129615.29999995</v>
          </cell>
          <cell r="BM509">
            <v>0</v>
          </cell>
          <cell r="BN509" t="str">
            <v>Yes</v>
          </cell>
          <cell r="BO509" t="str">
            <v>External</v>
          </cell>
          <cell r="BP509">
            <v>544</v>
          </cell>
          <cell r="BQ509">
            <v>17</v>
          </cell>
          <cell r="BR509">
            <v>0</v>
          </cell>
          <cell r="BS509">
            <v>0</v>
          </cell>
          <cell r="BT509">
            <v>0</v>
          </cell>
          <cell r="BV509" t="str">
            <v>No</v>
          </cell>
          <cell r="BW509" t="str">
            <v>Germany</v>
          </cell>
          <cell r="BX509" t="str">
            <v>Retail</v>
          </cell>
          <cell r="BY509">
            <v>18.600000000000001</v>
          </cell>
          <cell r="BZ509" t="str">
            <v>Germany</v>
          </cell>
          <cell r="CA509" t="str">
            <v>Office</v>
          </cell>
          <cell r="CB509">
            <v>53.8</v>
          </cell>
          <cell r="CC509" t="str">
            <v>Germany</v>
          </cell>
          <cell r="CD509" t="str">
            <v>Industrial / Logistics</v>
          </cell>
          <cell r="CE509">
            <v>6</v>
          </cell>
          <cell r="CF509" t="str">
            <v>Germany</v>
          </cell>
          <cell r="CG509" t="str">
            <v>Residential</v>
          </cell>
          <cell r="CH509">
            <v>4.7</v>
          </cell>
          <cell r="CI509" t="str">
            <v>Germany</v>
          </cell>
          <cell r="CJ509" t="str">
            <v>Hotel</v>
          </cell>
          <cell r="CK509">
            <v>16.899999999999999</v>
          </cell>
        </row>
        <row r="510">
          <cell r="A510">
            <v>636</v>
          </cell>
          <cell r="B510" t="str">
            <v>UNITE UK STUDENT ACCOMMODATION FUND</v>
          </cell>
          <cell r="C510" t="str">
            <v>UNITE INTEGRATED SOLUTIONS PLC</v>
          </cell>
          <cell r="D510" t="str">
            <v>South Quay House, Temple Back</v>
          </cell>
          <cell r="E510" t="str">
            <v>BS1 6FL</v>
          </cell>
          <cell r="F510" t="str">
            <v>Bristol</v>
          </cell>
          <cell r="G510" t="str">
            <v>United Kingdom</v>
          </cell>
          <cell r="H510" t="str">
            <v>0117 302 7000</v>
          </cell>
          <cell r="J510" t="str">
            <v>http://www.unite-group.co.uk</v>
          </cell>
          <cell r="K510" t="str">
            <v>James Watts</v>
          </cell>
          <cell r="L510" t="str">
            <v>james.watts@unitestudents.com</v>
          </cell>
          <cell r="M510" t="str">
            <v>0117 302 7190</v>
          </cell>
          <cell r="N510" t="str">
            <v>James Watts</v>
          </cell>
          <cell r="O510" t="str">
            <v>james.watts@unitestudents.com</v>
          </cell>
          <cell r="P510" t="str">
            <v>0117 302 7190</v>
          </cell>
          <cell r="Q510" t="str">
            <v>Jersey</v>
          </cell>
          <cell r="R510" t="str">
            <v>GBP</v>
          </cell>
          <cell r="S510" t="str">
            <v>UK GAAP</v>
          </cell>
          <cell r="T510" t="str">
            <v>Quarterly</v>
          </cell>
          <cell r="U510" t="str">
            <v>Quarterly</v>
          </cell>
          <cell r="V510" t="str">
            <v>RICS</v>
          </cell>
          <cell r="W510" t="str">
            <v>INREV NAV</v>
          </cell>
          <cell r="X510" t="str">
            <v>Deloitte</v>
          </cell>
          <cell r="Y510" t="str">
            <v>Unit trust</v>
          </cell>
          <cell r="Z510" t="str">
            <v>No</v>
          </cell>
          <cell r="AA510" t="str">
            <v>Yes</v>
          </cell>
          <cell r="AB510">
            <v>4</v>
          </cell>
          <cell r="AC510" t="str">
            <v>Non-Listed Fund</v>
          </cell>
          <cell r="AD510" t="str">
            <v>Value-added</v>
          </cell>
          <cell r="AE510" t="str">
            <v>infinite</v>
          </cell>
          <cell r="AF510" t="str">
            <v>Open end</v>
          </cell>
          <cell r="AJ510" t="str">
            <v>IPD Specialist PPFI</v>
          </cell>
          <cell r="AK510">
            <v>6</v>
          </cell>
          <cell r="AL510">
            <v>40</v>
          </cell>
          <cell r="AM510" t="str">
            <v>&gt; 60%</v>
          </cell>
          <cell r="AN510" t="str">
            <v>Institutional</v>
          </cell>
          <cell r="AO510" t="str">
            <v>&gt; 2</v>
          </cell>
          <cell r="AP510" t="str">
            <v>≥ 50%</v>
          </cell>
          <cell r="AQ510" t="str">
            <v>Europe</v>
          </cell>
          <cell r="AR510" t="str">
            <v>single country</v>
          </cell>
          <cell r="AT510" t="str">
            <v>United Kingdom</v>
          </cell>
          <cell r="AU510" t="str">
            <v>single sector</v>
          </cell>
          <cell r="AV510" t="str">
            <v>Student Housing</v>
          </cell>
          <cell r="AY510">
            <v>2006</v>
          </cell>
          <cell r="BD510" t="str">
            <v>No</v>
          </cell>
          <cell r="BF510" t="str">
            <v>≤ 15%</v>
          </cell>
          <cell r="BG510" t="str">
            <v>≤ 5%</v>
          </cell>
          <cell r="BH510" t="str">
            <v>2020-12-31</v>
          </cell>
          <cell r="BI510">
            <v>2798270000</v>
          </cell>
          <cell r="BJ510">
            <v>3093624866.06565</v>
          </cell>
          <cell r="BK510">
            <v>1835632238</v>
          </cell>
          <cell r="BL510">
            <v>2029381559.4737251</v>
          </cell>
          <cell r="BM510">
            <v>32.520000000000003</v>
          </cell>
          <cell r="BN510" t="str">
            <v>No</v>
          </cell>
          <cell r="BO510" t="str">
            <v>External</v>
          </cell>
          <cell r="BP510">
            <v>86</v>
          </cell>
          <cell r="BQ510">
            <v>79</v>
          </cell>
          <cell r="BR510">
            <v>1411621952</v>
          </cell>
          <cell r="BS510">
            <v>1549896698.6359191</v>
          </cell>
          <cell r="BT510">
            <v>1411621952</v>
          </cell>
          <cell r="BU510">
            <v>1549896698.6359191</v>
          </cell>
          <cell r="BV510" t="str">
            <v>No</v>
          </cell>
          <cell r="BW510" t="str">
            <v>United Kingdom</v>
          </cell>
          <cell r="BX510" t="str">
            <v>Student Housing</v>
          </cell>
          <cell r="BY510">
            <v>97.58</v>
          </cell>
        </row>
        <row r="511">
          <cell r="A511">
            <v>18276</v>
          </cell>
          <cell r="B511" t="str">
            <v>URBAN CAMPUS NR. 1</v>
          </cell>
          <cell r="C511" t="str">
            <v>UNION INVESTMENT INSTITUTIONAL PROPERTY</v>
          </cell>
          <cell r="D511" t="str">
            <v>Valentinskamp 70</v>
          </cell>
          <cell r="E511">
            <v>20355</v>
          </cell>
          <cell r="F511" t="str">
            <v>Hamburg</v>
          </cell>
          <cell r="G511" t="str">
            <v>Germany</v>
          </cell>
          <cell r="K511" t="str">
            <v>Hubertus Bäumer</v>
          </cell>
          <cell r="L511" t="str">
            <v>Hubertus.Baeumer@union-investment.de</v>
          </cell>
          <cell r="M511" t="str">
            <v>+4940349194152</v>
          </cell>
          <cell r="Q511" t="str">
            <v>Germany</v>
          </cell>
          <cell r="R511" t="str">
            <v>EUR</v>
          </cell>
          <cell r="S511" t="str">
            <v>IFRS</v>
          </cell>
          <cell r="T511" t="str">
            <v>Quarterly</v>
          </cell>
          <cell r="U511" t="str">
            <v>Annually</v>
          </cell>
          <cell r="V511" t="str">
            <v>ImmoWertV</v>
          </cell>
          <cell r="W511" t="str">
            <v>InvRBV</v>
          </cell>
          <cell r="X511" t="str">
            <v>KPMG</v>
          </cell>
          <cell r="Y511" t="str">
            <v>Spezialfonds</v>
          </cell>
          <cell r="Z511" t="str">
            <v>No</v>
          </cell>
          <cell r="AA511" t="str">
            <v>No</v>
          </cell>
          <cell r="AC511" t="str">
            <v>Non-Listed Fund</v>
          </cell>
          <cell r="AD511" t="str">
            <v>Core</v>
          </cell>
          <cell r="AE511" t="str">
            <v>infinite</v>
          </cell>
          <cell r="AF511" t="str">
            <v>Open end</v>
          </cell>
          <cell r="AN511" t="str">
            <v>Institutional</v>
          </cell>
          <cell r="AO511" t="str">
            <v>&gt; 2</v>
          </cell>
          <cell r="AP511" t="str">
            <v>≥ 50%</v>
          </cell>
          <cell r="AQ511" t="str">
            <v>Europe</v>
          </cell>
          <cell r="AR511" t="str">
            <v>multi country</v>
          </cell>
          <cell r="AS511" t="str">
            <v>Europe</v>
          </cell>
          <cell r="AU511" t="str">
            <v>multi sector</v>
          </cell>
          <cell r="AY511">
            <v>2016</v>
          </cell>
          <cell r="BD511" t="str">
            <v>No</v>
          </cell>
          <cell r="BH511" t="str">
            <v>2020-12-31</v>
          </cell>
          <cell r="BI511">
            <v>312685541.39999998</v>
          </cell>
          <cell r="BJ511">
            <v>312685541.39999998</v>
          </cell>
          <cell r="BK511">
            <v>180227051.69999999</v>
          </cell>
          <cell r="BL511">
            <v>180227051.69999999</v>
          </cell>
          <cell r="BM511">
            <v>43.4</v>
          </cell>
          <cell r="BN511" t="str">
            <v>Yes</v>
          </cell>
          <cell r="BO511" t="str">
            <v>External</v>
          </cell>
          <cell r="BP511">
            <v>46</v>
          </cell>
          <cell r="BQ511">
            <v>5</v>
          </cell>
          <cell r="BR511">
            <v>179025000</v>
          </cell>
          <cell r="BS511">
            <v>179025000</v>
          </cell>
          <cell r="BT511">
            <v>179025000</v>
          </cell>
          <cell r="BU511">
            <v>179025000</v>
          </cell>
          <cell r="BV511" t="str">
            <v>No</v>
          </cell>
          <cell r="BW511" t="str">
            <v>Germany</v>
          </cell>
          <cell r="BX511" t="str">
            <v>Office</v>
          </cell>
          <cell r="BY511">
            <v>100</v>
          </cell>
        </row>
        <row r="512">
          <cell r="A512">
            <v>18388</v>
          </cell>
          <cell r="B512" t="str">
            <v>URBAN LIVING NR. 1</v>
          </cell>
          <cell r="C512" t="str">
            <v>UNION INVESTMENT INSTITUTIONAL PROPERTY</v>
          </cell>
          <cell r="D512" t="str">
            <v>Valentinskamp 70</v>
          </cell>
          <cell r="E512">
            <v>20355</v>
          </cell>
          <cell r="F512" t="str">
            <v>Hamburg</v>
          </cell>
          <cell r="G512" t="str">
            <v>Germany</v>
          </cell>
          <cell r="K512" t="str">
            <v>Hubertus Bäumer</v>
          </cell>
          <cell r="L512" t="str">
            <v>Hubertus.Baeumer@union-investment.de</v>
          </cell>
          <cell r="M512" t="str">
            <v>+4940349194152</v>
          </cell>
          <cell r="Q512" t="str">
            <v>Germany</v>
          </cell>
          <cell r="R512" t="str">
            <v>EUR</v>
          </cell>
          <cell r="S512" t="str">
            <v>IFRS</v>
          </cell>
          <cell r="T512" t="str">
            <v>Quarterly</v>
          </cell>
          <cell r="U512" t="str">
            <v>Annually</v>
          </cell>
          <cell r="V512" t="str">
            <v>ImmoWertV</v>
          </cell>
          <cell r="W512" t="str">
            <v>InvRBV</v>
          </cell>
          <cell r="X512" t="str">
            <v>KPMG</v>
          </cell>
          <cell r="Y512" t="str">
            <v>Spezialfonds</v>
          </cell>
          <cell r="Z512" t="str">
            <v>No</v>
          </cell>
          <cell r="AA512" t="str">
            <v>No</v>
          </cell>
          <cell r="AC512" t="str">
            <v>Non-Listed Fund</v>
          </cell>
          <cell r="AD512" t="str">
            <v>Core</v>
          </cell>
          <cell r="AE512" t="str">
            <v>infinite</v>
          </cell>
          <cell r="AF512" t="str">
            <v>Open end</v>
          </cell>
          <cell r="AN512" t="str">
            <v>Institutional</v>
          </cell>
          <cell r="AO512" t="str">
            <v>&gt; 2</v>
          </cell>
          <cell r="AP512" t="str">
            <v>≥ 50%</v>
          </cell>
          <cell r="AQ512" t="str">
            <v>Europe</v>
          </cell>
          <cell r="AR512" t="str">
            <v>multi country</v>
          </cell>
          <cell r="AS512" t="str">
            <v>Europe</v>
          </cell>
          <cell r="AU512" t="str">
            <v>single sector</v>
          </cell>
          <cell r="AV512" t="str">
            <v>Residential</v>
          </cell>
          <cell r="AY512">
            <v>2017</v>
          </cell>
          <cell r="BH512" t="str">
            <v>2020-12-31</v>
          </cell>
          <cell r="BI512">
            <v>146929033.5</v>
          </cell>
          <cell r="BJ512">
            <v>146929033.5</v>
          </cell>
          <cell r="BK512">
            <v>100098104.09999999</v>
          </cell>
          <cell r="BL512">
            <v>100098104.09999999</v>
          </cell>
          <cell r="BM512">
            <v>41.9</v>
          </cell>
          <cell r="BN512" t="str">
            <v>Yes</v>
          </cell>
          <cell r="BO512" t="str">
            <v>External</v>
          </cell>
          <cell r="BP512">
            <v>18</v>
          </cell>
          <cell r="BQ512">
            <v>6</v>
          </cell>
          <cell r="BR512">
            <v>132500000</v>
          </cell>
          <cell r="BS512">
            <v>132500000</v>
          </cell>
          <cell r="BT512">
            <v>101247694</v>
          </cell>
          <cell r="BU512">
            <v>101247694</v>
          </cell>
          <cell r="BV512" t="str">
            <v>No</v>
          </cell>
          <cell r="BW512" t="str">
            <v>Austria</v>
          </cell>
          <cell r="BX512" t="str">
            <v>Residential</v>
          </cell>
          <cell r="BY512">
            <v>36.799999999999997</v>
          </cell>
          <cell r="BZ512" t="str">
            <v>Germany</v>
          </cell>
          <cell r="CA512" t="str">
            <v>Residential</v>
          </cell>
          <cell r="CB512">
            <v>63.2</v>
          </cell>
        </row>
        <row r="513">
          <cell r="A513">
            <v>487</v>
          </cell>
          <cell r="B513" t="str">
            <v>VA-DOMUS-FONDS</v>
          </cell>
          <cell r="C513" t="str">
            <v>DEKA IMMOBILIEN INVESTMENT</v>
          </cell>
          <cell r="D513" t="str">
            <v>Taunusanlage 1</v>
          </cell>
          <cell r="E513">
            <v>60329</v>
          </cell>
          <cell r="F513" t="str">
            <v>Frankfurt</v>
          </cell>
          <cell r="G513" t="str">
            <v>Germany</v>
          </cell>
          <cell r="H513" t="str">
            <v>+49 (0) 69 7147 0</v>
          </cell>
          <cell r="I513" t="str">
            <v>+49 (0) 69 7147 3114</v>
          </cell>
          <cell r="J513" t="str">
            <v>http://www.deka-immobilien.de</v>
          </cell>
          <cell r="K513" t="str">
            <v>Andreas Barak</v>
          </cell>
          <cell r="L513" t="str">
            <v>andreas.barak@deka.de</v>
          </cell>
          <cell r="M513" t="str">
            <v>+49 (0) 69 7147 77 43</v>
          </cell>
          <cell r="N513" t="str">
            <v>Michaela Graefe</v>
          </cell>
          <cell r="O513" t="str">
            <v>michaela.graefe@deka.de</v>
          </cell>
          <cell r="P513" t="str">
            <v>+49 (0) 69 7147 35 04</v>
          </cell>
          <cell r="Q513" t="str">
            <v>Germany</v>
          </cell>
          <cell r="R513" t="str">
            <v>EUR</v>
          </cell>
          <cell r="S513" t="str">
            <v>German HGB</v>
          </cell>
          <cell r="T513" t="str">
            <v>Annually</v>
          </cell>
          <cell r="U513" t="str">
            <v>Annually</v>
          </cell>
          <cell r="V513" t="str">
            <v>ImmoWertV</v>
          </cell>
          <cell r="X513" t="str">
            <v>KPMG</v>
          </cell>
          <cell r="Y513" t="str">
            <v>Spezialfonds</v>
          </cell>
          <cell r="Z513" t="str">
            <v>No</v>
          </cell>
          <cell r="AA513" t="str">
            <v>Yes</v>
          </cell>
          <cell r="AB513">
            <v>3</v>
          </cell>
          <cell r="AC513" t="str">
            <v>Non-Listed Fund</v>
          </cell>
          <cell r="AD513" t="str">
            <v>Core</v>
          </cell>
          <cell r="AE513" t="str">
            <v>infinite</v>
          </cell>
          <cell r="AF513" t="str">
            <v>Open end</v>
          </cell>
          <cell r="AG513">
            <v>5</v>
          </cell>
          <cell r="AH513">
            <v>6</v>
          </cell>
          <cell r="AJ513" t="str">
            <v>BVI Open Real Estate</v>
          </cell>
          <cell r="AK513">
            <v>5</v>
          </cell>
          <cell r="AL513">
            <v>50</v>
          </cell>
          <cell r="AM513" t="str">
            <v>&gt; 40% - ≤ 60%</v>
          </cell>
          <cell r="AN513" t="str">
            <v>Institutional</v>
          </cell>
          <cell r="AO513" t="str">
            <v>&gt; 2</v>
          </cell>
          <cell r="AP513" t="str">
            <v>≥ 50%</v>
          </cell>
          <cell r="AQ513" t="str">
            <v>Europe</v>
          </cell>
          <cell r="AR513" t="str">
            <v>multi country</v>
          </cell>
          <cell r="AS513" t="str">
            <v>Europe</v>
          </cell>
          <cell r="AU513" t="str">
            <v>multi sector</v>
          </cell>
          <cell r="AX513">
            <v>500500000</v>
          </cell>
          <cell r="AY513">
            <v>1996</v>
          </cell>
          <cell r="BA513" t="str">
            <v>No</v>
          </cell>
          <cell r="BH513" t="str">
            <v>2020-12-31</v>
          </cell>
          <cell r="BI513">
            <v>353027036</v>
          </cell>
          <cell r="BJ513">
            <v>353027036</v>
          </cell>
          <cell r="BK513">
            <v>244630246</v>
          </cell>
          <cell r="BL513">
            <v>244630246</v>
          </cell>
          <cell r="BM513">
            <v>46.3</v>
          </cell>
          <cell r="BN513" t="str">
            <v>No</v>
          </cell>
          <cell r="BO513" t="str">
            <v>External</v>
          </cell>
          <cell r="BP513">
            <v>1</v>
          </cell>
          <cell r="BQ513">
            <v>16</v>
          </cell>
          <cell r="BR513">
            <v>361927093</v>
          </cell>
          <cell r="BS513">
            <v>361927093</v>
          </cell>
          <cell r="BT513">
            <v>263453583</v>
          </cell>
          <cell r="BU513">
            <v>263453583</v>
          </cell>
          <cell r="BV513" t="str">
            <v>No</v>
          </cell>
          <cell r="BW513" t="str">
            <v>Germany</v>
          </cell>
          <cell r="BX513" t="str">
            <v>Office</v>
          </cell>
          <cell r="BY513">
            <v>11.5</v>
          </cell>
          <cell r="BZ513" t="str">
            <v>Germany</v>
          </cell>
          <cell r="CA513" t="str">
            <v>Retail</v>
          </cell>
          <cell r="CB513">
            <v>8.9</v>
          </cell>
          <cell r="CC513" t="str">
            <v>Germany</v>
          </cell>
          <cell r="CD513" t="str">
            <v>Hotel</v>
          </cell>
          <cell r="CE513">
            <v>4.5</v>
          </cell>
          <cell r="CF513" t="str">
            <v>Germany</v>
          </cell>
          <cell r="CG513" t="str">
            <v>Industrial / Logistics</v>
          </cell>
          <cell r="CH513">
            <v>6.5</v>
          </cell>
          <cell r="CI513" t="str">
            <v>Portugal</v>
          </cell>
          <cell r="CJ513" t="str">
            <v>Office</v>
          </cell>
          <cell r="CK513">
            <v>5.9</v>
          </cell>
          <cell r="CL513" t="str">
            <v>France</v>
          </cell>
          <cell r="CM513" t="str">
            <v>Office</v>
          </cell>
          <cell r="CN513">
            <v>14.7</v>
          </cell>
          <cell r="CO513" t="str">
            <v>France</v>
          </cell>
          <cell r="CP513" t="str">
            <v>Retail</v>
          </cell>
          <cell r="CQ513">
            <v>25.4</v>
          </cell>
          <cell r="CR513" t="str">
            <v>Netherlands</v>
          </cell>
          <cell r="CS513" t="str">
            <v>Office</v>
          </cell>
          <cell r="CT513">
            <v>8</v>
          </cell>
          <cell r="CU513" t="str">
            <v>Netherlands</v>
          </cell>
          <cell r="CV513" t="str">
            <v>Hotel</v>
          </cell>
          <cell r="CW513">
            <v>9.6</v>
          </cell>
          <cell r="CX513" t="str">
            <v>Italy</v>
          </cell>
          <cell r="CY513" t="str">
            <v>Office</v>
          </cell>
          <cell r="CZ513">
            <v>5</v>
          </cell>
        </row>
        <row r="514">
          <cell r="A514">
            <v>18158</v>
          </cell>
          <cell r="B514" t="str">
            <v>VBV EUROPEAN PRIME PROPERTY</v>
          </cell>
          <cell r="C514" t="str">
            <v>TRIUVA KAPITALVERWALTUNGSGESELLSCHAFT MBH</v>
          </cell>
          <cell r="D514" t="str">
            <v>THE SQUAIRE 18, Am Flughafen</v>
          </cell>
          <cell r="E514">
            <v>60549</v>
          </cell>
          <cell r="F514" t="str">
            <v>Frankfurt am Main</v>
          </cell>
          <cell r="G514" t="str">
            <v>Germany</v>
          </cell>
          <cell r="N514" t="str">
            <v>Trond Conrad</v>
          </cell>
          <cell r="O514" t="str">
            <v>trond.conrad@triuva.com</v>
          </cell>
          <cell r="P514" t="str">
            <v>+49696435051553</v>
          </cell>
          <cell r="Q514" t="str">
            <v>Luxembourg</v>
          </cell>
          <cell r="R514" t="str">
            <v>EUR</v>
          </cell>
          <cell r="T514" t="str">
            <v>Quarterly</v>
          </cell>
          <cell r="U514" t="str">
            <v>Annually</v>
          </cell>
          <cell r="Y514" t="str">
            <v>FCP</v>
          </cell>
          <cell r="Z514" t="str">
            <v>No</v>
          </cell>
          <cell r="AC514" t="str">
            <v>Separate account</v>
          </cell>
          <cell r="AD514" t="str">
            <v>Core</v>
          </cell>
          <cell r="AE514" t="str">
            <v>infinite</v>
          </cell>
          <cell r="AF514" t="str">
            <v>Open end</v>
          </cell>
          <cell r="AM514" t="str">
            <v>&gt; 40% - ≤ 60%</v>
          </cell>
          <cell r="AN514" t="str">
            <v>Institutional</v>
          </cell>
          <cell r="AO514" t="str">
            <v>≤ 2</v>
          </cell>
          <cell r="AP514" t="str">
            <v>≥ 50%</v>
          </cell>
          <cell r="AQ514" t="str">
            <v>Europe</v>
          </cell>
          <cell r="AR514" t="str">
            <v>multi country</v>
          </cell>
          <cell r="AS514" t="str">
            <v>Europe</v>
          </cell>
          <cell r="AU514" t="str">
            <v>multi sector</v>
          </cell>
          <cell r="AY514">
            <v>2016</v>
          </cell>
          <cell r="BH514" t="str">
            <v>2020-12-31</v>
          </cell>
          <cell r="BI514">
            <v>71047092.739999995</v>
          </cell>
          <cell r="BJ514">
            <v>71047092.739999995</v>
          </cell>
          <cell r="BK514">
            <v>49863417.740000002</v>
          </cell>
          <cell r="BL514">
            <v>49863417.740000002</v>
          </cell>
          <cell r="BM514">
            <v>47.63</v>
          </cell>
          <cell r="BN514" t="str">
            <v>No</v>
          </cell>
          <cell r="BO514" t="str">
            <v>Internal</v>
          </cell>
          <cell r="BP514">
            <v>1</v>
          </cell>
          <cell r="BQ514">
            <v>2</v>
          </cell>
          <cell r="BR514">
            <v>0</v>
          </cell>
          <cell r="BS514">
            <v>0</v>
          </cell>
          <cell r="BT514">
            <v>0</v>
          </cell>
          <cell r="BV514" t="str">
            <v>No</v>
          </cell>
          <cell r="BW514" t="str">
            <v>Germany</v>
          </cell>
          <cell r="BX514" t="str">
            <v>Office</v>
          </cell>
          <cell r="BY514">
            <v>59.88</v>
          </cell>
          <cell r="BZ514" t="str">
            <v>Italy</v>
          </cell>
          <cell r="CA514" t="str">
            <v>Office</v>
          </cell>
          <cell r="CB514">
            <v>40.119999999999997</v>
          </cell>
        </row>
        <row r="515">
          <cell r="A515">
            <v>19655</v>
          </cell>
          <cell r="B515" t="str">
            <v>VELVET HOTEL FUND</v>
          </cell>
          <cell r="C515" t="str">
            <v>OTT VENTURES</v>
          </cell>
          <cell r="D515" t="str">
            <v>Husova 5</v>
          </cell>
          <cell r="E515">
            <v>11000</v>
          </cell>
          <cell r="F515" t="str">
            <v>Prague</v>
          </cell>
          <cell r="G515" t="str">
            <v>Czech Republic</v>
          </cell>
          <cell r="J515" t="str">
            <v>https://www.velvetsicav.com/</v>
          </cell>
          <cell r="K515" t="str">
            <v>Nicolas Horky</v>
          </cell>
          <cell r="L515" t="str">
            <v>n.horky@ottventures.cz</v>
          </cell>
          <cell r="N515" t="str">
            <v>Nicolas Horky</v>
          </cell>
          <cell r="O515" t="str">
            <v>n.horky@ottventures.cz</v>
          </cell>
          <cell r="Q515" t="str">
            <v>Czech Republic</v>
          </cell>
          <cell r="R515" t="str">
            <v>EUR</v>
          </cell>
          <cell r="S515" t="str">
            <v>IFRS</v>
          </cell>
          <cell r="T515" t="str">
            <v>Quarterly</v>
          </cell>
          <cell r="U515" t="str">
            <v>Annually</v>
          </cell>
          <cell r="V515" t="str">
            <v>cash flow</v>
          </cell>
          <cell r="W515" t="str">
            <v>IFRS NAV</v>
          </cell>
          <cell r="Y515" t="str">
            <v>Real Estate Fund</v>
          </cell>
          <cell r="Z515" t="str">
            <v>No</v>
          </cell>
          <cell r="AA515" t="str">
            <v>Yes</v>
          </cell>
          <cell r="AB515">
            <v>4</v>
          </cell>
          <cell r="AC515" t="str">
            <v>Non-Listed Fund</v>
          </cell>
          <cell r="AD515" t="str">
            <v>Value-added</v>
          </cell>
          <cell r="AE515" t="str">
            <v>finite</v>
          </cell>
          <cell r="AF515" t="str">
            <v>Closed end</v>
          </cell>
          <cell r="AG515">
            <v>12</v>
          </cell>
          <cell r="AH515">
            <v>12</v>
          </cell>
          <cell r="AI515" t="str">
            <v>Net</v>
          </cell>
          <cell r="AK515">
            <v>5</v>
          </cell>
          <cell r="AM515" t="str">
            <v>&gt; 40% - ≤ 60%</v>
          </cell>
          <cell r="AN515" t="str">
            <v>Institutional</v>
          </cell>
          <cell r="AO515" t="str">
            <v>&gt; 2</v>
          </cell>
          <cell r="AP515" t="str">
            <v>≥ 50%</v>
          </cell>
          <cell r="AQ515" t="str">
            <v>Europe</v>
          </cell>
          <cell r="AR515" t="str">
            <v>multi country</v>
          </cell>
          <cell r="AS515" t="str">
            <v>Central and Eastern Europe(CEE)</v>
          </cell>
          <cell r="AU515" t="str">
            <v>single sector</v>
          </cell>
          <cell r="AV515" t="str">
            <v>Hotel</v>
          </cell>
          <cell r="AW515">
            <v>250000000</v>
          </cell>
          <cell r="AX515">
            <v>500000000</v>
          </cell>
          <cell r="AY515">
            <v>2021</v>
          </cell>
          <cell r="BD515" t="str">
            <v>No</v>
          </cell>
          <cell r="BE515" t="str">
            <v>≥ 60%</v>
          </cell>
          <cell r="BF515" t="str">
            <v>≤ 15%</v>
          </cell>
          <cell r="BG515" t="str">
            <v>&gt; 5 - ≤ 25%</v>
          </cell>
        </row>
        <row r="516">
          <cell r="A516">
            <v>579</v>
          </cell>
          <cell r="B516" t="str">
            <v>VENTI M</v>
          </cell>
          <cell r="C516" t="str">
            <v>BNP PARIBAS REIM</v>
          </cell>
          <cell r="D516" t="str">
            <v>Via Carlo Bo, 11</v>
          </cell>
          <cell r="E516">
            <v>20143</v>
          </cell>
          <cell r="F516" t="str">
            <v>Milan</v>
          </cell>
          <cell r="G516" t="str">
            <v>Italy</v>
          </cell>
          <cell r="H516" t="str">
            <v>+39 02 5833 14 1</v>
          </cell>
          <cell r="I516" t="str">
            <v>+39 02 5833 14 39</v>
          </cell>
          <cell r="J516" t="str">
            <v>http://www.reim.bnpparibas.it</v>
          </cell>
          <cell r="K516" t="str">
            <v>Claudia Imparato</v>
          </cell>
          <cell r="L516" t="str">
            <v>claudia.imparato@bnpparibas.com</v>
          </cell>
          <cell r="M516" t="str">
            <v>+39 02 5833 14 33</v>
          </cell>
          <cell r="P516" t="str">
            <v>+39 02 5833 14 33</v>
          </cell>
          <cell r="Q516" t="str">
            <v>Italy</v>
          </cell>
          <cell r="R516" t="str">
            <v>EUR</v>
          </cell>
          <cell r="S516" t="str">
            <v>Local GAAP</v>
          </cell>
          <cell r="T516" t="str">
            <v>Twice per year</v>
          </cell>
          <cell r="U516" t="str">
            <v>Twice per year</v>
          </cell>
          <cell r="V516" t="str">
            <v>RICS</v>
          </cell>
          <cell r="X516" t="str">
            <v>Mazard &amp; Guarard</v>
          </cell>
          <cell r="Y516" t="str">
            <v>Closed Ended Fund</v>
          </cell>
          <cell r="Z516" t="str">
            <v>No</v>
          </cell>
          <cell r="AB516">
            <v>0</v>
          </cell>
          <cell r="AC516" t="str">
            <v>Non-Listed Fund</v>
          </cell>
          <cell r="AD516" t="str">
            <v>Core</v>
          </cell>
          <cell r="AE516" t="str">
            <v>finite</v>
          </cell>
          <cell r="AF516" t="str">
            <v>Closed end</v>
          </cell>
          <cell r="AJ516" t="str">
            <v>None</v>
          </cell>
          <cell r="AN516" t="str">
            <v>Institutional</v>
          </cell>
          <cell r="AO516" t="str">
            <v>&gt; 2</v>
          </cell>
          <cell r="AP516" t="str">
            <v>≥ 50%</v>
          </cell>
          <cell r="AQ516" t="str">
            <v>Europe</v>
          </cell>
          <cell r="AR516" t="str">
            <v>single country</v>
          </cell>
          <cell r="AT516" t="str">
            <v>Italy</v>
          </cell>
          <cell r="AU516" t="str">
            <v>single sector</v>
          </cell>
          <cell r="AV516" t="str">
            <v>Retail</v>
          </cell>
          <cell r="AY516">
            <v>2010</v>
          </cell>
          <cell r="AZ516">
            <v>2022</v>
          </cell>
          <cell r="BA516" t="str">
            <v>Yes</v>
          </cell>
          <cell r="BB516" t="str">
            <v>Yes</v>
          </cell>
          <cell r="BC516" t="str">
            <v>3 years</v>
          </cell>
          <cell r="BH516" t="str">
            <v>2018-12-31</v>
          </cell>
          <cell r="BI516">
            <v>186139490</v>
          </cell>
          <cell r="BJ516">
            <v>186139490</v>
          </cell>
          <cell r="BK516">
            <v>94399087</v>
          </cell>
          <cell r="BL516">
            <v>94399087</v>
          </cell>
          <cell r="BM516">
            <v>49</v>
          </cell>
          <cell r="BN516" t="str">
            <v>No</v>
          </cell>
          <cell r="BO516" t="str">
            <v>External</v>
          </cell>
          <cell r="BP516">
            <v>6</v>
          </cell>
          <cell r="BQ516">
            <v>10</v>
          </cell>
          <cell r="BR516">
            <v>110500000</v>
          </cell>
          <cell r="BS516">
            <v>110500000</v>
          </cell>
          <cell r="BT516">
            <v>110500000</v>
          </cell>
          <cell r="BU516">
            <v>110500000</v>
          </cell>
          <cell r="BV516" t="str">
            <v>No</v>
          </cell>
          <cell r="BW516" t="str">
            <v>Italy</v>
          </cell>
          <cell r="BX516" t="str">
            <v>Retail</v>
          </cell>
          <cell r="BY516">
            <v>98</v>
          </cell>
        </row>
        <row r="517">
          <cell r="A517">
            <v>626</v>
          </cell>
          <cell r="B517" t="str">
            <v>VESTEDA RESIDENTIAL FUND</v>
          </cell>
          <cell r="C517" t="str">
            <v>VESTEDA INVESTMENT MANAGEMENT BV</v>
          </cell>
          <cell r="D517" t="str">
            <v>P.O. Box 75675</v>
          </cell>
          <cell r="E517" t="str">
            <v>1070 AR</v>
          </cell>
          <cell r="F517" t="str">
            <v>Amsterdam</v>
          </cell>
          <cell r="G517" t="str">
            <v>Netherlands</v>
          </cell>
          <cell r="H517" t="str">
            <v>+31884561666</v>
          </cell>
          <cell r="J517" t="str">
            <v>https://www.vesteda.com</v>
          </cell>
          <cell r="K517" t="str">
            <v>Gertjan van der Baan</v>
          </cell>
          <cell r="L517" t="str">
            <v>g.vanderbaan@vesteda.com</v>
          </cell>
          <cell r="M517" t="str">
            <v>+31884562230</v>
          </cell>
          <cell r="N517" t="str">
            <v>Ronald Beemsterboer</v>
          </cell>
          <cell r="O517" t="str">
            <v>r.beemsterboer@vesteda.com</v>
          </cell>
          <cell r="P517" t="str">
            <v>+31884562922</v>
          </cell>
          <cell r="Q517" t="str">
            <v>Netherlands</v>
          </cell>
          <cell r="R517" t="str">
            <v>EUR</v>
          </cell>
          <cell r="S517" t="str">
            <v>IFRS</v>
          </cell>
          <cell r="T517" t="str">
            <v>Quarterly</v>
          </cell>
          <cell r="U517" t="str">
            <v>Quarterly</v>
          </cell>
          <cell r="V517" t="str">
            <v xml:space="preserve">IPD, RICS, recommendations PTA , IFRS, AIFMD </v>
          </cell>
          <cell r="W517" t="str">
            <v>INREV NAV</v>
          </cell>
          <cell r="X517" t="str">
            <v>Deloitte</v>
          </cell>
          <cell r="Y517" t="str">
            <v>FGR (Fonds voor Gemene Rekening)</v>
          </cell>
          <cell r="Z517" t="str">
            <v>Yes</v>
          </cell>
          <cell r="AA517" t="str">
            <v>Yes</v>
          </cell>
          <cell r="AB517">
            <v>5</v>
          </cell>
          <cell r="AC517" t="str">
            <v>Non-Listed Fund</v>
          </cell>
          <cell r="AD517" t="str">
            <v>Core</v>
          </cell>
          <cell r="AE517" t="str">
            <v>infinite</v>
          </cell>
          <cell r="AF517" t="str">
            <v>Open end</v>
          </cell>
          <cell r="AG517">
            <v>4</v>
          </cell>
          <cell r="AH517">
            <v>5</v>
          </cell>
          <cell r="AI517" t="str">
            <v>Net</v>
          </cell>
          <cell r="AJ517" t="str">
            <v>IPD Netherlands Residential Benchmark</v>
          </cell>
          <cell r="AK517">
            <v>4.5</v>
          </cell>
          <cell r="AL517">
            <v>30</v>
          </cell>
          <cell r="AM517" t="str">
            <v>≤ 40%</v>
          </cell>
          <cell r="AN517" t="str">
            <v>Institutional</v>
          </cell>
          <cell r="AO517" t="str">
            <v>&gt; 2</v>
          </cell>
          <cell r="AP517" t="str">
            <v>≥ 50%</v>
          </cell>
          <cell r="AQ517" t="str">
            <v>Europe</v>
          </cell>
          <cell r="AR517" t="str">
            <v>single country</v>
          </cell>
          <cell r="AT517" t="str">
            <v>Netherlands</v>
          </cell>
          <cell r="AU517" t="str">
            <v>single sector</v>
          </cell>
          <cell r="AV517" t="str">
            <v>Residential</v>
          </cell>
          <cell r="AY517">
            <v>2001</v>
          </cell>
          <cell r="BB517" t="str">
            <v>No</v>
          </cell>
          <cell r="BD517" t="str">
            <v>No</v>
          </cell>
          <cell r="BE517" t="str">
            <v>≥ 60%</v>
          </cell>
          <cell r="BF517" t="str">
            <v>≤ 15%</v>
          </cell>
          <cell r="BG517" t="str">
            <v>≤ 5%</v>
          </cell>
          <cell r="BH517" t="str">
            <v>2020-12-31</v>
          </cell>
          <cell r="BI517">
            <v>8464709771</v>
          </cell>
          <cell r="BJ517">
            <v>8464709771</v>
          </cell>
          <cell r="BK517">
            <v>6175731768</v>
          </cell>
          <cell r="BL517">
            <v>6175731768</v>
          </cell>
          <cell r="BM517">
            <v>22.66</v>
          </cell>
          <cell r="BN517" t="str">
            <v>No</v>
          </cell>
          <cell r="BO517" t="str">
            <v>External</v>
          </cell>
          <cell r="BP517">
            <v>19</v>
          </cell>
          <cell r="BQ517">
            <v>492</v>
          </cell>
          <cell r="BR517">
            <v>0</v>
          </cell>
          <cell r="BS517">
            <v>0</v>
          </cell>
          <cell r="BT517">
            <v>349423247</v>
          </cell>
          <cell r="BV517" t="str">
            <v>No</v>
          </cell>
          <cell r="BW517" t="str">
            <v>Netherlands</v>
          </cell>
          <cell r="BX517" t="str">
            <v>Residential</v>
          </cell>
          <cell r="BY517">
            <v>97.22</v>
          </cell>
        </row>
        <row r="518">
          <cell r="A518">
            <v>490</v>
          </cell>
          <cell r="B518" t="str">
            <v>VISION OFFICES FUND</v>
          </cell>
          <cell r="C518" t="str">
            <v>NORFIN</v>
          </cell>
          <cell r="D518" t="str">
            <v>Avenida da Republica 35-4º</v>
          </cell>
          <cell r="E518" t="str">
            <v>1050-186</v>
          </cell>
          <cell r="F518" t="str">
            <v>Lisbon</v>
          </cell>
          <cell r="G518" t="str">
            <v>Portugal</v>
          </cell>
          <cell r="H518" t="str">
            <v>+351 21 318 25 20</v>
          </cell>
          <cell r="I518" t="str">
            <v>+351 21 318 25 29</v>
          </cell>
          <cell r="J518" t="str">
            <v>http://www.norfin.eu</v>
          </cell>
          <cell r="K518" t="str">
            <v>Nuno Ravara</v>
          </cell>
          <cell r="L518" t="str">
            <v>nravara@norfin.pt</v>
          </cell>
          <cell r="M518" t="str">
            <v>+351 21 318 25 20</v>
          </cell>
          <cell r="N518" t="str">
            <v>Nuno Ravara</v>
          </cell>
          <cell r="O518" t="str">
            <v>nravara@norfin.pt</v>
          </cell>
          <cell r="P518" t="str">
            <v>+351 21 318 25 29</v>
          </cell>
          <cell r="Q518" t="str">
            <v>Portugal</v>
          </cell>
          <cell r="R518" t="str">
            <v>EUR</v>
          </cell>
          <cell r="S518" t="str">
            <v>Local GAAP</v>
          </cell>
          <cell r="T518" t="str">
            <v>Monthly</v>
          </cell>
          <cell r="U518" t="str">
            <v>Annually</v>
          </cell>
          <cell r="V518" t="str">
            <v>RICS</v>
          </cell>
          <cell r="X518" t="str">
            <v>Deloitte</v>
          </cell>
          <cell r="Y518" t="str">
            <v>FII</v>
          </cell>
          <cell r="Z518" t="str">
            <v>No</v>
          </cell>
          <cell r="AA518" t="str">
            <v>No</v>
          </cell>
          <cell r="AB518">
            <v>0</v>
          </cell>
          <cell r="AC518" t="str">
            <v>Non-Listed Fund</v>
          </cell>
          <cell r="AD518" t="str">
            <v>Core</v>
          </cell>
          <cell r="AE518" t="str">
            <v>finite</v>
          </cell>
          <cell r="AF518" t="str">
            <v>Closed end</v>
          </cell>
          <cell r="AG518">
            <v>9</v>
          </cell>
          <cell r="AH518">
            <v>10</v>
          </cell>
          <cell r="AI518" t="str">
            <v>Net</v>
          </cell>
          <cell r="AJ518" t="str">
            <v>IPD Portugal Index</v>
          </cell>
          <cell r="AK518">
            <v>4</v>
          </cell>
          <cell r="AL518">
            <v>30</v>
          </cell>
          <cell r="AM518" t="str">
            <v>≤ 40%</v>
          </cell>
          <cell r="AN518" t="str">
            <v>Institutional</v>
          </cell>
          <cell r="AO518" t="str">
            <v>&gt; 2</v>
          </cell>
          <cell r="AP518" t="str">
            <v>≥ 50%</v>
          </cell>
          <cell r="AQ518" t="str">
            <v>Europe</v>
          </cell>
          <cell r="AR518" t="str">
            <v>single country</v>
          </cell>
          <cell r="AT518" t="str">
            <v>Portugal</v>
          </cell>
          <cell r="AU518" t="str">
            <v>single sector</v>
          </cell>
          <cell r="AV518" t="str">
            <v>Office</v>
          </cell>
          <cell r="AW518">
            <v>180000000</v>
          </cell>
          <cell r="AX518">
            <v>180000000</v>
          </cell>
          <cell r="AY518">
            <v>1999</v>
          </cell>
          <cell r="AZ518">
            <v>2009</v>
          </cell>
          <cell r="BA518" t="str">
            <v>Yes</v>
          </cell>
          <cell r="BB518" t="str">
            <v>Yes</v>
          </cell>
          <cell r="BC518" t="str">
            <v>5 years</v>
          </cell>
          <cell r="BH518" t="str">
            <v>2018-09-30</v>
          </cell>
          <cell r="BI518">
            <v>80748195.519999996</v>
          </cell>
          <cell r="BJ518">
            <v>80748195.519999996</v>
          </cell>
          <cell r="BK518">
            <v>68443088.549999997</v>
          </cell>
          <cell r="BL518">
            <v>68443088.549999997</v>
          </cell>
          <cell r="BM518">
            <v>13.53</v>
          </cell>
          <cell r="BN518" t="str">
            <v>No</v>
          </cell>
          <cell r="BO518" t="str">
            <v>External</v>
          </cell>
          <cell r="BQ518">
            <v>7</v>
          </cell>
          <cell r="BR518">
            <v>140000000</v>
          </cell>
          <cell r="BS518">
            <v>140000000</v>
          </cell>
          <cell r="BT518">
            <v>140000000</v>
          </cell>
          <cell r="BU518">
            <v>140000000</v>
          </cell>
          <cell r="BV518" t="str">
            <v>No</v>
          </cell>
          <cell r="BW518" t="str">
            <v>Portugal</v>
          </cell>
          <cell r="BX518" t="str">
            <v>Office</v>
          </cell>
          <cell r="BY518">
            <v>100</v>
          </cell>
        </row>
        <row r="519">
          <cell r="A519">
            <v>17742</v>
          </cell>
          <cell r="B519" t="str">
            <v>WERTFONDS S</v>
          </cell>
          <cell r="C519" t="str">
            <v>ABERDEEN ASSET MANAGEMENT DEUTSCHLAND AG</v>
          </cell>
          <cell r="D519" t="str">
            <v>Bettinastr. 55-57</v>
          </cell>
          <cell r="E519">
            <v>60325</v>
          </cell>
          <cell r="F519" t="str">
            <v>Frankfurt am Main</v>
          </cell>
          <cell r="G519" t="str">
            <v>Germany</v>
          </cell>
          <cell r="H519" t="str">
            <v>+4969768072500</v>
          </cell>
          <cell r="I519" t="str">
            <v>+4969768072257</v>
          </cell>
          <cell r="J519" t="str">
            <v>http://www.aberdeen-asset.com</v>
          </cell>
          <cell r="K519" t="str">
            <v>Martin Wanick</v>
          </cell>
          <cell r="L519" t="str">
            <v>martin.wanick@aberdeen-asset.com</v>
          </cell>
          <cell r="N519" t="str">
            <v>Martin Wanick</v>
          </cell>
          <cell r="O519" t="str">
            <v>martin.wanick@aberdeen-asset.com</v>
          </cell>
          <cell r="Q519" t="str">
            <v>Germany</v>
          </cell>
          <cell r="R519" t="str">
            <v>EUR</v>
          </cell>
          <cell r="S519" t="str">
            <v>KARBV</v>
          </cell>
          <cell r="T519" t="str">
            <v>Quarterly</v>
          </cell>
          <cell r="U519" t="str">
            <v>Annually</v>
          </cell>
          <cell r="V519" t="str">
            <v>ImmoWertV</v>
          </cell>
          <cell r="W519" t="str">
            <v>KARBV</v>
          </cell>
          <cell r="X519" t="str">
            <v>KPMG</v>
          </cell>
          <cell r="Y519" t="str">
            <v>Spezialfonds</v>
          </cell>
          <cell r="Z519" t="str">
            <v>No</v>
          </cell>
          <cell r="AC519" t="str">
            <v>Non-Listed Fund</v>
          </cell>
          <cell r="AD519" t="str">
            <v>Core</v>
          </cell>
          <cell r="AE519" t="str">
            <v>infinite</v>
          </cell>
          <cell r="AF519" t="str">
            <v>Open end</v>
          </cell>
          <cell r="AG519">
            <v>4.5</v>
          </cell>
          <cell r="AH519">
            <v>5</v>
          </cell>
          <cell r="AK519">
            <v>4</v>
          </cell>
          <cell r="AL519">
            <v>40</v>
          </cell>
          <cell r="AM519" t="str">
            <v>&gt; 40% - ≤ 60%</v>
          </cell>
          <cell r="AN519" t="str">
            <v>Institutional</v>
          </cell>
          <cell r="AO519" t="str">
            <v>&gt; 2</v>
          </cell>
          <cell r="AP519" t="str">
            <v>≥ 50%</v>
          </cell>
          <cell r="AQ519" t="str">
            <v>Europe</v>
          </cell>
          <cell r="AR519" t="str">
            <v>single country</v>
          </cell>
          <cell r="AT519" t="str">
            <v>Germany</v>
          </cell>
          <cell r="AU519" t="str">
            <v>multi sector</v>
          </cell>
          <cell r="AW519">
            <v>200000000</v>
          </cell>
          <cell r="AX519">
            <v>500000000</v>
          </cell>
          <cell r="AY519">
            <v>2010</v>
          </cell>
          <cell r="BD519" t="str">
            <v>No</v>
          </cell>
          <cell r="BH519" t="str">
            <v>2020-12-31</v>
          </cell>
          <cell r="BI519">
            <v>453310765.58999997</v>
          </cell>
          <cell r="BJ519">
            <v>453310765.58999997</v>
          </cell>
          <cell r="BK519">
            <v>275649342.52999997</v>
          </cell>
          <cell r="BL519">
            <v>275649342.52999997</v>
          </cell>
          <cell r="BM519">
            <v>33.5</v>
          </cell>
          <cell r="BN519" t="str">
            <v>No</v>
          </cell>
          <cell r="BO519" t="str">
            <v>External</v>
          </cell>
          <cell r="BP519">
            <v>16</v>
          </cell>
          <cell r="BQ519">
            <v>34</v>
          </cell>
          <cell r="BR519">
            <v>259781004.06</v>
          </cell>
          <cell r="BS519">
            <v>259781004.06</v>
          </cell>
          <cell r="BT519">
            <v>259781004.06</v>
          </cell>
          <cell r="BU519">
            <v>259781004.06</v>
          </cell>
          <cell r="BV519" t="str">
            <v>No</v>
          </cell>
          <cell r="BW519" t="str">
            <v>Germany</v>
          </cell>
          <cell r="BX519" t="str">
            <v>Retail</v>
          </cell>
          <cell r="BY519">
            <v>52.8</v>
          </cell>
          <cell r="BZ519" t="str">
            <v>Germany</v>
          </cell>
          <cell r="CA519" t="str">
            <v>Office</v>
          </cell>
          <cell r="CB519">
            <v>17.8</v>
          </cell>
          <cell r="CC519" t="str">
            <v>Germany</v>
          </cell>
          <cell r="CD519" t="str">
            <v>Health Care</v>
          </cell>
          <cell r="CE519">
            <v>2.8</v>
          </cell>
          <cell r="CF519" t="str">
            <v>Germany</v>
          </cell>
          <cell r="CG519" t="str">
            <v>Residential</v>
          </cell>
          <cell r="CH519">
            <v>17.7</v>
          </cell>
        </row>
        <row r="520">
          <cell r="A520">
            <v>498</v>
          </cell>
          <cell r="B520" t="str">
            <v>WEST END OF LONDON PROPERTY UNIT TRUST</v>
          </cell>
          <cell r="C520" t="str">
            <v>SCHRODER PROPERTY MANAGERS (JERSEY) LTD</v>
          </cell>
          <cell r="D520" t="str">
            <v>2-6 Church Street</v>
          </cell>
          <cell r="E520" t="str">
            <v>JE4 9WB</v>
          </cell>
          <cell r="F520" t="str">
            <v>St Helier</v>
          </cell>
          <cell r="H520" t="str">
            <v>+44 (0) 1534 756 650</v>
          </cell>
          <cell r="I520" t="str">
            <v>+44 (0) 1534 756 601</v>
          </cell>
          <cell r="J520" t="str">
            <v>http://www.schroderproperty.com</v>
          </cell>
          <cell r="K520" t="str">
            <v>Nick Montgomery</v>
          </cell>
          <cell r="L520" t="str">
            <v>nick.montgomery@schroders.com</v>
          </cell>
          <cell r="M520" t="str">
            <v>+44 (0) 20 7658 4146</v>
          </cell>
          <cell r="N520" t="str">
            <v>John Harding</v>
          </cell>
          <cell r="O520" t="str">
            <v>john.harding@schroders.com</v>
          </cell>
          <cell r="P520" t="str">
            <v>+44 (0) 1534 756 601</v>
          </cell>
          <cell r="Q520" t="str">
            <v>Jersey</v>
          </cell>
          <cell r="R520" t="str">
            <v>GBP</v>
          </cell>
          <cell r="T520" t="str">
            <v>Twice per year</v>
          </cell>
          <cell r="U520" t="str">
            <v>Monthly</v>
          </cell>
          <cell r="V520" t="str">
            <v>RICS</v>
          </cell>
          <cell r="W520" t="str">
            <v>INREV NAV</v>
          </cell>
          <cell r="X520" t="str">
            <v>PriceWaterhouseCoopers</v>
          </cell>
          <cell r="Y520" t="str">
            <v>Property Unit Trust</v>
          </cell>
          <cell r="Z520" t="str">
            <v>Yes</v>
          </cell>
          <cell r="AA520" t="str">
            <v>No</v>
          </cell>
          <cell r="AB520">
            <v>0</v>
          </cell>
          <cell r="AC520" t="str">
            <v>Non-Listed Fund</v>
          </cell>
          <cell r="AD520" t="str">
            <v>Value-added</v>
          </cell>
          <cell r="AE520" t="str">
            <v>finite</v>
          </cell>
          <cell r="AF520" t="str">
            <v>Open end</v>
          </cell>
          <cell r="AJ520" t="str">
            <v>IPD Central and Inner London benchmark</v>
          </cell>
          <cell r="AM520" t="str">
            <v>&gt; 40% - ≤ 60%</v>
          </cell>
          <cell r="AN520" t="str">
            <v>Institutional</v>
          </cell>
          <cell r="AO520" t="str">
            <v>&gt; 2</v>
          </cell>
          <cell r="AP520" t="str">
            <v>≥ 50%</v>
          </cell>
          <cell r="AQ520" t="str">
            <v>Europe</v>
          </cell>
          <cell r="AR520" t="str">
            <v>single country</v>
          </cell>
          <cell r="AT520" t="str">
            <v>United Kingdom</v>
          </cell>
          <cell r="AU520" t="str">
            <v>single sector</v>
          </cell>
          <cell r="AV520" t="str">
            <v>Office</v>
          </cell>
          <cell r="AY520">
            <v>2001</v>
          </cell>
          <cell r="AZ520">
            <v>2021</v>
          </cell>
          <cell r="BA520" t="str">
            <v>Yes</v>
          </cell>
          <cell r="BB520" t="str">
            <v>Yes</v>
          </cell>
          <cell r="BC520" t="str">
            <v>10 years</v>
          </cell>
          <cell r="BH520" t="str">
            <v>2020-06-30</v>
          </cell>
          <cell r="BI520">
            <v>1076390530</v>
          </cell>
          <cell r="BJ520">
            <v>1179432225.9385891</v>
          </cell>
          <cell r="BK520">
            <v>724602741</v>
          </cell>
          <cell r="BL520">
            <v>793968174.11505187</v>
          </cell>
          <cell r="BM520">
            <v>33.299999999999997</v>
          </cell>
          <cell r="BN520" t="str">
            <v>No</v>
          </cell>
          <cell r="BO520" t="str">
            <v>External</v>
          </cell>
          <cell r="BP520">
            <v>47</v>
          </cell>
          <cell r="BQ520">
            <v>9</v>
          </cell>
          <cell r="BR520">
            <v>0</v>
          </cell>
          <cell r="BS520">
            <v>0</v>
          </cell>
          <cell r="BT520">
            <v>0</v>
          </cell>
          <cell r="BV520" t="str">
            <v>Yes</v>
          </cell>
          <cell r="BW520" t="str">
            <v>United Kingdom</v>
          </cell>
          <cell r="BX520" t="str">
            <v>Office</v>
          </cell>
          <cell r="BY520">
            <v>91.8</v>
          </cell>
        </row>
        <row r="521">
          <cell r="A521">
            <v>18159</v>
          </cell>
          <cell r="B521" t="str">
            <v>WESTEND OTTENSEN GMBH &amp; CO. INVESTMENT KG</v>
          </cell>
          <cell r="C521" t="str">
            <v>TRIUVA KAPITALVERWALTUNGSGESELLSCHAFT MBH</v>
          </cell>
          <cell r="D521" t="str">
            <v>THE SQUAIRE 18, Am Flughafen</v>
          </cell>
          <cell r="E521">
            <v>60549</v>
          </cell>
          <cell r="F521" t="str">
            <v>Frankfurt am Main</v>
          </cell>
          <cell r="G521" t="str">
            <v>Germany</v>
          </cell>
          <cell r="N521" t="str">
            <v>Trond Conrad</v>
          </cell>
          <cell r="O521" t="str">
            <v>trond.conrad@triuva.com</v>
          </cell>
          <cell r="P521" t="str">
            <v>+49 69 643 505 1553</v>
          </cell>
          <cell r="Q521" t="str">
            <v>Germany</v>
          </cell>
          <cell r="R521" t="str">
            <v>EUR</v>
          </cell>
          <cell r="S521" t="str">
            <v>Local GAAP</v>
          </cell>
          <cell r="T521" t="str">
            <v>Quarterly</v>
          </cell>
          <cell r="U521" t="str">
            <v>Annually</v>
          </cell>
          <cell r="Y521" t="str">
            <v>Spezialfonds</v>
          </cell>
          <cell r="Z521" t="str">
            <v>No</v>
          </cell>
          <cell r="AC521" t="str">
            <v>Separate account</v>
          </cell>
          <cell r="AD521" t="str">
            <v>Core</v>
          </cell>
          <cell r="AE521" t="str">
            <v>infinite</v>
          </cell>
          <cell r="AF521" t="str">
            <v>Open end</v>
          </cell>
          <cell r="AM521" t="str">
            <v>&gt; 40% - ≤ 60%</v>
          </cell>
          <cell r="AN521" t="str">
            <v>Institutional</v>
          </cell>
          <cell r="AO521" t="str">
            <v>≤ 2</v>
          </cell>
          <cell r="AP521" t="str">
            <v>≥ 50%</v>
          </cell>
          <cell r="AQ521" t="str">
            <v>Europe</v>
          </cell>
          <cell r="AR521" t="str">
            <v>single country</v>
          </cell>
          <cell r="AT521" t="str">
            <v>Germany</v>
          </cell>
          <cell r="AU521" t="str">
            <v>single sector</v>
          </cell>
          <cell r="AV521" t="str">
            <v>Office</v>
          </cell>
          <cell r="AY521">
            <v>2016</v>
          </cell>
          <cell r="BH521" t="str">
            <v>2018-06-30</v>
          </cell>
          <cell r="BI521">
            <v>172165991.22</v>
          </cell>
          <cell r="BJ521">
            <v>172165991.22</v>
          </cell>
          <cell r="BK521">
            <v>100612404.22</v>
          </cell>
          <cell r="BL521">
            <v>100612404.22</v>
          </cell>
          <cell r="BM521">
            <v>46.7</v>
          </cell>
          <cell r="BP521">
            <v>1</v>
          </cell>
          <cell r="BQ521">
            <v>2</v>
          </cell>
          <cell r="BS521">
            <v>0</v>
          </cell>
          <cell r="BW521" t="str">
            <v>Germany</v>
          </cell>
          <cell r="BX521" t="str">
            <v>Office</v>
          </cell>
          <cell r="BY521">
            <v>100</v>
          </cell>
        </row>
        <row r="522">
          <cell r="A522">
            <v>17830</v>
          </cell>
          <cell r="B522" t="str">
            <v>WESTINVEST IMMOVALUE</v>
          </cell>
          <cell r="C522" t="str">
            <v>WESTINVEST GESELLSCHAFT FüR INVESTMENTFONDS MBH</v>
          </cell>
          <cell r="D522" t="str">
            <v>Hans-Böckler-Straße</v>
          </cell>
          <cell r="E522">
            <v>40476</v>
          </cell>
          <cell r="F522" t="str">
            <v>Düsseldorf</v>
          </cell>
          <cell r="G522" t="str">
            <v>Germany</v>
          </cell>
          <cell r="J522" t="str">
            <v>http://www.westinvest.de</v>
          </cell>
          <cell r="K522" t="str">
            <v>Peter Holtgreve</v>
          </cell>
          <cell r="L522" t="str">
            <v>p.holtgreve@westinvest.de</v>
          </cell>
          <cell r="M522">
            <v>4921187309</v>
          </cell>
          <cell r="N522" t="str">
            <v>Michaela Graefe</v>
          </cell>
          <cell r="O522" t="str">
            <v>michaela.graefe@deka.de</v>
          </cell>
          <cell r="P522">
            <v>49693643</v>
          </cell>
          <cell r="Q522" t="str">
            <v>Germany</v>
          </cell>
          <cell r="R522" t="str">
            <v>EUR</v>
          </cell>
          <cell r="S522" t="str">
            <v>Local GAAP</v>
          </cell>
          <cell r="T522" t="str">
            <v>Twice per year</v>
          </cell>
          <cell r="U522" t="str">
            <v>Quarterly</v>
          </cell>
          <cell r="V522" t="str">
            <v>ImmoWertV</v>
          </cell>
          <cell r="Y522" t="str">
            <v>Publikumsfonds</v>
          </cell>
          <cell r="Z522" t="str">
            <v>No</v>
          </cell>
          <cell r="AC522" t="str">
            <v>Non-Listed Fund</v>
          </cell>
          <cell r="AD522" t="str">
            <v>Core</v>
          </cell>
          <cell r="AE522" t="str">
            <v>infinite</v>
          </cell>
          <cell r="AF522" t="str">
            <v>Open end</v>
          </cell>
          <cell r="AL522">
            <v>30</v>
          </cell>
          <cell r="AM522" t="str">
            <v>≤ 40%</v>
          </cell>
          <cell r="AN522" t="str">
            <v>Institutional</v>
          </cell>
          <cell r="AO522" t="str">
            <v>&gt; 2</v>
          </cell>
          <cell r="AP522" t="str">
            <v>≥ 50%</v>
          </cell>
          <cell r="AQ522" t="str">
            <v>Europe</v>
          </cell>
          <cell r="AR522" t="str">
            <v>multi country</v>
          </cell>
          <cell r="AS522" t="str">
            <v>Europe</v>
          </cell>
          <cell r="AU522" t="str">
            <v>single sector</v>
          </cell>
          <cell r="AV522" t="str">
            <v>Office</v>
          </cell>
          <cell r="AY522">
            <v>2003</v>
          </cell>
          <cell r="BD522" t="str">
            <v>No</v>
          </cell>
          <cell r="BH522" t="str">
            <v>2020-12-31</v>
          </cell>
          <cell r="BI522">
            <v>4522850663</v>
          </cell>
          <cell r="BJ522">
            <v>4522850663</v>
          </cell>
          <cell r="BK522">
            <v>3706713273</v>
          </cell>
          <cell r="BL522">
            <v>3706713273</v>
          </cell>
          <cell r="BM522">
            <v>24.6</v>
          </cell>
          <cell r="BN522" t="str">
            <v>No</v>
          </cell>
          <cell r="BO522" t="str">
            <v>External</v>
          </cell>
          <cell r="BP522">
            <v>196</v>
          </cell>
          <cell r="BQ522">
            <v>47</v>
          </cell>
          <cell r="BR522">
            <v>3626892336</v>
          </cell>
          <cell r="BS522">
            <v>3626892336</v>
          </cell>
          <cell r="BT522">
            <v>3626892336</v>
          </cell>
          <cell r="BU522">
            <v>3626892336</v>
          </cell>
          <cell r="BV522" t="str">
            <v>No</v>
          </cell>
          <cell r="BW522" t="str">
            <v>Italy</v>
          </cell>
          <cell r="BX522" t="str">
            <v>Office</v>
          </cell>
          <cell r="BY522">
            <v>2.5</v>
          </cell>
          <cell r="BZ522" t="str">
            <v>France</v>
          </cell>
          <cell r="CA522" t="str">
            <v>Mixed</v>
          </cell>
          <cell r="CB522">
            <v>3.9</v>
          </cell>
          <cell r="CC522" t="str">
            <v>Luxembourg</v>
          </cell>
          <cell r="CD522" t="str">
            <v>Mixed</v>
          </cell>
          <cell r="CE522">
            <v>0.7</v>
          </cell>
          <cell r="CF522" t="str">
            <v>Finland</v>
          </cell>
          <cell r="CG522" t="str">
            <v>Mixed</v>
          </cell>
          <cell r="CH522">
            <v>1.3</v>
          </cell>
          <cell r="CI522" t="str">
            <v>Germany</v>
          </cell>
          <cell r="CJ522" t="str">
            <v>Mixed</v>
          </cell>
          <cell r="CK522">
            <v>0.9</v>
          </cell>
          <cell r="CL522" t="str">
            <v>Portugal</v>
          </cell>
          <cell r="CM522" t="str">
            <v>Office</v>
          </cell>
          <cell r="CN522">
            <v>4.3</v>
          </cell>
          <cell r="CO522" t="str">
            <v>Sweden</v>
          </cell>
          <cell r="CP522" t="str">
            <v>Hotel</v>
          </cell>
          <cell r="CQ522">
            <v>1.1000000000000001</v>
          </cell>
          <cell r="CR522" t="str">
            <v>Sweden</v>
          </cell>
          <cell r="CS522" t="str">
            <v>Office</v>
          </cell>
          <cell r="CT522">
            <v>1.5</v>
          </cell>
          <cell r="CU522" t="str">
            <v>Luxembourg</v>
          </cell>
          <cell r="CV522" t="str">
            <v>Office</v>
          </cell>
          <cell r="CW522">
            <v>2.1</v>
          </cell>
          <cell r="CX522" t="str">
            <v>Finland</v>
          </cell>
          <cell r="CY522" t="str">
            <v>Office</v>
          </cell>
          <cell r="CZ522">
            <v>2.2999999999999998</v>
          </cell>
          <cell r="DA522" t="str">
            <v>Denmark</v>
          </cell>
          <cell r="DB522" t="str">
            <v>Office</v>
          </cell>
          <cell r="DC522">
            <v>1.1000000000000001</v>
          </cell>
          <cell r="DD522" t="str">
            <v>Germany</v>
          </cell>
          <cell r="DE522" t="str">
            <v>Office</v>
          </cell>
          <cell r="DF522">
            <v>33.6</v>
          </cell>
          <cell r="DG522" t="str">
            <v>United Kingdom</v>
          </cell>
          <cell r="DH522" t="str">
            <v>Office</v>
          </cell>
          <cell r="DI522">
            <v>17.2</v>
          </cell>
          <cell r="DJ522" t="str">
            <v>Netherlands</v>
          </cell>
          <cell r="DK522" t="str">
            <v>Office</v>
          </cell>
          <cell r="DL522">
            <v>7</v>
          </cell>
          <cell r="DM522" t="str">
            <v>Netherlands</v>
          </cell>
          <cell r="DN522" t="str">
            <v>Industrial / Logistics</v>
          </cell>
          <cell r="DO522">
            <v>0.7</v>
          </cell>
          <cell r="DP522" t="str">
            <v>Belgium</v>
          </cell>
          <cell r="DQ522" t="str">
            <v>Office</v>
          </cell>
          <cell r="DR522">
            <v>3.1</v>
          </cell>
          <cell r="DS522" t="str">
            <v>Austria</v>
          </cell>
          <cell r="DT522" t="str">
            <v>Office</v>
          </cell>
          <cell r="DU522">
            <v>4.5999999999999996</v>
          </cell>
          <cell r="DV522" t="str">
            <v>France</v>
          </cell>
          <cell r="DW522" t="str">
            <v>Office</v>
          </cell>
          <cell r="DX522">
            <v>9.9</v>
          </cell>
          <cell r="DY522" t="str">
            <v>Poland</v>
          </cell>
          <cell r="DZ522" t="str">
            <v>Office</v>
          </cell>
          <cell r="EA522">
            <v>0.9</v>
          </cell>
          <cell r="EB522" t="str">
            <v>Norway</v>
          </cell>
          <cell r="EC522" t="str">
            <v>Office</v>
          </cell>
          <cell r="ED522">
            <v>1.3</v>
          </cell>
        </row>
        <row r="523">
          <cell r="A523">
            <v>18452</v>
          </cell>
          <cell r="B523" t="str">
            <v>WGH</v>
          </cell>
          <cell r="C523" t="str">
            <v>MAN GLOBAL PRIVATE MARKETS</v>
          </cell>
          <cell r="D523" t="str">
            <v>2 Swan Lane</v>
          </cell>
          <cell r="E523" t="str">
            <v>EC4R 3AD</v>
          </cell>
          <cell r="F523" t="str">
            <v>London</v>
          </cell>
          <cell r="G523" t="str">
            <v>United Kingdom</v>
          </cell>
          <cell r="J523" t="str">
            <v>https://www.man.com/gpm-aalto</v>
          </cell>
          <cell r="K523" t="str">
            <v>Travis Masters</v>
          </cell>
          <cell r="L523" t="str">
            <v>Travis.Masters@man.com</v>
          </cell>
          <cell r="M523" t="str">
            <v>+1 (980) 321-7561</v>
          </cell>
          <cell r="N523" t="str">
            <v>Jonathan Shaw</v>
          </cell>
          <cell r="O523" t="str">
            <v>Jonathan.Shaw@Man.com</v>
          </cell>
          <cell r="P523">
            <v>2071142911</v>
          </cell>
          <cell r="Q523" t="str">
            <v>United States of America</v>
          </cell>
          <cell r="R523" t="str">
            <v>USD</v>
          </cell>
          <cell r="S523" t="str">
            <v>US GAAP</v>
          </cell>
          <cell r="T523" t="str">
            <v>Annually</v>
          </cell>
          <cell r="U523" t="str">
            <v>Annually</v>
          </cell>
          <cell r="V523" t="str">
            <v>CoreLogic: Automated Valuation Estimate or Broker Price Option; otherwise RedBell Valuation Risk Review ; or valued at cost if in development</v>
          </cell>
          <cell r="W523" t="str">
            <v>CoreLogic (Automated Valuation Model): PASS</v>
          </cell>
          <cell r="X523" t="str">
            <v>Grant Thornton</v>
          </cell>
          <cell r="Y523" t="str">
            <v>Real Estate Fund</v>
          </cell>
          <cell r="Z523" t="str">
            <v>No</v>
          </cell>
          <cell r="AA523" t="str">
            <v>Yes</v>
          </cell>
          <cell r="AC523" t="str">
            <v>Separate account</v>
          </cell>
          <cell r="AD523" t="str">
            <v>Core</v>
          </cell>
          <cell r="AE523" t="str">
            <v>infinite</v>
          </cell>
          <cell r="AF523" t="str">
            <v>Closed end</v>
          </cell>
          <cell r="AG523">
            <v>7</v>
          </cell>
          <cell r="AH523">
            <v>9</v>
          </cell>
          <cell r="AI523" t="str">
            <v>Gross</v>
          </cell>
          <cell r="AJ523" t="str">
            <v>None</v>
          </cell>
          <cell r="AL523">
            <v>0</v>
          </cell>
          <cell r="AM523" t="str">
            <v>≤ 40%</v>
          </cell>
          <cell r="AN523" t="str">
            <v>Institutional</v>
          </cell>
          <cell r="AO523" t="str">
            <v>≤ 2</v>
          </cell>
          <cell r="AP523" t="str">
            <v>≥ 50%</v>
          </cell>
          <cell r="AQ523" t="str">
            <v>North America</v>
          </cell>
          <cell r="AR523" t="str">
            <v>single country</v>
          </cell>
          <cell r="AT523" t="str">
            <v>United States of America</v>
          </cell>
          <cell r="AU523" t="str">
            <v>single sector</v>
          </cell>
          <cell r="AV523" t="str">
            <v>Residential</v>
          </cell>
          <cell r="AW523">
            <v>488000000</v>
          </cell>
          <cell r="AY523">
            <v>2013</v>
          </cell>
          <cell r="BA523" t="str">
            <v>No</v>
          </cell>
          <cell r="BF523" t="str">
            <v>≤ 15%</v>
          </cell>
        </row>
        <row r="524">
          <cell r="A524">
            <v>18382</v>
          </cell>
          <cell r="B524" t="str">
            <v>WHITE STONE V</v>
          </cell>
          <cell r="C524" t="str">
            <v>LBO FRANCE GESTION</v>
          </cell>
          <cell r="D524" t="str">
            <v>148 rue de l'Universite</v>
          </cell>
          <cell r="E524">
            <v>75007</v>
          </cell>
          <cell r="F524" t="str">
            <v>Paris</v>
          </cell>
          <cell r="G524" t="str">
            <v>France</v>
          </cell>
          <cell r="H524" t="str">
            <v xml:space="preserve">+33 1 40 62 77 67 </v>
          </cell>
          <cell r="J524" t="str">
            <v>http://www.lbofrance.com/en/</v>
          </cell>
          <cell r="N524" t="str">
            <v>Sophie Chateau</v>
          </cell>
          <cell r="O524" t="str">
            <v>investorrelation@lbofrance.com</v>
          </cell>
          <cell r="P524" t="str">
            <v xml:space="preserve">+33 1 40 62 77 67 </v>
          </cell>
          <cell r="Q524" t="str">
            <v>France</v>
          </cell>
          <cell r="R524" t="str">
            <v>EUR</v>
          </cell>
          <cell r="S524" t="str">
            <v>Local GAAP</v>
          </cell>
          <cell r="T524" t="str">
            <v>Twice per year</v>
          </cell>
          <cell r="U524" t="str">
            <v>Twice per year</v>
          </cell>
          <cell r="V524" t="str">
            <v>Other - mark to market</v>
          </cell>
          <cell r="W524" t="str">
            <v>INREV NAV</v>
          </cell>
          <cell r="X524" t="str">
            <v>Mazars</v>
          </cell>
          <cell r="Y524" t="str">
            <v>FPCI</v>
          </cell>
          <cell r="Z524" t="str">
            <v>No</v>
          </cell>
          <cell r="AC524" t="str">
            <v>Non-Listed Fund</v>
          </cell>
          <cell r="AD524" t="str">
            <v>Value-added</v>
          </cell>
          <cell r="AE524" t="str">
            <v>finite</v>
          </cell>
          <cell r="AF524" t="str">
            <v>Closed end</v>
          </cell>
          <cell r="AG524">
            <v>15</v>
          </cell>
          <cell r="AH524">
            <v>20</v>
          </cell>
          <cell r="AN524" t="str">
            <v>Institutional</v>
          </cell>
          <cell r="AO524" t="str">
            <v>&gt; 2</v>
          </cell>
          <cell r="AP524" t="str">
            <v>≥ 50%</v>
          </cell>
          <cell r="AQ524" t="str">
            <v>Europe</v>
          </cell>
          <cell r="AR524" t="str">
            <v>single country</v>
          </cell>
          <cell r="AT524" t="str">
            <v>France</v>
          </cell>
          <cell r="AU524" t="str">
            <v>multi sector</v>
          </cell>
          <cell r="AY524">
            <v>2009</v>
          </cell>
          <cell r="BA524" t="str">
            <v>Yes</v>
          </cell>
          <cell r="BH524" t="str">
            <v>2018-12-31</v>
          </cell>
          <cell r="BI524">
            <v>44640000</v>
          </cell>
          <cell r="BJ524">
            <v>44640000</v>
          </cell>
          <cell r="BK524">
            <v>33400000</v>
          </cell>
          <cell r="BL524">
            <v>33400000</v>
          </cell>
          <cell r="BM524">
            <v>25</v>
          </cell>
          <cell r="BN524" t="str">
            <v>Yes</v>
          </cell>
          <cell r="BO524" t="str">
            <v>External</v>
          </cell>
          <cell r="BP524">
            <v>13</v>
          </cell>
          <cell r="BQ524">
            <v>2</v>
          </cell>
          <cell r="BR524">
            <v>53800000</v>
          </cell>
          <cell r="BS524">
            <v>53800000</v>
          </cell>
          <cell r="BT524">
            <v>53800000</v>
          </cell>
          <cell r="BU524">
            <v>53800000</v>
          </cell>
          <cell r="BV524" t="str">
            <v>No</v>
          </cell>
          <cell r="BW524" t="str">
            <v>France</v>
          </cell>
          <cell r="BX524" t="str">
            <v>Office</v>
          </cell>
          <cell r="BY524">
            <v>38</v>
          </cell>
          <cell r="BZ524" t="str">
            <v>France</v>
          </cell>
          <cell r="CA524" t="str">
            <v>Other</v>
          </cell>
          <cell r="CB524">
            <v>62</v>
          </cell>
        </row>
        <row r="525">
          <cell r="A525">
            <v>18379</v>
          </cell>
          <cell r="B525" t="str">
            <v>WHITE STONE VI</v>
          </cell>
          <cell r="C525" t="str">
            <v>LBO FRANCE GESTION</v>
          </cell>
          <cell r="D525" t="str">
            <v>148 rue de l'Universite</v>
          </cell>
          <cell r="E525">
            <v>75007</v>
          </cell>
          <cell r="F525" t="str">
            <v>Paris</v>
          </cell>
          <cell r="G525" t="str">
            <v>France</v>
          </cell>
          <cell r="H525" t="str">
            <v>+33140627767</v>
          </cell>
          <cell r="N525" t="str">
            <v>Sophie Chateau</v>
          </cell>
          <cell r="O525" t="str">
            <v>IRTeam@lbofrance.com</v>
          </cell>
          <cell r="P525" t="str">
            <v xml:space="preserve">+33 1 40 62 77 67 </v>
          </cell>
          <cell r="Q525" t="str">
            <v>France</v>
          </cell>
          <cell r="R525" t="str">
            <v>EUR</v>
          </cell>
          <cell r="S525" t="str">
            <v>Local GAAP</v>
          </cell>
          <cell r="T525" t="str">
            <v>Quarterly</v>
          </cell>
          <cell r="U525" t="str">
            <v>Twice per year</v>
          </cell>
          <cell r="V525" t="str">
            <v>Other - mark to market</v>
          </cell>
          <cell r="W525" t="str">
            <v>INREV NAV</v>
          </cell>
          <cell r="X525" t="str">
            <v>Mazars</v>
          </cell>
          <cell r="Y525" t="str">
            <v>FPCI</v>
          </cell>
          <cell r="Z525" t="str">
            <v>Yes</v>
          </cell>
          <cell r="AA525" t="str">
            <v>Yes</v>
          </cell>
          <cell r="AC525" t="str">
            <v>Non-Listed Fund</v>
          </cell>
          <cell r="AD525" t="str">
            <v>Value-added</v>
          </cell>
          <cell r="AE525" t="str">
            <v>finite</v>
          </cell>
          <cell r="AF525" t="str">
            <v>Closed end</v>
          </cell>
          <cell r="AG525">
            <v>15</v>
          </cell>
          <cell r="AH525">
            <v>20</v>
          </cell>
          <cell r="AN525" t="str">
            <v>Institutional</v>
          </cell>
          <cell r="AO525" t="str">
            <v>&gt; 2</v>
          </cell>
          <cell r="AP525" t="str">
            <v>≥ 50%</v>
          </cell>
          <cell r="AQ525" t="str">
            <v>Europe</v>
          </cell>
          <cell r="AR525" t="str">
            <v>single country</v>
          </cell>
          <cell r="AT525" t="str">
            <v>France</v>
          </cell>
          <cell r="AU525" t="str">
            <v>multi sector</v>
          </cell>
          <cell r="AY525">
            <v>2014</v>
          </cell>
          <cell r="BH525" t="str">
            <v>2018-12-31</v>
          </cell>
          <cell r="BI525">
            <v>56350000</v>
          </cell>
          <cell r="BJ525">
            <v>56350000</v>
          </cell>
          <cell r="BK525">
            <v>34600000</v>
          </cell>
          <cell r="BL525">
            <v>34600000</v>
          </cell>
          <cell r="BM525">
            <v>39</v>
          </cell>
          <cell r="BN525" t="str">
            <v>Yes</v>
          </cell>
          <cell r="BO525" t="str">
            <v>External</v>
          </cell>
          <cell r="BP525">
            <v>13</v>
          </cell>
          <cell r="BQ525">
            <v>2</v>
          </cell>
          <cell r="BR525">
            <v>130000000</v>
          </cell>
          <cell r="BS525">
            <v>130000000</v>
          </cell>
          <cell r="BT525">
            <v>75800000</v>
          </cell>
          <cell r="BU525">
            <v>75800000</v>
          </cell>
          <cell r="BV525" t="str">
            <v>No</v>
          </cell>
          <cell r="BW525" t="str">
            <v>France</v>
          </cell>
          <cell r="BX525" t="str">
            <v>Office</v>
          </cell>
          <cell r="BY525">
            <v>100</v>
          </cell>
        </row>
        <row r="526">
          <cell r="A526">
            <v>17717</v>
          </cell>
          <cell r="B526" t="str">
            <v>ZURICH AST IMMOBILIEN EUROPA DIREKT</v>
          </cell>
          <cell r="C526" t="str">
            <v>SCHRODERS INVESTMENT MANAGEMENT (SWITZERLAND) AG</v>
          </cell>
          <cell r="D526" t="str">
            <v>Central 2</v>
          </cell>
          <cell r="E526">
            <v>8021</v>
          </cell>
          <cell r="F526" t="str">
            <v>Zurich</v>
          </cell>
          <cell r="G526" t="str">
            <v>Switzerland</v>
          </cell>
          <cell r="H526" t="str">
            <v>+41 44 250 1111</v>
          </cell>
          <cell r="I526" t="str">
            <v>+41 44 2501312</v>
          </cell>
          <cell r="K526" t="str">
            <v>Tony Smedley</v>
          </cell>
          <cell r="L526" t="str">
            <v>tony.smedley@schroders.com</v>
          </cell>
          <cell r="M526" t="str">
            <v>+442076582699</v>
          </cell>
          <cell r="N526" t="str">
            <v>Robert Varley</v>
          </cell>
          <cell r="O526" t="str">
            <v>robert.varley@schroders.com</v>
          </cell>
          <cell r="P526" t="str">
            <v xml:space="preserve">+41 (0)44 250 1225 </v>
          </cell>
          <cell r="Q526" t="str">
            <v>Switzerland</v>
          </cell>
          <cell r="R526" t="str">
            <v>EUR</v>
          </cell>
          <cell r="S526" t="str">
            <v>IFRS</v>
          </cell>
          <cell r="T526" t="str">
            <v>Quarterly</v>
          </cell>
          <cell r="U526" t="str">
            <v>Quarterly</v>
          </cell>
          <cell r="V526" t="str">
            <v>RICS</v>
          </cell>
          <cell r="W526" t="str">
            <v>IFRS NAV</v>
          </cell>
          <cell r="X526" t="str">
            <v>Schroders</v>
          </cell>
          <cell r="Y526" t="str">
            <v>Investment Group ("Investitionsgruppe einer Anlagestiftung")</v>
          </cell>
          <cell r="Z526" t="str">
            <v>No</v>
          </cell>
          <cell r="AA526" t="str">
            <v>Yes</v>
          </cell>
          <cell r="AB526">
            <v>4</v>
          </cell>
          <cell r="AC526" t="str">
            <v>Non-Listed Fund</v>
          </cell>
          <cell r="AD526" t="str">
            <v>Core</v>
          </cell>
          <cell r="AE526" t="str">
            <v>infinite</v>
          </cell>
          <cell r="AF526" t="str">
            <v>Open end</v>
          </cell>
          <cell r="AK526">
            <v>4.5</v>
          </cell>
          <cell r="AL526">
            <v>25</v>
          </cell>
          <cell r="AM526" t="str">
            <v>≤ 40%</v>
          </cell>
          <cell r="AN526" t="str">
            <v>Institutional</v>
          </cell>
          <cell r="AO526" t="str">
            <v>&gt; 2</v>
          </cell>
          <cell r="AP526" t="str">
            <v>≥ 50%</v>
          </cell>
          <cell r="AQ526" t="str">
            <v>Europe</v>
          </cell>
          <cell r="AR526" t="str">
            <v>multi country</v>
          </cell>
          <cell r="AS526" t="str">
            <v>Western Europe</v>
          </cell>
          <cell r="AU526" t="str">
            <v>multi sector</v>
          </cell>
          <cell r="AW526">
            <v>800000000</v>
          </cell>
          <cell r="AX526">
            <v>1000000000</v>
          </cell>
          <cell r="AY526">
            <v>2014</v>
          </cell>
          <cell r="BD526" t="str">
            <v>No</v>
          </cell>
          <cell r="BE526" t="str">
            <v>≥ 60%</v>
          </cell>
          <cell r="BF526" t="str">
            <v>≤ 15%</v>
          </cell>
          <cell r="BH526" t="str">
            <v>2020-12-31</v>
          </cell>
          <cell r="BI526">
            <v>1292226000</v>
          </cell>
          <cell r="BJ526">
            <v>1292226000</v>
          </cell>
          <cell r="BK526">
            <v>970199000</v>
          </cell>
          <cell r="BL526">
            <v>970199000</v>
          </cell>
          <cell r="BM526">
            <v>22</v>
          </cell>
          <cell r="BN526" t="str">
            <v>No</v>
          </cell>
          <cell r="BO526" t="str">
            <v>External</v>
          </cell>
          <cell r="BP526">
            <v>42</v>
          </cell>
          <cell r="BQ526">
            <v>35</v>
          </cell>
          <cell r="BR526">
            <v>711900000</v>
          </cell>
          <cell r="BS526">
            <v>711900000</v>
          </cell>
          <cell r="BT526">
            <v>711900000</v>
          </cell>
          <cell r="BU526">
            <v>711900000</v>
          </cell>
          <cell r="BV526" t="str">
            <v>Yes</v>
          </cell>
          <cell r="BW526" t="str">
            <v>Finland</v>
          </cell>
          <cell r="BX526" t="str">
            <v>Mixed</v>
          </cell>
          <cell r="BY526">
            <v>2.1</v>
          </cell>
          <cell r="BZ526" t="str">
            <v>Belgium</v>
          </cell>
          <cell r="CA526" t="str">
            <v>Mixed</v>
          </cell>
          <cell r="CB526">
            <v>3</v>
          </cell>
          <cell r="CC526" t="str">
            <v>Sweden</v>
          </cell>
          <cell r="CD526" t="str">
            <v>Mixed</v>
          </cell>
          <cell r="CE526">
            <v>4.2</v>
          </cell>
          <cell r="CF526" t="str">
            <v>Spain</v>
          </cell>
          <cell r="CG526" t="str">
            <v>Mixed</v>
          </cell>
          <cell r="CH526">
            <v>4.0999999999999996</v>
          </cell>
          <cell r="CI526" t="str">
            <v>Netherlands</v>
          </cell>
          <cell r="CJ526" t="str">
            <v>Mixed</v>
          </cell>
          <cell r="CK526">
            <v>5.2</v>
          </cell>
          <cell r="CL526" t="str">
            <v>Denmark</v>
          </cell>
          <cell r="CM526" t="str">
            <v>Mixed</v>
          </cell>
          <cell r="CN526">
            <v>6.7</v>
          </cell>
          <cell r="CO526" t="str">
            <v>United Kingdom</v>
          </cell>
          <cell r="CP526" t="str">
            <v>Mixed</v>
          </cell>
          <cell r="CQ526">
            <v>15.6</v>
          </cell>
          <cell r="CR526" t="str">
            <v>France</v>
          </cell>
          <cell r="CS526" t="str">
            <v>Mixed</v>
          </cell>
          <cell r="CT526">
            <v>25.6</v>
          </cell>
          <cell r="CU526" t="str">
            <v>Germany</v>
          </cell>
          <cell r="CV526" t="str">
            <v>Mixed</v>
          </cell>
          <cell r="CW526">
            <v>33.5</v>
          </cell>
        </row>
      </sheetData>
      <sheetData sheetId="29">
        <row r="3">
          <cell r="J3" t="str">
            <v>PGIM Real Estate</v>
          </cell>
          <cell r="K3" t="str">
            <v>Pan-European Real Estate Fund II</v>
          </cell>
          <cell r="L3" t="str">
            <v>Open end</v>
          </cell>
          <cell r="M3" t="str">
            <v>Yes</v>
          </cell>
          <cell r="P3">
            <v>63</v>
          </cell>
          <cell r="Q3">
            <v>11</v>
          </cell>
          <cell r="R3">
            <v>52</v>
          </cell>
          <cell r="Y3">
            <v>63</v>
          </cell>
          <cell r="AD3">
            <v>72</v>
          </cell>
          <cell r="AF3">
            <v>28</v>
          </cell>
          <cell r="AH3" t="str">
            <v>Increase</v>
          </cell>
          <cell r="AI3" t="str">
            <v>Yes</v>
          </cell>
        </row>
        <row r="4">
          <cell r="J4" t="str">
            <v>PGIM Real Estate</v>
          </cell>
          <cell r="K4" t="str">
            <v>European Value Partners II</v>
          </cell>
          <cell r="M4" t="str">
            <v>Yes</v>
          </cell>
          <cell r="P4">
            <v>133</v>
          </cell>
          <cell r="Q4">
            <v>28</v>
          </cell>
          <cell r="R4">
            <v>98</v>
          </cell>
          <cell r="W4">
            <v>6</v>
          </cell>
          <cell r="X4">
            <v>1</v>
          </cell>
          <cell r="Y4">
            <v>49</v>
          </cell>
          <cell r="AA4">
            <v>78</v>
          </cell>
          <cell r="AB4">
            <v>6</v>
          </cell>
          <cell r="AD4">
            <v>16</v>
          </cell>
          <cell r="AF4">
            <v>84</v>
          </cell>
          <cell r="AH4" t="str">
            <v>Increase</v>
          </cell>
          <cell r="AI4" t="str">
            <v>Yes</v>
          </cell>
        </row>
        <row r="5">
          <cell r="J5" t="str">
            <v>PGIM Real Estate</v>
          </cell>
          <cell r="K5" t="str">
            <v>PGIM Real Estate UK Affordable Housing Fund</v>
          </cell>
          <cell r="M5" t="str">
            <v>Yes</v>
          </cell>
          <cell r="P5">
            <v>185</v>
          </cell>
          <cell r="Q5">
            <v>185</v>
          </cell>
          <cell r="Y5">
            <v>185</v>
          </cell>
          <cell r="AF5">
            <v>100</v>
          </cell>
          <cell r="AH5" t="str">
            <v>Increase</v>
          </cell>
          <cell r="AI5" t="str">
            <v>Yes</v>
          </cell>
        </row>
        <row r="6">
          <cell r="J6" t="str">
            <v>PGIM Real Estate</v>
          </cell>
          <cell r="K6" t="str">
            <v>Eurocore</v>
          </cell>
          <cell r="L6" t="str">
            <v>Open end</v>
          </cell>
          <cell r="M6" t="str">
            <v>Yes</v>
          </cell>
          <cell r="P6">
            <v>319</v>
          </cell>
          <cell r="Q6">
            <v>274</v>
          </cell>
          <cell r="R6">
            <v>11</v>
          </cell>
          <cell r="X6">
            <v>34</v>
          </cell>
          <cell r="Y6">
            <v>319</v>
          </cell>
          <cell r="AF6">
            <v>100</v>
          </cell>
          <cell r="AH6" t="str">
            <v>Increase</v>
          </cell>
          <cell r="AI6" t="str">
            <v>Yes</v>
          </cell>
        </row>
        <row r="7">
          <cell r="J7" t="str">
            <v>CBRE GI</v>
          </cell>
          <cell r="K7" t="str">
            <v>Strategic Partners U.S. Value 9, L.P.</v>
          </cell>
          <cell r="M7" t="str">
            <v>Yes</v>
          </cell>
          <cell r="P7">
            <v>530</v>
          </cell>
          <cell r="Q7">
            <v>368</v>
          </cell>
          <cell r="S7">
            <v>150</v>
          </cell>
          <cell r="X7">
            <v>13</v>
          </cell>
          <cell r="Y7">
            <v>150</v>
          </cell>
          <cell r="AA7">
            <v>380</v>
          </cell>
          <cell r="AF7">
            <v>100</v>
          </cell>
          <cell r="AH7" t="str">
            <v>Increase</v>
          </cell>
          <cell r="AI7" t="str">
            <v>Yes</v>
          </cell>
        </row>
        <row r="8">
          <cell r="J8" t="str">
            <v>CBRE GI</v>
          </cell>
          <cell r="K8" t="str">
            <v>US Core Partners</v>
          </cell>
          <cell r="M8" t="str">
            <v>Yes</v>
          </cell>
          <cell r="P8">
            <v>838</v>
          </cell>
          <cell r="Q8">
            <v>365</v>
          </cell>
          <cell r="R8">
            <v>298</v>
          </cell>
          <cell r="S8">
            <v>70</v>
          </cell>
          <cell r="U8">
            <v>2</v>
          </cell>
          <cell r="V8">
            <v>77</v>
          </cell>
          <cell r="X8">
            <v>26</v>
          </cell>
          <cell r="Y8">
            <v>532</v>
          </cell>
          <cell r="Z8">
            <v>90</v>
          </cell>
          <cell r="AA8">
            <v>216</v>
          </cell>
          <cell r="AF8">
            <v>100</v>
          </cell>
          <cell r="AH8" t="str">
            <v>Increase</v>
          </cell>
          <cell r="AI8" t="str">
            <v>Yes</v>
          </cell>
        </row>
        <row r="9">
          <cell r="J9" t="str">
            <v>CBRE GI</v>
          </cell>
          <cell r="K9" t="str">
            <v>Asia Value Partners V SCSp SICAV-RAIF</v>
          </cell>
          <cell r="M9" t="str">
            <v>Yes</v>
          </cell>
          <cell r="P9">
            <v>136</v>
          </cell>
          <cell r="Q9">
            <v>30</v>
          </cell>
          <cell r="R9">
            <v>81</v>
          </cell>
          <cell r="X9">
            <v>25</v>
          </cell>
          <cell r="Y9">
            <v>106</v>
          </cell>
          <cell r="AC9">
            <v>30</v>
          </cell>
          <cell r="AF9">
            <v>100</v>
          </cell>
          <cell r="AH9" t="str">
            <v>Increase</v>
          </cell>
          <cell r="AI9" t="str">
            <v>Yes</v>
          </cell>
        </row>
        <row r="10">
          <cell r="J10" t="str">
            <v>CBRE GI</v>
          </cell>
          <cell r="K10" t="str">
            <v>Dutch Residential Fund</v>
          </cell>
          <cell r="L10" t="str">
            <v>Open end</v>
          </cell>
          <cell r="M10" t="str">
            <v>Yes</v>
          </cell>
          <cell r="P10">
            <v>602</v>
          </cell>
          <cell r="Q10">
            <v>602</v>
          </cell>
          <cell r="Y10">
            <v>602</v>
          </cell>
          <cell r="AF10">
            <v>100</v>
          </cell>
          <cell r="AH10" t="str">
            <v>Increase</v>
          </cell>
          <cell r="AI10" t="str">
            <v>Yes</v>
          </cell>
        </row>
        <row r="11">
          <cell r="J11" t="str">
            <v>CBRE GI</v>
          </cell>
          <cell r="K11" t="str">
            <v>Europe Value Partners 2</v>
          </cell>
          <cell r="L11" t="str">
            <v>Closed end</v>
          </cell>
          <cell r="M11" t="str">
            <v>Yes</v>
          </cell>
          <cell r="P11">
            <v>4</v>
          </cell>
          <cell r="Q11">
            <v>2</v>
          </cell>
          <cell r="R11">
            <v>2</v>
          </cell>
          <cell r="Z11">
            <v>3</v>
          </cell>
          <cell r="AA11">
            <v>1</v>
          </cell>
          <cell r="AF11">
            <v>100</v>
          </cell>
          <cell r="AH11" t="str">
            <v>Increase</v>
          </cell>
          <cell r="AI11" t="str">
            <v>Yes</v>
          </cell>
        </row>
        <row r="12">
          <cell r="J12" t="str">
            <v>CBRE GI</v>
          </cell>
          <cell r="K12" t="str">
            <v>European Industrial Fund</v>
          </cell>
          <cell r="L12" t="str">
            <v>Open end</v>
          </cell>
          <cell r="M12" t="str">
            <v>Yes</v>
          </cell>
          <cell r="P12">
            <v>122</v>
          </cell>
          <cell r="Q12">
            <v>32</v>
          </cell>
          <cell r="R12">
            <v>90</v>
          </cell>
          <cell r="Y12">
            <v>122</v>
          </cell>
          <cell r="AF12">
            <v>100</v>
          </cell>
          <cell r="AH12" t="str">
            <v>Increase</v>
          </cell>
          <cell r="AI12" t="str">
            <v>Yes</v>
          </cell>
        </row>
        <row r="13">
          <cell r="J13" t="str">
            <v>CBRE GI</v>
          </cell>
          <cell r="K13" t="str">
            <v>Pan-European Core Fund (PEC)</v>
          </cell>
          <cell r="L13" t="str">
            <v>Open end</v>
          </cell>
          <cell r="M13" t="str">
            <v>Yes</v>
          </cell>
          <cell r="P13">
            <v>417</v>
          </cell>
          <cell r="Q13">
            <v>404</v>
          </cell>
          <cell r="R13">
            <v>13</v>
          </cell>
          <cell r="Y13">
            <v>384</v>
          </cell>
          <cell r="Z13">
            <v>33</v>
          </cell>
          <cell r="AF13">
            <v>100</v>
          </cell>
          <cell r="AH13" t="str">
            <v>Increase</v>
          </cell>
          <cell r="AI13" t="str">
            <v>Yes</v>
          </cell>
        </row>
        <row r="14">
          <cell r="J14" t="str">
            <v>CBRE GI</v>
          </cell>
          <cell r="K14" t="str">
            <v>UK Long Income Fund</v>
          </cell>
          <cell r="L14" t="str">
            <v>Open end</v>
          </cell>
          <cell r="M14" t="str">
            <v>Yes</v>
          </cell>
          <cell r="P14">
            <v>82</v>
          </cell>
          <cell r="Q14">
            <v>82</v>
          </cell>
          <cell r="Y14">
            <v>82</v>
          </cell>
          <cell r="AF14">
            <v>100</v>
          </cell>
          <cell r="AH14" t="str">
            <v>Increase</v>
          </cell>
          <cell r="AI14" t="str">
            <v>Yes</v>
          </cell>
        </row>
        <row r="15">
          <cell r="J15" t="str">
            <v>CBRE GI</v>
          </cell>
          <cell r="K15" t="str">
            <v>Caledon Global Infrastructure Fund (CGIF)</v>
          </cell>
          <cell r="M15" t="str">
            <v>Yes</v>
          </cell>
          <cell r="P15">
            <v>78</v>
          </cell>
          <cell r="Q15">
            <v>60</v>
          </cell>
          <cell r="X15">
            <v>18</v>
          </cell>
          <cell r="Y15">
            <v>5</v>
          </cell>
          <cell r="Z15">
            <v>7</v>
          </cell>
          <cell r="AA15">
            <v>66</v>
          </cell>
          <cell r="AF15">
            <v>100</v>
          </cell>
          <cell r="AH15" t="str">
            <v>Increase</v>
          </cell>
          <cell r="AI15" t="str">
            <v>Yes</v>
          </cell>
        </row>
        <row r="16">
          <cell r="J16" t="str">
            <v>DWS Alternatives GmbH</v>
          </cell>
          <cell r="K16" t="str">
            <v>Transatlantik fonds</v>
          </cell>
          <cell r="L16" t="str">
            <v>Open end</v>
          </cell>
          <cell r="M16" t="str">
            <v>Yes</v>
          </cell>
          <cell r="P16">
            <v>250</v>
          </cell>
          <cell r="R16">
            <v>250</v>
          </cell>
          <cell r="Y16">
            <v>250</v>
          </cell>
          <cell r="AF16">
            <v>100</v>
          </cell>
          <cell r="AH16" t="str">
            <v>Increase</v>
          </cell>
          <cell r="AI16" t="str">
            <v>No</v>
          </cell>
        </row>
        <row r="17">
          <cell r="J17" t="str">
            <v>Invesco Real Estate</v>
          </cell>
          <cell r="K17" t="str">
            <v>Invesco Real Estate - European Value-Add Fund II</v>
          </cell>
          <cell r="L17" t="str">
            <v>Closed end</v>
          </cell>
          <cell r="M17" t="str">
            <v>Yes</v>
          </cell>
          <cell r="P17">
            <v>132</v>
          </cell>
          <cell r="Q17">
            <v>125</v>
          </cell>
          <cell r="U17">
            <v>5</v>
          </cell>
          <cell r="X17">
            <v>2</v>
          </cell>
          <cell r="Y17">
            <v>132</v>
          </cell>
          <cell r="AF17">
            <v>100</v>
          </cell>
          <cell r="AH17" t="str">
            <v>No change</v>
          </cell>
          <cell r="AI17" t="str">
            <v>Yes</v>
          </cell>
        </row>
        <row r="18">
          <cell r="J18" t="str">
            <v>Hearthstone Investment Management Ltd</v>
          </cell>
          <cell r="K18" t="str">
            <v>Hearthstone Residential Fund 2</v>
          </cell>
          <cell r="L18" t="str">
            <v>Closed end</v>
          </cell>
          <cell r="M18" t="str">
            <v>Yes</v>
          </cell>
          <cell r="P18">
            <v>97</v>
          </cell>
          <cell r="Q18">
            <v>97</v>
          </cell>
          <cell r="Y18">
            <v>97</v>
          </cell>
          <cell r="AF18">
            <v>100</v>
          </cell>
          <cell r="AH18" t="str">
            <v>Increase</v>
          </cell>
          <cell r="AI18" t="str">
            <v>Yes</v>
          </cell>
        </row>
        <row r="19">
          <cell r="J19" t="str">
            <v>Bouwinvest</v>
          </cell>
          <cell r="K19" t="str">
            <v>Hotel Fund</v>
          </cell>
          <cell r="M19" t="str">
            <v>No</v>
          </cell>
          <cell r="N19" t="str">
            <v>Other (please specify)</v>
          </cell>
          <cell r="O19" t="str">
            <v>Because the fund is closed ended.</v>
          </cell>
          <cell r="AH19" t="str">
            <v>Decrease</v>
          </cell>
          <cell r="AI19" t="str">
            <v>Yes</v>
          </cell>
        </row>
        <row r="20">
          <cell r="J20" t="str">
            <v>Bouwinvest</v>
          </cell>
          <cell r="K20" t="str">
            <v>Healthcare Fund</v>
          </cell>
          <cell r="M20" t="str">
            <v>No</v>
          </cell>
          <cell r="N20" t="str">
            <v>Other (please specify)</v>
          </cell>
          <cell r="O20" t="str">
            <v>Because the Fund is closed ended.</v>
          </cell>
          <cell r="AH20" t="str">
            <v>Increase</v>
          </cell>
          <cell r="AI20" t="str">
            <v>Yes</v>
          </cell>
        </row>
        <row r="21">
          <cell r="J21" t="str">
            <v>Bouwinvest</v>
          </cell>
          <cell r="K21" t="str">
            <v>Office Fund</v>
          </cell>
          <cell r="L21" t="str">
            <v>Open end</v>
          </cell>
          <cell r="M21" t="str">
            <v>Yes</v>
          </cell>
          <cell r="P21">
            <v>47</v>
          </cell>
          <cell r="Q21">
            <v>45</v>
          </cell>
          <cell r="R21">
            <v>2</v>
          </cell>
          <cell r="Y21">
            <v>47</v>
          </cell>
          <cell r="AF21">
            <v>100</v>
          </cell>
          <cell r="AH21" t="str">
            <v>Increase</v>
          </cell>
          <cell r="AI21" t="str">
            <v>Yes</v>
          </cell>
        </row>
        <row r="22">
          <cell r="J22" t="str">
            <v>Bouwinvest</v>
          </cell>
          <cell r="K22" t="str">
            <v>Retail Fund</v>
          </cell>
          <cell r="L22" t="str">
            <v>Open end</v>
          </cell>
          <cell r="M22" t="str">
            <v>Yes</v>
          </cell>
          <cell r="P22">
            <v>78</v>
          </cell>
          <cell r="Q22">
            <v>78</v>
          </cell>
          <cell r="Y22">
            <v>78</v>
          </cell>
          <cell r="AF22">
            <v>100</v>
          </cell>
          <cell r="AH22" t="str">
            <v>Decrease</v>
          </cell>
          <cell r="AI22" t="str">
            <v>Yes</v>
          </cell>
        </row>
        <row r="23">
          <cell r="J23" t="str">
            <v>Bouwinvest</v>
          </cell>
          <cell r="K23" t="str">
            <v>Residential Fund</v>
          </cell>
          <cell r="L23" t="str">
            <v>Open end</v>
          </cell>
          <cell r="M23" t="str">
            <v>Yes</v>
          </cell>
          <cell r="P23">
            <v>100</v>
          </cell>
          <cell r="Q23">
            <v>100</v>
          </cell>
          <cell r="Y23">
            <v>100</v>
          </cell>
          <cell r="AF23">
            <v>100</v>
          </cell>
          <cell r="AH23" t="str">
            <v>Increase</v>
          </cell>
          <cell r="AI23" t="str">
            <v>Yes</v>
          </cell>
        </row>
        <row r="24">
          <cell r="J24" t="str">
            <v>Bouwinvest</v>
          </cell>
          <cell r="K24" t="str">
            <v>Europe</v>
          </cell>
          <cell r="M24" t="str">
            <v>Yes</v>
          </cell>
          <cell r="P24">
            <v>120</v>
          </cell>
          <cell r="Q24">
            <v>120</v>
          </cell>
          <cell r="Y24">
            <v>120</v>
          </cell>
          <cell r="AF24">
            <v>100</v>
          </cell>
          <cell r="AH24" t="str">
            <v>Increase</v>
          </cell>
          <cell r="AI24" t="str">
            <v>Yes</v>
          </cell>
        </row>
        <row r="25">
          <cell r="J25" t="str">
            <v>Bouwinvest</v>
          </cell>
          <cell r="K25" t="str">
            <v>APAC</v>
          </cell>
          <cell r="M25" t="str">
            <v>Yes</v>
          </cell>
          <cell r="P25">
            <v>257</v>
          </cell>
          <cell r="Q25">
            <v>257</v>
          </cell>
          <cell r="Y25">
            <v>257</v>
          </cell>
          <cell r="AF25">
            <v>100</v>
          </cell>
          <cell r="AH25" t="str">
            <v>Increase</v>
          </cell>
          <cell r="AI25" t="str">
            <v>Yes</v>
          </cell>
        </row>
        <row r="26">
          <cell r="J26" t="str">
            <v>Bouwinvest</v>
          </cell>
          <cell r="K26" t="str">
            <v>North America</v>
          </cell>
          <cell r="M26" t="str">
            <v>Yes</v>
          </cell>
          <cell r="P26">
            <v>268</v>
          </cell>
          <cell r="Q26">
            <v>268</v>
          </cell>
          <cell r="Y26">
            <v>268</v>
          </cell>
          <cell r="AF26">
            <v>100</v>
          </cell>
          <cell r="AH26" t="str">
            <v>Increase</v>
          </cell>
          <cell r="AI26" t="str">
            <v>Yes</v>
          </cell>
        </row>
        <row r="27">
          <cell r="J27" t="str">
            <v>AXA Investment Managers Deutschland GmbH</v>
          </cell>
          <cell r="K27" t="str">
            <v>ImmoWert</v>
          </cell>
          <cell r="L27" t="str">
            <v>Closed end</v>
          </cell>
          <cell r="M27" t="str">
            <v>No</v>
          </cell>
          <cell r="N27" t="str">
            <v>Other (please specify)</v>
          </cell>
          <cell r="O27" t="str">
            <v>We didn't have to raise capital. Extra cash on bank account.</v>
          </cell>
          <cell r="AH27" t="str">
            <v>Increase</v>
          </cell>
          <cell r="AI27" t="str">
            <v>No</v>
          </cell>
        </row>
        <row r="28">
          <cell r="J28" t="str">
            <v>Genesta Nordic Real Estate Fund II FCP-SIF</v>
          </cell>
          <cell r="K28" t="str">
            <v>Genesta Nordic Real Estate Fund II FCP-SIF</v>
          </cell>
          <cell r="L28" t="str">
            <v>Closed end</v>
          </cell>
          <cell r="M28" t="str">
            <v>No</v>
          </cell>
          <cell r="N28" t="str">
            <v>Other (please specify)</v>
          </cell>
          <cell r="O28" t="str">
            <v>No capital raising needed</v>
          </cell>
          <cell r="AH28" t="str">
            <v>Increase</v>
          </cell>
          <cell r="AI28" t="str">
            <v>No</v>
          </cell>
        </row>
        <row r="29">
          <cell r="J29" t="str">
            <v>Genesta Nordic Real Estate Fund II FCP-SIF</v>
          </cell>
          <cell r="K29" t="str">
            <v>Genesta Nordic Real Estate Fund II FCP-SIF</v>
          </cell>
          <cell r="L29" t="str">
            <v>Closed end</v>
          </cell>
          <cell r="M29" t="str">
            <v>No</v>
          </cell>
          <cell r="N29" t="str">
            <v>Other (please specify)</v>
          </cell>
          <cell r="O29" t="str">
            <v>No capital raising required</v>
          </cell>
          <cell r="AH29" t="str">
            <v>Increase</v>
          </cell>
          <cell r="AI29" t="str">
            <v>No</v>
          </cell>
        </row>
        <row r="30">
          <cell r="J30" t="str">
            <v>Hearthstone Investment Management</v>
          </cell>
          <cell r="K30" t="str">
            <v>Hearthstone Residential Fund 2</v>
          </cell>
          <cell r="L30" t="str">
            <v>Closed end</v>
          </cell>
          <cell r="M30" t="str">
            <v>Yes</v>
          </cell>
          <cell r="P30">
            <v>97</v>
          </cell>
          <cell r="Q30">
            <v>97</v>
          </cell>
          <cell r="Y30">
            <v>97</v>
          </cell>
          <cell r="AF30">
            <v>100</v>
          </cell>
          <cell r="AH30" t="str">
            <v>Increase</v>
          </cell>
          <cell r="AI30" t="str">
            <v>Yes</v>
          </cell>
        </row>
        <row r="31">
          <cell r="J31" t="str">
            <v>Prologis</v>
          </cell>
          <cell r="K31" t="str">
            <v>Prologis Targeted U.S. Logistics Fund, L.P.</v>
          </cell>
          <cell r="M31" t="str">
            <v>Yes</v>
          </cell>
          <cell r="P31">
            <v>896</v>
          </cell>
          <cell r="Q31">
            <v>393</v>
          </cell>
          <cell r="R31">
            <v>171</v>
          </cell>
          <cell r="U31">
            <v>138</v>
          </cell>
          <cell r="V31">
            <v>48</v>
          </cell>
          <cell r="X31">
            <v>146</v>
          </cell>
          <cell r="Y31">
            <v>248</v>
          </cell>
          <cell r="Z31">
            <v>173</v>
          </cell>
          <cell r="AA31">
            <v>475</v>
          </cell>
          <cell r="AF31">
            <v>100</v>
          </cell>
          <cell r="AH31" t="str">
            <v>Increase</v>
          </cell>
          <cell r="AI31" t="str">
            <v>Yes</v>
          </cell>
        </row>
        <row r="32">
          <cell r="J32" t="str">
            <v>Prologis</v>
          </cell>
          <cell r="K32" t="str">
            <v>Prologis China Core Logistics Fund, LP</v>
          </cell>
          <cell r="M32" t="str">
            <v>Yes</v>
          </cell>
          <cell r="P32">
            <v>81</v>
          </cell>
          <cell r="Q32">
            <v>21</v>
          </cell>
          <cell r="R32">
            <v>60</v>
          </cell>
          <cell r="Y32">
            <v>21</v>
          </cell>
          <cell r="Z32">
            <v>60</v>
          </cell>
          <cell r="AF32">
            <v>100</v>
          </cell>
          <cell r="AH32" t="str">
            <v>Increase</v>
          </cell>
          <cell r="AI32" t="str">
            <v>Yes</v>
          </cell>
        </row>
        <row r="33">
          <cell r="J33" t="str">
            <v>Prologis</v>
          </cell>
          <cell r="K33" t="str">
            <v>Prologis European Logistics Fund, FCP-FIS</v>
          </cell>
          <cell r="L33" t="str">
            <v>Open end</v>
          </cell>
          <cell r="M33" t="str">
            <v>Yes</v>
          </cell>
          <cell r="P33">
            <v>1151</v>
          </cell>
          <cell r="Q33">
            <v>196</v>
          </cell>
          <cell r="R33">
            <v>185</v>
          </cell>
          <cell r="S33">
            <v>3</v>
          </cell>
          <cell r="U33">
            <v>279</v>
          </cell>
          <cell r="V33">
            <v>200</v>
          </cell>
          <cell r="X33">
            <v>288</v>
          </cell>
          <cell r="Y33">
            <v>822</v>
          </cell>
          <cell r="Z33">
            <v>329</v>
          </cell>
          <cell r="AF33">
            <v>100</v>
          </cell>
          <cell r="AH33" t="str">
            <v>Increase</v>
          </cell>
          <cell r="AI33" t="str">
            <v>Yes</v>
          </cell>
        </row>
        <row r="35">
          <cell r="J35" t="str">
            <v>Harbert Management Corporation ("HMC")</v>
          </cell>
          <cell r="K35" t="str">
            <v>Harbert United States Real Estate Fund VII, LP</v>
          </cell>
          <cell r="M35" t="str">
            <v>Yes</v>
          </cell>
        </row>
        <row r="36">
          <cell r="J36" t="str">
            <v>Invesco Real Estate</v>
          </cell>
          <cell r="K36" t="str">
            <v xml:space="preserve">Invesco Real Estate - European Fund </v>
          </cell>
          <cell r="L36" t="str">
            <v>Open end</v>
          </cell>
          <cell r="M36" t="str">
            <v>Yes</v>
          </cell>
          <cell r="P36">
            <v>127</v>
          </cell>
          <cell r="Q36">
            <v>42</v>
          </cell>
          <cell r="R36">
            <v>51</v>
          </cell>
          <cell r="X36">
            <v>33</v>
          </cell>
          <cell r="Y36">
            <v>110</v>
          </cell>
          <cell r="Z36">
            <v>17</v>
          </cell>
          <cell r="AF36">
            <v>100</v>
          </cell>
          <cell r="AH36" t="str">
            <v>No change</v>
          </cell>
          <cell r="AI36" t="str">
            <v>Yes</v>
          </cell>
        </row>
        <row r="37">
          <cell r="J37" t="str">
            <v>Heitman</v>
          </cell>
          <cell r="K37" t="str">
            <v>Heitman US Open-End Core Fund</v>
          </cell>
          <cell r="M37" t="str">
            <v>Yes</v>
          </cell>
          <cell r="P37">
            <v>193</v>
          </cell>
          <cell r="S37">
            <v>80</v>
          </cell>
          <cell r="T37">
            <v>113</v>
          </cell>
          <cell r="Z37">
            <v>140</v>
          </cell>
          <cell r="AA37">
            <v>53</v>
          </cell>
          <cell r="AD37">
            <v>75</v>
          </cell>
          <cell r="AF37">
            <v>25</v>
          </cell>
          <cell r="AH37" t="str">
            <v>Increase</v>
          </cell>
          <cell r="AI37" t="str">
            <v>Yes</v>
          </cell>
        </row>
        <row r="38">
          <cell r="J38" t="str">
            <v>Heitman</v>
          </cell>
          <cell r="K38" t="str">
            <v>Heitman Closed End Debt Fund</v>
          </cell>
          <cell r="M38" t="str">
            <v>Yes</v>
          </cell>
          <cell r="P38">
            <v>300</v>
          </cell>
          <cell r="T38">
            <v>300</v>
          </cell>
          <cell r="Z38">
            <v>200</v>
          </cell>
          <cell r="AA38">
            <v>100</v>
          </cell>
          <cell r="AF38">
            <v>100</v>
          </cell>
          <cell r="AH38" t="str">
            <v>Increase</v>
          </cell>
          <cell r="AI38" t="str">
            <v>Yes</v>
          </cell>
        </row>
        <row r="40">
          <cell r="J40" t="str">
            <v>LaSalle Investment Management</v>
          </cell>
          <cell r="K40" t="str">
            <v>Encore+</v>
          </cell>
          <cell r="L40" t="str">
            <v>Open end</v>
          </cell>
          <cell r="M40" t="str">
            <v>Yes</v>
          </cell>
          <cell r="P40">
            <v>836</v>
          </cell>
          <cell r="Q40">
            <v>316</v>
          </cell>
          <cell r="R40">
            <v>370</v>
          </cell>
          <cell r="V40">
            <v>65</v>
          </cell>
          <cell r="X40">
            <v>85</v>
          </cell>
          <cell r="Y40">
            <v>720</v>
          </cell>
          <cell r="Z40">
            <v>116</v>
          </cell>
          <cell r="AF40">
            <v>100</v>
          </cell>
          <cell r="AH40" t="str">
            <v>No change</v>
          </cell>
          <cell r="AI40" t="str">
            <v>Yes</v>
          </cell>
        </row>
        <row r="41">
          <cell r="J41" t="str">
            <v>Invesco Real Estate</v>
          </cell>
          <cell r="K41" t="str">
            <v>Invesco Real Estate - European Living Fund</v>
          </cell>
          <cell r="L41" t="str">
            <v>Open end</v>
          </cell>
          <cell r="M41" t="str">
            <v>Yes</v>
          </cell>
          <cell r="P41">
            <v>138</v>
          </cell>
          <cell r="Q41">
            <v>98</v>
          </cell>
          <cell r="X41">
            <v>40</v>
          </cell>
          <cell r="Y41">
            <v>138</v>
          </cell>
          <cell r="AF41">
            <v>100</v>
          </cell>
          <cell r="AH41" t="str">
            <v>No change</v>
          </cell>
          <cell r="AI41" t="str">
            <v>Yes</v>
          </cell>
        </row>
        <row r="42">
          <cell r="J42" t="str">
            <v>Invesco Real Estate</v>
          </cell>
          <cell r="K42" t="str">
            <v>Invesco Real Estate - European Hotel Fund</v>
          </cell>
          <cell r="L42" t="str">
            <v>Open end</v>
          </cell>
          <cell r="M42" t="str">
            <v>No</v>
          </cell>
          <cell r="N42" t="str">
            <v>Other (please specify)</v>
          </cell>
          <cell r="O42" t="str">
            <v>Impact of COVID-19 on Hotel Sector</v>
          </cell>
          <cell r="AH42" t="str">
            <v>No change</v>
          </cell>
          <cell r="AI42" t="str">
            <v>Yes</v>
          </cell>
        </row>
        <row r="43">
          <cell r="J43" t="str">
            <v>Savills Investment Management</v>
          </cell>
          <cell r="K43" t="str">
            <v>Savills IM Asia Pacific Income and Growth Fund</v>
          </cell>
          <cell r="M43" t="str">
            <v>Yes</v>
          </cell>
          <cell r="P43">
            <v>97</v>
          </cell>
          <cell r="Q43">
            <v>95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</v>
          </cell>
          <cell r="Y43">
            <v>97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100</v>
          </cell>
          <cell r="AG43">
            <v>0</v>
          </cell>
          <cell r="AH43" t="str">
            <v>Increase</v>
          </cell>
          <cell r="AI43" t="str">
            <v>Yes</v>
          </cell>
        </row>
        <row r="44">
          <cell r="J44" t="str">
            <v>Savills Investment Management</v>
          </cell>
          <cell r="K44" t="str">
            <v>Savills IM European Commercial Fund</v>
          </cell>
          <cell r="L44" t="str">
            <v>Open end</v>
          </cell>
          <cell r="M44" t="str">
            <v>Yes</v>
          </cell>
          <cell r="P44">
            <v>35</v>
          </cell>
          <cell r="Q44">
            <v>0</v>
          </cell>
          <cell r="R44">
            <v>35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35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100</v>
          </cell>
          <cell r="AG44">
            <v>0</v>
          </cell>
          <cell r="AH44" t="str">
            <v>Increase</v>
          </cell>
          <cell r="AI44" t="str">
            <v>Yes</v>
          </cell>
        </row>
        <row r="45">
          <cell r="J45" t="str">
            <v>Savills Investment Management</v>
          </cell>
          <cell r="K45" t="str">
            <v>Savills IM European Logistics Fund 3</v>
          </cell>
          <cell r="L45" t="str">
            <v>Open end</v>
          </cell>
          <cell r="M45" t="str">
            <v>Yes</v>
          </cell>
          <cell r="P45">
            <v>224</v>
          </cell>
          <cell r="Q45">
            <v>18</v>
          </cell>
          <cell r="R45">
            <v>160</v>
          </cell>
          <cell r="S45">
            <v>0</v>
          </cell>
          <cell r="T45">
            <v>0</v>
          </cell>
          <cell r="U45">
            <v>0</v>
          </cell>
          <cell r="V45">
            <v>10</v>
          </cell>
          <cell r="W45">
            <v>0</v>
          </cell>
          <cell r="X45">
            <v>36</v>
          </cell>
          <cell r="Y45">
            <v>224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100</v>
          </cell>
          <cell r="AG45">
            <v>0</v>
          </cell>
          <cell r="AH45" t="str">
            <v>Increase</v>
          </cell>
          <cell r="AI45" t="str">
            <v>Yes</v>
          </cell>
        </row>
        <row r="46">
          <cell r="J46" t="str">
            <v xml:space="preserve">Goodman </v>
          </cell>
          <cell r="K46" t="str">
            <v>GEP</v>
          </cell>
          <cell r="M46" t="str">
            <v>No</v>
          </cell>
          <cell r="N46" t="str">
            <v>Other (please specify)</v>
          </cell>
          <cell r="O46" t="str">
            <v>N/A</v>
          </cell>
          <cell r="AH46" t="str">
            <v>Increase</v>
          </cell>
          <cell r="AI46" t="str">
            <v>No</v>
          </cell>
        </row>
        <row r="47">
          <cell r="J47" t="str">
            <v>Savills Investment Management SGR SpA</v>
          </cell>
          <cell r="K47" t="str">
            <v>Boccaccio - Fondo comune di investimento immobiliare di tipo chiuso</v>
          </cell>
          <cell r="L47" t="str">
            <v>Closed end</v>
          </cell>
          <cell r="M47" t="str">
            <v>No</v>
          </cell>
          <cell r="N47" t="str">
            <v>Other (please specify)</v>
          </cell>
          <cell r="O47" t="str">
            <v>End of the subscription/capital raising period</v>
          </cell>
          <cell r="AH47" t="str">
            <v>Increase</v>
          </cell>
          <cell r="AI47" t="str">
            <v>No</v>
          </cell>
        </row>
        <row r="48">
          <cell r="J48" t="str">
            <v>Goodman</v>
          </cell>
          <cell r="K48" t="str">
            <v>Goodman European Partnership</v>
          </cell>
          <cell r="M48" t="str">
            <v>No</v>
          </cell>
          <cell r="N48" t="str">
            <v>Other (please specify)</v>
          </cell>
          <cell r="O48" t="str">
            <v>Sufficient liquidity and remaining outstanding capital commitment.</v>
          </cell>
          <cell r="AH48" t="str">
            <v>Increase</v>
          </cell>
          <cell r="AI48" t="str">
            <v>No</v>
          </cell>
        </row>
        <row r="49">
          <cell r="J49" t="str">
            <v>Lendlease</v>
          </cell>
          <cell r="K49" t="str">
            <v>Australian Prime Property Commercial</v>
          </cell>
          <cell r="M49" t="str">
            <v>No</v>
          </cell>
          <cell r="N49" t="str">
            <v>Other (please specify)</v>
          </cell>
          <cell r="O49" t="str">
            <v>New equity not required</v>
          </cell>
          <cell r="AH49" t="str">
            <v>No change</v>
          </cell>
          <cell r="AI49" t="str">
            <v>No</v>
          </cell>
        </row>
        <row r="50">
          <cell r="J50" t="str">
            <v>Lendlease</v>
          </cell>
          <cell r="K50" t="str">
            <v>Australian Prime Property Fund Industrial</v>
          </cell>
          <cell r="M50" t="str">
            <v>No</v>
          </cell>
          <cell r="N50" t="str">
            <v>Other (please specify)</v>
          </cell>
          <cell r="O50" t="str">
            <v>New equity not required</v>
          </cell>
          <cell r="AH50" t="str">
            <v>No change</v>
          </cell>
          <cell r="AI50" t="str">
            <v>No</v>
          </cell>
        </row>
        <row r="51">
          <cell r="J51" t="str">
            <v>Lendlease</v>
          </cell>
          <cell r="K51" t="str">
            <v>Australian Prime Property Fund Retail</v>
          </cell>
          <cell r="M51" t="str">
            <v>No</v>
          </cell>
          <cell r="N51" t="str">
            <v>Other (please specify)</v>
          </cell>
          <cell r="O51" t="str">
            <v>New equity not required</v>
          </cell>
          <cell r="AH51" t="str">
            <v>No change</v>
          </cell>
          <cell r="AI51" t="str">
            <v>No</v>
          </cell>
        </row>
        <row r="52">
          <cell r="J52" t="str">
            <v>Heitman</v>
          </cell>
          <cell r="K52" t="str">
            <v xml:space="preserve">Heitman US Closed-End Value Fund </v>
          </cell>
          <cell r="M52" t="str">
            <v>Yes</v>
          </cell>
          <cell r="P52">
            <v>577</v>
          </cell>
          <cell r="Q52">
            <v>372</v>
          </cell>
          <cell r="U52">
            <v>5</v>
          </cell>
          <cell r="V52">
            <v>200</v>
          </cell>
          <cell r="Z52">
            <v>300</v>
          </cell>
          <cell r="AA52">
            <v>277</v>
          </cell>
          <cell r="AD52">
            <v>75</v>
          </cell>
          <cell r="AF52">
            <v>25</v>
          </cell>
          <cell r="AH52" t="str">
            <v>Increase</v>
          </cell>
          <cell r="AI52" t="str">
            <v>Yes</v>
          </cell>
        </row>
        <row r="53">
          <cell r="J53" t="str">
            <v>Heitman</v>
          </cell>
          <cell r="K53" t="str">
            <v>Heitman Global Open-End Core Fund</v>
          </cell>
          <cell r="M53" t="str">
            <v>Yes</v>
          </cell>
          <cell r="P53">
            <v>262</v>
          </cell>
          <cell r="V53">
            <v>262</v>
          </cell>
          <cell r="Z53">
            <v>262</v>
          </cell>
          <cell r="AF53">
            <v>100</v>
          </cell>
          <cell r="AH53" t="str">
            <v>Increase</v>
          </cell>
          <cell r="AI53" t="str">
            <v>Yes</v>
          </cell>
        </row>
        <row r="54">
          <cell r="J54" t="str">
            <v>LaSalle Investment Management</v>
          </cell>
          <cell r="K54" t="str">
            <v>Encore+</v>
          </cell>
          <cell r="L54" t="str">
            <v>Open end</v>
          </cell>
          <cell r="M54" t="str">
            <v>Yes</v>
          </cell>
          <cell r="P54">
            <v>836</v>
          </cell>
          <cell r="Q54">
            <v>315</v>
          </cell>
          <cell r="R54">
            <v>371</v>
          </cell>
          <cell r="V54">
            <v>65</v>
          </cell>
          <cell r="X54">
            <v>85</v>
          </cell>
          <cell r="Y54">
            <v>720</v>
          </cell>
          <cell r="Z54">
            <v>116</v>
          </cell>
          <cell r="AF54">
            <v>100</v>
          </cell>
        </row>
        <row r="55">
          <cell r="J55" t="str">
            <v>Vesteda</v>
          </cell>
          <cell r="K55" t="str">
            <v>Vesteda Residential Fund</v>
          </cell>
          <cell r="L55" t="str">
            <v>Open end</v>
          </cell>
          <cell r="M55" t="str">
            <v>No</v>
          </cell>
          <cell r="N55" t="str">
            <v>Other (please specify)</v>
          </cell>
          <cell r="O55" t="str">
            <v>Not necessary. Enough equity and debt facilities available.</v>
          </cell>
          <cell r="AH55" t="str">
            <v>No change</v>
          </cell>
          <cell r="AI55" t="str">
            <v>Yes</v>
          </cell>
        </row>
        <row r="56">
          <cell r="J56" t="str">
            <v>M&amp;G Plc</v>
          </cell>
          <cell r="K56" t="str">
            <v>M&amp;G European Secured Property Income Fund</v>
          </cell>
          <cell r="L56" t="str">
            <v>Open end</v>
          </cell>
          <cell r="M56" t="str">
            <v>Yes</v>
          </cell>
          <cell r="P56">
            <v>33</v>
          </cell>
          <cell r="Q56">
            <v>33</v>
          </cell>
          <cell r="Y56">
            <v>33</v>
          </cell>
          <cell r="AG56">
            <v>100</v>
          </cell>
          <cell r="AH56" t="str">
            <v>Increase</v>
          </cell>
          <cell r="AI56" t="str">
            <v>No</v>
          </cell>
        </row>
        <row r="57">
          <cell r="J57" t="str">
            <v>M&amp;G Plc</v>
          </cell>
          <cell r="K57" t="str">
            <v>M&amp;G Secured Lease Income Fund</v>
          </cell>
          <cell r="M57" t="str">
            <v>Yes</v>
          </cell>
          <cell r="P57">
            <v>90</v>
          </cell>
          <cell r="Q57">
            <v>90</v>
          </cell>
          <cell r="Y57">
            <v>90</v>
          </cell>
          <cell r="AG57">
            <v>100</v>
          </cell>
          <cell r="AH57" t="str">
            <v>Increase</v>
          </cell>
          <cell r="AI57" t="str">
            <v>No</v>
          </cell>
        </row>
        <row r="58">
          <cell r="J58" t="str">
            <v>M&amp;G Plc</v>
          </cell>
          <cell r="K58" t="str">
            <v>M&amp;G Secured Property Income Fund</v>
          </cell>
          <cell r="L58" t="str">
            <v>Open end</v>
          </cell>
          <cell r="M58" t="str">
            <v>Yes</v>
          </cell>
          <cell r="P58">
            <v>15</v>
          </cell>
          <cell r="Q58">
            <v>15</v>
          </cell>
          <cell r="Y58">
            <v>15</v>
          </cell>
          <cell r="AG58">
            <v>100</v>
          </cell>
          <cell r="AH58" t="str">
            <v>Increase</v>
          </cell>
          <cell r="AI58" t="str">
            <v>No</v>
          </cell>
        </row>
        <row r="59">
          <cell r="J59" t="str">
            <v>CBRE Global Investors</v>
          </cell>
          <cell r="K59" t="str">
            <v>NN Direct Real Estate Engine</v>
          </cell>
          <cell r="L59" t="str">
            <v>Open end</v>
          </cell>
          <cell r="M59" t="str">
            <v>No</v>
          </cell>
          <cell r="N59" t="str">
            <v>Other (please specify)</v>
          </cell>
          <cell r="O59" t="str">
            <v>New investments sourced out of disposals</v>
          </cell>
          <cell r="AH59" t="str">
            <v>No change</v>
          </cell>
          <cell r="AI59" t="str">
            <v>No</v>
          </cell>
        </row>
        <row r="60">
          <cell r="J60" t="str">
            <v>CBRE Global Investors</v>
          </cell>
          <cell r="K60" t="str">
            <v>CBRE Dutch Residential Fund</v>
          </cell>
          <cell r="L60" t="str">
            <v>Open end</v>
          </cell>
          <cell r="M60" t="str">
            <v>Yes</v>
          </cell>
          <cell r="P60">
            <v>80</v>
          </cell>
          <cell r="Q60">
            <v>80</v>
          </cell>
          <cell r="Y60">
            <v>80</v>
          </cell>
          <cell r="AD60">
            <v>100</v>
          </cell>
        </row>
        <row r="61">
          <cell r="J61" t="str">
            <v>Areim AB</v>
          </cell>
          <cell r="K61" t="str">
            <v>Areim Fastigheter 4 (D) AB</v>
          </cell>
          <cell r="L61" t="str">
            <v>Closed end</v>
          </cell>
          <cell r="M61" t="str">
            <v>No</v>
          </cell>
          <cell r="N61" t="str">
            <v>Other (please specify)</v>
          </cell>
          <cell r="O61" t="str">
            <v>No capital raised in 2020, final closing was in December 2019.</v>
          </cell>
          <cell r="AH61" t="str">
            <v>Increase</v>
          </cell>
          <cell r="AI61" t="str">
            <v>Yes</v>
          </cell>
        </row>
        <row r="62">
          <cell r="J62" t="str">
            <v>Areim AB</v>
          </cell>
          <cell r="K62" t="str">
            <v>Areim Fastigheter 4 (EQ) AB</v>
          </cell>
          <cell r="L62" t="str">
            <v>Closed end</v>
          </cell>
          <cell r="M62" t="str">
            <v>No</v>
          </cell>
          <cell r="N62" t="str">
            <v>Other (please specify)</v>
          </cell>
          <cell r="O62" t="str">
            <v>No capital raised in 2020, final closing was in December 2019.</v>
          </cell>
          <cell r="AH62" t="str">
            <v>Increase</v>
          </cell>
          <cell r="AI62" t="str">
            <v>Yes</v>
          </cell>
        </row>
        <row r="64">
          <cell r="J64" t="str">
            <v>Union Investment Real Estate GmbH</v>
          </cell>
          <cell r="K64" t="str">
            <v>Real Estate Funds</v>
          </cell>
          <cell r="M64" t="str">
            <v>Yes</v>
          </cell>
          <cell r="P64">
            <v>783</v>
          </cell>
          <cell r="Q64">
            <v>9</v>
          </cell>
          <cell r="R64">
            <v>43</v>
          </cell>
          <cell r="S64">
            <v>0</v>
          </cell>
          <cell r="T64">
            <v>0</v>
          </cell>
          <cell r="U64">
            <v>1</v>
          </cell>
          <cell r="V64">
            <v>316</v>
          </cell>
          <cell r="W64">
            <v>0</v>
          </cell>
          <cell r="X64">
            <v>408</v>
          </cell>
          <cell r="Y64">
            <v>777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100</v>
          </cell>
          <cell r="AG64">
            <v>0</v>
          </cell>
          <cell r="AH64" t="str">
            <v>Increase</v>
          </cell>
          <cell r="AI64" t="str">
            <v>Yes</v>
          </cell>
        </row>
        <row r="65">
          <cell r="J65" t="str">
            <v>Quantum Immobilien Kapitalverwaltungsgesellschaft</v>
          </cell>
          <cell r="K65" t="str">
            <v>Habitare</v>
          </cell>
          <cell r="L65" t="str">
            <v>Open end</v>
          </cell>
          <cell r="M65" t="str">
            <v>No</v>
          </cell>
        </row>
        <row r="66">
          <cell r="J66" t="str">
            <v>AEW UK Investment Management LLP</v>
          </cell>
          <cell r="K66" t="str">
            <v>AEW UK Urban Real Estate Fund</v>
          </cell>
          <cell r="AH66" t="str">
            <v>Increase</v>
          </cell>
          <cell r="AI66" t="str">
            <v>No</v>
          </cell>
        </row>
        <row r="67">
          <cell r="J67" t="str">
            <v>AEW UK Investment Management LLP</v>
          </cell>
          <cell r="K67" t="str">
            <v>AEW UK Real Return Fund</v>
          </cell>
          <cell r="P67">
            <v>10</v>
          </cell>
          <cell r="Q67">
            <v>10</v>
          </cell>
          <cell r="Y67">
            <v>10</v>
          </cell>
          <cell r="AF67">
            <v>100</v>
          </cell>
          <cell r="AH67" t="str">
            <v>Increase</v>
          </cell>
          <cell r="AI67" t="str">
            <v>No</v>
          </cell>
        </row>
        <row r="68">
          <cell r="J68" t="str">
            <v>AEW UK Investment Management LLP</v>
          </cell>
          <cell r="K68" t="str">
            <v>AEW UK Core Property Fund</v>
          </cell>
          <cell r="L68" t="str">
            <v>Open end</v>
          </cell>
          <cell r="M68" t="str">
            <v>Yes</v>
          </cell>
          <cell r="P68">
            <v>5</v>
          </cell>
          <cell r="Q68">
            <v>5</v>
          </cell>
          <cell r="Y68">
            <v>5</v>
          </cell>
          <cell r="AF68">
            <v>100</v>
          </cell>
          <cell r="AH68" t="str">
            <v>Increase</v>
          </cell>
          <cell r="AI68" t="str">
            <v>No</v>
          </cell>
        </row>
        <row r="69">
          <cell r="J69" t="str">
            <v>BlackRock Investment Management (UK) Limited</v>
          </cell>
          <cell r="K69" t="str">
            <v>BlackRock UK Property Fund</v>
          </cell>
          <cell r="L69" t="str">
            <v>Open end</v>
          </cell>
          <cell r="M69" t="str">
            <v>No</v>
          </cell>
          <cell r="N69" t="str">
            <v>Other (please specify)</v>
          </cell>
          <cell r="O69" t="str">
            <v>The Fund is most actively traded in the secondary market.</v>
          </cell>
          <cell r="AH69" t="str">
            <v>Increase</v>
          </cell>
          <cell r="AI69" t="str">
            <v>Yes</v>
          </cell>
        </row>
        <row r="70">
          <cell r="J70" t="str">
            <v>BlackRock Investment Management (UK) Limited</v>
          </cell>
          <cell r="K70" t="str">
            <v>BlackRock UK Property Fund</v>
          </cell>
          <cell r="L70" t="str">
            <v>Open end</v>
          </cell>
          <cell r="M70" t="str">
            <v>No</v>
          </cell>
          <cell r="N70" t="str">
            <v>Other (please specify)</v>
          </cell>
          <cell r="O70" t="str">
            <v>The Fund is most actively traded in the secondary market.</v>
          </cell>
          <cell r="AH70" t="str">
            <v>Increase</v>
          </cell>
          <cell r="AI70" t="str">
            <v>No</v>
          </cell>
        </row>
        <row r="71">
          <cell r="J71" t="str">
            <v>BlackRock Investment Management (UK) Limited</v>
          </cell>
          <cell r="K71" t="str">
            <v>BlackRock UK Long Lease Property Fund</v>
          </cell>
          <cell r="AH71" t="str">
            <v>Increase</v>
          </cell>
          <cell r="AI71" t="str">
            <v>Yes</v>
          </cell>
        </row>
        <row r="72">
          <cell r="J72" t="str">
            <v>Hahn Group</v>
          </cell>
          <cell r="K72" t="str">
            <v>HAHN German Mixed-Used Fund II</v>
          </cell>
          <cell r="M72" t="str">
            <v>Yes</v>
          </cell>
          <cell r="P72">
            <v>63</v>
          </cell>
          <cell r="Q72">
            <v>23</v>
          </cell>
          <cell r="R72">
            <v>40</v>
          </cell>
          <cell r="Y72">
            <v>100</v>
          </cell>
          <cell r="AF72">
            <v>100</v>
          </cell>
          <cell r="AH72" t="str">
            <v>No change</v>
          </cell>
          <cell r="AI72" t="str">
            <v>Yes</v>
          </cell>
        </row>
        <row r="73">
          <cell r="J73" t="str">
            <v>Hahn Group</v>
          </cell>
          <cell r="K73" t="str">
            <v>Hahn German Retail Fund IV</v>
          </cell>
          <cell r="P73">
            <v>100</v>
          </cell>
          <cell r="Q73">
            <v>100</v>
          </cell>
          <cell r="Y73">
            <v>100</v>
          </cell>
          <cell r="AF73">
            <v>100</v>
          </cell>
          <cell r="AH73" t="str">
            <v>No change</v>
          </cell>
          <cell r="AI73" t="str">
            <v>Yes</v>
          </cell>
        </row>
        <row r="74">
          <cell r="J74" t="str">
            <v>Hahn Group</v>
          </cell>
          <cell r="K74" t="str">
            <v>HAHN German Retail Fund II</v>
          </cell>
          <cell r="L74" t="str">
            <v>Open end</v>
          </cell>
          <cell r="M74" t="str">
            <v>Yes</v>
          </cell>
          <cell r="P74">
            <v>8</v>
          </cell>
          <cell r="Q74">
            <v>8</v>
          </cell>
          <cell r="Y74">
            <v>100</v>
          </cell>
          <cell r="AE74">
            <v>100</v>
          </cell>
          <cell r="AH74" t="str">
            <v>No change</v>
          </cell>
          <cell r="AI74" t="str">
            <v>Yes</v>
          </cell>
        </row>
        <row r="75">
          <cell r="J75" t="str">
            <v>Hahn Group</v>
          </cell>
          <cell r="K75" t="str">
            <v>HAHN Individual 2</v>
          </cell>
          <cell r="M75" t="str">
            <v>Yes</v>
          </cell>
          <cell r="P75">
            <v>200</v>
          </cell>
          <cell r="R75">
            <v>200</v>
          </cell>
          <cell r="Y75">
            <v>200</v>
          </cell>
          <cell r="AF75">
            <v>100</v>
          </cell>
          <cell r="AH75" t="str">
            <v>No change</v>
          </cell>
          <cell r="AI75" t="str">
            <v>Yes</v>
          </cell>
        </row>
        <row r="76">
          <cell r="J76" t="str">
            <v>Stam Europe</v>
          </cell>
          <cell r="K76" t="str">
            <v>Opera</v>
          </cell>
          <cell r="L76" t="str">
            <v>Closed end</v>
          </cell>
          <cell r="M76" t="str">
            <v>No</v>
          </cell>
          <cell r="N76" t="str">
            <v>Other (please specify)</v>
          </cell>
          <cell r="O76" t="str">
            <v>Scarcity of investment opportunity</v>
          </cell>
          <cell r="AH76" t="str">
            <v>Increase</v>
          </cell>
          <cell r="AI76" t="str">
            <v>Yes</v>
          </cell>
        </row>
        <row r="77">
          <cell r="J77" t="str">
            <v>Savills Investment Management</v>
          </cell>
          <cell r="K77" t="str">
            <v>Savills IM European Food Retail Fund</v>
          </cell>
          <cell r="M77" t="str">
            <v>Yes</v>
          </cell>
          <cell r="P77">
            <v>109</v>
          </cell>
          <cell r="Q77">
            <v>30</v>
          </cell>
          <cell r="R77">
            <v>62</v>
          </cell>
          <cell r="X77">
            <v>17</v>
          </cell>
          <cell r="Y77">
            <v>109</v>
          </cell>
          <cell r="AF77">
            <v>100</v>
          </cell>
          <cell r="AH77" t="str">
            <v>Increase</v>
          </cell>
          <cell r="AI77" t="str">
            <v>Yes</v>
          </cell>
        </row>
        <row r="78">
          <cell r="J78" t="str">
            <v>Savills Investment Management</v>
          </cell>
          <cell r="K78" t="str">
            <v>Savills IM European Retail Fund</v>
          </cell>
          <cell r="L78" t="str">
            <v>Closed end</v>
          </cell>
          <cell r="M78" t="str">
            <v>No</v>
          </cell>
          <cell r="N78" t="str">
            <v>Other (please specify)</v>
          </cell>
          <cell r="O78" t="str">
            <v>The Fund is closed to new investors</v>
          </cell>
          <cell r="AH78" t="str">
            <v>Increase</v>
          </cell>
          <cell r="AI78" t="str">
            <v>Yes</v>
          </cell>
        </row>
        <row r="79">
          <cell r="J79" t="str">
            <v>Savills Investment Management</v>
          </cell>
          <cell r="K79" t="str">
            <v>Savills IM European Logistics Fund 2</v>
          </cell>
          <cell r="L79" t="str">
            <v>Open end</v>
          </cell>
          <cell r="M79" t="str">
            <v>No</v>
          </cell>
          <cell r="N79" t="str">
            <v>Other (please specify)</v>
          </cell>
          <cell r="O79" t="str">
            <v>The Fund is closed to new investors</v>
          </cell>
          <cell r="AH79" t="str">
            <v>Increase</v>
          </cell>
          <cell r="AI79" t="str">
            <v>Yes</v>
          </cell>
        </row>
        <row r="80">
          <cell r="J80" t="str">
            <v>BC Partners</v>
          </cell>
          <cell r="K80" t="str">
            <v>BC Partners European Real Estate I</v>
          </cell>
          <cell r="L80" t="str">
            <v>Closed end</v>
          </cell>
          <cell r="M80" t="str">
            <v>Yes</v>
          </cell>
          <cell r="P80">
            <v>129</v>
          </cell>
          <cell r="R80">
            <v>15</v>
          </cell>
          <cell r="S80">
            <v>110</v>
          </cell>
          <cell r="W80">
            <v>4</v>
          </cell>
          <cell r="Y80">
            <v>19</v>
          </cell>
          <cell r="Z80">
            <v>110</v>
          </cell>
          <cell r="AF80">
            <v>100</v>
          </cell>
          <cell r="AH80" t="str">
            <v>Increase</v>
          </cell>
          <cell r="AI80" t="str">
            <v>Yes</v>
          </cell>
        </row>
        <row r="81">
          <cell r="J81" t="str">
            <v>AEW</v>
          </cell>
          <cell r="K81" t="str">
            <v>SELF III</v>
          </cell>
          <cell r="M81" t="str">
            <v>Yes</v>
          </cell>
          <cell r="P81">
            <v>75</v>
          </cell>
          <cell r="R81">
            <v>10</v>
          </cell>
          <cell r="S81">
            <v>65</v>
          </cell>
          <cell r="Y81">
            <v>75</v>
          </cell>
          <cell r="AF81">
            <v>100</v>
          </cell>
          <cell r="AH81" t="str">
            <v>Increase</v>
          </cell>
          <cell r="AI81" t="str">
            <v>Yes</v>
          </cell>
        </row>
        <row r="82">
          <cell r="J82" t="str">
            <v>AEW</v>
          </cell>
          <cell r="K82" t="str">
            <v>EUROCORE</v>
          </cell>
          <cell r="L82" t="str">
            <v>Open end</v>
          </cell>
          <cell r="M82" t="str">
            <v>Yes</v>
          </cell>
          <cell r="P82">
            <v>410</v>
          </cell>
          <cell r="Q82">
            <v>350</v>
          </cell>
          <cell r="R82">
            <v>5</v>
          </cell>
          <cell r="X82">
            <v>55</v>
          </cell>
          <cell r="Y82">
            <v>405</v>
          </cell>
          <cell r="Z82">
            <v>5</v>
          </cell>
          <cell r="AF82">
            <v>93</v>
          </cell>
          <cell r="AG82">
            <v>7</v>
          </cell>
          <cell r="AH82" t="str">
            <v>Increase</v>
          </cell>
          <cell r="AI82" t="str">
            <v>Yes</v>
          </cell>
        </row>
        <row r="83">
          <cell r="J83" t="str">
            <v>Genesta</v>
          </cell>
          <cell r="K83" t="str">
            <v>Genesta Nordic Real Estate Fund II FCP-SIF</v>
          </cell>
          <cell r="L83" t="str">
            <v>Closed end</v>
          </cell>
          <cell r="M83" t="str">
            <v>No</v>
          </cell>
        </row>
        <row r="84">
          <cell r="J84" t="str">
            <v>Optimum Asset Management S.A.</v>
          </cell>
          <cell r="K84" t="str">
            <v>German Real Estate Fund IV</v>
          </cell>
          <cell r="L84" t="str">
            <v>Closed end</v>
          </cell>
          <cell r="M84" t="str">
            <v>Yes</v>
          </cell>
          <cell r="P84">
            <v>50</v>
          </cell>
          <cell r="Q84">
            <v>10</v>
          </cell>
          <cell r="V84">
            <v>40</v>
          </cell>
          <cell r="Y84">
            <v>50</v>
          </cell>
          <cell r="AF84">
            <v>100</v>
          </cell>
          <cell r="AH84" t="str">
            <v>Increase</v>
          </cell>
          <cell r="AI84" t="str">
            <v>Yes</v>
          </cell>
        </row>
        <row r="85">
          <cell r="J85" t="str">
            <v>Optimum Asset Management S.A.</v>
          </cell>
          <cell r="K85" t="str">
            <v>Optimum Evolution Fund SIF - Property III</v>
          </cell>
          <cell r="L85" t="str">
            <v>Closed end</v>
          </cell>
          <cell r="M85" t="str">
            <v>No</v>
          </cell>
          <cell r="N85" t="str">
            <v>Corporate governance framework</v>
          </cell>
          <cell r="AH85" t="str">
            <v>Increase</v>
          </cell>
          <cell r="AI85" t="str">
            <v>Yes</v>
          </cell>
        </row>
        <row r="86">
          <cell r="J86" t="str">
            <v>Optimum Asset Management S.A.</v>
          </cell>
          <cell r="K86" t="str">
            <v>Optimum Evolution Fund SIF - Property II</v>
          </cell>
          <cell r="L86" t="str">
            <v>Closed end</v>
          </cell>
          <cell r="M86" t="str">
            <v>No</v>
          </cell>
          <cell r="N86" t="str">
            <v>Corporate governance framework</v>
          </cell>
          <cell r="AH86" t="str">
            <v>Increase</v>
          </cell>
          <cell r="AI86" t="str">
            <v>Yes</v>
          </cell>
        </row>
        <row r="87">
          <cell r="J87" t="str">
            <v>Areim AB</v>
          </cell>
          <cell r="K87" t="str">
            <v>Areim Fund III</v>
          </cell>
          <cell r="L87" t="str">
            <v>Closed end</v>
          </cell>
          <cell r="M87" t="str">
            <v>Yes</v>
          </cell>
          <cell r="P87">
            <v>4</v>
          </cell>
          <cell r="Q87">
            <v>1</v>
          </cell>
          <cell r="R87">
            <v>1</v>
          </cell>
          <cell r="T87">
            <v>2</v>
          </cell>
          <cell r="Y87">
            <v>3</v>
          </cell>
          <cell r="Z87">
            <v>1</v>
          </cell>
          <cell r="AF87">
            <v>100</v>
          </cell>
          <cell r="AH87" t="str">
            <v>Increase</v>
          </cell>
          <cell r="AI87" t="str">
            <v>No</v>
          </cell>
        </row>
        <row r="88">
          <cell r="J88" t="str">
            <v xml:space="preserve">Invesco Real Estate </v>
          </cell>
          <cell r="K88" t="str">
            <v xml:space="preserve">Invesco Real Estate - European Fund </v>
          </cell>
          <cell r="L88" t="str">
            <v>Open end</v>
          </cell>
          <cell r="M88" t="str">
            <v>Yes</v>
          </cell>
        </row>
        <row r="89">
          <cell r="J89" t="str">
            <v>ICG plc</v>
          </cell>
          <cell r="K89" t="str">
            <v>ICG European Sales and Leaseback Fund I</v>
          </cell>
          <cell r="M89" t="str">
            <v>Yes</v>
          </cell>
          <cell r="P89">
            <v>415</v>
          </cell>
          <cell r="Q89">
            <v>361</v>
          </cell>
          <cell r="R89">
            <v>54</v>
          </cell>
          <cell r="Y89">
            <v>128</v>
          </cell>
          <cell r="AA89">
            <v>287</v>
          </cell>
          <cell r="AF89">
            <v>100</v>
          </cell>
          <cell r="AH89" t="str">
            <v>Increase</v>
          </cell>
          <cell r="AI89" t="str">
            <v>Yes</v>
          </cell>
        </row>
        <row r="90">
          <cell r="J90" t="str">
            <v>DNB REIM</v>
          </cell>
          <cell r="K90" t="str">
            <v>DNB Scandinavian Property Fund</v>
          </cell>
          <cell r="L90" t="str">
            <v>Open end</v>
          </cell>
          <cell r="M90" t="str">
            <v>No</v>
          </cell>
          <cell r="N90" t="str">
            <v>Other (please specify)</v>
          </cell>
          <cell r="O90" t="str">
            <v>Covid 19</v>
          </cell>
          <cell r="AH90" t="str">
            <v>Increase</v>
          </cell>
          <cell r="AI90" t="str">
            <v>Yes</v>
          </cell>
        </row>
        <row r="91">
          <cell r="J91" t="str">
            <v>DNB REIM</v>
          </cell>
          <cell r="K91" t="str">
            <v>DNB Scandinavian Property Fund</v>
          </cell>
          <cell r="L91" t="str">
            <v>Open end</v>
          </cell>
          <cell r="M91" t="str">
            <v>Yes</v>
          </cell>
        </row>
        <row r="92">
          <cell r="J92" t="str">
            <v>Harbert Management Corporation ("HMC")</v>
          </cell>
          <cell r="K92" t="str">
            <v>Harbert European Real Estate Fund V</v>
          </cell>
          <cell r="L92" t="str">
            <v>Closed end</v>
          </cell>
          <cell r="M92" t="str">
            <v>No</v>
          </cell>
          <cell r="N92" t="str">
            <v>Other (please specify)</v>
          </cell>
          <cell r="O92" t="str">
            <v>The fund isn't raising capital anymore</v>
          </cell>
        </row>
        <row r="93">
          <cell r="J93" t="str">
            <v>GLP Management</v>
          </cell>
          <cell r="K93" t="str">
            <v>GLP Europe Income Partners II SCSp</v>
          </cell>
          <cell r="L93" t="str">
            <v>Closed end</v>
          </cell>
          <cell r="M93" t="str">
            <v>Yes</v>
          </cell>
          <cell r="P93">
            <v>1382</v>
          </cell>
          <cell r="Q93">
            <v>961</v>
          </cell>
          <cell r="R93">
            <v>171</v>
          </cell>
          <cell r="S93">
            <v>250</v>
          </cell>
          <cell r="Y93">
            <v>478</v>
          </cell>
          <cell r="Z93">
            <v>904</v>
          </cell>
          <cell r="AD93">
            <v>27</v>
          </cell>
          <cell r="AF93">
            <v>73</v>
          </cell>
          <cell r="AH93" t="str">
            <v>Increase</v>
          </cell>
          <cell r="AI93" t="str">
            <v>Yes</v>
          </cell>
        </row>
        <row r="94">
          <cell r="J94" t="str">
            <v>Harbert Management Corporation ("HMC")</v>
          </cell>
          <cell r="K94" t="str">
            <v>Harbert European Real Estate Fund V</v>
          </cell>
          <cell r="L94" t="str">
            <v>Closed end</v>
          </cell>
          <cell r="M94" t="str">
            <v>No</v>
          </cell>
        </row>
        <row r="95">
          <cell r="J95" t="str">
            <v>Optimum Asset Management S.A.</v>
          </cell>
          <cell r="K95" t="str">
            <v>Optimum Evolution Fund SIF - Property II</v>
          </cell>
          <cell r="L95" t="str">
            <v>Closed end</v>
          </cell>
          <cell r="M95" t="str">
            <v>No</v>
          </cell>
          <cell r="N95" t="str">
            <v>Corporate governance framework</v>
          </cell>
        </row>
        <row r="96">
          <cell r="J96" t="str">
            <v>Invesco Real Estate</v>
          </cell>
          <cell r="K96" t="str">
            <v>Invesco Real Estate - Global Direct Real Estate Fund</v>
          </cell>
          <cell r="M96" t="str">
            <v>Yes</v>
          </cell>
          <cell r="P96">
            <v>30</v>
          </cell>
          <cell r="V96">
            <v>30</v>
          </cell>
          <cell r="Y96">
            <v>30</v>
          </cell>
          <cell r="AG96">
            <v>100</v>
          </cell>
          <cell r="AH96" t="str">
            <v>Increase</v>
          </cell>
          <cell r="AI96" t="str">
            <v>Yes</v>
          </cell>
        </row>
        <row r="97">
          <cell r="J97" t="str">
            <v>Invesco Real Estate</v>
          </cell>
          <cell r="K97" t="str">
            <v>Invesco Real Estate - UK Residential Fund FCP-RAIF</v>
          </cell>
          <cell r="L97" t="str">
            <v>Open end</v>
          </cell>
          <cell r="M97" t="str">
            <v>Yes</v>
          </cell>
          <cell r="P97">
            <v>6150000</v>
          </cell>
          <cell r="Q97">
            <v>4500000</v>
          </cell>
          <cell r="V97">
            <v>1650000</v>
          </cell>
          <cell r="Y97">
            <v>6150000</v>
          </cell>
          <cell r="AF97">
            <v>100</v>
          </cell>
          <cell r="AH97" t="str">
            <v>Increase</v>
          </cell>
          <cell r="AI97" t="str">
            <v>Yes</v>
          </cell>
        </row>
        <row r="98">
          <cell r="J98" t="str">
            <v>Frogmore</v>
          </cell>
          <cell r="K98" t="str">
            <v>Frogmore Real Estate Partners IV</v>
          </cell>
          <cell r="L98" t="str">
            <v>Closed end</v>
          </cell>
          <cell r="M98" t="str">
            <v>Yes</v>
          </cell>
          <cell r="P98">
            <v>10</v>
          </cell>
          <cell r="U98">
            <v>10</v>
          </cell>
          <cell r="AA98">
            <v>10</v>
          </cell>
          <cell r="AF98">
            <v>100</v>
          </cell>
          <cell r="AH98" t="str">
            <v>Increase</v>
          </cell>
          <cell r="AI98" t="str">
            <v>Yes</v>
          </cell>
        </row>
        <row r="99">
          <cell r="J99" t="str">
            <v>Frogmore</v>
          </cell>
          <cell r="K99" t="str">
            <v>Frogmore Real Estate Partners IV</v>
          </cell>
          <cell r="L99" t="str">
            <v>Closed end</v>
          </cell>
          <cell r="M99" t="str">
            <v>Yes</v>
          </cell>
        </row>
        <row r="100">
          <cell r="J100" t="str">
            <v>Altera Vastgoed</v>
          </cell>
          <cell r="K100" t="str">
            <v>Altera Retail</v>
          </cell>
          <cell r="L100" t="str">
            <v>Open end</v>
          </cell>
          <cell r="M100" t="str">
            <v>Yes</v>
          </cell>
          <cell r="P100">
            <v>38</v>
          </cell>
          <cell r="Q100">
            <v>3</v>
          </cell>
          <cell r="V100">
            <v>35</v>
          </cell>
          <cell r="AD100">
            <v>90</v>
          </cell>
          <cell r="AF100">
            <v>10</v>
          </cell>
          <cell r="AH100" t="str">
            <v>Increase</v>
          </cell>
          <cell r="AI100" t="str">
            <v>Yes</v>
          </cell>
        </row>
        <row r="101">
          <cell r="J101" t="str">
            <v>Altera Vastgoed</v>
          </cell>
          <cell r="K101" t="str">
            <v>Altera Residential</v>
          </cell>
          <cell r="L101" t="str">
            <v>Open end</v>
          </cell>
          <cell r="M101" t="str">
            <v>Yes</v>
          </cell>
          <cell r="P101">
            <v>209</v>
          </cell>
          <cell r="Q101">
            <v>186810000</v>
          </cell>
          <cell r="R101">
            <v>970000</v>
          </cell>
          <cell r="S101">
            <v>1300000</v>
          </cell>
          <cell r="V101">
            <v>20000000</v>
          </cell>
          <cell r="Y101">
            <v>209080000</v>
          </cell>
          <cell r="AF101">
            <v>100</v>
          </cell>
          <cell r="AH101" t="str">
            <v>Increase</v>
          </cell>
          <cell r="AI101" t="str">
            <v>Yes</v>
          </cell>
        </row>
        <row r="102">
          <cell r="J102" t="str">
            <v>Union Investment Real Estate GmbH</v>
          </cell>
          <cell r="K102" t="str">
            <v>Real Estate Funds</v>
          </cell>
          <cell r="M102" t="str">
            <v>Yes</v>
          </cell>
        </row>
        <row r="103">
          <cell r="J103" t="str">
            <v>CapMan Real Estate</v>
          </cell>
          <cell r="K103" t="str">
            <v>CapMan Nordic Real Estate III FCP-RAIF</v>
          </cell>
          <cell r="M103" t="str">
            <v>Yes</v>
          </cell>
          <cell r="P103">
            <v>550</v>
          </cell>
          <cell r="Q103">
            <v>327</v>
          </cell>
          <cell r="R103">
            <v>50</v>
          </cell>
          <cell r="S103">
            <v>0</v>
          </cell>
          <cell r="T103">
            <v>0</v>
          </cell>
          <cell r="U103">
            <v>60</v>
          </cell>
          <cell r="V103">
            <v>41</v>
          </cell>
          <cell r="W103">
            <v>10</v>
          </cell>
          <cell r="X103">
            <v>62</v>
          </cell>
          <cell r="Y103">
            <v>204</v>
          </cell>
          <cell r="Z103">
            <v>51</v>
          </cell>
          <cell r="AA103">
            <v>295</v>
          </cell>
          <cell r="AD103">
            <v>15</v>
          </cell>
          <cell r="AF103">
            <v>85</v>
          </cell>
          <cell r="AH103" t="str">
            <v>Increase</v>
          </cell>
          <cell r="AI103" t="str">
            <v>Yes</v>
          </cell>
        </row>
        <row r="104">
          <cell r="J104" t="str">
            <v>sonae sierra</v>
          </cell>
          <cell r="K104" t="str">
            <v>sierra retail ventures</v>
          </cell>
          <cell r="L104" t="str">
            <v>Closed end</v>
          </cell>
          <cell r="M104" t="str">
            <v>No</v>
          </cell>
          <cell r="N104" t="str">
            <v>Other (please specify)</v>
          </cell>
          <cell r="O104" t="str">
            <v>investments monetizing stage</v>
          </cell>
          <cell r="AH104" t="str">
            <v>Decrease</v>
          </cell>
          <cell r="AI104" t="str">
            <v>Yes</v>
          </cell>
        </row>
        <row r="105">
          <cell r="J105" t="str">
            <v>sonae sierra</v>
          </cell>
          <cell r="K105" t="str">
            <v>iberia coop</v>
          </cell>
          <cell r="L105" t="str">
            <v>Closed end</v>
          </cell>
          <cell r="M105" t="str">
            <v>No</v>
          </cell>
          <cell r="N105" t="str">
            <v>Other (please specify)</v>
          </cell>
          <cell r="O105" t="str">
            <v>investment period has elapsed</v>
          </cell>
          <cell r="AH105" t="str">
            <v>Decrease</v>
          </cell>
          <cell r="AI105" t="str">
            <v>Yes</v>
          </cell>
        </row>
        <row r="106">
          <cell r="J106" t="str">
            <v>sonae sierra</v>
          </cell>
          <cell r="K106" t="str">
            <v>sierra portugal fund</v>
          </cell>
          <cell r="L106" t="str">
            <v>Closed end</v>
          </cell>
          <cell r="M106" t="str">
            <v>No</v>
          </cell>
          <cell r="N106" t="str">
            <v>Other (please specify)</v>
          </cell>
          <cell r="O106" t="str">
            <v>investments monetizing stage</v>
          </cell>
          <cell r="AH106" t="str">
            <v>Decrease</v>
          </cell>
          <cell r="AI106" t="str">
            <v>Yes</v>
          </cell>
        </row>
        <row r="107">
          <cell r="J107" t="str">
            <v>sonae sierra</v>
          </cell>
          <cell r="K107" t="str">
            <v>sierra prime</v>
          </cell>
          <cell r="L107" t="str">
            <v>Closed end</v>
          </cell>
          <cell r="M107" t="str">
            <v>Yes</v>
          </cell>
          <cell r="P107">
            <v>520</v>
          </cell>
          <cell r="Q107">
            <v>260</v>
          </cell>
          <cell r="R107">
            <v>260</v>
          </cell>
          <cell r="Y107">
            <v>520</v>
          </cell>
          <cell r="AD107">
            <v>100</v>
          </cell>
          <cell r="AH107" t="str">
            <v>No change</v>
          </cell>
          <cell r="AI107" t="str">
            <v>Yes</v>
          </cell>
        </row>
        <row r="108">
          <cell r="J108" t="str">
            <v>Amvest Management B.V.</v>
          </cell>
          <cell r="K108" t="str">
            <v>Amvest Living and Care Fund</v>
          </cell>
          <cell r="L108" t="str">
            <v>Open end</v>
          </cell>
          <cell r="M108" t="str">
            <v>No</v>
          </cell>
          <cell r="N108" t="str">
            <v>Other (please specify)</v>
          </cell>
          <cell r="O108" t="str">
            <v>Sufficient capital for coming periods</v>
          </cell>
          <cell r="AH108" t="str">
            <v>Increase</v>
          </cell>
          <cell r="AI108" t="str">
            <v>No</v>
          </cell>
        </row>
        <row r="109">
          <cell r="J109" t="str">
            <v>Amvest Management B.V.</v>
          </cell>
          <cell r="K109" t="str">
            <v>Amvest Residential Core Fund</v>
          </cell>
          <cell r="L109" t="str">
            <v>Open end</v>
          </cell>
          <cell r="M109" t="str">
            <v>No</v>
          </cell>
          <cell r="N109" t="str">
            <v>Other (please specify)</v>
          </cell>
          <cell r="O109" t="str">
            <v>Sufficient capital for coming periods and capital raising expires in 3 years after signing</v>
          </cell>
          <cell r="AH109" t="str">
            <v>Increase</v>
          </cell>
          <cell r="AI109" t="str">
            <v>No</v>
          </cell>
        </row>
        <row r="110">
          <cell r="J110" t="str">
            <v>Aberdeen Standard Investments Deutschland AG</v>
          </cell>
          <cell r="K110" t="str">
            <v>Aberdeen Standard German Urbanisation Property Fund</v>
          </cell>
          <cell r="L110" t="str">
            <v>Open end</v>
          </cell>
          <cell r="M110" t="str">
            <v>Yes</v>
          </cell>
          <cell r="P110">
            <v>1</v>
          </cell>
          <cell r="X110">
            <v>1</v>
          </cell>
          <cell r="Y110">
            <v>1</v>
          </cell>
          <cell r="AF110">
            <v>100</v>
          </cell>
          <cell r="AH110" t="str">
            <v>Increase</v>
          </cell>
          <cell r="AI110" t="str">
            <v>No</v>
          </cell>
        </row>
        <row r="111">
          <cell r="J111" t="str">
            <v>Niam AB</v>
          </cell>
          <cell r="K111" t="str">
            <v>Niam Core-Plus III</v>
          </cell>
          <cell r="L111" t="str">
            <v>Closed end</v>
          </cell>
          <cell r="M111" t="str">
            <v>No</v>
          </cell>
          <cell r="N111" t="str">
            <v>Other (please specify)</v>
          </cell>
          <cell r="O111" t="str">
            <v>Expected first close Q1 2021</v>
          </cell>
          <cell r="AH111" t="str">
            <v>Increase</v>
          </cell>
          <cell r="AI111" t="str">
            <v>Yes</v>
          </cell>
        </row>
        <row r="112">
          <cell r="J112" t="str">
            <v>AXA Investment Managers Deutschland GmbH</v>
          </cell>
          <cell r="K112" t="str">
            <v>AXA Real Invest HPK</v>
          </cell>
          <cell r="L112" t="str">
            <v>Open end</v>
          </cell>
          <cell r="M112" t="str">
            <v>Yes</v>
          </cell>
          <cell r="P112">
            <v>68</v>
          </cell>
          <cell r="Q112">
            <v>68</v>
          </cell>
          <cell r="Y112">
            <v>68</v>
          </cell>
          <cell r="AF112">
            <v>100</v>
          </cell>
          <cell r="AH112" t="str">
            <v>No change</v>
          </cell>
          <cell r="AI112" t="str">
            <v>No</v>
          </cell>
        </row>
        <row r="113">
          <cell r="J113" t="str">
            <v>Pro</v>
          </cell>
          <cell r="K113" t="str">
            <v>s</v>
          </cell>
          <cell r="M113" t="str">
            <v>Yes</v>
          </cell>
        </row>
        <row r="114">
          <cell r="J114" t="str">
            <v>Moorfield</v>
          </cell>
          <cell r="K114" t="str">
            <v>MRIF</v>
          </cell>
          <cell r="M114" t="str">
            <v>No</v>
          </cell>
        </row>
        <row r="115">
          <cell r="J115" t="str">
            <v>Heitman</v>
          </cell>
          <cell r="K115" t="str">
            <v>Heitman Value Partners V</v>
          </cell>
          <cell r="M115" t="str">
            <v>Yes</v>
          </cell>
        </row>
        <row r="116">
          <cell r="J116" t="str">
            <v>Invesco</v>
          </cell>
          <cell r="K116" t="str">
            <v>European Hotel Fund</v>
          </cell>
          <cell r="L116" t="str">
            <v>Open end</v>
          </cell>
          <cell r="M116" t="str">
            <v>Yes</v>
          </cell>
          <cell r="P116">
            <v>5339993</v>
          </cell>
          <cell r="Q116">
            <v>5000000</v>
          </cell>
          <cell r="X116">
            <v>339993</v>
          </cell>
          <cell r="Y116">
            <v>5339993</v>
          </cell>
          <cell r="AF116">
            <v>100</v>
          </cell>
          <cell r="AH116" t="str">
            <v>Increase</v>
          </cell>
          <cell r="AI116" t="str">
            <v>Yes</v>
          </cell>
        </row>
        <row r="117">
          <cell r="J117" t="str">
            <v>Sirius Capital Partners</v>
          </cell>
          <cell r="K117" t="str">
            <v>Sirius Fund III SCSp</v>
          </cell>
          <cell r="L117" t="str">
            <v>Closed end</v>
          </cell>
          <cell r="M117" t="str">
            <v>No</v>
          </cell>
          <cell r="N117" t="str">
            <v>Other (please specify)</v>
          </cell>
          <cell r="O117" t="str">
            <v>Fund was closed 2018</v>
          </cell>
          <cell r="AH117" t="str">
            <v>Increase</v>
          </cell>
          <cell r="AI117" t="str">
            <v>Yes</v>
          </cell>
        </row>
        <row r="118">
          <cell r="J118" t="str">
            <v>Coima Sgr</v>
          </cell>
          <cell r="K118" t="str">
            <v>COIMA CORE FUND VII</v>
          </cell>
          <cell r="L118" t="str">
            <v>Closed end</v>
          </cell>
          <cell r="M118" t="str">
            <v>No</v>
          </cell>
          <cell r="N118" t="str">
            <v>Other (please specify)</v>
          </cell>
          <cell r="O118" t="str">
            <v>the fund regulation did not provide for additional capital calls</v>
          </cell>
          <cell r="AH118" t="str">
            <v>Increase</v>
          </cell>
          <cell r="AI118" t="str">
            <v>No</v>
          </cell>
        </row>
        <row r="119">
          <cell r="J119" t="str">
            <v>Aberdeen Standard Investments</v>
          </cell>
          <cell r="K119" t="str">
            <v>Long Lease Property</v>
          </cell>
          <cell r="L119" t="str">
            <v>Open end</v>
          </cell>
          <cell r="M119" t="str">
            <v>Yes</v>
          </cell>
        </row>
        <row r="120">
          <cell r="J120" t="str">
            <v>Areim AB</v>
          </cell>
          <cell r="K120" t="str">
            <v>Areim Fastigheter 2 AB</v>
          </cell>
          <cell r="L120" t="str">
            <v>Closed end</v>
          </cell>
          <cell r="M120" t="str">
            <v>No</v>
          </cell>
        </row>
        <row r="121">
          <cell r="J121" t="str">
            <v>DNB Real Estate Investment Management</v>
          </cell>
          <cell r="K121" t="str">
            <v>DNB Scandinavian Property Fund</v>
          </cell>
          <cell r="L121" t="str">
            <v>Open end</v>
          </cell>
          <cell r="M121" t="str">
            <v>Yes</v>
          </cell>
          <cell r="P121">
            <v>726</v>
          </cell>
          <cell r="Q121">
            <v>303</v>
          </cell>
          <cell r="R121">
            <v>256</v>
          </cell>
          <cell r="S121">
            <v>0</v>
          </cell>
          <cell r="T121">
            <v>0</v>
          </cell>
          <cell r="U121">
            <v>57</v>
          </cell>
          <cell r="V121">
            <v>0</v>
          </cell>
          <cell r="W121">
            <v>1</v>
          </cell>
          <cell r="X121">
            <v>142</v>
          </cell>
          <cell r="Y121">
            <v>726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100</v>
          </cell>
          <cell r="AG121">
            <v>0</v>
          </cell>
        </row>
        <row r="122">
          <cell r="J122" t="str">
            <v>Northern Horizon</v>
          </cell>
          <cell r="K122" t="str">
            <v xml:space="preserve">Northern Horizon Aged Care IV </v>
          </cell>
          <cell r="L122" t="str">
            <v>Closed end</v>
          </cell>
          <cell r="M122" t="str">
            <v>Yes</v>
          </cell>
          <cell r="P122">
            <v>24</v>
          </cell>
          <cell r="Q122">
            <v>10</v>
          </cell>
          <cell r="W122">
            <v>14</v>
          </cell>
          <cell r="Y122">
            <v>24</v>
          </cell>
          <cell r="AD122">
            <v>4</v>
          </cell>
          <cell r="AE122">
            <v>96</v>
          </cell>
          <cell r="AH122" t="str">
            <v>Increase</v>
          </cell>
          <cell r="AI122" t="str">
            <v>No</v>
          </cell>
        </row>
      </sheetData>
      <sheetData sheetId="30" refreshError="1"/>
      <sheetData sheetId="31">
        <row r="1">
          <cell r="K1" t="str">
            <v>From</v>
          </cell>
          <cell r="L1" t="str">
            <v>To</v>
          </cell>
          <cell r="M1" t="str">
            <v>Rate</v>
          </cell>
        </row>
        <row r="2">
          <cell r="K2" t="str">
            <v>AUD</v>
          </cell>
          <cell r="L2" t="str">
            <v>EUR</v>
          </cell>
          <cell r="M2">
            <v>0.62855520009999999</v>
          </cell>
          <cell r="N2">
            <v>44196</v>
          </cell>
        </row>
        <row r="3">
          <cell r="K3" t="str">
            <v>CAD</v>
          </cell>
          <cell r="L3" t="str">
            <v>EUR</v>
          </cell>
          <cell r="M3">
            <v>0.63999565120000002</v>
          </cell>
          <cell r="N3">
            <v>44196</v>
          </cell>
        </row>
        <row r="4">
          <cell r="K4" t="str">
            <v>CHF</v>
          </cell>
          <cell r="L4" t="str">
            <v>EUR</v>
          </cell>
          <cell r="M4">
            <v>0.92402414590000004</v>
          </cell>
          <cell r="N4">
            <v>44196</v>
          </cell>
        </row>
        <row r="5">
          <cell r="F5" t="str">
            <v>CNY</v>
          </cell>
          <cell r="G5" t="str">
            <v>USD</v>
          </cell>
          <cell r="H5">
            <v>0.1531944804</v>
          </cell>
          <cell r="K5" t="str">
            <v>CNY</v>
          </cell>
          <cell r="L5" t="str">
            <v>EUR</v>
          </cell>
          <cell r="M5">
            <v>0.1249167499</v>
          </cell>
          <cell r="N5">
            <v>44196</v>
          </cell>
        </row>
        <row r="6">
          <cell r="F6" t="str">
            <v>DKK</v>
          </cell>
          <cell r="G6" t="str">
            <v>USD</v>
          </cell>
          <cell r="H6">
            <v>0.1648511647</v>
          </cell>
          <cell r="K6" t="str">
            <v>DKK</v>
          </cell>
          <cell r="L6" t="str">
            <v>EUR</v>
          </cell>
          <cell r="M6">
            <v>0.13440421490000001</v>
          </cell>
          <cell r="N6">
            <v>44196</v>
          </cell>
        </row>
        <row r="7">
          <cell r="F7" t="str">
            <v>EUR</v>
          </cell>
          <cell r="G7" t="str">
            <v>USD</v>
          </cell>
          <cell r="H7">
            <v>1.2265563783</v>
          </cell>
          <cell r="K7" t="str">
            <v>EUR</v>
          </cell>
          <cell r="L7" t="str">
            <v>EUR</v>
          </cell>
          <cell r="M7">
            <v>1</v>
          </cell>
          <cell r="N7">
            <v>44196</v>
          </cell>
        </row>
        <row r="8">
          <cell r="F8" t="str">
            <v>GBP</v>
          </cell>
          <cell r="G8" t="str">
            <v>USD</v>
          </cell>
          <cell r="H8">
            <v>1.3651159634000001</v>
          </cell>
          <cell r="K8" t="str">
            <v>GBP</v>
          </cell>
          <cell r="L8" t="str">
            <v>EUR</v>
          </cell>
          <cell r="M8">
            <v>1.1130927885999999</v>
          </cell>
          <cell r="N8">
            <v>44196</v>
          </cell>
        </row>
        <row r="9">
          <cell r="F9" t="str">
            <v>HKD</v>
          </cell>
          <cell r="G9" t="str">
            <v>USD</v>
          </cell>
          <cell r="H9">
            <v>0.1289908977</v>
          </cell>
          <cell r="K9" t="str">
            <v>HKD</v>
          </cell>
          <cell r="L9" t="str">
            <v>EUR</v>
          </cell>
          <cell r="M9">
            <v>0.1051611682</v>
          </cell>
          <cell r="N9">
            <v>44196</v>
          </cell>
        </row>
        <row r="10">
          <cell r="F10" t="str">
            <v>IDR</v>
          </cell>
          <cell r="G10" t="str">
            <v>USD</v>
          </cell>
          <cell r="H10">
            <v>7.1862500000000005E-5</v>
          </cell>
          <cell r="K10" t="str">
            <v>IDR</v>
          </cell>
          <cell r="L10" t="str">
            <v>EUR</v>
          </cell>
          <cell r="M10">
            <v>5.8597600000000003E-5</v>
          </cell>
          <cell r="N10">
            <v>44196</v>
          </cell>
        </row>
        <row r="11">
          <cell r="F11" t="str">
            <v>INR</v>
          </cell>
          <cell r="G11" t="str">
            <v>USD</v>
          </cell>
          <cell r="H11">
            <v>1.37063323E-2</v>
          </cell>
          <cell r="K11" t="str">
            <v>INR</v>
          </cell>
          <cell r="L11" t="str">
            <v>EUR</v>
          </cell>
          <cell r="M11">
            <v>1.11763196E-2</v>
          </cell>
          <cell r="N11">
            <v>44196</v>
          </cell>
        </row>
        <row r="12">
          <cell r="F12" t="str">
            <v>JPY</v>
          </cell>
          <cell r="G12" t="str">
            <v>USD</v>
          </cell>
          <cell r="H12">
            <v>9.6937823999999999E-3</v>
          </cell>
          <cell r="K12" t="str">
            <v>JPY</v>
          </cell>
          <cell r="L12" t="str">
            <v>EUR</v>
          </cell>
          <cell r="M12">
            <v>7.9041188999999998E-3</v>
          </cell>
          <cell r="N12">
            <v>44196</v>
          </cell>
        </row>
        <row r="13">
          <cell r="F13" t="str">
            <v>KRW</v>
          </cell>
          <cell r="G13" t="str">
            <v>USD</v>
          </cell>
          <cell r="H13">
            <v>9.2072680000000002E-4</v>
          </cell>
          <cell r="K13" t="str">
            <v>KRW</v>
          </cell>
          <cell r="L13" t="str">
            <v>EUR</v>
          </cell>
          <cell r="M13">
            <v>7.5077249999999998E-4</v>
          </cell>
          <cell r="N13">
            <v>44196</v>
          </cell>
        </row>
        <row r="14">
          <cell r="F14" t="str">
            <v>LKR</v>
          </cell>
          <cell r="G14" t="str">
            <v>USD</v>
          </cell>
          <cell r="H14">
            <v>5.4393560000000002E-3</v>
          </cell>
          <cell r="K14" t="str">
            <v>LKR</v>
          </cell>
          <cell r="L14" t="str">
            <v>EUR</v>
          </cell>
          <cell r="M14">
            <v>4.4353207999999998E-3</v>
          </cell>
          <cell r="N14">
            <v>44196</v>
          </cell>
        </row>
        <row r="15">
          <cell r="F15" t="str">
            <v>MYR</v>
          </cell>
          <cell r="G15" t="str">
            <v>USD</v>
          </cell>
          <cell r="H15">
            <v>0.24832201230000001</v>
          </cell>
          <cell r="K15" t="str">
            <v>MYR</v>
          </cell>
          <cell r="L15" t="str">
            <v>EUR</v>
          </cell>
          <cell r="M15">
            <v>0.20248496299999999</v>
          </cell>
          <cell r="N15">
            <v>44196</v>
          </cell>
        </row>
        <row r="16">
          <cell r="F16" t="str">
            <v>NOK</v>
          </cell>
          <cell r="G16" t="str">
            <v>USD</v>
          </cell>
          <cell r="H16">
            <v>0.1170215245</v>
          </cell>
          <cell r="K16" t="str">
            <v>NOK</v>
          </cell>
          <cell r="L16" t="str">
            <v>EUR</v>
          </cell>
          <cell r="M16">
            <v>9.5415699000000007E-2</v>
          </cell>
          <cell r="N16">
            <v>44196</v>
          </cell>
        </row>
        <row r="17">
          <cell r="F17" t="str">
            <v>NZD</v>
          </cell>
          <cell r="G17" t="str">
            <v>USD</v>
          </cell>
          <cell r="H17">
            <v>0.72144768309999996</v>
          </cell>
          <cell r="K17" t="str">
            <v>NZD</v>
          </cell>
          <cell r="L17" t="str">
            <v>EUR</v>
          </cell>
          <cell r="M17">
            <v>0.58827772079999996</v>
          </cell>
          <cell r="N17">
            <v>44196</v>
          </cell>
        </row>
        <row r="18">
          <cell r="F18" t="str">
            <v>PHP</v>
          </cell>
          <cell r="G18" t="str">
            <v>USD</v>
          </cell>
          <cell r="H18">
            <v>2.08388194E-2</v>
          </cell>
          <cell r="K18" t="str">
            <v>PHP</v>
          </cell>
          <cell r="L18" t="str">
            <v>EUR</v>
          </cell>
          <cell r="M18">
            <v>1.69922414E-2</v>
          </cell>
          <cell r="N18">
            <v>44196</v>
          </cell>
        </row>
        <row r="19">
          <cell r="F19" t="str">
            <v>PKR</v>
          </cell>
          <cell r="G19" t="str">
            <v>USD</v>
          </cell>
          <cell r="H19">
            <v>6.2592161000000002E-3</v>
          </cell>
          <cell r="K19" t="str">
            <v>PKR</v>
          </cell>
          <cell r="L19" t="str">
            <v>EUR</v>
          </cell>
          <cell r="M19">
            <v>5.1038452999999998E-3</v>
          </cell>
          <cell r="N19">
            <v>44196</v>
          </cell>
        </row>
        <row r="20">
          <cell r="F20" t="str">
            <v>SEK</v>
          </cell>
          <cell r="G20" t="str">
            <v>USD</v>
          </cell>
          <cell r="H20">
            <v>0.12202052670000001</v>
          </cell>
          <cell r="K20" t="str">
            <v>SEK</v>
          </cell>
          <cell r="L20" t="str">
            <v>EUR</v>
          </cell>
          <cell r="M20">
            <v>9.9491122000000001E-2</v>
          </cell>
          <cell r="N20">
            <v>44196</v>
          </cell>
        </row>
        <row r="21">
          <cell r="F21" t="str">
            <v>SGD</v>
          </cell>
          <cell r="G21" t="str">
            <v>USD</v>
          </cell>
          <cell r="H21">
            <v>0.75660650839999999</v>
          </cell>
          <cell r="K21" t="str">
            <v>SGD</v>
          </cell>
          <cell r="L21" t="str">
            <v>EUR</v>
          </cell>
          <cell r="M21">
            <v>0.61694667910000001</v>
          </cell>
          <cell r="N21">
            <v>44196</v>
          </cell>
        </row>
        <row r="22">
          <cell r="F22" t="str">
            <v>THB</v>
          </cell>
          <cell r="G22" t="str">
            <v>USD</v>
          </cell>
          <cell r="H22">
            <v>3.3418002400000001E-2</v>
          </cell>
          <cell r="K22" t="str">
            <v>THB</v>
          </cell>
          <cell r="L22" t="str">
            <v>EUR</v>
          </cell>
          <cell r="M22">
            <v>2.7249468999999998E-2</v>
          </cell>
          <cell r="N22">
            <v>44196</v>
          </cell>
        </row>
        <row r="23">
          <cell r="F23" t="str">
            <v>TWD</v>
          </cell>
          <cell r="G23" t="str">
            <v>USD</v>
          </cell>
          <cell r="H23">
            <v>3.5616024500000003E-2</v>
          </cell>
          <cell r="K23" t="str">
            <v>TWD</v>
          </cell>
          <cell r="L23" t="str">
            <v>EUR</v>
          </cell>
          <cell r="M23">
            <v>2.9041764500000001E-2</v>
          </cell>
          <cell r="N23">
            <v>44196</v>
          </cell>
        </row>
        <row r="24">
          <cell r="F24" t="str">
            <v>USD</v>
          </cell>
          <cell r="G24" t="str">
            <v>USD</v>
          </cell>
          <cell r="H24">
            <v>1</v>
          </cell>
          <cell r="K24" t="str">
            <v>USD</v>
          </cell>
          <cell r="L24" t="str">
            <v>EUR</v>
          </cell>
          <cell r="M24">
            <v>0.81541286290000004</v>
          </cell>
          <cell r="N24">
            <v>44196</v>
          </cell>
        </row>
        <row r="25">
          <cell r="F25" t="str">
            <v>VND</v>
          </cell>
          <cell r="G25" t="str">
            <v>USD</v>
          </cell>
          <cell r="H25">
            <v>4.3390799999999998E-5</v>
          </cell>
          <cell r="K25" t="str">
            <v>VND</v>
          </cell>
          <cell r="L25" t="str">
            <v>EUR</v>
          </cell>
          <cell r="M25">
            <v>3.53814E-5</v>
          </cell>
          <cell r="N25">
            <v>44196</v>
          </cell>
        </row>
      </sheetData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TableofContents"/>
      <sheetName val="Figure(34)"/>
      <sheetName val="Figure(35x)"/>
      <sheetName val="Figure(36x)"/>
      <sheetName val="Figure(37x)"/>
      <sheetName val="Figure(40)"/>
      <sheetName val="Figure(41)"/>
      <sheetName val="Figure(42)"/>
      <sheetName val="Figure(43)"/>
      <sheetName val="Figure(35)"/>
      <sheetName val="Figure(36)"/>
      <sheetName val="Figure(37)"/>
      <sheetName val="Figure(38)"/>
      <sheetName val="Figure(39)"/>
      <sheetName val="Figure(44)"/>
      <sheetName val="Figure(45)"/>
      <sheetName val="Figure(46)"/>
      <sheetName val="Figure(47)"/>
      <sheetName val="Figure(48)"/>
      <sheetName val="Figure(49)"/>
      <sheetName val="Sheet1"/>
      <sheetName val="DebtFundUniverse"/>
      <sheetName val="DFsmonkeyCompl"/>
      <sheetName val="DFanalysis"/>
      <sheetName val="FundOfFundsUniverse"/>
      <sheetName val="FoFsmonkeyCompl"/>
      <sheetName val="FoFsanalysis"/>
      <sheetName val="VehiclesUniverse"/>
      <sheetName val="NLFsmonkeyCompl"/>
      <sheetName val="NLFsanalysis"/>
      <sheetName val="Xrate31.12.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9">
          <cell r="L19" t="str">
            <v>Closed end</v>
          </cell>
        </row>
        <row r="20">
          <cell r="L20" t="str">
            <v>Closed end</v>
          </cell>
        </row>
        <row r="66">
          <cell r="L66" t="str">
            <v>Closed end</v>
          </cell>
          <cell r="M66" t="str">
            <v>No</v>
          </cell>
          <cell r="N66" t="str">
            <v>Other (please specify)</v>
          </cell>
          <cell r="O66" t="str">
            <v>Still in capital raising phase</v>
          </cell>
        </row>
        <row r="67">
          <cell r="L67" t="str">
            <v>Open end</v>
          </cell>
          <cell r="M67" t="str">
            <v>Yes</v>
          </cell>
        </row>
        <row r="71">
          <cell r="L71" t="str">
            <v>Open end</v>
          </cell>
          <cell r="M71" t="str">
            <v>No</v>
          </cell>
          <cell r="N71" t="str">
            <v>Other (please specify)</v>
          </cell>
          <cell r="O71" t="str">
            <v>The Fund was not actively fundraising in 2020. Trades took place on the secondary market.</v>
          </cell>
        </row>
        <row r="73">
          <cell r="L73" t="str">
            <v>Open end</v>
          </cell>
          <cell r="M73" t="str">
            <v>Yes</v>
          </cell>
        </row>
      </sheetData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TableofContents"/>
      <sheetName val="Figure(34)"/>
      <sheetName val="Figure(35x)"/>
      <sheetName val="Figure(36x)"/>
      <sheetName val="Figure(37x)"/>
      <sheetName val="Figure(40)"/>
      <sheetName val="Figure(41)"/>
      <sheetName val="Figure(42)"/>
      <sheetName val="Figure(43)"/>
      <sheetName val="Figure(35)"/>
      <sheetName val="Figure(36)"/>
      <sheetName val="Figure(37)"/>
      <sheetName val="Figure(38)"/>
      <sheetName val="Figure(39)"/>
      <sheetName val="Figure(44)"/>
      <sheetName val="Figure(45)"/>
      <sheetName val="Figure(46)"/>
      <sheetName val="Figure(47)"/>
      <sheetName val="Figure(48)"/>
      <sheetName val="Figure(49)"/>
      <sheetName val="Sheet1"/>
      <sheetName val="DebtFundUniverse"/>
      <sheetName val="DFsmonkeyCompl"/>
      <sheetName val="DFanalysis"/>
      <sheetName val="FundOfFundsUniverse"/>
      <sheetName val="FoFsmonkeyCompl"/>
      <sheetName val="FoFsanalysis"/>
      <sheetName val="VehiclesUniverse"/>
      <sheetName val="NLFsmonkeyCompl"/>
      <sheetName val="NLFsanalysis"/>
      <sheetName val="Xrate31.12.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9">
          <cell r="L19" t="str">
            <v>Closed end</v>
          </cell>
        </row>
        <row r="20">
          <cell r="L20" t="str">
            <v>Closed end</v>
          </cell>
        </row>
        <row r="66">
          <cell r="L66" t="str">
            <v>Closed end</v>
          </cell>
          <cell r="M66" t="str">
            <v>No</v>
          </cell>
          <cell r="N66" t="str">
            <v>Other (please specify)</v>
          </cell>
          <cell r="O66" t="str">
            <v>Still in capital raising phase</v>
          </cell>
        </row>
        <row r="67">
          <cell r="L67" t="str">
            <v>Open end</v>
          </cell>
          <cell r="M67" t="str">
            <v>Yes</v>
          </cell>
        </row>
        <row r="71">
          <cell r="L71" t="str">
            <v>Open end</v>
          </cell>
          <cell r="M71" t="str">
            <v>No</v>
          </cell>
          <cell r="N71" t="str">
            <v>Other (please specify)</v>
          </cell>
          <cell r="O71" t="str">
            <v>The Fund was not actively fundraising in 2020. Trades took place on the secondary market.</v>
          </cell>
        </row>
        <row r="73">
          <cell r="L73" t="str">
            <v>Open end</v>
          </cell>
          <cell r="M73" t="str">
            <v>Yes</v>
          </cell>
        </row>
      </sheetData>
      <sheetData sheetId="30"/>
      <sheetData sheetId="3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onnor van Leeuwen" id="{81708A5B-6CF1-4D45-90F3-13CFAEF5C422}" userId="S::Connor.vanLeeuwen@inrev.org::9218937a-6b8a-42df-9dbb-f47b162232b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1022E5-A9D9-4B6D-ABB2-41260AF9BFFA}" name="DFanalysis" displayName="DFanalysis" ref="B1:AF20" totalsRowShown="0" headerRowDxfId="304" totalsRowDxfId="303">
  <autoFilter ref="B1:AF20" xr:uid="{00000000-0009-0000-0100-000001000000}"/>
  <tableColumns count="31">
    <tableColumn id="1" xr3:uid="{5DBB51A3-7DE1-4D7B-98EE-4027E84ACD3E}" name="Vehicle Name" dataDxfId="302" totalsRowDxfId="301">
      <calculatedColumnFormula>IF(OR(ISTEXT([1]DFsmonkeyCompl!K3),ISNUMBER([1]DFsmonkeyCompl!K3)),[1]DFsmonkeyCompl!K3,"")</calculatedColumnFormula>
    </tableColumn>
    <tableColumn id="25" xr3:uid="{6499EC1C-8E0C-46C6-8DCD-B3B29E21B343}" name="ID" dataDxfId="300" totalsRowDxfId="299"/>
    <tableColumn id="24" xr3:uid="{475F0591-48B0-4883-BFB6-214D0E1C6044}" name="Loan Strategy" dataDxfId="298" totalsRowDxfId="297">
      <calculatedColumnFormula>INDEX([1]DebtFundUniverse!$B$2:$EU$200,MATCH(DFanalysis[[#This Row],[ID]],[1]DebtFundUniverse!$A$2:$A$200,0),MATCH(DFanalysis[[#Headers],[Loan Strategy]],[1]DebtFundUniverse!$B$1:$EU$1,0))</calculatedColumnFormula>
    </tableColumn>
    <tableColumn id="29" xr3:uid="{21317ED0-9C78-429D-BD1F-2E4AC48AF511}" name="Target Regional Strategy" dataDxfId="296" totalsRowDxfId="295">
      <calculatedColumnFormula>INDEX([1]DebtFundUniverse!$B$2:$EU$200,MATCH(DFanalysis[[#This Row],[ID]],[1]DebtFundUniverse!$A$2:$A$200,0),MATCH(DFanalysis[[#Headers],[Target Regional Strategy]],[1]DebtFundUniverse!$B$1:$EU$1,0))</calculatedColumnFormula>
    </tableColumn>
    <tableColumn id="30" xr3:uid="{E25AD9D0-0D6C-45F6-AB21-1D1EB66FACC7}" name="Vehicle Structure" dataDxfId="294" totalsRowDxfId="293">
      <calculatedColumnFormula>INDEX([1]DebtFundUniverse!$B$2:$EU$200,MATCH(DFanalysis[[#This Row],[ID]],[1]DebtFundUniverse!$A$2:$A$200,0),MATCH(DFanalysis[[#Headers],[Vehicle Structure]],[1]DebtFundUniverse!$B$1:$EU$1,0))</calculatedColumnFormula>
    </tableColumn>
    <tableColumn id="28" xr3:uid="{C959C0FC-C883-4ACD-B946-BB1324170CEA}" name="year of first closing" dataDxfId="292" totalsRowDxfId="291">
      <calculatedColumnFormula>INDEX([1]DebtFundUniverse!$B$2:$EU$200,MATCH(DFanalysis[[#This Row],[ID]],[1]DebtFundUniverse!$A$2:$A$200,0),MATCH(DFanalysis[[#Headers],[year of first closing]],[1]DebtFundUniverse!$B$1:$EU$1,0))</calculatedColumnFormula>
    </tableColumn>
    <tableColumn id="2" xr3:uid="{745AEEA3-879D-45A4-A2BD-EF4BBE852EF6}" name="RaisedCapital" dataDxfId="290" totalsRowDxfId="289">
      <calculatedColumnFormula>IF(ISBLANK([1]DFsmonkeyCompl!L3),"",[1]DFsmonkeyCompl!L3)</calculatedColumnFormula>
    </tableColumn>
    <tableColumn id="31" xr3:uid="{2537B678-CA34-4119-A5E8-0FBB783BD1FB}" name="WhyNo" dataDxfId="288" totalsRowDxfId="287">
      <calculatedColumnFormula>IF(ISBLANK([1]DFsmonkeyCompl!M3),"",[1]DFsmonkeyCompl!M3)</calculatedColumnFormula>
    </tableColumn>
    <tableColumn id="3" xr3:uid="{F59BE21E-B30F-4C31-AF0B-B7C74C0EC0FE}" name="Other (please specify)" dataDxfId="286" totalsRowDxfId="285">
      <calculatedColumnFormula>IF(ISBLANK([1]DFsmonkeyCompl!N3),"",[1]DFsmonkeyCompl!N3)</calculatedColumnFormula>
    </tableColumn>
    <tableColumn id="26" xr3:uid="{6A052DC2-C605-4674-9105-3B7E41D72D3B}" name="Currency of Reporting" dataDxfId="284" totalsRowDxfId="283">
      <calculatedColumnFormula>INDEX([1]DebtFundUniverse!$B$2:$EU$200,MATCH(DFanalysis[[#This Row],[ID]],[1]DebtFundUniverse!$A$2:$A$200,0),MATCH(DFanalysis[[#Headers],[Currency of Reporting]],[1]DebtFundUniverse!$B$1:$EU$1,0))</calculatedColumnFormula>
    </tableColumn>
    <tableColumn id="27" xr3:uid="{19A93671-87A1-466B-BAF2-622B2A330D08}" name="EUR" dataDxfId="282" totalsRowDxfId="281">
      <calculatedColumnFormula>VLOOKUP(DFanalysis[[#This Row],[Currency of Reporting]],'[1]Xrate31.12.20'!$K$1:$M$25,3,0)</calculatedColumnFormula>
    </tableColumn>
    <tableColumn id="34" xr3:uid="{9576E384-4514-4B36-B9DA-5BC438FF6A06}" name="TotalAmountRaised" dataDxfId="280" totalsRowDxfId="279">
      <calculatedColumnFormula>IFERROR(IF(ISBLANK([1]DFsmonkeyCompl!O3),"",[1]DFsmonkeyCompl!O3*DFanalysis[[#This Row],[EUR]]),"")</calculatedColumnFormula>
    </tableColumn>
    <tableColumn id="5" xr3:uid="{3FF4AC72-8828-452A-987A-181ACB5CE493}" name="PensionFunds" dataDxfId="278" totalsRowDxfId="277">
      <calculatedColumnFormula>IFERROR(IF(ISBLANK([1]DFsmonkeyCompl!P3),"",[1]DFsmonkeyCompl!P3*DFanalysis[[#This Row],[EUR]]),"")</calculatedColumnFormula>
    </tableColumn>
    <tableColumn id="6" xr3:uid="{94618BC7-EAB7-4136-8170-B68A459A681C}" name="InsuranceCompanies" dataDxfId="276" totalsRowDxfId="275">
      <calculatedColumnFormula>IFERROR(IF(ISBLANK([1]DFsmonkeyCompl!Q3),"",[1]DFsmonkeyCompl!Q3*DFanalysis[[#This Row],[EUR]]),"")</calculatedColumnFormula>
    </tableColumn>
    <tableColumn id="7" xr3:uid="{E922A1AA-7467-41E5-BC0F-F145D1B4922C}" name="SWFs" dataDxfId="274" totalsRowDxfId="273">
      <calculatedColumnFormula>IFERROR(IF(ISBLANK([1]DFsmonkeyCompl!R3),"",[1]DFsmonkeyCompl!R3*DFanalysis[[#This Row],[EUR]]),"")</calculatedColumnFormula>
    </tableColumn>
    <tableColumn id="8" xr3:uid="{5F915EA7-3000-45F0-9F4F-265E14B9BBBA}" name="Government" dataDxfId="272" totalsRowDxfId="271">
      <calculatedColumnFormula>IFERROR(IF(ISBLANK([1]DFsmonkeyCompl!S3),"",[1]DFsmonkeyCompl!S3*DFanalysis[[#This Row],[EUR]]),"")</calculatedColumnFormula>
    </tableColumn>
    <tableColumn id="9" xr3:uid="{5464EF51-7141-4ABE-B931-60C1A61C714F}" name="Charities" dataDxfId="270" totalsRowDxfId="269">
      <calculatedColumnFormula>IFERROR(IF(ISBLANK([1]DFsmonkeyCompl!T3),"",[1]DFsmonkeyCompl!T3*DFanalysis[[#This Row],[EUR]]),"")</calculatedColumnFormula>
    </tableColumn>
    <tableColumn id="10" xr3:uid="{0C413E0B-172E-4611-A6A6-6002B8491512}" name="FundOfFunds" dataDxfId="268" totalsRowDxfId="267">
      <calculatedColumnFormula>IFERROR(IF(ISBLANK([1]DFsmonkeyCompl!U3),"",[1]DFsmonkeyCompl!U3*DFanalysis[[#This Row],[EUR]]),"")</calculatedColumnFormula>
    </tableColumn>
    <tableColumn id="11" xr3:uid="{DF2FDF53-0C88-473A-86EE-303971B35A2A}" name="HNWI" dataDxfId="266" totalsRowDxfId="265">
      <calculatedColumnFormula>IFERROR(IF(ISBLANK([1]DFsmonkeyCompl!V3),"",[1]DFsmonkeyCompl!V3*DFanalysis[[#This Row],[EUR]]),"")</calculatedColumnFormula>
    </tableColumn>
    <tableColumn id="12" xr3:uid="{DF423C1F-5B88-4396-B5EE-307816FD273A}" name="Other" dataDxfId="264" totalsRowDxfId="263">
      <calculatedColumnFormula>IFERROR(IF(ISBLANK([1]DFsmonkeyCompl!W3),"",[1]DFsmonkeyCompl!W3*DFanalysis[[#This Row],[EUR]]),"")</calculatedColumnFormula>
    </tableColumn>
    <tableColumn id="13" xr3:uid="{62783DDA-3879-4A55-A5E8-2E37960EE266}" name="Europe" dataDxfId="262" totalsRowDxfId="261">
      <calculatedColumnFormula>IFERROR(IF(ISBLANK([1]DFsmonkeyCompl!X3),"",[1]DFsmonkeyCompl!X3*DFanalysis[[#This Row],[EUR]]),"")</calculatedColumnFormula>
    </tableColumn>
    <tableColumn id="14" xr3:uid="{99AE2536-64D4-4C85-8520-C7BB41534FA3}" name="APAC" dataDxfId="260" totalsRowDxfId="259">
      <calculatedColumnFormula>IFERROR(IF(ISBLANK([1]DFsmonkeyCompl!Y3),"",[1]DFsmonkeyCompl!Y3*DFanalysis[[#This Row],[EUR]]),"")</calculatedColumnFormula>
    </tableColumn>
    <tableColumn id="15" xr3:uid="{0B252736-1C8B-45C2-9BE7-203B9E66F90A}" name="NorthAmerica" dataDxfId="258" totalsRowDxfId="257">
      <calculatedColumnFormula>IFERROR(IF(ISBLANK([1]DFsmonkeyCompl!Z3),"",[1]DFsmonkeyCompl!Z3*DFanalysis[[#This Row],[EUR]]),"")</calculatedColumnFormula>
    </tableColumn>
    <tableColumn id="16" xr3:uid="{8EDAB2DE-7B73-4BBC-BBE7-096472F07AAE}" name="SouthAmerica" dataDxfId="256" totalsRowDxfId="255">
      <calculatedColumnFormula>IFERROR(IF(ISBLANK([1]DFsmonkeyCompl!AA3),"",[1]DFsmonkeyCompl!AA3*DFanalysis[[#This Row],[EUR]]),"")</calculatedColumnFormula>
    </tableColumn>
    <tableColumn id="17" xr3:uid="{59CE32C1-5E5F-4776-BBD0-7211FEC654DF}" name="Africa" dataDxfId="254" totalsRowDxfId="253">
      <calculatedColumnFormula>IFERROR(IF(ISBLANK([1]DFsmonkeyCompl!AB3),"",[1]DFsmonkeyCompl!AB3*DFanalysis[[#This Row],[EUR]]),"")</calculatedColumnFormula>
    </tableColumn>
    <tableColumn id="18" xr3:uid="{ECA5C3C9-3EC4-436E-921C-A14466BDED85}" name="PlacementAgent" dataDxfId="252" totalsRowDxfId="251">
      <calculatedColumnFormula>IF(ISBLANK([1]DFsmonkeyCompl!AC3),"",[1]DFsmonkeyCompl!AC3)</calculatedColumnFormula>
    </tableColumn>
    <tableColumn id="19" xr3:uid="{359628E1-6176-4EEF-90F0-F4FE6A75E7F9}" name="InvestorsContacting" dataDxfId="250" totalsRowDxfId="249">
      <calculatedColumnFormula>IF(ISBLANK([1]DFsmonkeyCompl!AD3),"",[1]DFsmonkeyCompl!AD3)</calculatedColumnFormula>
    </tableColumn>
    <tableColumn id="20" xr3:uid="{D5C2DD2A-76F7-4F8C-A7F7-BBA71DFDFDC7}" name="OwnRelationship" dataDxfId="248" totalsRowDxfId="247">
      <calculatedColumnFormula>IF(ISBLANK([1]DFsmonkeyCompl!AE3),"",[1]DFsmonkeyCompl!AE3)</calculatedColumnFormula>
    </tableColumn>
    <tableColumn id="21" xr3:uid="{5E2A74EA-3B6B-4D7F-87BF-D52E0E9B7B25}" name="Other2" dataDxfId="246" totalsRowDxfId="245">
      <calculatedColumnFormula>IF(ISBLANK([1]DFsmonkeyCompl!AF3),"",[1]DFsmonkeyCompl!AF3)</calculatedColumnFormula>
    </tableColumn>
    <tableColumn id="22" xr3:uid="{9F7890B6-DC5C-493C-A83D-C95380FE4A16}" name="Expectations" dataDxfId="244" totalsRowDxfId="243">
      <calculatedColumnFormula>IF(ISBLANK([1]DFsmonkeyCompl!AG3),"",[1]DFsmonkeyCompl!AG3)</calculatedColumnFormula>
    </tableColumn>
    <tableColumn id="23" xr3:uid="{0E11437A-9A07-4004-BA45-DF49562A9E40}" name="Name" dataDxfId="242" totalsRowDxfId="241">
      <calculatedColumnFormula>IF(ISBLANK([1]DFsmonkeyCompl!AH3),"",[1]DFsmonkeyCompl!AH3)</calculatedColumnFormula>
    </tableColumn>
  </tableColumns>
  <tableStyleInfo name="INREV Data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D63FBB-B66C-411A-801B-284821A84D1A}" name="DFanalysis4" displayName="DFanalysis4" ref="B1:AH20" totalsRowShown="0" headerRowDxfId="240" totalsRowDxfId="239">
  <autoFilter ref="B1:AH20" xr:uid="{40D31558-259F-4A72-8707-812D61F2D68C}"/>
  <tableColumns count="33">
    <tableColumn id="1" xr3:uid="{53B74E38-3BED-4AF8-9F5C-8769BB06FB76}" name="Vehicle Name" dataDxfId="238" totalsRowDxfId="237">
      <calculatedColumnFormula>IF(OR(ISTEXT([2]DFsmonkeyCompl!K3),ISNUMBER([2]DFsmonkeyCompl!K3)),[2]DFsmonkeyCompl!K3,"")</calculatedColumnFormula>
    </tableColumn>
    <tableColumn id="25" xr3:uid="{9DD88099-A106-48F0-99FC-B37677A40525}" name="ID" dataDxfId="236" totalsRowDxfId="235"/>
    <tableColumn id="24" xr3:uid="{508A66BB-76FD-46C7-BAE5-35A491050E7D}" name="Loan Strategy" dataDxfId="234" totalsRowDxfId="233">
      <calculatedColumnFormula>INDEX([2]DebtFundUniverse!$B$2:$EU$200,MATCH(DFanalysis4[[#This Row],[ID]],[2]DebtFundUniverse!$A$2:$A$200,0),MATCH(DFanalysis4[[#Headers],[Loan Strategy]],[2]DebtFundUniverse!$B$1:$EU$1,0))</calculatedColumnFormula>
    </tableColumn>
    <tableColumn id="29" xr3:uid="{C772F2F1-FE73-423D-9FB5-DCDA55862573}" name="Target Regional Strategy" dataDxfId="232" totalsRowDxfId="231">
      <calculatedColumnFormula>INDEX([2]DebtFundUniverse!$B$2:$EU$200,MATCH(DFanalysis4[[#This Row],[ID]],[2]DebtFundUniverse!$A$2:$A$200,0),MATCH(DFanalysis4[[#Headers],[Target Regional Strategy]],[2]DebtFundUniverse!$B$1:$EU$1,0))</calculatedColumnFormula>
    </tableColumn>
    <tableColumn id="30" xr3:uid="{FD4BC584-661E-473E-B7EF-0DAD4905D060}" name="Vehicle Structure" dataDxfId="230" totalsRowDxfId="229">
      <calculatedColumnFormula>INDEX([2]DebtFundUniverse!$B$2:$EU$200,MATCH(DFanalysis4[[#This Row],[ID]],[2]DebtFundUniverse!$A$2:$A$200,0),MATCH(DFanalysis4[[#Headers],[Vehicle Structure]],[2]DebtFundUniverse!$B$1:$EU$1,0))</calculatedColumnFormula>
    </tableColumn>
    <tableColumn id="28" xr3:uid="{752A5FE2-4A4E-47EA-8A28-5BD26263E64D}" name="year of first closing" dataDxfId="228" totalsRowDxfId="227">
      <calculatedColumnFormula>INDEX([2]DebtFundUniverse!$B$2:$EU$200,MATCH(DFanalysis4[[#This Row],[ID]],[2]DebtFundUniverse!$A$2:$A$200,0),MATCH(DFanalysis4[[#Headers],[year of first closing]],[2]DebtFundUniverse!$B$1:$EU$1,0))</calculatedColumnFormula>
    </tableColumn>
    <tableColumn id="2" xr3:uid="{BD56AD4F-4159-486C-A483-DD89BC2CDA5A}" name="RaisedCapital" dataDxfId="226" totalsRowDxfId="225">
      <calculatedColumnFormula>IF(ISBLANK([2]DFsmonkeyCompl!L3),"",[2]DFsmonkeyCompl!L3)</calculatedColumnFormula>
    </tableColumn>
    <tableColumn id="31" xr3:uid="{C44A5349-294E-4EEC-9632-FAA76CEA7957}" name="WhyNo" dataDxfId="224" totalsRowDxfId="223">
      <calculatedColumnFormula>IF(ISBLANK([2]DFsmonkeyCompl!M3),"",[2]DFsmonkeyCompl!M3)</calculatedColumnFormula>
    </tableColumn>
    <tableColumn id="3" xr3:uid="{9204F256-CD81-4A83-96B2-E69E029CE985}" name="Other (please specify)" dataDxfId="222" totalsRowDxfId="221">
      <calculatedColumnFormula>IF(ISBLANK([2]DFsmonkeyCompl!N3),"",[2]DFsmonkeyCompl!N3)</calculatedColumnFormula>
    </tableColumn>
    <tableColumn id="26" xr3:uid="{36230D85-6372-4257-822F-E1C81A8F5D1F}" name="Currency of Reporting" dataDxfId="220" totalsRowDxfId="219">
      <calculatedColumnFormula>INDEX([2]DebtFundUniverse!$B$2:$EU$200,MATCH(DFanalysis4[[#This Row],[ID]],[2]DebtFundUniverse!$A$2:$A$200,0),MATCH(DFanalysis4[[#Headers],[Currency of Reporting]],[2]DebtFundUniverse!$B$1:$EU$1,0))</calculatedColumnFormula>
    </tableColumn>
    <tableColumn id="27" xr3:uid="{796F293B-0AF4-450D-8AD5-D6DB1161040A}" name="EUR" dataDxfId="218" totalsRowDxfId="217">
      <calculatedColumnFormula>VLOOKUP(DFanalysis4[[#This Row],[Currency of Reporting]],'[2]Xrate31.12.20'!$K$1:$M$25,3,0)</calculatedColumnFormula>
    </tableColumn>
    <tableColumn id="34" xr3:uid="{7F4AA81F-FA6A-414B-86E4-84EAB479C48D}" name="TotalAmountRaised" dataDxfId="216" totalsRowDxfId="215">
      <calculatedColumnFormula>IFERROR(IF(ISBLANK([2]DFsmonkeyCompl!O3),"",[2]DFsmonkeyCompl!O3*DFanalysis4[[#This Row],[EUR]]),"")</calculatedColumnFormula>
    </tableColumn>
    <tableColumn id="5" xr3:uid="{916E1F86-3E7A-4788-A400-5AAE7F4D9A1F}" name="PensionFunds" dataDxfId="214" totalsRowDxfId="213">
      <calculatedColumnFormula>IFERROR(IF(ISBLANK([2]DFsmonkeyCompl!P3),"",[2]DFsmonkeyCompl!P3*DFanalysis4[[#This Row],[EUR]]),"")</calculatedColumnFormula>
    </tableColumn>
    <tableColumn id="6" xr3:uid="{8CD381BC-8930-4059-9286-EDF661FB2242}" name="InsuranceCompanies" dataDxfId="212" totalsRowDxfId="211">
      <calculatedColumnFormula>IFERROR(IF(ISBLANK([2]DFsmonkeyCompl!Q3),"",[2]DFsmonkeyCompl!Q3*DFanalysis4[[#This Row],[EUR]]),"")</calculatedColumnFormula>
    </tableColumn>
    <tableColumn id="7" xr3:uid="{1D962658-E5E2-4DAF-A682-C365BE9CB422}" name="SWFs" dataDxfId="210" totalsRowDxfId="209">
      <calculatedColumnFormula>IFERROR(IF(ISBLANK([2]DFsmonkeyCompl!R3),"",[2]DFsmonkeyCompl!R3*DFanalysis4[[#This Row],[EUR]]),"")</calculatedColumnFormula>
    </tableColumn>
    <tableColumn id="8" xr3:uid="{0798CB4A-9BD9-42ED-BD8F-758BA46F9D90}" name="Government" dataDxfId="208" totalsRowDxfId="207">
      <calculatedColumnFormula>IFERROR(IF(ISBLANK([2]DFsmonkeyCompl!S3),"",[2]DFsmonkeyCompl!S3*DFanalysis4[[#This Row],[EUR]]),"")</calculatedColumnFormula>
    </tableColumn>
    <tableColumn id="9" xr3:uid="{F9E506ED-1CFF-4228-A4D4-16454D40A236}" name="Charities" dataDxfId="206" totalsRowDxfId="205">
      <calculatedColumnFormula>IFERROR(IF(ISBLANK([2]DFsmonkeyCompl!T3),"",[2]DFsmonkeyCompl!T3*DFanalysis4[[#This Row],[EUR]]),"")</calculatedColumnFormula>
    </tableColumn>
    <tableColumn id="10" xr3:uid="{2BD3466B-30CE-4F13-AA45-EC72EE7A857A}" name="FundOfFunds" dataDxfId="204" totalsRowDxfId="203">
      <calculatedColumnFormula>IFERROR(IF(ISBLANK([2]DFsmonkeyCompl!U3),"",[2]DFsmonkeyCompl!U3*DFanalysis4[[#This Row],[EUR]]),"")</calculatedColumnFormula>
    </tableColumn>
    <tableColumn id="11" xr3:uid="{319DA20F-9549-4D65-9B07-EA1256AF6AF6}" name="HNWI" dataDxfId="202" totalsRowDxfId="201">
      <calculatedColumnFormula>IFERROR(IF(ISBLANK([2]DFsmonkeyCompl!V3),"",[2]DFsmonkeyCompl!V3*DFanalysis4[[#This Row],[EUR]]),"")</calculatedColumnFormula>
    </tableColumn>
    <tableColumn id="12" xr3:uid="{05DAA148-6E64-42EA-9AA5-C8B13D466F32}" name="Other" dataDxfId="200" totalsRowDxfId="199">
      <calculatedColumnFormula>IFERROR(IF(ISBLANK([2]DFsmonkeyCompl!W3),"",[2]DFsmonkeyCompl!W3*DFanalysis4[[#This Row],[EUR]]),"")</calculatedColumnFormula>
    </tableColumn>
    <tableColumn id="13" xr3:uid="{7242E627-635A-4E7D-B630-0D2AB5F47F53}" name="Europe" dataDxfId="198" totalsRowDxfId="197">
      <calculatedColumnFormula>IFERROR(IF(ISBLANK([2]DFsmonkeyCompl!X3),"",[2]DFsmonkeyCompl!X3*DFanalysis4[[#This Row],[EUR]]),"")</calculatedColumnFormula>
    </tableColumn>
    <tableColumn id="14" xr3:uid="{4CAC8E42-D6A8-4D20-BAF7-987D3E7F9A54}" name="APAC" dataDxfId="196" totalsRowDxfId="195">
      <calculatedColumnFormula>IFERROR(IF(ISBLANK([2]DFsmonkeyCompl!Y3),"",[2]DFsmonkeyCompl!Y3*DFanalysis4[[#This Row],[EUR]]),"")</calculatedColumnFormula>
    </tableColumn>
    <tableColumn id="15" xr3:uid="{46E36863-DC0F-400D-9860-7F94C5879951}" name="NorthAmerica" dataDxfId="194" totalsRowDxfId="193">
      <calculatedColumnFormula>IFERROR(IF(ISBLANK([2]DFsmonkeyCompl!Z3),"",[2]DFsmonkeyCompl!Z3*DFanalysis4[[#This Row],[EUR]]),"")</calculatedColumnFormula>
    </tableColumn>
    <tableColumn id="16" xr3:uid="{B00F3A05-7E82-41F0-9A45-07DF64826BE9}" name="SouthAmerica" dataDxfId="192" totalsRowDxfId="191">
      <calculatedColumnFormula>IFERROR(IF(ISBLANK([2]DFsmonkeyCompl!AA3),"",[2]DFsmonkeyCompl!AA3*DFanalysis4[[#This Row],[EUR]]),"")</calculatedColumnFormula>
    </tableColumn>
    <tableColumn id="17" xr3:uid="{504D727C-6BFC-428E-BAE0-493E18C6B9AE}" name="Africa" dataDxfId="190" totalsRowDxfId="189">
      <calculatedColumnFormula>IFERROR(IF(ISBLANK([2]DFsmonkeyCompl!AB3),"",[2]DFsmonkeyCompl!AB3*DFanalysis4[[#This Row],[EUR]]),"")</calculatedColumnFormula>
    </tableColumn>
    <tableColumn id="18" xr3:uid="{E1BC88FC-E1F1-4C9D-9D3B-20856E7D3B8C}" name="PlacementAgent" dataDxfId="188" totalsRowDxfId="187">
      <calculatedColumnFormula>IF(ISBLANK([2]DFsmonkeyCompl!AC3),"",[2]DFsmonkeyCompl!AC3)</calculatedColumnFormula>
    </tableColumn>
    <tableColumn id="19" xr3:uid="{9908A50E-CC92-498E-8736-C09A358B4F43}" name="InvestorsContacting" dataDxfId="186" totalsRowDxfId="185">
      <calculatedColumnFormula>IF(ISBLANK([2]DFsmonkeyCompl!AD3),"",[2]DFsmonkeyCompl!AD3)</calculatedColumnFormula>
    </tableColumn>
    <tableColumn id="20" xr3:uid="{D7F8786A-E094-4EB0-8592-0E1FB3744737}" name="OwnRelationship" dataDxfId="184" totalsRowDxfId="183">
      <calculatedColumnFormula>IF(ISBLANK([2]DFsmonkeyCompl!AE3),"",[2]DFsmonkeyCompl!AE3)</calculatedColumnFormula>
    </tableColumn>
    <tableColumn id="21" xr3:uid="{385C711A-6507-4535-8C11-A2D692A075A0}" name="Other2" dataDxfId="182" totalsRowDxfId="181">
      <calculatedColumnFormula>IF(ISBLANK([2]DFsmonkeyCompl!AF3),"",[2]DFsmonkeyCompl!AF3)</calculatedColumnFormula>
    </tableColumn>
    <tableColumn id="22" xr3:uid="{1A09D08A-36D2-4E05-9EAE-05F9FE03CDFB}" name="Expectations" dataDxfId="180" totalsRowDxfId="179">
      <calculatedColumnFormula>IF(ISBLANK([2]DFsmonkeyCompl!AG3),"",[2]DFsmonkeyCompl!AG3)</calculatedColumnFormula>
    </tableColumn>
    <tableColumn id="23" xr3:uid="{9201F036-1617-4C19-BF3F-770C04313E03}" name="Name" dataDxfId="178" totalsRowDxfId="177">
      <calculatedColumnFormula>IF(ISBLANK([2]DFsmonkeyCompl!AH3),"",[2]DFsmonkeyCompl!AH3)</calculatedColumnFormula>
    </tableColumn>
    <tableColumn id="4" xr3:uid="{684ECFB3-6DEE-4EFD-891A-C7C657C1F6C3}" name="Target Equity" dataDxfId="176" totalsRowDxfId="175">
      <calculatedColumnFormula>IFERROR(INDEX([2]DebtFundUniverse!$B$2:$EU$700,MATCH($C2,[2]DebtFundUniverse!$A$2:$A$700,0),MATCH($AG$1,[2]DebtFundUniverse!$B$1:$EU$1,0)),"")</calculatedColumnFormula>
    </tableColumn>
    <tableColumn id="32" xr3:uid="{5EC1A50B-9C1E-4502-A99D-0B8A5505118B}" name="Target Gross Assets Value" dataDxfId="174" totalsRowDxfId="173">
      <calculatedColumnFormula>IFERROR(INDEX([2]DebtFundUniverse!$B$2:$EU$700,MATCH($C2,[2]DebtFundUniverse!$A$2:$A$700,0),MATCH($AH$1,[2]DebtFundUniverse!$B$1:$EU$1,0)),"")</calculatedColumnFormula>
    </tableColumn>
  </tableColumns>
  <tableStyleInfo name="INREV Data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D8F2DA-BFB2-4F9A-A399-40DDEFFE17BD}" name="DFanalysis6" displayName="DFanalysis6" ref="B1:AH20" totalsRowShown="0" headerRowDxfId="172" totalsRowDxfId="171">
  <autoFilter ref="B1:AH20" xr:uid="{00000000-0009-0000-0100-000001000000}"/>
  <tableColumns count="33">
    <tableColumn id="1" xr3:uid="{8040BD2D-16E0-450A-882E-0FB73CC9A4EA}" name="Vehicle Name" dataDxfId="170" totalsRowDxfId="169">
      <calculatedColumnFormula>IF(OR(ISTEXT([2]DFsmonkeyCompl!K3),ISNUMBER([2]DFsmonkeyCompl!K3)),[2]DFsmonkeyCompl!K3,"")</calculatedColumnFormula>
    </tableColumn>
    <tableColumn id="25" xr3:uid="{970DFD5B-5F0C-4624-AFC7-F7B89E602F53}" name="ID" dataDxfId="168" totalsRowDxfId="167"/>
    <tableColumn id="24" xr3:uid="{D94AF62A-7321-43FA-B4A3-2E5D0DCEF29C}" name="Loan Strategy" dataDxfId="166" totalsRowDxfId="165">
      <calculatedColumnFormula>INDEX([2]DebtFundUniverse!$B$2:$EU$200,MATCH(DFanalysis6[[#This Row],[ID]],[2]DebtFundUniverse!$A$2:$A$200,0),MATCH(DFanalysis6[[#Headers],[Loan Strategy]],[2]DebtFundUniverse!$B$1:$EU$1,0))</calculatedColumnFormula>
    </tableColumn>
    <tableColumn id="29" xr3:uid="{03EE2B1C-5B85-44C6-8606-1E7D0AB2E619}" name="Target Regional Strategy" dataDxfId="164" totalsRowDxfId="163">
      <calculatedColumnFormula>INDEX([2]DebtFundUniverse!$B$2:$EU$200,MATCH(DFanalysis6[[#This Row],[ID]],[2]DebtFundUniverse!$A$2:$A$200,0),MATCH(DFanalysis6[[#Headers],[Target Regional Strategy]],[2]DebtFundUniverse!$B$1:$EU$1,0))</calculatedColumnFormula>
    </tableColumn>
    <tableColumn id="30" xr3:uid="{BE147EFD-FA3B-41D1-B2C9-2A99AF09D86B}" name="Vehicle Structure" dataDxfId="162" totalsRowDxfId="161">
      <calculatedColumnFormula>INDEX([2]DebtFundUniverse!$B$2:$EU$200,MATCH(DFanalysis6[[#This Row],[ID]],[2]DebtFundUniverse!$A$2:$A$200,0),MATCH(DFanalysis6[[#Headers],[Vehicle Structure]],[2]DebtFundUniverse!$B$1:$EU$1,0))</calculatedColumnFormula>
    </tableColumn>
    <tableColumn id="28" xr3:uid="{72B683B8-938E-4411-A9B4-2D3643A832A0}" name="year of first closing" dataDxfId="160" totalsRowDxfId="159">
      <calculatedColumnFormula>INDEX([2]DebtFundUniverse!$B$2:$EU$200,MATCH(DFanalysis6[[#This Row],[ID]],[2]DebtFundUniverse!$A$2:$A$200,0),MATCH(DFanalysis6[[#Headers],[year of first closing]],[2]DebtFundUniverse!$B$1:$EU$1,0))</calculatedColumnFormula>
    </tableColumn>
    <tableColumn id="2" xr3:uid="{F235454F-8F4D-49BE-AA59-25F8CE6A139D}" name="RaisedCapital" dataDxfId="158" totalsRowDxfId="157">
      <calculatedColumnFormula>IF(ISBLANK([2]DFsmonkeyCompl!L3),"",[2]DFsmonkeyCompl!L3)</calculatedColumnFormula>
    </tableColumn>
    <tableColumn id="31" xr3:uid="{928C843C-1D97-4372-A045-586659EB4F3B}" name="WhyNo" dataDxfId="156" totalsRowDxfId="155">
      <calculatedColumnFormula>IF(ISBLANK([2]DFsmonkeyCompl!M3),"",[2]DFsmonkeyCompl!M3)</calculatedColumnFormula>
    </tableColumn>
    <tableColumn id="3" xr3:uid="{52CA7BA9-8C63-4DD7-A197-70EC269E0E71}" name="Other (please specify)" dataDxfId="154" totalsRowDxfId="153">
      <calculatedColumnFormula>IF(ISBLANK([2]DFsmonkeyCompl!N3),"",[2]DFsmonkeyCompl!N3)</calculatedColumnFormula>
    </tableColumn>
    <tableColumn id="26" xr3:uid="{A447CAF3-A394-4E3B-BD3E-AFF7248B3129}" name="Currency of Reporting" dataDxfId="152" totalsRowDxfId="151">
      <calculatedColumnFormula>INDEX([2]DebtFundUniverse!$B$2:$EU$200,MATCH(DFanalysis6[[#This Row],[ID]],[2]DebtFundUniverse!$A$2:$A$200,0),MATCH(DFanalysis6[[#Headers],[Currency of Reporting]],[2]DebtFundUniverse!$B$1:$EU$1,0))</calculatedColumnFormula>
    </tableColumn>
    <tableColumn id="27" xr3:uid="{F7DA9D49-A889-4673-BC52-D3A32E087B11}" name="EUR" dataDxfId="150" totalsRowDxfId="149">
      <calculatedColumnFormula>VLOOKUP(DFanalysis6[[#This Row],[Currency of Reporting]],'[2]Xrate31.12.20'!$K$1:$M$25,3,0)</calculatedColumnFormula>
    </tableColumn>
    <tableColumn id="34" xr3:uid="{1E4137C3-22D5-4A7A-A61F-F5860F70F8B0}" name="TotalAmountRaised" dataDxfId="148" totalsRowDxfId="147">
      <calculatedColumnFormula>IFERROR(IF(ISBLANK([2]DFsmonkeyCompl!O3),"",[2]DFsmonkeyCompl!O3*DFanalysis6[[#This Row],[EUR]]),"")</calculatedColumnFormula>
    </tableColumn>
    <tableColumn id="5" xr3:uid="{F7A054CC-68D4-4805-83BA-EFDA1B6AAD37}" name="PensionFunds" dataDxfId="146" totalsRowDxfId="145">
      <calculatedColumnFormula>IFERROR(IF(ISBLANK([2]DFsmonkeyCompl!P3),"",[2]DFsmonkeyCompl!P3*DFanalysis6[[#This Row],[EUR]]),"")</calculatedColumnFormula>
    </tableColumn>
    <tableColumn id="6" xr3:uid="{1A09B58E-98E2-4CA7-A6A6-1E23BFB3775C}" name="InsuranceCompanies" dataDxfId="144" totalsRowDxfId="143">
      <calculatedColumnFormula>IFERROR(IF(ISBLANK([2]DFsmonkeyCompl!Q3),"",[2]DFsmonkeyCompl!Q3*DFanalysis6[[#This Row],[EUR]]),"")</calculatedColumnFormula>
    </tableColumn>
    <tableColumn id="7" xr3:uid="{D06AA2A4-42B9-4D2A-BE3D-85987E3CD753}" name="SWFs" dataDxfId="142" totalsRowDxfId="141">
      <calculatedColumnFormula>IFERROR(IF(ISBLANK([2]DFsmonkeyCompl!R3),"",[2]DFsmonkeyCompl!R3*DFanalysis6[[#This Row],[EUR]]),"")</calculatedColumnFormula>
    </tableColumn>
    <tableColumn id="8" xr3:uid="{37487B0F-941A-4E85-AD15-829B1F41B199}" name="Government" dataDxfId="140" totalsRowDxfId="139">
      <calculatedColumnFormula>IFERROR(IF(ISBLANK([2]DFsmonkeyCompl!S3),"",[2]DFsmonkeyCompl!S3*DFanalysis6[[#This Row],[EUR]]),"")</calculatedColumnFormula>
    </tableColumn>
    <tableColumn id="9" xr3:uid="{1A6F3E07-3BA1-42F2-8366-C765E45E3AFB}" name="Charities" dataDxfId="138" totalsRowDxfId="137">
      <calculatedColumnFormula>IFERROR(IF(ISBLANK([2]DFsmonkeyCompl!T3),"",[2]DFsmonkeyCompl!T3*DFanalysis6[[#This Row],[EUR]]),"")</calculatedColumnFormula>
    </tableColumn>
    <tableColumn id="10" xr3:uid="{A2A0E0C6-5F3B-4C6D-9DBC-79F742C99A7E}" name="FundOfFunds" dataDxfId="136" totalsRowDxfId="135">
      <calculatedColumnFormula>IFERROR(IF(ISBLANK([2]DFsmonkeyCompl!U3),"",[2]DFsmonkeyCompl!U3*DFanalysis6[[#This Row],[EUR]]),"")</calculatedColumnFormula>
    </tableColumn>
    <tableColumn id="11" xr3:uid="{BBB2FFA1-EDAA-43FC-A3E2-994E8AD9DF31}" name="HNWI" dataDxfId="134" totalsRowDxfId="133">
      <calculatedColumnFormula>IFERROR(IF(ISBLANK([2]DFsmonkeyCompl!V3),"",[2]DFsmonkeyCompl!V3*DFanalysis6[[#This Row],[EUR]]),"")</calculatedColumnFormula>
    </tableColumn>
    <tableColumn id="12" xr3:uid="{FC52DAD1-4396-4CA4-B348-8A0DA7B7CCE6}" name="Other" dataDxfId="132" totalsRowDxfId="131">
      <calculatedColumnFormula>IFERROR(IF(ISBLANK([2]DFsmonkeyCompl!W3),"",[2]DFsmonkeyCompl!W3*DFanalysis6[[#This Row],[EUR]]),"")</calculatedColumnFormula>
    </tableColumn>
    <tableColumn id="13" xr3:uid="{CCB73B3B-E802-498E-89E8-6A0E3B5E4130}" name="Europe" dataDxfId="130" totalsRowDxfId="129">
      <calculatedColumnFormula>IFERROR(IF(ISBLANK([2]DFsmonkeyCompl!X3),"",[2]DFsmonkeyCompl!X3*DFanalysis6[[#This Row],[EUR]]),"")</calculatedColumnFormula>
    </tableColumn>
    <tableColumn id="14" xr3:uid="{67FF7A1F-5BD5-48B1-8269-1961257D4EC2}" name="APAC" dataDxfId="128" totalsRowDxfId="127">
      <calculatedColumnFormula>IFERROR(IF(ISBLANK([2]DFsmonkeyCompl!Y3),"",[2]DFsmonkeyCompl!Y3*DFanalysis6[[#This Row],[EUR]]),"")</calculatedColumnFormula>
    </tableColumn>
    <tableColumn id="15" xr3:uid="{1E8AA189-A116-4890-BC38-F760C6F01C38}" name="NorthAmerica" dataDxfId="126" totalsRowDxfId="125">
      <calculatedColumnFormula>IFERROR(IF(ISBLANK([2]DFsmonkeyCompl!Z3),"",[2]DFsmonkeyCompl!Z3*DFanalysis6[[#This Row],[EUR]]),"")</calculatedColumnFormula>
    </tableColumn>
    <tableColumn id="16" xr3:uid="{2FB9B6D4-FC5C-4145-AAD4-F1392618CBAD}" name="SouthAmerica" dataDxfId="124" totalsRowDxfId="123">
      <calculatedColumnFormula>IFERROR(IF(ISBLANK([2]DFsmonkeyCompl!AA3),"",[2]DFsmonkeyCompl!AA3*DFanalysis6[[#This Row],[EUR]]),"")</calculatedColumnFormula>
    </tableColumn>
    <tableColumn id="17" xr3:uid="{9498C602-449B-47A3-BA10-45EB1F34251E}" name="Africa" dataDxfId="122" totalsRowDxfId="121">
      <calculatedColumnFormula>IFERROR(IF(ISBLANK([2]DFsmonkeyCompl!AB3),"",[2]DFsmonkeyCompl!AB3*DFanalysis6[[#This Row],[EUR]]),"")</calculatedColumnFormula>
    </tableColumn>
    <tableColumn id="18" xr3:uid="{65601FC5-0D5E-4089-9E38-3A894AD21F1F}" name="PlacementAgent" dataDxfId="120" totalsRowDxfId="119">
      <calculatedColumnFormula>IF(ISBLANK([2]DFsmonkeyCompl!AC3),"",[2]DFsmonkeyCompl!AC3)</calculatedColumnFormula>
    </tableColumn>
    <tableColumn id="19" xr3:uid="{368DDD71-B13F-40E7-9D05-EC213882169F}" name="InvestorsContacting" dataDxfId="118" totalsRowDxfId="117">
      <calculatedColumnFormula>IF(ISBLANK([2]DFsmonkeyCompl!AD3),"",[2]DFsmonkeyCompl!AD3)</calculatedColumnFormula>
    </tableColumn>
    <tableColumn id="20" xr3:uid="{CC8D462C-48F7-4EC4-A663-29907DEB4888}" name="OwnRelationship" dataDxfId="116" totalsRowDxfId="115">
      <calculatedColumnFormula>IF(ISBLANK([2]DFsmonkeyCompl!AE3),"",[2]DFsmonkeyCompl!AE3)</calculatedColumnFormula>
    </tableColumn>
    <tableColumn id="21" xr3:uid="{FCB1D4CF-47BC-4262-87D6-1A3FB99BFC45}" name="Other2" dataDxfId="114" totalsRowDxfId="113">
      <calculatedColumnFormula>IF(ISBLANK([2]DFsmonkeyCompl!AF3),"",[2]DFsmonkeyCompl!AF3)</calculatedColumnFormula>
    </tableColumn>
    <tableColumn id="22" xr3:uid="{B168A55D-1D09-4C15-9C90-F09FB46606C3}" name="Expectations" dataDxfId="112" totalsRowDxfId="111">
      <calculatedColumnFormula>IF(ISBLANK([2]DFsmonkeyCompl!AG3),"",[2]DFsmonkeyCompl!AG3)</calculatedColumnFormula>
    </tableColumn>
    <tableColumn id="23" xr3:uid="{D86C8AD5-FB5E-45A2-AEF0-AC859AD26AD4}" name="Name" dataDxfId="110" totalsRowDxfId="109">
      <calculatedColumnFormula>IF(ISBLANK([2]DFsmonkeyCompl!AH3),"",[2]DFsmonkeyCompl!AH3)</calculatedColumnFormula>
    </tableColumn>
    <tableColumn id="4" xr3:uid="{B16B70DE-6369-4DAA-81FC-434981E663CC}" name="Target Equity" dataDxfId="108" totalsRowDxfId="107">
      <calculatedColumnFormula>IFERROR(INDEX([2]DebtFundUniverse!$B$2:$EU$700,MATCH($C2,[2]DebtFundUniverse!$A$2:$A$700,0),MATCH($AG$1,[2]DebtFundUniverse!$B$1:$EU$1,0)),"")</calculatedColumnFormula>
    </tableColumn>
    <tableColumn id="32" xr3:uid="{C8985BB8-1B28-433F-8F32-6EE4C4D787D9}" name="Target Gross Assets Value" dataDxfId="106" totalsRowDxfId="105">
      <calculatedColumnFormula>IFERROR(INDEX([2]DebtFundUniverse!$B$2:$EU$700,MATCH($C2,[2]DebtFundUniverse!$A$2:$A$700,0),MATCH($AH$1,[2]DebtFundUniverse!$B$1:$EU$1,0)),"")</calculatedColumnFormula>
    </tableColumn>
  </tableColumns>
  <tableStyleInfo name="INREV Data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133F2D-3471-4A95-864B-8D5856278B69}" name="FoFanalysis7" displayName="FoFanalysis7" ref="B1:AF57" totalsRowShown="0" headerRowDxfId="104">
  <autoFilter ref="B1:AF57" xr:uid="{00000000-0009-0000-0100-000002000000}"/>
  <tableColumns count="31">
    <tableColumn id="1" xr3:uid="{DB8BD411-20C9-4F39-9AE7-DA092E625706}" name="VehicleID" dataDxfId="103" totalsRowDxfId="102">
      <calculatedColumnFormula>IF(OR(ISTEXT([2]FoFsmonkeyCompl!#REF!),ISNUMBER([2]FoFsmonkeyCompl!#REF!)),[2]FoFsmonkeyCompl!#REF!,"")</calculatedColumnFormula>
    </tableColumn>
    <tableColumn id="25" xr3:uid="{911891BF-45F5-4895-AD63-5D9BA0D852B3}" name="ID" dataDxfId="101" totalsRowDxfId="100"/>
    <tableColumn id="24" xr3:uid="{AC4E4E68-8088-4022-A65E-E0F5A259050A}" name="Manager Defined Style" dataDxfId="99" totalsRowDxfId="98">
      <calculatedColumnFormula>IFERROR(INDEX([2]FundOfFundsUniverse!$B$2:$EU$80,MATCH(FoFanalysis7[[#This Row],[ID]],[2]FundOfFundsUniverse!$A$2:$A$80,0),MATCH(FoFanalysis7[[#Headers],[Manager Defined Style]],[2]FundOfFundsUniverse!$B$1:$EU$1,0)),"")</calculatedColumnFormula>
    </tableColumn>
    <tableColumn id="28" xr3:uid="{96C42630-7678-4BF5-865B-22C84D49455A}" name="Vehicle Structure" dataDxfId="97" totalsRowDxfId="96">
      <calculatedColumnFormula>IFERROR(INDEX([2]FundOfFundsUniverse!$B$2:$EU$80,MATCH(FoFanalysis7[[#This Row],[ID]],[2]FundOfFundsUniverse!$A$2:$A$80,0),MATCH(FoFanalysis7[[#Headers],[Vehicle Structure]],[2]FundOfFundsUniverse!$B$1:$EU$1,0)),"")</calculatedColumnFormula>
    </tableColumn>
    <tableColumn id="29" xr3:uid="{DFFE46CA-458D-4804-8C30-4B66316D2C1E}" name="Year of first closing" dataDxfId="95" totalsRowDxfId="94">
      <calculatedColumnFormula>IFERROR(INDEX([2]FundOfFundsUniverse!$B$2:$EU$80,MATCH(FoFanalysis7[[#This Row],[ID]],[2]FundOfFundsUniverse!$A$2:$A$80,0),MATCH(FoFanalysis7[[#Headers],[Year of first closing]],[2]FundOfFundsUniverse!$B$1:$EU$1,0)),"")</calculatedColumnFormula>
    </tableColumn>
    <tableColumn id="2" xr3:uid="{24890D84-FBE6-4E7B-BEC1-A891AF8DF88C}" name="RaisedCapital" dataDxfId="93" totalsRowDxfId="92">
      <calculatedColumnFormula>IF(ISBLANK([2]FoFsmonkeyCompl!#REF!),"",[2]FoFsmonkeyCompl!#REF!)</calculatedColumnFormula>
    </tableColumn>
    <tableColumn id="3" xr3:uid="{9BBCBE1E-92B5-4679-AF0D-74D2DF2CA635}" name="WhyNo" dataDxfId="91" totalsRowDxfId="90">
      <calculatedColumnFormula>IF(ISBLANK([2]FoFsmonkeyCompl!#REF!),"",[2]FoFsmonkeyCompl!#REF!)</calculatedColumnFormula>
    </tableColumn>
    <tableColumn id="30" xr3:uid="{4042A26F-DEF3-4A9F-BF85-E0BF981C5573}" name="Other" dataDxfId="89" totalsRowDxfId="88">
      <calculatedColumnFormula>IF(ISBLANK([2]FoFsmonkeyCompl!#REF!),"",[2]FoFsmonkeyCompl!#REF!)</calculatedColumnFormula>
    </tableColumn>
    <tableColumn id="26" xr3:uid="{01AF9D35-57BA-4984-B719-42A03E6CACC3}" name="Currency of Reporting" dataDxfId="87">
      <calculatedColumnFormula>IFERROR(INDEX([2]FundOfFundsUniverse!$B$2:$EU$80,MATCH(FoFanalysis7[[#This Row],[ID]],[2]FundOfFundsUniverse!$A$2:$A$80,0),MATCH(FoFanalysis7[[#Headers],[Currency of Reporting]],[2]FundOfFundsUniverse!$B$1:$EU$1,0)),"")</calculatedColumnFormula>
    </tableColumn>
    <tableColumn id="27" xr3:uid="{1E863FB7-8DB5-4C30-B0E3-FA5F77F13C2B}" name="EUR" dataDxfId="86">
      <calculatedColumnFormula>IFERROR(VLOOKUP(FoFanalysis7[[#This Row],[Currency of Reporting]],'[2]Xrate31.12.20'!$F$5:$H$28,3,0),"")</calculatedColumnFormula>
    </tableColumn>
    <tableColumn id="4" xr3:uid="{9BF5FE9D-2030-45D4-9194-A6740D5884FB}" name="CapitalRaised" dataDxfId="85" totalsRowDxfId="84">
      <calculatedColumnFormula>IFERROR(IF(ISBLANK([2]FoFsmonkeyCompl!#REF!),"",[2]FoFsmonkeyCompl!#REF!*FoFanalysis7[[#This Row],[EUR]]),"")</calculatedColumnFormula>
    </tableColumn>
    <tableColumn id="5" xr3:uid="{E80A202D-233D-47DF-867D-F352001596C8}" name="PensionFunds">
      <calculatedColumnFormula>IFERROR(IF(ISBLANK([2]FoFsmonkeyCompl!#REF!),"",[2]FoFsmonkeyCompl!#REF!*FoFanalysis7[[#This Row],[EUR]]),"")</calculatedColumnFormula>
    </tableColumn>
    <tableColumn id="6" xr3:uid="{D8F7C79F-B766-4F29-BFD9-23A9583DBF6D}" name="InsuranceCompanies" dataDxfId="83" totalsRowDxfId="82">
      <calculatedColumnFormula>IFERROR(IF(ISBLANK([2]FoFsmonkeyCompl!#REF!),"",[2]FoFsmonkeyCompl!#REF!*FoFanalysis7[[#This Row],[EUR]]),"")</calculatedColumnFormula>
    </tableColumn>
    <tableColumn id="7" xr3:uid="{FABF4F62-9321-4655-A288-36ABDE5788B5}" name="SWFs" dataDxfId="81" totalsRowDxfId="80">
      <calculatedColumnFormula>IFERROR(IF(ISBLANK([2]FoFsmonkeyCompl!#REF!),"",[2]FoFsmonkeyCompl!#REF!*FoFanalysis7[[#This Row],[EUR]]),"")</calculatedColumnFormula>
    </tableColumn>
    <tableColumn id="8" xr3:uid="{8EFC8EB1-6B40-4C5E-9F66-470CE8CBBEDF}" name="Government" dataDxfId="79" totalsRowDxfId="78">
      <calculatedColumnFormula>IFERROR(IF(ISBLANK([2]FoFsmonkeyCompl!#REF!),"",[2]FoFsmonkeyCompl!#REF!*FoFanalysis7[[#This Row],[EUR]]),"")</calculatedColumnFormula>
    </tableColumn>
    <tableColumn id="9" xr3:uid="{4105590D-FE0B-4E4A-B59B-3F9AF6C63A86}" name="Charities" dataDxfId="77" totalsRowDxfId="76">
      <calculatedColumnFormula>IFERROR(IF(ISBLANK([2]FoFsmonkeyCompl!#REF!),"",[2]FoFsmonkeyCompl!#REF!*FoFanalysis7[[#This Row],[EUR]]),"")</calculatedColumnFormula>
    </tableColumn>
    <tableColumn id="10" xr3:uid="{921062D0-1D05-4DB9-BF44-5FE27FF646C9}" name="FundOfFunds" dataDxfId="75" totalsRowDxfId="74">
      <calculatedColumnFormula>IFERROR(IF(ISBLANK([2]FoFsmonkeyCompl!#REF!),"",[2]FoFsmonkeyCompl!#REF!*FoFanalysis7[[#This Row],[EUR]]),"")</calculatedColumnFormula>
    </tableColumn>
    <tableColumn id="11" xr3:uid="{EBD2904D-1777-4280-A374-2A6C46A6DE0D}" name="HNWI" dataDxfId="73" totalsRowDxfId="72">
      <calculatedColumnFormula>IFERROR(IF(ISBLANK([2]FoFsmonkeyCompl!#REF!),"",[2]FoFsmonkeyCompl!#REF!*FoFanalysis7[[#This Row],[EUR]]),"")</calculatedColumnFormula>
    </tableColumn>
    <tableColumn id="12" xr3:uid="{E729F098-52BF-4FCF-B168-B0236180BF24}" name="OtherInvestors" dataDxfId="71" totalsRowDxfId="70">
      <calculatedColumnFormula>IFERROR(IF(ISBLANK([2]FoFsmonkeyCompl!#REF!),"",[2]FoFsmonkeyCompl!#REF!*FoFanalysis7[[#This Row],[EUR]]),"")</calculatedColumnFormula>
    </tableColumn>
    <tableColumn id="13" xr3:uid="{9792F5B0-8F44-4992-B253-7B3802DFBA8D}" name="Europe" dataDxfId="69" totalsRowDxfId="68">
      <calculatedColumnFormula>IFERROR(IF(ISBLANK([2]FoFsmonkeyCompl!#REF!),"",[2]FoFsmonkeyCompl!#REF!*FoFanalysis7[[#This Row],[EUR]]),"")</calculatedColumnFormula>
    </tableColumn>
    <tableColumn id="14" xr3:uid="{A462A504-9150-48A4-931D-299DAB869401}" name="APAC" dataDxfId="67" totalsRowDxfId="66">
      <calculatedColumnFormula>IFERROR(IF(ISBLANK([2]FoFsmonkeyCompl!#REF!),"",[2]FoFsmonkeyCompl!#REF!*FoFanalysis7[[#This Row],[EUR]]),"")</calculatedColumnFormula>
    </tableColumn>
    <tableColumn id="15" xr3:uid="{A3BA58FE-65C4-476B-8E47-CA3FEDDA28E1}" name="NorthAmerica" dataDxfId="65" totalsRowDxfId="64">
      <calculatedColumnFormula>IFERROR(IF(ISBLANK([2]FoFsmonkeyCompl!#REF!),"",[2]FoFsmonkeyCompl!#REF!*FoFanalysis7[[#This Row],[EUR]]),"")</calculatedColumnFormula>
    </tableColumn>
    <tableColumn id="16" xr3:uid="{26851D68-3D7C-4AC6-A944-6D3019C8507A}" name="SouthAmerica" dataDxfId="63" totalsRowDxfId="62">
      <calculatedColumnFormula>IFERROR(IF(ISBLANK([2]FoFsmonkeyCompl!#REF!),"",[2]FoFsmonkeyCompl!#REF!*FoFanalysis7[[#This Row],[EUR]]),"")</calculatedColumnFormula>
    </tableColumn>
    <tableColumn id="17" xr3:uid="{82F46FE8-94E1-497D-8992-AB80B7B1F84F}" name="Africa" dataDxfId="61" totalsRowDxfId="60">
      <calculatedColumnFormula>IFERROR(IF(ISBLANK([2]FoFsmonkeyCompl!#REF!),"",[2]FoFsmonkeyCompl!#REF!*FoFanalysis7[[#This Row],[EUR]]),"")</calculatedColumnFormula>
    </tableColumn>
    <tableColumn id="18" xr3:uid="{3186ABEE-C51D-48AD-95AA-C208B3D9F015}" name="PlacementAgent" dataDxfId="59" totalsRowDxfId="58">
      <calculatedColumnFormula>IFERROR(IF(ISBLANK([2]FoFsmonkeyCompl!#REF!),"",[2]FoFsmonkeyCompl!#REF!),"")</calculatedColumnFormula>
    </tableColumn>
    <tableColumn id="19" xr3:uid="{0F4E7C41-AA72-4686-9ADC-B3E69FA55657}" name="InvestorsContacting" dataDxfId="57">
      <calculatedColumnFormula>IFERROR(IF(ISBLANK([2]FoFsmonkeyCompl!#REF!),"",[2]FoFsmonkeyCompl!#REF!),"")</calculatedColumnFormula>
    </tableColumn>
    <tableColumn id="20" xr3:uid="{7334AEAE-4745-4B39-BD0F-4E4FCD4C0C74}" name="OwnRelationship">
      <calculatedColumnFormula>IFERROR(IF(ISBLANK([2]FoFsmonkeyCompl!#REF!),"",[2]FoFsmonkeyCompl!#REF!),"")</calculatedColumnFormula>
    </tableColumn>
    <tableColumn id="21" xr3:uid="{701AF732-A777-493B-A572-B9DB334EC0A4}" name="OtherAgency" dataDxfId="56">
      <calculatedColumnFormula>IFERROR(IF(ISBLANK([2]FoFsmonkeyCompl!#REF!),"",[2]FoFsmonkeyCompl!#REF!),"")</calculatedColumnFormula>
    </tableColumn>
    <tableColumn id="22" xr3:uid="{917F6005-3779-4106-93B2-D75950ED9CEE}" name="Expectations" dataDxfId="55" totalsRowDxfId="54">
      <calculatedColumnFormula>IFERROR(IF(ISBLANK([2]FoFsmonkeyCompl!#REF!),"",[2]FoFsmonkeyCompl!#REF!),"")</calculatedColumnFormula>
    </tableColumn>
    <tableColumn id="23" xr3:uid="{1A93674C-E7D7-4EE7-8D0A-26E734D54E35}" name="Name" dataDxfId="53">
      <calculatedColumnFormula>IFERROR(IF(ISBLANK([2]FoFsmonkeyCompl!#REF!),"",[2]FoFsmonkeyCompl!#REF!),"")</calculatedColumnFormula>
    </tableColumn>
    <tableColumn id="31" xr3:uid="{43409860-B687-4D8C-9AA2-75FB9BC2041C}" name="Gross Asset Value of the Vehicle (EUR)" dataDxfId="52">
      <calculatedColumnFormula>IFERROR(INDEX([2]FundOfFundsUniverse!$B$2:$EU$700,MATCH($C2,[2]FundOfFundsUniverse!$A$2:$A$700,0),MATCH($AF$1,[2]FundOfFundsUniverse!$B$1:$EU$1,0)),"")</calculatedColumnFormula>
    </tableColumn>
  </tableColumns>
  <tableStyleInfo name="INREV Data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47DA43-9A71-41AB-8EFB-638B1F7787D6}" name="FoFanalysis" displayName="FoFanalysis" ref="B1:AE57" totalsRowShown="0" headerRowDxfId="51">
  <autoFilter ref="B1:AE57" xr:uid="{00000000-0009-0000-0100-000002000000}"/>
  <tableColumns count="30">
    <tableColumn id="1" xr3:uid="{EB650DB1-E5E8-4663-8584-BA1CF1EECA2C}" name="VehicleID" dataDxfId="50" totalsRowDxfId="49">
      <calculatedColumnFormula>IF(OR(ISTEXT([1]FoFsmonkeyCompl!#REF!),ISNUMBER([1]FoFsmonkeyCompl!#REF!)),[1]FoFsmonkeyCompl!#REF!,"")</calculatedColumnFormula>
    </tableColumn>
    <tableColumn id="25" xr3:uid="{8224C611-CC0C-4699-A932-C42236944733}" name="ID" dataDxfId="48" totalsRowDxfId="47"/>
    <tableColumn id="24" xr3:uid="{6AB9680E-3638-4EE5-9B91-E58A9F92218D}" name="Manager Defined Style" dataDxfId="46" totalsRowDxfId="45">
      <calculatedColumnFormula>IFERROR(INDEX([1]FundOfFundsUniverse!$B$2:$EU$80,MATCH(FoFanalysis[[#This Row],[ID]],[1]FundOfFundsUniverse!$A$2:$A$80,0),MATCH(FoFanalysis[[#Headers],[Manager Defined Style]],[1]FundOfFundsUniverse!$B$1:$EU$1,0)),"")</calculatedColumnFormula>
    </tableColumn>
    <tableColumn id="28" xr3:uid="{8368E6A4-8515-4A77-868F-287E2505829B}" name="Vehicle Structure" dataDxfId="44" totalsRowDxfId="43">
      <calculatedColumnFormula>IFERROR(INDEX([1]FundOfFundsUniverse!$B$2:$EU$80,MATCH(FoFanalysis[[#This Row],[ID]],[1]FundOfFundsUniverse!$A$2:$A$80,0),MATCH(FoFanalysis[[#Headers],[Vehicle Structure]],[1]FundOfFundsUniverse!$B$1:$EU$1,0)),"")</calculatedColumnFormula>
    </tableColumn>
    <tableColumn id="29" xr3:uid="{CD574916-E375-4AAE-807C-9597A82A50AE}" name="Year of first closing" dataDxfId="42" totalsRowDxfId="41">
      <calculatedColumnFormula>IFERROR(INDEX([1]FundOfFundsUniverse!$B$2:$EU$80,MATCH(FoFanalysis[[#This Row],[ID]],[1]FundOfFundsUniverse!$A$2:$A$80,0),MATCH(FoFanalysis[[#Headers],[Year of first closing]],[1]FundOfFundsUniverse!$B$1:$EU$1,0)),"")</calculatedColumnFormula>
    </tableColumn>
    <tableColumn id="2" xr3:uid="{8CF1C4AA-0361-4691-BDC0-E49972113E71}" name="RaisedCapital" dataDxfId="40" totalsRowDxfId="39">
      <calculatedColumnFormula>IF(ISBLANK([1]FoFsmonkeyCompl!#REF!),"",[1]FoFsmonkeyCompl!#REF!)</calculatedColumnFormula>
    </tableColumn>
    <tableColumn id="3" xr3:uid="{00C90387-E0D8-46EF-91C5-327BE6B701CF}" name="WhyNo" dataDxfId="38" totalsRowDxfId="37">
      <calculatedColumnFormula>IF(ISBLANK([1]FoFsmonkeyCompl!#REF!),"",[1]FoFsmonkeyCompl!#REF!)</calculatedColumnFormula>
    </tableColumn>
    <tableColumn id="30" xr3:uid="{B5C712BC-4A74-4CAB-A774-E71DD2D6167D}" name="Other" dataDxfId="36" totalsRowDxfId="35">
      <calculatedColumnFormula>IF(ISBLANK([1]FoFsmonkeyCompl!#REF!),"",[1]FoFsmonkeyCompl!#REF!)</calculatedColumnFormula>
    </tableColumn>
    <tableColumn id="26" xr3:uid="{F94E15A1-9C97-4F18-BB08-BCA32303475A}" name="Currency of Reporting" dataDxfId="34">
      <calculatedColumnFormula>IFERROR(INDEX([1]FundOfFundsUniverse!$B$2:$EU$80,MATCH(FoFanalysis[[#This Row],[ID]],[1]FundOfFundsUniverse!$A$2:$A$80,0),MATCH(FoFanalysis[[#Headers],[Currency of Reporting]],[1]FundOfFundsUniverse!$B$1:$EU$1,0)),"")</calculatedColumnFormula>
    </tableColumn>
    <tableColumn id="27" xr3:uid="{7DC9C1BC-B90B-49F2-AE4B-517B7A21F0EE}" name="EUR" dataDxfId="33">
      <calculatedColumnFormula>IFERROR(VLOOKUP(FoFanalysis[[#This Row],[Currency of Reporting]],'[1]Xrate31.12.20'!$F$5:$H$28,3,0),"")</calculatedColumnFormula>
    </tableColumn>
    <tableColumn id="4" xr3:uid="{7D404495-08AF-42DE-BECC-2942AA464789}" name="CapitalRaised" dataDxfId="32" totalsRowDxfId="31">
      <calculatedColumnFormula>IFERROR(IF(ISBLANK([1]FoFsmonkeyCompl!#REF!),"",[1]FoFsmonkeyCompl!#REF!*FoFanalysis[[#This Row],[EUR]]),"")</calculatedColumnFormula>
    </tableColumn>
    <tableColumn id="5" xr3:uid="{33413AC0-D05C-4A0C-B84D-8E8052CF7660}" name="PensionFunds">
      <calculatedColumnFormula>IFERROR(IF(ISBLANK([1]FoFsmonkeyCompl!#REF!),"",[1]FoFsmonkeyCompl!#REF!*FoFanalysis[[#This Row],[EUR]]),"")</calculatedColumnFormula>
    </tableColumn>
    <tableColumn id="6" xr3:uid="{D64FB6C9-F541-4E8A-9480-514B17A1A005}" name="InsuranceCompanies" dataDxfId="30" totalsRowDxfId="29">
      <calculatedColumnFormula>IFERROR(IF(ISBLANK([1]FoFsmonkeyCompl!#REF!),"",[1]FoFsmonkeyCompl!#REF!*FoFanalysis[[#This Row],[EUR]]),"")</calculatedColumnFormula>
    </tableColumn>
    <tableColumn id="7" xr3:uid="{A40F3EF6-637A-433A-970B-5ACE216F0A94}" name="SWFs" dataDxfId="28" totalsRowDxfId="27">
      <calculatedColumnFormula>IFERROR(IF(ISBLANK([1]FoFsmonkeyCompl!#REF!),"",[1]FoFsmonkeyCompl!#REF!*FoFanalysis[[#This Row],[EUR]]),"")</calculatedColumnFormula>
    </tableColumn>
    <tableColumn id="8" xr3:uid="{3B134CF6-AE9C-4E81-9578-01F158B6915B}" name="Government" dataDxfId="26" totalsRowDxfId="25">
      <calculatedColumnFormula>IFERROR(IF(ISBLANK([1]FoFsmonkeyCompl!#REF!),"",[1]FoFsmonkeyCompl!#REF!*FoFanalysis[[#This Row],[EUR]]),"")</calculatedColumnFormula>
    </tableColumn>
    <tableColumn id="9" xr3:uid="{C6739F55-9B4B-474A-B2B2-4717C1131C49}" name="Charities" dataDxfId="24" totalsRowDxfId="23">
      <calculatedColumnFormula>IFERROR(IF(ISBLANK([1]FoFsmonkeyCompl!#REF!),"",[1]FoFsmonkeyCompl!#REF!*FoFanalysis[[#This Row],[EUR]]),"")</calculatedColumnFormula>
    </tableColumn>
    <tableColumn id="10" xr3:uid="{0E508803-5359-4CC3-B3E8-424636DF7A0F}" name="FundOfFunds" dataDxfId="22" totalsRowDxfId="21">
      <calculatedColumnFormula>IFERROR(IF(ISBLANK([1]FoFsmonkeyCompl!#REF!),"",[1]FoFsmonkeyCompl!#REF!*FoFanalysis[[#This Row],[EUR]]),"")</calculatedColumnFormula>
    </tableColumn>
    <tableColumn id="11" xr3:uid="{B9223826-A721-4866-A8EE-81505769B217}" name="HNWI" dataDxfId="20" totalsRowDxfId="19">
      <calculatedColumnFormula>IFERROR(IF(ISBLANK([1]FoFsmonkeyCompl!#REF!),"",[1]FoFsmonkeyCompl!#REF!*FoFanalysis[[#This Row],[EUR]]),"")</calculatedColumnFormula>
    </tableColumn>
    <tableColumn id="12" xr3:uid="{FE6E7DCD-598F-49B1-9073-FE9C825C3D5C}" name="OtherInvestors" dataDxfId="18" totalsRowDxfId="17">
      <calculatedColumnFormula>IFERROR(IF(ISBLANK([1]FoFsmonkeyCompl!#REF!),"",[1]FoFsmonkeyCompl!#REF!*FoFanalysis[[#This Row],[EUR]]),"")</calculatedColumnFormula>
    </tableColumn>
    <tableColumn id="13" xr3:uid="{B5699C89-3922-42A5-A021-E1D0AE4C549F}" name="Europe" dataDxfId="16" totalsRowDxfId="15">
      <calculatedColumnFormula>IFERROR(IF(ISBLANK([1]FoFsmonkeyCompl!#REF!),"",[1]FoFsmonkeyCompl!#REF!*FoFanalysis[[#This Row],[EUR]]),"")</calculatedColumnFormula>
    </tableColumn>
    <tableColumn id="14" xr3:uid="{AD4758E1-CFA0-4D68-89C1-B54E502F462C}" name="APAC" dataDxfId="14" totalsRowDxfId="13">
      <calculatedColumnFormula>IFERROR(IF(ISBLANK([1]FoFsmonkeyCompl!#REF!),"",[1]FoFsmonkeyCompl!#REF!*FoFanalysis[[#This Row],[EUR]]),"")</calculatedColumnFormula>
    </tableColumn>
    <tableColumn id="15" xr3:uid="{41D88953-ED7A-422C-BAAB-3E055A0FD043}" name="NorthAmerica" dataDxfId="12" totalsRowDxfId="11">
      <calculatedColumnFormula>IFERROR(IF(ISBLANK([1]FoFsmonkeyCompl!#REF!),"",[1]FoFsmonkeyCompl!#REF!*FoFanalysis[[#This Row],[EUR]]),"")</calculatedColumnFormula>
    </tableColumn>
    <tableColumn id="16" xr3:uid="{08FD6877-7088-4D7E-8E8B-040B5A3F4529}" name="SouthAmerica" dataDxfId="10" totalsRowDxfId="9">
      <calculatedColumnFormula>IFERROR(IF(ISBLANK([1]FoFsmonkeyCompl!#REF!),"",[1]FoFsmonkeyCompl!#REF!*FoFanalysis[[#This Row],[EUR]]),"")</calculatedColumnFormula>
    </tableColumn>
    <tableColumn id="17" xr3:uid="{411E554B-7A44-496F-8C96-31FB05C35E8E}" name="Africa" dataDxfId="8" totalsRowDxfId="7">
      <calculatedColumnFormula>IFERROR(IF(ISBLANK([1]FoFsmonkeyCompl!#REF!),"",[1]FoFsmonkeyCompl!#REF!*FoFanalysis[[#This Row],[EUR]]),"")</calculatedColumnFormula>
    </tableColumn>
    <tableColumn id="18" xr3:uid="{DFC052EF-E8C1-4245-91D8-5159C0C1DF60}" name="PlacementAgent" dataDxfId="6" totalsRowDxfId="5">
      <calculatedColumnFormula>IFERROR(IF(ISBLANK([1]FoFsmonkeyCompl!#REF!),"",[1]FoFsmonkeyCompl!#REF!),"")</calculatedColumnFormula>
    </tableColumn>
    <tableColumn id="19" xr3:uid="{59014934-557C-48EB-88DA-CB97C63C244A}" name="InvestorsContacting" dataDxfId="4">
      <calculatedColumnFormula>IFERROR(IF(ISBLANK([1]FoFsmonkeyCompl!#REF!),"",[1]FoFsmonkeyCompl!#REF!),"")</calculatedColumnFormula>
    </tableColumn>
    <tableColumn id="20" xr3:uid="{D950FDF2-5367-4CB3-8CAC-418203E02B62}" name="OwnRelationship">
      <calculatedColumnFormula>IFERROR(IF(ISBLANK([1]FoFsmonkeyCompl!#REF!),"",[1]FoFsmonkeyCompl!#REF!),"")</calculatedColumnFormula>
    </tableColumn>
    <tableColumn id="21" xr3:uid="{76EE4E91-154A-44A8-966F-EEBC087D5280}" name="OtherAgency" dataDxfId="3">
      <calculatedColumnFormula>IFERROR(IF(ISBLANK([1]FoFsmonkeyCompl!#REF!),"",[1]FoFsmonkeyCompl!#REF!),"")</calculatedColumnFormula>
    </tableColumn>
    <tableColumn id="22" xr3:uid="{AFB64EE9-1C60-4F20-B379-7D8A78FA0155}" name="Expectations" dataDxfId="2" totalsRowDxfId="1">
      <calculatedColumnFormula>IFERROR(IF(ISBLANK([1]FoFsmonkeyCompl!#REF!),"",[1]FoFsmonkeyCompl!#REF!),"")</calculatedColumnFormula>
    </tableColumn>
    <tableColumn id="23" xr3:uid="{58CCA675-38D3-4ECD-B01A-57D1CF82515C}" name="Name" dataDxfId="0">
      <calculatedColumnFormula>IFERROR(IF(ISBLANK([1]FoFsmonkeyCompl!#REF!),"",[1]FoFsmonkeyCompl!#REF!),"")</calculatedColumnFormula>
    </tableColumn>
  </tableColumns>
  <tableStyleInfo name="INREV Data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1-02-15T12:56:57.16" personId="{81708A5B-6CF1-4D45-90F3-13CFAEF5C422}" id="{FFAEB2F0-C2EE-45DC-BF3A-C8061FEAB73A}">
    <text>EUR 1,1??? similar for other analysis files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" dT="2021-02-15T12:56:57.16" personId="{81708A5B-6CF1-4D45-90F3-13CFAEF5C422}" id="{2E496019-7CD7-4621-AEEB-4AD9E740FD48}">
    <text>EUR 1,1??? similar for other analysis files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F92D-24BD-47FB-ABC6-FB95A96F623E}">
  <sheetPr>
    <tabColor rgb="FFFFC000"/>
  </sheetPr>
  <dimension ref="A1:AF59"/>
  <sheetViews>
    <sheetView showGridLines="0" topLeftCell="B1" workbookViewId="0">
      <pane xSplit="1" topLeftCell="C1" activePane="topRight" state="frozen"/>
      <selection activeCell="B98" sqref="B98"/>
      <selection pane="topRight" activeCell="B23" sqref="B23"/>
    </sheetView>
  </sheetViews>
  <sheetFormatPr defaultRowHeight="12.75" x14ac:dyDescent="0.2"/>
  <cols>
    <col min="1" max="1" width="29" customWidth="1"/>
    <col min="2" max="2" width="69.28515625" customWidth="1"/>
    <col min="3" max="3" width="17.140625" style="12" customWidth="1"/>
    <col min="4" max="4" width="59.85546875" customWidth="1"/>
    <col min="5" max="6" width="75.85546875" customWidth="1"/>
    <col min="7" max="7" width="34.140625" customWidth="1"/>
    <col min="8" max="9" width="15.7109375" customWidth="1"/>
    <col min="10" max="10" width="21.42578125" bestFit="1" customWidth="1"/>
    <col min="11" max="11" width="21.42578125" customWidth="1"/>
    <col min="12" max="13" width="8.85546875" customWidth="1"/>
    <col min="14" max="14" width="15.85546875" customWidth="1"/>
    <col min="15" max="15" width="22.140625" customWidth="1"/>
    <col min="16" max="16" width="17.42578125" customWidth="1"/>
    <col min="17" max="17" width="14.28515625" customWidth="1"/>
    <col min="18" max="18" width="11.140625" customWidth="1"/>
    <col min="19" max="19" width="15.140625" customWidth="1"/>
    <col min="22" max="22" width="9.5703125" customWidth="1"/>
    <col min="24" max="24" width="15.5703125" customWidth="1"/>
    <col min="25" max="25" width="16" customWidth="1"/>
    <col min="27" max="27" width="18.140625" customWidth="1"/>
    <col min="28" max="28" width="20.85546875" customWidth="1"/>
    <col min="29" max="29" width="18.5703125" customWidth="1"/>
    <col min="31" max="31" width="14.7109375" customWidth="1"/>
    <col min="32" max="32" width="11" customWidth="1"/>
  </cols>
  <sheetData>
    <row r="1" spans="1:32" s="2" customFormat="1" ht="14.25" thickTop="1" thickBo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14.25" thickTop="1" thickBot="1" x14ac:dyDescent="0.25">
      <c r="A2" s="5" t="str">
        <f>IF(OR(ISTEXT([1]DFsmonkeyCompl!J3),ISNUMBER([1]DFsmonkeyCompl!J3)),[1]DFsmonkeyCompl!J3,"")</f>
        <v>PGIM Real Estate</v>
      </c>
      <c r="B2" s="6" t="str">
        <f>IF(OR(ISTEXT([1]DFsmonkeyCompl!K3),ISNUMBER([1]DFsmonkeyCompl!K3)),[1]DFsmonkeyCompl!K3,"")</f>
        <v>PRECap VII</v>
      </c>
      <c r="C2" s="7" cm="1">
        <f t="array" ref="C2">INDEX([1]DebtFundUniverse!$A$85:$A$95,MATCH(B2,[1]DebtFundUniverse!$B$85:$B$95,0),0)</f>
        <v>97174</v>
      </c>
      <c r="D2" s="6" t="str">
        <f>INDEX([1]DebtFundUniverse!$B$2:$EU$200,MATCH(DFanalysis[[#This Row],[ID]],[1]DebtFundUniverse!$A$2:$A$200,0),MATCH(DFanalysis[[#Headers],[Loan Strategy]],[1]DebtFundUniverse!$B$1:$EU$1,0))</f>
        <v>Mixed: Senior+Subordinated+Preferred equity</v>
      </c>
      <c r="E2" s="6" t="str">
        <f>INDEX([1]DebtFundUniverse!$B$2:$EU$200,MATCH(DFanalysis[[#This Row],[ID]],[1]DebtFundUniverse!$A$2:$A$200,0),MATCH(DFanalysis[[#Headers],[Target Regional Strategy]],[1]DebtFundUniverse!$B$1:$EU$1,0))</f>
        <v>Europe</v>
      </c>
      <c r="F2" s="6" t="str">
        <f>INDEX([1]DebtFundUniverse!$B$2:$EU$200,MATCH(DFanalysis[[#This Row],[ID]],[1]DebtFundUniverse!$A$2:$A$200,0),MATCH(DFanalysis[[#Headers],[Vehicle Structure]],[1]DebtFundUniverse!$B$1:$EU$1,0))</f>
        <v>Closed end</v>
      </c>
      <c r="G2" s="6">
        <f>INDEX([1]DebtFundUniverse!$B$2:$EU$200,MATCH(DFanalysis[[#This Row],[ID]],[1]DebtFundUniverse!$A$2:$A$200,0),MATCH(DFanalysis[[#Headers],[year of first closing]],[1]DebtFundUniverse!$B$1:$EU$1,0))</f>
        <v>2019</v>
      </c>
      <c r="H2" s="6" t="str">
        <f>IF(ISBLANK([1]DFsmonkeyCompl!L3),"",[1]DFsmonkeyCompl!L3)</f>
        <v>Yes</v>
      </c>
      <c r="I2" s="6" t="str">
        <f>IF(ISBLANK([1]DFsmonkeyCompl!M3),"",[1]DFsmonkeyCompl!M3)</f>
        <v/>
      </c>
      <c r="J2" s="6" t="str">
        <f>IF(ISBLANK([1]DFsmonkeyCompl!N3),"",[1]DFsmonkeyCompl!N3)</f>
        <v/>
      </c>
      <c r="K2" s="6" t="str">
        <f>INDEX([1]DebtFundUniverse!$B$2:$EU$200,MATCH(DFanalysis[[#This Row],[ID]],[1]DebtFundUniverse!$A$2:$A$200,0),MATCH(DFanalysis[[#Headers],[Currency of Reporting]],[1]DebtFundUniverse!$B$1:$EU$1,0))</f>
        <v>GBP</v>
      </c>
      <c r="L2" s="8">
        <f>VLOOKUP(DFanalysis[[#This Row],[Currency of Reporting]],'[1]Xrate31.12.20'!$K$1:$M$25,3,0)</f>
        <v>1.1130927885999999</v>
      </c>
      <c r="M2" s="8">
        <f>IFERROR(IF(ISBLANK([1]DFsmonkeyCompl!O3),"",[1]DFsmonkeyCompl!O3*DFanalysis[[#This Row],[EUR]]),"")</f>
        <v>1021.8191799348</v>
      </c>
      <c r="N2" s="8">
        <f>IFERROR(IF(ISBLANK([1]DFsmonkeyCompl!P3),"",[1]DFsmonkeyCompl!P3*DFanalysis[[#This Row],[EUR]]),"")</f>
        <v>906.05752992039993</v>
      </c>
      <c r="O2" s="8" t="str">
        <f>IFERROR(IF(ISBLANK([1]DFsmonkeyCompl!Q3),"",[1]DFsmonkeyCompl!Q3*DFanalysis[[#This Row],[EUR]]),"")</f>
        <v/>
      </c>
      <c r="P2" s="8">
        <f>IFERROR(IF(ISBLANK([1]DFsmonkeyCompl!R3),"",[1]DFsmonkeyCompl!R3*DFanalysis[[#This Row],[EUR]]),"")</f>
        <v>57.880825007199995</v>
      </c>
      <c r="Q2" s="8" t="str">
        <f>IFERROR(IF(ISBLANK([1]DFsmonkeyCompl!S3),"",[1]DFsmonkeyCompl!S3*DFanalysis[[#This Row],[EUR]]),"")</f>
        <v/>
      </c>
      <c r="R2" s="8" t="str">
        <f>IFERROR(IF(ISBLANK([1]DFsmonkeyCompl!T3),"",[1]DFsmonkeyCompl!T3*DFanalysis[[#This Row],[EUR]]),"")</f>
        <v/>
      </c>
      <c r="S2" s="8" t="str">
        <f>IFERROR(IF(ISBLANK([1]DFsmonkeyCompl!U3),"",[1]DFsmonkeyCompl!U3*DFanalysis[[#This Row],[EUR]]),"")</f>
        <v/>
      </c>
      <c r="T2" s="8" t="str">
        <f>IFERROR(IF(ISBLANK([1]DFsmonkeyCompl!V3),"",[1]DFsmonkeyCompl!V3*DFanalysis[[#This Row],[EUR]]),"")</f>
        <v/>
      </c>
      <c r="U2" s="8">
        <f>IFERROR(IF(ISBLANK([1]DFsmonkeyCompl!W3),"",[1]DFsmonkeyCompl!W3*DFanalysis[[#This Row],[EUR]]),"")</f>
        <v>57.880825007199995</v>
      </c>
      <c r="V2" s="8">
        <f>IFERROR(IF(ISBLANK([1]DFsmonkeyCompl!X3),"",[1]DFsmonkeyCompl!X3*DFanalysis[[#This Row],[EUR]]),"")</f>
        <v>57.880825007199995</v>
      </c>
      <c r="W2" s="8">
        <f>IFERROR(IF(ISBLANK([1]DFsmonkeyCompl!Y3),"",[1]DFsmonkeyCompl!Y3*DFanalysis[[#This Row],[EUR]]),"")</f>
        <v>37.845154812399997</v>
      </c>
      <c r="X2" s="8">
        <f>IFERROR(IF(ISBLANK([1]DFsmonkeyCompl!Z3),"",[1]DFsmonkeyCompl!Z3*DFanalysis[[#This Row],[EUR]]),"")</f>
        <v>926.09320011519992</v>
      </c>
      <c r="Y2" s="8" t="str">
        <f>IFERROR(IF(ISBLANK([1]DFsmonkeyCompl!AA3),"",[1]DFsmonkeyCompl!AA3*DFanalysis[[#This Row],[EUR]]),"")</f>
        <v/>
      </c>
      <c r="Z2" s="8" t="str">
        <f>IFERROR(IF(ISBLANK([1]DFsmonkeyCompl!AB3),"",[1]DFsmonkeyCompl!AB3*DFanalysis[[#This Row],[EUR]]),"")</f>
        <v/>
      </c>
      <c r="AA2" s="8" t="str">
        <f>IF(ISBLANK([1]DFsmonkeyCompl!AC3),"",[1]DFsmonkeyCompl!AC3)</f>
        <v/>
      </c>
      <c r="AB2" s="8" t="str">
        <f>IF(ISBLANK([1]DFsmonkeyCompl!AD3),"",[1]DFsmonkeyCompl!AD3)</f>
        <v/>
      </c>
      <c r="AC2" s="8">
        <f>IF(ISBLANK([1]DFsmonkeyCompl!AE3),"",[1]DFsmonkeyCompl!AE3)</f>
        <v>100</v>
      </c>
      <c r="AD2" s="8" t="str">
        <f>IF(ISBLANK([1]DFsmonkeyCompl!AF3),"",[1]DFsmonkeyCompl!AF3)</f>
        <v/>
      </c>
      <c r="AE2" s="8" t="str">
        <f>IF(ISBLANK([1]DFsmonkeyCompl!AG3),"",[1]DFsmonkeyCompl!AG3)</f>
        <v>Increase</v>
      </c>
      <c r="AF2" s="8" t="str">
        <f>IF(ISBLANK([1]DFsmonkeyCompl!AH3),"",[1]DFsmonkeyCompl!AH3)</f>
        <v>Yes</v>
      </c>
    </row>
    <row r="3" spans="1:32" ht="14.25" thickTop="1" thickBot="1" x14ac:dyDescent="0.25">
      <c r="A3" s="9" t="str">
        <f>IF(OR(ISTEXT([1]DFsmonkeyCompl!J4),ISNUMBER([1]DFsmonkeyCompl!J4)),[1]DFsmonkeyCompl!J4,"")</f>
        <v>BentallGreenOak</v>
      </c>
      <c r="B3" s="6" t="str">
        <f>IF(OR(ISTEXT([1]DFsmonkeyCompl!K4),ISNUMBER([1]DFsmonkeyCompl!K4)),[1]DFsmonkeyCompl!K4,"")</f>
        <v>UK Secured Lending III</v>
      </c>
      <c r="C3" s="7" cm="1">
        <f t="array" ref="C3">INDEX([1]DebtFundUniverse!$A$85:$A$95,MATCH(B3,[1]DebtFundUniverse!$B$85:$B$95,0),0)</f>
        <v>10000001</v>
      </c>
      <c r="D3" s="6" t="str">
        <f>INDEX([1]DebtFundUniverse!$B$2:$EU$200,MATCH(DFanalysis[[#This Row],[ID]],[1]DebtFundUniverse!$A$2:$A$200,0),MATCH(DFanalysis[[#Headers],[Loan Strategy]],[1]DebtFundUniverse!$B$1:$EU$1,0))</f>
        <v>Senior</v>
      </c>
      <c r="E3" s="6" t="str">
        <f>INDEX([1]DebtFundUniverse!$B$2:$EU$200,MATCH(DFanalysis[[#This Row],[ID]],[1]DebtFundUniverse!$A$2:$A$200,0),MATCH(DFanalysis[[#Headers],[Target Regional Strategy]],[1]DebtFundUniverse!$B$1:$EU$1,0))</f>
        <v>Europe</v>
      </c>
      <c r="F3" s="6" t="str">
        <f>INDEX([1]DebtFundUniverse!$B$2:$EU$200,MATCH(DFanalysis[[#This Row],[ID]],[1]DebtFundUniverse!$A$2:$A$200,0),MATCH(DFanalysis[[#Headers],[Vehicle Structure]],[1]DebtFundUniverse!$B$1:$EU$1,0))</f>
        <v>Closed end</v>
      </c>
      <c r="G3" s="6">
        <f>INDEX([1]DebtFundUniverse!$B$2:$EU$200,MATCH(DFanalysis[[#This Row],[ID]],[1]DebtFundUniverse!$A$2:$A$200,0),MATCH(DFanalysis[[#Headers],[year of first closing]],[1]DebtFundUniverse!$B$1:$EU$1,0))</f>
        <v>2020</v>
      </c>
      <c r="H3" s="6" t="str">
        <f>IF(ISBLANK([1]DFsmonkeyCompl!L4),"",[1]DFsmonkeyCompl!L4)</f>
        <v>Yes</v>
      </c>
      <c r="I3" s="6" t="str">
        <f>IF(ISBLANK([1]DFsmonkeyCompl!M4),"",[1]DFsmonkeyCompl!M4)</f>
        <v/>
      </c>
      <c r="J3" s="6" t="str">
        <f>IF(ISBLANK([1]DFsmonkeyCompl!N4),"",[1]DFsmonkeyCompl!N4)</f>
        <v/>
      </c>
      <c r="K3" s="6" t="str">
        <f>INDEX([1]DebtFundUniverse!$B$2:$EU$200,MATCH(DFanalysis[[#This Row],[ID]],[1]DebtFundUniverse!$A$2:$A$200,0),MATCH(DFanalysis[[#Headers],[Currency of Reporting]],[1]DebtFundUniverse!$B$1:$EU$1,0))</f>
        <v>GBP</v>
      </c>
      <c r="L3" s="8">
        <f>VLOOKUP(DFanalysis[[#This Row],[Currency of Reporting]],'[1]Xrate31.12.20'!$K$1:$M$25,3,0)</f>
        <v>1.1130927885999999</v>
      </c>
      <c r="M3" s="8">
        <f>IFERROR(IF(ISBLANK([1]DFsmonkeyCompl!O4),"",[1]DFsmonkeyCompl!O4*DFanalysis[[#This Row],[EUR]]),"")</f>
        <v>400.71340389599999</v>
      </c>
      <c r="N3" s="8">
        <f>IFERROR(IF(ISBLANK([1]DFsmonkeyCompl!P4),"",[1]DFsmonkeyCompl!P4*DFanalysis[[#This Row],[EUR]]),"")</f>
        <v>400.71340389599999</v>
      </c>
      <c r="O3" s="8" t="str">
        <f>IFERROR(IF(ISBLANK([1]DFsmonkeyCompl!Q4),"",[1]DFsmonkeyCompl!Q4*DFanalysis[[#This Row],[EUR]]),"")</f>
        <v/>
      </c>
      <c r="P3" s="8" t="str">
        <f>IFERROR(IF(ISBLANK([1]DFsmonkeyCompl!R4),"",[1]DFsmonkeyCompl!R4*DFanalysis[[#This Row],[EUR]]),"")</f>
        <v/>
      </c>
      <c r="Q3" s="8" t="str">
        <f>IFERROR(IF(ISBLANK([1]DFsmonkeyCompl!S4),"",[1]DFsmonkeyCompl!S4*DFanalysis[[#This Row],[EUR]]),"")</f>
        <v/>
      </c>
      <c r="R3" s="8" t="str">
        <f>IFERROR(IF(ISBLANK([1]DFsmonkeyCompl!T4),"",[1]DFsmonkeyCompl!T4*DFanalysis[[#This Row],[EUR]]),"")</f>
        <v/>
      </c>
      <c r="S3" s="8" t="str">
        <f>IFERROR(IF(ISBLANK([1]DFsmonkeyCompl!U4),"",[1]DFsmonkeyCompl!U4*DFanalysis[[#This Row],[EUR]]),"")</f>
        <v/>
      </c>
      <c r="T3" s="8" t="str">
        <f>IFERROR(IF(ISBLANK([1]DFsmonkeyCompl!V4),"",[1]DFsmonkeyCompl!V4*DFanalysis[[#This Row],[EUR]]),"")</f>
        <v/>
      </c>
      <c r="U3" s="8" t="str">
        <f>IFERROR(IF(ISBLANK([1]DFsmonkeyCompl!W4),"",[1]DFsmonkeyCompl!W4*DFanalysis[[#This Row],[EUR]]),"")</f>
        <v/>
      </c>
      <c r="V3" s="8">
        <f>IFERROR(IF(ISBLANK([1]DFsmonkeyCompl!X4),"",[1]DFsmonkeyCompl!X4*DFanalysis[[#This Row],[EUR]]),"")</f>
        <v>400.71340389599999</v>
      </c>
      <c r="W3" s="8" t="str">
        <f>IFERROR(IF(ISBLANK([1]DFsmonkeyCompl!Y4),"",[1]DFsmonkeyCompl!Y4*DFanalysis[[#This Row],[EUR]]),"")</f>
        <v/>
      </c>
      <c r="X3" s="8" t="str">
        <f>IFERROR(IF(ISBLANK([1]DFsmonkeyCompl!Z4),"",[1]DFsmonkeyCompl!Z4*DFanalysis[[#This Row],[EUR]]),"")</f>
        <v/>
      </c>
      <c r="Y3" s="8" t="str">
        <f>IFERROR(IF(ISBLANK([1]DFsmonkeyCompl!AA4),"",[1]DFsmonkeyCompl!AA4*DFanalysis[[#This Row],[EUR]]),"")</f>
        <v/>
      </c>
      <c r="Z3" s="8" t="str">
        <f>IFERROR(IF(ISBLANK([1]DFsmonkeyCompl!AB4),"",[1]DFsmonkeyCompl!AB4*DFanalysis[[#This Row],[EUR]]),"")</f>
        <v/>
      </c>
      <c r="AA3" s="8" t="str">
        <f>IF(ISBLANK([1]DFsmonkeyCompl!AC4),"",[1]DFsmonkeyCompl!AC4)</f>
        <v/>
      </c>
      <c r="AB3" s="8" t="str">
        <f>IF(ISBLANK([1]DFsmonkeyCompl!AD4),"",[1]DFsmonkeyCompl!AD4)</f>
        <v/>
      </c>
      <c r="AC3" s="8">
        <f>IF(ISBLANK([1]DFsmonkeyCompl!AE4),"",[1]DFsmonkeyCompl!AE4)</f>
        <v>100</v>
      </c>
      <c r="AD3" s="8" t="str">
        <f>IF(ISBLANK([1]DFsmonkeyCompl!AF4),"",[1]DFsmonkeyCompl!AF4)</f>
        <v/>
      </c>
      <c r="AE3" s="8" t="str">
        <f>IF(ISBLANK([1]DFsmonkeyCompl!AG4),"",[1]DFsmonkeyCompl!AG4)</f>
        <v>Increase</v>
      </c>
      <c r="AF3" s="8" t="str">
        <f>IF(ISBLANK([1]DFsmonkeyCompl!AH4),"",[1]DFsmonkeyCompl!AH4)</f>
        <v>Yes</v>
      </c>
    </row>
    <row r="4" spans="1:32" ht="14.25" thickTop="1" thickBot="1" x14ac:dyDescent="0.25">
      <c r="A4" s="5" t="str">
        <f>IF(OR(ISTEXT([1]DFsmonkeyCompl!J5),ISNUMBER([1]DFsmonkeyCompl!J5)),[1]DFsmonkeyCompl!J5,"")</f>
        <v>BentallGreenOak</v>
      </c>
      <c r="B4" s="6" t="str">
        <f>IF(OR(ISTEXT([1]DFsmonkeyCompl!K5),ISNUMBER([1]DFsmonkeyCompl!K5)),[1]DFsmonkeyCompl!K5,"")</f>
        <v>Europe Secured Lending II</v>
      </c>
      <c r="C4" s="7" cm="1">
        <f t="array" ref="C4">INDEX([1]DebtFundUniverse!$A$85:$A$95,MATCH(B4,[1]DebtFundUniverse!$B$85:$B$95,0),0)</f>
        <v>10000002</v>
      </c>
      <c r="D4" s="6" t="str">
        <f>INDEX([1]DebtFundUniverse!$B$2:$EU$200,MATCH(DFanalysis[[#This Row],[ID]],[1]DebtFundUniverse!$A$2:$A$200,0),MATCH(DFanalysis[[#Headers],[Loan Strategy]],[1]DebtFundUniverse!$B$1:$EU$1,0))</f>
        <v>Senior</v>
      </c>
      <c r="E4" s="6" t="str">
        <f>INDEX([1]DebtFundUniverse!$B$2:$EU$200,MATCH(DFanalysis[[#This Row],[ID]],[1]DebtFundUniverse!$A$2:$A$200,0),MATCH(DFanalysis[[#Headers],[Target Regional Strategy]],[1]DebtFundUniverse!$B$1:$EU$1,0))</f>
        <v>Europe</v>
      </c>
      <c r="F4" s="6" t="str">
        <f>INDEX([1]DebtFundUniverse!$B$2:$EU$200,MATCH(DFanalysis[[#This Row],[ID]],[1]DebtFundUniverse!$A$2:$A$200,0),MATCH(DFanalysis[[#Headers],[Vehicle Structure]],[1]DebtFundUniverse!$B$1:$EU$1,0))</f>
        <v>Closed end</v>
      </c>
      <c r="G4" s="6">
        <f>INDEX([1]DebtFundUniverse!$B$2:$EU$200,MATCH(DFanalysis[[#This Row],[ID]],[1]DebtFundUniverse!$A$2:$A$200,0),MATCH(DFanalysis[[#Headers],[year of first closing]],[1]DebtFundUniverse!$B$1:$EU$1,0))</f>
        <v>2020</v>
      </c>
      <c r="H4" s="6" t="str">
        <f>IF(ISBLANK([1]DFsmonkeyCompl!L5),"",[1]DFsmonkeyCompl!L5)</f>
        <v>Yes</v>
      </c>
      <c r="I4" s="6" t="str">
        <f>IF(ISBLANK([1]DFsmonkeyCompl!M5),"",[1]DFsmonkeyCompl!M5)</f>
        <v/>
      </c>
      <c r="J4" s="6" t="str">
        <f>IF(ISBLANK([1]DFsmonkeyCompl!N5),"",[1]DFsmonkeyCompl!N5)</f>
        <v/>
      </c>
      <c r="K4" s="6" t="str">
        <f>INDEX([1]DebtFundUniverse!$B$2:$EU$200,MATCH(DFanalysis[[#This Row],[ID]],[1]DebtFundUniverse!$A$2:$A$200,0),MATCH(DFanalysis[[#Headers],[Currency of Reporting]],[1]DebtFundUniverse!$B$1:$EU$1,0))</f>
        <v>GBP</v>
      </c>
      <c r="L4" s="8">
        <f>VLOOKUP(DFanalysis[[#This Row],[Currency of Reporting]],'[1]Xrate31.12.20'!$K$1:$M$25,3,0)</f>
        <v>1.1130927885999999</v>
      </c>
      <c r="M4" s="8">
        <f>IFERROR(IF(ISBLANK([1]DFsmonkeyCompl!O5),"",[1]DFsmonkeyCompl!O5*DFanalysis[[#This Row],[EUR]]),"")</f>
        <v>122.44020674599999</v>
      </c>
      <c r="N4" s="8">
        <f>IFERROR(IF(ISBLANK([1]DFsmonkeyCompl!P5),"",[1]DFsmonkeyCompl!P5*DFanalysis[[#This Row],[EUR]]),"")</f>
        <v>122.44020674599999</v>
      </c>
      <c r="O4" s="8" t="str">
        <f>IFERROR(IF(ISBLANK([1]DFsmonkeyCompl!Q5),"",[1]DFsmonkeyCompl!Q5*DFanalysis[[#This Row],[EUR]]),"")</f>
        <v/>
      </c>
      <c r="P4" s="8" t="str">
        <f>IFERROR(IF(ISBLANK([1]DFsmonkeyCompl!R5),"",[1]DFsmonkeyCompl!R5*DFanalysis[[#This Row],[EUR]]),"")</f>
        <v/>
      </c>
      <c r="Q4" s="8" t="str">
        <f>IFERROR(IF(ISBLANK([1]DFsmonkeyCompl!S5),"",[1]DFsmonkeyCompl!S5*DFanalysis[[#This Row],[EUR]]),"")</f>
        <v/>
      </c>
      <c r="R4" s="8" t="str">
        <f>IFERROR(IF(ISBLANK([1]DFsmonkeyCompl!T5),"",[1]DFsmonkeyCompl!T5*DFanalysis[[#This Row],[EUR]]),"")</f>
        <v/>
      </c>
      <c r="S4" s="8" t="str">
        <f>IFERROR(IF(ISBLANK([1]DFsmonkeyCompl!U5),"",[1]DFsmonkeyCompl!U5*DFanalysis[[#This Row],[EUR]]),"")</f>
        <v/>
      </c>
      <c r="T4" s="8" t="str">
        <f>IFERROR(IF(ISBLANK([1]DFsmonkeyCompl!V5),"",[1]DFsmonkeyCompl!V5*DFanalysis[[#This Row],[EUR]]),"")</f>
        <v/>
      </c>
      <c r="U4" s="8" t="str">
        <f>IFERROR(IF(ISBLANK([1]DFsmonkeyCompl!W5),"",[1]DFsmonkeyCompl!W5*DFanalysis[[#This Row],[EUR]]),"")</f>
        <v/>
      </c>
      <c r="V4" s="8">
        <f>IFERROR(IF(ISBLANK([1]DFsmonkeyCompl!X5),"",[1]DFsmonkeyCompl!X5*DFanalysis[[#This Row],[EUR]]),"")</f>
        <v>122.44020674599999</v>
      </c>
      <c r="W4" s="8" t="str">
        <f>IFERROR(IF(ISBLANK([1]DFsmonkeyCompl!Y5),"",[1]DFsmonkeyCompl!Y5*DFanalysis[[#This Row],[EUR]]),"")</f>
        <v/>
      </c>
      <c r="X4" s="8" t="str">
        <f>IFERROR(IF(ISBLANK([1]DFsmonkeyCompl!Z5),"",[1]DFsmonkeyCompl!Z5*DFanalysis[[#This Row],[EUR]]),"")</f>
        <v/>
      </c>
      <c r="Y4" s="8" t="str">
        <f>IFERROR(IF(ISBLANK([1]DFsmonkeyCompl!AA5),"",[1]DFsmonkeyCompl!AA5*DFanalysis[[#This Row],[EUR]]),"")</f>
        <v/>
      </c>
      <c r="Z4" s="8" t="str">
        <f>IFERROR(IF(ISBLANK([1]DFsmonkeyCompl!AB5),"",[1]DFsmonkeyCompl!AB5*DFanalysis[[#This Row],[EUR]]),"")</f>
        <v/>
      </c>
      <c r="AA4" s="8" t="str">
        <f>IF(ISBLANK([1]DFsmonkeyCompl!AC5),"",[1]DFsmonkeyCompl!AC5)</f>
        <v/>
      </c>
      <c r="AB4" s="8" t="str">
        <f>IF(ISBLANK([1]DFsmonkeyCompl!AD5),"",[1]DFsmonkeyCompl!AD5)</f>
        <v/>
      </c>
      <c r="AC4" s="8">
        <f>IF(ISBLANK([1]DFsmonkeyCompl!AE5),"",[1]DFsmonkeyCompl!AE5)</f>
        <v>100</v>
      </c>
      <c r="AD4" s="8" t="str">
        <f>IF(ISBLANK([1]DFsmonkeyCompl!AF5),"",[1]DFsmonkeyCompl!AF5)</f>
        <v/>
      </c>
      <c r="AE4" s="8" t="str">
        <f>IF(ISBLANK([1]DFsmonkeyCompl!AG5),"",[1]DFsmonkeyCompl!AG5)</f>
        <v>Increase</v>
      </c>
      <c r="AF4" s="8" t="str">
        <f>IF(ISBLANK([1]DFsmonkeyCompl!AH5),"",[1]DFsmonkeyCompl!AH5)</f>
        <v>Yes</v>
      </c>
    </row>
    <row r="5" spans="1:32" ht="14.25" thickTop="1" thickBot="1" x14ac:dyDescent="0.25">
      <c r="A5" s="9" t="str">
        <f>IF(OR(ISTEXT([1]DFsmonkeyCompl!J6),ISNUMBER([1]DFsmonkeyCompl!J6)),[1]DFsmonkeyCompl!J6,"")</f>
        <v>SCOR Investment Partners</v>
      </c>
      <c r="B5" s="6" t="str">
        <f>IF(OR(ISTEXT([1]DFsmonkeyCompl!K6),ISNUMBER([1]DFsmonkeyCompl!K6)),[1]DFsmonkeyCompl!K6,"")</f>
        <v>SCOR Real Estate Loans IV</v>
      </c>
      <c r="C5" s="7" cm="1">
        <f t="array" ref="C5">INDEX([1]DebtFundUniverse!$A$85:$A$95,MATCH(B5,[1]DebtFundUniverse!$B$85:$B$95,0),0)</f>
        <v>76090</v>
      </c>
      <c r="D5" s="6" t="str">
        <f>INDEX([1]DebtFundUniverse!$B$2:$EU$200,MATCH(DFanalysis[[#This Row],[ID]],[1]DebtFundUniverse!$A$2:$A$200,0),MATCH(DFanalysis[[#Headers],[Loan Strategy]],[1]DebtFundUniverse!$B$1:$EU$1,0))</f>
        <v>Senior</v>
      </c>
      <c r="E5" s="6" t="str">
        <f>INDEX([1]DebtFundUniverse!$B$2:$EU$200,MATCH(DFanalysis[[#This Row],[ID]],[1]DebtFundUniverse!$A$2:$A$200,0),MATCH(DFanalysis[[#Headers],[Target Regional Strategy]],[1]DebtFundUniverse!$B$1:$EU$1,0))</f>
        <v>Europe</v>
      </c>
      <c r="F5" s="6" t="str">
        <f>INDEX([1]DebtFundUniverse!$B$2:$EU$200,MATCH(DFanalysis[[#This Row],[ID]],[1]DebtFundUniverse!$A$2:$A$200,0),MATCH(DFanalysis[[#Headers],[Vehicle Structure]],[1]DebtFundUniverse!$B$1:$EU$1,0))</f>
        <v>Closed end</v>
      </c>
      <c r="G5" s="6">
        <f>INDEX([1]DebtFundUniverse!$B$2:$EU$200,MATCH(DFanalysis[[#This Row],[ID]],[1]DebtFundUniverse!$A$2:$A$200,0),MATCH(DFanalysis[[#Headers],[year of first closing]],[1]DebtFundUniverse!$B$1:$EU$1,0))</f>
        <v>2020</v>
      </c>
      <c r="H5" s="6" t="str">
        <f>IF(ISBLANK([1]DFsmonkeyCompl!L6),"",[1]DFsmonkeyCompl!L6)</f>
        <v>Yes</v>
      </c>
      <c r="I5" s="6" t="str">
        <f>IF(ISBLANK([1]DFsmonkeyCompl!M6),"",[1]DFsmonkeyCompl!M6)</f>
        <v/>
      </c>
      <c r="J5" s="6" t="str">
        <f>IF(ISBLANK([1]DFsmonkeyCompl!N6),"",[1]DFsmonkeyCompl!N6)</f>
        <v/>
      </c>
      <c r="K5" s="6" t="str">
        <f>INDEX([1]DebtFundUniverse!$B$2:$EU$200,MATCH(DFanalysis[[#This Row],[ID]],[1]DebtFundUniverse!$A$2:$A$200,0),MATCH(DFanalysis[[#Headers],[Currency of Reporting]],[1]DebtFundUniverse!$B$1:$EU$1,0))</f>
        <v>EUR</v>
      </c>
      <c r="L5" s="8">
        <f>VLOOKUP(DFanalysis[[#This Row],[Currency of Reporting]],'[1]Xrate31.12.20'!$K$1:$M$25,3,0)</f>
        <v>1</v>
      </c>
      <c r="M5" s="8">
        <f>IFERROR(IF(ISBLANK([1]DFsmonkeyCompl!O6),"",[1]DFsmonkeyCompl!O6*DFanalysis[[#This Row],[EUR]]),"")</f>
        <v>175</v>
      </c>
      <c r="N5" s="8">
        <f>IFERROR(IF(ISBLANK([1]DFsmonkeyCompl!P6),"",[1]DFsmonkeyCompl!P6*DFanalysis[[#This Row],[EUR]]),"")</f>
        <v>0</v>
      </c>
      <c r="O5" s="8">
        <f>IFERROR(IF(ISBLANK([1]DFsmonkeyCompl!Q6),"",[1]DFsmonkeyCompl!Q6*DFanalysis[[#This Row],[EUR]]),"")</f>
        <v>150</v>
      </c>
      <c r="P5" s="8">
        <f>IFERROR(IF(ISBLANK([1]DFsmonkeyCompl!R6),"",[1]DFsmonkeyCompl!R6*DFanalysis[[#This Row],[EUR]]),"")</f>
        <v>0</v>
      </c>
      <c r="Q5" s="8">
        <f>IFERROR(IF(ISBLANK([1]DFsmonkeyCompl!S6),"",[1]DFsmonkeyCompl!S6*DFanalysis[[#This Row],[EUR]]),"")</f>
        <v>0</v>
      </c>
      <c r="R5" s="8">
        <f>IFERROR(IF(ISBLANK([1]DFsmonkeyCompl!T6),"",[1]DFsmonkeyCompl!T6*DFanalysis[[#This Row],[EUR]]),"")</f>
        <v>0</v>
      </c>
      <c r="S5" s="8">
        <f>IFERROR(IF(ISBLANK([1]DFsmonkeyCompl!U6),"",[1]DFsmonkeyCompl!U6*DFanalysis[[#This Row],[EUR]]),"")</f>
        <v>0</v>
      </c>
      <c r="T5" s="8">
        <f>IFERROR(IF(ISBLANK([1]DFsmonkeyCompl!V6),"",[1]DFsmonkeyCompl!V6*DFanalysis[[#This Row],[EUR]]),"")</f>
        <v>0</v>
      </c>
      <c r="U5" s="8">
        <f>IFERROR(IF(ISBLANK([1]DFsmonkeyCompl!W6),"",[1]DFsmonkeyCompl!W6*DFanalysis[[#This Row],[EUR]]),"")</f>
        <v>25</v>
      </c>
      <c r="V5" s="8">
        <f>IFERROR(IF(ISBLANK([1]DFsmonkeyCompl!X6),"",[1]DFsmonkeyCompl!X6*DFanalysis[[#This Row],[EUR]]),"")</f>
        <v>175</v>
      </c>
      <c r="W5" s="8">
        <f>IFERROR(IF(ISBLANK([1]DFsmonkeyCompl!Y6),"",[1]DFsmonkeyCompl!Y6*DFanalysis[[#This Row],[EUR]]),"")</f>
        <v>0</v>
      </c>
      <c r="X5" s="8">
        <f>IFERROR(IF(ISBLANK([1]DFsmonkeyCompl!Z6),"",[1]DFsmonkeyCompl!Z6*DFanalysis[[#This Row],[EUR]]),"")</f>
        <v>0</v>
      </c>
      <c r="Y5" s="8">
        <f>IFERROR(IF(ISBLANK([1]DFsmonkeyCompl!AA6),"",[1]DFsmonkeyCompl!AA6*DFanalysis[[#This Row],[EUR]]),"")</f>
        <v>0</v>
      </c>
      <c r="Z5" s="8">
        <f>IFERROR(IF(ISBLANK([1]DFsmonkeyCompl!AB6),"",[1]DFsmonkeyCompl!AB6*DFanalysis[[#This Row],[EUR]]),"")</f>
        <v>0</v>
      </c>
      <c r="AA5" s="8">
        <f>IF(ISBLANK([1]DFsmonkeyCompl!AC6),"",[1]DFsmonkeyCompl!AC6)</f>
        <v>0</v>
      </c>
      <c r="AB5" s="8">
        <f>IF(ISBLANK([1]DFsmonkeyCompl!AD6),"",[1]DFsmonkeyCompl!AD6)</f>
        <v>0</v>
      </c>
      <c r="AC5" s="8">
        <f>IF(ISBLANK([1]DFsmonkeyCompl!AE6),"",[1]DFsmonkeyCompl!AE6)</f>
        <v>100</v>
      </c>
      <c r="AD5" s="8">
        <f>IF(ISBLANK([1]DFsmonkeyCompl!AF6),"",[1]DFsmonkeyCompl!AF6)</f>
        <v>0</v>
      </c>
      <c r="AE5" s="8" t="str">
        <f>IF(ISBLANK([1]DFsmonkeyCompl!AG6),"",[1]DFsmonkeyCompl!AG6)</f>
        <v>No change</v>
      </c>
      <c r="AF5" s="8" t="str">
        <f>IF(ISBLANK([1]DFsmonkeyCompl!AH6),"",[1]DFsmonkeyCompl!AH6)</f>
        <v>No</v>
      </c>
    </row>
    <row r="6" spans="1:32" ht="14.25" thickTop="1" thickBot="1" x14ac:dyDescent="0.25">
      <c r="A6" s="9" t="str">
        <f>IF(OR(ISTEXT([1]DFsmonkeyCompl!J7),ISNUMBER([1]DFsmonkeyCompl!J7)),[1]DFsmonkeyCompl!J7,"")</f>
        <v xml:space="preserve">LaSalle Investment Management </v>
      </c>
      <c r="B6" s="6" t="str">
        <f>IF(OR(ISTEXT([1]DFsmonkeyCompl!K7),ISNUMBER([1]DFsmonkeyCompl!K7)),[1]DFsmonkeyCompl!K7,"")</f>
        <v>LaSalle Real Estate Debt Strategies IV</v>
      </c>
      <c r="C6" s="7" cm="1">
        <f t="array" ref="C6">INDEX([1]DebtFundUniverse!$A$85:$A$95,MATCH(B6,[1]DebtFundUniverse!$B$85:$B$95,0),0)</f>
        <v>105571</v>
      </c>
      <c r="D6" s="6" t="str">
        <f>INDEX([1]DebtFundUniverse!$B$2:$EU$200,MATCH(DFanalysis[[#This Row],[ID]],[1]DebtFundUniverse!$A$2:$A$200,0),MATCH(DFanalysis[[#Headers],[Loan Strategy]],[1]DebtFundUniverse!$B$1:$EU$1,0))</f>
        <v>Subordinated: Junior+Mezzanine</v>
      </c>
      <c r="E6" s="6" t="str">
        <f>INDEX([1]DebtFundUniverse!$B$2:$EU$200,MATCH(DFanalysis[[#This Row],[ID]],[1]DebtFundUniverse!$A$2:$A$200,0),MATCH(DFanalysis[[#Headers],[Target Regional Strategy]],[1]DebtFundUniverse!$B$1:$EU$1,0))</f>
        <v>Europe</v>
      </c>
      <c r="F6" s="6" t="str">
        <f>INDEX([1]DebtFundUniverse!$B$2:$EU$200,MATCH(DFanalysis[[#This Row],[ID]],[1]DebtFundUniverse!$A$2:$A$200,0),MATCH(DFanalysis[[#Headers],[Vehicle Structure]],[1]DebtFundUniverse!$B$1:$EU$1,0))</f>
        <v>Closed end</v>
      </c>
      <c r="G6" s="6">
        <f>INDEX([1]DebtFundUniverse!$B$2:$EU$200,MATCH(DFanalysis[[#This Row],[ID]],[1]DebtFundUniverse!$A$2:$A$200,0),MATCH(DFanalysis[[#Headers],[year of first closing]],[1]DebtFundUniverse!$B$1:$EU$1,0))</f>
        <v>2020</v>
      </c>
      <c r="H6" s="6" t="str">
        <f>IF(ISBLANK([1]DFsmonkeyCompl!L7),"",[1]DFsmonkeyCompl!L7)</f>
        <v>Yes</v>
      </c>
      <c r="I6" s="6" t="str">
        <f>IF(ISBLANK([1]DFsmonkeyCompl!M7),"",[1]DFsmonkeyCompl!M7)</f>
        <v/>
      </c>
      <c r="J6" s="6" t="str">
        <f>IF(ISBLANK([1]DFsmonkeyCompl!N7),"",[1]DFsmonkeyCompl!N7)</f>
        <v/>
      </c>
      <c r="K6" s="6" t="str">
        <f>INDEX([1]DebtFundUniverse!$B$2:$EU$200,MATCH(DFanalysis[[#This Row],[ID]],[1]DebtFundUniverse!$A$2:$A$200,0),MATCH(DFanalysis[[#Headers],[Currency of Reporting]],[1]DebtFundUniverse!$B$1:$EU$1,0))</f>
        <v>EUR</v>
      </c>
      <c r="L6" s="8">
        <f>VLOOKUP(DFanalysis[[#This Row],[Currency of Reporting]],'[1]Xrate31.12.20'!$K$1:$M$25,3,0)</f>
        <v>1</v>
      </c>
      <c r="M6" s="8">
        <f>IFERROR(IF(ISBLANK([1]DFsmonkeyCompl!O7),"",[1]DFsmonkeyCompl!O7*DFanalysis[[#This Row],[EUR]]),"")</f>
        <v>435</v>
      </c>
      <c r="N6" s="8">
        <f>IFERROR(IF(ISBLANK([1]DFsmonkeyCompl!P7),"",[1]DFsmonkeyCompl!P7*DFanalysis[[#This Row],[EUR]]),"")</f>
        <v>310</v>
      </c>
      <c r="O6" s="8">
        <f>IFERROR(IF(ISBLANK([1]DFsmonkeyCompl!Q7),"",[1]DFsmonkeyCompl!Q7*DFanalysis[[#This Row],[EUR]]),"")</f>
        <v>100</v>
      </c>
      <c r="P6" s="8" t="str">
        <f>IFERROR(IF(ISBLANK([1]DFsmonkeyCompl!R7),"",[1]DFsmonkeyCompl!R7*DFanalysis[[#This Row],[EUR]]),"")</f>
        <v/>
      </c>
      <c r="Q6" s="8" t="str">
        <f>IFERROR(IF(ISBLANK([1]DFsmonkeyCompl!S7),"",[1]DFsmonkeyCompl!S7*DFanalysis[[#This Row],[EUR]]),"")</f>
        <v/>
      </c>
      <c r="R6" s="8" t="str">
        <f>IFERROR(IF(ISBLANK([1]DFsmonkeyCompl!T7),"",[1]DFsmonkeyCompl!T7*DFanalysis[[#This Row],[EUR]]),"")</f>
        <v/>
      </c>
      <c r="S6" s="8" t="str">
        <f>IFERROR(IF(ISBLANK([1]DFsmonkeyCompl!U7),"",[1]DFsmonkeyCompl!U7*DFanalysis[[#This Row],[EUR]]),"")</f>
        <v/>
      </c>
      <c r="T6" s="8" t="str">
        <f>IFERROR(IF(ISBLANK([1]DFsmonkeyCompl!V7),"",[1]DFsmonkeyCompl!V7*DFanalysis[[#This Row],[EUR]]),"")</f>
        <v/>
      </c>
      <c r="U6" s="8">
        <f>IFERROR(IF(ISBLANK([1]DFsmonkeyCompl!W7),"",[1]DFsmonkeyCompl!W7*DFanalysis[[#This Row],[EUR]]),"")</f>
        <v>25</v>
      </c>
      <c r="V6" s="8">
        <f>IFERROR(IF(ISBLANK([1]DFsmonkeyCompl!X7),"",[1]DFsmonkeyCompl!X7*DFanalysis[[#This Row],[EUR]]),"")</f>
        <v>180</v>
      </c>
      <c r="W6" s="8">
        <f>IFERROR(IF(ISBLANK([1]DFsmonkeyCompl!Y7),"",[1]DFsmonkeyCompl!Y7*DFanalysis[[#This Row],[EUR]]),"")</f>
        <v>230</v>
      </c>
      <c r="X6" s="8">
        <f>IFERROR(IF(ISBLANK([1]DFsmonkeyCompl!Z7),"",[1]DFsmonkeyCompl!Z7*DFanalysis[[#This Row],[EUR]]),"")</f>
        <v>25</v>
      </c>
      <c r="Y6" s="8" t="str">
        <f>IFERROR(IF(ISBLANK([1]DFsmonkeyCompl!AA7),"",[1]DFsmonkeyCompl!AA7*DFanalysis[[#This Row],[EUR]]),"")</f>
        <v/>
      </c>
      <c r="Z6" s="8" t="str">
        <f>IFERROR(IF(ISBLANK([1]DFsmonkeyCompl!AB7),"",[1]DFsmonkeyCompl!AB7*DFanalysis[[#This Row],[EUR]]),"")</f>
        <v/>
      </c>
      <c r="AA6" s="8" t="str">
        <f>IF(ISBLANK([1]DFsmonkeyCompl!AC7),"",[1]DFsmonkeyCompl!AC7)</f>
        <v/>
      </c>
      <c r="AB6" s="8" t="str">
        <f>IF(ISBLANK([1]DFsmonkeyCompl!AD7),"",[1]DFsmonkeyCompl!AD7)</f>
        <v/>
      </c>
      <c r="AC6" s="8">
        <f>IF(ISBLANK([1]DFsmonkeyCompl!AE7),"",[1]DFsmonkeyCompl!AE7)</f>
        <v>100</v>
      </c>
      <c r="AD6" s="8" t="str">
        <f>IF(ISBLANK([1]DFsmonkeyCompl!AF7),"",[1]DFsmonkeyCompl!AF7)</f>
        <v/>
      </c>
      <c r="AE6" s="8" t="str">
        <f>IF(ISBLANK([1]DFsmonkeyCompl!AG7),"",[1]DFsmonkeyCompl!AG7)</f>
        <v>Increase</v>
      </c>
      <c r="AF6" s="8" t="str">
        <f>IF(ISBLANK([1]DFsmonkeyCompl!AH7),"",[1]DFsmonkeyCompl!AH7)</f>
        <v>Yes</v>
      </c>
    </row>
    <row r="7" spans="1:32" ht="14.25" thickTop="1" thickBot="1" x14ac:dyDescent="0.25">
      <c r="A7" s="5" t="str">
        <f>IF(OR(ISTEXT([1]DFsmonkeyCompl!J8),ISNUMBER([1]DFsmonkeyCompl!J8)),[1]DFsmonkeyCompl!J8,"")</f>
        <v>Octopus Investments</v>
      </c>
      <c r="B7" s="6" t="str">
        <f>IF(OR(ISTEXT([1]DFsmonkeyCompl!K8),ISNUMBER([1]DFsmonkeyCompl!K8)),[1]DFsmonkeyCompl!K8,"")</f>
        <v xml:space="preserve">Commercial Real Estate Debt Fund </v>
      </c>
      <c r="C7" s="7">
        <v>18415</v>
      </c>
      <c r="D7" s="6" t="str">
        <f>INDEX([1]DebtFundUniverse!$B$2:$EU$200,MATCH(DFanalysis[[#This Row],[ID]],[1]DebtFundUniverse!$A$2:$A$200,0),MATCH(DFanalysis[[#Headers],[Loan Strategy]],[1]DebtFundUniverse!$B$1:$EU$1,0))</f>
        <v>Senior</v>
      </c>
      <c r="E7" s="6" t="str">
        <f>INDEX([1]DebtFundUniverse!$B$2:$EU$200,MATCH(DFanalysis[[#This Row],[ID]],[1]DebtFundUniverse!$A$2:$A$200,0),MATCH(DFanalysis[[#Headers],[Target Regional Strategy]],[1]DebtFundUniverse!$B$1:$EU$1,0))</f>
        <v>Europe</v>
      </c>
      <c r="F7" s="6" t="str">
        <f>INDEX([1]DebtFundUniverse!$B$2:$EU$200,MATCH(DFanalysis[[#This Row],[ID]],[1]DebtFundUniverse!$A$2:$A$200,0),MATCH(DFanalysis[[#Headers],[Vehicle Structure]],[1]DebtFundUniverse!$B$1:$EU$1,0))</f>
        <v>Closed end</v>
      </c>
      <c r="G7" s="6">
        <f>INDEX([1]DebtFundUniverse!$B$2:$EU$200,MATCH(DFanalysis[[#This Row],[ID]],[1]DebtFundUniverse!$A$2:$A$200,0),MATCH(DFanalysis[[#Headers],[year of first closing]],[1]DebtFundUniverse!$B$1:$EU$1,0))</f>
        <v>2014</v>
      </c>
      <c r="H7" s="6" t="str">
        <f>IF(ISBLANK([1]DFsmonkeyCompl!L8),"",[1]DFsmonkeyCompl!L8)</f>
        <v>No</v>
      </c>
      <c r="I7" s="6" t="str">
        <f>IF(ISBLANK([1]DFsmonkeyCompl!M8),"",[1]DFsmonkeyCompl!M8)</f>
        <v>Other (please specify)</v>
      </c>
      <c r="J7" s="6" t="str">
        <f>IF(ISBLANK([1]DFsmonkeyCompl!N8),"",[1]DFsmonkeyCompl!N8)</f>
        <v xml:space="preserve">Market </v>
      </c>
      <c r="K7" s="6" t="str">
        <f>INDEX([1]DebtFundUniverse!$B$2:$EU$200,MATCH(DFanalysis[[#This Row],[ID]],[1]DebtFundUniverse!$A$2:$A$200,0),MATCH(DFanalysis[[#Headers],[Currency of Reporting]],[1]DebtFundUniverse!$B$1:$EU$1,0))</f>
        <v>GBP</v>
      </c>
      <c r="L7" s="8">
        <f>VLOOKUP(DFanalysis[[#This Row],[Currency of Reporting]],'[1]Xrate31.12.20'!$K$1:$M$25,3,0)</f>
        <v>1.1130927885999999</v>
      </c>
      <c r="M7" s="8" t="str">
        <f>IFERROR(IF(ISBLANK([1]DFsmonkeyCompl!O8),"",[1]DFsmonkeyCompl!O8*DFanalysis[[#This Row],[EUR]]),"")</f>
        <v/>
      </c>
      <c r="N7" s="8" t="str">
        <f>IFERROR(IF(ISBLANK([1]DFsmonkeyCompl!P8),"",[1]DFsmonkeyCompl!P8*DFanalysis[[#This Row],[EUR]]),"")</f>
        <v/>
      </c>
      <c r="O7" s="8" t="str">
        <f>IFERROR(IF(ISBLANK([1]DFsmonkeyCompl!Q8),"",[1]DFsmonkeyCompl!Q8*DFanalysis[[#This Row],[EUR]]),"")</f>
        <v/>
      </c>
      <c r="P7" s="8" t="str">
        <f>IFERROR(IF(ISBLANK([1]DFsmonkeyCompl!R8),"",[1]DFsmonkeyCompl!R8*DFanalysis[[#This Row],[EUR]]),"")</f>
        <v/>
      </c>
      <c r="Q7" s="8" t="str">
        <f>IFERROR(IF(ISBLANK([1]DFsmonkeyCompl!S8),"",[1]DFsmonkeyCompl!S8*DFanalysis[[#This Row],[EUR]]),"")</f>
        <v/>
      </c>
      <c r="R7" s="8" t="str">
        <f>IFERROR(IF(ISBLANK([1]DFsmonkeyCompl!T8),"",[1]DFsmonkeyCompl!T8*DFanalysis[[#This Row],[EUR]]),"")</f>
        <v/>
      </c>
      <c r="S7" s="8" t="str">
        <f>IFERROR(IF(ISBLANK([1]DFsmonkeyCompl!U8),"",[1]DFsmonkeyCompl!U8*DFanalysis[[#This Row],[EUR]]),"")</f>
        <v/>
      </c>
      <c r="T7" s="8" t="str">
        <f>IFERROR(IF(ISBLANK([1]DFsmonkeyCompl!V8),"",[1]DFsmonkeyCompl!V8*DFanalysis[[#This Row],[EUR]]),"")</f>
        <v/>
      </c>
      <c r="U7" s="8" t="str">
        <f>IFERROR(IF(ISBLANK([1]DFsmonkeyCompl!W8),"",[1]DFsmonkeyCompl!W8*DFanalysis[[#This Row],[EUR]]),"")</f>
        <v/>
      </c>
      <c r="V7" s="8" t="str">
        <f>IFERROR(IF(ISBLANK([1]DFsmonkeyCompl!X8),"",[1]DFsmonkeyCompl!X8*DFanalysis[[#This Row],[EUR]]),"")</f>
        <v/>
      </c>
      <c r="W7" s="8" t="str">
        <f>IFERROR(IF(ISBLANK([1]DFsmonkeyCompl!Y8),"",[1]DFsmonkeyCompl!Y8*DFanalysis[[#This Row],[EUR]]),"")</f>
        <v/>
      </c>
      <c r="X7" s="8" t="str">
        <f>IFERROR(IF(ISBLANK([1]DFsmonkeyCompl!Z8),"",[1]DFsmonkeyCompl!Z8*DFanalysis[[#This Row],[EUR]]),"")</f>
        <v/>
      </c>
      <c r="Y7" s="8" t="str">
        <f>IFERROR(IF(ISBLANK([1]DFsmonkeyCompl!AA8),"",[1]DFsmonkeyCompl!AA8*DFanalysis[[#This Row],[EUR]]),"")</f>
        <v/>
      </c>
      <c r="Z7" s="8" t="str">
        <f>IFERROR(IF(ISBLANK([1]DFsmonkeyCompl!AB8),"",[1]DFsmonkeyCompl!AB8*DFanalysis[[#This Row],[EUR]]),"")</f>
        <v/>
      </c>
      <c r="AA7" s="8" t="str">
        <f>IF(ISBLANK([1]DFsmonkeyCompl!AC8),"",[1]DFsmonkeyCompl!AC8)</f>
        <v/>
      </c>
      <c r="AB7" s="8" t="str">
        <f>IF(ISBLANK([1]DFsmonkeyCompl!AD8),"",[1]DFsmonkeyCompl!AD8)</f>
        <v/>
      </c>
      <c r="AC7" s="8" t="str">
        <f>IF(ISBLANK([1]DFsmonkeyCompl!AE8),"",[1]DFsmonkeyCompl!AE8)</f>
        <v/>
      </c>
      <c r="AD7" s="8" t="str">
        <f>IF(ISBLANK([1]DFsmonkeyCompl!AF8),"",[1]DFsmonkeyCompl!AF8)</f>
        <v/>
      </c>
      <c r="AE7" s="8" t="str">
        <f>IF(ISBLANK([1]DFsmonkeyCompl!AG8),"",[1]DFsmonkeyCompl!AG8)</f>
        <v>Increase</v>
      </c>
      <c r="AF7" s="8" t="str">
        <f>IF(ISBLANK([1]DFsmonkeyCompl!AH8),"",[1]DFsmonkeyCompl!AH8)</f>
        <v>Yes</v>
      </c>
    </row>
    <row r="8" spans="1:32" ht="14.25" thickTop="1" thickBot="1" x14ac:dyDescent="0.25">
      <c r="A8" s="9" t="str">
        <f>IF(OR(ISTEXT([1]DFsmonkeyCompl!J9),ISNUMBER([1]DFsmonkeyCompl!J9)),[1]DFsmonkeyCompl!J9,"")</f>
        <v>LaSalle Investment Management</v>
      </c>
      <c r="B8" s="6" t="str">
        <f>IF(OR(ISTEXT([1]DFsmonkeyCompl!K9),ISNUMBER([1]DFsmonkeyCompl!K9)),[1]DFsmonkeyCompl!K9,"")</f>
        <v>LaSalle Whole Loan Strategy I</v>
      </c>
      <c r="C8" s="7" cm="1">
        <f t="array" ref="C8">INDEX([1]DebtFundUniverse!$A$85:$A$95,MATCH(B8,[1]DebtFundUniverse!$B$85:$B$95,0),0)</f>
        <v>101287</v>
      </c>
      <c r="D8" s="6" t="str">
        <f>INDEX([1]DebtFundUniverse!$B$2:$EU$200,MATCH(DFanalysis[[#This Row],[ID]],[1]DebtFundUniverse!$A$2:$A$200,0),MATCH(DFanalysis[[#Headers],[Loan Strategy]],[1]DebtFundUniverse!$B$1:$EU$1,0))</f>
        <v>Whole Loans</v>
      </c>
      <c r="E8" s="6" t="str">
        <f>INDEX([1]DebtFundUniverse!$B$2:$EU$200,MATCH(DFanalysis[[#This Row],[ID]],[1]DebtFundUniverse!$A$2:$A$200,0),MATCH(DFanalysis[[#Headers],[Target Regional Strategy]],[1]DebtFundUniverse!$B$1:$EU$1,0))</f>
        <v>Europe</v>
      </c>
      <c r="F8" s="6" t="str">
        <f>INDEX([1]DebtFundUniverse!$B$2:$EU$200,MATCH(DFanalysis[[#This Row],[ID]],[1]DebtFundUniverse!$A$2:$A$200,0),MATCH(DFanalysis[[#Headers],[Vehicle Structure]],[1]DebtFundUniverse!$B$1:$EU$1,0))</f>
        <v>Closed end</v>
      </c>
      <c r="G8" s="6">
        <f>INDEX([1]DebtFundUniverse!$B$2:$EU$200,MATCH(DFanalysis[[#This Row],[ID]],[1]DebtFundUniverse!$A$2:$A$200,0),MATCH(DFanalysis[[#Headers],[year of first closing]],[1]DebtFundUniverse!$B$1:$EU$1,0))</f>
        <v>2019</v>
      </c>
      <c r="H8" s="6" t="str">
        <f>IF(ISBLANK([1]DFsmonkeyCompl!L9),"",[1]DFsmonkeyCompl!L9)</f>
        <v>Yes</v>
      </c>
      <c r="I8" s="6" t="str">
        <f>IF(ISBLANK([1]DFsmonkeyCompl!M9),"",[1]DFsmonkeyCompl!M9)</f>
        <v/>
      </c>
      <c r="J8" s="6" t="str">
        <f>IF(ISBLANK([1]DFsmonkeyCompl!N9),"",[1]DFsmonkeyCompl!N9)</f>
        <v/>
      </c>
      <c r="K8" s="6" t="str">
        <f>INDEX([1]DebtFundUniverse!$B$2:$EU$200,MATCH(DFanalysis[[#This Row],[ID]],[1]DebtFundUniverse!$A$2:$A$200,0),MATCH(DFanalysis[[#Headers],[Currency of Reporting]],[1]DebtFundUniverse!$B$1:$EU$1,0))</f>
        <v>EUR</v>
      </c>
      <c r="L8" s="8">
        <f>VLOOKUP(DFanalysis[[#This Row],[Currency of Reporting]],'[1]Xrate31.12.20'!$K$1:$M$25,3,0)</f>
        <v>1</v>
      </c>
      <c r="M8" s="8">
        <f>IFERROR(IF(ISBLANK([1]DFsmonkeyCompl!O9),"",[1]DFsmonkeyCompl!O9*DFanalysis[[#This Row],[EUR]]),"")</f>
        <v>300</v>
      </c>
      <c r="N8" s="8" t="str">
        <f>IFERROR(IF(ISBLANK([1]DFsmonkeyCompl!P9),"",[1]DFsmonkeyCompl!P9*DFanalysis[[#This Row],[EUR]]),"")</f>
        <v/>
      </c>
      <c r="O8" s="8">
        <f>IFERROR(IF(ISBLANK([1]DFsmonkeyCompl!Q9),"",[1]DFsmonkeyCompl!Q9*DFanalysis[[#This Row],[EUR]]),"")</f>
        <v>300</v>
      </c>
      <c r="P8" s="8" t="str">
        <f>IFERROR(IF(ISBLANK([1]DFsmonkeyCompl!R9),"",[1]DFsmonkeyCompl!R9*DFanalysis[[#This Row],[EUR]]),"")</f>
        <v/>
      </c>
      <c r="Q8" s="8" t="str">
        <f>IFERROR(IF(ISBLANK([1]DFsmonkeyCompl!S9),"",[1]DFsmonkeyCompl!S9*DFanalysis[[#This Row],[EUR]]),"")</f>
        <v/>
      </c>
      <c r="R8" s="8" t="str">
        <f>IFERROR(IF(ISBLANK([1]DFsmonkeyCompl!T9),"",[1]DFsmonkeyCompl!T9*DFanalysis[[#This Row],[EUR]]),"")</f>
        <v/>
      </c>
      <c r="S8" s="8" t="str">
        <f>IFERROR(IF(ISBLANK([1]DFsmonkeyCompl!U9),"",[1]DFsmonkeyCompl!U9*DFanalysis[[#This Row],[EUR]]),"")</f>
        <v/>
      </c>
      <c r="T8" s="8" t="str">
        <f>IFERROR(IF(ISBLANK([1]DFsmonkeyCompl!V9),"",[1]DFsmonkeyCompl!V9*DFanalysis[[#This Row],[EUR]]),"")</f>
        <v/>
      </c>
      <c r="U8" s="8" t="str">
        <f>IFERROR(IF(ISBLANK([1]DFsmonkeyCompl!W9),"",[1]DFsmonkeyCompl!W9*DFanalysis[[#This Row],[EUR]]),"")</f>
        <v/>
      </c>
      <c r="V8" s="8">
        <f>IFERROR(IF(ISBLANK([1]DFsmonkeyCompl!X9),"",[1]DFsmonkeyCompl!X9*DFanalysis[[#This Row],[EUR]]),"")</f>
        <v>300</v>
      </c>
      <c r="W8" s="8" t="str">
        <f>IFERROR(IF(ISBLANK([1]DFsmonkeyCompl!Y9),"",[1]DFsmonkeyCompl!Y9*DFanalysis[[#This Row],[EUR]]),"")</f>
        <v/>
      </c>
      <c r="X8" s="8" t="str">
        <f>IFERROR(IF(ISBLANK([1]DFsmonkeyCompl!Z9),"",[1]DFsmonkeyCompl!Z9*DFanalysis[[#This Row],[EUR]]),"")</f>
        <v/>
      </c>
      <c r="Y8" s="8" t="str">
        <f>IFERROR(IF(ISBLANK([1]DFsmonkeyCompl!AA9),"",[1]DFsmonkeyCompl!AA9*DFanalysis[[#This Row],[EUR]]),"")</f>
        <v/>
      </c>
      <c r="Z8" s="8" t="str">
        <f>IFERROR(IF(ISBLANK([1]DFsmonkeyCompl!AB9),"",[1]DFsmonkeyCompl!AB9*DFanalysis[[#This Row],[EUR]]),"")</f>
        <v/>
      </c>
      <c r="AA8" s="8" t="str">
        <f>IF(ISBLANK([1]DFsmonkeyCompl!AC9),"",[1]DFsmonkeyCompl!AC9)</f>
        <v/>
      </c>
      <c r="AB8" s="8" t="str">
        <f>IF(ISBLANK([1]DFsmonkeyCompl!AD9),"",[1]DFsmonkeyCompl!AD9)</f>
        <v/>
      </c>
      <c r="AC8" s="8">
        <f>IF(ISBLANK([1]DFsmonkeyCompl!AE9),"",[1]DFsmonkeyCompl!AE9)</f>
        <v>100</v>
      </c>
      <c r="AD8" s="8" t="str">
        <f>IF(ISBLANK([1]DFsmonkeyCompl!AF9),"",[1]DFsmonkeyCompl!AF9)</f>
        <v/>
      </c>
      <c r="AE8" s="8" t="str">
        <f>IF(ISBLANK([1]DFsmonkeyCompl!AG9),"",[1]DFsmonkeyCompl!AG9)</f>
        <v>Increase</v>
      </c>
      <c r="AF8" s="8" t="str">
        <f>IF(ISBLANK([1]DFsmonkeyCompl!AH9),"",[1]DFsmonkeyCompl!AH9)</f>
        <v>Yes</v>
      </c>
    </row>
    <row r="9" spans="1:32" ht="13.5" thickTop="1" x14ac:dyDescent="0.2">
      <c r="A9" s="5" t="str">
        <f>IF(OR(ISTEXT([1]DFsmonkeyCompl!J10),ISNUMBER([1]DFsmonkeyCompl!J10)),[1]DFsmonkeyCompl!J10,"")</f>
        <v>LaSalle Investment Management</v>
      </c>
      <c r="B9" s="6" t="str">
        <f>IF(OR(ISTEXT([1]DFsmonkeyCompl!K10),ISNUMBER([1]DFsmonkeyCompl!K10)),[1]DFsmonkeyCompl!K10,"")</f>
        <v>LaSalle Real Estate Strategies IV</v>
      </c>
      <c r="C9" s="7" cm="1">
        <f t="array" ref="C9">INDEX([1]DebtFundUniverse!$A$85:$A$95,MATCH(B9,[1]DebtFundUniverse!$B$85:$B$95,0),0)</f>
        <v>105571</v>
      </c>
      <c r="D9" s="6" t="str">
        <f>INDEX([1]DebtFundUniverse!$B$2:$EU$200,MATCH(DFanalysis[[#This Row],[ID]],[1]DebtFundUniverse!$A$2:$A$200,0),MATCH(DFanalysis[[#Headers],[Loan Strategy]],[1]DebtFundUniverse!$B$1:$EU$1,0))</f>
        <v>Subordinated: Junior+Mezzanine</v>
      </c>
      <c r="E9" s="6" t="str">
        <f>INDEX([1]DebtFundUniverse!$B$2:$EU$200,MATCH(DFanalysis[[#This Row],[ID]],[1]DebtFundUniverse!$A$2:$A$200,0),MATCH(DFanalysis[[#Headers],[Target Regional Strategy]],[1]DebtFundUniverse!$B$1:$EU$1,0))</f>
        <v>Europe</v>
      </c>
      <c r="F9" s="6" t="str">
        <f>INDEX([1]DebtFundUniverse!$B$2:$EU$200,MATCH(DFanalysis[[#This Row],[ID]],[1]DebtFundUniverse!$A$2:$A$200,0),MATCH(DFanalysis[[#Headers],[Vehicle Structure]],[1]DebtFundUniverse!$B$1:$EU$1,0))</f>
        <v>Closed end</v>
      </c>
      <c r="G9" s="6">
        <f>INDEX([1]DebtFundUniverse!$B$2:$EU$200,MATCH(DFanalysis[[#This Row],[ID]],[1]DebtFundUniverse!$A$2:$A$200,0),MATCH(DFanalysis[[#Headers],[year of first closing]],[1]DebtFundUniverse!$B$1:$EU$1,0))</f>
        <v>2020</v>
      </c>
      <c r="H9" s="6" t="str">
        <f>IF(ISBLANK([1]DFsmonkeyCompl!L10),"",[1]DFsmonkeyCompl!L10)</f>
        <v>Yes</v>
      </c>
      <c r="I9" s="6" t="str">
        <f>IF(ISBLANK([1]DFsmonkeyCompl!M10),"",[1]DFsmonkeyCompl!M10)</f>
        <v/>
      </c>
      <c r="J9" s="6" t="str">
        <f>IF(ISBLANK([1]DFsmonkeyCompl!N10),"",[1]DFsmonkeyCompl!N10)</f>
        <v/>
      </c>
      <c r="K9" s="6" t="str">
        <f>INDEX([1]DebtFundUniverse!$B$2:$EU$200,MATCH(DFanalysis[[#This Row],[ID]],[1]DebtFundUniverse!$A$2:$A$200,0),MATCH(DFanalysis[[#Headers],[Currency of Reporting]],[1]DebtFundUniverse!$B$1:$EU$1,0))</f>
        <v>EUR</v>
      </c>
      <c r="L9" s="8">
        <f>VLOOKUP(DFanalysis[[#This Row],[Currency of Reporting]],'[1]Xrate31.12.20'!$K$1:$M$25,3,0)</f>
        <v>1</v>
      </c>
      <c r="M9" s="8" t="str">
        <f>IFERROR(IF(ISBLANK([1]DFsmonkeyCompl!O10),"",[1]DFsmonkeyCompl!O10*DFanalysis[[#This Row],[EUR]]),"")</f>
        <v/>
      </c>
      <c r="N9" s="8" t="str">
        <f>IFERROR(IF(ISBLANK([1]DFsmonkeyCompl!P10),"",[1]DFsmonkeyCompl!P10*DFanalysis[[#This Row],[EUR]]),"")</f>
        <v/>
      </c>
      <c r="O9" s="8" t="str">
        <f>IFERROR(IF(ISBLANK([1]DFsmonkeyCompl!Q10),"",[1]DFsmonkeyCompl!Q10*DFanalysis[[#This Row],[EUR]]),"")</f>
        <v/>
      </c>
      <c r="P9" s="8" t="str">
        <f>IFERROR(IF(ISBLANK([1]DFsmonkeyCompl!R10),"",[1]DFsmonkeyCompl!R10*DFanalysis[[#This Row],[EUR]]),"")</f>
        <v/>
      </c>
      <c r="Q9" s="8" t="str">
        <f>IFERROR(IF(ISBLANK([1]DFsmonkeyCompl!S10),"",[1]DFsmonkeyCompl!S10*DFanalysis[[#This Row],[EUR]]),"")</f>
        <v/>
      </c>
      <c r="R9" s="8" t="str">
        <f>IFERROR(IF(ISBLANK([1]DFsmonkeyCompl!T10),"",[1]DFsmonkeyCompl!T10*DFanalysis[[#This Row],[EUR]]),"")</f>
        <v/>
      </c>
      <c r="S9" s="8" t="str">
        <f>IFERROR(IF(ISBLANK([1]DFsmonkeyCompl!U10),"",[1]DFsmonkeyCompl!U10*DFanalysis[[#This Row],[EUR]]),"")</f>
        <v/>
      </c>
      <c r="T9" s="8" t="str">
        <f>IFERROR(IF(ISBLANK([1]DFsmonkeyCompl!V10),"",[1]DFsmonkeyCompl!V10*DFanalysis[[#This Row],[EUR]]),"")</f>
        <v/>
      </c>
      <c r="U9" s="8" t="str">
        <f>IFERROR(IF(ISBLANK([1]DFsmonkeyCompl!W10),"",[1]DFsmonkeyCompl!W10*DFanalysis[[#This Row],[EUR]]),"")</f>
        <v/>
      </c>
      <c r="V9" s="8" t="str">
        <f>IFERROR(IF(ISBLANK([1]DFsmonkeyCompl!X10),"",[1]DFsmonkeyCompl!X10*DFanalysis[[#This Row],[EUR]]),"")</f>
        <v/>
      </c>
      <c r="W9" s="8" t="str">
        <f>IFERROR(IF(ISBLANK([1]DFsmonkeyCompl!Y10),"",[1]DFsmonkeyCompl!Y10*DFanalysis[[#This Row],[EUR]]),"")</f>
        <v/>
      </c>
      <c r="X9" s="8" t="str">
        <f>IFERROR(IF(ISBLANK([1]DFsmonkeyCompl!Z10),"",[1]DFsmonkeyCompl!Z10*DFanalysis[[#This Row],[EUR]]),"")</f>
        <v/>
      </c>
      <c r="Y9" s="8" t="str">
        <f>IFERROR(IF(ISBLANK([1]DFsmonkeyCompl!AA10),"",[1]DFsmonkeyCompl!AA10*DFanalysis[[#This Row],[EUR]]),"")</f>
        <v/>
      </c>
      <c r="Z9" s="8" t="str">
        <f>IFERROR(IF(ISBLANK([1]DFsmonkeyCompl!AB10),"",[1]DFsmonkeyCompl!AB10*DFanalysis[[#This Row],[EUR]]),"")</f>
        <v/>
      </c>
      <c r="AA9" s="8" t="str">
        <f>IF(ISBLANK([1]DFsmonkeyCompl!AC10),"",[1]DFsmonkeyCompl!AC10)</f>
        <v/>
      </c>
      <c r="AB9" s="8" t="str">
        <f>IF(ISBLANK([1]DFsmonkeyCompl!AD10),"",[1]DFsmonkeyCompl!AD10)</f>
        <v/>
      </c>
      <c r="AC9" s="8" t="str">
        <f>IF(ISBLANK([1]DFsmonkeyCompl!AE10),"",[1]DFsmonkeyCompl!AE10)</f>
        <v/>
      </c>
      <c r="AD9" s="8" t="str">
        <f>IF(ISBLANK([1]DFsmonkeyCompl!AF10),"",[1]DFsmonkeyCompl!AF10)</f>
        <v/>
      </c>
      <c r="AE9" s="8" t="str">
        <f>IF(ISBLANK([1]DFsmonkeyCompl!AG10),"",[1]DFsmonkeyCompl!AG10)</f>
        <v/>
      </c>
      <c r="AF9" s="8" t="str">
        <f>IF(ISBLANK([1]DFsmonkeyCompl!AH10),"",[1]DFsmonkeyCompl!AH10)</f>
        <v/>
      </c>
    </row>
    <row r="10" spans="1:32" x14ac:dyDescent="0.2">
      <c r="A10" s="5" t="str">
        <f>IF(OR(ISTEXT([1]DFsmonkeyCompl!J11),ISNUMBER([1]DFsmonkeyCompl!J11)),[1]DFsmonkeyCompl!J11,"")</f>
        <v>Octopus Real Estate</v>
      </c>
      <c r="B10" s="6" t="str">
        <f>IF(OR(ISTEXT([1]DFsmonkeyCompl!K11),ISNUMBER([1]DFsmonkeyCompl!K11)),[1]DFsmonkeyCompl!K11,"")</f>
        <v>CREDF II-S</v>
      </c>
      <c r="C10" s="7">
        <v>73412</v>
      </c>
      <c r="D10" s="6" t="str">
        <f>INDEX([1]DebtFundUniverse!$B$2:$EU$200,MATCH(DFanalysis[[#This Row],[ID]],[1]DebtFundUniverse!$A$2:$A$200,0),MATCH(DFanalysis[[#Headers],[Loan Strategy]],[1]DebtFundUniverse!$B$1:$EU$1,0))</f>
        <v>Subordinated: Junior+Mezzanine</v>
      </c>
      <c r="E10" s="6" t="str">
        <f>INDEX([1]DebtFundUniverse!$B$2:$EU$200,MATCH(DFanalysis[[#This Row],[ID]],[1]DebtFundUniverse!$A$2:$A$200,0),MATCH(DFanalysis[[#Headers],[Target Regional Strategy]],[1]DebtFundUniverse!$B$1:$EU$1,0))</f>
        <v>Europe</v>
      </c>
      <c r="F10" s="6" t="str">
        <f>INDEX([1]DebtFundUniverse!$B$2:$EU$200,MATCH(DFanalysis[[#This Row],[ID]],[1]DebtFundUniverse!$A$2:$A$200,0),MATCH(DFanalysis[[#Headers],[Vehicle Structure]],[1]DebtFundUniverse!$B$1:$EU$1,0))</f>
        <v>Closed end</v>
      </c>
      <c r="G10" s="6">
        <f>INDEX([1]DebtFundUniverse!$B$2:$EU$200,MATCH(DFanalysis[[#This Row],[ID]],[1]DebtFundUniverse!$A$2:$A$200,0),MATCH(DFanalysis[[#Headers],[year of first closing]],[1]DebtFundUniverse!$B$1:$EU$1,0))</f>
        <v>2017</v>
      </c>
      <c r="H10" s="6" t="str">
        <f>IF(ISBLANK([1]DFsmonkeyCompl!L11),"",[1]DFsmonkeyCompl!L11)</f>
        <v>Yes</v>
      </c>
      <c r="I10" s="6" t="str">
        <f>IF(ISBLANK([1]DFsmonkeyCompl!M11),"",[1]DFsmonkeyCompl!M11)</f>
        <v/>
      </c>
      <c r="J10" s="6" t="str">
        <f>IF(ISBLANK([1]DFsmonkeyCompl!N11),"",[1]DFsmonkeyCompl!N11)</f>
        <v/>
      </c>
      <c r="K10" s="6" t="str">
        <f>INDEX([1]DebtFundUniverse!$B$2:$EU$200,MATCH(DFanalysis[[#This Row],[ID]],[1]DebtFundUniverse!$A$2:$A$200,0),MATCH(DFanalysis[[#Headers],[Currency of Reporting]],[1]DebtFundUniverse!$B$1:$EU$1,0))</f>
        <v>GBP</v>
      </c>
      <c r="L10" s="8">
        <f>VLOOKUP(DFanalysis[[#This Row],[Currency of Reporting]],'[1]Xrate31.12.20'!$K$1:$M$25,3,0)</f>
        <v>1.1130927885999999</v>
      </c>
      <c r="M10" s="8">
        <f>IFERROR(IF(ISBLANK([1]DFsmonkeyCompl!O11),"",[1]DFsmonkeyCompl!O11*DFanalysis[[#This Row],[EUR]]),"")</f>
        <v>84.59505193359999</v>
      </c>
      <c r="N10" s="8">
        <f>IFERROR(IF(ISBLANK([1]DFsmonkeyCompl!P11),"",[1]DFsmonkeyCompl!P11*DFanalysis[[#This Row],[EUR]]),"")</f>
        <v>28.940412503599998</v>
      </c>
      <c r="O10" s="8" t="str">
        <f>IFERROR(IF(ISBLANK([1]DFsmonkeyCompl!Q11),"",[1]DFsmonkeyCompl!Q11*DFanalysis[[#This Row],[EUR]]),"")</f>
        <v/>
      </c>
      <c r="P10" s="8" t="str">
        <f>IFERROR(IF(ISBLANK([1]DFsmonkeyCompl!R11),"",[1]DFsmonkeyCompl!R11*DFanalysis[[#This Row],[EUR]]),"")</f>
        <v/>
      </c>
      <c r="Q10" s="8" t="str">
        <f>IFERROR(IF(ISBLANK([1]DFsmonkeyCompl!S11),"",[1]DFsmonkeyCompl!S11*DFanalysis[[#This Row],[EUR]]),"")</f>
        <v/>
      </c>
      <c r="R10" s="8" t="str">
        <f>IFERROR(IF(ISBLANK([1]DFsmonkeyCompl!T11),"",[1]DFsmonkeyCompl!T11*DFanalysis[[#This Row],[EUR]]),"")</f>
        <v/>
      </c>
      <c r="S10" s="8">
        <f>IFERROR(IF(ISBLANK([1]DFsmonkeyCompl!U11),"",[1]DFsmonkeyCompl!U11*DFanalysis[[#This Row],[EUR]]),"")</f>
        <v>55.654639429999996</v>
      </c>
      <c r="T10" s="8" t="str">
        <f>IFERROR(IF(ISBLANK([1]DFsmonkeyCompl!V11),"",[1]DFsmonkeyCompl!V11*DFanalysis[[#This Row],[EUR]]),"")</f>
        <v/>
      </c>
      <c r="U10" s="8" t="str">
        <f>IFERROR(IF(ISBLANK([1]DFsmonkeyCompl!W11),"",[1]DFsmonkeyCompl!W11*DFanalysis[[#This Row],[EUR]]),"")</f>
        <v/>
      </c>
      <c r="V10" s="8">
        <f>IFERROR(IF(ISBLANK([1]DFsmonkeyCompl!X11),"",[1]DFsmonkeyCompl!X11*DFanalysis[[#This Row],[EUR]]),"")</f>
        <v>84.59505193359999</v>
      </c>
      <c r="W10" s="8" t="str">
        <f>IFERROR(IF(ISBLANK([1]DFsmonkeyCompl!Y11),"",[1]DFsmonkeyCompl!Y11*DFanalysis[[#This Row],[EUR]]),"")</f>
        <v/>
      </c>
      <c r="X10" s="8" t="str">
        <f>IFERROR(IF(ISBLANK([1]DFsmonkeyCompl!Z11),"",[1]DFsmonkeyCompl!Z11*DFanalysis[[#This Row],[EUR]]),"")</f>
        <v/>
      </c>
      <c r="Y10" s="8" t="str">
        <f>IFERROR(IF(ISBLANK([1]DFsmonkeyCompl!AA11),"",[1]DFsmonkeyCompl!AA11*DFanalysis[[#This Row],[EUR]]),"")</f>
        <v/>
      </c>
      <c r="Z10" s="8" t="str">
        <f>IFERROR(IF(ISBLANK([1]DFsmonkeyCompl!AB11),"",[1]DFsmonkeyCompl!AB11*DFanalysis[[#This Row],[EUR]]),"")</f>
        <v/>
      </c>
      <c r="AA10" s="8">
        <f>IF(ISBLANK([1]DFsmonkeyCompl!AC11),"",[1]DFsmonkeyCompl!AC11)</f>
        <v>0</v>
      </c>
      <c r="AB10" s="8">
        <f>IF(ISBLANK([1]DFsmonkeyCompl!AD11),"",[1]DFsmonkeyCompl!AD11)</f>
        <v>0</v>
      </c>
      <c r="AC10" s="8">
        <f>IF(ISBLANK([1]DFsmonkeyCompl!AE11),"",[1]DFsmonkeyCompl!AE11)</f>
        <v>100</v>
      </c>
      <c r="AD10" s="8">
        <f>IF(ISBLANK([1]DFsmonkeyCompl!AF11),"",[1]DFsmonkeyCompl!AF11)</f>
        <v>0</v>
      </c>
      <c r="AE10" s="8" t="str">
        <f>IF(ISBLANK([1]DFsmonkeyCompl!AG11),"",[1]DFsmonkeyCompl!AG11)</f>
        <v>Increase</v>
      </c>
      <c r="AF10" s="8" t="str">
        <f>IF(ISBLANK([1]DFsmonkeyCompl!AH11),"",[1]DFsmonkeyCompl!AH11)</f>
        <v>Yes</v>
      </c>
    </row>
    <row r="11" spans="1:32" x14ac:dyDescent="0.2">
      <c r="A11" s="5" t="str">
        <f>IF(OR(ISTEXT([1]DFsmonkeyCompl!J12),ISNUMBER([1]DFsmonkeyCompl!J12)),[1]DFsmonkeyCompl!J12,"")</f>
        <v>AgFe LLP</v>
      </c>
      <c r="B11" s="6" t="str">
        <f>IF(OR(ISTEXT([1]DFsmonkeyCompl!K12),ISNUMBER([1]DFsmonkeyCompl!K12)),[1]DFsmonkeyCompl!K12,"")</f>
        <v>Managed Accounts</v>
      </c>
      <c r="C11" s="7">
        <v>17383</v>
      </c>
      <c r="D11" s="6" t="str">
        <f>INDEX([1]DebtFundUniverse!$B$2:$EU$200,MATCH(DFanalysis[[#This Row],[ID]],[1]DebtFundUniverse!$A$2:$A$200,0),MATCH(DFanalysis[[#Headers],[Loan Strategy]],[1]DebtFundUniverse!$B$1:$EU$1,0))</f>
        <v>Senior</v>
      </c>
      <c r="E11" s="6">
        <f>INDEX([1]DebtFundUniverse!$B$2:$EU$200,MATCH(DFanalysis[[#This Row],[ID]],[1]DebtFundUniverse!$A$2:$A$200,0),MATCH(DFanalysis[[#Headers],[Target Regional Strategy]],[1]DebtFundUniverse!$B$1:$EU$1,0))</f>
        <v>0</v>
      </c>
      <c r="F11" s="6" t="str">
        <f>INDEX([1]DebtFundUniverse!$B$2:$EU$200,MATCH(DFanalysis[[#This Row],[ID]],[1]DebtFundUniverse!$A$2:$A$200,0),MATCH(DFanalysis[[#Headers],[Vehicle Structure]],[1]DebtFundUniverse!$B$1:$EU$1,0))</f>
        <v>Closed end</v>
      </c>
      <c r="G11" s="6">
        <f>INDEX([1]DebtFundUniverse!$B$2:$EU$200,MATCH(DFanalysis[[#This Row],[ID]],[1]DebtFundUniverse!$A$2:$A$200,0),MATCH(DFanalysis[[#Headers],[year of first closing]],[1]DebtFundUniverse!$B$1:$EU$1,0))</f>
        <v>2014</v>
      </c>
      <c r="H11" s="6" t="str">
        <f>IF(ISBLANK([1]DFsmonkeyCompl!L12),"",[1]DFsmonkeyCompl!L12)</f>
        <v>Yes</v>
      </c>
      <c r="I11" s="6" t="str">
        <f>IF(ISBLANK([1]DFsmonkeyCompl!M12),"",[1]DFsmonkeyCompl!M12)</f>
        <v/>
      </c>
      <c r="J11" s="6" t="str">
        <f>IF(ISBLANK([1]DFsmonkeyCompl!N12),"",[1]DFsmonkeyCompl!N12)</f>
        <v/>
      </c>
      <c r="K11" s="6" t="str">
        <f>INDEX([1]DebtFundUniverse!$B$2:$EU$200,MATCH(DFanalysis[[#This Row],[ID]],[1]DebtFundUniverse!$A$2:$A$200,0),MATCH(DFanalysis[[#Headers],[Currency of Reporting]],[1]DebtFundUniverse!$B$1:$EU$1,0))</f>
        <v>GBP</v>
      </c>
      <c r="L11" s="8">
        <f>VLOOKUP(DFanalysis[[#This Row],[Currency of Reporting]],'[1]Xrate31.12.20'!$K$1:$M$25,3,0)</f>
        <v>1.1130927885999999</v>
      </c>
      <c r="M11" s="8">
        <f>IFERROR(IF(ISBLANK([1]DFsmonkeyCompl!O12),"",[1]DFsmonkeyCompl!O12*DFanalysis[[#This Row],[EUR]]),"")</f>
        <v>890.47423087999994</v>
      </c>
      <c r="N11" s="8" t="str">
        <f>IFERROR(IF(ISBLANK([1]DFsmonkeyCompl!P12),"",[1]DFsmonkeyCompl!P12*DFanalysis[[#This Row],[EUR]]),"")</f>
        <v/>
      </c>
      <c r="O11" s="8">
        <f>IFERROR(IF(ISBLANK([1]DFsmonkeyCompl!Q12),"",[1]DFsmonkeyCompl!Q12*DFanalysis[[#This Row],[EUR]]),"")</f>
        <v>890.47423087999994</v>
      </c>
      <c r="P11" s="8" t="str">
        <f>IFERROR(IF(ISBLANK([1]DFsmonkeyCompl!R12),"",[1]DFsmonkeyCompl!R12*DFanalysis[[#This Row],[EUR]]),"")</f>
        <v/>
      </c>
      <c r="Q11" s="8" t="str">
        <f>IFERROR(IF(ISBLANK([1]DFsmonkeyCompl!S12),"",[1]DFsmonkeyCompl!S12*DFanalysis[[#This Row],[EUR]]),"")</f>
        <v/>
      </c>
      <c r="R11" s="8" t="str">
        <f>IFERROR(IF(ISBLANK([1]DFsmonkeyCompl!T12),"",[1]DFsmonkeyCompl!T12*DFanalysis[[#This Row],[EUR]]),"")</f>
        <v/>
      </c>
      <c r="S11" s="8" t="str">
        <f>IFERROR(IF(ISBLANK([1]DFsmonkeyCompl!U12),"",[1]DFsmonkeyCompl!U12*DFanalysis[[#This Row],[EUR]]),"")</f>
        <v/>
      </c>
      <c r="T11" s="8" t="str">
        <f>IFERROR(IF(ISBLANK([1]DFsmonkeyCompl!V12),"",[1]DFsmonkeyCompl!V12*DFanalysis[[#This Row],[EUR]]),"")</f>
        <v/>
      </c>
      <c r="U11" s="8" t="str">
        <f>IFERROR(IF(ISBLANK([1]DFsmonkeyCompl!W12),"",[1]DFsmonkeyCompl!W12*DFanalysis[[#This Row],[EUR]]),"")</f>
        <v/>
      </c>
      <c r="V11" s="8">
        <f>IFERROR(IF(ISBLANK([1]DFsmonkeyCompl!X12),"",[1]DFsmonkeyCompl!X12*DFanalysis[[#This Row],[EUR]]),"")</f>
        <v>890.47423087999994</v>
      </c>
      <c r="W11" s="8" t="str">
        <f>IFERROR(IF(ISBLANK([1]DFsmonkeyCompl!Y12),"",[1]DFsmonkeyCompl!Y12*DFanalysis[[#This Row],[EUR]]),"")</f>
        <v/>
      </c>
      <c r="X11" s="8" t="str">
        <f>IFERROR(IF(ISBLANK([1]DFsmonkeyCompl!Z12),"",[1]DFsmonkeyCompl!Z12*DFanalysis[[#This Row],[EUR]]),"")</f>
        <v/>
      </c>
      <c r="Y11" s="8" t="str">
        <f>IFERROR(IF(ISBLANK([1]DFsmonkeyCompl!AA12),"",[1]DFsmonkeyCompl!AA12*DFanalysis[[#This Row],[EUR]]),"")</f>
        <v/>
      </c>
      <c r="Z11" s="8" t="str">
        <f>IFERROR(IF(ISBLANK([1]DFsmonkeyCompl!AB12),"",[1]DFsmonkeyCompl!AB12*DFanalysis[[#This Row],[EUR]]),"")</f>
        <v/>
      </c>
      <c r="AA11" s="8" t="str">
        <f>IF(ISBLANK([1]DFsmonkeyCompl!AC12),"",[1]DFsmonkeyCompl!AC12)</f>
        <v/>
      </c>
      <c r="AB11" s="8" t="str">
        <f>IF(ISBLANK([1]DFsmonkeyCompl!AD12),"",[1]DFsmonkeyCompl!AD12)</f>
        <v/>
      </c>
      <c r="AC11" s="8">
        <f>IF(ISBLANK([1]DFsmonkeyCompl!AE12),"",[1]DFsmonkeyCompl!AE12)</f>
        <v>100</v>
      </c>
      <c r="AD11" s="8" t="str">
        <f>IF(ISBLANK([1]DFsmonkeyCompl!AF12),"",[1]DFsmonkeyCompl!AF12)</f>
        <v/>
      </c>
      <c r="AE11" s="8" t="str">
        <f>IF(ISBLANK([1]DFsmonkeyCompl!AG12),"",[1]DFsmonkeyCompl!AG12)</f>
        <v>Decrease</v>
      </c>
      <c r="AF11" s="8" t="str">
        <f>IF(ISBLANK([1]DFsmonkeyCompl!AH12),"",[1]DFsmonkeyCompl!AH12)</f>
        <v>Yes</v>
      </c>
    </row>
    <row r="12" spans="1:32" x14ac:dyDescent="0.2">
      <c r="A12" s="5" t="str">
        <f>IF(OR(ISTEXT([1]DFsmonkeyCompl!J13),ISNUMBER([1]DFsmonkeyCompl!J13)),[1]DFsmonkeyCompl!J13,"")</f>
        <v>Generali Real Estate SGR S.p.A.</v>
      </c>
      <c r="B12" s="6" t="str">
        <f>IF(OR(ISTEXT([1]DFsmonkeyCompl!K13),ISNUMBER([1]DFsmonkeyCompl!K13)),[1]DFsmonkeyCompl!K13,"")</f>
        <v>Generali Real Estate Debt Investment Fund</v>
      </c>
      <c r="C12" s="7">
        <v>19302</v>
      </c>
      <c r="D12" s="6" t="str">
        <f>INDEX([1]DebtFundUniverse!$B$2:$EU$200,MATCH(DFanalysis[[#This Row],[ID]],[1]DebtFundUniverse!$A$2:$A$200,0),MATCH(DFanalysis[[#Headers],[Loan Strategy]],[1]DebtFundUniverse!$B$1:$EU$1,0))</f>
        <v>Mixed: Senior+Subordinated</v>
      </c>
      <c r="E12" s="6">
        <f>INDEX([1]DebtFundUniverse!$B$2:$EU$200,MATCH(DFanalysis[[#This Row],[ID]],[1]DebtFundUniverse!$A$2:$A$200,0),MATCH(DFanalysis[[#Headers],[Target Regional Strategy]],[1]DebtFundUniverse!$B$1:$EU$1,0))</f>
        <v>0</v>
      </c>
      <c r="F12" s="6" t="str">
        <f>INDEX([1]DebtFundUniverse!$B$2:$EU$200,MATCH(DFanalysis[[#This Row],[ID]],[1]DebtFundUniverse!$A$2:$A$200,0),MATCH(DFanalysis[[#Headers],[Vehicle Structure]],[1]DebtFundUniverse!$B$1:$EU$1,0))</f>
        <v>Closed end</v>
      </c>
      <c r="G12" s="6">
        <f>INDEX([1]DebtFundUniverse!$B$2:$EU$200,MATCH(DFanalysis[[#This Row],[ID]],[1]DebtFundUniverse!$A$2:$A$200,0),MATCH(DFanalysis[[#Headers],[year of first closing]],[1]DebtFundUniverse!$B$1:$EU$1,0))</f>
        <v>2019</v>
      </c>
      <c r="H12" s="6" t="str">
        <f>IF(ISBLANK([1]DFsmonkeyCompl!L13),"",[1]DFsmonkeyCompl!L13)</f>
        <v>Yes</v>
      </c>
      <c r="I12" s="6" t="str">
        <f>IF(ISBLANK([1]DFsmonkeyCompl!M13),"",[1]DFsmonkeyCompl!M13)</f>
        <v/>
      </c>
      <c r="J12" s="6" t="str">
        <f>IF(ISBLANK([1]DFsmonkeyCompl!N13),"",[1]DFsmonkeyCompl!N13)</f>
        <v/>
      </c>
      <c r="K12" s="6" t="str">
        <f>INDEX([1]DebtFundUniverse!$B$2:$EU$200,MATCH(DFanalysis[[#This Row],[ID]],[1]DebtFundUniverse!$A$2:$A$200,0),MATCH(DFanalysis[[#Headers],[Currency of Reporting]],[1]DebtFundUniverse!$B$1:$EU$1,0))</f>
        <v>EUR</v>
      </c>
      <c r="L12" s="8">
        <f>VLOOKUP(DFanalysis[[#This Row],[Currency of Reporting]],'[1]Xrate31.12.20'!$K$1:$M$25,3,0)</f>
        <v>1</v>
      </c>
      <c r="M12" s="8">
        <f>IFERROR(IF(ISBLANK([1]DFsmonkeyCompl!O13),"",[1]DFsmonkeyCompl!O13*DFanalysis[[#This Row],[EUR]]),"")</f>
        <v>214</v>
      </c>
      <c r="N12" s="8" t="str">
        <f>IFERROR(IF(ISBLANK([1]DFsmonkeyCompl!P13),"",[1]DFsmonkeyCompl!P13*DFanalysis[[#This Row],[EUR]]),"")</f>
        <v/>
      </c>
      <c r="O12" s="8">
        <f>IFERROR(IF(ISBLANK([1]DFsmonkeyCompl!Q13),"",[1]DFsmonkeyCompl!Q13*DFanalysis[[#This Row],[EUR]]),"")</f>
        <v>214</v>
      </c>
      <c r="P12" s="8" t="str">
        <f>IFERROR(IF(ISBLANK([1]DFsmonkeyCompl!R13),"",[1]DFsmonkeyCompl!R13*DFanalysis[[#This Row],[EUR]]),"")</f>
        <v/>
      </c>
      <c r="Q12" s="8" t="str">
        <f>IFERROR(IF(ISBLANK([1]DFsmonkeyCompl!S13),"",[1]DFsmonkeyCompl!S13*DFanalysis[[#This Row],[EUR]]),"")</f>
        <v/>
      </c>
      <c r="R12" s="8" t="str">
        <f>IFERROR(IF(ISBLANK([1]DFsmonkeyCompl!T13),"",[1]DFsmonkeyCompl!T13*DFanalysis[[#This Row],[EUR]]),"")</f>
        <v/>
      </c>
      <c r="S12" s="8" t="str">
        <f>IFERROR(IF(ISBLANK([1]DFsmonkeyCompl!U13),"",[1]DFsmonkeyCompl!U13*DFanalysis[[#This Row],[EUR]]),"")</f>
        <v/>
      </c>
      <c r="T12" s="8" t="str">
        <f>IFERROR(IF(ISBLANK([1]DFsmonkeyCompl!V13),"",[1]DFsmonkeyCompl!V13*DFanalysis[[#This Row],[EUR]]),"")</f>
        <v/>
      </c>
      <c r="U12" s="8" t="str">
        <f>IFERROR(IF(ISBLANK([1]DFsmonkeyCompl!W13),"",[1]DFsmonkeyCompl!W13*DFanalysis[[#This Row],[EUR]]),"")</f>
        <v/>
      </c>
      <c r="V12" s="8">
        <f>IFERROR(IF(ISBLANK([1]DFsmonkeyCompl!X13),"",[1]DFsmonkeyCompl!X13*DFanalysis[[#This Row],[EUR]]),"")</f>
        <v>214</v>
      </c>
      <c r="W12" s="8" t="str">
        <f>IFERROR(IF(ISBLANK([1]DFsmonkeyCompl!Y13),"",[1]DFsmonkeyCompl!Y13*DFanalysis[[#This Row],[EUR]]),"")</f>
        <v/>
      </c>
      <c r="X12" s="8" t="str">
        <f>IFERROR(IF(ISBLANK([1]DFsmonkeyCompl!Z13),"",[1]DFsmonkeyCompl!Z13*DFanalysis[[#This Row],[EUR]]),"")</f>
        <v/>
      </c>
      <c r="Y12" s="8" t="str">
        <f>IFERROR(IF(ISBLANK([1]DFsmonkeyCompl!AA13),"",[1]DFsmonkeyCompl!AA13*DFanalysis[[#This Row],[EUR]]),"")</f>
        <v/>
      </c>
      <c r="Z12" s="8" t="str">
        <f>IFERROR(IF(ISBLANK([1]DFsmonkeyCompl!AB13),"",[1]DFsmonkeyCompl!AB13*DFanalysis[[#This Row],[EUR]]),"")</f>
        <v/>
      </c>
      <c r="AA12" s="8" t="str">
        <f>IF(ISBLANK([1]DFsmonkeyCompl!AC13),"",[1]DFsmonkeyCompl!AC13)</f>
        <v/>
      </c>
      <c r="AB12" s="8" t="str">
        <f>IF(ISBLANK([1]DFsmonkeyCompl!AD13),"",[1]DFsmonkeyCompl!AD13)</f>
        <v/>
      </c>
      <c r="AC12" s="8">
        <f>IF(ISBLANK([1]DFsmonkeyCompl!AE13),"",[1]DFsmonkeyCompl!AE13)</f>
        <v>100</v>
      </c>
      <c r="AD12" s="8" t="str">
        <f>IF(ISBLANK([1]DFsmonkeyCompl!AF13),"",[1]DFsmonkeyCompl!AF13)</f>
        <v/>
      </c>
      <c r="AE12" s="8" t="str">
        <f>IF(ISBLANK([1]DFsmonkeyCompl!AG13),"",[1]DFsmonkeyCompl!AG13)</f>
        <v/>
      </c>
      <c r="AF12" s="8" t="str">
        <f>IF(ISBLANK([1]DFsmonkeyCompl!AH13),"",[1]DFsmonkeyCompl!AH13)</f>
        <v/>
      </c>
    </row>
    <row r="13" spans="1:32" x14ac:dyDescent="0.2">
      <c r="A13" s="5" t="str">
        <f>IF(OR(ISTEXT([1]DFsmonkeyCompl!J14),ISNUMBER([1]DFsmonkeyCompl!J14)),[1]DFsmonkeyCompl!J14,"")</f>
        <v xml:space="preserve">DRC Capital </v>
      </c>
      <c r="B13" s="6" t="str">
        <f>IF(OR(ISTEXT([1]DFsmonkeyCompl!K14),ISNUMBER([1]DFsmonkeyCompl!K14)),[1]DFsmonkeyCompl!K14,"")</f>
        <v>European Real Estate Senior Debt 6</v>
      </c>
      <c r="C13" s="7" t="str" cm="1">
        <f t="array" ref="C13">INDEX([1]DebtFundUniverse!$A$85:$A$95,MATCH(B13,[1]DebtFundUniverse!$B$85:$B$95,0),0)</f>
        <v>XXX/</v>
      </c>
      <c r="D13" s="6" t="e">
        <f>INDEX([1]DebtFundUniverse!$B$2:$EU$200,MATCH(DFanalysis[[#This Row],[ID]],[1]DebtFundUniverse!$A$2:$A$200,0),MATCH(DFanalysis[[#Headers],[Loan Strategy]],[1]DebtFundUniverse!$B$1:$EU$1,0))</f>
        <v>#N/A</v>
      </c>
      <c r="E13" s="6" t="e">
        <f>INDEX([1]DebtFundUniverse!$B$2:$EU$200,MATCH(DFanalysis[[#This Row],[ID]],[1]DebtFundUniverse!$A$2:$A$200,0),MATCH(DFanalysis[[#Headers],[Target Regional Strategy]],[1]DebtFundUniverse!$B$1:$EU$1,0))</f>
        <v>#N/A</v>
      </c>
      <c r="F13" s="6" t="e">
        <f>INDEX([1]DebtFundUniverse!$B$2:$EU$200,MATCH(DFanalysis[[#This Row],[ID]],[1]DebtFundUniverse!$A$2:$A$200,0),MATCH(DFanalysis[[#Headers],[Vehicle Structure]],[1]DebtFundUniverse!$B$1:$EU$1,0))</f>
        <v>#N/A</v>
      </c>
      <c r="G13" s="6" t="e">
        <f>INDEX([1]DebtFundUniverse!$B$2:$EU$200,MATCH(DFanalysis[[#This Row],[ID]],[1]DebtFundUniverse!$A$2:$A$200,0),MATCH(DFanalysis[[#Headers],[year of first closing]],[1]DebtFundUniverse!$B$1:$EU$1,0))</f>
        <v>#N/A</v>
      </c>
      <c r="H13" s="6" t="str">
        <f>IF(ISBLANK([1]DFsmonkeyCompl!L14),"",[1]DFsmonkeyCompl!L14)</f>
        <v>Yes</v>
      </c>
      <c r="I13" s="6" t="str">
        <f>IF(ISBLANK([1]DFsmonkeyCompl!M14),"",[1]DFsmonkeyCompl!M14)</f>
        <v/>
      </c>
      <c r="J13" s="6" t="str">
        <f>IF(ISBLANK([1]DFsmonkeyCompl!N14),"",[1]DFsmonkeyCompl!N14)</f>
        <v/>
      </c>
      <c r="K13" s="6" t="e">
        <f>INDEX([1]DebtFundUniverse!$B$2:$EU$200,MATCH(DFanalysis[[#This Row],[ID]],[1]DebtFundUniverse!$A$2:$A$200,0),MATCH(DFanalysis[[#Headers],[Currency of Reporting]],[1]DebtFundUniverse!$B$1:$EU$1,0))</f>
        <v>#N/A</v>
      </c>
      <c r="L13" s="8" t="e">
        <f>VLOOKUP(DFanalysis[[#This Row],[Currency of Reporting]],'[1]Xrate31.12.20'!$K$1:$M$25,3,0)</f>
        <v>#N/A</v>
      </c>
      <c r="M13" s="8" t="str">
        <f>IFERROR(IF(ISBLANK([1]DFsmonkeyCompl!O14),"",[1]DFsmonkeyCompl!O14*DFanalysis[[#This Row],[EUR]]),"")</f>
        <v/>
      </c>
      <c r="N13" s="8" t="str">
        <f>IFERROR(IF(ISBLANK([1]DFsmonkeyCompl!P14),"",[1]DFsmonkeyCompl!P14*DFanalysis[[#This Row],[EUR]]),"")</f>
        <v/>
      </c>
      <c r="O13" s="8" t="str">
        <f>IFERROR(IF(ISBLANK([1]DFsmonkeyCompl!Q14),"",[1]DFsmonkeyCompl!Q14*DFanalysis[[#This Row],[EUR]]),"")</f>
        <v/>
      </c>
      <c r="P13" s="8" t="str">
        <f>IFERROR(IF(ISBLANK([1]DFsmonkeyCompl!R14),"",[1]DFsmonkeyCompl!R14*DFanalysis[[#This Row],[EUR]]),"")</f>
        <v/>
      </c>
      <c r="Q13" s="8" t="str">
        <f>IFERROR(IF(ISBLANK([1]DFsmonkeyCompl!S14),"",[1]DFsmonkeyCompl!S14*DFanalysis[[#This Row],[EUR]]),"")</f>
        <v/>
      </c>
      <c r="R13" s="8" t="str">
        <f>IFERROR(IF(ISBLANK([1]DFsmonkeyCompl!T14),"",[1]DFsmonkeyCompl!T14*DFanalysis[[#This Row],[EUR]]),"")</f>
        <v/>
      </c>
      <c r="S13" s="8" t="str">
        <f>IFERROR(IF(ISBLANK([1]DFsmonkeyCompl!U14),"",[1]DFsmonkeyCompl!U14*DFanalysis[[#This Row],[EUR]]),"")</f>
        <v/>
      </c>
      <c r="T13" s="8" t="str">
        <f>IFERROR(IF(ISBLANK([1]DFsmonkeyCompl!V14),"",[1]DFsmonkeyCompl!V14*DFanalysis[[#This Row],[EUR]]),"")</f>
        <v/>
      </c>
      <c r="U13" s="8" t="str">
        <f>IFERROR(IF(ISBLANK([1]DFsmonkeyCompl!W14),"",[1]DFsmonkeyCompl!W14*DFanalysis[[#This Row],[EUR]]),"")</f>
        <v/>
      </c>
      <c r="V13" s="8" t="str">
        <f>IFERROR(IF(ISBLANK([1]DFsmonkeyCompl!X14),"",[1]DFsmonkeyCompl!X14*DFanalysis[[#This Row],[EUR]]),"")</f>
        <v/>
      </c>
      <c r="W13" s="8" t="str">
        <f>IFERROR(IF(ISBLANK([1]DFsmonkeyCompl!Y14),"",[1]DFsmonkeyCompl!Y14*DFanalysis[[#This Row],[EUR]]),"")</f>
        <v/>
      </c>
      <c r="X13" s="8" t="str">
        <f>IFERROR(IF(ISBLANK([1]DFsmonkeyCompl!Z14),"",[1]DFsmonkeyCompl!Z14*DFanalysis[[#This Row],[EUR]]),"")</f>
        <v/>
      </c>
      <c r="Y13" s="8" t="str">
        <f>IFERROR(IF(ISBLANK([1]DFsmonkeyCompl!AA14),"",[1]DFsmonkeyCompl!AA14*DFanalysis[[#This Row],[EUR]]),"")</f>
        <v/>
      </c>
      <c r="Z13" s="8" t="str">
        <f>IFERROR(IF(ISBLANK([1]DFsmonkeyCompl!AB14),"",[1]DFsmonkeyCompl!AB14*DFanalysis[[#This Row],[EUR]]),"")</f>
        <v/>
      </c>
      <c r="AA13" s="8" t="str">
        <f>IF(ISBLANK([1]DFsmonkeyCompl!AC14),"",[1]DFsmonkeyCompl!AC14)</f>
        <v/>
      </c>
      <c r="AB13" s="8">
        <f>IF(ISBLANK([1]DFsmonkeyCompl!AD14),"",[1]DFsmonkeyCompl!AD14)</f>
        <v>100</v>
      </c>
      <c r="AC13" s="8" t="str">
        <f>IF(ISBLANK([1]DFsmonkeyCompl!AE14),"",[1]DFsmonkeyCompl!AE14)</f>
        <v/>
      </c>
      <c r="AD13" s="8" t="str">
        <f>IF(ISBLANK([1]DFsmonkeyCompl!AF14),"",[1]DFsmonkeyCompl!AF14)</f>
        <v/>
      </c>
      <c r="AE13" s="8" t="str">
        <f>IF(ISBLANK([1]DFsmonkeyCompl!AG14),"",[1]DFsmonkeyCompl!AG14)</f>
        <v>Increase</v>
      </c>
      <c r="AF13" s="8" t="str">
        <f>IF(ISBLANK([1]DFsmonkeyCompl!AH14),"",[1]DFsmonkeyCompl!AH14)</f>
        <v>Yes</v>
      </c>
    </row>
    <row r="14" spans="1:32" x14ac:dyDescent="0.2">
      <c r="A14" s="5" t="str">
        <f>IF(OR(ISTEXT([1]DFsmonkeyCompl!J15),ISNUMBER([1]DFsmonkeyCompl!J15)),[1]DFsmonkeyCompl!J15,"")</f>
        <v xml:space="preserve">DRC Capital </v>
      </c>
      <c r="B14" s="6" t="str">
        <f>IF(OR(ISTEXT([1]DFsmonkeyCompl!K15),ISNUMBER([1]DFsmonkeyCompl!K15)),[1]DFsmonkeyCompl!K15,"")</f>
        <v>DRC European Real Estate Senior Debt 4</v>
      </c>
      <c r="C14" s="7" cm="1">
        <f t="array" ref="C14">INDEX([1]DebtFundUniverse!$A$85:$A$95,MATCH(B14,[1]DebtFundUniverse!$B$85:$B$95,0),0)</f>
        <v>105974</v>
      </c>
      <c r="D14" s="6" t="str">
        <f>INDEX([1]DebtFundUniverse!$B$2:$EU$200,MATCH(DFanalysis[[#This Row],[ID]],[1]DebtFundUniverse!$A$2:$A$200,0),MATCH(DFanalysis[[#Headers],[Loan Strategy]],[1]DebtFundUniverse!$B$1:$EU$1,0))</f>
        <v>Mixed: Senior+Subordinated+Preferred equity</v>
      </c>
      <c r="E14" s="6" t="str">
        <f>INDEX([1]DebtFundUniverse!$B$2:$EU$200,MATCH(DFanalysis[[#This Row],[ID]],[1]DebtFundUniverse!$A$2:$A$200,0),MATCH(DFanalysis[[#Headers],[Target Regional Strategy]],[1]DebtFundUniverse!$B$1:$EU$1,0))</f>
        <v>Europe</v>
      </c>
      <c r="F14" s="6" t="str">
        <f>INDEX([1]DebtFundUniverse!$B$2:$EU$200,MATCH(DFanalysis[[#This Row],[ID]],[1]DebtFundUniverse!$A$2:$A$200,0),MATCH(DFanalysis[[#Headers],[Vehicle Structure]],[1]DebtFundUniverse!$B$1:$EU$1,0))</f>
        <v>Closed end</v>
      </c>
      <c r="G14" s="6">
        <f>INDEX([1]DebtFundUniverse!$B$2:$EU$200,MATCH(DFanalysis[[#This Row],[ID]],[1]DebtFundUniverse!$A$2:$A$200,0),MATCH(DFanalysis[[#Headers],[year of first closing]],[1]DebtFundUniverse!$B$1:$EU$1,0))</f>
        <v>2019</v>
      </c>
      <c r="H14" s="6" t="str">
        <f>IF(ISBLANK([1]DFsmonkeyCompl!L15),"",[1]DFsmonkeyCompl!L15)</f>
        <v>Yes</v>
      </c>
      <c r="I14" s="6" t="str">
        <f>IF(ISBLANK([1]DFsmonkeyCompl!M15),"",[1]DFsmonkeyCompl!M15)</f>
        <v/>
      </c>
      <c r="J14" s="6" t="str">
        <f>IF(ISBLANK([1]DFsmonkeyCompl!N15),"",[1]DFsmonkeyCompl!N15)</f>
        <v/>
      </c>
      <c r="K14" s="6" t="str">
        <f>INDEX([1]DebtFundUniverse!$B$2:$EU$200,MATCH(DFanalysis[[#This Row],[ID]],[1]DebtFundUniverse!$A$2:$A$200,0),MATCH(DFanalysis[[#Headers],[Currency of Reporting]],[1]DebtFundUniverse!$B$1:$EU$1,0))</f>
        <v>GBP</v>
      </c>
      <c r="L14" s="8">
        <f>VLOOKUP(DFanalysis[[#This Row],[Currency of Reporting]],'[1]Xrate31.12.20'!$K$1:$M$25,3,0)</f>
        <v>1.1130927885999999</v>
      </c>
      <c r="M14" s="8">
        <f>IFERROR(IF(ISBLANK([1]DFsmonkeyCompl!O15),"",[1]DFsmonkeyCompl!O15*DFanalysis[[#This Row],[EUR]]),"")</f>
        <v>111.30927885999999</v>
      </c>
      <c r="N14" s="8">
        <f>IFERROR(IF(ISBLANK([1]DFsmonkeyCompl!P15),"",[1]DFsmonkeyCompl!P15*DFanalysis[[#This Row],[EUR]]),"")</f>
        <v>111.30927885999999</v>
      </c>
      <c r="O14" s="8" t="str">
        <f>IFERROR(IF(ISBLANK([1]DFsmonkeyCompl!Q15),"",[1]DFsmonkeyCompl!Q15*DFanalysis[[#This Row],[EUR]]),"")</f>
        <v/>
      </c>
      <c r="P14" s="8" t="str">
        <f>IFERROR(IF(ISBLANK([1]DFsmonkeyCompl!R15),"",[1]DFsmonkeyCompl!R15*DFanalysis[[#This Row],[EUR]]),"")</f>
        <v/>
      </c>
      <c r="Q14" s="8" t="str">
        <f>IFERROR(IF(ISBLANK([1]DFsmonkeyCompl!S15),"",[1]DFsmonkeyCompl!S15*DFanalysis[[#This Row],[EUR]]),"")</f>
        <v/>
      </c>
      <c r="R14" s="8" t="str">
        <f>IFERROR(IF(ISBLANK([1]DFsmonkeyCompl!T15),"",[1]DFsmonkeyCompl!T15*DFanalysis[[#This Row],[EUR]]),"")</f>
        <v/>
      </c>
      <c r="S14" s="8" t="str">
        <f>IFERROR(IF(ISBLANK([1]DFsmonkeyCompl!U15),"",[1]DFsmonkeyCompl!U15*DFanalysis[[#This Row],[EUR]]),"")</f>
        <v/>
      </c>
      <c r="T14" s="8" t="str">
        <f>IFERROR(IF(ISBLANK([1]DFsmonkeyCompl!V15),"",[1]DFsmonkeyCompl!V15*DFanalysis[[#This Row],[EUR]]),"")</f>
        <v/>
      </c>
      <c r="U14" s="8" t="str">
        <f>IFERROR(IF(ISBLANK([1]DFsmonkeyCompl!W15),"",[1]DFsmonkeyCompl!W15*DFanalysis[[#This Row],[EUR]]),"")</f>
        <v/>
      </c>
      <c r="V14" s="8">
        <f>IFERROR(IF(ISBLANK([1]DFsmonkeyCompl!X15),"",[1]DFsmonkeyCompl!X15*DFanalysis[[#This Row],[EUR]]),"")</f>
        <v>111.30927885999999</v>
      </c>
      <c r="W14" s="8" t="str">
        <f>IFERROR(IF(ISBLANK([1]DFsmonkeyCompl!Y15),"",[1]DFsmonkeyCompl!Y15*DFanalysis[[#This Row],[EUR]]),"")</f>
        <v/>
      </c>
      <c r="X14" s="8" t="str">
        <f>IFERROR(IF(ISBLANK([1]DFsmonkeyCompl!Z15),"",[1]DFsmonkeyCompl!Z15*DFanalysis[[#This Row],[EUR]]),"")</f>
        <v/>
      </c>
      <c r="Y14" s="8" t="str">
        <f>IFERROR(IF(ISBLANK([1]DFsmonkeyCompl!AA15),"",[1]DFsmonkeyCompl!AA15*DFanalysis[[#This Row],[EUR]]),"")</f>
        <v/>
      </c>
      <c r="Z14" s="8" t="str">
        <f>IFERROR(IF(ISBLANK([1]DFsmonkeyCompl!AB15),"",[1]DFsmonkeyCompl!AB15*DFanalysis[[#This Row],[EUR]]),"")</f>
        <v/>
      </c>
      <c r="AA14" s="8" t="str">
        <f>IF(ISBLANK([1]DFsmonkeyCompl!AC15),"",[1]DFsmonkeyCompl!AC15)</f>
        <v/>
      </c>
      <c r="AB14" s="8" t="str">
        <f>IF(ISBLANK([1]DFsmonkeyCompl!AD15),"",[1]DFsmonkeyCompl!AD15)</f>
        <v/>
      </c>
      <c r="AC14" s="8">
        <f>IF(ISBLANK([1]DFsmonkeyCompl!AE15),"",[1]DFsmonkeyCompl!AE15)</f>
        <v>100</v>
      </c>
      <c r="AD14" s="8" t="str">
        <f>IF(ISBLANK([1]DFsmonkeyCompl!AF15),"",[1]DFsmonkeyCompl!AF15)</f>
        <v/>
      </c>
      <c r="AE14" s="8" t="str">
        <f>IF(ISBLANK([1]DFsmonkeyCompl!AG15),"",[1]DFsmonkeyCompl!AG15)</f>
        <v>Increase</v>
      </c>
      <c r="AF14" s="8" t="str">
        <f>IF(ISBLANK([1]DFsmonkeyCompl!AH15),"",[1]DFsmonkeyCompl!AH15)</f>
        <v>Yes</v>
      </c>
    </row>
    <row r="15" spans="1:32" x14ac:dyDescent="0.2">
      <c r="A15" s="5" t="str">
        <f>IF(OR(ISTEXT([1]DFsmonkeyCompl!J16),ISNUMBER([1]DFsmonkeyCompl!J16)),[1]DFsmonkeyCompl!J16,"")</f>
        <v xml:space="preserve">DRC Capital </v>
      </c>
      <c r="B15" s="6" t="str">
        <f>IF(OR(ISTEXT([1]DFsmonkeyCompl!K16),ISNUMBER([1]DFsmonkeyCompl!K16)),[1]DFsmonkeyCompl!K16,"")</f>
        <v>DRC UK Whole Loan Fund II</v>
      </c>
      <c r="C15" s="7" cm="1">
        <f t="array" ref="C15">INDEX([1]DebtFundUniverse!$A$85:$A$95,MATCH(B15,[1]DebtFundUniverse!$B$85:$B$95,0),0)</f>
        <v>120207</v>
      </c>
      <c r="D15" s="6" t="str">
        <f>INDEX([1]DebtFundUniverse!$B$2:$EU$200,MATCH(DFanalysis[[#This Row],[ID]],[1]DebtFundUniverse!$A$2:$A$200,0),MATCH(DFanalysis[[#Headers],[Loan Strategy]],[1]DebtFundUniverse!$B$1:$EU$1,0))</f>
        <v>Whole Loans</v>
      </c>
      <c r="E15" s="6" t="str">
        <f>INDEX([1]DebtFundUniverse!$B$2:$EU$200,MATCH(DFanalysis[[#This Row],[ID]],[1]DebtFundUniverse!$A$2:$A$200,0),MATCH(DFanalysis[[#Headers],[Target Regional Strategy]],[1]DebtFundUniverse!$B$1:$EU$1,0))</f>
        <v>Europe</v>
      </c>
      <c r="F15" s="6" t="str">
        <f>INDEX([1]DebtFundUniverse!$B$2:$EU$200,MATCH(DFanalysis[[#This Row],[ID]],[1]DebtFundUniverse!$A$2:$A$200,0),MATCH(DFanalysis[[#Headers],[Vehicle Structure]],[1]DebtFundUniverse!$B$1:$EU$1,0))</f>
        <v>Closed end</v>
      </c>
      <c r="G15" s="6">
        <f>INDEX([1]DebtFundUniverse!$B$2:$EU$200,MATCH(DFanalysis[[#This Row],[ID]],[1]DebtFundUniverse!$A$2:$A$200,0),MATCH(DFanalysis[[#Headers],[year of first closing]],[1]DebtFundUniverse!$B$1:$EU$1,0))</f>
        <v>2020</v>
      </c>
      <c r="H15" s="6" t="str">
        <f>IF(ISBLANK([1]DFsmonkeyCompl!L16),"",[1]DFsmonkeyCompl!L16)</f>
        <v>Yes</v>
      </c>
      <c r="I15" s="6" t="str">
        <f>IF(ISBLANK([1]DFsmonkeyCompl!M16),"",[1]DFsmonkeyCompl!M16)</f>
        <v/>
      </c>
      <c r="J15" s="6" t="str">
        <f>IF(ISBLANK([1]DFsmonkeyCompl!N16),"",[1]DFsmonkeyCompl!N16)</f>
        <v/>
      </c>
      <c r="K15" s="6" t="str">
        <f>INDEX([1]DebtFundUniverse!$B$2:$EU$200,MATCH(DFanalysis[[#This Row],[ID]],[1]DebtFundUniverse!$A$2:$A$200,0),MATCH(DFanalysis[[#Headers],[Currency of Reporting]],[1]DebtFundUniverse!$B$1:$EU$1,0))</f>
        <v>GBP</v>
      </c>
      <c r="L15" s="8">
        <f>VLOOKUP(DFanalysis[[#This Row],[Currency of Reporting]],'[1]Xrate31.12.20'!$K$1:$M$25,3,0)</f>
        <v>1.1130927885999999</v>
      </c>
      <c r="M15" s="8">
        <f>IFERROR(IF(ISBLANK([1]DFsmonkeyCompl!O16),"",[1]DFsmonkeyCompl!O16*DFanalysis[[#This Row],[EUR]]),"")</f>
        <v>161.39845434699998</v>
      </c>
      <c r="N15" s="8">
        <f>IFERROR(IF(ISBLANK([1]DFsmonkeyCompl!P16),"",[1]DFsmonkeyCompl!P16*DFanalysis[[#This Row],[EUR]]),"")</f>
        <v>161.39845434699998</v>
      </c>
      <c r="O15" s="8" t="str">
        <f>IFERROR(IF(ISBLANK([1]DFsmonkeyCompl!Q16),"",[1]DFsmonkeyCompl!Q16*DFanalysis[[#This Row],[EUR]]),"")</f>
        <v/>
      </c>
      <c r="P15" s="8" t="str">
        <f>IFERROR(IF(ISBLANK([1]DFsmonkeyCompl!R16),"",[1]DFsmonkeyCompl!R16*DFanalysis[[#This Row],[EUR]]),"")</f>
        <v/>
      </c>
      <c r="Q15" s="8" t="str">
        <f>IFERROR(IF(ISBLANK([1]DFsmonkeyCompl!S16),"",[1]DFsmonkeyCompl!S16*DFanalysis[[#This Row],[EUR]]),"")</f>
        <v/>
      </c>
      <c r="R15" s="8" t="str">
        <f>IFERROR(IF(ISBLANK([1]DFsmonkeyCompl!T16),"",[1]DFsmonkeyCompl!T16*DFanalysis[[#This Row],[EUR]]),"")</f>
        <v/>
      </c>
      <c r="S15" s="8" t="str">
        <f>IFERROR(IF(ISBLANK([1]DFsmonkeyCompl!U16),"",[1]DFsmonkeyCompl!U16*DFanalysis[[#This Row],[EUR]]),"")</f>
        <v/>
      </c>
      <c r="T15" s="8" t="str">
        <f>IFERROR(IF(ISBLANK([1]DFsmonkeyCompl!V16),"",[1]DFsmonkeyCompl!V16*DFanalysis[[#This Row],[EUR]]),"")</f>
        <v/>
      </c>
      <c r="U15" s="8" t="str">
        <f>IFERROR(IF(ISBLANK([1]DFsmonkeyCompl!W16),"",[1]DFsmonkeyCompl!W16*DFanalysis[[#This Row],[EUR]]),"")</f>
        <v/>
      </c>
      <c r="V15" s="8">
        <f>IFERROR(IF(ISBLANK([1]DFsmonkeyCompl!X16),"",[1]DFsmonkeyCompl!X16*DFanalysis[[#This Row],[EUR]]),"")</f>
        <v>161.39845434699998</v>
      </c>
      <c r="W15" s="8" t="str">
        <f>IFERROR(IF(ISBLANK([1]DFsmonkeyCompl!Y16),"",[1]DFsmonkeyCompl!Y16*DFanalysis[[#This Row],[EUR]]),"")</f>
        <v/>
      </c>
      <c r="X15" s="8" t="str">
        <f>IFERROR(IF(ISBLANK([1]DFsmonkeyCompl!Z16),"",[1]DFsmonkeyCompl!Z16*DFanalysis[[#This Row],[EUR]]),"")</f>
        <v/>
      </c>
      <c r="Y15" s="8" t="str">
        <f>IFERROR(IF(ISBLANK([1]DFsmonkeyCompl!AA16),"",[1]DFsmonkeyCompl!AA16*DFanalysis[[#This Row],[EUR]]),"")</f>
        <v/>
      </c>
      <c r="Z15" s="8" t="str">
        <f>IFERROR(IF(ISBLANK([1]DFsmonkeyCompl!AB16),"",[1]DFsmonkeyCompl!AB16*DFanalysis[[#This Row],[EUR]]),"")</f>
        <v/>
      </c>
      <c r="AA15" s="8" t="str">
        <f>IF(ISBLANK([1]DFsmonkeyCompl!AC16),"",[1]DFsmonkeyCompl!AC16)</f>
        <v/>
      </c>
      <c r="AB15" s="8" t="str">
        <f>IF(ISBLANK([1]DFsmonkeyCompl!AD16),"",[1]DFsmonkeyCompl!AD16)</f>
        <v/>
      </c>
      <c r="AC15" s="8">
        <f>IF(ISBLANK([1]DFsmonkeyCompl!AE16),"",[1]DFsmonkeyCompl!AE16)</f>
        <v>100</v>
      </c>
      <c r="AD15" s="8" t="str">
        <f>IF(ISBLANK([1]DFsmonkeyCompl!AF16),"",[1]DFsmonkeyCompl!AF16)</f>
        <v/>
      </c>
      <c r="AE15" s="8" t="str">
        <f>IF(ISBLANK([1]DFsmonkeyCompl!AG16),"",[1]DFsmonkeyCompl!AG16)</f>
        <v>Increase</v>
      </c>
      <c r="AF15" s="8" t="str">
        <f>IF(ISBLANK([1]DFsmonkeyCompl!AH16),"",[1]DFsmonkeyCompl!AH16)</f>
        <v>Yes</v>
      </c>
    </row>
    <row r="16" spans="1:32" x14ac:dyDescent="0.2">
      <c r="A16" s="5" t="str">
        <f>IF(OR(ISTEXT([1]DFsmonkeyCompl!J17),ISNUMBER([1]DFsmonkeyCompl!J17)),[1]DFsmonkeyCompl!J17,"")</f>
        <v xml:space="preserve">DRC Capital </v>
      </c>
      <c r="B16" s="6" t="str">
        <f>IF(OR(ISTEXT([1]DFsmonkeyCompl!K17),ISNUMBER([1]DFsmonkeyCompl!K17)),[1]DFsmonkeyCompl!K17,"")</f>
        <v>DRC European Real Estate Debt Fund IV</v>
      </c>
      <c r="C16" s="7">
        <v>19301</v>
      </c>
      <c r="D16" s="6" t="str">
        <f>INDEX([1]DebtFundUniverse!$B$2:$EU$200,MATCH(DFanalysis[[#This Row],[ID]],[1]DebtFundUniverse!$A$2:$A$200,0),MATCH(DFanalysis[[#Headers],[Loan Strategy]],[1]DebtFundUniverse!$B$1:$EU$1,0))</f>
        <v>Mixed: Senior+Subordinated</v>
      </c>
      <c r="E16" s="6">
        <f>INDEX([1]DebtFundUniverse!$B$2:$EU$200,MATCH(DFanalysis[[#This Row],[ID]],[1]DebtFundUniverse!$A$2:$A$200,0),MATCH(DFanalysis[[#Headers],[Target Regional Strategy]],[1]DebtFundUniverse!$B$1:$EU$1,0))</f>
        <v>0</v>
      </c>
      <c r="F16" s="6" t="str">
        <f>INDEX([1]DebtFundUniverse!$B$2:$EU$200,MATCH(DFanalysis[[#This Row],[ID]],[1]DebtFundUniverse!$A$2:$A$200,0),MATCH(DFanalysis[[#Headers],[Vehicle Structure]],[1]DebtFundUniverse!$B$1:$EU$1,0))</f>
        <v>Closed end</v>
      </c>
      <c r="G16" s="6">
        <f>INDEX([1]DebtFundUniverse!$B$2:$EU$200,MATCH(DFanalysis[[#This Row],[ID]],[1]DebtFundUniverse!$A$2:$A$200,0),MATCH(DFanalysis[[#Headers],[year of first closing]],[1]DebtFundUniverse!$B$1:$EU$1,0))</f>
        <v>2019</v>
      </c>
      <c r="H16" s="6" t="str">
        <f>IF(ISBLANK([1]DFsmonkeyCompl!L17),"",[1]DFsmonkeyCompl!L17)</f>
        <v>Yes</v>
      </c>
      <c r="I16" s="6" t="str">
        <f>IF(ISBLANK([1]DFsmonkeyCompl!M17),"",[1]DFsmonkeyCompl!M17)</f>
        <v/>
      </c>
      <c r="J16" s="6" t="str">
        <f>IF(ISBLANK([1]DFsmonkeyCompl!N17),"",[1]DFsmonkeyCompl!N17)</f>
        <v/>
      </c>
      <c r="K16" s="6" t="str">
        <f>INDEX([1]DebtFundUniverse!$B$2:$EU$200,MATCH(DFanalysis[[#This Row],[ID]],[1]DebtFundUniverse!$A$2:$A$200,0),MATCH(DFanalysis[[#Headers],[Currency of Reporting]],[1]DebtFundUniverse!$B$1:$EU$1,0))</f>
        <v>GBP</v>
      </c>
      <c r="L16" s="8">
        <f>VLOOKUP(DFanalysis[[#This Row],[Currency of Reporting]],'[1]Xrate31.12.20'!$K$1:$M$25,3,0)</f>
        <v>1.1130927885999999</v>
      </c>
      <c r="M16" s="8">
        <f>IFERROR(IF(ISBLANK([1]DFsmonkeyCompl!O17),"",[1]DFsmonkeyCompl!O17*DFanalysis[[#This Row],[EUR]]),"")</f>
        <v>115.76165001439999</v>
      </c>
      <c r="N16" s="8">
        <f>IFERROR(IF(ISBLANK([1]DFsmonkeyCompl!P17),"",[1]DFsmonkeyCompl!P17*DFanalysis[[#This Row],[EUR]]),"")</f>
        <v>87.934330299399988</v>
      </c>
      <c r="O16" s="8">
        <f>IFERROR(IF(ISBLANK([1]DFsmonkeyCompl!Q17),"",[1]DFsmonkeyCompl!Q17*DFanalysis[[#This Row],[EUR]]),"")</f>
        <v>27.827319714999998</v>
      </c>
      <c r="P16" s="8" t="str">
        <f>IFERROR(IF(ISBLANK([1]DFsmonkeyCompl!R17),"",[1]DFsmonkeyCompl!R17*DFanalysis[[#This Row],[EUR]]),"")</f>
        <v/>
      </c>
      <c r="Q16" s="8" t="str">
        <f>IFERROR(IF(ISBLANK([1]DFsmonkeyCompl!S17),"",[1]DFsmonkeyCompl!S17*DFanalysis[[#This Row],[EUR]]),"")</f>
        <v/>
      </c>
      <c r="R16" s="8" t="str">
        <f>IFERROR(IF(ISBLANK([1]DFsmonkeyCompl!T17),"",[1]DFsmonkeyCompl!T17*DFanalysis[[#This Row],[EUR]]),"")</f>
        <v/>
      </c>
      <c r="S16" s="8" t="str">
        <f>IFERROR(IF(ISBLANK([1]DFsmonkeyCompl!U17),"",[1]DFsmonkeyCompl!U17*DFanalysis[[#This Row],[EUR]]),"")</f>
        <v/>
      </c>
      <c r="T16" s="8" t="str">
        <f>IFERROR(IF(ISBLANK([1]DFsmonkeyCompl!V17),"",[1]DFsmonkeyCompl!V17*DFanalysis[[#This Row],[EUR]]),"")</f>
        <v/>
      </c>
      <c r="U16" s="8" t="str">
        <f>IFERROR(IF(ISBLANK([1]DFsmonkeyCompl!W17),"",[1]DFsmonkeyCompl!W17*DFanalysis[[#This Row],[EUR]]),"")</f>
        <v/>
      </c>
      <c r="V16" s="8">
        <f>IFERROR(IF(ISBLANK([1]DFsmonkeyCompl!X17),"",[1]DFsmonkeyCompl!X17*DFanalysis[[#This Row],[EUR]]),"")</f>
        <v>30.053505292199997</v>
      </c>
      <c r="W16" s="8">
        <f>IFERROR(IF(ISBLANK([1]DFsmonkeyCompl!Y17),"",[1]DFsmonkeyCompl!Y17*DFanalysis[[#This Row],[EUR]]),"")</f>
        <v>85.708144722199989</v>
      </c>
      <c r="X16" s="8" t="str">
        <f>IFERROR(IF(ISBLANK([1]DFsmonkeyCompl!Z17),"",[1]DFsmonkeyCompl!Z17*DFanalysis[[#This Row],[EUR]]),"")</f>
        <v/>
      </c>
      <c r="Y16" s="8" t="str">
        <f>IFERROR(IF(ISBLANK([1]DFsmonkeyCompl!AA17),"",[1]DFsmonkeyCompl!AA17*DFanalysis[[#This Row],[EUR]]),"")</f>
        <v/>
      </c>
      <c r="Z16" s="8" t="str">
        <f>IFERROR(IF(ISBLANK([1]DFsmonkeyCompl!AB17),"",[1]DFsmonkeyCompl!AB17*DFanalysis[[#This Row],[EUR]]),"")</f>
        <v/>
      </c>
      <c r="AA16" s="8">
        <f>IF(ISBLANK([1]DFsmonkeyCompl!AC17),"",[1]DFsmonkeyCompl!AC17)</f>
        <v>74</v>
      </c>
      <c r="AB16" s="8" t="str">
        <f>IF(ISBLANK([1]DFsmonkeyCompl!AD17),"",[1]DFsmonkeyCompl!AD17)</f>
        <v/>
      </c>
      <c r="AC16" s="8">
        <f>IF(ISBLANK([1]DFsmonkeyCompl!AE17),"",[1]DFsmonkeyCompl!AE17)</f>
        <v>26</v>
      </c>
      <c r="AD16" s="8" t="str">
        <f>IF(ISBLANK([1]DFsmonkeyCompl!AF17),"",[1]DFsmonkeyCompl!AF17)</f>
        <v/>
      </c>
      <c r="AE16" s="8" t="str">
        <f>IF(ISBLANK([1]DFsmonkeyCompl!AG17),"",[1]DFsmonkeyCompl!AG17)</f>
        <v>Increase</v>
      </c>
      <c r="AF16" s="8" t="str">
        <f>IF(ISBLANK([1]DFsmonkeyCompl!AH17),"",[1]DFsmonkeyCompl!AH17)</f>
        <v>Yes</v>
      </c>
    </row>
    <row r="17" spans="1:32" x14ac:dyDescent="0.2">
      <c r="A17" s="5" t="str">
        <f>IF(OR(ISTEXT([1]DFsmonkeyCompl!J18),ISNUMBER([1]DFsmonkeyCompl!J18)),[1]DFsmonkeyCompl!J18,"")</f>
        <v>Pluto Finance</v>
      </c>
      <c r="B17" s="6" t="str">
        <f>IF(OR(ISTEXT([1]DFsmonkeyCompl!K18),ISNUMBER([1]DFsmonkeyCompl!K18)),[1]DFsmonkeyCompl!K18,"")</f>
        <v>Fund V</v>
      </c>
      <c r="C17" s="7">
        <v>19296</v>
      </c>
      <c r="D17" s="6" t="str">
        <f>INDEX([1]DebtFundUniverse!$B$2:$EU$200,MATCH(DFanalysis[[#This Row],[ID]],[1]DebtFundUniverse!$A$2:$A$200,0),MATCH(DFanalysis[[#Headers],[Loan Strategy]],[1]DebtFundUniverse!$B$1:$EU$1,0))</f>
        <v>Senior</v>
      </c>
      <c r="E17" s="6">
        <f>INDEX([1]DebtFundUniverse!$B$2:$EU$200,MATCH(DFanalysis[[#This Row],[ID]],[1]DebtFundUniverse!$A$2:$A$200,0),MATCH(DFanalysis[[#Headers],[Target Regional Strategy]],[1]DebtFundUniverse!$B$1:$EU$1,0))</f>
        <v>0</v>
      </c>
      <c r="F17" s="6" t="str">
        <f>INDEX([1]DebtFundUniverse!$B$2:$EU$200,MATCH(DFanalysis[[#This Row],[ID]],[1]DebtFundUniverse!$A$2:$A$200,0),MATCH(DFanalysis[[#Headers],[Vehicle Structure]],[1]DebtFundUniverse!$B$1:$EU$1,0))</f>
        <v>Open end</v>
      </c>
      <c r="G17" s="6">
        <f>INDEX([1]DebtFundUniverse!$B$2:$EU$200,MATCH(DFanalysis[[#This Row],[ID]],[1]DebtFundUniverse!$A$2:$A$200,0),MATCH(DFanalysis[[#Headers],[year of first closing]],[1]DebtFundUniverse!$B$1:$EU$1,0))</f>
        <v>2017</v>
      </c>
      <c r="H17" s="6" t="str">
        <f>IF(ISBLANK([1]DFsmonkeyCompl!L18),"",[1]DFsmonkeyCompl!L18)</f>
        <v>Yes</v>
      </c>
      <c r="I17" s="6" t="str">
        <f>IF(ISBLANK([1]DFsmonkeyCompl!M18),"",[1]DFsmonkeyCompl!M18)</f>
        <v/>
      </c>
      <c r="J17" s="6" t="str">
        <f>IF(ISBLANK([1]DFsmonkeyCompl!N18),"",[1]DFsmonkeyCompl!N18)</f>
        <v/>
      </c>
      <c r="K17" s="6" t="str">
        <f>INDEX([1]DebtFundUniverse!$B$2:$EU$200,MATCH(DFanalysis[[#This Row],[ID]],[1]DebtFundUniverse!$A$2:$A$200,0),MATCH(DFanalysis[[#Headers],[Currency of Reporting]],[1]DebtFundUniverse!$B$1:$EU$1,0))</f>
        <v>GBP</v>
      </c>
      <c r="L17" s="8">
        <f>VLOOKUP(DFanalysis[[#This Row],[Currency of Reporting]],'[1]Xrate31.12.20'!$K$1:$M$25,3,0)</f>
        <v>1.1130927885999999</v>
      </c>
      <c r="M17" s="8">
        <f>IFERROR(IF(ISBLANK([1]DFsmonkeyCompl!O18),"",[1]DFsmonkeyCompl!O18*DFanalysis[[#This Row],[EUR]]),"")</f>
        <v>53.428453852799997</v>
      </c>
      <c r="N17" s="8">
        <f>IFERROR(IF(ISBLANK([1]DFsmonkeyCompl!P18),"",[1]DFsmonkeyCompl!P18*DFanalysis[[#This Row],[EUR]]),"")</f>
        <v>11.130927885999998</v>
      </c>
      <c r="O17" s="8">
        <f>IFERROR(IF(ISBLANK([1]DFsmonkeyCompl!Q18),"",[1]DFsmonkeyCompl!Q18*DFanalysis[[#This Row],[EUR]]),"")</f>
        <v>31.1665980808</v>
      </c>
      <c r="P17" s="8" t="str">
        <f>IFERROR(IF(ISBLANK([1]DFsmonkeyCompl!R18),"",[1]DFsmonkeyCompl!R18*DFanalysis[[#This Row],[EUR]]),"")</f>
        <v/>
      </c>
      <c r="Q17" s="8" t="str">
        <f>IFERROR(IF(ISBLANK([1]DFsmonkeyCompl!S18),"",[1]DFsmonkeyCompl!S18*DFanalysis[[#This Row],[EUR]]),"")</f>
        <v/>
      </c>
      <c r="R17" s="8" t="str">
        <f>IFERROR(IF(ISBLANK([1]DFsmonkeyCompl!T18),"",[1]DFsmonkeyCompl!T18*DFanalysis[[#This Row],[EUR]]),"")</f>
        <v/>
      </c>
      <c r="S17" s="8">
        <f>IFERROR(IF(ISBLANK([1]DFsmonkeyCompl!U18),"",[1]DFsmonkeyCompl!U18*DFanalysis[[#This Row],[EUR]]),"")</f>
        <v>11.130927885999998</v>
      </c>
      <c r="T17" s="8" t="str">
        <f>IFERROR(IF(ISBLANK([1]DFsmonkeyCompl!V18),"",[1]DFsmonkeyCompl!V18*DFanalysis[[#This Row],[EUR]]),"")</f>
        <v/>
      </c>
      <c r="U17" s="8" t="str">
        <f>IFERROR(IF(ISBLANK([1]DFsmonkeyCompl!W18),"",[1]DFsmonkeyCompl!W18*DFanalysis[[#This Row],[EUR]]),"")</f>
        <v/>
      </c>
      <c r="V17" s="8">
        <f>IFERROR(IF(ISBLANK([1]DFsmonkeyCompl!X18),"",[1]DFsmonkeyCompl!X18*DFanalysis[[#This Row],[EUR]]),"")</f>
        <v>53.428453852799997</v>
      </c>
      <c r="W17" s="8" t="str">
        <f>IFERROR(IF(ISBLANK([1]DFsmonkeyCompl!Y18),"",[1]DFsmonkeyCompl!Y18*DFanalysis[[#This Row],[EUR]]),"")</f>
        <v/>
      </c>
      <c r="X17" s="8" t="str">
        <f>IFERROR(IF(ISBLANK([1]DFsmonkeyCompl!Z18),"",[1]DFsmonkeyCompl!Z18*DFanalysis[[#This Row],[EUR]]),"")</f>
        <v/>
      </c>
      <c r="Y17" s="8" t="str">
        <f>IFERROR(IF(ISBLANK([1]DFsmonkeyCompl!AA18),"",[1]DFsmonkeyCompl!AA18*DFanalysis[[#This Row],[EUR]]),"")</f>
        <v/>
      </c>
      <c r="Z17" s="8" t="str">
        <f>IFERROR(IF(ISBLANK([1]DFsmonkeyCompl!AB18),"",[1]DFsmonkeyCompl!AB18*DFanalysis[[#This Row],[EUR]]),"")</f>
        <v/>
      </c>
      <c r="AA17" s="8" t="str">
        <f>IF(ISBLANK([1]DFsmonkeyCompl!AC18),"",[1]DFsmonkeyCompl!AC18)</f>
        <v/>
      </c>
      <c r="AB17" s="8" t="str">
        <f>IF(ISBLANK([1]DFsmonkeyCompl!AD18),"",[1]DFsmonkeyCompl!AD18)</f>
        <v/>
      </c>
      <c r="AC17" s="8">
        <f>IF(ISBLANK([1]DFsmonkeyCompl!AE18),"",[1]DFsmonkeyCompl!AE18)</f>
        <v>100</v>
      </c>
      <c r="AD17" s="8" t="str">
        <f>IF(ISBLANK([1]DFsmonkeyCompl!AF18),"",[1]DFsmonkeyCompl!AF18)</f>
        <v/>
      </c>
      <c r="AE17" s="8" t="str">
        <f>IF(ISBLANK([1]DFsmonkeyCompl!AG18),"",[1]DFsmonkeyCompl!AG18)</f>
        <v>Increase</v>
      </c>
      <c r="AF17" s="8" t="str">
        <f>IF(ISBLANK([1]DFsmonkeyCompl!AH18),"",[1]DFsmonkeyCompl!AH18)</f>
        <v>No</v>
      </c>
    </row>
    <row r="18" spans="1:32" x14ac:dyDescent="0.2">
      <c r="A18" s="5" t="str">
        <f>IF(OR(ISTEXT([1]DFsmonkeyCompl!J19),ISNUMBER([1]DFsmonkeyCompl!J19)),[1]DFsmonkeyCompl!J19,"")</f>
        <v>CBRE Global Investors</v>
      </c>
      <c r="B18" s="6" t="str">
        <f>IF(OR(ISTEXT([1]DFsmonkeyCompl!K19),ISNUMBER([1]DFsmonkeyCompl!K19)),[1]DFsmonkeyCompl!K19,"")</f>
        <v>Special Situations Fund</v>
      </c>
      <c r="C18" s="10">
        <v>28321</v>
      </c>
      <c r="D18" s="6" t="str">
        <f>INDEX([1]DebtFundUniverse!$B$2:$EU$200,MATCH(DFanalysis[[#This Row],[ID]],[1]DebtFundUniverse!$A$2:$A$200,0),MATCH(DFanalysis[[#Headers],[Loan Strategy]],[1]DebtFundUniverse!$B$1:$EU$1,0))</f>
        <v>Mixed: Senior+Subordinated</v>
      </c>
      <c r="E18" s="6" t="str">
        <f>INDEX([1]DebtFundUniverse!$B$2:$EU$200,MATCH(DFanalysis[[#This Row],[ID]],[1]DebtFundUniverse!$A$2:$A$200,0),MATCH(DFanalysis[[#Headers],[Target Regional Strategy]],[1]DebtFundUniverse!$B$1:$EU$1,0))</f>
        <v>North America</v>
      </c>
      <c r="F18" s="6" t="str">
        <f>INDEX([1]DebtFundUniverse!$B$2:$EU$200,MATCH(DFanalysis[[#This Row],[ID]],[1]DebtFundUniverse!$A$2:$A$200,0),MATCH(DFanalysis[[#Headers],[Vehicle Structure]],[1]DebtFundUniverse!$B$1:$EU$1,0))</f>
        <v>Open end</v>
      </c>
      <c r="G18" s="6">
        <f>INDEX([1]DebtFundUniverse!$B$2:$EU$200,MATCH(DFanalysis[[#This Row],[ID]],[1]DebtFundUniverse!$A$2:$A$200,0),MATCH(DFanalysis[[#Headers],[year of first closing]],[1]DebtFundUniverse!$B$1:$EU$1,0))</f>
        <v>2009</v>
      </c>
      <c r="H18" s="6" t="str">
        <f>IF(ISBLANK([1]DFsmonkeyCompl!L19),"",[1]DFsmonkeyCompl!L19)</f>
        <v>Yes</v>
      </c>
      <c r="I18" s="6" t="str">
        <f>IF(ISBLANK([1]DFsmonkeyCompl!M19),"",[1]DFsmonkeyCompl!M19)</f>
        <v/>
      </c>
      <c r="J18" s="6" t="str">
        <f>IF(ISBLANK([1]DFsmonkeyCompl!N19),"",[1]DFsmonkeyCompl!N19)</f>
        <v/>
      </c>
      <c r="K18" s="6" t="str">
        <f>INDEX([1]DebtFundUniverse!$B$2:$EU$200,MATCH(DFanalysis[[#This Row],[ID]],[1]DebtFundUniverse!$A$2:$A$200,0),MATCH(DFanalysis[[#Headers],[Currency of Reporting]],[1]DebtFundUniverse!$B$1:$EU$1,0))</f>
        <v>USD</v>
      </c>
      <c r="L18" s="8">
        <f>VLOOKUP(DFanalysis[[#This Row],[Currency of Reporting]],'[1]Xrate31.12.20'!$K$1:$M$25,3,0)</f>
        <v>0.81541286290000004</v>
      </c>
      <c r="M18" s="8">
        <f>IFERROR(IF(ISBLANK([1]DFsmonkeyCompl!O19),"",[1]DFsmonkeyCompl!O19*DFanalysis[[#This Row],[EUR]]),"")</f>
        <v>73.387157661000003</v>
      </c>
      <c r="N18" s="8">
        <f>IFERROR(IF(ISBLANK([1]DFsmonkeyCompl!P19),"",[1]DFsmonkeyCompl!P19*DFanalysis[[#This Row],[EUR]]),"")</f>
        <v>66.863854757799999</v>
      </c>
      <c r="O18" s="8" t="str">
        <f>IFERROR(IF(ISBLANK([1]DFsmonkeyCompl!Q19),"",[1]DFsmonkeyCompl!Q19*DFanalysis[[#This Row],[EUR]]),"")</f>
        <v/>
      </c>
      <c r="P18" s="8" t="str">
        <f>IFERROR(IF(ISBLANK([1]DFsmonkeyCompl!R19),"",[1]DFsmonkeyCompl!R19*DFanalysis[[#This Row],[EUR]]),"")</f>
        <v/>
      </c>
      <c r="Q18" s="8" t="str">
        <f>IFERROR(IF(ISBLANK([1]DFsmonkeyCompl!S19),"",[1]DFsmonkeyCompl!S19*DFanalysis[[#This Row],[EUR]]),"")</f>
        <v/>
      </c>
      <c r="R18" s="8" t="str">
        <f>IFERROR(IF(ISBLANK([1]DFsmonkeyCompl!T19),"",[1]DFsmonkeyCompl!T19*DFanalysis[[#This Row],[EUR]]),"")</f>
        <v/>
      </c>
      <c r="S18" s="8" t="str">
        <f>IFERROR(IF(ISBLANK([1]DFsmonkeyCompl!U19),"",[1]DFsmonkeyCompl!U19*DFanalysis[[#This Row],[EUR]]),"")</f>
        <v/>
      </c>
      <c r="T18" s="8" t="str">
        <f>IFERROR(IF(ISBLANK([1]DFsmonkeyCompl!V19),"",[1]DFsmonkeyCompl!V19*DFanalysis[[#This Row],[EUR]]),"")</f>
        <v/>
      </c>
      <c r="U18" s="8">
        <f>IFERROR(IF(ISBLANK([1]DFsmonkeyCompl!W19),"",[1]DFsmonkeyCompl!W19*DFanalysis[[#This Row],[EUR]]),"")</f>
        <v>6.5233029032000003</v>
      </c>
      <c r="V18" s="8">
        <f>IFERROR(IF(ISBLANK([1]DFsmonkeyCompl!X19),"",[1]DFsmonkeyCompl!X19*DFanalysis[[#This Row],[EUR]]),"")</f>
        <v>53.001836088499999</v>
      </c>
      <c r="W18" s="8" t="str">
        <f>IFERROR(IF(ISBLANK([1]DFsmonkeyCompl!Y19),"",[1]DFsmonkeyCompl!Y19*DFanalysis[[#This Row],[EUR]]),"")</f>
        <v/>
      </c>
      <c r="X18" s="8">
        <f>IFERROR(IF(ISBLANK([1]DFsmonkeyCompl!Z19),"",[1]DFsmonkeyCompl!Z19*DFanalysis[[#This Row],[EUR]]),"")</f>
        <v>20.385321572500001</v>
      </c>
      <c r="Y18" s="8" t="str">
        <f>IFERROR(IF(ISBLANK([1]DFsmonkeyCompl!AA19),"",[1]DFsmonkeyCompl!AA19*DFanalysis[[#This Row],[EUR]]),"")</f>
        <v/>
      </c>
      <c r="Z18" s="8" t="str">
        <f>IFERROR(IF(ISBLANK([1]DFsmonkeyCompl!AB19),"",[1]DFsmonkeyCompl!AB19*DFanalysis[[#This Row],[EUR]]),"")</f>
        <v/>
      </c>
      <c r="AA18" s="8" t="str">
        <f>IF(ISBLANK([1]DFsmonkeyCompl!AC19),"",[1]DFsmonkeyCompl!AC19)</f>
        <v/>
      </c>
      <c r="AB18" s="8" t="str">
        <f>IF(ISBLANK([1]DFsmonkeyCompl!AD19),"",[1]DFsmonkeyCompl!AD19)</f>
        <v/>
      </c>
      <c r="AC18" s="8">
        <f>IF(ISBLANK([1]DFsmonkeyCompl!AE19),"",[1]DFsmonkeyCompl!AE19)</f>
        <v>100</v>
      </c>
      <c r="AD18" s="8" t="str">
        <f>IF(ISBLANK([1]DFsmonkeyCompl!AF19),"",[1]DFsmonkeyCompl!AF19)</f>
        <v/>
      </c>
      <c r="AE18" s="8" t="str">
        <f>IF(ISBLANK([1]DFsmonkeyCompl!AG19),"",[1]DFsmonkeyCompl!AG19)</f>
        <v>Increase</v>
      </c>
      <c r="AF18" s="8" t="str">
        <f>IF(ISBLANK([1]DFsmonkeyCompl!AH19),"",[1]DFsmonkeyCompl!AH19)</f>
        <v>Yes</v>
      </c>
    </row>
    <row r="19" spans="1:32" x14ac:dyDescent="0.2">
      <c r="B19" s="6" t="str">
        <f>IF(OR(ISTEXT([1]DFsmonkeyCompl!K20),ISNUMBER([1]DFsmonkeyCompl!K20)),[1]DFsmonkeyCompl!K20,"")</f>
        <v>Heitman Closed End Debt Fund</v>
      </c>
      <c r="C19" s="10"/>
      <c r="D19" s="6" t="e">
        <f>INDEX([1]DebtFundUniverse!$B$2:$EU$200,MATCH(DFanalysis[[#This Row],[ID]],[1]DebtFundUniverse!$A$2:$A$200,0),MATCH(DFanalysis[[#Headers],[Loan Strategy]],[1]DebtFundUniverse!$B$1:$EU$1,0))</f>
        <v>#N/A</v>
      </c>
      <c r="E19" s="6" t="e">
        <f>INDEX([1]DebtFundUniverse!$B$2:$EU$200,MATCH(DFanalysis[[#This Row],[ID]],[1]DebtFundUniverse!$A$2:$A$200,0),MATCH(DFanalysis[[#Headers],[Target Regional Strategy]],[1]DebtFundUniverse!$B$1:$EU$1,0))</f>
        <v>#N/A</v>
      </c>
      <c r="F19" s="6" t="e">
        <f>INDEX([1]DebtFundUniverse!$B$2:$EU$200,MATCH(DFanalysis[[#This Row],[ID]],[1]DebtFundUniverse!$A$2:$A$200,0),MATCH(DFanalysis[[#Headers],[Vehicle Structure]],[1]DebtFundUniverse!$B$1:$EU$1,0))</f>
        <v>#N/A</v>
      </c>
      <c r="G19" s="6" t="e">
        <f>INDEX([1]DebtFundUniverse!$B$2:$EU$200,MATCH(DFanalysis[[#This Row],[ID]],[1]DebtFundUniverse!$A$2:$A$200,0),MATCH(DFanalysis[[#Headers],[year of first closing]],[1]DebtFundUniverse!$B$1:$EU$1,0))</f>
        <v>#N/A</v>
      </c>
      <c r="H19" s="6" t="str">
        <f>IF(ISBLANK([1]DFsmonkeyCompl!L20),"",[1]DFsmonkeyCompl!L20)</f>
        <v>Yes</v>
      </c>
      <c r="I19" s="6" t="str">
        <f>IF(ISBLANK([1]DFsmonkeyCompl!M20),"",[1]DFsmonkeyCompl!M20)</f>
        <v/>
      </c>
      <c r="J19" s="6" t="str">
        <f>IF(ISBLANK([1]DFsmonkeyCompl!N20),"",[1]DFsmonkeyCompl!N20)</f>
        <v/>
      </c>
      <c r="K19" s="6" t="e">
        <f>INDEX([1]DebtFundUniverse!$B$2:$EU$200,MATCH(DFanalysis[[#This Row],[ID]],[1]DebtFundUniverse!$A$2:$A$200,0),MATCH(DFanalysis[[#Headers],[Currency of Reporting]],[1]DebtFundUniverse!$B$1:$EU$1,0))</f>
        <v>#N/A</v>
      </c>
      <c r="L19" s="8" t="e">
        <f>VLOOKUP(DFanalysis[[#This Row],[Currency of Reporting]],'[1]Xrate31.12.20'!$K$1:$M$25,3,0)</f>
        <v>#N/A</v>
      </c>
      <c r="M19" s="8" t="str">
        <f>IFERROR(IF(ISBLANK([1]DFsmonkeyCompl!O20),"",[1]DFsmonkeyCompl!O20*DFanalysis[[#This Row],[EUR]]),"")</f>
        <v/>
      </c>
      <c r="N19" s="8" t="str">
        <f>IFERROR(IF(ISBLANK([1]DFsmonkeyCompl!P20),"",[1]DFsmonkeyCompl!P20*DFanalysis[[#This Row],[EUR]]),"")</f>
        <v/>
      </c>
      <c r="O19" s="8" t="str">
        <f>IFERROR(IF(ISBLANK([1]DFsmonkeyCompl!Q20),"",[1]DFsmonkeyCompl!Q20*DFanalysis[[#This Row],[EUR]]),"")</f>
        <v/>
      </c>
      <c r="P19" s="8" t="str">
        <f>IFERROR(IF(ISBLANK([1]DFsmonkeyCompl!R20),"",[1]DFsmonkeyCompl!R20*DFanalysis[[#This Row],[EUR]]),"")</f>
        <v/>
      </c>
      <c r="Q19" s="8" t="str">
        <f>IFERROR(IF(ISBLANK([1]DFsmonkeyCompl!S20),"",[1]DFsmonkeyCompl!S20*DFanalysis[[#This Row],[EUR]]),"")</f>
        <v/>
      </c>
      <c r="R19" s="8" t="str">
        <f>IFERROR(IF(ISBLANK([1]DFsmonkeyCompl!T20),"",[1]DFsmonkeyCompl!T20*DFanalysis[[#This Row],[EUR]]),"")</f>
        <v/>
      </c>
      <c r="S19" s="8" t="str">
        <f>IFERROR(IF(ISBLANK([1]DFsmonkeyCompl!U20),"",[1]DFsmonkeyCompl!U20*DFanalysis[[#This Row],[EUR]]),"")</f>
        <v/>
      </c>
      <c r="T19" s="8" t="str">
        <f>IFERROR(IF(ISBLANK([1]DFsmonkeyCompl!V20),"",[1]DFsmonkeyCompl!V20*DFanalysis[[#This Row],[EUR]]),"")</f>
        <v/>
      </c>
      <c r="U19" s="8" t="str">
        <f>IFERROR(IF(ISBLANK([1]DFsmonkeyCompl!W20),"",[1]DFsmonkeyCompl!W20*DFanalysis[[#This Row],[EUR]]),"")</f>
        <v/>
      </c>
      <c r="V19" s="8" t="str">
        <f>IFERROR(IF(ISBLANK([1]DFsmonkeyCompl!X20),"",[1]DFsmonkeyCompl!X20*DFanalysis[[#This Row],[EUR]]),"")</f>
        <v/>
      </c>
      <c r="W19" s="8" t="str">
        <f>IFERROR(IF(ISBLANK([1]DFsmonkeyCompl!Y20),"",[1]DFsmonkeyCompl!Y20*DFanalysis[[#This Row],[EUR]]),"")</f>
        <v/>
      </c>
      <c r="X19" s="8" t="str">
        <f>IFERROR(IF(ISBLANK([1]DFsmonkeyCompl!Z20),"",[1]DFsmonkeyCompl!Z20*DFanalysis[[#This Row],[EUR]]),"")</f>
        <v/>
      </c>
      <c r="Y19" s="8" t="str">
        <f>IFERROR(IF(ISBLANK([1]DFsmonkeyCompl!AA20),"",[1]DFsmonkeyCompl!AA20*DFanalysis[[#This Row],[EUR]]),"")</f>
        <v/>
      </c>
      <c r="Z19" s="8" t="str">
        <f>IFERROR(IF(ISBLANK([1]DFsmonkeyCompl!AB20),"",[1]DFsmonkeyCompl!AB20*DFanalysis[[#This Row],[EUR]]),"")</f>
        <v/>
      </c>
      <c r="AA19" s="8" t="str">
        <f>IF(ISBLANK([1]DFsmonkeyCompl!AC20),"",[1]DFsmonkeyCompl!AC20)</f>
        <v/>
      </c>
      <c r="AB19" s="8" t="str">
        <f>IF(ISBLANK([1]DFsmonkeyCompl!AD20),"",[1]DFsmonkeyCompl!AD20)</f>
        <v/>
      </c>
      <c r="AC19" s="8">
        <f>IF(ISBLANK([1]DFsmonkeyCompl!AE20),"",[1]DFsmonkeyCompl!AE20)</f>
        <v>100</v>
      </c>
      <c r="AD19" s="8" t="str">
        <f>IF(ISBLANK([1]DFsmonkeyCompl!AF20),"",[1]DFsmonkeyCompl!AF20)</f>
        <v/>
      </c>
      <c r="AE19" s="8" t="str">
        <f>IF(ISBLANK([1]DFsmonkeyCompl!AG20),"",[1]DFsmonkeyCompl!AG20)</f>
        <v>Increase</v>
      </c>
      <c r="AF19" s="8" t="str">
        <f>IF(ISBLANK([1]DFsmonkeyCompl!AH20),"",[1]DFsmonkeyCompl!AH20)</f>
        <v>Yes</v>
      </c>
    </row>
    <row r="20" spans="1:32" x14ac:dyDescent="0.2">
      <c r="B20" s="6" t="str">
        <f>IF(OR(ISTEXT([1]DFsmonkeyCompl!K21),ISNUMBER([1]DFsmonkeyCompl!K21)),[1]DFsmonkeyCompl!K21,"")</f>
        <v>SELF III</v>
      </c>
      <c r="C20" s="10"/>
      <c r="D20" s="6" t="e">
        <f>INDEX([1]DebtFundUniverse!$B$2:$EU$200,MATCH(DFanalysis[[#This Row],[ID]],[1]DebtFundUniverse!$A$2:$A$200,0),MATCH(DFanalysis[[#Headers],[Loan Strategy]],[1]DebtFundUniverse!$B$1:$EU$1,0))</f>
        <v>#N/A</v>
      </c>
      <c r="E20" s="6" t="e">
        <f>INDEX([1]DebtFundUniverse!$B$2:$EU$200,MATCH(DFanalysis[[#This Row],[ID]],[1]DebtFundUniverse!$A$2:$A$200,0),MATCH(DFanalysis[[#Headers],[Target Regional Strategy]],[1]DebtFundUniverse!$B$1:$EU$1,0))</f>
        <v>#N/A</v>
      </c>
      <c r="F20" s="6" t="e">
        <f>INDEX([1]DebtFundUniverse!$B$2:$EU$200,MATCH(DFanalysis[[#This Row],[ID]],[1]DebtFundUniverse!$A$2:$A$200,0),MATCH(DFanalysis[[#Headers],[Vehicle Structure]],[1]DebtFundUniverse!$B$1:$EU$1,0))</f>
        <v>#N/A</v>
      </c>
      <c r="G20" s="6" t="e">
        <f>INDEX([1]DebtFundUniverse!$B$2:$EU$200,MATCH(DFanalysis[[#This Row],[ID]],[1]DebtFundUniverse!$A$2:$A$200,0),MATCH(DFanalysis[[#Headers],[year of first closing]],[1]DebtFundUniverse!$B$1:$EU$1,0))</f>
        <v>#N/A</v>
      </c>
      <c r="H20" s="6" t="str">
        <f>IF(ISBLANK([1]DFsmonkeyCompl!L21),"",[1]DFsmonkeyCompl!L21)</f>
        <v>Yes</v>
      </c>
      <c r="I20" s="6" t="str">
        <f>IF(ISBLANK([1]DFsmonkeyCompl!M21),"",[1]DFsmonkeyCompl!M21)</f>
        <v/>
      </c>
      <c r="J20" s="6" t="str">
        <f>IF(ISBLANK([1]DFsmonkeyCompl!N21),"",[1]DFsmonkeyCompl!N21)</f>
        <v/>
      </c>
      <c r="K20" s="6" t="e">
        <f>INDEX([1]DebtFundUniverse!$B$2:$EU$200,MATCH(DFanalysis[[#This Row],[ID]],[1]DebtFundUniverse!$A$2:$A$200,0),MATCH(DFanalysis[[#Headers],[Currency of Reporting]],[1]DebtFundUniverse!$B$1:$EU$1,0))</f>
        <v>#N/A</v>
      </c>
      <c r="L20" s="8" t="e">
        <f>VLOOKUP(DFanalysis[[#This Row],[Currency of Reporting]],'[1]Xrate31.12.20'!$K$1:$M$25,3,0)</f>
        <v>#N/A</v>
      </c>
      <c r="M20" s="8" t="str">
        <f>IFERROR(IF(ISBLANK([1]DFsmonkeyCompl!O21),"",[1]DFsmonkeyCompl!O21*DFanalysis[[#This Row],[EUR]]),"")</f>
        <v/>
      </c>
      <c r="N20" s="8" t="str">
        <f>IFERROR(IF(ISBLANK([1]DFsmonkeyCompl!P21),"",[1]DFsmonkeyCompl!P21*DFanalysis[[#This Row],[EUR]]),"")</f>
        <v/>
      </c>
      <c r="O20" s="8" t="str">
        <f>IFERROR(IF(ISBLANK([1]DFsmonkeyCompl!Q21),"",[1]DFsmonkeyCompl!Q21*DFanalysis[[#This Row],[EUR]]),"")</f>
        <v/>
      </c>
      <c r="P20" s="8" t="str">
        <f>IFERROR(IF(ISBLANK([1]DFsmonkeyCompl!R21),"",[1]DFsmonkeyCompl!R21*DFanalysis[[#This Row],[EUR]]),"")</f>
        <v/>
      </c>
      <c r="Q20" s="8" t="str">
        <f>IFERROR(IF(ISBLANK([1]DFsmonkeyCompl!S21),"",[1]DFsmonkeyCompl!S21*DFanalysis[[#This Row],[EUR]]),"")</f>
        <v/>
      </c>
      <c r="R20" s="8" t="str">
        <f>IFERROR(IF(ISBLANK([1]DFsmonkeyCompl!T21),"",[1]DFsmonkeyCompl!T21*DFanalysis[[#This Row],[EUR]]),"")</f>
        <v/>
      </c>
      <c r="S20" s="8" t="str">
        <f>IFERROR(IF(ISBLANK([1]DFsmonkeyCompl!U21),"",[1]DFsmonkeyCompl!U21*DFanalysis[[#This Row],[EUR]]),"")</f>
        <v/>
      </c>
      <c r="T20" s="8" t="str">
        <f>IFERROR(IF(ISBLANK([1]DFsmonkeyCompl!V21),"",[1]DFsmonkeyCompl!V21*DFanalysis[[#This Row],[EUR]]),"")</f>
        <v/>
      </c>
      <c r="U20" s="8" t="str">
        <f>IFERROR(IF(ISBLANK([1]DFsmonkeyCompl!W21),"",[1]DFsmonkeyCompl!W21*DFanalysis[[#This Row],[EUR]]),"")</f>
        <v/>
      </c>
      <c r="V20" s="8" t="str">
        <f>IFERROR(IF(ISBLANK([1]DFsmonkeyCompl!X21),"",[1]DFsmonkeyCompl!X21*DFanalysis[[#This Row],[EUR]]),"")</f>
        <v/>
      </c>
      <c r="W20" s="8" t="str">
        <f>IFERROR(IF(ISBLANK([1]DFsmonkeyCompl!Y21),"",[1]DFsmonkeyCompl!Y21*DFanalysis[[#This Row],[EUR]]),"")</f>
        <v/>
      </c>
      <c r="X20" s="8" t="str">
        <f>IFERROR(IF(ISBLANK([1]DFsmonkeyCompl!Z21),"",[1]DFsmonkeyCompl!Z21*DFanalysis[[#This Row],[EUR]]),"")</f>
        <v/>
      </c>
      <c r="Y20" s="8" t="str">
        <f>IFERROR(IF(ISBLANK([1]DFsmonkeyCompl!AA21),"",[1]DFsmonkeyCompl!AA21*DFanalysis[[#This Row],[EUR]]),"")</f>
        <v/>
      </c>
      <c r="Z20" s="8" t="str">
        <f>IFERROR(IF(ISBLANK([1]DFsmonkeyCompl!AB21),"",[1]DFsmonkeyCompl!AB21*DFanalysis[[#This Row],[EUR]]),"")</f>
        <v/>
      </c>
      <c r="AA20" s="8" t="str">
        <f>IF(ISBLANK([1]DFsmonkeyCompl!AC21),"",[1]DFsmonkeyCompl!AC21)</f>
        <v/>
      </c>
      <c r="AB20" s="8" t="str">
        <f>IF(ISBLANK([1]DFsmonkeyCompl!AD21),"",[1]DFsmonkeyCompl!AD21)</f>
        <v/>
      </c>
      <c r="AC20" s="8">
        <f>IF(ISBLANK([1]DFsmonkeyCompl!AE21),"",[1]DFsmonkeyCompl!AE21)</f>
        <v>100</v>
      </c>
      <c r="AD20" s="8" t="str">
        <f>IF(ISBLANK([1]DFsmonkeyCompl!AF21),"",[1]DFsmonkeyCompl!AF21)</f>
        <v/>
      </c>
      <c r="AE20" s="8" t="str">
        <f>IF(ISBLANK([1]DFsmonkeyCompl!AG21),"",[1]DFsmonkeyCompl!AG21)</f>
        <v>Increase</v>
      </c>
      <c r="AF20" s="8" t="str">
        <f>IF(ISBLANK([1]DFsmonkeyCompl!AH21),"",[1]DFsmonkeyCompl!AH21)</f>
        <v>Yes</v>
      </c>
    </row>
    <row r="21" spans="1:32" x14ac:dyDescent="0.2">
      <c r="C21"/>
      <c r="M21" s="11"/>
      <c r="V21" s="11"/>
      <c r="W21" s="11"/>
    </row>
    <row r="22" spans="1:32" x14ac:dyDescent="0.2">
      <c r="C22"/>
      <c r="M22" s="11"/>
      <c r="V22" s="11"/>
      <c r="W22" s="11"/>
    </row>
    <row r="23" spans="1:32" x14ac:dyDescent="0.2">
      <c r="C23"/>
      <c r="M23" s="11"/>
      <c r="V23" s="11"/>
      <c r="W23" s="11"/>
    </row>
    <row r="24" spans="1:32" x14ac:dyDescent="0.2">
      <c r="C24"/>
      <c r="M24" s="11"/>
      <c r="V24" s="11"/>
      <c r="W24" s="11"/>
    </row>
    <row r="25" spans="1:32" x14ac:dyDescent="0.2">
      <c r="C25"/>
      <c r="M25" s="11"/>
      <c r="V25" s="11"/>
      <c r="W25" s="11"/>
    </row>
    <row r="26" spans="1:32" x14ac:dyDescent="0.2">
      <c r="C26"/>
      <c r="M26" s="11"/>
      <c r="V26" s="11"/>
      <c r="W26" s="11"/>
    </row>
    <row r="27" spans="1:32" x14ac:dyDescent="0.2">
      <c r="C27"/>
      <c r="M27" s="11"/>
      <c r="V27" s="11"/>
      <c r="W27" s="11"/>
    </row>
    <row r="28" spans="1:32" x14ac:dyDescent="0.2">
      <c r="C28"/>
      <c r="M28" s="11"/>
      <c r="V28" s="11"/>
      <c r="W28" s="11"/>
    </row>
    <row r="29" spans="1:32" x14ac:dyDescent="0.2">
      <c r="C29"/>
      <c r="M29" s="11"/>
      <c r="V29" s="11"/>
      <c r="W29" s="11"/>
    </row>
    <row r="30" spans="1:32" x14ac:dyDescent="0.2">
      <c r="C30"/>
      <c r="M30" s="11"/>
      <c r="V30" s="11"/>
      <c r="W30" s="11"/>
    </row>
    <row r="31" spans="1:32" x14ac:dyDescent="0.2">
      <c r="C31"/>
      <c r="M31" s="11"/>
      <c r="V31" s="11"/>
      <c r="W31" s="11"/>
    </row>
    <row r="32" spans="1:32" x14ac:dyDescent="0.2">
      <c r="C32"/>
      <c r="M32" s="11"/>
      <c r="V32" s="11"/>
      <c r="W32" s="11"/>
    </row>
    <row r="33" spans="3:23" x14ac:dyDescent="0.2">
      <c r="C33"/>
      <c r="M33" s="11"/>
      <c r="V33" s="11"/>
      <c r="W33" s="11"/>
    </row>
    <row r="34" spans="3:23" x14ac:dyDescent="0.2">
      <c r="C34"/>
      <c r="M34" s="11"/>
      <c r="V34" s="11"/>
      <c r="W34" s="11"/>
    </row>
    <row r="35" spans="3:23" x14ac:dyDescent="0.2">
      <c r="C35"/>
      <c r="M35" s="11"/>
      <c r="V35" s="11"/>
      <c r="W35" s="11"/>
    </row>
    <row r="36" spans="3:23" x14ac:dyDescent="0.2">
      <c r="C36"/>
      <c r="M36" s="11"/>
      <c r="V36" s="11"/>
      <c r="W36" s="11"/>
    </row>
    <row r="37" spans="3:23" x14ac:dyDescent="0.2">
      <c r="C37"/>
      <c r="M37" s="11"/>
      <c r="V37" s="11"/>
      <c r="W37" s="11"/>
    </row>
    <row r="38" spans="3:23" x14ac:dyDescent="0.2">
      <c r="C38"/>
    </row>
    <row r="39" spans="3:23" x14ac:dyDescent="0.2">
      <c r="C39"/>
    </row>
    <row r="40" spans="3:23" x14ac:dyDescent="0.2">
      <c r="C40"/>
    </row>
    <row r="41" spans="3:23" x14ac:dyDescent="0.2">
      <c r="C41"/>
    </row>
    <row r="42" spans="3:23" x14ac:dyDescent="0.2">
      <c r="C42"/>
    </row>
    <row r="43" spans="3:23" x14ac:dyDescent="0.2">
      <c r="C43"/>
    </row>
    <row r="44" spans="3:23" x14ac:dyDescent="0.2">
      <c r="C44"/>
    </row>
    <row r="45" spans="3:23" x14ac:dyDescent="0.2">
      <c r="C45"/>
    </row>
    <row r="46" spans="3:23" x14ac:dyDescent="0.2">
      <c r="C46"/>
    </row>
    <row r="47" spans="3:23" x14ac:dyDescent="0.2">
      <c r="C47"/>
    </row>
    <row r="48" spans="3:23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FA32-9561-43E0-9137-A79EB8FAB9A6}">
  <sheetPr>
    <tabColor rgb="FFFFC000"/>
  </sheetPr>
  <dimension ref="A1:AH21"/>
  <sheetViews>
    <sheetView workbookViewId="0">
      <selection activeCell="M2" sqref="M2"/>
    </sheetView>
  </sheetViews>
  <sheetFormatPr defaultRowHeight="12.75" x14ac:dyDescent="0.2"/>
  <cols>
    <col min="1" max="1" width="18.85546875" customWidth="1"/>
    <col min="2" max="2" width="30" customWidth="1"/>
  </cols>
  <sheetData>
    <row r="1" spans="1:34" s="2" customFormat="1" ht="14.25" thickTop="1" thickBo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485</v>
      </c>
      <c r="AH1" s="2" t="s">
        <v>486</v>
      </c>
    </row>
    <row r="2" spans="1:34" ht="14.25" thickTop="1" thickBot="1" x14ac:dyDescent="0.25">
      <c r="A2" s="5" t="str">
        <f>IF(OR(ISTEXT([2]DFsmonkeyCompl!J3),ISNUMBER([2]DFsmonkeyCompl!J3)),[2]DFsmonkeyCompl!J3,"")</f>
        <v>PGIM Real Estate</v>
      </c>
      <c r="B2" s="6" t="str">
        <f>IF(OR(ISTEXT([2]DFsmonkeyCompl!K3),ISNUMBER([2]DFsmonkeyCompl!K3)),[2]DFsmonkeyCompl!K3,"")</f>
        <v>PRECap VII</v>
      </c>
      <c r="C2" s="7" cm="1">
        <f t="array" ref="C2">INDEX([2]DebtFundUniverse!$A$85:$A$95,MATCH(B2,[2]DebtFundUniverse!$B$85:$B$95,0),0)</f>
        <v>97174</v>
      </c>
      <c r="D2" s="6" t="str">
        <f>INDEX([2]DebtFundUniverse!$B$2:$EU$200,MATCH(DFanalysis4[[#This Row],[ID]],[2]DebtFundUniverse!$A$2:$A$200,0),MATCH(DFanalysis4[[#Headers],[Loan Strategy]],[2]DebtFundUniverse!$B$1:$EU$1,0))</f>
        <v>Mixed: Senior+Subordinated+Preferred equity</v>
      </c>
      <c r="E2" s="6" t="str">
        <f>INDEX([2]DebtFundUniverse!$B$2:$EU$200,MATCH(DFanalysis4[[#This Row],[ID]],[2]DebtFundUniverse!$A$2:$A$200,0),MATCH(DFanalysis4[[#Headers],[Target Regional Strategy]],[2]DebtFundUniverse!$B$1:$EU$1,0))</f>
        <v>Europe</v>
      </c>
      <c r="F2" s="6" t="str">
        <f>INDEX([2]DebtFundUniverse!$B$2:$EU$200,MATCH(DFanalysis4[[#This Row],[ID]],[2]DebtFundUniverse!$A$2:$A$200,0),MATCH(DFanalysis4[[#Headers],[Vehicle Structure]],[2]DebtFundUniverse!$B$1:$EU$1,0))</f>
        <v>Closed end</v>
      </c>
      <c r="G2" s="6">
        <f>INDEX([2]DebtFundUniverse!$B$2:$EU$200,MATCH(DFanalysis4[[#This Row],[ID]],[2]DebtFundUniverse!$A$2:$A$200,0),MATCH(DFanalysis4[[#Headers],[year of first closing]],[2]DebtFundUniverse!$B$1:$EU$1,0))</f>
        <v>2019</v>
      </c>
      <c r="H2" s="6" t="str">
        <f>IF(ISBLANK([2]DFsmonkeyCompl!L3),"",[2]DFsmonkeyCompl!L3)</f>
        <v>Yes</v>
      </c>
      <c r="I2" s="6" t="str">
        <f>IF(ISBLANK([2]DFsmonkeyCompl!M3),"",[2]DFsmonkeyCompl!M3)</f>
        <v/>
      </c>
      <c r="J2" s="6" t="str">
        <f>IF(ISBLANK([2]DFsmonkeyCompl!N3),"",[2]DFsmonkeyCompl!N3)</f>
        <v/>
      </c>
      <c r="K2" s="6" t="str">
        <f>INDEX([2]DebtFundUniverse!$B$2:$EU$200,MATCH(DFanalysis4[[#This Row],[ID]],[2]DebtFundUniverse!$A$2:$A$200,0),MATCH(DFanalysis4[[#Headers],[Currency of Reporting]],[2]DebtFundUniverse!$B$1:$EU$1,0))</f>
        <v>GBP</v>
      </c>
      <c r="L2" s="8">
        <f>VLOOKUP(DFanalysis4[[#This Row],[Currency of Reporting]],'[2]Xrate31.12.20'!$K$1:$M$25,3,0)</f>
        <v>1.1130927885999999</v>
      </c>
      <c r="M2" s="8">
        <f>IFERROR(IF(ISBLANK([2]DFsmonkeyCompl!O3),"",[2]DFsmonkeyCompl!O3*DFanalysis4[[#This Row],[EUR]]),"")</f>
        <v>1021.8191799348</v>
      </c>
      <c r="N2" s="8">
        <f>IFERROR(IF(ISBLANK([2]DFsmonkeyCompl!P3),"",[2]DFsmonkeyCompl!P3*DFanalysis4[[#This Row],[EUR]]),"")</f>
        <v>906.05752992039993</v>
      </c>
      <c r="O2" s="8" t="str">
        <f>IFERROR(IF(ISBLANK([2]DFsmonkeyCompl!Q3),"",[2]DFsmonkeyCompl!Q3*DFanalysis4[[#This Row],[EUR]]),"")</f>
        <v/>
      </c>
      <c r="P2" s="8">
        <f>IFERROR(IF(ISBLANK([2]DFsmonkeyCompl!R3),"",[2]DFsmonkeyCompl!R3*DFanalysis4[[#This Row],[EUR]]),"")</f>
        <v>57.880825007199995</v>
      </c>
      <c r="Q2" s="8" t="str">
        <f>IFERROR(IF(ISBLANK([2]DFsmonkeyCompl!S3),"",[2]DFsmonkeyCompl!S3*DFanalysis4[[#This Row],[EUR]]),"")</f>
        <v/>
      </c>
      <c r="R2" s="8" t="str">
        <f>IFERROR(IF(ISBLANK([2]DFsmonkeyCompl!T3),"",[2]DFsmonkeyCompl!T3*DFanalysis4[[#This Row],[EUR]]),"")</f>
        <v/>
      </c>
      <c r="S2" s="8" t="str">
        <f>IFERROR(IF(ISBLANK([2]DFsmonkeyCompl!U3),"",[2]DFsmonkeyCompl!U3*DFanalysis4[[#This Row],[EUR]]),"")</f>
        <v/>
      </c>
      <c r="T2" s="8" t="str">
        <f>IFERROR(IF(ISBLANK([2]DFsmonkeyCompl!V3),"",[2]DFsmonkeyCompl!V3*DFanalysis4[[#This Row],[EUR]]),"")</f>
        <v/>
      </c>
      <c r="U2" s="8">
        <f>IFERROR(IF(ISBLANK([2]DFsmonkeyCompl!W3),"",[2]DFsmonkeyCompl!W3*DFanalysis4[[#This Row],[EUR]]),"")</f>
        <v>57.880825007199995</v>
      </c>
      <c r="V2" s="8">
        <f>IFERROR(IF(ISBLANK([2]DFsmonkeyCompl!X3),"",[2]DFsmonkeyCompl!X3*DFanalysis4[[#This Row],[EUR]]),"")</f>
        <v>57.880825007199995</v>
      </c>
      <c r="W2" s="8">
        <f>IFERROR(IF(ISBLANK([2]DFsmonkeyCompl!Y3),"",[2]DFsmonkeyCompl!Y3*DFanalysis4[[#This Row],[EUR]]),"")</f>
        <v>37.845154812399997</v>
      </c>
      <c r="X2" s="8">
        <f>IFERROR(IF(ISBLANK([2]DFsmonkeyCompl!Z3),"",[2]DFsmonkeyCompl!Z3*DFanalysis4[[#This Row],[EUR]]),"")</f>
        <v>926.09320011519992</v>
      </c>
      <c r="Y2" s="8" t="str">
        <f>IFERROR(IF(ISBLANK([2]DFsmonkeyCompl!AA3),"",[2]DFsmonkeyCompl!AA3*DFanalysis4[[#This Row],[EUR]]),"")</f>
        <v/>
      </c>
      <c r="Z2" s="8" t="str">
        <f>IFERROR(IF(ISBLANK([2]DFsmonkeyCompl!AB3),"",[2]DFsmonkeyCompl!AB3*DFanalysis4[[#This Row],[EUR]]),"")</f>
        <v/>
      </c>
      <c r="AA2" s="8" t="str">
        <f>IF(ISBLANK([2]DFsmonkeyCompl!AC3),"",[2]DFsmonkeyCompl!AC3)</f>
        <v/>
      </c>
      <c r="AB2" s="8" t="str">
        <f>IF(ISBLANK([2]DFsmonkeyCompl!AD3),"",[2]DFsmonkeyCompl!AD3)</f>
        <v/>
      </c>
      <c r="AC2" s="8">
        <f>IF(ISBLANK([2]DFsmonkeyCompl!AE3),"",[2]DFsmonkeyCompl!AE3)</f>
        <v>100</v>
      </c>
      <c r="AD2" s="8" t="str">
        <f>IF(ISBLANK([2]DFsmonkeyCompl!AF3),"",[2]DFsmonkeyCompl!AF3)</f>
        <v/>
      </c>
      <c r="AE2" s="8" t="str">
        <f>IF(ISBLANK([2]DFsmonkeyCompl!AG3),"",[2]DFsmonkeyCompl!AG3)</f>
        <v>Increase</v>
      </c>
      <c r="AF2" s="8" t="str">
        <f>IF(ISBLANK([2]DFsmonkeyCompl!AH3),"",[2]DFsmonkeyCompl!AH3)</f>
        <v>Yes</v>
      </c>
      <c r="AG2" s="35">
        <f>IFERROR(INDEX([2]DebtFundUniverse!$B$2:$EU$700,MATCH($C2,[2]DebtFundUniverse!$A$2:$A$700,0),MATCH($AG$1,[2]DebtFundUniverse!$B$1:$EU$1,0)),"")</f>
        <v>1116920000</v>
      </c>
      <c r="AH2" s="36" t="str">
        <f>IFERROR(INDEX([2]DebtFundUniverse!$B$2:$EU$700,MATCH($C2,[2]DebtFundUniverse!$A$2:$A$700,0),MATCH($AH$1,[2]DebtFundUniverse!$B$1:$EU$1,0)),"")</f>
        <v/>
      </c>
    </row>
    <row r="3" spans="1:34" ht="14.25" thickTop="1" thickBot="1" x14ac:dyDescent="0.25">
      <c r="A3" s="9" t="str">
        <f>IF(OR(ISTEXT([2]DFsmonkeyCompl!J4),ISNUMBER([2]DFsmonkeyCompl!J4)),[2]DFsmonkeyCompl!J4,"")</f>
        <v>BentallGreenOak</v>
      </c>
      <c r="B3" s="6" t="str">
        <f>IF(OR(ISTEXT([2]DFsmonkeyCompl!K4),ISNUMBER([2]DFsmonkeyCompl!K4)),[2]DFsmonkeyCompl!K4,"")</f>
        <v>UK Secured Lending III</v>
      </c>
      <c r="C3" s="7" cm="1">
        <f t="array" ref="C3">INDEX([2]DebtFundUniverse!$A$85:$A$95,MATCH(B3,[2]DebtFundUniverse!$B$85:$B$95,0),0)</f>
        <v>10000001</v>
      </c>
      <c r="D3" s="6" t="str">
        <f>INDEX([2]DebtFundUniverse!$B$2:$EU$200,MATCH(DFanalysis4[[#This Row],[ID]],[2]DebtFundUniverse!$A$2:$A$200,0),MATCH(DFanalysis4[[#Headers],[Loan Strategy]],[2]DebtFundUniverse!$B$1:$EU$1,0))</f>
        <v>Senior</v>
      </c>
      <c r="E3" s="6" t="str">
        <f>INDEX([2]DebtFundUniverse!$B$2:$EU$200,MATCH(DFanalysis4[[#This Row],[ID]],[2]DebtFundUniverse!$A$2:$A$200,0),MATCH(DFanalysis4[[#Headers],[Target Regional Strategy]],[2]DebtFundUniverse!$B$1:$EU$1,0))</f>
        <v>Europe</v>
      </c>
      <c r="F3" s="6" t="str">
        <f>INDEX([2]DebtFundUniverse!$B$2:$EU$200,MATCH(DFanalysis4[[#This Row],[ID]],[2]DebtFundUniverse!$A$2:$A$200,0),MATCH(DFanalysis4[[#Headers],[Vehicle Structure]],[2]DebtFundUniverse!$B$1:$EU$1,0))</f>
        <v>Closed end</v>
      </c>
      <c r="G3" s="6">
        <f>INDEX([2]DebtFundUniverse!$B$2:$EU$200,MATCH(DFanalysis4[[#This Row],[ID]],[2]DebtFundUniverse!$A$2:$A$200,0),MATCH(DFanalysis4[[#Headers],[year of first closing]],[2]DebtFundUniverse!$B$1:$EU$1,0))</f>
        <v>2020</v>
      </c>
      <c r="H3" s="6" t="str">
        <f>IF(ISBLANK([2]DFsmonkeyCompl!L4),"",[2]DFsmonkeyCompl!L4)</f>
        <v>Yes</v>
      </c>
      <c r="I3" s="6" t="str">
        <f>IF(ISBLANK([2]DFsmonkeyCompl!M4),"",[2]DFsmonkeyCompl!M4)</f>
        <v/>
      </c>
      <c r="J3" s="6" t="str">
        <f>IF(ISBLANK([2]DFsmonkeyCompl!N4),"",[2]DFsmonkeyCompl!N4)</f>
        <v/>
      </c>
      <c r="K3" s="6" t="str">
        <f>INDEX([2]DebtFundUniverse!$B$2:$EU$200,MATCH(DFanalysis4[[#This Row],[ID]],[2]DebtFundUniverse!$A$2:$A$200,0),MATCH(DFanalysis4[[#Headers],[Currency of Reporting]],[2]DebtFundUniverse!$B$1:$EU$1,0))</f>
        <v>GBP</v>
      </c>
      <c r="L3" s="8">
        <f>VLOOKUP(DFanalysis4[[#This Row],[Currency of Reporting]],'[2]Xrate31.12.20'!$K$1:$M$25,3,0)</f>
        <v>1.1130927885999999</v>
      </c>
      <c r="M3" s="8">
        <f>IFERROR(IF(ISBLANK([2]DFsmonkeyCompl!O4),"",[2]DFsmonkeyCompl!O4*DFanalysis4[[#This Row],[EUR]]),"")</f>
        <v>400.71340389599999</v>
      </c>
      <c r="N3" s="8">
        <f>IFERROR(IF(ISBLANK([2]DFsmonkeyCompl!P4),"",[2]DFsmonkeyCompl!P4*DFanalysis4[[#This Row],[EUR]]),"")</f>
        <v>400.71340389599999</v>
      </c>
      <c r="O3" s="8" t="str">
        <f>IFERROR(IF(ISBLANK([2]DFsmonkeyCompl!Q4),"",[2]DFsmonkeyCompl!Q4*DFanalysis4[[#This Row],[EUR]]),"")</f>
        <v/>
      </c>
      <c r="P3" s="8" t="str">
        <f>IFERROR(IF(ISBLANK([2]DFsmonkeyCompl!R4),"",[2]DFsmonkeyCompl!R4*DFanalysis4[[#This Row],[EUR]]),"")</f>
        <v/>
      </c>
      <c r="Q3" s="8" t="str">
        <f>IFERROR(IF(ISBLANK([2]DFsmonkeyCompl!S4),"",[2]DFsmonkeyCompl!S4*DFanalysis4[[#This Row],[EUR]]),"")</f>
        <v/>
      </c>
      <c r="R3" s="8" t="str">
        <f>IFERROR(IF(ISBLANK([2]DFsmonkeyCompl!T4),"",[2]DFsmonkeyCompl!T4*DFanalysis4[[#This Row],[EUR]]),"")</f>
        <v/>
      </c>
      <c r="S3" s="8" t="str">
        <f>IFERROR(IF(ISBLANK([2]DFsmonkeyCompl!U4),"",[2]DFsmonkeyCompl!U4*DFanalysis4[[#This Row],[EUR]]),"")</f>
        <v/>
      </c>
      <c r="T3" s="8" t="str">
        <f>IFERROR(IF(ISBLANK([2]DFsmonkeyCompl!V4),"",[2]DFsmonkeyCompl!V4*DFanalysis4[[#This Row],[EUR]]),"")</f>
        <v/>
      </c>
      <c r="U3" s="8" t="str">
        <f>IFERROR(IF(ISBLANK([2]DFsmonkeyCompl!W4),"",[2]DFsmonkeyCompl!W4*DFanalysis4[[#This Row],[EUR]]),"")</f>
        <v/>
      </c>
      <c r="V3" s="8">
        <f>IFERROR(IF(ISBLANK([2]DFsmonkeyCompl!X4),"",[2]DFsmonkeyCompl!X4*DFanalysis4[[#This Row],[EUR]]),"")</f>
        <v>400.71340389599999</v>
      </c>
      <c r="W3" s="8" t="str">
        <f>IFERROR(IF(ISBLANK([2]DFsmonkeyCompl!Y4),"",[2]DFsmonkeyCompl!Y4*DFanalysis4[[#This Row],[EUR]]),"")</f>
        <v/>
      </c>
      <c r="X3" s="8" t="str">
        <f>IFERROR(IF(ISBLANK([2]DFsmonkeyCompl!Z4),"",[2]DFsmonkeyCompl!Z4*DFanalysis4[[#This Row],[EUR]]),"")</f>
        <v/>
      </c>
      <c r="Y3" s="8" t="str">
        <f>IFERROR(IF(ISBLANK([2]DFsmonkeyCompl!AA4),"",[2]DFsmonkeyCompl!AA4*DFanalysis4[[#This Row],[EUR]]),"")</f>
        <v/>
      </c>
      <c r="Z3" s="8" t="str">
        <f>IFERROR(IF(ISBLANK([2]DFsmonkeyCompl!AB4),"",[2]DFsmonkeyCompl!AB4*DFanalysis4[[#This Row],[EUR]]),"")</f>
        <v/>
      </c>
      <c r="AA3" s="8" t="str">
        <f>IF(ISBLANK([2]DFsmonkeyCompl!AC4),"",[2]DFsmonkeyCompl!AC4)</f>
        <v/>
      </c>
      <c r="AB3" s="8" t="str">
        <f>IF(ISBLANK([2]DFsmonkeyCompl!AD4),"",[2]DFsmonkeyCompl!AD4)</f>
        <v/>
      </c>
      <c r="AC3" s="8">
        <f>IF(ISBLANK([2]DFsmonkeyCompl!AE4),"",[2]DFsmonkeyCompl!AE4)</f>
        <v>100</v>
      </c>
      <c r="AD3" s="8" t="str">
        <f>IF(ISBLANK([2]DFsmonkeyCompl!AF4),"",[2]DFsmonkeyCompl!AF4)</f>
        <v/>
      </c>
      <c r="AE3" s="8" t="str">
        <f>IF(ISBLANK([2]DFsmonkeyCompl!AG4),"",[2]DFsmonkeyCompl!AG4)</f>
        <v>Increase</v>
      </c>
      <c r="AF3" s="8" t="str">
        <f>IF(ISBLANK([2]DFsmonkeyCompl!AH4),"",[2]DFsmonkeyCompl!AH4)</f>
        <v>Yes</v>
      </c>
      <c r="AG3" s="8" t="str">
        <f>IFERROR(INDEX([2]DebtFundUniverse!$B$2:$EU$700,MATCH($C3,[2]DebtFundUniverse!$A$2:$A$700,0),MATCH($AG$1,[2]DebtFundUniverse!$B$1:$EU$1,0)),"")</f>
        <v/>
      </c>
      <c r="AH3" s="36">
        <f>IFERROR(INDEX([2]DebtFundUniverse!$B$2:$EU$700,MATCH($C3,[2]DebtFundUniverse!$A$2:$A$700,0),MATCH($AH$1,[2]DebtFundUniverse!$B$1:$EU$1,0)),"")</f>
        <v>0</v>
      </c>
    </row>
    <row r="4" spans="1:34" ht="14.25" thickTop="1" thickBot="1" x14ac:dyDescent="0.25">
      <c r="A4" s="5" t="str">
        <f>IF(OR(ISTEXT([2]DFsmonkeyCompl!J5),ISNUMBER([2]DFsmonkeyCompl!J5)),[2]DFsmonkeyCompl!J5,"")</f>
        <v>BentallGreenOak</v>
      </c>
      <c r="B4" s="6" t="str">
        <f>IF(OR(ISTEXT([2]DFsmonkeyCompl!K5),ISNUMBER([2]DFsmonkeyCompl!K5)),[2]DFsmonkeyCompl!K5,"")</f>
        <v>Europe Secured Lending II</v>
      </c>
      <c r="C4" s="7" cm="1">
        <f t="array" ref="C4">INDEX([2]DebtFundUniverse!$A$85:$A$95,MATCH(B4,[2]DebtFundUniverse!$B$85:$B$95,0),0)</f>
        <v>10000002</v>
      </c>
      <c r="D4" s="6" t="str">
        <f>INDEX([2]DebtFundUniverse!$B$2:$EU$200,MATCH(DFanalysis4[[#This Row],[ID]],[2]DebtFundUniverse!$A$2:$A$200,0),MATCH(DFanalysis4[[#Headers],[Loan Strategy]],[2]DebtFundUniverse!$B$1:$EU$1,0))</f>
        <v>Senior</v>
      </c>
      <c r="E4" s="6" t="str">
        <f>INDEX([2]DebtFundUniverse!$B$2:$EU$200,MATCH(DFanalysis4[[#This Row],[ID]],[2]DebtFundUniverse!$A$2:$A$200,0),MATCH(DFanalysis4[[#Headers],[Target Regional Strategy]],[2]DebtFundUniverse!$B$1:$EU$1,0))</f>
        <v>Europe</v>
      </c>
      <c r="F4" s="6" t="str">
        <f>INDEX([2]DebtFundUniverse!$B$2:$EU$200,MATCH(DFanalysis4[[#This Row],[ID]],[2]DebtFundUniverse!$A$2:$A$200,0),MATCH(DFanalysis4[[#Headers],[Vehicle Structure]],[2]DebtFundUniverse!$B$1:$EU$1,0))</f>
        <v>Closed end</v>
      </c>
      <c r="G4" s="6">
        <f>INDEX([2]DebtFundUniverse!$B$2:$EU$200,MATCH(DFanalysis4[[#This Row],[ID]],[2]DebtFundUniverse!$A$2:$A$200,0),MATCH(DFanalysis4[[#Headers],[year of first closing]],[2]DebtFundUniverse!$B$1:$EU$1,0))</f>
        <v>2020</v>
      </c>
      <c r="H4" s="6" t="str">
        <f>IF(ISBLANK([2]DFsmonkeyCompl!L5),"",[2]DFsmonkeyCompl!L5)</f>
        <v>Yes</v>
      </c>
      <c r="I4" s="6" t="str">
        <f>IF(ISBLANK([2]DFsmonkeyCompl!M5),"",[2]DFsmonkeyCompl!M5)</f>
        <v/>
      </c>
      <c r="J4" s="6" t="str">
        <f>IF(ISBLANK([2]DFsmonkeyCompl!N5),"",[2]DFsmonkeyCompl!N5)</f>
        <v/>
      </c>
      <c r="K4" s="6" t="str">
        <f>INDEX([2]DebtFundUniverse!$B$2:$EU$200,MATCH(DFanalysis4[[#This Row],[ID]],[2]DebtFundUniverse!$A$2:$A$200,0),MATCH(DFanalysis4[[#Headers],[Currency of Reporting]],[2]DebtFundUniverse!$B$1:$EU$1,0))</f>
        <v>GBP</v>
      </c>
      <c r="L4" s="8">
        <f>VLOOKUP(DFanalysis4[[#This Row],[Currency of Reporting]],'[2]Xrate31.12.20'!$K$1:$M$25,3,0)</f>
        <v>1.1130927885999999</v>
      </c>
      <c r="M4" s="8">
        <f>IFERROR(IF(ISBLANK([2]DFsmonkeyCompl!O5),"",[2]DFsmonkeyCompl!O5*DFanalysis4[[#This Row],[EUR]]),"")</f>
        <v>122.44020674599999</v>
      </c>
      <c r="N4" s="8">
        <f>IFERROR(IF(ISBLANK([2]DFsmonkeyCompl!P5),"",[2]DFsmonkeyCompl!P5*DFanalysis4[[#This Row],[EUR]]),"")</f>
        <v>122.44020674599999</v>
      </c>
      <c r="O4" s="8" t="str">
        <f>IFERROR(IF(ISBLANK([2]DFsmonkeyCompl!Q5),"",[2]DFsmonkeyCompl!Q5*DFanalysis4[[#This Row],[EUR]]),"")</f>
        <v/>
      </c>
      <c r="P4" s="8" t="str">
        <f>IFERROR(IF(ISBLANK([2]DFsmonkeyCompl!R5),"",[2]DFsmonkeyCompl!R5*DFanalysis4[[#This Row],[EUR]]),"")</f>
        <v/>
      </c>
      <c r="Q4" s="8" t="str">
        <f>IFERROR(IF(ISBLANK([2]DFsmonkeyCompl!S5),"",[2]DFsmonkeyCompl!S5*DFanalysis4[[#This Row],[EUR]]),"")</f>
        <v/>
      </c>
      <c r="R4" s="8" t="str">
        <f>IFERROR(IF(ISBLANK([2]DFsmonkeyCompl!T5),"",[2]DFsmonkeyCompl!T5*DFanalysis4[[#This Row],[EUR]]),"")</f>
        <v/>
      </c>
      <c r="S4" s="8" t="str">
        <f>IFERROR(IF(ISBLANK([2]DFsmonkeyCompl!U5),"",[2]DFsmonkeyCompl!U5*DFanalysis4[[#This Row],[EUR]]),"")</f>
        <v/>
      </c>
      <c r="T4" s="8" t="str">
        <f>IFERROR(IF(ISBLANK([2]DFsmonkeyCompl!V5),"",[2]DFsmonkeyCompl!V5*DFanalysis4[[#This Row],[EUR]]),"")</f>
        <v/>
      </c>
      <c r="U4" s="8" t="str">
        <f>IFERROR(IF(ISBLANK([2]DFsmonkeyCompl!W5),"",[2]DFsmonkeyCompl!W5*DFanalysis4[[#This Row],[EUR]]),"")</f>
        <v/>
      </c>
      <c r="V4" s="8">
        <f>IFERROR(IF(ISBLANK([2]DFsmonkeyCompl!X5),"",[2]DFsmonkeyCompl!X5*DFanalysis4[[#This Row],[EUR]]),"")</f>
        <v>122.44020674599999</v>
      </c>
      <c r="W4" s="8" t="str">
        <f>IFERROR(IF(ISBLANK([2]DFsmonkeyCompl!Y5),"",[2]DFsmonkeyCompl!Y5*DFanalysis4[[#This Row],[EUR]]),"")</f>
        <v/>
      </c>
      <c r="X4" s="8" t="str">
        <f>IFERROR(IF(ISBLANK([2]DFsmonkeyCompl!Z5),"",[2]DFsmonkeyCompl!Z5*DFanalysis4[[#This Row],[EUR]]),"")</f>
        <v/>
      </c>
      <c r="Y4" s="8" t="str">
        <f>IFERROR(IF(ISBLANK([2]DFsmonkeyCompl!AA5),"",[2]DFsmonkeyCompl!AA5*DFanalysis4[[#This Row],[EUR]]),"")</f>
        <v/>
      </c>
      <c r="Z4" s="8" t="str">
        <f>IFERROR(IF(ISBLANK([2]DFsmonkeyCompl!AB5),"",[2]DFsmonkeyCompl!AB5*DFanalysis4[[#This Row],[EUR]]),"")</f>
        <v/>
      </c>
      <c r="AA4" s="8" t="str">
        <f>IF(ISBLANK([2]DFsmonkeyCompl!AC5),"",[2]DFsmonkeyCompl!AC5)</f>
        <v/>
      </c>
      <c r="AB4" s="8" t="str">
        <f>IF(ISBLANK([2]DFsmonkeyCompl!AD5),"",[2]DFsmonkeyCompl!AD5)</f>
        <v/>
      </c>
      <c r="AC4" s="8">
        <f>IF(ISBLANK([2]DFsmonkeyCompl!AE5),"",[2]DFsmonkeyCompl!AE5)</f>
        <v>100</v>
      </c>
      <c r="AD4" s="8" t="str">
        <f>IF(ISBLANK([2]DFsmonkeyCompl!AF5),"",[2]DFsmonkeyCompl!AF5)</f>
        <v/>
      </c>
      <c r="AE4" s="8" t="str">
        <f>IF(ISBLANK([2]DFsmonkeyCompl!AG5),"",[2]DFsmonkeyCompl!AG5)</f>
        <v>Increase</v>
      </c>
      <c r="AF4" s="8" t="str">
        <f>IF(ISBLANK([2]DFsmonkeyCompl!AH5),"",[2]DFsmonkeyCompl!AH5)</f>
        <v>Yes</v>
      </c>
      <c r="AG4" s="8" t="str">
        <f>IFERROR(INDEX([2]DebtFundUniverse!$B$2:$EU$700,MATCH($C4,[2]DebtFundUniverse!$A$2:$A$700,0),MATCH($AG$1,[2]DebtFundUniverse!$B$1:$EU$1,0)),"")</f>
        <v/>
      </c>
      <c r="AH4" s="36">
        <f>IFERROR(INDEX([2]DebtFundUniverse!$B$2:$EU$700,MATCH($C4,[2]DebtFundUniverse!$A$2:$A$700,0),MATCH($AH$1,[2]DebtFundUniverse!$B$1:$EU$1,0)),"")</f>
        <v>0</v>
      </c>
    </row>
    <row r="5" spans="1:34" ht="14.25" thickTop="1" thickBot="1" x14ac:dyDescent="0.25">
      <c r="A5" s="9" t="str">
        <f>IF(OR(ISTEXT([2]DFsmonkeyCompl!J6),ISNUMBER([2]DFsmonkeyCompl!J6)),[2]DFsmonkeyCompl!J6,"")</f>
        <v>SCOR Investment Partners</v>
      </c>
      <c r="B5" s="6" t="str">
        <f>IF(OR(ISTEXT([2]DFsmonkeyCompl!K6),ISNUMBER([2]DFsmonkeyCompl!K6)),[2]DFsmonkeyCompl!K6,"")</f>
        <v>SCOR Real Estate Loans IV</v>
      </c>
      <c r="C5" s="7" cm="1">
        <f t="array" ref="C5">INDEX([2]DebtFundUniverse!$A$85:$A$95,MATCH(B5,[2]DebtFundUniverse!$B$85:$B$95,0),0)</f>
        <v>76090</v>
      </c>
      <c r="D5" s="6" t="str">
        <f>INDEX([2]DebtFundUniverse!$B$2:$EU$200,MATCH(DFanalysis4[[#This Row],[ID]],[2]DebtFundUniverse!$A$2:$A$200,0),MATCH(DFanalysis4[[#Headers],[Loan Strategy]],[2]DebtFundUniverse!$B$1:$EU$1,0))</f>
        <v>Senior</v>
      </c>
      <c r="E5" s="6" t="str">
        <f>INDEX([2]DebtFundUniverse!$B$2:$EU$200,MATCH(DFanalysis4[[#This Row],[ID]],[2]DebtFundUniverse!$A$2:$A$200,0),MATCH(DFanalysis4[[#Headers],[Target Regional Strategy]],[2]DebtFundUniverse!$B$1:$EU$1,0))</f>
        <v>Europe</v>
      </c>
      <c r="F5" s="6" t="str">
        <f>INDEX([2]DebtFundUniverse!$B$2:$EU$200,MATCH(DFanalysis4[[#This Row],[ID]],[2]DebtFundUniverse!$A$2:$A$200,0),MATCH(DFanalysis4[[#Headers],[Vehicle Structure]],[2]DebtFundUniverse!$B$1:$EU$1,0))</f>
        <v>Closed end</v>
      </c>
      <c r="G5" s="6">
        <f>INDEX([2]DebtFundUniverse!$B$2:$EU$200,MATCH(DFanalysis4[[#This Row],[ID]],[2]DebtFundUniverse!$A$2:$A$200,0),MATCH(DFanalysis4[[#Headers],[year of first closing]],[2]DebtFundUniverse!$B$1:$EU$1,0))</f>
        <v>2020</v>
      </c>
      <c r="H5" s="6" t="str">
        <f>IF(ISBLANK([2]DFsmonkeyCompl!L6),"",[2]DFsmonkeyCompl!L6)</f>
        <v>Yes</v>
      </c>
      <c r="I5" s="6" t="str">
        <f>IF(ISBLANK([2]DFsmonkeyCompl!M6),"",[2]DFsmonkeyCompl!M6)</f>
        <v/>
      </c>
      <c r="J5" s="6" t="str">
        <f>IF(ISBLANK([2]DFsmonkeyCompl!N6),"",[2]DFsmonkeyCompl!N6)</f>
        <v/>
      </c>
      <c r="K5" s="6" t="str">
        <f>INDEX([2]DebtFundUniverse!$B$2:$EU$200,MATCH(DFanalysis4[[#This Row],[ID]],[2]DebtFundUniverse!$A$2:$A$200,0),MATCH(DFanalysis4[[#Headers],[Currency of Reporting]],[2]DebtFundUniverse!$B$1:$EU$1,0))</f>
        <v>EUR</v>
      </c>
      <c r="L5" s="8">
        <f>VLOOKUP(DFanalysis4[[#This Row],[Currency of Reporting]],'[2]Xrate31.12.20'!$K$1:$M$25,3,0)</f>
        <v>1</v>
      </c>
      <c r="M5" s="8">
        <f>IFERROR(IF(ISBLANK([2]DFsmonkeyCompl!O6),"",[2]DFsmonkeyCompl!O6*DFanalysis4[[#This Row],[EUR]]),"")</f>
        <v>175</v>
      </c>
      <c r="N5" s="8">
        <f>IFERROR(IF(ISBLANK([2]DFsmonkeyCompl!P6),"",[2]DFsmonkeyCompl!P6*DFanalysis4[[#This Row],[EUR]]),"")</f>
        <v>0</v>
      </c>
      <c r="O5" s="8">
        <f>IFERROR(IF(ISBLANK([2]DFsmonkeyCompl!Q6),"",[2]DFsmonkeyCompl!Q6*DFanalysis4[[#This Row],[EUR]]),"")</f>
        <v>150</v>
      </c>
      <c r="P5" s="8">
        <f>IFERROR(IF(ISBLANK([2]DFsmonkeyCompl!R6),"",[2]DFsmonkeyCompl!R6*DFanalysis4[[#This Row],[EUR]]),"")</f>
        <v>0</v>
      </c>
      <c r="Q5" s="8">
        <f>IFERROR(IF(ISBLANK([2]DFsmonkeyCompl!S6),"",[2]DFsmonkeyCompl!S6*DFanalysis4[[#This Row],[EUR]]),"")</f>
        <v>0</v>
      </c>
      <c r="R5" s="8">
        <f>IFERROR(IF(ISBLANK([2]DFsmonkeyCompl!T6),"",[2]DFsmonkeyCompl!T6*DFanalysis4[[#This Row],[EUR]]),"")</f>
        <v>0</v>
      </c>
      <c r="S5" s="8">
        <f>IFERROR(IF(ISBLANK([2]DFsmonkeyCompl!U6),"",[2]DFsmonkeyCompl!U6*DFanalysis4[[#This Row],[EUR]]),"")</f>
        <v>0</v>
      </c>
      <c r="T5" s="8">
        <f>IFERROR(IF(ISBLANK([2]DFsmonkeyCompl!V6),"",[2]DFsmonkeyCompl!V6*DFanalysis4[[#This Row],[EUR]]),"")</f>
        <v>0</v>
      </c>
      <c r="U5" s="8">
        <f>IFERROR(IF(ISBLANK([2]DFsmonkeyCompl!W6),"",[2]DFsmonkeyCompl!W6*DFanalysis4[[#This Row],[EUR]]),"")</f>
        <v>25</v>
      </c>
      <c r="V5" s="8">
        <f>IFERROR(IF(ISBLANK([2]DFsmonkeyCompl!X6),"",[2]DFsmonkeyCompl!X6*DFanalysis4[[#This Row],[EUR]]),"")</f>
        <v>175</v>
      </c>
      <c r="W5" s="8">
        <f>IFERROR(IF(ISBLANK([2]DFsmonkeyCompl!Y6),"",[2]DFsmonkeyCompl!Y6*DFanalysis4[[#This Row],[EUR]]),"")</f>
        <v>0</v>
      </c>
      <c r="X5" s="8">
        <f>IFERROR(IF(ISBLANK([2]DFsmonkeyCompl!Z6),"",[2]DFsmonkeyCompl!Z6*DFanalysis4[[#This Row],[EUR]]),"")</f>
        <v>0</v>
      </c>
      <c r="Y5" s="8">
        <f>IFERROR(IF(ISBLANK([2]DFsmonkeyCompl!AA6),"",[2]DFsmonkeyCompl!AA6*DFanalysis4[[#This Row],[EUR]]),"")</f>
        <v>0</v>
      </c>
      <c r="Z5" s="8">
        <f>IFERROR(IF(ISBLANK([2]DFsmonkeyCompl!AB6),"",[2]DFsmonkeyCompl!AB6*DFanalysis4[[#This Row],[EUR]]),"")</f>
        <v>0</v>
      </c>
      <c r="AA5" s="8">
        <f>IF(ISBLANK([2]DFsmonkeyCompl!AC6),"",[2]DFsmonkeyCompl!AC6)</f>
        <v>0</v>
      </c>
      <c r="AB5" s="8">
        <f>IF(ISBLANK([2]DFsmonkeyCompl!AD6),"",[2]DFsmonkeyCompl!AD6)</f>
        <v>0</v>
      </c>
      <c r="AC5" s="8">
        <f>IF(ISBLANK([2]DFsmonkeyCompl!AE6),"",[2]DFsmonkeyCompl!AE6)</f>
        <v>100</v>
      </c>
      <c r="AD5" s="8">
        <f>IF(ISBLANK([2]DFsmonkeyCompl!AF6),"",[2]DFsmonkeyCompl!AF6)</f>
        <v>0</v>
      </c>
      <c r="AE5" s="8" t="str">
        <f>IF(ISBLANK([2]DFsmonkeyCompl!AG6),"",[2]DFsmonkeyCompl!AG6)</f>
        <v>No change</v>
      </c>
      <c r="AF5" s="8" t="str">
        <f>IF(ISBLANK([2]DFsmonkeyCompl!AH6),"",[2]DFsmonkeyCompl!AH6)</f>
        <v>No</v>
      </c>
      <c r="AG5" s="8">
        <f>IFERROR(INDEX([2]DebtFundUniverse!$B$2:$EU$700,MATCH($C5,[2]DebtFundUniverse!$A$2:$A$700,0),MATCH($AG$1,[2]DebtFundUniverse!$B$1:$EU$1,0)),"")</f>
        <v>550000000</v>
      </c>
      <c r="AH5" s="36">
        <f>IFERROR(INDEX([2]DebtFundUniverse!$B$2:$EU$700,MATCH($C5,[2]DebtFundUniverse!$A$2:$A$700,0),MATCH($AH$1,[2]DebtFundUniverse!$B$1:$EU$1,0)),"")</f>
        <v>0</v>
      </c>
    </row>
    <row r="6" spans="1:34" ht="14.25" thickTop="1" thickBot="1" x14ac:dyDescent="0.25">
      <c r="A6" s="9" t="str">
        <f>IF(OR(ISTEXT([2]DFsmonkeyCompl!J7),ISNUMBER([2]DFsmonkeyCompl!J7)),[2]DFsmonkeyCompl!J7,"")</f>
        <v xml:space="preserve">LaSalle Investment Management </v>
      </c>
      <c r="B6" s="6" t="str">
        <f>IF(OR(ISTEXT([2]DFsmonkeyCompl!K7),ISNUMBER([2]DFsmonkeyCompl!K7)),[2]DFsmonkeyCompl!K7,"")</f>
        <v>LaSalle Real Estate Debt Strategies IV</v>
      </c>
      <c r="C6" s="7" cm="1">
        <f t="array" ref="C6">INDEX([2]DebtFundUniverse!$A$85:$A$95,MATCH(B6,[2]DebtFundUniverse!$B$85:$B$95,0),0)</f>
        <v>105571</v>
      </c>
      <c r="D6" s="6" t="str">
        <f>INDEX([2]DebtFundUniverse!$B$2:$EU$200,MATCH(DFanalysis4[[#This Row],[ID]],[2]DebtFundUniverse!$A$2:$A$200,0),MATCH(DFanalysis4[[#Headers],[Loan Strategy]],[2]DebtFundUniverse!$B$1:$EU$1,0))</f>
        <v>Subordinated: Junior+Mezzanine</v>
      </c>
      <c r="E6" s="6" t="str">
        <f>INDEX([2]DebtFundUniverse!$B$2:$EU$200,MATCH(DFanalysis4[[#This Row],[ID]],[2]DebtFundUniverse!$A$2:$A$200,0),MATCH(DFanalysis4[[#Headers],[Target Regional Strategy]],[2]DebtFundUniverse!$B$1:$EU$1,0))</f>
        <v>Europe</v>
      </c>
      <c r="F6" s="6" t="str">
        <f>INDEX([2]DebtFundUniverse!$B$2:$EU$200,MATCH(DFanalysis4[[#This Row],[ID]],[2]DebtFundUniverse!$A$2:$A$200,0),MATCH(DFanalysis4[[#Headers],[Vehicle Structure]],[2]DebtFundUniverse!$B$1:$EU$1,0))</f>
        <v>Closed end</v>
      </c>
      <c r="G6" s="6">
        <f>INDEX([2]DebtFundUniverse!$B$2:$EU$200,MATCH(DFanalysis4[[#This Row],[ID]],[2]DebtFundUniverse!$A$2:$A$200,0),MATCH(DFanalysis4[[#Headers],[year of first closing]],[2]DebtFundUniverse!$B$1:$EU$1,0))</f>
        <v>2020</v>
      </c>
      <c r="H6" s="6" t="str">
        <f>IF(ISBLANK([2]DFsmonkeyCompl!L7),"",[2]DFsmonkeyCompl!L7)</f>
        <v>Yes</v>
      </c>
      <c r="I6" s="6" t="str">
        <f>IF(ISBLANK([2]DFsmonkeyCompl!M7),"",[2]DFsmonkeyCompl!M7)</f>
        <v/>
      </c>
      <c r="J6" s="6" t="str">
        <f>IF(ISBLANK([2]DFsmonkeyCompl!N7),"",[2]DFsmonkeyCompl!N7)</f>
        <v/>
      </c>
      <c r="K6" s="6" t="str">
        <f>INDEX([2]DebtFundUniverse!$B$2:$EU$200,MATCH(DFanalysis4[[#This Row],[ID]],[2]DebtFundUniverse!$A$2:$A$200,0),MATCH(DFanalysis4[[#Headers],[Currency of Reporting]],[2]DebtFundUniverse!$B$1:$EU$1,0))</f>
        <v>EUR</v>
      </c>
      <c r="L6" s="8">
        <f>VLOOKUP(DFanalysis4[[#This Row],[Currency of Reporting]],'[2]Xrate31.12.20'!$K$1:$M$25,3,0)</f>
        <v>1</v>
      </c>
      <c r="M6" s="8">
        <f>IFERROR(IF(ISBLANK([2]DFsmonkeyCompl!O7),"",[2]DFsmonkeyCompl!O7*DFanalysis4[[#This Row],[EUR]]),"")</f>
        <v>435</v>
      </c>
      <c r="N6" s="8">
        <f>IFERROR(IF(ISBLANK([2]DFsmonkeyCompl!P7),"",[2]DFsmonkeyCompl!P7*DFanalysis4[[#This Row],[EUR]]),"")</f>
        <v>310</v>
      </c>
      <c r="O6" s="8">
        <f>IFERROR(IF(ISBLANK([2]DFsmonkeyCompl!Q7),"",[2]DFsmonkeyCompl!Q7*DFanalysis4[[#This Row],[EUR]]),"")</f>
        <v>100</v>
      </c>
      <c r="P6" s="8" t="str">
        <f>IFERROR(IF(ISBLANK([2]DFsmonkeyCompl!R7),"",[2]DFsmonkeyCompl!R7*DFanalysis4[[#This Row],[EUR]]),"")</f>
        <v/>
      </c>
      <c r="Q6" s="8" t="str">
        <f>IFERROR(IF(ISBLANK([2]DFsmonkeyCompl!S7),"",[2]DFsmonkeyCompl!S7*DFanalysis4[[#This Row],[EUR]]),"")</f>
        <v/>
      </c>
      <c r="R6" s="8" t="str">
        <f>IFERROR(IF(ISBLANK([2]DFsmonkeyCompl!T7),"",[2]DFsmonkeyCompl!T7*DFanalysis4[[#This Row],[EUR]]),"")</f>
        <v/>
      </c>
      <c r="S6" s="8" t="str">
        <f>IFERROR(IF(ISBLANK([2]DFsmonkeyCompl!U7),"",[2]DFsmonkeyCompl!U7*DFanalysis4[[#This Row],[EUR]]),"")</f>
        <v/>
      </c>
      <c r="T6" s="8" t="str">
        <f>IFERROR(IF(ISBLANK([2]DFsmonkeyCompl!V7),"",[2]DFsmonkeyCompl!V7*DFanalysis4[[#This Row],[EUR]]),"")</f>
        <v/>
      </c>
      <c r="U6" s="8">
        <f>IFERROR(IF(ISBLANK([2]DFsmonkeyCompl!W7),"",[2]DFsmonkeyCompl!W7*DFanalysis4[[#This Row],[EUR]]),"")</f>
        <v>25</v>
      </c>
      <c r="V6" s="8">
        <f>IFERROR(IF(ISBLANK([2]DFsmonkeyCompl!X7),"",[2]DFsmonkeyCompl!X7*DFanalysis4[[#This Row],[EUR]]),"")</f>
        <v>180</v>
      </c>
      <c r="W6" s="8">
        <f>IFERROR(IF(ISBLANK([2]DFsmonkeyCompl!Y7),"",[2]DFsmonkeyCompl!Y7*DFanalysis4[[#This Row],[EUR]]),"")</f>
        <v>230</v>
      </c>
      <c r="X6" s="8">
        <f>IFERROR(IF(ISBLANK([2]DFsmonkeyCompl!Z7),"",[2]DFsmonkeyCompl!Z7*DFanalysis4[[#This Row],[EUR]]),"")</f>
        <v>25</v>
      </c>
      <c r="Y6" s="8" t="str">
        <f>IFERROR(IF(ISBLANK([2]DFsmonkeyCompl!AA7),"",[2]DFsmonkeyCompl!AA7*DFanalysis4[[#This Row],[EUR]]),"")</f>
        <v/>
      </c>
      <c r="Z6" s="8" t="str">
        <f>IFERROR(IF(ISBLANK([2]DFsmonkeyCompl!AB7),"",[2]DFsmonkeyCompl!AB7*DFanalysis4[[#This Row],[EUR]]),"")</f>
        <v/>
      </c>
      <c r="AA6" s="8" t="str">
        <f>IF(ISBLANK([2]DFsmonkeyCompl!AC7),"",[2]DFsmonkeyCompl!AC7)</f>
        <v/>
      </c>
      <c r="AB6" s="8" t="str">
        <f>IF(ISBLANK([2]DFsmonkeyCompl!AD7),"",[2]DFsmonkeyCompl!AD7)</f>
        <v/>
      </c>
      <c r="AC6" s="8">
        <f>IF(ISBLANK([2]DFsmonkeyCompl!AE7),"",[2]DFsmonkeyCompl!AE7)</f>
        <v>100</v>
      </c>
      <c r="AD6" s="8" t="str">
        <f>IF(ISBLANK([2]DFsmonkeyCompl!AF7),"",[2]DFsmonkeyCompl!AF7)</f>
        <v/>
      </c>
      <c r="AE6" s="8" t="str">
        <f>IF(ISBLANK([2]DFsmonkeyCompl!AG7),"",[2]DFsmonkeyCompl!AG7)</f>
        <v>Increase</v>
      </c>
      <c r="AF6" s="8" t="str">
        <f>IF(ISBLANK([2]DFsmonkeyCompl!AH7),"",[2]DFsmonkeyCompl!AH7)</f>
        <v>Yes</v>
      </c>
      <c r="AG6" s="8">
        <f>IFERROR(INDEX([2]DebtFundUniverse!$B$2:$EU$700,MATCH($C6,[2]DebtFundUniverse!$A$2:$A$700,0),MATCH($AG$1,[2]DebtFundUniverse!$B$1:$EU$1,0)),"")</f>
        <v>1000000000</v>
      </c>
      <c r="AH6" s="36">
        <f>IFERROR(INDEX([2]DebtFundUniverse!$B$2:$EU$700,MATCH($C6,[2]DebtFundUniverse!$A$2:$A$700,0),MATCH($AH$1,[2]DebtFundUniverse!$B$1:$EU$1,0)),"")</f>
        <v>0</v>
      </c>
    </row>
    <row r="7" spans="1:34" ht="14.25" thickTop="1" thickBot="1" x14ac:dyDescent="0.25">
      <c r="A7" s="5" t="str">
        <f>IF(OR(ISTEXT([2]DFsmonkeyCompl!J8),ISNUMBER([2]DFsmonkeyCompl!J8)),[2]DFsmonkeyCompl!J8,"")</f>
        <v>Octopus Investments</v>
      </c>
      <c r="B7" s="6" t="str">
        <f>IF(OR(ISTEXT([2]DFsmonkeyCompl!K8),ISNUMBER([2]DFsmonkeyCompl!K8)),[2]DFsmonkeyCompl!K8,"")</f>
        <v xml:space="preserve">Commercial Real Estate Debt Fund </v>
      </c>
      <c r="C7" s="7">
        <v>18415</v>
      </c>
      <c r="D7" s="6" t="str">
        <f>INDEX([2]DebtFundUniverse!$B$2:$EU$200,MATCH(DFanalysis4[[#This Row],[ID]],[2]DebtFundUniverse!$A$2:$A$200,0),MATCH(DFanalysis4[[#Headers],[Loan Strategy]],[2]DebtFundUniverse!$B$1:$EU$1,0))</f>
        <v>Senior</v>
      </c>
      <c r="E7" s="6" t="str">
        <f>INDEX([2]DebtFundUniverse!$B$2:$EU$200,MATCH(DFanalysis4[[#This Row],[ID]],[2]DebtFundUniverse!$A$2:$A$200,0),MATCH(DFanalysis4[[#Headers],[Target Regional Strategy]],[2]DebtFundUniverse!$B$1:$EU$1,0))</f>
        <v>Europe</v>
      </c>
      <c r="F7" s="6" t="str">
        <f>INDEX([2]DebtFundUniverse!$B$2:$EU$200,MATCH(DFanalysis4[[#This Row],[ID]],[2]DebtFundUniverse!$A$2:$A$200,0),MATCH(DFanalysis4[[#Headers],[Vehicle Structure]],[2]DebtFundUniverse!$B$1:$EU$1,0))</f>
        <v>Closed end</v>
      </c>
      <c r="G7" s="6">
        <f>INDEX([2]DebtFundUniverse!$B$2:$EU$200,MATCH(DFanalysis4[[#This Row],[ID]],[2]DebtFundUniverse!$A$2:$A$200,0),MATCH(DFanalysis4[[#Headers],[year of first closing]],[2]DebtFundUniverse!$B$1:$EU$1,0))</f>
        <v>2014</v>
      </c>
      <c r="H7" s="6" t="str">
        <f>IF(ISBLANK([2]DFsmonkeyCompl!L8),"",[2]DFsmonkeyCompl!L8)</f>
        <v>No</v>
      </c>
      <c r="I7" s="6" t="str">
        <f>IF(ISBLANK([2]DFsmonkeyCompl!M8),"",[2]DFsmonkeyCompl!M8)</f>
        <v>Other (please specify)</v>
      </c>
      <c r="J7" s="6" t="str">
        <f>IF(ISBLANK([2]DFsmonkeyCompl!N8),"",[2]DFsmonkeyCompl!N8)</f>
        <v xml:space="preserve">Market </v>
      </c>
      <c r="K7" s="6" t="str">
        <f>INDEX([2]DebtFundUniverse!$B$2:$EU$200,MATCH(DFanalysis4[[#This Row],[ID]],[2]DebtFundUniverse!$A$2:$A$200,0),MATCH(DFanalysis4[[#Headers],[Currency of Reporting]],[2]DebtFundUniverse!$B$1:$EU$1,0))</f>
        <v>GBP</v>
      </c>
      <c r="L7" s="8">
        <f>VLOOKUP(DFanalysis4[[#This Row],[Currency of Reporting]],'[2]Xrate31.12.20'!$K$1:$M$25,3,0)</f>
        <v>1.1130927885999999</v>
      </c>
      <c r="M7" s="8" t="str">
        <f>IFERROR(IF(ISBLANK([2]DFsmonkeyCompl!O8),"",[2]DFsmonkeyCompl!O8*DFanalysis4[[#This Row],[EUR]]),"")</f>
        <v/>
      </c>
      <c r="N7" s="8" t="str">
        <f>IFERROR(IF(ISBLANK([2]DFsmonkeyCompl!P8),"",[2]DFsmonkeyCompl!P8*DFanalysis4[[#This Row],[EUR]]),"")</f>
        <v/>
      </c>
      <c r="O7" s="8" t="str">
        <f>IFERROR(IF(ISBLANK([2]DFsmonkeyCompl!Q8),"",[2]DFsmonkeyCompl!Q8*DFanalysis4[[#This Row],[EUR]]),"")</f>
        <v/>
      </c>
      <c r="P7" s="8" t="str">
        <f>IFERROR(IF(ISBLANK([2]DFsmonkeyCompl!R8),"",[2]DFsmonkeyCompl!R8*DFanalysis4[[#This Row],[EUR]]),"")</f>
        <v/>
      </c>
      <c r="Q7" s="8" t="str">
        <f>IFERROR(IF(ISBLANK([2]DFsmonkeyCompl!S8),"",[2]DFsmonkeyCompl!S8*DFanalysis4[[#This Row],[EUR]]),"")</f>
        <v/>
      </c>
      <c r="R7" s="8" t="str">
        <f>IFERROR(IF(ISBLANK([2]DFsmonkeyCompl!T8),"",[2]DFsmonkeyCompl!T8*DFanalysis4[[#This Row],[EUR]]),"")</f>
        <v/>
      </c>
      <c r="S7" s="8" t="str">
        <f>IFERROR(IF(ISBLANK([2]DFsmonkeyCompl!U8),"",[2]DFsmonkeyCompl!U8*DFanalysis4[[#This Row],[EUR]]),"")</f>
        <v/>
      </c>
      <c r="T7" s="8" t="str">
        <f>IFERROR(IF(ISBLANK([2]DFsmonkeyCompl!V8),"",[2]DFsmonkeyCompl!V8*DFanalysis4[[#This Row],[EUR]]),"")</f>
        <v/>
      </c>
      <c r="U7" s="8" t="str">
        <f>IFERROR(IF(ISBLANK([2]DFsmonkeyCompl!W8),"",[2]DFsmonkeyCompl!W8*DFanalysis4[[#This Row],[EUR]]),"")</f>
        <v/>
      </c>
      <c r="V7" s="8" t="str">
        <f>IFERROR(IF(ISBLANK([2]DFsmonkeyCompl!X8),"",[2]DFsmonkeyCompl!X8*DFanalysis4[[#This Row],[EUR]]),"")</f>
        <v/>
      </c>
      <c r="W7" s="8" t="str">
        <f>IFERROR(IF(ISBLANK([2]DFsmonkeyCompl!Y8),"",[2]DFsmonkeyCompl!Y8*DFanalysis4[[#This Row],[EUR]]),"")</f>
        <v/>
      </c>
      <c r="X7" s="8" t="str">
        <f>IFERROR(IF(ISBLANK([2]DFsmonkeyCompl!Z8),"",[2]DFsmonkeyCompl!Z8*DFanalysis4[[#This Row],[EUR]]),"")</f>
        <v/>
      </c>
      <c r="Y7" s="8" t="str">
        <f>IFERROR(IF(ISBLANK([2]DFsmonkeyCompl!AA8),"",[2]DFsmonkeyCompl!AA8*DFanalysis4[[#This Row],[EUR]]),"")</f>
        <v/>
      </c>
      <c r="Z7" s="8" t="str">
        <f>IFERROR(IF(ISBLANK([2]DFsmonkeyCompl!AB8),"",[2]DFsmonkeyCompl!AB8*DFanalysis4[[#This Row],[EUR]]),"")</f>
        <v/>
      </c>
      <c r="AA7" s="8" t="str">
        <f>IF(ISBLANK([2]DFsmonkeyCompl!AC8),"",[2]DFsmonkeyCompl!AC8)</f>
        <v/>
      </c>
      <c r="AB7" s="8" t="str">
        <f>IF(ISBLANK([2]DFsmonkeyCompl!AD8),"",[2]DFsmonkeyCompl!AD8)</f>
        <v/>
      </c>
      <c r="AC7" s="8" t="str">
        <f>IF(ISBLANK([2]DFsmonkeyCompl!AE8),"",[2]DFsmonkeyCompl!AE8)</f>
        <v/>
      </c>
      <c r="AD7" s="8" t="str">
        <f>IF(ISBLANK([2]DFsmonkeyCompl!AF8),"",[2]DFsmonkeyCompl!AF8)</f>
        <v/>
      </c>
      <c r="AE7" s="8" t="str">
        <f>IF(ISBLANK([2]DFsmonkeyCompl!AG8),"",[2]DFsmonkeyCompl!AG8)</f>
        <v>Increase</v>
      </c>
      <c r="AF7" s="8" t="str">
        <f>IF(ISBLANK([2]DFsmonkeyCompl!AH8),"",[2]DFsmonkeyCompl!AH8)</f>
        <v>Yes</v>
      </c>
      <c r="AG7" s="8">
        <f>IFERROR(INDEX([2]DebtFundUniverse!$B$2:$EU$700,MATCH($C7,[2]DebtFundUniverse!$A$2:$A$700,0),MATCH($AG$1,[2]DebtFundUniverse!$B$1:$EU$1,0)),"")</f>
        <v>131000000</v>
      </c>
      <c r="AH7" s="36">
        <f>IFERROR(INDEX([2]DebtFundUniverse!$B$2:$EU$700,MATCH($C7,[2]DebtFundUniverse!$A$2:$A$700,0),MATCH($AH$1,[2]DebtFundUniverse!$B$1:$EU$1,0)),"")</f>
        <v>0</v>
      </c>
    </row>
    <row r="8" spans="1:34" ht="14.25" thickTop="1" thickBot="1" x14ac:dyDescent="0.25">
      <c r="A8" s="9" t="str">
        <f>IF(OR(ISTEXT([2]DFsmonkeyCompl!J9),ISNUMBER([2]DFsmonkeyCompl!J9)),[2]DFsmonkeyCompl!J9,"")</f>
        <v>LaSalle Investment Management</v>
      </c>
      <c r="B8" s="6" t="str">
        <f>IF(OR(ISTEXT([2]DFsmonkeyCompl!K9),ISNUMBER([2]DFsmonkeyCompl!K9)),[2]DFsmonkeyCompl!K9,"")</f>
        <v>LaSalle Whole Loan Strategy I</v>
      </c>
      <c r="C8" s="7" cm="1">
        <f t="array" ref="C8">INDEX([2]DebtFundUniverse!$A$85:$A$95,MATCH(B8,[2]DebtFundUniverse!$B$85:$B$95,0),0)</f>
        <v>101287</v>
      </c>
      <c r="D8" s="6" t="str">
        <f>INDEX([2]DebtFundUniverse!$B$2:$EU$200,MATCH(DFanalysis4[[#This Row],[ID]],[2]DebtFundUniverse!$A$2:$A$200,0),MATCH(DFanalysis4[[#Headers],[Loan Strategy]],[2]DebtFundUniverse!$B$1:$EU$1,0))</f>
        <v>Whole Loans</v>
      </c>
      <c r="E8" s="6" t="str">
        <f>INDEX([2]DebtFundUniverse!$B$2:$EU$200,MATCH(DFanalysis4[[#This Row],[ID]],[2]DebtFundUniverse!$A$2:$A$200,0),MATCH(DFanalysis4[[#Headers],[Target Regional Strategy]],[2]DebtFundUniverse!$B$1:$EU$1,0))</f>
        <v>Europe</v>
      </c>
      <c r="F8" s="6" t="str">
        <f>INDEX([2]DebtFundUniverse!$B$2:$EU$200,MATCH(DFanalysis4[[#This Row],[ID]],[2]DebtFundUniverse!$A$2:$A$200,0),MATCH(DFanalysis4[[#Headers],[Vehicle Structure]],[2]DebtFundUniverse!$B$1:$EU$1,0))</f>
        <v>Closed end</v>
      </c>
      <c r="G8" s="6">
        <f>INDEX([2]DebtFundUniverse!$B$2:$EU$200,MATCH(DFanalysis4[[#This Row],[ID]],[2]DebtFundUniverse!$A$2:$A$200,0),MATCH(DFanalysis4[[#Headers],[year of first closing]],[2]DebtFundUniverse!$B$1:$EU$1,0))</f>
        <v>2019</v>
      </c>
      <c r="H8" s="6" t="str">
        <f>IF(ISBLANK([2]DFsmonkeyCompl!L9),"",[2]DFsmonkeyCompl!L9)</f>
        <v>Yes</v>
      </c>
      <c r="I8" s="6" t="str">
        <f>IF(ISBLANK([2]DFsmonkeyCompl!M9),"",[2]DFsmonkeyCompl!M9)</f>
        <v/>
      </c>
      <c r="J8" s="6" t="str">
        <f>IF(ISBLANK([2]DFsmonkeyCompl!N9),"",[2]DFsmonkeyCompl!N9)</f>
        <v/>
      </c>
      <c r="K8" s="6" t="str">
        <f>INDEX([2]DebtFundUniverse!$B$2:$EU$200,MATCH(DFanalysis4[[#This Row],[ID]],[2]DebtFundUniverse!$A$2:$A$200,0),MATCH(DFanalysis4[[#Headers],[Currency of Reporting]],[2]DebtFundUniverse!$B$1:$EU$1,0))</f>
        <v>EUR</v>
      </c>
      <c r="L8" s="8">
        <f>VLOOKUP(DFanalysis4[[#This Row],[Currency of Reporting]],'[2]Xrate31.12.20'!$K$1:$M$25,3,0)</f>
        <v>1</v>
      </c>
      <c r="M8" s="8">
        <f>IFERROR(IF(ISBLANK([2]DFsmonkeyCompl!O9),"",[2]DFsmonkeyCompl!O9*DFanalysis4[[#This Row],[EUR]]),"")</f>
        <v>300</v>
      </c>
      <c r="N8" s="8" t="str">
        <f>IFERROR(IF(ISBLANK([2]DFsmonkeyCompl!P9),"",[2]DFsmonkeyCompl!P9*DFanalysis4[[#This Row],[EUR]]),"")</f>
        <v/>
      </c>
      <c r="O8" s="8">
        <f>IFERROR(IF(ISBLANK([2]DFsmonkeyCompl!Q9),"",[2]DFsmonkeyCompl!Q9*DFanalysis4[[#This Row],[EUR]]),"")</f>
        <v>300</v>
      </c>
      <c r="P8" s="8" t="str">
        <f>IFERROR(IF(ISBLANK([2]DFsmonkeyCompl!R9),"",[2]DFsmonkeyCompl!R9*DFanalysis4[[#This Row],[EUR]]),"")</f>
        <v/>
      </c>
      <c r="Q8" s="8" t="str">
        <f>IFERROR(IF(ISBLANK([2]DFsmonkeyCompl!S9),"",[2]DFsmonkeyCompl!S9*DFanalysis4[[#This Row],[EUR]]),"")</f>
        <v/>
      </c>
      <c r="R8" s="8" t="str">
        <f>IFERROR(IF(ISBLANK([2]DFsmonkeyCompl!T9),"",[2]DFsmonkeyCompl!T9*DFanalysis4[[#This Row],[EUR]]),"")</f>
        <v/>
      </c>
      <c r="S8" s="8" t="str">
        <f>IFERROR(IF(ISBLANK([2]DFsmonkeyCompl!U9),"",[2]DFsmonkeyCompl!U9*DFanalysis4[[#This Row],[EUR]]),"")</f>
        <v/>
      </c>
      <c r="T8" s="8" t="str">
        <f>IFERROR(IF(ISBLANK([2]DFsmonkeyCompl!V9),"",[2]DFsmonkeyCompl!V9*DFanalysis4[[#This Row],[EUR]]),"")</f>
        <v/>
      </c>
      <c r="U8" s="8" t="str">
        <f>IFERROR(IF(ISBLANK([2]DFsmonkeyCompl!W9),"",[2]DFsmonkeyCompl!W9*DFanalysis4[[#This Row],[EUR]]),"")</f>
        <v/>
      </c>
      <c r="V8" s="8">
        <f>IFERROR(IF(ISBLANK([2]DFsmonkeyCompl!X9),"",[2]DFsmonkeyCompl!X9*DFanalysis4[[#This Row],[EUR]]),"")</f>
        <v>300</v>
      </c>
      <c r="W8" s="8" t="str">
        <f>IFERROR(IF(ISBLANK([2]DFsmonkeyCompl!Y9),"",[2]DFsmonkeyCompl!Y9*DFanalysis4[[#This Row],[EUR]]),"")</f>
        <v/>
      </c>
      <c r="X8" s="8" t="str">
        <f>IFERROR(IF(ISBLANK([2]DFsmonkeyCompl!Z9),"",[2]DFsmonkeyCompl!Z9*DFanalysis4[[#This Row],[EUR]]),"")</f>
        <v/>
      </c>
      <c r="Y8" s="8" t="str">
        <f>IFERROR(IF(ISBLANK([2]DFsmonkeyCompl!AA9),"",[2]DFsmonkeyCompl!AA9*DFanalysis4[[#This Row],[EUR]]),"")</f>
        <v/>
      </c>
      <c r="Z8" s="8" t="str">
        <f>IFERROR(IF(ISBLANK([2]DFsmonkeyCompl!AB9),"",[2]DFsmonkeyCompl!AB9*DFanalysis4[[#This Row],[EUR]]),"")</f>
        <v/>
      </c>
      <c r="AA8" s="8" t="str">
        <f>IF(ISBLANK([2]DFsmonkeyCompl!AC9),"",[2]DFsmonkeyCompl!AC9)</f>
        <v/>
      </c>
      <c r="AB8" s="8" t="str">
        <f>IF(ISBLANK([2]DFsmonkeyCompl!AD9),"",[2]DFsmonkeyCompl!AD9)</f>
        <v/>
      </c>
      <c r="AC8" s="8">
        <f>IF(ISBLANK([2]DFsmonkeyCompl!AE9),"",[2]DFsmonkeyCompl!AE9)</f>
        <v>100</v>
      </c>
      <c r="AD8" s="8" t="str">
        <f>IF(ISBLANK([2]DFsmonkeyCompl!AF9),"",[2]DFsmonkeyCompl!AF9)</f>
        <v/>
      </c>
      <c r="AE8" s="8" t="str">
        <f>IF(ISBLANK([2]DFsmonkeyCompl!AG9),"",[2]DFsmonkeyCompl!AG9)</f>
        <v>Increase</v>
      </c>
      <c r="AF8" s="8" t="str">
        <f>IF(ISBLANK([2]DFsmonkeyCompl!AH9),"",[2]DFsmonkeyCompl!AH9)</f>
        <v>Yes</v>
      </c>
      <c r="AG8" s="8">
        <f>IFERROR(INDEX([2]DebtFundUniverse!$B$2:$EU$700,MATCH($C8,[2]DebtFundUniverse!$A$2:$A$700,0),MATCH($AG$1,[2]DebtFundUniverse!$B$1:$EU$1,0)),"")</f>
        <v>0</v>
      </c>
      <c r="AH8" s="36">
        <f>IFERROR(INDEX([2]DebtFundUniverse!$B$2:$EU$700,MATCH($C8,[2]DebtFundUniverse!$A$2:$A$700,0),MATCH($AH$1,[2]DebtFundUniverse!$B$1:$EU$1,0)),"")</f>
        <v>0</v>
      </c>
    </row>
    <row r="9" spans="1:34" ht="13.5" thickTop="1" x14ac:dyDescent="0.2">
      <c r="A9" s="5" t="str">
        <f>IF(OR(ISTEXT([2]DFsmonkeyCompl!J10),ISNUMBER([2]DFsmonkeyCompl!J10)),[2]DFsmonkeyCompl!J10,"")</f>
        <v>LaSalle Investment Management</v>
      </c>
      <c r="B9" s="6" t="str">
        <f>IF(OR(ISTEXT([2]DFsmonkeyCompl!K10),ISNUMBER([2]DFsmonkeyCompl!K10)),[2]DFsmonkeyCompl!K10,"")</f>
        <v>LaSalle Real Estate Strategies IV</v>
      </c>
      <c r="C9" s="7" cm="1">
        <f t="array" ref="C9">INDEX([2]DebtFundUniverse!$A$85:$A$95,MATCH(B9,[2]DebtFundUniverse!$B$85:$B$95,0),0)</f>
        <v>105571</v>
      </c>
      <c r="D9" s="6" t="str">
        <f>INDEX([2]DebtFundUniverse!$B$2:$EU$200,MATCH(DFanalysis4[[#This Row],[ID]],[2]DebtFundUniverse!$A$2:$A$200,0),MATCH(DFanalysis4[[#Headers],[Loan Strategy]],[2]DebtFundUniverse!$B$1:$EU$1,0))</f>
        <v>Subordinated: Junior+Mezzanine</v>
      </c>
      <c r="E9" s="6" t="str">
        <f>INDEX([2]DebtFundUniverse!$B$2:$EU$200,MATCH(DFanalysis4[[#This Row],[ID]],[2]DebtFundUniverse!$A$2:$A$200,0),MATCH(DFanalysis4[[#Headers],[Target Regional Strategy]],[2]DebtFundUniverse!$B$1:$EU$1,0))</f>
        <v>Europe</v>
      </c>
      <c r="F9" s="6" t="str">
        <f>INDEX([2]DebtFundUniverse!$B$2:$EU$200,MATCH(DFanalysis4[[#This Row],[ID]],[2]DebtFundUniverse!$A$2:$A$200,0),MATCH(DFanalysis4[[#Headers],[Vehicle Structure]],[2]DebtFundUniverse!$B$1:$EU$1,0))</f>
        <v>Closed end</v>
      </c>
      <c r="G9" s="6">
        <f>INDEX([2]DebtFundUniverse!$B$2:$EU$200,MATCH(DFanalysis4[[#This Row],[ID]],[2]DebtFundUniverse!$A$2:$A$200,0),MATCH(DFanalysis4[[#Headers],[year of first closing]],[2]DebtFundUniverse!$B$1:$EU$1,0))</f>
        <v>2020</v>
      </c>
      <c r="H9" s="6" t="str">
        <f>IF(ISBLANK([2]DFsmonkeyCompl!L10),"",[2]DFsmonkeyCompl!L10)</f>
        <v>Yes</v>
      </c>
      <c r="I9" s="6" t="str">
        <f>IF(ISBLANK([2]DFsmonkeyCompl!M10),"",[2]DFsmonkeyCompl!M10)</f>
        <v/>
      </c>
      <c r="J9" s="6" t="str">
        <f>IF(ISBLANK([2]DFsmonkeyCompl!N10),"",[2]DFsmonkeyCompl!N10)</f>
        <v/>
      </c>
      <c r="K9" s="6" t="str">
        <f>INDEX([2]DebtFundUniverse!$B$2:$EU$200,MATCH(DFanalysis4[[#This Row],[ID]],[2]DebtFundUniverse!$A$2:$A$200,0),MATCH(DFanalysis4[[#Headers],[Currency of Reporting]],[2]DebtFundUniverse!$B$1:$EU$1,0))</f>
        <v>EUR</v>
      </c>
      <c r="L9" s="8">
        <f>VLOOKUP(DFanalysis4[[#This Row],[Currency of Reporting]],'[2]Xrate31.12.20'!$K$1:$M$25,3,0)</f>
        <v>1</v>
      </c>
      <c r="M9" s="8" t="str">
        <f>IFERROR(IF(ISBLANK([2]DFsmonkeyCompl!O10),"",[2]DFsmonkeyCompl!O10*DFanalysis4[[#This Row],[EUR]]),"")</f>
        <v/>
      </c>
      <c r="N9" s="8" t="str">
        <f>IFERROR(IF(ISBLANK([2]DFsmonkeyCompl!P10),"",[2]DFsmonkeyCompl!P10*DFanalysis4[[#This Row],[EUR]]),"")</f>
        <v/>
      </c>
      <c r="O9" s="8" t="str">
        <f>IFERROR(IF(ISBLANK([2]DFsmonkeyCompl!Q10),"",[2]DFsmonkeyCompl!Q10*DFanalysis4[[#This Row],[EUR]]),"")</f>
        <v/>
      </c>
      <c r="P9" s="8" t="str">
        <f>IFERROR(IF(ISBLANK([2]DFsmonkeyCompl!R10),"",[2]DFsmonkeyCompl!R10*DFanalysis4[[#This Row],[EUR]]),"")</f>
        <v/>
      </c>
      <c r="Q9" s="8" t="str">
        <f>IFERROR(IF(ISBLANK([2]DFsmonkeyCompl!S10),"",[2]DFsmonkeyCompl!S10*DFanalysis4[[#This Row],[EUR]]),"")</f>
        <v/>
      </c>
      <c r="R9" s="8" t="str">
        <f>IFERROR(IF(ISBLANK([2]DFsmonkeyCompl!T10),"",[2]DFsmonkeyCompl!T10*DFanalysis4[[#This Row],[EUR]]),"")</f>
        <v/>
      </c>
      <c r="S9" s="8" t="str">
        <f>IFERROR(IF(ISBLANK([2]DFsmonkeyCompl!U10),"",[2]DFsmonkeyCompl!U10*DFanalysis4[[#This Row],[EUR]]),"")</f>
        <v/>
      </c>
      <c r="T9" s="8" t="str">
        <f>IFERROR(IF(ISBLANK([2]DFsmonkeyCompl!V10),"",[2]DFsmonkeyCompl!V10*DFanalysis4[[#This Row],[EUR]]),"")</f>
        <v/>
      </c>
      <c r="U9" s="8" t="str">
        <f>IFERROR(IF(ISBLANK([2]DFsmonkeyCompl!W10),"",[2]DFsmonkeyCompl!W10*DFanalysis4[[#This Row],[EUR]]),"")</f>
        <v/>
      </c>
      <c r="V9" s="8" t="str">
        <f>IFERROR(IF(ISBLANK([2]DFsmonkeyCompl!X10),"",[2]DFsmonkeyCompl!X10*DFanalysis4[[#This Row],[EUR]]),"")</f>
        <v/>
      </c>
      <c r="W9" s="8" t="str">
        <f>IFERROR(IF(ISBLANK([2]DFsmonkeyCompl!Y10),"",[2]DFsmonkeyCompl!Y10*DFanalysis4[[#This Row],[EUR]]),"")</f>
        <v/>
      </c>
      <c r="X9" s="8" t="str">
        <f>IFERROR(IF(ISBLANK([2]DFsmonkeyCompl!Z10),"",[2]DFsmonkeyCompl!Z10*DFanalysis4[[#This Row],[EUR]]),"")</f>
        <v/>
      </c>
      <c r="Y9" s="8" t="str">
        <f>IFERROR(IF(ISBLANK([2]DFsmonkeyCompl!AA10),"",[2]DFsmonkeyCompl!AA10*DFanalysis4[[#This Row],[EUR]]),"")</f>
        <v/>
      </c>
      <c r="Z9" s="8" t="str">
        <f>IFERROR(IF(ISBLANK([2]DFsmonkeyCompl!AB10),"",[2]DFsmonkeyCompl!AB10*DFanalysis4[[#This Row],[EUR]]),"")</f>
        <v/>
      </c>
      <c r="AA9" s="8" t="str">
        <f>IF(ISBLANK([2]DFsmonkeyCompl!AC10),"",[2]DFsmonkeyCompl!AC10)</f>
        <v/>
      </c>
      <c r="AB9" s="8" t="str">
        <f>IF(ISBLANK([2]DFsmonkeyCompl!AD10),"",[2]DFsmonkeyCompl!AD10)</f>
        <v/>
      </c>
      <c r="AC9" s="8" t="str">
        <f>IF(ISBLANK([2]DFsmonkeyCompl!AE10),"",[2]DFsmonkeyCompl!AE10)</f>
        <v/>
      </c>
      <c r="AD9" s="8" t="str">
        <f>IF(ISBLANK([2]DFsmonkeyCompl!AF10),"",[2]DFsmonkeyCompl!AF10)</f>
        <v/>
      </c>
      <c r="AE9" s="8" t="str">
        <f>IF(ISBLANK([2]DFsmonkeyCompl!AG10),"",[2]DFsmonkeyCompl!AG10)</f>
        <v/>
      </c>
      <c r="AF9" s="8" t="str">
        <f>IF(ISBLANK([2]DFsmonkeyCompl!AH10),"",[2]DFsmonkeyCompl!AH10)</f>
        <v/>
      </c>
      <c r="AG9" s="8">
        <f>IFERROR(INDEX([2]DebtFundUniverse!$B$2:$EU$700,MATCH($C9,[2]DebtFundUniverse!$A$2:$A$700,0),MATCH($AG$1,[2]DebtFundUniverse!$B$1:$EU$1,0)),"")</f>
        <v>1000000000</v>
      </c>
      <c r="AH9" s="36">
        <f>IFERROR(INDEX([2]DebtFundUniverse!$B$2:$EU$700,MATCH($C9,[2]DebtFundUniverse!$A$2:$A$700,0),MATCH($AH$1,[2]DebtFundUniverse!$B$1:$EU$1,0)),"")</f>
        <v>0</v>
      </c>
    </row>
    <row r="10" spans="1:34" x14ac:dyDescent="0.2">
      <c r="A10" s="5" t="str">
        <f>IF(OR(ISTEXT([2]DFsmonkeyCompl!J11),ISNUMBER([2]DFsmonkeyCompl!J11)),[2]DFsmonkeyCompl!J11,"")</f>
        <v>Octopus Real Estate</v>
      </c>
      <c r="B10" s="6" t="str">
        <f>IF(OR(ISTEXT([2]DFsmonkeyCompl!K11),ISNUMBER([2]DFsmonkeyCompl!K11)),[2]DFsmonkeyCompl!K11,"")</f>
        <v>CREDF II-S</v>
      </c>
      <c r="C10" s="7">
        <v>73412</v>
      </c>
      <c r="D10" s="6" t="str">
        <f>INDEX([2]DebtFundUniverse!$B$2:$EU$200,MATCH(DFanalysis4[[#This Row],[ID]],[2]DebtFundUniverse!$A$2:$A$200,0),MATCH(DFanalysis4[[#Headers],[Loan Strategy]],[2]DebtFundUniverse!$B$1:$EU$1,0))</f>
        <v>Subordinated: Junior+Mezzanine</v>
      </c>
      <c r="E10" s="6" t="str">
        <f>INDEX([2]DebtFundUniverse!$B$2:$EU$200,MATCH(DFanalysis4[[#This Row],[ID]],[2]DebtFundUniverse!$A$2:$A$200,0),MATCH(DFanalysis4[[#Headers],[Target Regional Strategy]],[2]DebtFundUniverse!$B$1:$EU$1,0))</f>
        <v>Europe</v>
      </c>
      <c r="F10" s="6" t="str">
        <f>INDEX([2]DebtFundUniverse!$B$2:$EU$200,MATCH(DFanalysis4[[#This Row],[ID]],[2]DebtFundUniverse!$A$2:$A$200,0),MATCH(DFanalysis4[[#Headers],[Vehicle Structure]],[2]DebtFundUniverse!$B$1:$EU$1,0))</f>
        <v>Closed end</v>
      </c>
      <c r="G10" s="6">
        <f>INDEX([2]DebtFundUniverse!$B$2:$EU$200,MATCH(DFanalysis4[[#This Row],[ID]],[2]DebtFundUniverse!$A$2:$A$200,0),MATCH(DFanalysis4[[#Headers],[year of first closing]],[2]DebtFundUniverse!$B$1:$EU$1,0))</f>
        <v>2017</v>
      </c>
      <c r="H10" s="6" t="str">
        <f>IF(ISBLANK([2]DFsmonkeyCompl!L11),"",[2]DFsmonkeyCompl!L11)</f>
        <v>Yes</v>
      </c>
      <c r="I10" s="6" t="str">
        <f>IF(ISBLANK([2]DFsmonkeyCompl!M11),"",[2]DFsmonkeyCompl!M11)</f>
        <v/>
      </c>
      <c r="J10" s="6" t="str">
        <f>IF(ISBLANK([2]DFsmonkeyCompl!N11),"",[2]DFsmonkeyCompl!N11)</f>
        <v/>
      </c>
      <c r="K10" s="6" t="str">
        <f>INDEX([2]DebtFundUniverse!$B$2:$EU$200,MATCH(DFanalysis4[[#This Row],[ID]],[2]DebtFundUniverse!$A$2:$A$200,0),MATCH(DFanalysis4[[#Headers],[Currency of Reporting]],[2]DebtFundUniverse!$B$1:$EU$1,0))</f>
        <v>GBP</v>
      </c>
      <c r="L10" s="8">
        <f>VLOOKUP(DFanalysis4[[#This Row],[Currency of Reporting]],'[2]Xrate31.12.20'!$K$1:$M$25,3,0)</f>
        <v>1.1130927885999999</v>
      </c>
      <c r="M10" s="8">
        <f>IFERROR(IF(ISBLANK([2]DFsmonkeyCompl!O11),"",[2]DFsmonkeyCompl!O11*DFanalysis4[[#This Row],[EUR]]),"")</f>
        <v>84.59505193359999</v>
      </c>
      <c r="N10" s="8">
        <f>IFERROR(IF(ISBLANK([2]DFsmonkeyCompl!P11),"",[2]DFsmonkeyCompl!P11*DFanalysis4[[#This Row],[EUR]]),"")</f>
        <v>28.940412503599998</v>
      </c>
      <c r="O10" s="8" t="str">
        <f>IFERROR(IF(ISBLANK([2]DFsmonkeyCompl!Q11),"",[2]DFsmonkeyCompl!Q11*DFanalysis4[[#This Row],[EUR]]),"")</f>
        <v/>
      </c>
      <c r="P10" s="8" t="str">
        <f>IFERROR(IF(ISBLANK([2]DFsmonkeyCompl!R11),"",[2]DFsmonkeyCompl!R11*DFanalysis4[[#This Row],[EUR]]),"")</f>
        <v/>
      </c>
      <c r="Q10" s="8" t="str">
        <f>IFERROR(IF(ISBLANK([2]DFsmonkeyCompl!S11),"",[2]DFsmonkeyCompl!S11*DFanalysis4[[#This Row],[EUR]]),"")</f>
        <v/>
      </c>
      <c r="R10" s="8" t="str">
        <f>IFERROR(IF(ISBLANK([2]DFsmonkeyCompl!T11),"",[2]DFsmonkeyCompl!T11*DFanalysis4[[#This Row],[EUR]]),"")</f>
        <v/>
      </c>
      <c r="S10" s="8">
        <f>IFERROR(IF(ISBLANK([2]DFsmonkeyCompl!U11),"",[2]DFsmonkeyCompl!U11*DFanalysis4[[#This Row],[EUR]]),"")</f>
        <v>55.654639429999996</v>
      </c>
      <c r="T10" s="8" t="str">
        <f>IFERROR(IF(ISBLANK([2]DFsmonkeyCompl!V11),"",[2]DFsmonkeyCompl!V11*DFanalysis4[[#This Row],[EUR]]),"")</f>
        <v/>
      </c>
      <c r="U10" s="8" t="str">
        <f>IFERROR(IF(ISBLANK([2]DFsmonkeyCompl!W11),"",[2]DFsmonkeyCompl!W11*DFanalysis4[[#This Row],[EUR]]),"")</f>
        <v/>
      </c>
      <c r="V10" s="8">
        <f>IFERROR(IF(ISBLANK([2]DFsmonkeyCompl!X11),"",[2]DFsmonkeyCompl!X11*DFanalysis4[[#This Row],[EUR]]),"")</f>
        <v>84.59505193359999</v>
      </c>
      <c r="W10" s="8" t="str">
        <f>IFERROR(IF(ISBLANK([2]DFsmonkeyCompl!Y11),"",[2]DFsmonkeyCompl!Y11*DFanalysis4[[#This Row],[EUR]]),"")</f>
        <v/>
      </c>
      <c r="X10" s="8" t="str">
        <f>IFERROR(IF(ISBLANK([2]DFsmonkeyCompl!Z11),"",[2]DFsmonkeyCompl!Z11*DFanalysis4[[#This Row],[EUR]]),"")</f>
        <v/>
      </c>
      <c r="Y10" s="8" t="str">
        <f>IFERROR(IF(ISBLANK([2]DFsmonkeyCompl!AA11),"",[2]DFsmonkeyCompl!AA11*DFanalysis4[[#This Row],[EUR]]),"")</f>
        <v/>
      </c>
      <c r="Z10" s="8" t="str">
        <f>IFERROR(IF(ISBLANK([2]DFsmonkeyCompl!AB11),"",[2]DFsmonkeyCompl!AB11*DFanalysis4[[#This Row],[EUR]]),"")</f>
        <v/>
      </c>
      <c r="AA10" s="8">
        <f>IF(ISBLANK([2]DFsmonkeyCompl!AC11),"",[2]DFsmonkeyCompl!AC11)</f>
        <v>0</v>
      </c>
      <c r="AB10" s="8">
        <f>IF(ISBLANK([2]DFsmonkeyCompl!AD11),"",[2]DFsmonkeyCompl!AD11)</f>
        <v>0</v>
      </c>
      <c r="AC10" s="8">
        <f>IF(ISBLANK([2]DFsmonkeyCompl!AE11),"",[2]DFsmonkeyCompl!AE11)</f>
        <v>100</v>
      </c>
      <c r="AD10" s="8">
        <f>IF(ISBLANK([2]DFsmonkeyCompl!AF11),"",[2]DFsmonkeyCompl!AF11)</f>
        <v>0</v>
      </c>
      <c r="AE10" s="8" t="str">
        <f>IF(ISBLANK([2]DFsmonkeyCompl!AG11),"",[2]DFsmonkeyCompl!AG11)</f>
        <v>Increase</v>
      </c>
      <c r="AF10" s="8" t="str">
        <f>IF(ISBLANK([2]DFsmonkeyCompl!AH11),"",[2]DFsmonkeyCompl!AH11)</f>
        <v>Yes</v>
      </c>
      <c r="AG10" s="8">
        <f>IFERROR(INDEX([2]DebtFundUniverse!$B$2:$EU$700,MATCH($C10,[2]DebtFundUniverse!$A$2:$A$700,0),MATCH($AG$1,[2]DebtFundUniverse!$B$1:$EU$1,0)),"")</f>
        <v>227740000</v>
      </c>
      <c r="AH10" s="36">
        <f>IFERROR(INDEX([2]DebtFundUniverse!$B$2:$EU$700,MATCH($C10,[2]DebtFundUniverse!$A$2:$A$700,0),MATCH($AH$1,[2]DebtFundUniverse!$B$1:$EU$1,0)),"")</f>
        <v>0</v>
      </c>
    </row>
    <row r="11" spans="1:34" x14ac:dyDescent="0.2">
      <c r="A11" s="5" t="str">
        <f>IF(OR(ISTEXT([2]DFsmonkeyCompl!J12),ISNUMBER([2]DFsmonkeyCompl!J12)),[2]DFsmonkeyCompl!J12,"")</f>
        <v>AgFe LLP</v>
      </c>
      <c r="B11" s="6" t="str">
        <f>IF(OR(ISTEXT([2]DFsmonkeyCompl!K12),ISNUMBER([2]DFsmonkeyCompl!K12)),[2]DFsmonkeyCompl!K12,"")</f>
        <v>UK RE Senior Debt Fund LP</v>
      </c>
      <c r="C11" s="7">
        <v>17383</v>
      </c>
      <c r="D11" s="6" t="str">
        <f>INDEX([2]DebtFundUniverse!$B$2:$EU$200,MATCH(DFanalysis4[[#This Row],[ID]],[2]DebtFundUniverse!$A$2:$A$200,0),MATCH(DFanalysis4[[#Headers],[Loan Strategy]],[2]DebtFundUniverse!$B$1:$EU$1,0))</f>
        <v>Senior</v>
      </c>
      <c r="E11" s="6" t="str">
        <f>INDEX([2]DebtFundUniverse!$B$2:$EU$200,MATCH(DFanalysis4[[#This Row],[ID]],[2]DebtFundUniverse!$A$2:$A$200,0),MATCH(DFanalysis4[[#Headers],[Target Regional Strategy]],[2]DebtFundUniverse!$B$1:$EU$1,0))</f>
        <v>Europe</v>
      </c>
      <c r="F11" s="6" t="str">
        <f>INDEX([2]DebtFundUniverse!$B$2:$EU$200,MATCH(DFanalysis4[[#This Row],[ID]],[2]DebtFundUniverse!$A$2:$A$200,0),MATCH(DFanalysis4[[#Headers],[Vehicle Structure]],[2]DebtFundUniverse!$B$1:$EU$1,0))</f>
        <v>Closed end</v>
      </c>
      <c r="G11" s="6">
        <f>INDEX([2]DebtFundUniverse!$B$2:$EU$200,MATCH(DFanalysis4[[#This Row],[ID]],[2]DebtFundUniverse!$A$2:$A$200,0),MATCH(DFanalysis4[[#Headers],[year of first closing]],[2]DebtFundUniverse!$B$1:$EU$1,0))</f>
        <v>2014</v>
      </c>
      <c r="H11" s="6" t="str">
        <f>IF(ISBLANK([2]DFsmonkeyCompl!L12),"",[2]DFsmonkeyCompl!L12)</f>
        <v>Yes</v>
      </c>
      <c r="I11" s="6" t="str">
        <f>IF(ISBLANK([2]DFsmonkeyCompl!M12),"",[2]DFsmonkeyCompl!M12)</f>
        <v/>
      </c>
      <c r="J11" s="6" t="str">
        <f>IF(ISBLANK([2]DFsmonkeyCompl!N12),"",[2]DFsmonkeyCompl!N12)</f>
        <v/>
      </c>
      <c r="K11" s="6" t="str">
        <f>INDEX([2]DebtFundUniverse!$B$2:$EU$200,MATCH(DFanalysis4[[#This Row],[ID]],[2]DebtFundUniverse!$A$2:$A$200,0),MATCH(DFanalysis4[[#Headers],[Currency of Reporting]],[2]DebtFundUniverse!$B$1:$EU$1,0))</f>
        <v>GBP</v>
      </c>
      <c r="L11" s="8">
        <f>VLOOKUP(DFanalysis4[[#This Row],[Currency of Reporting]],'[2]Xrate31.12.20'!$K$1:$M$25,3,0)</f>
        <v>1.1130927885999999</v>
      </c>
      <c r="M11" s="8">
        <f>IFERROR(IF(ISBLANK([2]DFsmonkeyCompl!O12),"",[2]DFsmonkeyCompl!O12*DFanalysis4[[#This Row],[EUR]]),"")</f>
        <v>890.47423087999994</v>
      </c>
      <c r="N11" s="8" t="str">
        <f>IFERROR(IF(ISBLANK([2]DFsmonkeyCompl!P12),"",[2]DFsmonkeyCompl!P12*DFanalysis4[[#This Row],[EUR]]),"")</f>
        <v/>
      </c>
      <c r="O11" s="8">
        <f>IFERROR(IF(ISBLANK([2]DFsmonkeyCompl!Q12),"",[2]DFsmonkeyCompl!Q12*DFanalysis4[[#This Row],[EUR]]),"")</f>
        <v>890.47423087999994</v>
      </c>
      <c r="P11" s="8" t="str">
        <f>IFERROR(IF(ISBLANK([2]DFsmonkeyCompl!R12),"",[2]DFsmonkeyCompl!R12*DFanalysis4[[#This Row],[EUR]]),"")</f>
        <v/>
      </c>
      <c r="Q11" s="8" t="str">
        <f>IFERROR(IF(ISBLANK([2]DFsmonkeyCompl!S12),"",[2]DFsmonkeyCompl!S12*DFanalysis4[[#This Row],[EUR]]),"")</f>
        <v/>
      </c>
      <c r="R11" s="8" t="str">
        <f>IFERROR(IF(ISBLANK([2]DFsmonkeyCompl!T12),"",[2]DFsmonkeyCompl!T12*DFanalysis4[[#This Row],[EUR]]),"")</f>
        <v/>
      </c>
      <c r="S11" s="8" t="str">
        <f>IFERROR(IF(ISBLANK([2]DFsmonkeyCompl!U12),"",[2]DFsmonkeyCompl!U12*DFanalysis4[[#This Row],[EUR]]),"")</f>
        <v/>
      </c>
      <c r="T11" s="8" t="str">
        <f>IFERROR(IF(ISBLANK([2]DFsmonkeyCompl!V12),"",[2]DFsmonkeyCompl!V12*DFanalysis4[[#This Row],[EUR]]),"")</f>
        <v/>
      </c>
      <c r="U11" s="8" t="str">
        <f>IFERROR(IF(ISBLANK([2]DFsmonkeyCompl!W12),"",[2]DFsmonkeyCompl!W12*DFanalysis4[[#This Row],[EUR]]),"")</f>
        <v/>
      </c>
      <c r="V11" s="8">
        <f>IFERROR(IF(ISBLANK([2]DFsmonkeyCompl!X12),"",[2]DFsmonkeyCompl!X12*DFanalysis4[[#This Row],[EUR]]),"")</f>
        <v>890.47423087999994</v>
      </c>
      <c r="W11" s="8" t="str">
        <f>IFERROR(IF(ISBLANK([2]DFsmonkeyCompl!Y12),"",[2]DFsmonkeyCompl!Y12*DFanalysis4[[#This Row],[EUR]]),"")</f>
        <v/>
      </c>
      <c r="X11" s="8" t="str">
        <f>IFERROR(IF(ISBLANK([2]DFsmonkeyCompl!Z12),"",[2]DFsmonkeyCompl!Z12*DFanalysis4[[#This Row],[EUR]]),"")</f>
        <v/>
      </c>
      <c r="Y11" s="8" t="str">
        <f>IFERROR(IF(ISBLANK([2]DFsmonkeyCompl!AA12),"",[2]DFsmonkeyCompl!AA12*DFanalysis4[[#This Row],[EUR]]),"")</f>
        <v/>
      </c>
      <c r="Z11" s="8" t="str">
        <f>IFERROR(IF(ISBLANK([2]DFsmonkeyCompl!AB12),"",[2]DFsmonkeyCompl!AB12*DFanalysis4[[#This Row],[EUR]]),"")</f>
        <v/>
      </c>
      <c r="AA11" s="8" t="str">
        <f>IF(ISBLANK([2]DFsmonkeyCompl!AC12),"",[2]DFsmonkeyCompl!AC12)</f>
        <v/>
      </c>
      <c r="AB11" s="8" t="str">
        <f>IF(ISBLANK([2]DFsmonkeyCompl!AD12),"",[2]DFsmonkeyCompl!AD12)</f>
        <v/>
      </c>
      <c r="AC11" s="8">
        <f>IF(ISBLANK([2]DFsmonkeyCompl!AE12),"",[2]DFsmonkeyCompl!AE12)</f>
        <v>100</v>
      </c>
      <c r="AD11" s="8" t="str">
        <f>IF(ISBLANK([2]DFsmonkeyCompl!AF12),"",[2]DFsmonkeyCompl!AF12)</f>
        <v/>
      </c>
      <c r="AE11" s="8" t="str">
        <f>IF(ISBLANK([2]DFsmonkeyCompl!AG12),"",[2]DFsmonkeyCompl!AG12)</f>
        <v>Decrease</v>
      </c>
      <c r="AF11" s="8" t="str">
        <f>IF(ISBLANK([2]DFsmonkeyCompl!AH12),"",[2]DFsmonkeyCompl!AH12)</f>
        <v>Yes</v>
      </c>
      <c r="AG11" s="8">
        <f>IFERROR(INDEX([2]DebtFundUniverse!$B$2:$EU$700,MATCH($C11,[2]DebtFundUniverse!$A$2:$A$700,0),MATCH($AG$1,[2]DebtFundUniverse!$B$1:$EU$1,0)),"")</f>
        <v>750000000</v>
      </c>
      <c r="AH11" s="36">
        <f>IFERROR(INDEX([2]DebtFundUniverse!$B$2:$EU$700,MATCH($C11,[2]DebtFundUniverse!$A$2:$A$700,0),MATCH($AH$1,[2]DebtFundUniverse!$B$1:$EU$1,0)),"")</f>
        <v>750000000</v>
      </c>
    </row>
    <row r="12" spans="1:34" x14ac:dyDescent="0.2">
      <c r="A12" s="5" t="str">
        <f>IF(OR(ISTEXT([2]DFsmonkeyCompl!J13),ISNUMBER([2]DFsmonkeyCompl!J13)),[2]DFsmonkeyCompl!J13,"")</f>
        <v>Generali Real Estate SGR S.p.A.</v>
      </c>
      <c r="B12" s="6" t="str">
        <f>IF(OR(ISTEXT([2]DFsmonkeyCompl!K13),ISNUMBER([2]DFsmonkeyCompl!K13)),[2]DFsmonkeyCompl!K13,"")</f>
        <v>Generali Real Estate Debt Investment Fund</v>
      </c>
      <c r="C12" s="7">
        <v>19302</v>
      </c>
      <c r="D12" s="6" t="str">
        <f>INDEX([2]DebtFundUniverse!$B$2:$EU$200,MATCH(DFanalysis4[[#This Row],[ID]],[2]DebtFundUniverse!$A$2:$A$200,0),MATCH(DFanalysis4[[#Headers],[Loan Strategy]],[2]DebtFundUniverse!$B$1:$EU$1,0))</f>
        <v>Mixed: Senior+Subordinated</v>
      </c>
      <c r="E12" s="6" t="str">
        <f>INDEX([2]DebtFundUniverse!$B$2:$EU$200,MATCH(DFanalysis4[[#This Row],[ID]],[2]DebtFundUniverse!$A$2:$A$200,0),MATCH(DFanalysis4[[#Headers],[Target Regional Strategy]],[2]DebtFundUniverse!$B$1:$EU$1,0))</f>
        <v>Europe</v>
      </c>
      <c r="F12" s="6" t="str">
        <f>INDEX([2]DebtFundUniverse!$B$2:$EU$200,MATCH(DFanalysis4[[#This Row],[ID]],[2]DebtFundUniverse!$A$2:$A$200,0),MATCH(DFanalysis4[[#Headers],[Vehicle Structure]],[2]DebtFundUniverse!$B$1:$EU$1,0))</f>
        <v>Closed end</v>
      </c>
      <c r="G12" s="6">
        <f>INDEX([2]DebtFundUniverse!$B$2:$EU$200,MATCH(DFanalysis4[[#This Row],[ID]],[2]DebtFundUniverse!$A$2:$A$200,0),MATCH(DFanalysis4[[#Headers],[year of first closing]],[2]DebtFundUniverse!$B$1:$EU$1,0))</f>
        <v>2019</v>
      </c>
      <c r="H12" s="6" t="str">
        <f>IF(ISBLANK([2]DFsmonkeyCompl!L13),"",[2]DFsmonkeyCompl!L13)</f>
        <v>Yes</v>
      </c>
      <c r="I12" s="6" t="str">
        <f>IF(ISBLANK([2]DFsmonkeyCompl!M13),"",[2]DFsmonkeyCompl!M13)</f>
        <v/>
      </c>
      <c r="J12" s="6" t="str">
        <f>IF(ISBLANK([2]DFsmonkeyCompl!N13),"",[2]DFsmonkeyCompl!N13)</f>
        <v/>
      </c>
      <c r="K12" s="6" t="str">
        <f>INDEX([2]DebtFundUniverse!$B$2:$EU$200,MATCH(DFanalysis4[[#This Row],[ID]],[2]DebtFundUniverse!$A$2:$A$200,0),MATCH(DFanalysis4[[#Headers],[Currency of Reporting]],[2]DebtFundUniverse!$B$1:$EU$1,0))</f>
        <v>EUR</v>
      </c>
      <c r="L12" s="8">
        <f>VLOOKUP(DFanalysis4[[#This Row],[Currency of Reporting]],'[2]Xrate31.12.20'!$K$1:$M$25,3,0)</f>
        <v>1</v>
      </c>
      <c r="M12" s="8">
        <f>IFERROR(IF(ISBLANK([2]DFsmonkeyCompl!O13),"",[2]DFsmonkeyCompl!O13*DFanalysis4[[#This Row],[EUR]]),"")</f>
        <v>214</v>
      </c>
      <c r="N12" s="8" t="str">
        <f>IFERROR(IF(ISBLANK([2]DFsmonkeyCompl!P13),"",[2]DFsmonkeyCompl!P13*DFanalysis4[[#This Row],[EUR]]),"")</f>
        <v/>
      </c>
      <c r="O12" s="8">
        <f>IFERROR(IF(ISBLANK([2]DFsmonkeyCompl!Q13),"",[2]DFsmonkeyCompl!Q13*DFanalysis4[[#This Row],[EUR]]),"")</f>
        <v>214</v>
      </c>
      <c r="P12" s="8" t="str">
        <f>IFERROR(IF(ISBLANK([2]DFsmonkeyCompl!R13),"",[2]DFsmonkeyCompl!R13*DFanalysis4[[#This Row],[EUR]]),"")</f>
        <v/>
      </c>
      <c r="Q12" s="8" t="str">
        <f>IFERROR(IF(ISBLANK([2]DFsmonkeyCompl!S13),"",[2]DFsmonkeyCompl!S13*DFanalysis4[[#This Row],[EUR]]),"")</f>
        <v/>
      </c>
      <c r="R12" s="8" t="str">
        <f>IFERROR(IF(ISBLANK([2]DFsmonkeyCompl!T13),"",[2]DFsmonkeyCompl!T13*DFanalysis4[[#This Row],[EUR]]),"")</f>
        <v/>
      </c>
      <c r="S12" s="8" t="str">
        <f>IFERROR(IF(ISBLANK([2]DFsmonkeyCompl!U13),"",[2]DFsmonkeyCompl!U13*DFanalysis4[[#This Row],[EUR]]),"")</f>
        <v/>
      </c>
      <c r="T12" s="8" t="str">
        <f>IFERROR(IF(ISBLANK([2]DFsmonkeyCompl!V13),"",[2]DFsmonkeyCompl!V13*DFanalysis4[[#This Row],[EUR]]),"")</f>
        <v/>
      </c>
      <c r="U12" s="8" t="str">
        <f>IFERROR(IF(ISBLANK([2]DFsmonkeyCompl!W13),"",[2]DFsmonkeyCompl!W13*DFanalysis4[[#This Row],[EUR]]),"")</f>
        <v/>
      </c>
      <c r="V12" s="8">
        <f>IFERROR(IF(ISBLANK([2]DFsmonkeyCompl!X13),"",[2]DFsmonkeyCompl!X13*DFanalysis4[[#This Row],[EUR]]),"")</f>
        <v>214</v>
      </c>
      <c r="W12" s="8" t="str">
        <f>IFERROR(IF(ISBLANK([2]DFsmonkeyCompl!Y13),"",[2]DFsmonkeyCompl!Y13*DFanalysis4[[#This Row],[EUR]]),"")</f>
        <v/>
      </c>
      <c r="X12" s="8" t="str">
        <f>IFERROR(IF(ISBLANK([2]DFsmonkeyCompl!Z13),"",[2]DFsmonkeyCompl!Z13*DFanalysis4[[#This Row],[EUR]]),"")</f>
        <v/>
      </c>
      <c r="Y12" s="8" t="str">
        <f>IFERROR(IF(ISBLANK([2]DFsmonkeyCompl!AA13),"",[2]DFsmonkeyCompl!AA13*DFanalysis4[[#This Row],[EUR]]),"")</f>
        <v/>
      </c>
      <c r="Z12" s="8" t="str">
        <f>IFERROR(IF(ISBLANK([2]DFsmonkeyCompl!AB13),"",[2]DFsmonkeyCompl!AB13*DFanalysis4[[#This Row],[EUR]]),"")</f>
        <v/>
      </c>
      <c r="AA12" s="8" t="str">
        <f>IF(ISBLANK([2]DFsmonkeyCompl!AC13),"",[2]DFsmonkeyCompl!AC13)</f>
        <v/>
      </c>
      <c r="AB12" s="8" t="str">
        <f>IF(ISBLANK([2]DFsmonkeyCompl!AD13),"",[2]DFsmonkeyCompl!AD13)</f>
        <v/>
      </c>
      <c r="AC12" s="8">
        <f>IF(ISBLANK([2]DFsmonkeyCompl!AE13),"",[2]DFsmonkeyCompl!AE13)</f>
        <v>100</v>
      </c>
      <c r="AD12" s="8" t="str">
        <f>IF(ISBLANK([2]DFsmonkeyCompl!AF13),"",[2]DFsmonkeyCompl!AF13)</f>
        <v/>
      </c>
      <c r="AE12" s="8" t="str">
        <f>IF(ISBLANK([2]DFsmonkeyCompl!AG13),"",[2]DFsmonkeyCompl!AG13)</f>
        <v/>
      </c>
      <c r="AF12" s="8" t="str">
        <f>IF(ISBLANK([2]DFsmonkeyCompl!AH13),"",[2]DFsmonkeyCompl!AH13)</f>
        <v/>
      </c>
      <c r="AG12" s="8">
        <f>IFERROR(INDEX([2]DebtFundUniverse!$B$2:$EU$700,MATCH($C12,[2]DebtFundUniverse!$A$2:$A$700,0),MATCH($AG$1,[2]DebtFundUniverse!$B$1:$EU$1,0)),"")</f>
        <v>1500000000</v>
      </c>
      <c r="AH12" s="36">
        <f>IFERROR(INDEX([2]DebtFundUniverse!$B$2:$EU$700,MATCH($C12,[2]DebtFundUniverse!$A$2:$A$700,0),MATCH($AH$1,[2]DebtFundUniverse!$B$1:$EU$1,0)),"")</f>
        <v>1500000000</v>
      </c>
    </row>
    <row r="13" spans="1:34" x14ac:dyDescent="0.2">
      <c r="A13" s="5" t="str">
        <f>IF(OR(ISTEXT([2]DFsmonkeyCompl!J14),ISNUMBER([2]DFsmonkeyCompl!J14)),[2]DFsmonkeyCompl!J14,"")</f>
        <v xml:space="preserve">DRC Capital </v>
      </c>
      <c r="B13" s="6" t="str">
        <f>IF(OR(ISTEXT([2]DFsmonkeyCompl!K14),ISNUMBER([2]DFsmonkeyCompl!K14)),[2]DFsmonkeyCompl!K14,"")</f>
        <v>European Real Estate Senior Debt 6</v>
      </c>
      <c r="C13" s="7" t="e" cm="1">
        <f t="array" ref="C13">INDEX([2]DebtFundUniverse!$A$85:$A$95,MATCH(B13,[2]DebtFundUniverse!$B$85:$B$95,0),0)</f>
        <v>#N/A</v>
      </c>
      <c r="D13" s="6" t="e">
        <f>INDEX([2]DebtFundUniverse!$B$2:$EU$200,MATCH(DFanalysis4[[#This Row],[ID]],[2]DebtFundUniverse!$A$2:$A$200,0),MATCH(DFanalysis4[[#Headers],[Loan Strategy]],[2]DebtFundUniverse!$B$1:$EU$1,0))</f>
        <v>#N/A</v>
      </c>
      <c r="E13" s="6" t="e">
        <f>INDEX([2]DebtFundUniverse!$B$2:$EU$200,MATCH(DFanalysis4[[#This Row],[ID]],[2]DebtFundUniverse!$A$2:$A$200,0),MATCH(DFanalysis4[[#Headers],[Target Regional Strategy]],[2]DebtFundUniverse!$B$1:$EU$1,0))</f>
        <v>#N/A</v>
      </c>
      <c r="F13" s="6" t="e">
        <f>INDEX([2]DebtFundUniverse!$B$2:$EU$200,MATCH(DFanalysis4[[#This Row],[ID]],[2]DebtFundUniverse!$A$2:$A$200,0),MATCH(DFanalysis4[[#Headers],[Vehicle Structure]],[2]DebtFundUniverse!$B$1:$EU$1,0))</f>
        <v>#N/A</v>
      </c>
      <c r="G13" s="6" t="e">
        <f>INDEX([2]DebtFundUniverse!$B$2:$EU$200,MATCH(DFanalysis4[[#This Row],[ID]],[2]DebtFundUniverse!$A$2:$A$200,0),MATCH(DFanalysis4[[#Headers],[year of first closing]],[2]DebtFundUniverse!$B$1:$EU$1,0))</f>
        <v>#N/A</v>
      </c>
      <c r="H13" s="6" t="str">
        <f>IF(ISBLANK([2]DFsmonkeyCompl!L14),"",[2]DFsmonkeyCompl!L14)</f>
        <v>Yes</v>
      </c>
      <c r="I13" s="6" t="str">
        <f>IF(ISBLANK([2]DFsmonkeyCompl!M14),"",[2]DFsmonkeyCompl!M14)</f>
        <v/>
      </c>
      <c r="J13" s="6" t="str">
        <f>IF(ISBLANK([2]DFsmonkeyCompl!N14),"",[2]DFsmonkeyCompl!N14)</f>
        <v/>
      </c>
      <c r="K13" s="6" t="e">
        <f>INDEX([2]DebtFundUniverse!$B$2:$EU$200,MATCH(DFanalysis4[[#This Row],[ID]],[2]DebtFundUniverse!$A$2:$A$200,0),MATCH(DFanalysis4[[#Headers],[Currency of Reporting]],[2]DebtFundUniverse!$B$1:$EU$1,0))</f>
        <v>#N/A</v>
      </c>
      <c r="L13" s="8" t="e">
        <f>VLOOKUP(DFanalysis4[[#This Row],[Currency of Reporting]],'[2]Xrate31.12.20'!$K$1:$M$25,3,0)</f>
        <v>#N/A</v>
      </c>
      <c r="M13" s="8" t="str">
        <f>IFERROR(IF(ISBLANK([2]DFsmonkeyCompl!O14),"",[2]DFsmonkeyCompl!O14*DFanalysis4[[#This Row],[EUR]]),"")</f>
        <v/>
      </c>
      <c r="N13" s="8" t="str">
        <f>IFERROR(IF(ISBLANK([2]DFsmonkeyCompl!P14),"",[2]DFsmonkeyCompl!P14*DFanalysis4[[#This Row],[EUR]]),"")</f>
        <v/>
      </c>
      <c r="O13" s="8" t="str">
        <f>IFERROR(IF(ISBLANK([2]DFsmonkeyCompl!Q14),"",[2]DFsmonkeyCompl!Q14*DFanalysis4[[#This Row],[EUR]]),"")</f>
        <v/>
      </c>
      <c r="P13" s="8" t="str">
        <f>IFERROR(IF(ISBLANK([2]DFsmonkeyCompl!R14),"",[2]DFsmonkeyCompl!R14*DFanalysis4[[#This Row],[EUR]]),"")</f>
        <v/>
      </c>
      <c r="Q13" s="8" t="str">
        <f>IFERROR(IF(ISBLANK([2]DFsmonkeyCompl!S14),"",[2]DFsmonkeyCompl!S14*DFanalysis4[[#This Row],[EUR]]),"")</f>
        <v/>
      </c>
      <c r="R13" s="8" t="str">
        <f>IFERROR(IF(ISBLANK([2]DFsmonkeyCompl!T14),"",[2]DFsmonkeyCompl!T14*DFanalysis4[[#This Row],[EUR]]),"")</f>
        <v/>
      </c>
      <c r="S13" s="8" t="str">
        <f>IFERROR(IF(ISBLANK([2]DFsmonkeyCompl!U14),"",[2]DFsmonkeyCompl!U14*DFanalysis4[[#This Row],[EUR]]),"")</f>
        <v/>
      </c>
      <c r="T13" s="8" t="str">
        <f>IFERROR(IF(ISBLANK([2]DFsmonkeyCompl!V14),"",[2]DFsmonkeyCompl!V14*DFanalysis4[[#This Row],[EUR]]),"")</f>
        <v/>
      </c>
      <c r="U13" s="8" t="str">
        <f>IFERROR(IF(ISBLANK([2]DFsmonkeyCompl!W14),"",[2]DFsmonkeyCompl!W14*DFanalysis4[[#This Row],[EUR]]),"")</f>
        <v/>
      </c>
      <c r="V13" s="8" t="str">
        <f>IFERROR(IF(ISBLANK([2]DFsmonkeyCompl!X14),"",[2]DFsmonkeyCompl!X14*DFanalysis4[[#This Row],[EUR]]),"")</f>
        <v/>
      </c>
      <c r="W13" s="8" t="str">
        <f>IFERROR(IF(ISBLANK([2]DFsmonkeyCompl!Y14),"",[2]DFsmonkeyCompl!Y14*DFanalysis4[[#This Row],[EUR]]),"")</f>
        <v/>
      </c>
      <c r="X13" s="8" t="str">
        <f>IFERROR(IF(ISBLANK([2]DFsmonkeyCompl!Z14),"",[2]DFsmonkeyCompl!Z14*DFanalysis4[[#This Row],[EUR]]),"")</f>
        <v/>
      </c>
      <c r="Y13" s="8" t="str">
        <f>IFERROR(IF(ISBLANK([2]DFsmonkeyCompl!AA14),"",[2]DFsmonkeyCompl!AA14*DFanalysis4[[#This Row],[EUR]]),"")</f>
        <v/>
      </c>
      <c r="Z13" s="8" t="str">
        <f>IFERROR(IF(ISBLANK([2]DFsmonkeyCompl!AB14),"",[2]DFsmonkeyCompl!AB14*DFanalysis4[[#This Row],[EUR]]),"")</f>
        <v/>
      </c>
      <c r="AA13" s="8" t="str">
        <f>IF(ISBLANK([2]DFsmonkeyCompl!AC14),"",[2]DFsmonkeyCompl!AC14)</f>
        <v/>
      </c>
      <c r="AB13" s="8">
        <f>IF(ISBLANK([2]DFsmonkeyCompl!AD14),"",[2]DFsmonkeyCompl!AD14)</f>
        <v>100</v>
      </c>
      <c r="AC13" s="8" t="str">
        <f>IF(ISBLANK([2]DFsmonkeyCompl!AE14),"",[2]DFsmonkeyCompl!AE14)</f>
        <v/>
      </c>
      <c r="AD13" s="8" t="str">
        <f>IF(ISBLANK([2]DFsmonkeyCompl!AF14),"",[2]DFsmonkeyCompl!AF14)</f>
        <v/>
      </c>
      <c r="AE13" s="8" t="str">
        <f>IF(ISBLANK([2]DFsmonkeyCompl!AG14),"",[2]DFsmonkeyCompl!AG14)</f>
        <v>Increase</v>
      </c>
      <c r="AF13" s="8" t="str">
        <f>IF(ISBLANK([2]DFsmonkeyCompl!AH14),"",[2]DFsmonkeyCompl!AH14)</f>
        <v>Yes</v>
      </c>
      <c r="AG13" s="8" t="str">
        <f>IFERROR(INDEX([2]DebtFundUniverse!$B$2:$EU$700,MATCH($C13,[2]DebtFundUniverse!$A$2:$A$700,0),MATCH($AG$1,[2]DebtFundUniverse!$B$1:$EU$1,0)),"")</f>
        <v/>
      </c>
      <c r="AH13" s="36" t="str">
        <f>IFERROR(INDEX([2]DebtFundUniverse!$B$2:$EU$700,MATCH($C13,[2]DebtFundUniverse!$A$2:$A$700,0),MATCH($AH$1,[2]DebtFundUniverse!$B$1:$EU$1,0)),"")</f>
        <v/>
      </c>
    </row>
    <row r="14" spans="1:34" x14ac:dyDescent="0.2">
      <c r="A14" s="5" t="str">
        <f>IF(OR(ISTEXT([2]DFsmonkeyCompl!J15),ISNUMBER([2]DFsmonkeyCompl!J15)),[2]DFsmonkeyCompl!J15,"")</f>
        <v xml:space="preserve">DRC Capital </v>
      </c>
      <c r="B14" s="6" t="str">
        <f>IF(OR(ISTEXT([2]DFsmonkeyCompl!K15),ISNUMBER([2]DFsmonkeyCompl!K15)),[2]DFsmonkeyCompl!K15,"")</f>
        <v>DRC European Real Estate Senior Debt 4</v>
      </c>
      <c r="C14" s="7" cm="1">
        <f t="array" ref="C14">INDEX([2]DebtFundUniverse!$A$85:$A$95,MATCH(B14,[2]DebtFundUniverse!$B$85:$B$95,0),0)</f>
        <v>105974</v>
      </c>
      <c r="D14" s="6" t="str">
        <f>INDEX([2]DebtFundUniverse!$B$2:$EU$200,MATCH(DFanalysis4[[#This Row],[ID]],[2]DebtFundUniverse!$A$2:$A$200,0),MATCH(DFanalysis4[[#Headers],[Loan Strategy]],[2]DebtFundUniverse!$B$1:$EU$1,0))</f>
        <v>Whole Loans</v>
      </c>
      <c r="E14" s="6" t="str">
        <f>INDEX([2]DebtFundUniverse!$B$2:$EU$200,MATCH(DFanalysis4[[#This Row],[ID]],[2]DebtFundUniverse!$A$2:$A$200,0),MATCH(DFanalysis4[[#Headers],[Target Regional Strategy]],[2]DebtFundUniverse!$B$1:$EU$1,0))</f>
        <v>Europe</v>
      </c>
      <c r="F14" s="6" t="str">
        <f>INDEX([2]DebtFundUniverse!$B$2:$EU$200,MATCH(DFanalysis4[[#This Row],[ID]],[2]DebtFundUniverse!$A$2:$A$200,0),MATCH(DFanalysis4[[#Headers],[Vehicle Structure]],[2]DebtFundUniverse!$B$1:$EU$1,0))</f>
        <v>Closed end</v>
      </c>
      <c r="G14" s="6">
        <f>INDEX([2]DebtFundUniverse!$B$2:$EU$200,MATCH(DFanalysis4[[#This Row],[ID]],[2]DebtFundUniverse!$A$2:$A$200,0),MATCH(DFanalysis4[[#Headers],[year of first closing]],[2]DebtFundUniverse!$B$1:$EU$1,0))</f>
        <v>2019</v>
      </c>
      <c r="H14" s="6" t="str">
        <f>IF(ISBLANK([2]DFsmonkeyCompl!L15),"",[2]DFsmonkeyCompl!L15)</f>
        <v>Yes</v>
      </c>
      <c r="I14" s="6" t="str">
        <f>IF(ISBLANK([2]DFsmonkeyCompl!M15),"",[2]DFsmonkeyCompl!M15)</f>
        <v/>
      </c>
      <c r="J14" s="6" t="str">
        <f>IF(ISBLANK([2]DFsmonkeyCompl!N15),"",[2]DFsmonkeyCompl!N15)</f>
        <v/>
      </c>
      <c r="K14" s="6" t="str">
        <f>INDEX([2]DebtFundUniverse!$B$2:$EU$200,MATCH(DFanalysis4[[#This Row],[ID]],[2]DebtFundUniverse!$A$2:$A$200,0),MATCH(DFanalysis4[[#Headers],[Currency of Reporting]],[2]DebtFundUniverse!$B$1:$EU$1,0))</f>
        <v>GBP</v>
      </c>
      <c r="L14" s="8">
        <f>VLOOKUP(DFanalysis4[[#This Row],[Currency of Reporting]],'[2]Xrate31.12.20'!$K$1:$M$25,3,0)</f>
        <v>1.1130927885999999</v>
      </c>
      <c r="M14" s="8">
        <f>IFERROR(IF(ISBLANK([2]DFsmonkeyCompl!O15),"",[2]DFsmonkeyCompl!O15*DFanalysis4[[#This Row],[EUR]]),"")</f>
        <v>111.30927885999999</v>
      </c>
      <c r="N14" s="8">
        <f>IFERROR(IF(ISBLANK([2]DFsmonkeyCompl!P15),"",[2]DFsmonkeyCompl!P15*DFanalysis4[[#This Row],[EUR]]),"")</f>
        <v>111.30927885999999</v>
      </c>
      <c r="O14" s="8" t="str">
        <f>IFERROR(IF(ISBLANK([2]DFsmonkeyCompl!Q15),"",[2]DFsmonkeyCompl!Q15*DFanalysis4[[#This Row],[EUR]]),"")</f>
        <v/>
      </c>
      <c r="P14" s="8" t="str">
        <f>IFERROR(IF(ISBLANK([2]DFsmonkeyCompl!R15),"",[2]DFsmonkeyCompl!R15*DFanalysis4[[#This Row],[EUR]]),"")</f>
        <v/>
      </c>
      <c r="Q14" s="8" t="str">
        <f>IFERROR(IF(ISBLANK([2]DFsmonkeyCompl!S15),"",[2]DFsmonkeyCompl!S15*DFanalysis4[[#This Row],[EUR]]),"")</f>
        <v/>
      </c>
      <c r="R14" s="8" t="str">
        <f>IFERROR(IF(ISBLANK([2]DFsmonkeyCompl!T15),"",[2]DFsmonkeyCompl!T15*DFanalysis4[[#This Row],[EUR]]),"")</f>
        <v/>
      </c>
      <c r="S14" s="8" t="str">
        <f>IFERROR(IF(ISBLANK([2]DFsmonkeyCompl!U15),"",[2]DFsmonkeyCompl!U15*DFanalysis4[[#This Row],[EUR]]),"")</f>
        <v/>
      </c>
      <c r="T14" s="8" t="str">
        <f>IFERROR(IF(ISBLANK([2]DFsmonkeyCompl!V15),"",[2]DFsmonkeyCompl!V15*DFanalysis4[[#This Row],[EUR]]),"")</f>
        <v/>
      </c>
      <c r="U14" s="8" t="str">
        <f>IFERROR(IF(ISBLANK([2]DFsmonkeyCompl!W15),"",[2]DFsmonkeyCompl!W15*DFanalysis4[[#This Row],[EUR]]),"")</f>
        <v/>
      </c>
      <c r="V14" s="8">
        <f>IFERROR(IF(ISBLANK([2]DFsmonkeyCompl!X15),"",[2]DFsmonkeyCompl!X15*DFanalysis4[[#This Row],[EUR]]),"")</f>
        <v>111.30927885999999</v>
      </c>
      <c r="W14" s="8" t="str">
        <f>IFERROR(IF(ISBLANK([2]DFsmonkeyCompl!Y15),"",[2]DFsmonkeyCompl!Y15*DFanalysis4[[#This Row],[EUR]]),"")</f>
        <v/>
      </c>
      <c r="X14" s="8" t="str">
        <f>IFERROR(IF(ISBLANK([2]DFsmonkeyCompl!Z15),"",[2]DFsmonkeyCompl!Z15*DFanalysis4[[#This Row],[EUR]]),"")</f>
        <v/>
      </c>
      <c r="Y14" s="8" t="str">
        <f>IFERROR(IF(ISBLANK([2]DFsmonkeyCompl!AA15),"",[2]DFsmonkeyCompl!AA15*DFanalysis4[[#This Row],[EUR]]),"")</f>
        <v/>
      </c>
      <c r="Z14" s="8" t="str">
        <f>IFERROR(IF(ISBLANK([2]DFsmonkeyCompl!AB15),"",[2]DFsmonkeyCompl!AB15*DFanalysis4[[#This Row],[EUR]]),"")</f>
        <v/>
      </c>
      <c r="AA14" s="8" t="str">
        <f>IF(ISBLANK([2]DFsmonkeyCompl!AC15),"",[2]DFsmonkeyCompl!AC15)</f>
        <v/>
      </c>
      <c r="AB14" s="8" t="str">
        <f>IF(ISBLANK([2]DFsmonkeyCompl!AD15),"",[2]DFsmonkeyCompl!AD15)</f>
        <v/>
      </c>
      <c r="AC14" s="8">
        <f>IF(ISBLANK([2]DFsmonkeyCompl!AE15),"",[2]DFsmonkeyCompl!AE15)</f>
        <v>100</v>
      </c>
      <c r="AD14" s="8" t="str">
        <f>IF(ISBLANK([2]DFsmonkeyCompl!AF15),"",[2]DFsmonkeyCompl!AF15)</f>
        <v/>
      </c>
      <c r="AE14" s="8" t="str">
        <f>IF(ISBLANK([2]DFsmonkeyCompl!AG15),"",[2]DFsmonkeyCompl!AG15)</f>
        <v>Increase</v>
      </c>
      <c r="AF14" s="8" t="str">
        <f>IF(ISBLANK([2]DFsmonkeyCompl!AH15),"",[2]DFsmonkeyCompl!AH15)</f>
        <v>Yes</v>
      </c>
      <c r="AG14" s="8">
        <f>IFERROR(INDEX([2]DebtFundUniverse!$B$2:$EU$700,MATCH($C14,[2]DebtFundUniverse!$A$2:$A$700,0),MATCH($AG$1,[2]DebtFundUniverse!$B$1:$EU$1,0)),"")</f>
        <v>558460000</v>
      </c>
      <c r="AH14" s="36">
        <f>IFERROR(INDEX([2]DebtFundUniverse!$B$2:$EU$700,MATCH($C14,[2]DebtFundUniverse!$A$2:$A$700,0),MATCH($AH$1,[2]DebtFundUniverse!$B$1:$EU$1,0)),"")</f>
        <v>0</v>
      </c>
    </row>
    <row r="15" spans="1:34" x14ac:dyDescent="0.2">
      <c r="A15" s="5" t="str">
        <f>IF(OR(ISTEXT([2]DFsmonkeyCompl!J16),ISNUMBER([2]DFsmonkeyCompl!J16)),[2]DFsmonkeyCompl!J16,"")</f>
        <v xml:space="preserve">DRC Capital </v>
      </c>
      <c r="B15" s="6" t="str">
        <f>IF(OR(ISTEXT([2]DFsmonkeyCompl!K16),ISNUMBER([2]DFsmonkeyCompl!K16)),[2]DFsmonkeyCompl!K16,"")</f>
        <v>DRC UK Whole Loan Fund II</v>
      </c>
      <c r="C15" s="7" cm="1">
        <f t="array" ref="C15">INDEX([2]DebtFundUniverse!$A$85:$A$95,MATCH(B15,[2]DebtFundUniverse!$B$85:$B$95,0),0)</f>
        <v>120207</v>
      </c>
      <c r="D15" s="6" t="str">
        <f>INDEX([2]DebtFundUniverse!$B$2:$EU$200,MATCH(DFanalysis4[[#This Row],[ID]],[2]DebtFundUniverse!$A$2:$A$200,0),MATCH(DFanalysis4[[#Headers],[Loan Strategy]],[2]DebtFundUniverse!$B$1:$EU$1,0))</f>
        <v>Whole Loans</v>
      </c>
      <c r="E15" s="6" t="str">
        <f>INDEX([2]DebtFundUniverse!$B$2:$EU$200,MATCH(DFanalysis4[[#This Row],[ID]],[2]DebtFundUniverse!$A$2:$A$200,0),MATCH(DFanalysis4[[#Headers],[Target Regional Strategy]],[2]DebtFundUniverse!$B$1:$EU$1,0))</f>
        <v>Europe</v>
      </c>
      <c r="F15" s="6" t="str">
        <f>INDEX([2]DebtFundUniverse!$B$2:$EU$200,MATCH(DFanalysis4[[#This Row],[ID]],[2]DebtFundUniverse!$A$2:$A$200,0),MATCH(DFanalysis4[[#Headers],[Vehicle Structure]],[2]DebtFundUniverse!$B$1:$EU$1,0))</f>
        <v>Closed end</v>
      </c>
      <c r="G15" s="6">
        <f>INDEX([2]DebtFundUniverse!$B$2:$EU$200,MATCH(DFanalysis4[[#This Row],[ID]],[2]DebtFundUniverse!$A$2:$A$200,0),MATCH(DFanalysis4[[#Headers],[year of first closing]],[2]DebtFundUniverse!$B$1:$EU$1,0))</f>
        <v>2020</v>
      </c>
      <c r="H15" s="6" t="str">
        <f>IF(ISBLANK([2]DFsmonkeyCompl!L16),"",[2]DFsmonkeyCompl!L16)</f>
        <v>Yes</v>
      </c>
      <c r="I15" s="6" t="str">
        <f>IF(ISBLANK([2]DFsmonkeyCompl!M16),"",[2]DFsmonkeyCompl!M16)</f>
        <v/>
      </c>
      <c r="J15" s="6" t="str">
        <f>IF(ISBLANK([2]DFsmonkeyCompl!N16),"",[2]DFsmonkeyCompl!N16)</f>
        <v/>
      </c>
      <c r="K15" s="6" t="str">
        <f>INDEX([2]DebtFundUniverse!$B$2:$EU$200,MATCH(DFanalysis4[[#This Row],[ID]],[2]DebtFundUniverse!$A$2:$A$200,0),MATCH(DFanalysis4[[#Headers],[Currency of Reporting]],[2]DebtFundUniverse!$B$1:$EU$1,0))</f>
        <v>GBP</v>
      </c>
      <c r="L15" s="8">
        <f>VLOOKUP(DFanalysis4[[#This Row],[Currency of Reporting]],'[2]Xrate31.12.20'!$K$1:$M$25,3,0)</f>
        <v>1.1130927885999999</v>
      </c>
      <c r="M15" s="8">
        <f>IFERROR(IF(ISBLANK([2]DFsmonkeyCompl!O16),"",[2]DFsmonkeyCompl!O16*DFanalysis4[[#This Row],[EUR]]),"")</f>
        <v>161.39845434699998</v>
      </c>
      <c r="N15" s="8">
        <f>IFERROR(IF(ISBLANK([2]DFsmonkeyCompl!P16),"",[2]DFsmonkeyCompl!P16*DFanalysis4[[#This Row],[EUR]]),"")</f>
        <v>161.39845434699998</v>
      </c>
      <c r="O15" s="8" t="str">
        <f>IFERROR(IF(ISBLANK([2]DFsmonkeyCompl!Q16),"",[2]DFsmonkeyCompl!Q16*DFanalysis4[[#This Row],[EUR]]),"")</f>
        <v/>
      </c>
      <c r="P15" s="8" t="str">
        <f>IFERROR(IF(ISBLANK([2]DFsmonkeyCompl!R16),"",[2]DFsmonkeyCompl!R16*DFanalysis4[[#This Row],[EUR]]),"")</f>
        <v/>
      </c>
      <c r="Q15" s="8" t="str">
        <f>IFERROR(IF(ISBLANK([2]DFsmonkeyCompl!S16),"",[2]DFsmonkeyCompl!S16*DFanalysis4[[#This Row],[EUR]]),"")</f>
        <v/>
      </c>
      <c r="R15" s="8" t="str">
        <f>IFERROR(IF(ISBLANK([2]DFsmonkeyCompl!T16),"",[2]DFsmonkeyCompl!T16*DFanalysis4[[#This Row],[EUR]]),"")</f>
        <v/>
      </c>
      <c r="S15" s="8" t="str">
        <f>IFERROR(IF(ISBLANK([2]DFsmonkeyCompl!U16),"",[2]DFsmonkeyCompl!U16*DFanalysis4[[#This Row],[EUR]]),"")</f>
        <v/>
      </c>
      <c r="T15" s="8" t="str">
        <f>IFERROR(IF(ISBLANK([2]DFsmonkeyCompl!V16),"",[2]DFsmonkeyCompl!V16*DFanalysis4[[#This Row],[EUR]]),"")</f>
        <v/>
      </c>
      <c r="U15" s="8" t="str">
        <f>IFERROR(IF(ISBLANK([2]DFsmonkeyCompl!W16),"",[2]DFsmonkeyCompl!W16*DFanalysis4[[#This Row],[EUR]]),"")</f>
        <v/>
      </c>
      <c r="V15" s="8">
        <f>IFERROR(IF(ISBLANK([2]DFsmonkeyCompl!X16),"",[2]DFsmonkeyCompl!X16*DFanalysis4[[#This Row],[EUR]]),"")</f>
        <v>161.39845434699998</v>
      </c>
      <c r="W15" s="8" t="str">
        <f>IFERROR(IF(ISBLANK([2]DFsmonkeyCompl!Y16),"",[2]DFsmonkeyCompl!Y16*DFanalysis4[[#This Row],[EUR]]),"")</f>
        <v/>
      </c>
      <c r="X15" s="8" t="str">
        <f>IFERROR(IF(ISBLANK([2]DFsmonkeyCompl!Z16),"",[2]DFsmonkeyCompl!Z16*DFanalysis4[[#This Row],[EUR]]),"")</f>
        <v/>
      </c>
      <c r="Y15" s="8" t="str">
        <f>IFERROR(IF(ISBLANK([2]DFsmonkeyCompl!AA16),"",[2]DFsmonkeyCompl!AA16*DFanalysis4[[#This Row],[EUR]]),"")</f>
        <v/>
      </c>
      <c r="Z15" s="8" t="str">
        <f>IFERROR(IF(ISBLANK([2]DFsmonkeyCompl!AB16),"",[2]DFsmonkeyCompl!AB16*DFanalysis4[[#This Row],[EUR]]),"")</f>
        <v/>
      </c>
      <c r="AA15" s="8" t="str">
        <f>IF(ISBLANK([2]DFsmonkeyCompl!AC16),"",[2]DFsmonkeyCompl!AC16)</f>
        <v/>
      </c>
      <c r="AB15" s="8" t="str">
        <f>IF(ISBLANK([2]DFsmonkeyCompl!AD16),"",[2]DFsmonkeyCompl!AD16)</f>
        <v/>
      </c>
      <c r="AC15" s="8">
        <f>IF(ISBLANK([2]DFsmonkeyCompl!AE16),"",[2]DFsmonkeyCompl!AE16)</f>
        <v>100</v>
      </c>
      <c r="AD15" s="8" t="str">
        <f>IF(ISBLANK([2]DFsmonkeyCompl!AF16),"",[2]DFsmonkeyCompl!AF16)</f>
        <v/>
      </c>
      <c r="AE15" s="8" t="str">
        <f>IF(ISBLANK([2]DFsmonkeyCompl!AG16),"",[2]DFsmonkeyCompl!AG16)</f>
        <v>Increase</v>
      </c>
      <c r="AF15" s="8" t="str">
        <f>IF(ISBLANK([2]DFsmonkeyCompl!AH16),"",[2]DFsmonkeyCompl!AH16)</f>
        <v>Yes</v>
      </c>
      <c r="AG15" s="8">
        <f>IFERROR(INDEX([2]DebtFundUniverse!$B$2:$EU$700,MATCH($C15,[2]DebtFundUniverse!$A$2:$A$700,0),MATCH($AG$1,[2]DebtFundUniverse!$B$1:$EU$1,0)),"")</f>
        <v>555060000</v>
      </c>
      <c r="AH15" s="36">
        <f>IFERROR(INDEX([2]DebtFundUniverse!$B$2:$EU$700,MATCH($C15,[2]DebtFundUniverse!$A$2:$A$700,0),MATCH($AH$1,[2]DebtFundUniverse!$B$1:$EU$1,0)),"")</f>
        <v>0</v>
      </c>
    </row>
    <row r="16" spans="1:34" x14ac:dyDescent="0.2">
      <c r="A16" s="5" t="str">
        <f>IF(OR(ISTEXT([2]DFsmonkeyCompl!J17),ISNUMBER([2]DFsmonkeyCompl!J17)),[2]DFsmonkeyCompl!J17,"")</f>
        <v xml:space="preserve">DRC Capital </v>
      </c>
      <c r="B16" s="6" t="str">
        <f>IF(OR(ISTEXT([2]DFsmonkeyCompl!K17),ISNUMBER([2]DFsmonkeyCompl!K17)),[2]DFsmonkeyCompl!K17,"")</f>
        <v>DRC European Real Estate Debt Fund IV</v>
      </c>
      <c r="C16" s="7">
        <v>19301</v>
      </c>
      <c r="D16" s="6" t="str">
        <f>INDEX([2]DebtFundUniverse!$B$2:$EU$200,MATCH(DFanalysis4[[#This Row],[ID]],[2]DebtFundUniverse!$A$2:$A$200,0),MATCH(DFanalysis4[[#Headers],[Loan Strategy]],[2]DebtFundUniverse!$B$1:$EU$1,0))</f>
        <v>Mixed: Senior+Subordinated</v>
      </c>
      <c r="E16" s="6" t="str">
        <f>INDEX([2]DebtFundUniverse!$B$2:$EU$200,MATCH(DFanalysis4[[#This Row],[ID]],[2]DebtFundUniverse!$A$2:$A$200,0),MATCH(DFanalysis4[[#Headers],[Target Regional Strategy]],[2]DebtFundUniverse!$B$1:$EU$1,0))</f>
        <v>Europe</v>
      </c>
      <c r="F16" s="6" t="str">
        <f>INDEX([2]DebtFundUniverse!$B$2:$EU$200,MATCH(DFanalysis4[[#This Row],[ID]],[2]DebtFundUniverse!$A$2:$A$200,0),MATCH(DFanalysis4[[#Headers],[Vehicle Structure]],[2]DebtFundUniverse!$B$1:$EU$1,0))</f>
        <v>Closed end</v>
      </c>
      <c r="G16" s="6">
        <f>INDEX([2]DebtFundUniverse!$B$2:$EU$200,MATCH(DFanalysis4[[#This Row],[ID]],[2]DebtFundUniverse!$A$2:$A$200,0),MATCH(DFanalysis4[[#Headers],[year of first closing]],[2]DebtFundUniverse!$B$1:$EU$1,0))</f>
        <v>2019</v>
      </c>
      <c r="H16" s="6" t="str">
        <f>IF(ISBLANK([2]DFsmonkeyCompl!L17),"",[2]DFsmonkeyCompl!L17)</f>
        <v>Yes</v>
      </c>
      <c r="I16" s="6" t="str">
        <f>IF(ISBLANK([2]DFsmonkeyCompl!M17),"",[2]DFsmonkeyCompl!M17)</f>
        <v/>
      </c>
      <c r="J16" s="6" t="str">
        <f>IF(ISBLANK([2]DFsmonkeyCompl!N17),"",[2]DFsmonkeyCompl!N17)</f>
        <v/>
      </c>
      <c r="K16" s="6" t="str">
        <f>INDEX([2]DebtFundUniverse!$B$2:$EU$200,MATCH(DFanalysis4[[#This Row],[ID]],[2]DebtFundUniverse!$A$2:$A$200,0),MATCH(DFanalysis4[[#Headers],[Currency of Reporting]],[2]DebtFundUniverse!$B$1:$EU$1,0))</f>
        <v>GBP</v>
      </c>
      <c r="L16" s="8">
        <f>VLOOKUP(DFanalysis4[[#This Row],[Currency of Reporting]],'[2]Xrate31.12.20'!$K$1:$M$25,3,0)</f>
        <v>1.1130927885999999</v>
      </c>
      <c r="M16" s="8">
        <f>IFERROR(IF(ISBLANK([2]DFsmonkeyCompl!O17),"",[2]DFsmonkeyCompl!O17*DFanalysis4[[#This Row],[EUR]]),"")</f>
        <v>115.76165001439999</v>
      </c>
      <c r="N16" s="8">
        <f>IFERROR(IF(ISBLANK([2]DFsmonkeyCompl!P17),"",[2]DFsmonkeyCompl!P17*DFanalysis4[[#This Row],[EUR]]),"")</f>
        <v>87.934330299399988</v>
      </c>
      <c r="O16" s="8">
        <f>IFERROR(IF(ISBLANK([2]DFsmonkeyCompl!Q17),"",[2]DFsmonkeyCompl!Q17*DFanalysis4[[#This Row],[EUR]]),"")</f>
        <v>27.827319714999998</v>
      </c>
      <c r="P16" s="8" t="str">
        <f>IFERROR(IF(ISBLANK([2]DFsmonkeyCompl!R17),"",[2]DFsmonkeyCompl!R17*DFanalysis4[[#This Row],[EUR]]),"")</f>
        <v/>
      </c>
      <c r="Q16" s="8" t="str">
        <f>IFERROR(IF(ISBLANK([2]DFsmonkeyCompl!S17),"",[2]DFsmonkeyCompl!S17*DFanalysis4[[#This Row],[EUR]]),"")</f>
        <v/>
      </c>
      <c r="R16" s="8" t="str">
        <f>IFERROR(IF(ISBLANK([2]DFsmonkeyCompl!T17),"",[2]DFsmonkeyCompl!T17*DFanalysis4[[#This Row],[EUR]]),"")</f>
        <v/>
      </c>
      <c r="S16" s="8" t="str">
        <f>IFERROR(IF(ISBLANK([2]DFsmonkeyCompl!U17),"",[2]DFsmonkeyCompl!U17*DFanalysis4[[#This Row],[EUR]]),"")</f>
        <v/>
      </c>
      <c r="T16" s="8" t="str">
        <f>IFERROR(IF(ISBLANK([2]DFsmonkeyCompl!V17),"",[2]DFsmonkeyCompl!V17*DFanalysis4[[#This Row],[EUR]]),"")</f>
        <v/>
      </c>
      <c r="U16" s="8" t="str">
        <f>IFERROR(IF(ISBLANK([2]DFsmonkeyCompl!W17),"",[2]DFsmonkeyCompl!W17*DFanalysis4[[#This Row],[EUR]]),"")</f>
        <v/>
      </c>
      <c r="V16" s="8">
        <f>IFERROR(IF(ISBLANK([2]DFsmonkeyCompl!X17),"",[2]DFsmonkeyCompl!X17*DFanalysis4[[#This Row],[EUR]]),"")</f>
        <v>30.053505292199997</v>
      </c>
      <c r="W16" s="8">
        <f>IFERROR(IF(ISBLANK([2]DFsmonkeyCompl!Y17),"",[2]DFsmonkeyCompl!Y17*DFanalysis4[[#This Row],[EUR]]),"")</f>
        <v>85.708144722199989</v>
      </c>
      <c r="X16" s="8" t="str">
        <f>IFERROR(IF(ISBLANK([2]DFsmonkeyCompl!Z17),"",[2]DFsmonkeyCompl!Z17*DFanalysis4[[#This Row],[EUR]]),"")</f>
        <v/>
      </c>
      <c r="Y16" s="8" t="str">
        <f>IFERROR(IF(ISBLANK([2]DFsmonkeyCompl!AA17),"",[2]DFsmonkeyCompl!AA17*DFanalysis4[[#This Row],[EUR]]),"")</f>
        <v/>
      </c>
      <c r="Z16" s="8" t="str">
        <f>IFERROR(IF(ISBLANK([2]DFsmonkeyCompl!AB17),"",[2]DFsmonkeyCompl!AB17*DFanalysis4[[#This Row],[EUR]]),"")</f>
        <v/>
      </c>
      <c r="AA16" s="8">
        <f>IF(ISBLANK([2]DFsmonkeyCompl!AC17),"",[2]DFsmonkeyCompl!AC17)</f>
        <v>74</v>
      </c>
      <c r="AB16" s="8" t="str">
        <f>IF(ISBLANK([2]DFsmonkeyCompl!AD17),"",[2]DFsmonkeyCompl!AD17)</f>
        <v/>
      </c>
      <c r="AC16" s="8">
        <f>IF(ISBLANK([2]DFsmonkeyCompl!AE17),"",[2]DFsmonkeyCompl!AE17)</f>
        <v>26</v>
      </c>
      <c r="AD16" s="8" t="str">
        <f>IF(ISBLANK([2]DFsmonkeyCompl!AF17),"",[2]DFsmonkeyCompl!AF17)</f>
        <v/>
      </c>
      <c r="AE16" s="8" t="str">
        <f>IF(ISBLANK([2]DFsmonkeyCompl!AG17),"",[2]DFsmonkeyCompl!AG17)</f>
        <v>Increase</v>
      </c>
      <c r="AF16" s="8" t="str">
        <f>IF(ISBLANK([2]DFsmonkeyCompl!AH17),"",[2]DFsmonkeyCompl!AH17)</f>
        <v>Yes</v>
      </c>
      <c r="AG16" s="8">
        <f>IFERROR(INDEX([2]DebtFundUniverse!$B$2:$EU$700,MATCH($C16,[2]DebtFundUniverse!$A$2:$A$700,0),MATCH($AG$1,[2]DebtFundUniverse!$B$1:$EU$1,0)),"")</f>
        <v>500000000</v>
      </c>
      <c r="AH16" s="36">
        <f>IFERROR(INDEX([2]DebtFundUniverse!$B$2:$EU$700,MATCH($C16,[2]DebtFundUniverse!$A$2:$A$700,0),MATCH($AH$1,[2]DebtFundUniverse!$B$1:$EU$1,0)),"")</f>
        <v>750000000</v>
      </c>
    </row>
    <row r="17" spans="1:34" x14ac:dyDescent="0.2">
      <c r="A17" s="5" t="str">
        <f>IF(OR(ISTEXT([2]DFsmonkeyCompl!J18),ISNUMBER([2]DFsmonkeyCompl!J18)),[2]DFsmonkeyCompl!J18,"")</f>
        <v>Pluto Finance</v>
      </c>
      <c r="B17" s="6" t="str">
        <f>IF(OR(ISTEXT([2]DFsmonkeyCompl!K18),ISNUMBER([2]DFsmonkeyCompl!K18)),[2]DFsmonkeyCompl!K18,"")</f>
        <v>Fund V</v>
      </c>
      <c r="C17" s="7">
        <v>19296</v>
      </c>
      <c r="D17" s="6" t="str">
        <f>INDEX([2]DebtFundUniverse!$B$2:$EU$200,MATCH(DFanalysis4[[#This Row],[ID]],[2]DebtFundUniverse!$A$2:$A$200,0),MATCH(DFanalysis4[[#Headers],[Loan Strategy]],[2]DebtFundUniverse!$B$1:$EU$1,0))</f>
        <v>Senior</v>
      </c>
      <c r="E17" s="6" t="str">
        <f>INDEX([2]DebtFundUniverse!$B$2:$EU$200,MATCH(DFanalysis4[[#This Row],[ID]],[2]DebtFundUniverse!$A$2:$A$200,0),MATCH(DFanalysis4[[#Headers],[Target Regional Strategy]],[2]DebtFundUniverse!$B$1:$EU$1,0))</f>
        <v>Europe</v>
      </c>
      <c r="F17" s="6" t="str">
        <f>INDEX([2]DebtFundUniverse!$B$2:$EU$200,MATCH(DFanalysis4[[#This Row],[ID]],[2]DebtFundUniverse!$A$2:$A$200,0),MATCH(DFanalysis4[[#Headers],[Vehicle Structure]],[2]DebtFundUniverse!$B$1:$EU$1,0))</f>
        <v>Open end</v>
      </c>
      <c r="G17" s="6">
        <f>INDEX([2]DebtFundUniverse!$B$2:$EU$200,MATCH(DFanalysis4[[#This Row],[ID]],[2]DebtFundUniverse!$A$2:$A$200,0),MATCH(DFanalysis4[[#Headers],[year of first closing]],[2]DebtFundUniverse!$B$1:$EU$1,0))</f>
        <v>2017</v>
      </c>
      <c r="H17" s="6" t="str">
        <f>IF(ISBLANK([2]DFsmonkeyCompl!L18),"",[2]DFsmonkeyCompl!L18)</f>
        <v>Yes</v>
      </c>
      <c r="I17" s="6" t="str">
        <f>IF(ISBLANK([2]DFsmonkeyCompl!M18),"",[2]DFsmonkeyCompl!M18)</f>
        <v/>
      </c>
      <c r="J17" s="6" t="str">
        <f>IF(ISBLANK([2]DFsmonkeyCompl!N18),"",[2]DFsmonkeyCompl!N18)</f>
        <v/>
      </c>
      <c r="K17" s="6" t="str">
        <f>INDEX([2]DebtFundUniverse!$B$2:$EU$200,MATCH(DFanalysis4[[#This Row],[ID]],[2]DebtFundUniverse!$A$2:$A$200,0),MATCH(DFanalysis4[[#Headers],[Currency of Reporting]],[2]DebtFundUniverse!$B$1:$EU$1,0))</f>
        <v>GBP</v>
      </c>
      <c r="L17" s="8">
        <f>VLOOKUP(DFanalysis4[[#This Row],[Currency of Reporting]],'[2]Xrate31.12.20'!$K$1:$M$25,3,0)</f>
        <v>1.1130927885999999</v>
      </c>
      <c r="M17" s="8">
        <f>IFERROR(IF(ISBLANK([2]DFsmonkeyCompl!O18),"",[2]DFsmonkeyCompl!O18*DFanalysis4[[#This Row],[EUR]]),"")</f>
        <v>53.428453852799997</v>
      </c>
      <c r="N17" s="8">
        <f>IFERROR(IF(ISBLANK([2]DFsmonkeyCompl!P18),"",[2]DFsmonkeyCompl!P18*DFanalysis4[[#This Row],[EUR]]),"")</f>
        <v>11.130927885999998</v>
      </c>
      <c r="O17" s="8">
        <f>IFERROR(IF(ISBLANK([2]DFsmonkeyCompl!Q18),"",[2]DFsmonkeyCompl!Q18*DFanalysis4[[#This Row],[EUR]]),"")</f>
        <v>31.1665980808</v>
      </c>
      <c r="P17" s="8" t="str">
        <f>IFERROR(IF(ISBLANK([2]DFsmonkeyCompl!R18),"",[2]DFsmonkeyCompl!R18*DFanalysis4[[#This Row],[EUR]]),"")</f>
        <v/>
      </c>
      <c r="Q17" s="8" t="str">
        <f>IFERROR(IF(ISBLANK([2]DFsmonkeyCompl!S18),"",[2]DFsmonkeyCompl!S18*DFanalysis4[[#This Row],[EUR]]),"")</f>
        <v/>
      </c>
      <c r="R17" s="8" t="str">
        <f>IFERROR(IF(ISBLANK([2]DFsmonkeyCompl!T18),"",[2]DFsmonkeyCompl!T18*DFanalysis4[[#This Row],[EUR]]),"")</f>
        <v/>
      </c>
      <c r="S17" s="8">
        <f>IFERROR(IF(ISBLANK([2]DFsmonkeyCompl!U18),"",[2]DFsmonkeyCompl!U18*DFanalysis4[[#This Row],[EUR]]),"")</f>
        <v>11.130927885999998</v>
      </c>
      <c r="T17" s="8" t="str">
        <f>IFERROR(IF(ISBLANK([2]DFsmonkeyCompl!V18),"",[2]DFsmonkeyCompl!V18*DFanalysis4[[#This Row],[EUR]]),"")</f>
        <v/>
      </c>
      <c r="U17" s="8" t="str">
        <f>IFERROR(IF(ISBLANK([2]DFsmonkeyCompl!W18),"",[2]DFsmonkeyCompl!W18*DFanalysis4[[#This Row],[EUR]]),"")</f>
        <v/>
      </c>
      <c r="V17" s="8">
        <f>IFERROR(IF(ISBLANK([2]DFsmonkeyCompl!X18),"",[2]DFsmonkeyCompl!X18*DFanalysis4[[#This Row],[EUR]]),"")</f>
        <v>53.428453852799997</v>
      </c>
      <c r="W17" s="8" t="str">
        <f>IFERROR(IF(ISBLANK([2]DFsmonkeyCompl!Y18),"",[2]DFsmonkeyCompl!Y18*DFanalysis4[[#This Row],[EUR]]),"")</f>
        <v/>
      </c>
      <c r="X17" s="8" t="str">
        <f>IFERROR(IF(ISBLANK([2]DFsmonkeyCompl!Z18),"",[2]DFsmonkeyCompl!Z18*DFanalysis4[[#This Row],[EUR]]),"")</f>
        <v/>
      </c>
      <c r="Y17" s="8" t="str">
        <f>IFERROR(IF(ISBLANK([2]DFsmonkeyCompl!AA18),"",[2]DFsmonkeyCompl!AA18*DFanalysis4[[#This Row],[EUR]]),"")</f>
        <v/>
      </c>
      <c r="Z17" s="8" t="str">
        <f>IFERROR(IF(ISBLANK([2]DFsmonkeyCompl!AB18),"",[2]DFsmonkeyCompl!AB18*DFanalysis4[[#This Row],[EUR]]),"")</f>
        <v/>
      </c>
      <c r="AA17" s="8" t="str">
        <f>IF(ISBLANK([2]DFsmonkeyCompl!AC18),"",[2]DFsmonkeyCompl!AC18)</f>
        <v/>
      </c>
      <c r="AB17" s="8" t="str">
        <f>IF(ISBLANK([2]DFsmonkeyCompl!AD18),"",[2]DFsmonkeyCompl!AD18)</f>
        <v/>
      </c>
      <c r="AC17" s="8">
        <f>IF(ISBLANK([2]DFsmonkeyCompl!AE18),"",[2]DFsmonkeyCompl!AE18)</f>
        <v>100</v>
      </c>
      <c r="AD17" s="8" t="str">
        <f>IF(ISBLANK([2]DFsmonkeyCompl!AF18),"",[2]DFsmonkeyCompl!AF18)</f>
        <v/>
      </c>
      <c r="AE17" s="8" t="str">
        <f>IF(ISBLANK([2]DFsmonkeyCompl!AG18),"",[2]DFsmonkeyCompl!AG18)</f>
        <v>Increase</v>
      </c>
      <c r="AF17" s="8" t="str">
        <f>IF(ISBLANK([2]DFsmonkeyCompl!AH18),"",[2]DFsmonkeyCompl!AH18)</f>
        <v>No</v>
      </c>
      <c r="AG17" s="8">
        <f>IFERROR(INDEX([2]DebtFundUniverse!$B$2:$EU$700,MATCH($C17,[2]DebtFundUniverse!$A$2:$A$700,0),MATCH($AG$1,[2]DebtFundUniverse!$B$1:$EU$1,0)),"")</f>
        <v>141000000</v>
      </c>
      <c r="AH17" s="36">
        <f>IFERROR(INDEX([2]DebtFundUniverse!$B$2:$EU$700,MATCH($C17,[2]DebtFundUniverse!$A$2:$A$700,0),MATCH($AH$1,[2]DebtFundUniverse!$B$1:$EU$1,0)),"")</f>
        <v>141000000</v>
      </c>
    </row>
    <row r="18" spans="1:34" x14ac:dyDescent="0.2">
      <c r="A18" s="5" t="str">
        <f>IF(OR(ISTEXT([2]DFsmonkeyCompl!J19),ISNUMBER([2]DFsmonkeyCompl!J19)),[2]DFsmonkeyCompl!J19,"")</f>
        <v>CBRE Global Investors</v>
      </c>
      <c r="B18" s="6" t="str">
        <f>IF(OR(ISTEXT([2]DFsmonkeyCompl!K19),ISNUMBER([2]DFsmonkeyCompl!K19)),[2]DFsmonkeyCompl!K19,"")</f>
        <v>Special Situations Fund</v>
      </c>
      <c r="C18" s="10">
        <v>28321</v>
      </c>
      <c r="D18" s="6" t="str">
        <f>INDEX([2]DebtFundUniverse!$B$2:$EU$200,MATCH(DFanalysis4[[#This Row],[ID]],[2]DebtFundUniverse!$A$2:$A$200,0),MATCH(DFanalysis4[[#Headers],[Loan Strategy]],[2]DebtFundUniverse!$B$1:$EU$1,0))</f>
        <v>Mixed: Senior+Subordinated</v>
      </c>
      <c r="E18" s="6" t="str">
        <f>INDEX([2]DebtFundUniverse!$B$2:$EU$200,MATCH(DFanalysis4[[#This Row],[ID]],[2]DebtFundUniverse!$A$2:$A$200,0),MATCH(DFanalysis4[[#Headers],[Target Regional Strategy]],[2]DebtFundUniverse!$B$1:$EU$1,0))</f>
        <v>North America</v>
      </c>
      <c r="F18" s="6" t="str">
        <f>INDEX([2]DebtFundUniverse!$B$2:$EU$200,MATCH(DFanalysis4[[#This Row],[ID]],[2]DebtFundUniverse!$A$2:$A$200,0),MATCH(DFanalysis4[[#Headers],[Vehicle Structure]],[2]DebtFundUniverse!$B$1:$EU$1,0))</f>
        <v>Open end</v>
      </c>
      <c r="G18" s="6">
        <f>INDEX([2]DebtFundUniverse!$B$2:$EU$200,MATCH(DFanalysis4[[#This Row],[ID]],[2]DebtFundUniverse!$A$2:$A$200,0),MATCH(DFanalysis4[[#Headers],[year of first closing]],[2]DebtFundUniverse!$B$1:$EU$1,0))</f>
        <v>2009</v>
      </c>
      <c r="H18" s="6" t="str">
        <f>IF(ISBLANK([2]DFsmonkeyCompl!L19),"",[2]DFsmonkeyCompl!L19)</f>
        <v>Yes</v>
      </c>
      <c r="I18" s="6" t="str">
        <f>IF(ISBLANK([2]DFsmonkeyCompl!M19),"",[2]DFsmonkeyCompl!M19)</f>
        <v/>
      </c>
      <c r="J18" s="6" t="str">
        <f>IF(ISBLANK([2]DFsmonkeyCompl!N19),"",[2]DFsmonkeyCompl!N19)</f>
        <v/>
      </c>
      <c r="K18" s="6" t="str">
        <f>INDEX([2]DebtFundUniverse!$B$2:$EU$200,MATCH(DFanalysis4[[#This Row],[ID]],[2]DebtFundUniverse!$A$2:$A$200,0),MATCH(DFanalysis4[[#Headers],[Currency of Reporting]],[2]DebtFundUniverse!$B$1:$EU$1,0))</f>
        <v>USD</v>
      </c>
      <c r="L18" s="8">
        <f>VLOOKUP(DFanalysis4[[#This Row],[Currency of Reporting]],'[2]Xrate31.12.20'!$K$1:$M$25,3,0)</f>
        <v>0.81541286290000004</v>
      </c>
      <c r="M18" s="8">
        <f>IFERROR(IF(ISBLANK([2]DFsmonkeyCompl!O19),"",[2]DFsmonkeyCompl!O19*DFanalysis4[[#This Row],[EUR]]),"")</f>
        <v>73.387157661000003</v>
      </c>
      <c r="N18" s="8">
        <f>IFERROR(IF(ISBLANK([2]DFsmonkeyCompl!P19),"",[2]DFsmonkeyCompl!P19*DFanalysis4[[#This Row],[EUR]]),"")</f>
        <v>66.863854757799999</v>
      </c>
      <c r="O18" s="8" t="str">
        <f>IFERROR(IF(ISBLANK([2]DFsmonkeyCompl!Q19),"",[2]DFsmonkeyCompl!Q19*DFanalysis4[[#This Row],[EUR]]),"")</f>
        <v/>
      </c>
      <c r="P18" s="8" t="str">
        <f>IFERROR(IF(ISBLANK([2]DFsmonkeyCompl!R19),"",[2]DFsmonkeyCompl!R19*DFanalysis4[[#This Row],[EUR]]),"")</f>
        <v/>
      </c>
      <c r="Q18" s="8" t="str">
        <f>IFERROR(IF(ISBLANK([2]DFsmonkeyCompl!S19),"",[2]DFsmonkeyCompl!S19*DFanalysis4[[#This Row],[EUR]]),"")</f>
        <v/>
      </c>
      <c r="R18" s="8" t="str">
        <f>IFERROR(IF(ISBLANK([2]DFsmonkeyCompl!T19),"",[2]DFsmonkeyCompl!T19*DFanalysis4[[#This Row],[EUR]]),"")</f>
        <v/>
      </c>
      <c r="S18" s="8" t="str">
        <f>IFERROR(IF(ISBLANK([2]DFsmonkeyCompl!U19),"",[2]DFsmonkeyCompl!U19*DFanalysis4[[#This Row],[EUR]]),"")</f>
        <v/>
      </c>
      <c r="T18" s="8" t="str">
        <f>IFERROR(IF(ISBLANK([2]DFsmonkeyCompl!V19),"",[2]DFsmonkeyCompl!V19*DFanalysis4[[#This Row],[EUR]]),"")</f>
        <v/>
      </c>
      <c r="U18" s="8">
        <f>IFERROR(IF(ISBLANK([2]DFsmonkeyCompl!W19),"",[2]DFsmonkeyCompl!W19*DFanalysis4[[#This Row],[EUR]]),"")</f>
        <v>6.5233029032000003</v>
      </c>
      <c r="V18" s="8">
        <f>IFERROR(IF(ISBLANK([2]DFsmonkeyCompl!X19),"",[2]DFsmonkeyCompl!X19*DFanalysis4[[#This Row],[EUR]]),"")</f>
        <v>53.001836088499999</v>
      </c>
      <c r="W18" s="8" t="str">
        <f>IFERROR(IF(ISBLANK([2]DFsmonkeyCompl!Y19),"",[2]DFsmonkeyCompl!Y19*DFanalysis4[[#This Row],[EUR]]),"")</f>
        <v/>
      </c>
      <c r="X18" s="8">
        <f>IFERROR(IF(ISBLANK([2]DFsmonkeyCompl!Z19),"",[2]DFsmonkeyCompl!Z19*DFanalysis4[[#This Row],[EUR]]),"")</f>
        <v>20.385321572500001</v>
      </c>
      <c r="Y18" s="8" t="str">
        <f>IFERROR(IF(ISBLANK([2]DFsmonkeyCompl!AA19),"",[2]DFsmonkeyCompl!AA19*DFanalysis4[[#This Row],[EUR]]),"")</f>
        <v/>
      </c>
      <c r="Z18" s="8" t="str">
        <f>IFERROR(IF(ISBLANK([2]DFsmonkeyCompl!AB19),"",[2]DFsmonkeyCompl!AB19*DFanalysis4[[#This Row],[EUR]]),"")</f>
        <v/>
      </c>
      <c r="AA18" s="8" t="str">
        <f>IF(ISBLANK([2]DFsmonkeyCompl!AC19),"",[2]DFsmonkeyCompl!AC19)</f>
        <v/>
      </c>
      <c r="AB18" s="8" t="str">
        <f>IF(ISBLANK([2]DFsmonkeyCompl!AD19),"",[2]DFsmonkeyCompl!AD19)</f>
        <v/>
      </c>
      <c r="AC18" s="8">
        <f>IF(ISBLANK([2]DFsmonkeyCompl!AE19),"",[2]DFsmonkeyCompl!AE19)</f>
        <v>100</v>
      </c>
      <c r="AD18" s="8" t="str">
        <f>IF(ISBLANK([2]DFsmonkeyCompl!AF19),"",[2]DFsmonkeyCompl!AF19)</f>
        <v/>
      </c>
      <c r="AE18" s="8" t="str">
        <f>IF(ISBLANK([2]DFsmonkeyCompl!AG19),"",[2]DFsmonkeyCompl!AG19)</f>
        <v>Increase</v>
      </c>
      <c r="AF18" s="8" t="str">
        <f>IF(ISBLANK([2]DFsmonkeyCompl!AH19),"",[2]DFsmonkeyCompl!AH19)</f>
        <v>Yes</v>
      </c>
      <c r="AG18" s="8">
        <f>IFERROR(INDEX([2]DebtFundUniverse!$B$2:$EU$700,MATCH($C18,[2]DebtFundUniverse!$A$2:$A$700,0),MATCH($AG$1,[2]DebtFundUniverse!$B$1:$EU$1,0)),"")</f>
        <v>0</v>
      </c>
      <c r="AH18" s="36">
        <f>IFERROR(INDEX([2]DebtFundUniverse!$B$2:$EU$700,MATCH($C18,[2]DebtFundUniverse!$A$2:$A$700,0),MATCH($AH$1,[2]DebtFundUniverse!$B$1:$EU$1,0)),"")</f>
        <v>0</v>
      </c>
    </row>
    <row r="19" spans="1:34" x14ac:dyDescent="0.2">
      <c r="B19" s="6" t="str">
        <f>IF(OR(ISTEXT([2]DFsmonkeyCompl!K20),ISNUMBER([2]DFsmonkeyCompl!K20)),[2]DFsmonkeyCompl!K20,"")</f>
        <v>Heitman Closed End Debt Fund</v>
      </c>
      <c r="C19" s="10"/>
      <c r="D19" s="6" t="e">
        <f>INDEX([2]DebtFundUniverse!$B$2:$EU$200,MATCH(DFanalysis4[[#This Row],[ID]],[2]DebtFundUniverse!$A$2:$A$200,0),MATCH(DFanalysis4[[#Headers],[Loan Strategy]],[2]DebtFundUniverse!$B$1:$EU$1,0))</f>
        <v>#N/A</v>
      </c>
      <c r="E19" s="6" t="e">
        <f>INDEX([2]DebtFundUniverse!$B$2:$EU$200,MATCH(DFanalysis4[[#This Row],[ID]],[2]DebtFundUniverse!$A$2:$A$200,0),MATCH(DFanalysis4[[#Headers],[Target Regional Strategy]],[2]DebtFundUniverse!$B$1:$EU$1,0))</f>
        <v>#N/A</v>
      </c>
      <c r="F19" s="6" t="e">
        <f>INDEX([2]DebtFundUniverse!$B$2:$EU$200,MATCH(DFanalysis4[[#This Row],[ID]],[2]DebtFundUniverse!$A$2:$A$200,0),MATCH(DFanalysis4[[#Headers],[Vehicle Structure]],[2]DebtFundUniverse!$B$1:$EU$1,0))</f>
        <v>#N/A</v>
      </c>
      <c r="G19" s="6" t="e">
        <f>INDEX([2]DebtFundUniverse!$B$2:$EU$200,MATCH(DFanalysis4[[#This Row],[ID]],[2]DebtFundUniverse!$A$2:$A$200,0),MATCH(DFanalysis4[[#Headers],[year of first closing]],[2]DebtFundUniverse!$B$1:$EU$1,0))</f>
        <v>#N/A</v>
      </c>
      <c r="H19" s="6" t="str">
        <f>IF(ISBLANK([2]DFsmonkeyCompl!L20),"",[2]DFsmonkeyCompl!L20)</f>
        <v>Yes</v>
      </c>
      <c r="I19" s="6" t="str">
        <f>IF(ISBLANK([2]DFsmonkeyCompl!M20),"",[2]DFsmonkeyCompl!M20)</f>
        <v/>
      </c>
      <c r="J19" s="6" t="str">
        <f>IF(ISBLANK([2]DFsmonkeyCompl!N20),"",[2]DFsmonkeyCompl!N20)</f>
        <v/>
      </c>
      <c r="K19" s="6" t="e">
        <f>INDEX([2]DebtFundUniverse!$B$2:$EU$200,MATCH(DFanalysis4[[#This Row],[ID]],[2]DebtFundUniverse!$A$2:$A$200,0),MATCH(DFanalysis4[[#Headers],[Currency of Reporting]],[2]DebtFundUniverse!$B$1:$EU$1,0))</f>
        <v>#N/A</v>
      </c>
      <c r="L19" s="8" t="e">
        <f>VLOOKUP(DFanalysis4[[#This Row],[Currency of Reporting]],'[2]Xrate31.12.20'!$K$1:$M$25,3,0)</f>
        <v>#N/A</v>
      </c>
      <c r="M19" s="8" t="str">
        <f>IFERROR(IF(ISBLANK([2]DFsmonkeyCompl!O20),"",[2]DFsmonkeyCompl!O20*DFanalysis4[[#This Row],[EUR]]),"")</f>
        <v/>
      </c>
      <c r="N19" s="8" t="str">
        <f>IFERROR(IF(ISBLANK([2]DFsmonkeyCompl!P20),"",[2]DFsmonkeyCompl!P20*DFanalysis4[[#This Row],[EUR]]),"")</f>
        <v/>
      </c>
      <c r="O19" s="8" t="str">
        <f>IFERROR(IF(ISBLANK([2]DFsmonkeyCompl!Q20),"",[2]DFsmonkeyCompl!Q20*DFanalysis4[[#This Row],[EUR]]),"")</f>
        <v/>
      </c>
      <c r="P19" s="8" t="str">
        <f>IFERROR(IF(ISBLANK([2]DFsmonkeyCompl!R20),"",[2]DFsmonkeyCompl!R20*DFanalysis4[[#This Row],[EUR]]),"")</f>
        <v/>
      </c>
      <c r="Q19" s="8" t="str">
        <f>IFERROR(IF(ISBLANK([2]DFsmonkeyCompl!S20),"",[2]DFsmonkeyCompl!S20*DFanalysis4[[#This Row],[EUR]]),"")</f>
        <v/>
      </c>
      <c r="R19" s="8" t="str">
        <f>IFERROR(IF(ISBLANK([2]DFsmonkeyCompl!T20),"",[2]DFsmonkeyCompl!T20*DFanalysis4[[#This Row],[EUR]]),"")</f>
        <v/>
      </c>
      <c r="S19" s="8" t="str">
        <f>IFERROR(IF(ISBLANK([2]DFsmonkeyCompl!U20),"",[2]DFsmonkeyCompl!U20*DFanalysis4[[#This Row],[EUR]]),"")</f>
        <v/>
      </c>
      <c r="T19" s="8" t="str">
        <f>IFERROR(IF(ISBLANK([2]DFsmonkeyCompl!V20),"",[2]DFsmonkeyCompl!V20*DFanalysis4[[#This Row],[EUR]]),"")</f>
        <v/>
      </c>
      <c r="U19" s="8" t="str">
        <f>IFERROR(IF(ISBLANK([2]DFsmonkeyCompl!W20),"",[2]DFsmonkeyCompl!W20*DFanalysis4[[#This Row],[EUR]]),"")</f>
        <v/>
      </c>
      <c r="V19" s="8" t="str">
        <f>IFERROR(IF(ISBLANK([2]DFsmonkeyCompl!X20),"",[2]DFsmonkeyCompl!X20*DFanalysis4[[#This Row],[EUR]]),"")</f>
        <v/>
      </c>
      <c r="W19" s="8" t="str">
        <f>IFERROR(IF(ISBLANK([2]DFsmonkeyCompl!Y20),"",[2]DFsmonkeyCompl!Y20*DFanalysis4[[#This Row],[EUR]]),"")</f>
        <v/>
      </c>
      <c r="X19" s="8" t="str">
        <f>IFERROR(IF(ISBLANK([2]DFsmonkeyCompl!Z20),"",[2]DFsmonkeyCompl!Z20*DFanalysis4[[#This Row],[EUR]]),"")</f>
        <v/>
      </c>
      <c r="Y19" s="8" t="str">
        <f>IFERROR(IF(ISBLANK([2]DFsmonkeyCompl!AA20),"",[2]DFsmonkeyCompl!AA20*DFanalysis4[[#This Row],[EUR]]),"")</f>
        <v/>
      </c>
      <c r="Z19" s="8" t="str">
        <f>IFERROR(IF(ISBLANK([2]DFsmonkeyCompl!AB20),"",[2]DFsmonkeyCompl!AB20*DFanalysis4[[#This Row],[EUR]]),"")</f>
        <v/>
      </c>
      <c r="AA19" s="8" t="str">
        <f>IF(ISBLANK([2]DFsmonkeyCompl!AC20),"",[2]DFsmonkeyCompl!AC20)</f>
        <v/>
      </c>
      <c r="AB19" s="8" t="str">
        <f>IF(ISBLANK([2]DFsmonkeyCompl!AD20),"",[2]DFsmonkeyCompl!AD20)</f>
        <v/>
      </c>
      <c r="AC19" s="8">
        <f>IF(ISBLANK([2]DFsmonkeyCompl!AE20),"",[2]DFsmonkeyCompl!AE20)</f>
        <v>100</v>
      </c>
      <c r="AD19" s="8" t="str">
        <f>IF(ISBLANK([2]DFsmonkeyCompl!AF20),"",[2]DFsmonkeyCompl!AF20)</f>
        <v/>
      </c>
      <c r="AE19" s="8" t="str">
        <f>IF(ISBLANK([2]DFsmonkeyCompl!AG20),"",[2]DFsmonkeyCompl!AG20)</f>
        <v>Increase</v>
      </c>
      <c r="AF19" s="8" t="str">
        <f>IF(ISBLANK([2]DFsmonkeyCompl!AH20),"",[2]DFsmonkeyCompl!AH20)</f>
        <v>Yes</v>
      </c>
      <c r="AG19" s="8" t="str">
        <f>IFERROR(INDEX([2]DebtFundUniverse!$B$2:$EU$700,MATCH($C19,[2]DebtFundUniverse!$A$2:$A$700,0),MATCH($AG$1,[2]DebtFundUniverse!$B$1:$EU$1,0)),"")</f>
        <v/>
      </c>
      <c r="AH19" s="36" t="str">
        <f>IFERROR(INDEX([2]DebtFundUniverse!$B$2:$EU$700,MATCH($C19,[2]DebtFundUniverse!$A$2:$A$700,0),MATCH($AH$1,[2]DebtFundUniverse!$B$1:$EU$1,0)),"")</f>
        <v/>
      </c>
    </row>
    <row r="20" spans="1:34" x14ac:dyDescent="0.2">
      <c r="B20" s="6" t="str">
        <f>IF(OR(ISTEXT([2]DFsmonkeyCompl!K21),ISNUMBER([2]DFsmonkeyCompl!K21)),[2]DFsmonkeyCompl!K21,"")</f>
        <v>SELF III</v>
      </c>
      <c r="C20" s="10"/>
      <c r="D20" s="6" t="e">
        <f>INDEX([2]DebtFundUniverse!$B$2:$EU$200,MATCH(DFanalysis4[[#This Row],[ID]],[2]DebtFundUniverse!$A$2:$A$200,0),MATCH(DFanalysis4[[#Headers],[Loan Strategy]],[2]DebtFundUniverse!$B$1:$EU$1,0))</f>
        <v>#N/A</v>
      </c>
      <c r="E20" s="6" t="e">
        <f>INDEX([2]DebtFundUniverse!$B$2:$EU$200,MATCH(DFanalysis4[[#This Row],[ID]],[2]DebtFundUniverse!$A$2:$A$200,0),MATCH(DFanalysis4[[#Headers],[Target Regional Strategy]],[2]DebtFundUniverse!$B$1:$EU$1,0))</f>
        <v>#N/A</v>
      </c>
      <c r="F20" s="6" t="e">
        <f>INDEX([2]DebtFundUniverse!$B$2:$EU$200,MATCH(DFanalysis4[[#This Row],[ID]],[2]DebtFundUniverse!$A$2:$A$200,0),MATCH(DFanalysis4[[#Headers],[Vehicle Structure]],[2]DebtFundUniverse!$B$1:$EU$1,0))</f>
        <v>#N/A</v>
      </c>
      <c r="G20" s="6" t="e">
        <f>INDEX([2]DebtFundUniverse!$B$2:$EU$200,MATCH(DFanalysis4[[#This Row],[ID]],[2]DebtFundUniverse!$A$2:$A$200,0),MATCH(DFanalysis4[[#Headers],[year of first closing]],[2]DebtFundUniverse!$B$1:$EU$1,0))</f>
        <v>#N/A</v>
      </c>
      <c r="H20" s="6" t="str">
        <f>IF(ISBLANK([2]DFsmonkeyCompl!L21),"",[2]DFsmonkeyCompl!L21)</f>
        <v>Yes</v>
      </c>
      <c r="I20" s="6" t="str">
        <f>IF(ISBLANK([2]DFsmonkeyCompl!M21),"",[2]DFsmonkeyCompl!M21)</f>
        <v/>
      </c>
      <c r="J20" s="6" t="str">
        <f>IF(ISBLANK([2]DFsmonkeyCompl!N21),"",[2]DFsmonkeyCompl!N21)</f>
        <v/>
      </c>
      <c r="K20" s="6" t="e">
        <f>INDEX([2]DebtFundUniverse!$B$2:$EU$200,MATCH(DFanalysis4[[#This Row],[ID]],[2]DebtFundUniverse!$A$2:$A$200,0),MATCH(DFanalysis4[[#Headers],[Currency of Reporting]],[2]DebtFundUniverse!$B$1:$EU$1,0))</f>
        <v>#N/A</v>
      </c>
      <c r="L20" s="8" t="e">
        <f>VLOOKUP(DFanalysis4[[#This Row],[Currency of Reporting]],'[2]Xrate31.12.20'!$K$1:$M$25,3,0)</f>
        <v>#N/A</v>
      </c>
      <c r="M20" s="8" t="str">
        <f>IFERROR(IF(ISBLANK([2]DFsmonkeyCompl!O21),"",[2]DFsmonkeyCompl!O21*DFanalysis4[[#This Row],[EUR]]),"")</f>
        <v/>
      </c>
      <c r="N20" s="8" t="str">
        <f>IFERROR(IF(ISBLANK([2]DFsmonkeyCompl!P21),"",[2]DFsmonkeyCompl!P21*DFanalysis4[[#This Row],[EUR]]),"")</f>
        <v/>
      </c>
      <c r="O20" s="8" t="str">
        <f>IFERROR(IF(ISBLANK([2]DFsmonkeyCompl!Q21),"",[2]DFsmonkeyCompl!Q21*DFanalysis4[[#This Row],[EUR]]),"")</f>
        <v/>
      </c>
      <c r="P20" s="8" t="str">
        <f>IFERROR(IF(ISBLANK([2]DFsmonkeyCompl!R21),"",[2]DFsmonkeyCompl!R21*DFanalysis4[[#This Row],[EUR]]),"")</f>
        <v/>
      </c>
      <c r="Q20" s="8" t="str">
        <f>IFERROR(IF(ISBLANK([2]DFsmonkeyCompl!S21),"",[2]DFsmonkeyCompl!S21*DFanalysis4[[#This Row],[EUR]]),"")</f>
        <v/>
      </c>
      <c r="R20" s="8" t="str">
        <f>IFERROR(IF(ISBLANK([2]DFsmonkeyCompl!T21),"",[2]DFsmonkeyCompl!T21*DFanalysis4[[#This Row],[EUR]]),"")</f>
        <v/>
      </c>
      <c r="S20" s="8" t="str">
        <f>IFERROR(IF(ISBLANK([2]DFsmonkeyCompl!U21),"",[2]DFsmonkeyCompl!U21*DFanalysis4[[#This Row],[EUR]]),"")</f>
        <v/>
      </c>
      <c r="T20" s="8" t="str">
        <f>IFERROR(IF(ISBLANK([2]DFsmonkeyCompl!V21),"",[2]DFsmonkeyCompl!V21*DFanalysis4[[#This Row],[EUR]]),"")</f>
        <v/>
      </c>
      <c r="U20" s="8" t="str">
        <f>IFERROR(IF(ISBLANK([2]DFsmonkeyCompl!W21),"",[2]DFsmonkeyCompl!W21*DFanalysis4[[#This Row],[EUR]]),"")</f>
        <v/>
      </c>
      <c r="V20" s="8" t="str">
        <f>IFERROR(IF(ISBLANK([2]DFsmonkeyCompl!X21),"",[2]DFsmonkeyCompl!X21*DFanalysis4[[#This Row],[EUR]]),"")</f>
        <v/>
      </c>
      <c r="W20" s="8" t="str">
        <f>IFERROR(IF(ISBLANK([2]DFsmonkeyCompl!Y21),"",[2]DFsmonkeyCompl!Y21*DFanalysis4[[#This Row],[EUR]]),"")</f>
        <v/>
      </c>
      <c r="X20" s="8" t="str">
        <f>IFERROR(IF(ISBLANK([2]DFsmonkeyCompl!Z21),"",[2]DFsmonkeyCompl!Z21*DFanalysis4[[#This Row],[EUR]]),"")</f>
        <v/>
      </c>
      <c r="Y20" s="8" t="str">
        <f>IFERROR(IF(ISBLANK([2]DFsmonkeyCompl!AA21),"",[2]DFsmonkeyCompl!AA21*DFanalysis4[[#This Row],[EUR]]),"")</f>
        <v/>
      </c>
      <c r="Z20" s="8" t="str">
        <f>IFERROR(IF(ISBLANK([2]DFsmonkeyCompl!AB21),"",[2]DFsmonkeyCompl!AB21*DFanalysis4[[#This Row],[EUR]]),"")</f>
        <v/>
      </c>
      <c r="AA20" s="8" t="str">
        <f>IF(ISBLANK([2]DFsmonkeyCompl!AC21),"",[2]DFsmonkeyCompl!AC21)</f>
        <v/>
      </c>
      <c r="AB20" s="8" t="str">
        <f>IF(ISBLANK([2]DFsmonkeyCompl!AD21),"",[2]DFsmonkeyCompl!AD21)</f>
        <v/>
      </c>
      <c r="AC20" s="8">
        <f>IF(ISBLANK([2]DFsmonkeyCompl!AE21),"",[2]DFsmonkeyCompl!AE21)</f>
        <v>100</v>
      </c>
      <c r="AD20" s="8" t="str">
        <f>IF(ISBLANK([2]DFsmonkeyCompl!AF21),"",[2]DFsmonkeyCompl!AF21)</f>
        <v/>
      </c>
      <c r="AE20" s="8" t="str">
        <f>IF(ISBLANK([2]DFsmonkeyCompl!AG21),"",[2]DFsmonkeyCompl!AG21)</f>
        <v>Increase</v>
      </c>
      <c r="AF20" s="8" t="str">
        <f>IF(ISBLANK([2]DFsmonkeyCompl!AH21),"",[2]DFsmonkeyCompl!AH21)</f>
        <v>Yes</v>
      </c>
      <c r="AG20" s="8" t="str">
        <f>IFERROR(INDEX([2]DebtFundUniverse!$B$2:$EU$700,MATCH($C20,[2]DebtFundUniverse!$A$2:$A$700,0),MATCH($AG$1,[2]DebtFundUniverse!$B$1:$EU$1,0)),"")</f>
        <v/>
      </c>
      <c r="AH20" s="36" t="str">
        <f>IFERROR(INDEX([2]DebtFundUniverse!$B$2:$EU$700,MATCH($C20,[2]DebtFundUniverse!$A$2:$A$700,0),MATCH($AH$1,[2]DebtFundUniverse!$B$1:$EU$1,0)),"")</f>
        <v/>
      </c>
    </row>
    <row r="21" spans="1:34" x14ac:dyDescent="0.2">
      <c r="M21" s="11"/>
      <c r="V21" s="11"/>
      <c r="W21" s="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F16AA-4358-49C9-BEB8-B51070635ED4}">
  <sheetPr>
    <tabColor rgb="FFFFC000"/>
  </sheetPr>
  <dimension ref="A1:AH21"/>
  <sheetViews>
    <sheetView showGridLines="0" workbookViewId="0">
      <selection activeCell="AS23" sqref="AS23"/>
    </sheetView>
  </sheetViews>
  <sheetFormatPr defaultRowHeight="12.75" x14ac:dyDescent="0.2"/>
  <cols>
    <col min="1" max="1" width="11.7109375" customWidth="1"/>
    <col min="3" max="3" width="20.42578125" bestFit="1" customWidth="1"/>
    <col min="4" max="4" width="32.42578125" customWidth="1"/>
    <col min="5" max="5" width="21.140625" customWidth="1"/>
    <col min="10" max="10" width="78.7109375" customWidth="1"/>
    <col min="11" max="11" width="53.28515625" bestFit="1" customWidth="1"/>
    <col min="12" max="12" width="29" bestFit="1" customWidth="1"/>
    <col min="13" max="13" width="23" customWidth="1"/>
    <col min="14" max="14" width="74.42578125" bestFit="1" customWidth="1"/>
    <col min="15" max="15" width="45" customWidth="1"/>
    <col min="16" max="16" width="21.42578125" bestFit="1" customWidth="1"/>
    <col min="17" max="17" width="21.85546875" bestFit="1" customWidth="1"/>
    <col min="18" max="18" width="23.28515625" bestFit="1" customWidth="1"/>
    <col min="19" max="19" width="45.140625" bestFit="1" customWidth="1"/>
    <col min="20" max="20" width="13.85546875" bestFit="1" customWidth="1"/>
    <col min="21" max="21" width="40" bestFit="1" customWidth="1"/>
    <col min="22" max="22" width="22" bestFit="1" customWidth="1"/>
    <col min="23" max="23" width="202" bestFit="1" customWidth="1"/>
    <col min="24" max="24" width="11.85546875" bestFit="1" customWidth="1"/>
    <col min="25" max="25" width="14.42578125" bestFit="1" customWidth="1"/>
    <col min="26" max="26" width="14.85546875" bestFit="1" customWidth="1"/>
    <col min="27" max="27" width="6.28515625" bestFit="1" customWidth="1"/>
    <col min="28" max="28" width="85.7109375" bestFit="1" customWidth="1"/>
    <col min="29" max="29" width="35.28515625" bestFit="1" customWidth="1"/>
    <col min="30" max="30" width="44.85546875" bestFit="1" customWidth="1"/>
    <col min="31" max="31" width="10.140625" bestFit="1" customWidth="1"/>
    <col min="32" max="32" width="105.42578125" bestFit="1" customWidth="1"/>
    <col min="33" max="33" width="78.85546875" bestFit="1" customWidth="1"/>
  </cols>
  <sheetData>
    <row r="1" spans="1:34" ht="13.5" thickBot="1" x14ac:dyDescent="0.25">
      <c r="A1" s="5" t="str">
        <f>IF(OR(ISTEXT([2]DFsmonkeyCompl!J2),ISNUMBER([2]DFsmonkeyCompl!J2)),[2]DFsmonkeyCompl!J2,"")</f>
        <v>Open-Ended Response</v>
      </c>
      <c r="B1" s="6" t="str">
        <f>IF(OR(ISTEXT([2]DFsmonkeyCompl!K2),ISNUMBER([2]DFsmonkeyCompl!K2)),[2]DFsmonkeyCompl!K2,"")</f>
        <v>Open-Ended Response</v>
      </c>
      <c r="C1" s="7" t="e" cm="1">
        <f t="array" ref="C1">INDEX([2]DebtFundUniverse!$A$85:$A$95,MATCH(B1,[2]DebtFundUniverse!$B$85:$B$95,0),0)</f>
        <v>#N/A</v>
      </c>
      <c r="D1" s="6" t="e">
        <f>INDEX([2]DebtFundUniverse!$B$2:$EU$200,MATCH([2]!DFanalysis[[#This Row],[ID]],[2]DebtFundUniverse!$A$2:$A$200,0),MATCH([2]!DFanalysis[[#Headers],[Loan Strategy]],[2]DebtFundUniverse!$B$1:$EU$1,0))</f>
        <v>#VALUE!</v>
      </c>
      <c r="E1" s="6" t="e">
        <f>INDEX([2]DebtFundUniverse!$B$2:$EU$200,MATCH([2]!DFanalysis[[#This Row],[ID]],[2]DebtFundUniverse!$A$2:$A$200,0),MATCH([2]!DFanalysis[[#Headers],[Target Regional Strategy]],[2]DebtFundUniverse!$B$1:$EU$1,0))</f>
        <v>#VALUE!</v>
      </c>
      <c r="F1" s="6" t="e">
        <f>INDEX([2]DebtFundUniverse!$B$2:$EU$200,MATCH([2]!DFanalysis[[#This Row],[ID]],[2]DebtFundUniverse!$A$2:$A$200,0),MATCH([2]!DFanalysis[[#Headers],[Vehicle Structure]],[2]DebtFundUniverse!$B$1:$EU$1,0))</f>
        <v>#VALUE!</v>
      </c>
      <c r="G1" s="6" t="e">
        <f>INDEX([2]DebtFundUniverse!$B$2:$EU$200,MATCH([2]!DFanalysis[[#This Row],[ID]],[2]DebtFundUniverse!$A$2:$A$200,0),MATCH([2]!DFanalysis[[#Headers],[year of first closing]],[2]DebtFundUniverse!$B$1:$EU$1,0))</f>
        <v>#VALUE!</v>
      </c>
      <c r="H1" s="6" t="str">
        <f>IF(ISBLANK([2]DFsmonkeyCompl!L2),"",[2]DFsmonkeyCompl!L2)</f>
        <v>Response</v>
      </c>
      <c r="I1" s="6" t="str">
        <f>IF(ISBLANK([2]DFsmonkeyCompl!M2),"",[2]DFsmonkeyCompl!M2)</f>
        <v>Response</v>
      </c>
      <c r="J1" s="6" t="str">
        <f>IF(ISBLANK([2]DFsmonkeyCompl!N2),"",[2]DFsmonkeyCompl!N2)</f>
        <v>Other (please specify)</v>
      </c>
      <c r="K1" s="6" t="e">
        <f>INDEX([2]DebtFundUniverse!$B$2:$EU$200,MATCH([2]!DFanalysis[[#This Row],[ID]],[2]DebtFundUniverse!$A$2:$A$200,0),MATCH([2]!DFanalysis[[#Headers],[Currency of Reporting]],[2]DebtFundUniverse!$B$1:$EU$1,0))</f>
        <v>#VALUE!</v>
      </c>
      <c r="L1" s="8" t="e">
        <f>VLOOKUP([2]!DFanalysis[[#This Row],[Currency of Reporting]],'[2]Xrate31.12.20'!$K$1:$M$25,3,0)</f>
        <v>#VALUE!</v>
      </c>
      <c r="M1" s="8" t="str">
        <f>IFERROR(IF(ISBLANK([2]DFsmonkeyCompl!O2),"",[2]DFsmonkeyCompl!O2*[2]!DFanalysis[[#This Row],[EUR]]),"")</f>
        <v/>
      </c>
      <c r="N1" s="8" t="str">
        <f>IFERROR(IF(ISBLANK([2]DFsmonkeyCompl!P2),"",[2]DFsmonkeyCompl!P2*[2]!DFanalysis[[#This Row],[EUR]]),"")</f>
        <v/>
      </c>
      <c r="O1" s="8" t="str">
        <f>IFERROR(IF(ISBLANK([2]DFsmonkeyCompl!Q2),"",[2]DFsmonkeyCompl!Q2*[2]!DFanalysis[[#This Row],[EUR]]),"")</f>
        <v/>
      </c>
      <c r="P1" s="8" t="str">
        <f>IFERROR(IF(ISBLANK([2]DFsmonkeyCompl!R2),"",[2]DFsmonkeyCompl!R2*[2]!DFanalysis[[#This Row],[EUR]]),"")</f>
        <v/>
      </c>
      <c r="Q1" s="8" t="str">
        <f>IFERROR(IF(ISBLANK([2]DFsmonkeyCompl!S2),"",[2]DFsmonkeyCompl!S2*[2]!DFanalysis[[#This Row],[EUR]]),"")</f>
        <v/>
      </c>
      <c r="R1" s="8" t="str">
        <f>IFERROR(IF(ISBLANK([2]DFsmonkeyCompl!T2),"",[2]DFsmonkeyCompl!T2*[2]!DFanalysis[[#This Row],[EUR]]),"")</f>
        <v/>
      </c>
      <c r="S1" s="8" t="str">
        <f>IFERROR(IF(ISBLANK([2]DFsmonkeyCompl!U2),"",[2]DFsmonkeyCompl!U2*[2]!DFanalysis[[#This Row],[EUR]]),"")</f>
        <v/>
      </c>
      <c r="T1" s="8" t="str">
        <f>IFERROR(IF(ISBLANK([2]DFsmonkeyCompl!V2),"",[2]DFsmonkeyCompl!V2*[2]!DFanalysis[[#This Row],[EUR]]),"")</f>
        <v/>
      </c>
      <c r="U1" s="8" t="str">
        <f>IFERROR(IF(ISBLANK([2]DFsmonkeyCompl!W2),"",[2]DFsmonkeyCompl!W2*[2]!DFanalysis[[#This Row],[EUR]]),"")</f>
        <v/>
      </c>
      <c r="V1" s="8" t="str">
        <f>IFERROR(IF(ISBLANK([2]DFsmonkeyCompl!X2),"",[2]DFsmonkeyCompl!X2*[2]!DFanalysis[[#This Row],[EUR]]),"")</f>
        <v/>
      </c>
      <c r="W1" s="8" t="str">
        <f>IFERROR(IF(ISBLANK([2]DFsmonkeyCompl!Y2),"",[2]DFsmonkeyCompl!Y2*[2]!DFanalysis[[#This Row],[EUR]]),"")</f>
        <v/>
      </c>
      <c r="X1" s="8" t="str">
        <f>IFERROR(IF(ISBLANK([2]DFsmonkeyCompl!Z2),"",[2]DFsmonkeyCompl!Z2*[2]!DFanalysis[[#This Row],[EUR]]),"")</f>
        <v/>
      </c>
      <c r="Y1" s="8" t="str">
        <f>IFERROR(IF(ISBLANK([2]DFsmonkeyCompl!AA2),"",[2]DFsmonkeyCompl!AA2*[2]!DFanalysis[[#This Row],[EUR]]),"")</f>
        <v/>
      </c>
      <c r="Z1" s="8" t="str">
        <f>IFERROR(IF(ISBLANK([2]DFsmonkeyCompl!AB2),"",[2]DFsmonkeyCompl!AB2*[2]!DFanalysis[[#This Row],[EUR]]),"")</f>
        <v/>
      </c>
      <c r="AA1" s="8" t="str">
        <f>IF(ISBLANK([2]DFsmonkeyCompl!AC2),"",[2]DFsmonkeyCompl!AC2)</f>
        <v>Placement agent (%)</v>
      </c>
      <c r="AB1" s="8" t="str">
        <f>IF(ISBLANK([2]DFsmonkeyCompl!AD2),"",[2]DFsmonkeyCompl!AD2)</f>
        <v>Investors contacting you directly (%)</v>
      </c>
      <c r="AC1" s="8" t="str">
        <f>IF(ISBLANK([2]DFsmonkeyCompl!AE2),"",[2]DFsmonkeyCompl!AE2)</f>
        <v>Your own direct relationship with investors (%)</v>
      </c>
      <c r="AD1" s="8" t="str">
        <f>IF(ISBLANK([2]DFsmonkeyCompl!AF2),"",[2]DFsmonkeyCompl!AF2)</f>
        <v>Other (%)</v>
      </c>
      <c r="AE1" s="8" t="str">
        <f>IF(ISBLANK([2]DFsmonkeyCompl!AG2),"",[2]DFsmonkeyCompl!AG2)</f>
        <v>Response</v>
      </c>
      <c r="AF1" s="8" t="str">
        <f>IF(ISBLANK([2]DFsmonkeyCompl!AH2),"",[2]DFsmonkeyCompl!AH2)</f>
        <v>Response</v>
      </c>
      <c r="AG1" s="35">
        <f ca="1">IFERROR(INDEX([2]DebtFundUniverse!$B$2:$EU$700,MATCH($C1,[2]DebtFundUniverse!$A$2:$A$700,0),MATCH($AG$1,[2]DebtFundUniverse!$B$1:$EU$1,0)),"")</f>
        <v>1116920000</v>
      </c>
      <c r="AH1" s="36" t="str">
        <f ca="1">IFERROR(INDEX([2]DebtFundUniverse!$B$2:$EU$700,MATCH($C1,[2]DebtFundUniverse!$A$2:$A$700,0),MATCH($AH$1,[2]DebtFundUniverse!$B$1:$EU$1,0)),"")</f>
        <v/>
      </c>
    </row>
    <row r="2" spans="1:34" ht="14.25" thickTop="1" thickBot="1" x14ac:dyDescent="0.25">
      <c r="A2" s="9" t="str">
        <f>IF(OR(ISTEXT([2]DFsmonkeyCompl!J3),ISNUMBER([2]DFsmonkeyCompl!J3)),[2]DFsmonkeyCompl!J3,"")</f>
        <v>PGIM Real Estate</v>
      </c>
      <c r="B2" s="6" t="str">
        <f>IF(OR(ISTEXT([2]DFsmonkeyCompl!K3),ISNUMBER([2]DFsmonkeyCompl!K3)),[2]DFsmonkeyCompl!K3,"")</f>
        <v>PRECap VII</v>
      </c>
      <c r="C2" s="7" cm="1">
        <f t="array" ref="C2">INDEX([2]DebtFundUniverse!$A$85:$A$95,MATCH(B2,[2]DebtFundUniverse!$B$85:$B$95,0),0)</f>
        <v>97174</v>
      </c>
      <c r="D2" s="6" t="str">
        <f>INDEX([2]DebtFundUniverse!$B$2:$EU$200,MATCH([2]!DFanalysis[[#This Row],[ID]],[2]DebtFundUniverse!$A$2:$A$200,0),MATCH([2]!DFanalysis[[#Headers],[Loan Strategy]],[2]DebtFundUniverse!$B$1:$EU$1,0))</f>
        <v>Mixed: Senior+Subordinated+Preferred equity</v>
      </c>
      <c r="E2" s="6" t="str">
        <f>INDEX([2]DebtFundUniverse!$B$2:$EU$200,MATCH([2]!DFanalysis[[#This Row],[ID]],[2]DebtFundUniverse!$A$2:$A$200,0),MATCH([2]!DFanalysis[[#Headers],[Target Regional Strategy]],[2]DebtFundUniverse!$B$1:$EU$1,0))</f>
        <v>Europe</v>
      </c>
      <c r="F2" s="6" t="str">
        <f>INDEX([2]DebtFundUniverse!$B$2:$EU$200,MATCH([2]!DFanalysis[[#This Row],[ID]],[2]DebtFundUniverse!$A$2:$A$200,0),MATCH([2]!DFanalysis[[#Headers],[Vehicle Structure]],[2]DebtFundUniverse!$B$1:$EU$1,0))</f>
        <v>Closed end</v>
      </c>
      <c r="G2" s="6">
        <f>INDEX([2]DebtFundUniverse!$B$2:$EU$200,MATCH([2]!DFanalysis[[#This Row],[ID]],[2]DebtFundUniverse!$A$2:$A$200,0),MATCH([2]!DFanalysis[[#Headers],[year of first closing]],[2]DebtFundUniverse!$B$1:$EU$1,0))</f>
        <v>2019</v>
      </c>
      <c r="H2" s="6" t="str">
        <f>IF(ISBLANK([2]DFsmonkeyCompl!L3),"",[2]DFsmonkeyCompl!L3)</f>
        <v>Yes</v>
      </c>
      <c r="I2" s="6" t="str">
        <f>IF(ISBLANK([2]DFsmonkeyCompl!M3),"",[2]DFsmonkeyCompl!M3)</f>
        <v/>
      </c>
      <c r="J2" s="6" t="str">
        <f>IF(ISBLANK([2]DFsmonkeyCompl!N3),"",[2]DFsmonkeyCompl!N3)</f>
        <v/>
      </c>
      <c r="K2" s="6" t="str">
        <f>INDEX([2]DebtFundUniverse!$B$2:$EU$200,MATCH([2]!DFanalysis[[#This Row],[ID]],[2]DebtFundUniverse!$A$2:$A$200,0),MATCH([2]!DFanalysis[[#Headers],[Currency of Reporting]],[2]DebtFundUniverse!$B$1:$EU$1,0))</f>
        <v>GBP</v>
      </c>
      <c r="L2" s="8">
        <f>VLOOKUP([2]!DFanalysis[[#This Row],[Currency of Reporting]],'[2]Xrate31.12.20'!$K$1:$M$25,3,0)</f>
        <v>1.1130927885999999</v>
      </c>
      <c r="M2" s="8">
        <f>IFERROR(IF(ISBLANK([2]DFsmonkeyCompl!O3),"",[2]DFsmonkeyCompl!O3*[2]!DFanalysis[[#This Row],[EUR]]),"")</f>
        <v>1021.8191799348</v>
      </c>
      <c r="N2" s="8">
        <f>IFERROR(IF(ISBLANK([2]DFsmonkeyCompl!P3),"",[2]DFsmonkeyCompl!P3*[2]!DFanalysis[[#This Row],[EUR]]),"")</f>
        <v>906.05752992039993</v>
      </c>
      <c r="O2" s="8" t="str">
        <f>IFERROR(IF(ISBLANK([2]DFsmonkeyCompl!Q3),"",[2]DFsmonkeyCompl!Q3*[2]!DFanalysis[[#This Row],[EUR]]),"")</f>
        <v/>
      </c>
      <c r="P2" s="8">
        <f>IFERROR(IF(ISBLANK([2]DFsmonkeyCompl!R3),"",[2]DFsmonkeyCompl!R3*[2]!DFanalysis[[#This Row],[EUR]]),"")</f>
        <v>57.880825007199995</v>
      </c>
      <c r="Q2" s="8" t="str">
        <f>IFERROR(IF(ISBLANK([2]DFsmonkeyCompl!S3),"",[2]DFsmonkeyCompl!S3*[2]!DFanalysis[[#This Row],[EUR]]),"")</f>
        <v/>
      </c>
      <c r="R2" s="8" t="str">
        <f>IFERROR(IF(ISBLANK([2]DFsmonkeyCompl!T3),"",[2]DFsmonkeyCompl!T3*[2]!DFanalysis[[#This Row],[EUR]]),"")</f>
        <v/>
      </c>
      <c r="S2" s="8" t="str">
        <f>IFERROR(IF(ISBLANK([2]DFsmonkeyCompl!U3),"",[2]DFsmonkeyCompl!U3*[2]!DFanalysis[[#This Row],[EUR]]),"")</f>
        <v/>
      </c>
      <c r="T2" s="8" t="str">
        <f>IFERROR(IF(ISBLANK([2]DFsmonkeyCompl!V3),"",[2]DFsmonkeyCompl!V3*[2]!DFanalysis[[#This Row],[EUR]]),"")</f>
        <v/>
      </c>
      <c r="U2" s="8">
        <f>IFERROR(IF(ISBLANK([2]DFsmonkeyCompl!W3),"",[2]DFsmonkeyCompl!W3*[2]!DFanalysis[[#This Row],[EUR]]),"")</f>
        <v>57.880825007199995</v>
      </c>
      <c r="V2" s="8">
        <f>IFERROR(IF(ISBLANK([2]DFsmonkeyCompl!X3),"",[2]DFsmonkeyCompl!X3*[2]!DFanalysis[[#This Row],[EUR]]),"")</f>
        <v>57.880825007199995</v>
      </c>
      <c r="W2" s="8">
        <f>IFERROR(IF(ISBLANK([2]DFsmonkeyCompl!Y3),"",[2]DFsmonkeyCompl!Y3*[2]!DFanalysis[[#This Row],[EUR]]),"")</f>
        <v>37.845154812399997</v>
      </c>
      <c r="X2" s="8">
        <f>IFERROR(IF(ISBLANK([2]DFsmonkeyCompl!Z3),"",[2]DFsmonkeyCompl!Z3*[2]!DFanalysis[[#This Row],[EUR]]),"")</f>
        <v>926.09320011519992</v>
      </c>
      <c r="Y2" s="8" t="str">
        <f>IFERROR(IF(ISBLANK([2]DFsmonkeyCompl!AA3),"",[2]DFsmonkeyCompl!AA3*[2]!DFanalysis[[#This Row],[EUR]]),"")</f>
        <v/>
      </c>
      <c r="Z2" s="8" t="str">
        <f>IFERROR(IF(ISBLANK([2]DFsmonkeyCompl!AB3),"",[2]DFsmonkeyCompl!AB3*[2]!DFanalysis[[#This Row],[EUR]]),"")</f>
        <v/>
      </c>
      <c r="AA2" s="8" t="str">
        <f>IF(ISBLANK([2]DFsmonkeyCompl!AC3),"",[2]DFsmonkeyCompl!AC3)</f>
        <v/>
      </c>
      <c r="AB2" s="8" t="str">
        <f>IF(ISBLANK([2]DFsmonkeyCompl!AD3),"",[2]DFsmonkeyCompl!AD3)</f>
        <v/>
      </c>
      <c r="AC2" s="8">
        <f>IF(ISBLANK([2]DFsmonkeyCompl!AE3),"",[2]DFsmonkeyCompl!AE3)</f>
        <v>100</v>
      </c>
      <c r="AD2" s="8" t="str">
        <f>IF(ISBLANK([2]DFsmonkeyCompl!AF3),"",[2]DFsmonkeyCompl!AF3)</f>
        <v/>
      </c>
      <c r="AE2" s="8" t="str">
        <f>IF(ISBLANK([2]DFsmonkeyCompl!AG3),"",[2]DFsmonkeyCompl!AG3)</f>
        <v>Increase</v>
      </c>
      <c r="AF2" s="8" t="str">
        <f>IF(ISBLANK([2]DFsmonkeyCompl!AH3),"",[2]DFsmonkeyCompl!AH3)</f>
        <v>Yes</v>
      </c>
      <c r="AG2" s="8" t="str">
        <f ca="1">IFERROR(INDEX([2]DebtFundUniverse!$B$2:$EU$700,MATCH($C2,[2]DebtFundUniverse!$A$2:$A$700,0),MATCH($AG$1,[2]DebtFundUniverse!$B$1:$EU$1,0)),"")</f>
        <v/>
      </c>
      <c r="AH2" s="36">
        <f ca="1">IFERROR(INDEX([2]DebtFundUniverse!$B$2:$EU$700,MATCH($C2,[2]DebtFundUniverse!$A$2:$A$700,0),MATCH($AH$1,[2]DebtFundUniverse!$B$1:$EU$1,0)),"")</f>
        <v>0</v>
      </c>
    </row>
    <row r="3" spans="1:34" ht="14.25" thickTop="1" thickBot="1" x14ac:dyDescent="0.25">
      <c r="A3" s="5" t="str">
        <f>IF(OR(ISTEXT([2]DFsmonkeyCompl!J4),ISNUMBER([2]DFsmonkeyCompl!J4)),[2]DFsmonkeyCompl!J4,"")</f>
        <v>BentallGreenOak</v>
      </c>
      <c r="B3" s="6" t="str">
        <f>IF(OR(ISTEXT([2]DFsmonkeyCompl!K4),ISNUMBER([2]DFsmonkeyCompl!K4)),[2]DFsmonkeyCompl!K4,"")</f>
        <v>UK Secured Lending III</v>
      </c>
      <c r="C3" s="7" cm="1">
        <f t="array" ref="C3">INDEX([2]DebtFundUniverse!$A$85:$A$95,MATCH(B3,[2]DebtFundUniverse!$B$85:$B$95,0),0)</f>
        <v>10000001</v>
      </c>
      <c r="D3" s="6" t="str">
        <f>INDEX([2]DebtFundUniverse!$B$2:$EU$200,MATCH([2]!DFanalysis[[#This Row],[ID]],[2]DebtFundUniverse!$A$2:$A$200,0),MATCH([2]!DFanalysis[[#Headers],[Loan Strategy]],[2]DebtFundUniverse!$B$1:$EU$1,0))</f>
        <v>Senior</v>
      </c>
      <c r="E3" s="6" t="str">
        <f>INDEX([2]DebtFundUniverse!$B$2:$EU$200,MATCH([2]!DFanalysis[[#This Row],[ID]],[2]DebtFundUniverse!$A$2:$A$200,0),MATCH([2]!DFanalysis[[#Headers],[Target Regional Strategy]],[2]DebtFundUniverse!$B$1:$EU$1,0))</f>
        <v>Europe</v>
      </c>
      <c r="F3" s="6" t="str">
        <f>INDEX([2]DebtFundUniverse!$B$2:$EU$200,MATCH([2]!DFanalysis[[#This Row],[ID]],[2]DebtFundUniverse!$A$2:$A$200,0),MATCH([2]!DFanalysis[[#Headers],[Vehicle Structure]],[2]DebtFundUniverse!$B$1:$EU$1,0))</f>
        <v>Closed end</v>
      </c>
      <c r="G3" s="6">
        <f>INDEX([2]DebtFundUniverse!$B$2:$EU$200,MATCH([2]!DFanalysis[[#This Row],[ID]],[2]DebtFundUniverse!$A$2:$A$200,0),MATCH([2]!DFanalysis[[#Headers],[year of first closing]],[2]DebtFundUniverse!$B$1:$EU$1,0))</f>
        <v>2020</v>
      </c>
      <c r="H3" s="6" t="str">
        <f>IF(ISBLANK([2]DFsmonkeyCompl!L4),"",[2]DFsmonkeyCompl!L4)</f>
        <v>Yes</v>
      </c>
      <c r="I3" s="6" t="str">
        <f>IF(ISBLANK([2]DFsmonkeyCompl!M4),"",[2]DFsmonkeyCompl!M4)</f>
        <v/>
      </c>
      <c r="J3" s="6" t="str">
        <f>IF(ISBLANK([2]DFsmonkeyCompl!N4),"",[2]DFsmonkeyCompl!N4)</f>
        <v/>
      </c>
      <c r="K3" s="6" t="str">
        <f>INDEX([2]DebtFundUniverse!$B$2:$EU$200,MATCH([2]!DFanalysis[[#This Row],[ID]],[2]DebtFundUniverse!$A$2:$A$200,0),MATCH([2]!DFanalysis[[#Headers],[Currency of Reporting]],[2]DebtFundUniverse!$B$1:$EU$1,0))</f>
        <v>GBP</v>
      </c>
      <c r="L3" s="8">
        <f>VLOOKUP([2]!DFanalysis[[#This Row],[Currency of Reporting]],'[2]Xrate31.12.20'!$K$1:$M$25,3,0)</f>
        <v>1.1130927885999999</v>
      </c>
      <c r="M3" s="8">
        <f>IFERROR(IF(ISBLANK([2]DFsmonkeyCompl!O4),"",[2]DFsmonkeyCompl!O4*[2]!DFanalysis[[#This Row],[EUR]]),"")</f>
        <v>400.71340389599999</v>
      </c>
      <c r="N3" s="8">
        <f>IFERROR(IF(ISBLANK([2]DFsmonkeyCompl!P4),"",[2]DFsmonkeyCompl!P4*[2]!DFanalysis[[#This Row],[EUR]]),"")</f>
        <v>400.71340389599999</v>
      </c>
      <c r="O3" s="8" t="str">
        <f>IFERROR(IF(ISBLANK([2]DFsmonkeyCompl!Q4),"",[2]DFsmonkeyCompl!Q4*[2]!DFanalysis[[#This Row],[EUR]]),"")</f>
        <v/>
      </c>
      <c r="P3" s="8" t="str">
        <f>IFERROR(IF(ISBLANK([2]DFsmonkeyCompl!R4),"",[2]DFsmonkeyCompl!R4*[2]!DFanalysis[[#This Row],[EUR]]),"")</f>
        <v/>
      </c>
      <c r="Q3" s="8" t="str">
        <f>IFERROR(IF(ISBLANK([2]DFsmonkeyCompl!S4),"",[2]DFsmonkeyCompl!S4*[2]!DFanalysis[[#This Row],[EUR]]),"")</f>
        <v/>
      </c>
      <c r="R3" s="8" t="str">
        <f>IFERROR(IF(ISBLANK([2]DFsmonkeyCompl!T4),"",[2]DFsmonkeyCompl!T4*[2]!DFanalysis[[#This Row],[EUR]]),"")</f>
        <v/>
      </c>
      <c r="S3" s="8" t="str">
        <f>IFERROR(IF(ISBLANK([2]DFsmonkeyCompl!U4),"",[2]DFsmonkeyCompl!U4*[2]!DFanalysis[[#This Row],[EUR]]),"")</f>
        <v/>
      </c>
      <c r="T3" s="8" t="str">
        <f>IFERROR(IF(ISBLANK([2]DFsmonkeyCompl!V4),"",[2]DFsmonkeyCompl!V4*[2]!DFanalysis[[#This Row],[EUR]]),"")</f>
        <v/>
      </c>
      <c r="U3" s="8" t="str">
        <f>IFERROR(IF(ISBLANK([2]DFsmonkeyCompl!W4),"",[2]DFsmonkeyCompl!W4*[2]!DFanalysis[[#This Row],[EUR]]),"")</f>
        <v/>
      </c>
      <c r="V3" s="8">
        <f>IFERROR(IF(ISBLANK([2]DFsmonkeyCompl!X4),"",[2]DFsmonkeyCompl!X4*[2]!DFanalysis[[#This Row],[EUR]]),"")</f>
        <v>400.71340389599999</v>
      </c>
      <c r="W3" s="8" t="str">
        <f>IFERROR(IF(ISBLANK([2]DFsmonkeyCompl!Y4),"",[2]DFsmonkeyCompl!Y4*[2]!DFanalysis[[#This Row],[EUR]]),"")</f>
        <v/>
      </c>
      <c r="X3" s="8" t="str">
        <f>IFERROR(IF(ISBLANK([2]DFsmonkeyCompl!Z4),"",[2]DFsmonkeyCompl!Z4*[2]!DFanalysis[[#This Row],[EUR]]),"")</f>
        <v/>
      </c>
      <c r="Y3" s="8" t="str">
        <f>IFERROR(IF(ISBLANK([2]DFsmonkeyCompl!AA4),"",[2]DFsmonkeyCompl!AA4*[2]!DFanalysis[[#This Row],[EUR]]),"")</f>
        <v/>
      </c>
      <c r="Z3" s="8" t="str">
        <f>IFERROR(IF(ISBLANK([2]DFsmonkeyCompl!AB4),"",[2]DFsmonkeyCompl!AB4*[2]!DFanalysis[[#This Row],[EUR]]),"")</f>
        <v/>
      </c>
      <c r="AA3" s="8" t="str">
        <f>IF(ISBLANK([2]DFsmonkeyCompl!AC4),"",[2]DFsmonkeyCompl!AC4)</f>
        <v/>
      </c>
      <c r="AB3" s="8" t="str">
        <f>IF(ISBLANK([2]DFsmonkeyCompl!AD4),"",[2]DFsmonkeyCompl!AD4)</f>
        <v/>
      </c>
      <c r="AC3" s="8">
        <f>IF(ISBLANK([2]DFsmonkeyCompl!AE4),"",[2]DFsmonkeyCompl!AE4)</f>
        <v>100</v>
      </c>
      <c r="AD3" s="8" t="str">
        <f>IF(ISBLANK([2]DFsmonkeyCompl!AF4),"",[2]DFsmonkeyCompl!AF4)</f>
        <v/>
      </c>
      <c r="AE3" s="8" t="str">
        <f>IF(ISBLANK([2]DFsmonkeyCompl!AG4),"",[2]DFsmonkeyCompl!AG4)</f>
        <v>Increase</v>
      </c>
      <c r="AF3" s="8" t="str">
        <f>IF(ISBLANK([2]DFsmonkeyCompl!AH4),"",[2]DFsmonkeyCompl!AH4)</f>
        <v>Yes</v>
      </c>
      <c r="AG3" s="8" t="str">
        <f ca="1">IFERROR(INDEX([2]DebtFundUniverse!$B$2:$EU$700,MATCH($C3,[2]DebtFundUniverse!$A$2:$A$700,0),MATCH($AG$1,[2]DebtFundUniverse!$B$1:$EU$1,0)),"")</f>
        <v/>
      </c>
      <c r="AH3" s="36">
        <f ca="1">IFERROR(INDEX([2]DebtFundUniverse!$B$2:$EU$700,MATCH($C3,[2]DebtFundUniverse!$A$2:$A$700,0),MATCH($AH$1,[2]DebtFundUniverse!$B$1:$EU$1,0)),"")</f>
        <v>0</v>
      </c>
    </row>
    <row r="4" spans="1:34" ht="14.25" thickTop="1" thickBot="1" x14ac:dyDescent="0.25">
      <c r="A4" s="9" t="str">
        <f>IF(OR(ISTEXT([2]DFsmonkeyCompl!J5),ISNUMBER([2]DFsmonkeyCompl!J5)),[2]DFsmonkeyCompl!J5,"")</f>
        <v>BentallGreenOak</v>
      </c>
      <c r="B4" s="6" t="str">
        <f>IF(OR(ISTEXT([2]DFsmonkeyCompl!K5),ISNUMBER([2]DFsmonkeyCompl!K5)),[2]DFsmonkeyCompl!K5,"")</f>
        <v>Europe Secured Lending II</v>
      </c>
      <c r="C4" s="7" cm="1">
        <f t="array" ref="C4">INDEX([2]DebtFundUniverse!$A$85:$A$95,MATCH(B4,[2]DebtFundUniverse!$B$85:$B$95,0),0)</f>
        <v>10000002</v>
      </c>
      <c r="D4" s="6" t="str">
        <f>INDEX([2]DebtFundUniverse!$B$2:$EU$200,MATCH([2]!DFanalysis[[#This Row],[ID]],[2]DebtFundUniverse!$A$2:$A$200,0),MATCH([2]!DFanalysis[[#Headers],[Loan Strategy]],[2]DebtFundUniverse!$B$1:$EU$1,0))</f>
        <v>Senior</v>
      </c>
      <c r="E4" s="6" t="str">
        <f>INDEX([2]DebtFundUniverse!$B$2:$EU$200,MATCH([2]!DFanalysis[[#This Row],[ID]],[2]DebtFundUniverse!$A$2:$A$200,0),MATCH([2]!DFanalysis[[#Headers],[Target Regional Strategy]],[2]DebtFundUniverse!$B$1:$EU$1,0))</f>
        <v>Europe</v>
      </c>
      <c r="F4" s="6" t="str">
        <f>INDEX([2]DebtFundUniverse!$B$2:$EU$200,MATCH([2]!DFanalysis[[#This Row],[ID]],[2]DebtFundUniverse!$A$2:$A$200,0),MATCH([2]!DFanalysis[[#Headers],[Vehicle Structure]],[2]DebtFundUniverse!$B$1:$EU$1,0))</f>
        <v>Closed end</v>
      </c>
      <c r="G4" s="6">
        <f>INDEX([2]DebtFundUniverse!$B$2:$EU$200,MATCH([2]!DFanalysis[[#This Row],[ID]],[2]DebtFundUniverse!$A$2:$A$200,0),MATCH([2]!DFanalysis[[#Headers],[year of first closing]],[2]DebtFundUniverse!$B$1:$EU$1,0))</f>
        <v>2020</v>
      </c>
      <c r="H4" s="6" t="str">
        <f>IF(ISBLANK([2]DFsmonkeyCompl!L5),"",[2]DFsmonkeyCompl!L5)</f>
        <v>Yes</v>
      </c>
      <c r="I4" s="6" t="str">
        <f>IF(ISBLANK([2]DFsmonkeyCompl!M5),"",[2]DFsmonkeyCompl!M5)</f>
        <v/>
      </c>
      <c r="J4" s="6" t="str">
        <f>IF(ISBLANK([2]DFsmonkeyCompl!N5),"",[2]DFsmonkeyCompl!N5)</f>
        <v/>
      </c>
      <c r="K4" s="6" t="str">
        <f>INDEX([2]DebtFundUniverse!$B$2:$EU$200,MATCH([2]!DFanalysis[[#This Row],[ID]],[2]DebtFundUniverse!$A$2:$A$200,0),MATCH([2]!DFanalysis[[#Headers],[Currency of Reporting]],[2]DebtFundUniverse!$B$1:$EU$1,0))</f>
        <v>GBP</v>
      </c>
      <c r="L4" s="8">
        <f>VLOOKUP([2]!DFanalysis[[#This Row],[Currency of Reporting]],'[2]Xrate31.12.20'!$K$1:$M$25,3,0)</f>
        <v>1.1130927885999999</v>
      </c>
      <c r="M4" s="8">
        <f>IFERROR(IF(ISBLANK([2]DFsmonkeyCompl!O5),"",[2]DFsmonkeyCompl!O5*[2]!DFanalysis[[#This Row],[EUR]]),"")</f>
        <v>122.44020674599999</v>
      </c>
      <c r="N4" s="8">
        <f>IFERROR(IF(ISBLANK([2]DFsmonkeyCompl!P5),"",[2]DFsmonkeyCompl!P5*[2]!DFanalysis[[#This Row],[EUR]]),"")</f>
        <v>122.44020674599999</v>
      </c>
      <c r="O4" s="8" t="str">
        <f>IFERROR(IF(ISBLANK([2]DFsmonkeyCompl!Q5),"",[2]DFsmonkeyCompl!Q5*[2]!DFanalysis[[#This Row],[EUR]]),"")</f>
        <v/>
      </c>
      <c r="P4" s="8" t="str">
        <f>IFERROR(IF(ISBLANK([2]DFsmonkeyCompl!R5),"",[2]DFsmonkeyCompl!R5*[2]!DFanalysis[[#This Row],[EUR]]),"")</f>
        <v/>
      </c>
      <c r="Q4" s="8" t="str">
        <f>IFERROR(IF(ISBLANK([2]DFsmonkeyCompl!S5),"",[2]DFsmonkeyCompl!S5*[2]!DFanalysis[[#This Row],[EUR]]),"")</f>
        <v/>
      </c>
      <c r="R4" s="8" t="str">
        <f>IFERROR(IF(ISBLANK([2]DFsmonkeyCompl!T5),"",[2]DFsmonkeyCompl!T5*[2]!DFanalysis[[#This Row],[EUR]]),"")</f>
        <v/>
      </c>
      <c r="S4" s="8" t="str">
        <f>IFERROR(IF(ISBLANK([2]DFsmonkeyCompl!U5),"",[2]DFsmonkeyCompl!U5*[2]!DFanalysis[[#This Row],[EUR]]),"")</f>
        <v/>
      </c>
      <c r="T4" s="8" t="str">
        <f>IFERROR(IF(ISBLANK([2]DFsmonkeyCompl!V5),"",[2]DFsmonkeyCompl!V5*[2]!DFanalysis[[#This Row],[EUR]]),"")</f>
        <v/>
      </c>
      <c r="U4" s="8" t="str">
        <f>IFERROR(IF(ISBLANK([2]DFsmonkeyCompl!W5),"",[2]DFsmonkeyCompl!W5*[2]!DFanalysis[[#This Row],[EUR]]),"")</f>
        <v/>
      </c>
      <c r="V4" s="8">
        <f>IFERROR(IF(ISBLANK([2]DFsmonkeyCompl!X5),"",[2]DFsmonkeyCompl!X5*[2]!DFanalysis[[#This Row],[EUR]]),"")</f>
        <v>122.44020674599999</v>
      </c>
      <c r="W4" s="8" t="str">
        <f>IFERROR(IF(ISBLANK([2]DFsmonkeyCompl!Y5),"",[2]DFsmonkeyCompl!Y5*[2]!DFanalysis[[#This Row],[EUR]]),"")</f>
        <v/>
      </c>
      <c r="X4" s="8" t="str">
        <f>IFERROR(IF(ISBLANK([2]DFsmonkeyCompl!Z5),"",[2]DFsmonkeyCompl!Z5*[2]!DFanalysis[[#This Row],[EUR]]),"")</f>
        <v/>
      </c>
      <c r="Y4" s="8" t="str">
        <f>IFERROR(IF(ISBLANK([2]DFsmonkeyCompl!AA5),"",[2]DFsmonkeyCompl!AA5*[2]!DFanalysis[[#This Row],[EUR]]),"")</f>
        <v/>
      </c>
      <c r="Z4" s="8" t="str">
        <f>IFERROR(IF(ISBLANK([2]DFsmonkeyCompl!AB5),"",[2]DFsmonkeyCompl!AB5*[2]!DFanalysis[[#This Row],[EUR]]),"")</f>
        <v/>
      </c>
      <c r="AA4" s="8" t="str">
        <f>IF(ISBLANK([2]DFsmonkeyCompl!AC5),"",[2]DFsmonkeyCompl!AC5)</f>
        <v/>
      </c>
      <c r="AB4" s="8" t="str">
        <f>IF(ISBLANK([2]DFsmonkeyCompl!AD5),"",[2]DFsmonkeyCompl!AD5)</f>
        <v/>
      </c>
      <c r="AC4" s="8">
        <f>IF(ISBLANK([2]DFsmonkeyCompl!AE5),"",[2]DFsmonkeyCompl!AE5)</f>
        <v>100</v>
      </c>
      <c r="AD4" s="8" t="str">
        <f>IF(ISBLANK([2]DFsmonkeyCompl!AF5),"",[2]DFsmonkeyCompl!AF5)</f>
        <v/>
      </c>
      <c r="AE4" s="8" t="str">
        <f>IF(ISBLANK([2]DFsmonkeyCompl!AG5),"",[2]DFsmonkeyCompl!AG5)</f>
        <v>Increase</v>
      </c>
      <c r="AF4" s="8" t="str">
        <f>IF(ISBLANK([2]DFsmonkeyCompl!AH5),"",[2]DFsmonkeyCompl!AH5)</f>
        <v>Yes</v>
      </c>
      <c r="AG4" s="8">
        <f ca="1">IFERROR(INDEX([2]DebtFundUniverse!$B$2:$EU$700,MATCH($C4,[2]DebtFundUniverse!$A$2:$A$700,0),MATCH($AG$1,[2]DebtFundUniverse!$B$1:$EU$1,0)),"")</f>
        <v>550000000</v>
      </c>
      <c r="AH4" s="36">
        <f ca="1">IFERROR(INDEX([2]DebtFundUniverse!$B$2:$EU$700,MATCH($C4,[2]DebtFundUniverse!$A$2:$A$700,0),MATCH($AH$1,[2]DebtFundUniverse!$B$1:$EU$1,0)),"")</f>
        <v>0</v>
      </c>
    </row>
    <row r="5" spans="1:34" ht="14.25" thickTop="1" thickBot="1" x14ac:dyDescent="0.25">
      <c r="A5" s="9" t="str">
        <f>IF(OR(ISTEXT([2]DFsmonkeyCompl!J6),ISNUMBER([2]DFsmonkeyCompl!J6)),[2]DFsmonkeyCompl!J6,"")</f>
        <v>SCOR Investment Partners</v>
      </c>
      <c r="B5" s="6" t="str">
        <f>IF(OR(ISTEXT([2]DFsmonkeyCompl!K6),ISNUMBER([2]DFsmonkeyCompl!K6)),[2]DFsmonkeyCompl!K6,"")</f>
        <v>SCOR Real Estate Loans IV</v>
      </c>
      <c r="C5" s="7" cm="1">
        <f t="array" ref="C5">INDEX([2]DebtFundUniverse!$A$85:$A$95,MATCH(B5,[2]DebtFundUniverse!$B$85:$B$95,0),0)</f>
        <v>76090</v>
      </c>
      <c r="D5" s="6" t="str">
        <f>INDEX([2]DebtFundUniverse!$B$2:$EU$200,MATCH([2]!DFanalysis[[#This Row],[ID]],[2]DebtFundUniverse!$A$2:$A$200,0),MATCH([2]!DFanalysis[[#Headers],[Loan Strategy]],[2]DebtFundUniverse!$B$1:$EU$1,0))</f>
        <v>Senior</v>
      </c>
      <c r="E5" s="6" t="str">
        <f>INDEX([2]DebtFundUniverse!$B$2:$EU$200,MATCH([2]!DFanalysis[[#This Row],[ID]],[2]DebtFundUniverse!$A$2:$A$200,0),MATCH([2]!DFanalysis[[#Headers],[Target Regional Strategy]],[2]DebtFundUniverse!$B$1:$EU$1,0))</f>
        <v>Europe</v>
      </c>
      <c r="F5" s="6" t="str">
        <f>INDEX([2]DebtFundUniverse!$B$2:$EU$200,MATCH([2]!DFanalysis[[#This Row],[ID]],[2]DebtFundUniverse!$A$2:$A$200,0),MATCH([2]!DFanalysis[[#Headers],[Vehicle Structure]],[2]DebtFundUniverse!$B$1:$EU$1,0))</f>
        <v>Closed end</v>
      </c>
      <c r="G5" s="6">
        <f>INDEX([2]DebtFundUniverse!$B$2:$EU$200,MATCH([2]!DFanalysis[[#This Row],[ID]],[2]DebtFundUniverse!$A$2:$A$200,0),MATCH([2]!DFanalysis[[#Headers],[year of first closing]],[2]DebtFundUniverse!$B$1:$EU$1,0))</f>
        <v>2020</v>
      </c>
      <c r="H5" s="6" t="str">
        <f>IF(ISBLANK([2]DFsmonkeyCompl!L6),"",[2]DFsmonkeyCompl!L6)</f>
        <v>Yes</v>
      </c>
      <c r="I5" s="6" t="str">
        <f>IF(ISBLANK([2]DFsmonkeyCompl!M6),"",[2]DFsmonkeyCompl!M6)</f>
        <v/>
      </c>
      <c r="J5" s="6" t="str">
        <f>IF(ISBLANK([2]DFsmonkeyCompl!N6),"",[2]DFsmonkeyCompl!N6)</f>
        <v/>
      </c>
      <c r="K5" s="6" t="str">
        <f>INDEX([2]DebtFundUniverse!$B$2:$EU$200,MATCH([2]!DFanalysis[[#This Row],[ID]],[2]DebtFundUniverse!$A$2:$A$200,0),MATCH([2]!DFanalysis[[#Headers],[Currency of Reporting]],[2]DebtFundUniverse!$B$1:$EU$1,0))</f>
        <v>EUR</v>
      </c>
      <c r="L5" s="8">
        <f>VLOOKUP([2]!DFanalysis[[#This Row],[Currency of Reporting]],'[2]Xrate31.12.20'!$K$1:$M$25,3,0)</f>
        <v>1</v>
      </c>
      <c r="M5" s="8">
        <f>IFERROR(IF(ISBLANK([2]DFsmonkeyCompl!O6),"",[2]DFsmonkeyCompl!O6*[2]!DFanalysis[[#This Row],[EUR]]),"")</f>
        <v>175</v>
      </c>
      <c r="N5" s="8">
        <f>IFERROR(IF(ISBLANK([2]DFsmonkeyCompl!P6),"",[2]DFsmonkeyCompl!P6*[2]!DFanalysis[[#This Row],[EUR]]),"")</f>
        <v>0</v>
      </c>
      <c r="O5" s="8">
        <f>IFERROR(IF(ISBLANK([2]DFsmonkeyCompl!Q6),"",[2]DFsmonkeyCompl!Q6*[2]!DFanalysis[[#This Row],[EUR]]),"")</f>
        <v>150</v>
      </c>
      <c r="P5" s="8">
        <f>IFERROR(IF(ISBLANK([2]DFsmonkeyCompl!R6),"",[2]DFsmonkeyCompl!R6*[2]!DFanalysis[[#This Row],[EUR]]),"")</f>
        <v>0</v>
      </c>
      <c r="Q5" s="8">
        <f>IFERROR(IF(ISBLANK([2]DFsmonkeyCompl!S6),"",[2]DFsmonkeyCompl!S6*[2]!DFanalysis[[#This Row],[EUR]]),"")</f>
        <v>0</v>
      </c>
      <c r="R5" s="8">
        <f>IFERROR(IF(ISBLANK([2]DFsmonkeyCompl!T6),"",[2]DFsmonkeyCompl!T6*[2]!DFanalysis[[#This Row],[EUR]]),"")</f>
        <v>0</v>
      </c>
      <c r="S5" s="8">
        <f>IFERROR(IF(ISBLANK([2]DFsmonkeyCompl!U6),"",[2]DFsmonkeyCompl!U6*[2]!DFanalysis[[#This Row],[EUR]]),"")</f>
        <v>0</v>
      </c>
      <c r="T5" s="8">
        <f>IFERROR(IF(ISBLANK([2]DFsmonkeyCompl!V6),"",[2]DFsmonkeyCompl!V6*[2]!DFanalysis[[#This Row],[EUR]]),"")</f>
        <v>0</v>
      </c>
      <c r="U5" s="8">
        <f>IFERROR(IF(ISBLANK([2]DFsmonkeyCompl!W6),"",[2]DFsmonkeyCompl!W6*[2]!DFanalysis[[#This Row],[EUR]]),"")</f>
        <v>25</v>
      </c>
      <c r="V5" s="8">
        <f>IFERROR(IF(ISBLANK([2]DFsmonkeyCompl!X6),"",[2]DFsmonkeyCompl!X6*[2]!DFanalysis[[#This Row],[EUR]]),"")</f>
        <v>175</v>
      </c>
      <c r="W5" s="8">
        <f>IFERROR(IF(ISBLANK([2]DFsmonkeyCompl!Y6),"",[2]DFsmonkeyCompl!Y6*[2]!DFanalysis[[#This Row],[EUR]]),"")</f>
        <v>0</v>
      </c>
      <c r="X5" s="8">
        <f>IFERROR(IF(ISBLANK([2]DFsmonkeyCompl!Z6),"",[2]DFsmonkeyCompl!Z6*[2]!DFanalysis[[#This Row],[EUR]]),"")</f>
        <v>0</v>
      </c>
      <c r="Y5" s="8">
        <f>IFERROR(IF(ISBLANK([2]DFsmonkeyCompl!AA6),"",[2]DFsmonkeyCompl!AA6*[2]!DFanalysis[[#This Row],[EUR]]),"")</f>
        <v>0</v>
      </c>
      <c r="Z5" s="8">
        <f>IFERROR(IF(ISBLANK([2]DFsmonkeyCompl!AB6),"",[2]DFsmonkeyCompl!AB6*[2]!DFanalysis[[#This Row],[EUR]]),"")</f>
        <v>0</v>
      </c>
      <c r="AA5" s="8">
        <f>IF(ISBLANK([2]DFsmonkeyCompl!AC6),"",[2]DFsmonkeyCompl!AC6)</f>
        <v>0</v>
      </c>
      <c r="AB5" s="8">
        <f>IF(ISBLANK([2]DFsmonkeyCompl!AD6),"",[2]DFsmonkeyCompl!AD6)</f>
        <v>0</v>
      </c>
      <c r="AC5" s="8">
        <f>IF(ISBLANK([2]DFsmonkeyCompl!AE6),"",[2]DFsmonkeyCompl!AE6)</f>
        <v>100</v>
      </c>
      <c r="AD5" s="8">
        <f>IF(ISBLANK([2]DFsmonkeyCompl!AF6),"",[2]DFsmonkeyCompl!AF6)</f>
        <v>0</v>
      </c>
      <c r="AE5" s="8" t="str">
        <f>IF(ISBLANK([2]DFsmonkeyCompl!AG6),"",[2]DFsmonkeyCompl!AG6)</f>
        <v>No change</v>
      </c>
      <c r="AF5" s="8" t="str">
        <f>IF(ISBLANK([2]DFsmonkeyCompl!AH6),"",[2]DFsmonkeyCompl!AH6)</f>
        <v>No</v>
      </c>
      <c r="AG5" s="8">
        <f ca="1">IFERROR(INDEX([2]DebtFundUniverse!$B$2:$EU$700,MATCH($C5,[2]DebtFundUniverse!$A$2:$A$700,0),MATCH($AG$1,[2]DebtFundUniverse!$B$1:$EU$1,0)),"")</f>
        <v>1000000000</v>
      </c>
      <c r="AH5" s="36">
        <f ca="1">IFERROR(INDEX([2]DebtFundUniverse!$B$2:$EU$700,MATCH($C5,[2]DebtFundUniverse!$A$2:$A$700,0),MATCH($AH$1,[2]DebtFundUniverse!$B$1:$EU$1,0)),"")</f>
        <v>0</v>
      </c>
    </row>
    <row r="6" spans="1:34" ht="14.25" thickTop="1" thickBot="1" x14ac:dyDescent="0.25">
      <c r="A6" s="5" t="str">
        <f>IF(OR(ISTEXT([2]DFsmonkeyCompl!J7),ISNUMBER([2]DFsmonkeyCompl!J7)),[2]DFsmonkeyCompl!J7,"")</f>
        <v xml:space="preserve">LaSalle Investment Management </v>
      </c>
      <c r="B6" s="6" t="str">
        <f>IF(OR(ISTEXT([2]DFsmonkeyCompl!K7),ISNUMBER([2]DFsmonkeyCompl!K7)),[2]DFsmonkeyCompl!K7,"")</f>
        <v>LaSalle Real Estate Debt Strategies IV</v>
      </c>
      <c r="C6" s="7">
        <v>18415</v>
      </c>
      <c r="D6" s="6" t="str">
        <f>INDEX([2]DebtFundUniverse!$B$2:$EU$200,MATCH([2]!DFanalysis[[#This Row],[ID]],[2]DebtFundUniverse!$A$2:$A$200,0),MATCH([2]!DFanalysis[[#Headers],[Loan Strategy]],[2]DebtFundUniverse!$B$1:$EU$1,0))</f>
        <v>Subordinated: Junior+Mezzanine</v>
      </c>
      <c r="E6" s="6" t="str">
        <f>INDEX([2]DebtFundUniverse!$B$2:$EU$200,MATCH([2]!DFanalysis[[#This Row],[ID]],[2]DebtFundUniverse!$A$2:$A$200,0),MATCH([2]!DFanalysis[[#Headers],[Target Regional Strategy]],[2]DebtFundUniverse!$B$1:$EU$1,0))</f>
        <v>Europe</v>
      </c>
      <c r="F6" s="6" t="str">
        <f>INDEX([2]DebtFundUniverse!$B$2:$EU$200,MATCH([2]!DFanalysis[[#This Row],[ID]],[2]DebtFundUniverse!$A$2:$A$200,0),MATCH([2]!DFanalysis[[#Headers],[Vehicle Structure]],[2]DebtFundUniverse!$B$1:$EU$1,0))</f>
        <v>Closed end</v>
      </c>
      <c r="G6" s="6">
        <f>INDEX([2]DebtFundUniverse!$B$2:$EU$200,MATCH([2]!DFanalysis[[#This Row],[ID]],[2]DebtFundUniverse!$A$2:$A$200,0),MATCH([2]!DFanalysis[[#Headers],[year of first closing]],[2]DebtFundUniverse!$B$1:$EU$1,0))</f>
        <v>2020</v>
      </c>
      <c r="H6" s="6" t="str">
        <f>IF(ISBLANK([2]DFsmonkeyCompl!L7),"",[2]DFsmonkeyCompl!L7)</f>
        <v>Yes</v>
      </c>
      <c r="I6" s="6" t="str">
        <f>IF(ISBLANK([2]DFsmonkeyCompl!M7),"",[2]DFsmonkeyCompl!M7)</f>
        <v/>
      </c>
      <c r="J6" s="6" t="str">
        <f>IF(ISBLANK([2]DFsmonkeyCompl!N7),"",[2]DFsmonkeyCompl!N7)</f>
        <v/>
      </c>
      <c r="K6" s="6" t="str">
        <f>INDEX([2]DebtFundUniverse!$B$2:$EU$200,MATCH([2]!DFanalysis[[#This Row],[ID]],[2]DebtFundUniverse!$A$2:$A$200,0),MATCH([2]!DFanalysis[[#Headers],[Currency of Reporting]],[2]DebtFundUniverse!$B$1:$EU$1,0))</f>
        <v>EUR</v>
      </c>
      <c r="L6" s="8">
        <f>VLOOKUP([2]!DFanalysis[[#This Row],[Currency of Reporting]],'[2]Xrate31.12.20'!$K$1:$M$25,3,0)</f>
        <v>1</v>
      </c>
      <c r="M6" s="8">
        <f>IFERROR(IF(ISBLANK([2]DFsmonkeyCompl!O7),"",[2]DFsmonkeyCompl!O7*[2]!DFanalysis[[#This Row],[EUR]]),"")</f>
        <v>435</v>
      </c>
      <c r="N6" s="8">
        <f>IFERROR(IF(ISBLANK([2]DFsmonkeyCompl!P7),"",[2]DFsmonkeyCompl!P7*[2]!DFanalysis[[#This Row],[EUR]]),"")</f>
        <v>310</v>
      </c>
      <c r="O6" s="8">
        <f>IFERROR(IF(ISBLANK([2]DFsmonkeyCompl!Q7),"",[2]DFsmonkeyCompl!Q7*[2]!DFanalysis[[#This Row],[EUR]]),"")</f>
        <v>100</v>
      </c>
      <c r="P6" s="8" t="str">
        <f>IFERROR(IF(ISBLANK([2]DFsmonkeyCompl!R7),"",[2]DFsmonkeyCompl!R7*[2]!DFanalysis[[#This Row],[EUR]]),"")</f>
        <v/>
      </c>
      <c r="Q6" s="8" t="str">
        <f>IFERROR(IF(ISBLANK([2]DFsmonkeyCompl!S7),"",[2]DFsmonkeyCompl!S7*[2]!DFanalysis[[#This Row],[EUR]]),"")</f>
        <v/>
      </c>
      <c r="R6" s="8" t="str">
        <f>IFERROR(IF(ISBLANK([2]DFsmonkeyCompl!T7),"",[2]DFsmonkeyCompl!T7*[2]!DFanalysis[[#This Row],[EUR]]),"")</f>
        <v/>
      </c>
      <c r="S6" s="8" t="str">
        <f>IFERROR(IF(ISBLANK([2]DFsmonkeyCompl!U7),"",[2]DFsmonkeyCompl!U7*[2]!DFanalysis[[#This Row],[EUR]]),"")</f>
        <v/>
      </c>
      <c r="T6" s="8" t="str">
        <f>IFERROR(IF(ISBLANK([2]DFsmonkeyCompl!V7),"",[2]DFsmonkeyCompl!V7*[2]!DFanalysis[[#This Row],[EUR]]),"")</f>
        <v/>
      </c>
      <c r="U6" s="8">
        <f>IFERROR(IF(ISBLANK([2]DFsmonkeyCompl!W7),"",[2]DFsmonkeyCompl!W7*[2]!DFanalysis[[#This Row],[EUR]]),"")</f>
        <v>25</v>
      </c>
      <c r="V6" s="8">
        <f>IFERROR(IF(ISBLANK([2]DFsmonkeyCompl!X7),"",[2]DFsmonkeyCompl!X7*[2]!DFanalysis[[#This Row],[EUR]]),"")</f>
        <v>180</v>
      </c>
      <c r="W6" s="8">
        <f>IFERROR(IF(ISBLANK([2]DFsmonkeyCompl!Y7),"",[2]DFsmonkeyCompl!Y7*[2]!DFanalysis[[#This Row],[EUR]]),"")</f>
        <v>230</v>
      </c>
      <c r="X6" s="8">
        <f>IFERROR(IF(ISBLANK([2]DFsmonkeyCompl!Z7),"",[2]DFsmonkeyCompl!Z7*[2]!DFanalysis[[#This Row],[EUR]]),"")</f>
        <v>25</v>
      </c>
      <c r="Y6" s="8" t="str">
        <f>IFERROR(IF(ISBLANK([2]DFsmonkeyCompl!AA7),"",[2]DFsmonkeyCompl!AA7*[2]!DFanalysis[[#This Row],[EUR]]),"")</f>
        <v/>
      </c>
      <c r="Z6" s="8" t="str">
        <f>IFERROR(IF(ISBLANK([2]DFsmonkeyCompl!AB7),"",[2]DFsmonkeyCompl!AB7*[2]!DFanalysis[[#This Row],[EUR]]),"")</f>
        <v/>
      </c>
      <c r="AA6" s="8" t="str">
        <f>IF(ISBLANK([2]DFsmonkeyCompl!AC7),"",[2]DFsmonkeyCompl!AC7)</f>
        <v/>
      </c>
      <c r="AB6" s="8" t="str">
        <f>IF(ISBLANK([2]DFsmonkeyCompl!AD7),"",[2]DFsmonkeyCompl!AD7)</f>
        <v/>
      </c>
      <c r="AC6" s="8">
        <f>IF(ISBLANK([2]DFsmonkeyCompl!AE7),"",[2]DFsmonkeyCompl!AE7)</f>
        <v>100</v>
      </c>
      <c r="AD6" s="8" t="str">
        <f>IF(ISBLANK([2]DFsmonkeyCompl!AF7),"",[2]DFsmonkeyCompl!AF7)</f>
        <v/>
      </c>
      <c r="AE6" s="8" t="str">
        <f>IF(ISBLANK([2]DFsmonkeyCompl!AG7),"",[2]DFsmonkeyCompl!AG7)</f>
        <v>Increase</v>
      </c>
      <c r="AF6" s="8" t="str">
        <f>IF(ISBLANK([2]DFsmonkeyCompl!AH7),"",[2]DFsmonkeyCompl!AH7)</f>
        <v>Yes</v>
      </c>
      <c r="AG6" s="8">
        <f ca="1">IFERROR(INDEX([2]DebtFundUniverse!$B$2:$EU$700,MATCH($C6,[2]DebtFundUniverse!$A$2:$A$700,0),MATCH($AG$1,[2]DebtFundUniverse!$B$1:$EU$1,0)),"")</f>
        <v>131000000</v>
      </c>
      <c r="AH6" s="36">
        <f ca="1">IFERROR(INDEX([2]DebtFundUniverse!$B$2:$EU$700,MATCH($C6,[2]DebtFundUniverse!$A$2:$A$700,0),MATCH($AH$1,[2]DebtFundUniverse!$B$1:$EU$1,0)),"")</f>
        <v>0</v>
      </c>
    </row>
    <row r="7" spans="1:34" ht="14.25" thickTop="1" thickBot="1" x14ac:dyDescent="0.25">
      <c r="A7" s="9" t="str">
        <f>IF(OR(ISTEXT([2]DFsmonkeyCompl!J8),ISNUMBER([2]DFsmonkeyCompl!J8)),[2]DFsmonkeyCompl!J8,"")</f>
        <v>Octopus Investments</v>
      </c>
      <c r="B7" s="6" t="str">
        <f>IF(OR(ISTEXT([2]DFsmonkeyCompl!K8),ISNUMBER([2]DFsmonkeyCompl!K8)),[2]DFsmonkeyCompl!K8,"")</f>
        <v xml:space="preserve">Commercial Real Estate Debt Fund </v>
      </c>
      <c r="C7" s="7" t="e" cm="1">
        <f t="array" ref="C7">INDEX([2]DebtFundUniverse!$A$85:$A$95,MATCH(B7,[2]DebtFundUniverse!$B$85:$B$95,0),0)</f>
        <v>#N/A</v>
      </c>
      <c r="D7" s="6" t="str">
        <f>INDEX([2]DebtFundUniverse!$B$2:$EU$200,MATCH([2]!DFanalysis[[#This Row],[ID]],[2]DebtFundUniverse!$A$2:$A$200,0),MATCH([2]!DFanalysis[[#Headers],[Loan Strategy]],[2]DebtFundUniverse!$B$1:$EU$1,0))</f>
        <v>Senior</v>
      </c>
      <c r="E7" s="6" t="str">
        <f>INDEX([2]DebtFundUniverse!$B$2:$EU$200,MATCH([2]!DFanalysis[[#This Row],[ID]],[2]DebtFundUniverse!$A$2:$A$200,0),MATCH([2]!DFanalysis[[#Headers],[Target Regional Strategy]],[2]DebtFundUniverse!$B$1:$EU$1,0))</f>
        <v>Europe</v>
      </c>
      <c r="F7" s="6" t="str">
        <f>INDEX([2]DebtFundUniverse!$B$2:$EU$200,MATCH([2]!DFanalysis[[#This Row],[ID]],[2]DebtFundUniverse!$A$2:$A$200,0),MATCH([2]!DFanalysis[[#Headers],[Vehicle Structure]],[2]DebtFundUniverse!$B$1:$EU$1,0))</f>
        <v>Closed end</v>
      </c>
      <c r="G7" s="6">
        <f>INDEX([2]DebtFundUniverse!$B$2:$EU$200,MATCH([2]!DFanalysis[[#This Row],[ID]],[2]DebtFundUniverse!$A$2:$A$200,0),MATCH([2]!DFanalysis[[#Headers],[year of first closing]],[2]DebtFundUniverse!$B$1:$EU$1,0))</f>
        <v>2014</v>
      </c>
      <c r="H7" s="6" t="str">
        <f>IF(ISBLANK([2]DFsmonkeyCompl!L8),"",[2]DFsmonkeyCompl!L8)</f>
        <v>No</v>
      </c>
      <c r="I7" s="6" t="str">
        <f>IF(ISBLANK([2]DFsmonkeyCompl!M8),"",[2]DFsmonkeyCompl!M8)</f>
        <v>Other (please specify)</v>
      </c>
      <c r="J7" s="6" t="str">
        <f>IF(ISBLANK([2]DFsmonkeyCompl!N8),"",[2]DFsmonkeyCompl!N8)</f>
        <v xml:space="preserve">Market </v>
      </c>
      <c r="K7" s="6" t="str">
        <f>INDEX([2]DebtFundUniverse!$B$2:$EU$200,MATCH([2]!DFanalysis[[#This Row],[ID]],[2]DebtFundUniverse!$A$2:$A$200,0),MATCH([2]!DFanalysis[[#Headers],[Currency of Reporting]],[2]DebtFundUniverse!$B$1:$EU$1,0))</f>
        <v>GBP</v>
      </c>
      <c r="L7" s="8">
        <f>VLOOKUP([2]!DFanalysis[[#This Row],[Currency of Reporting]],'[2]Xrate31.12.20'!$K$1:$M$25,3,0)</f>
        <v>1.1130927885999999</v>
      </c>
      <c r="M7" s="8" t="str">
        <f>IFERROR(IF(ISBLANK([2]DFsmonkeyCompl!O8),"",[2]DFsmonkeyCompl!O8*[2]!DFanalysis[[#This Row],[EUR]]),"")</f>
        <v/>
      </c>
      <c r="N7" s="8" t="str">
        <f>IFERROR(IF(ISBLANK([2]DFsmonkeyCompl!P8),"",[2]DFsmonkeyCompl!P8*[2]!DFanalysis[[#This Row],[EUR]]),"")</f>
        <v/>
      </c>
      <c r="O7" s="8" t="str">
        <f>IFERROR(IF(ISBLANK([2]DFsmonkeyCompl!Q8),"",[2]DFsmonkeyCompl!Q8*[2]!DFanalysis[[#This Row],[EUR]]),"")</f>
        <v/>
      </c>
      <c r="P7" s="8" t="str">
        <f>IFERROR(IF(ISBLANK([2]DFsmonkeyCompl!R8),"",[2]DFsmonkeyCompl!R8*[2]!DFanalysis[[#This Row],[EUR]]),"")</f>
        <v/>
      </c>
      <c r="Q7" s="8" t="str">
        <f>IFERROR(IF(ISBLANK([2]DFsmonkeyCompl!S8),"",[2]DFsmonkeyCompl!S8*[2]!DFanalysis[[#This Row],[EUR]]),"")</f>
        <v/>
      </c>
      <c r="R7" s="8" t="str">
        <f>IFERROR(IF(ISBLANK([2]DFsmonkeyCompl!T8),"",[2]DFsmonkeyCompl!T8*[2]!DFanalysis[[#This Row],[EUR]]),"")</f>
        <v/>
      </c>
      <c r="S7" s="8" t="str">
        <f>IFERROR(IF(ISBLANK([2]DFsmonkeyCompl!U8),"",[2]DFsmonkeyCompl!U8*[2]!DFanalysis[[#This Row],[EUR]]),"")</f>
        <v/>
      </c>
      <c r="T7" s="8" t="str">
        <f>IFERROR(IF(ISBLANK([2]DFsmonkeyCompl!V8),"",[2]DFsmonkeyCompl!V8*[2]!DFanalysis[[#This Row],[EUR]]),"")</f>
        <v/>
      </c>
      <c r="U7" s="8" t="str">
        <f>IFERROR(IF(ISBLANK([2]DFsmonkeyCompl!W8),"",[2]DFsmonkeyCompl!W8*[2]!DFanalysis[[#This Row],[EUR]]),"")</f>
        <v/>
      </c>
      <c r="V7" s="8" t="str">
        <f>IFERROR(IF(ISBLANK([2]DFsmonkeyCompl!X8),"",[2]DFsmonkeyCompl!X8*[2]!DFanalysis[[#This Row],[EUR]]),"")</f>
        <v/>
      </c>
      <c r="W7" s="8" t="str">
        <f>IFERROR(IF(ISBLANK([2]DFsmonkeyCompl!Y8),"",[2]DFsmonkeyCompl!Y8*[2]!DFanalysis[[#This Row],[EUR]]),"")</f>
        <v/>
      </c>
      <c r="X7" s="8" t="str">
        <f>IFERROR(IF(ISBLANK([2]DFsmonkeyCompl!Z8),"",[2]DFsmonkeyCompl!Z8*[2]!DFanalysis[[#This Row],[EUR]]),"")</f>
        <v/>
      </c>
      <c r="Y7" s="8" t="str">
        <f>IFERROR(IF(ISBLANK([2]DFsmonkeyCompl!AA8),"",[2]DFsmonkeyCompl!AA8*[2]!DFanalysis[[#This Row],[EUR]]),"")</f>
        <v/>
      </c>
      <c r="Z7" s="8" t="str">
        <f>IFERROR(IF(ISBLANK([2]DFsmonkeyCompl!AB8),"",[2]DFsmonkeyCompl!AB8*[2]!DFanalysis[[#This Row],[EUR]]),"")</f>
        <v/>
      </c>
      <c r="AA7" s="8" t="str">
        <f>IF(ISBLANK([2]DFsmonkeyCompl!AC8),"",[2]DFsmonkeyCompl!AC8)</f>
        <v/>
      </c>
      <c r="AB7" s="8" t="str">
        <f>IF(ISBLANK([2]DFsmonkeyCompl!AD8),"",[2]DFsmonkeyCompl!AD8)</f>
        <v/>
      </c>
      <c r="AC7" s="8" t="str">
        <f>IF(ISBLANK([2]DFsmonkeyCompl!AE8),"",[2]DFsmonkeyCompl!AE8)</f>
        <v/>
      </c>
      <c r="AD7" s="8" t="str">
        <f>IF(ISBLANK([2]DFsmonkeyCompl!AF8),"",[2]DFsmonkeyCompl!AF8)</f>
        <v/>
      </c>
      <c r="AE7" s="8" t="str">
        <f>IF(ISBLANK([2]DFsmonkeyCompl!AG8),"",[2]DFsmonkeyCompl!AG8)</f>
        <v>Increase</v>
      </c>
      <c r="AF7" s="8" t="str">
        <f>IF(ISBLANK([2]DFsmonkeyCompl!AH8),"",[2]DFsmonkeyCompl!AH8)</f>
        <v>Yes</v>
      </c>
      <c r="AG7" s="8">
        <f ca="1">IFERROR(INDEX([2]DebtFundUniverse!$B$2:$EU$700,MATCH($C7,[2]DebtFundUniverse!$A$2:$A$700,0),MATCH($AG$1,[2]DebtFundUniverse!$B$1:$EU$1,0)),"")</f>
        <v>0</v>
      </c>
      <c r="AH7" s="36">
        <f ca="1">IFERROR(INDEX([2]DebtFundUniverse!$B$2:$EU$700,MATCH($C7,[2]DebtFundUniverse!$A$2:$A$700,0),MATCH($AH$1,[2]DebtFundUniverse!$B$1:$EU$1,0)),"")</f>
        <v>0</v>
      </c>
    </row>
    <row r="8" spans="1:34" ht="13.5" thickTop="1" x14ac:dyDescent="0.2">
      <c r="A8" s="5" t="str">
        <f>IF(OR(ISTEXT([2]DFsmonkeyCompl!J9),ISNUMBER([2]DFsmonkeyCompl!J9)),[2]DFsmonkeyCompl!J9,"")</f>
        <v>LaSalle Investment Management</v>
      </c>
      <c r="B8" s="6" t="str">
        <f>IF(OR(ISTEXT([2]DFsmonkeyCompl!K9),ISNUMBER([2]DFsmonkeyCompl!K9)),[2]DFsmonkeyCompl!K9,"")</f>
        <v>LaSalle Whole Loan Strategy I</v>
      </c>
      <c r="C8" s="7" cm="1">
        <f t="array" ref="C8">INDEX([2]DebtFundUniverse!$A$85:$A$95,MATCH(B8,[2]DebtFundUniverse!$B$85:$B$95,0),0)</f>
        <v>101287</v>
      </c>
      <c r="D8" s="6" t="str">
        <f>INDEX([2]DebtFundUniverse!$B$2:$EU$200,MATCH([2]!DFanalysis[[#This Row],[ID]],[2]DebtFundUniverse!$A$2:$A$200,0),MATCH([2]!DFanalysis[[#Headers],[Loan Strategy]],[2]DebtFundUniverse!$B$1:$EU$1,0))</f>
        <v>Whole Loans</v>
      </c>
      <c r="E8" s="6" t="str">
        <f>INDEX([2]DebtFundUniverse!$B$2:$EU$200,MATCH([2]!DFanalysis[[#This Row],[ID]],[2]DebtFundUniverse!$A$2:$A$200,0),MATCH([2]!DFanalysis[[#Headers],[Target Regional Strategy]],[2]DebtFundUniverse!$B$1:$EU$1,0))</f>
        <v>Europe</v>
      </c>
      <c r="F8" s="6" t="str">
        <f>INDEX([2]DebtFundUniverse!$B$2:$EU$200,MATCH([2]!DFanalysis[[#This Row],[ID]],[2]DebtFundUniverse!$A$2:$A$200,0),MATCH([2]!DFanalysis[[#Headers],[Vehicle Structure]],[2]DebtFundUniverse!$B$1:$EU$1,0))</f>
        <v>Closed end</v>
      </c>
      <c r="G8" s="6">
        <f>INDEX([2]DebtFundUniverse!$B$2:$EU$200,MATCH([2]!DFanalysis[[#This Row],[ID]],[2]DebtFundUniverse!$A$2:$A$200,0),MATCH([2]!DFanalysis[[#Headers],[year of first closing]],[2]DebtFundUniverse!$B$1:$EU$1,0))</f>
        <v>2019</v>
      </c>
      <c r="H8" s="6" t="str">
        <f>IF(ISBLANK([2]DFsmonkeyCompl!L9),"",[2]DFsmonkeyCompl!L9)</f>
        <v>Yes</v>
      </c>
      <c r="I8" s="6" t="str">
        <f>IF(ISBLANK([2]DFsmonkeyCompl!M9),"",[2]DFsmonkeyCompl!M9)</f>
        <v/>
      </c>
      <c r="J8" s="6" t="str">
        <f>IF(ISBLANK([2]DFsmonkeyCompl!N9),"",[2]DFsmonkeyCompl!N9)</f>
        <v/>
      </c>
      <c r="K8" s="6" t="str">
        <f>INDEX([2]DebtFundUniverse!$B$2:$EU$200,MATCH([2]!DFanalysis[[#This Row],[ID]],[2]DebtFundUniverse!$A$2:$A$200,0),MATCH([2]!DFanalysis[[#Headers],[Currency of Reporting]],[2]DebtFundUniverse!$B$1:$EU$1,0))</f>
        <v>EUR</v>
      </c>
      <c r="L8" s="8">
        <f>VLOOKUP([2]!DFanalysis[[#This Row],[Currency of Reporting]],'[2]Xrate31.12.20'!$K$1:$M$25,3,0)</f>
        <v>1</v>
      </c>
      <c r="M8" s="8">
        <f>IFERROR(IF(ISBLANK([2]DFsmonkeyCompl!O9),"",[2]DFsmonkeyCompl!O9*[2]!DFanalysis[[#This Row],[EUR]]),"")</f>
        <v>300</v>
      </c>
      <c r="N8" s="8" t="str">
        <f>IFERROR(IF(ISBLANK([2]DFsmonkeyCompl!P9),"",[2]DFsmonkeyCompl!P9*[2]!DFanalysis[[#This Row],[EUR]]),"")</f>
        <v/>
      </c>
      <c r="O8" s="8">
        <f>IFERROR(IF(ISBLANK([2]DFsmonkeyCompl!Q9),"",[2]DFsmonkeyCompl!Q9*[2]!DFanalysis[[#This Row],[EUR]]),"")</f>
        <v>300</v>
      </c>
      <c r="P8" s="8" t="str">
        <f>IFERROR(IF(ISBLANK([2]DFsmonkeyCompl!R9),"",[2]DFsmonkeyCompl!R9*[2]!DFanalysis[[#This Row],[EUR]]),"")</f>
        <v/>
      </c>
      <c r="Q8" s="8" t="str">
        <f>IFERROR(IF(ISBLANK([2]DFsmonkeyCompl!S9),"",[2]DFsmonkeyCompl!S9*[2]!DFanalysis[[#This Row],[EUR]]),"")</f>
        <v/>
      </c>
      <c r="R8" s="8" t="str">
        <f>IFERROR(IF(ISBLANK([2]DFsmonkeyCompl!T9),"",[2]DFsmonkeyCompl!T9*[2]!DFanalysis[[#This Row],[EUR]]),"")</f>
        <v/>
      </c>
      <c r="S8" s="8" t="str">
        <f>IFERROR(IF(ISBLANK([2]DFsmonkeyCompl!U9),"",[2]DFsmonkeyCompl!U9*[2]!DFanalysis[[#This Row],[EUR]]),"")</f>
        <v/>
      </c>
      <c r="T8" s="8" t="str">
        <f>IFERROR(IF(ISBLANK([2]DFsmonkeyCompl!V9),"",[2]DFsmonkeyCompl!V9*[2]!DFanalysis[[#This Row],[EUR]]),"")</f>
        <v/>
      </c>
      <c r="U8" s="8" t="str">
        <f>IFERROR(IF(ISBLANK([2]DFsmonkeyCompl!W9),"",[2]DFsmonkeyCompl!W9*[2]!DFanalysis[[#This Row],[EUR]]),"")</f>
        <v/>
      </c>
      <c r="V8" s="8">
        <f>IFERROR(IF(ISBLANK([2]DFsmonkeyCompl!X9),"",[2]DFsmonkeyCompl!X9*[2]!DFanalysis[[#This Row],[EUR]]),"")</f>
        <v>300</v>
      </c>
      <c r="W8" s="8" t="str">
        <f>IFERROR(IF(ISBLANK([2]DFsmonkeyCompl!Y9),"",[2]DFsmonkeyCompl!Y9*[2]!DFanalysis[[#This Row],[EUR]]),"")</f>
        <v/>
      </c>
      <c r="X8" s="8" t="str">
        <f>IFERROR(IF(ISBLANK([2]DFsmonkeyCompl!Z9),"",[2]DFsmonkeyCompl!Z9*[2]!DFanalysis[[#This Row],[EUR]]),"")</f>
        <v/>
      </c>
      <c r="Y8" s="8" t="str">
        <f>IFERROR(IF(ISBLANK([2]DFsmonkeyCompl!AA9),"",[2]DFsmonkeyCompl!AA9*[2]!DFanalysis[[#This Row],[EUR]]),"")</f>
        <v/>
      </c>
      <c r="Z8" s="8" t="str">
        <f>IFERROR(IF(ISBLANK([2]DFsmonkeyCompl!AB9),"",[2]DFsmonkeyCompl!AB9*[2]!DFanalysis[[#This Row],[EUR]]),"")</f>
        <v/>
      </c>
      <c r="AA8" s="8" t="str">
        <f>IF(ISBLANK([2]DFsmonkeyCompl!AC9),"",[2]DFsmonkeyCompl!AC9)</f>
        <v/>
      </c>
      <c r="AB8" s="8" t="str">
        <f>IF(ISBLANK([2]DFsmonkeyCompl!AD9),"",[2]DFsmonkeyCompl!AD9)</f>
        <v/>
      </c>
      <c r="AC8" s="8">
        <f>IF(ISBLANK([2]DFsmonkeyCompl!AE9),"",[2]DFsmonkeyCompl!AE9)</f>
        <v>100</v>
      </c>
      <c r="AD8" s="8" t="str">
        <f>IF(ISBLANK([2]DFsmonkeyCompl!AF9),"",[2]DFsmonkeyCompl!AF9)</f>
        <v/>
      </c>
      <c r="AE8" s="8" t="str">
        <f>IF(ISBLANK([2]DFsmonkeyCompl!AG9),"",[2]DFsmonkeyCompl!AG9)</f>
        <v>Increase</v>
      </c>
      <c r="AF8" s="8" t="str">
        <f>IF(ISBLANK([2]DFsmonkeyCompl!AH9),"",[2]DFsmonkeyCompl!AH9)</f>
        <v>Yes</v>
      </c>
      <c r="AG8" s="8">
        <f ca="1">IFERROR(INDEX([2]DebtFundUniverse!$B$2:$EU$700,MATCH($C8,[2]DebtFundUniverse!$A$2:$A$700,0),MATCH($AG$1,[2]DebtFundUniverse!$B$1:$EU$1,0)),"")</f>
        <v>1000000000</v>
      </c>
      <c r="AH8" s="36">
        <f ca="1">IFERROR(INDEX([2]DebtFundUniverse!$B$2:$EU$700,MATCH($C8,[2]DebtFundUniverse!$A$2:$A$700,0),MATCH($AH$1,[2]DebtFundUniverse!$B$1:$EU$1,0)),"")</f>
        <v>0</v>
      </c>
    </row>
    <row r="9" spans="1:34" x14ac:dyDescent="0.2">
      <c r="A9" s="5" t="str">
        <f>IF(OR(ISTEXT([2]DFsmonkeyCompl!J10),ISNUMBER([2]DFsmonkeyCompl!J10)),[2]DFsmonkeyCompl!J10,"")</f>
        <v>LaSalle Investment Management</v>
      </c>
      <c r="B9" s="6" t="str">
        <f>IF(OR(ISTEXT([2]DFsmonkeyCompl!K10),ISNUMBER([2]DFsmonkeyCompl!K10)),[2]DFsmonkeyCompl!K10,"")</f>
        <v>LaSalle Real Estate Strategies IV</v>
      </c>
      <c r="C9" s="7">
        <v>73412</v>
      </c>
      <c r="D9" s="6" t="str">
        <f>INDEX([2]DebtFundUniverse!$B$2:$EU$200,MATCH([2]!DFanalysis[[#This Row],[ID]],[2]DebtFundUniverse!$A$2:$A$200,0),MATCH([2]!DFanalysis[[#Headers],[Loan Strategy]],[2]DebtFundUniverse!$B$1:$EU$1,0))</f>
        <v>Subordinated: Junior+Mezzanine</v>
      </c>
      <c r="E9" s="6" t="str">
        <f>INDEX([2]DebtFundUniverse!$B$2:$EU$200,MATCH([2]!DFanalysis[[#This Row],[ID]],[2]DebtFundUniverse!$A$2:$A$200,0),MATCH([2]!DFanalysis[[#Headers],[Target Regional Strategy]],[2]DebtFundUniverse!$B$1:$EU$1,0))</f>
        <v>Europe</v>
      </c>
      <c r="F9" s="6" t="str">
        <f>INDEX([2]DebtFundUniverse!$B$2:$EU$200,MATCH([2]!DFanalysis[[#This Row],[ID]],[2]DebtFundUniverse!$A$2:$A$200,0),MATCH([2]!DFanalysis[[#Headers],[Vehicle Structure]],[2]DebtFundUniverse!$B$1:$EU$1,0))</f>
        <v>Closed end</v>
      </c>
      <c r="G9" s="6">
        <f>INDEX([2]DebtFundUniverse!$B$2:$EU$200,MATCH([2]!DFanalysis[[#This Row],[ID]],[2]DebtFundUniverse!$A$2:$A$200,0),MATCH([2]!DFanalysis[[#Headers],[year of first closing]],[2]DebtFundUniverse!$B$1:$EU$1,0))</f>
        <v>2020</v>
      </c>
      <c r="H9" s="6" t="str">
        <f>IF(ISBLANK([2]DFsmonkeyCompl!L10),"",[2]DFsmonkeyCompl!L10)</f>
        <v>Yes</v>
      </c>
      <c r="I9" s="6" t="str">
        <f>IF(ISBLANK([2]DFsmonkeyCompl!M10),"",[2]DFsmonkeyCompl!M10)</f>
        <v/>
      </c>
      <c r="J9" s="6" t="str">
        <f>IF(ISBLANK([2]DFsmonkeyCompl!N10),"",[2]DFsmonkeyCompl!N10)</f>
        <v/>
      </c>
      <c r="K9" s="6" t="str">
        <f>INDEX([2]DebtFundUniverse!$B$2:$EU$200,MATCH([2]!DFanalysis[[#This Row],[ID]],[2]DebtFundUniverse!$A$2:$A$200,0),MATCH([2]!DFanalysis[[#Headers],[Currency of Reporting]],[2]DebtFundUniverse!$B$1:$EU$1,0))</f>
        <v>EUR</v>
      </c>
      <c r="L9" s="8">
        <f>VLOOKUP([2]!DFanalysis[[#This Row],[Currency of Reporting]],'[2]Xrate31.12.20'!$K$1:$M$25,3,0)</f>
        <v>1</v>
      </c>
      <c r="M9" s="8" t="str">
        <f>IFERROR(IF(ISBLANK([2]DFsmonkeyCompl!O10),"",[2]DFsmonkeyCompl!O10*[2]!DFanalysis[[#This Row],[EUR]]),"")</f>
        <v/>
      </c>
      <c r="N9" s="8" t="str">
        <f>IFERROR(IF(ISBLANK([2]DFsmonkeyCompl!P10),"",[2]DFsmonkeyCompl!P10*[2]!DFanalysis[[#This Row],[EUR]]),"")</f>
        <v/>
      </c>
      <c r="O9" s="8" t="str">
        <f>IFERROR(IF(ISBLANK([2]DFsmonkeyCompl!Q10),"",[2]DFsmonkeyCompl!Q10*[2]!DFanalysis[[#This Row],[EUR]]),"")</f>
        <v/>
      </c>
      <c r="P9" s="8" t="str">
        <f>IFERROR(IF(ISBLANK([2]DFsmonkeyCompl!R10),"",[2]DFsmonkeyCompl!R10*[2]!DFanalysis[[#This Row],[EUR]]),"")</f>
        <v/>
      </c>
      <c r="Q9" s="8" t="str">
        <f>IFERROR(IF(ISBLANK([2]DFsmonkeyCompl!S10),"",[2]DFsmonkeyCompl!S10*[2]!DFanalysis[[#This Row],[EUR]]),"")</f>
        <v/>
      </c>
      <c r="R9" s="8" t="str">
        <f>IFERROR(IF(ISBLANK([2]DFsmonkeyCompl!T10),"",[2]DFsmonkeyCompl!T10*[2]!DFanalysis[[#This Row],[EUR]]),"")</f>
        <v/>
      </c>
      <c r="S9" s="8" t="str">
        <f>IFERROR(IF(ISBLANK([2]DFsmonkeyCompl!U10),"",[2]DFsmonkeyCompl!U10*[2]!DFanalysis[[#This Row],[EUR]]),"")</f>
        <v/>
      </c>
      <c r="T9" s="8" t="str">
        <f>IFERROR(IF(ISBLANK([2]DFsmonkeyCompl!V10),"",[2]DFsmonkeyCompl!V10*[2]!DFanalysis[[#This Row],[EUR]]),"")</f>
        <v/>
      </c>
      <c r="U9" s="8" t="str">
        <f>IFERROR(IF(ISBLANK([2]DFsmonkeyCompl!W10),"",[2]DFsmonkeyCompl!W10*[2]!DFanalysis[[#This Row],[EUR]]),"")</f>
        <v/>
      </c>
      <c r="V9" s="8" t="str">
        <f>IFERROR(IF(ISBLANK([2]DFsmonkeyCompl!X10),"",[2]DFsmonkeyCompl!X10*[2]!DFanalysis[[#This Row],[EUR]]),"")</f>
        <v/>
      </c>
      <c r="W9" s="8" t="str">
        <f>IFERROR(IF(ISBLANK([2]DFsmonkeyCompl!Y10),"",[2]DFsmonkeyCompl!Y10*[2]!DFanalysis[[#This Row],[EUR]]),"")</f>
        <v/>
      </c>
      <c r="X9" s="8" t="str">
        <f>IFERROR(IF(ISBLANK([2]DFsmonkeyCompl!Z10),"",[2]DFsmonkeyCompl!Z10*[2]!DFanalysis[[#This Row],[EUR]]),"")</f>
        <v/>
      </c>
      <c r="Y9" s="8" t="str">
        <f>IFERROR(IF(ISBLANK([2]DFsmonkeyCompl!AA10),"",[2]DFsmonkeyCompl!AA10*[2]!DFanalysis[[#This Row],[EUR]]),"")</f>
        <v/>
      </c>
      <c r="Z9" s="8" t="str">
        <f>IFERROR(IF(ISBLANK([2]DFsmonkeyCompl!AB10),"",[2]DFsmonkeyCompl!AB10*[2]!DFanalysis[[#This Row],[EUR]]),"")</f>
        <v/>
      </c>
      <c r="AA9" s="8" t="str">
        <f>IF(ISBLANK([2]DFsmonkeyCompl!AC10),"",[2]DFsmonkeyCompl!AC10)</f>
        <v/>
      </c>
      <c r="AB9" s="8" t="str">
        <f>IF(ISBLANK([2]DFsmonkeyCompl!AD10),"",[2]DFsmonkeyCompl!AD10)</f>
        <v/>
      </c>
      <c r="AC9" s="8" t="str">
        <f>IF(ISBLANK([2]DFsmonkeyCompl!AE10),"",[2]DFsmonkeyCompl!AE10)</f>
        <v/>
      </c>
      <c r="AD9" s="8" t="str">
        <f>IF(ISBLANK([2]DFsmonkeyCompl!AF10),"",[2]DFsmonkeyCompl!AF10)</f>
        <v/>
      </c>
      <c r="AE9" s="8" t="str">
        <f>IF(ISBLANK([2]DFsmonkeyCompl!AG10),"",[2]DFsmonkeyCompl!AG10)</f>
        <v/>
      </c>
      <c r="AF9" s="8" t="str">
        <f>IF(ISBLANK([2]DFsmonkeyCompl!AH10),"",[2]DFsmonkeyCompl!AH10)</f>
        <v/>
      </c>
      <c r="AG9" s="8">
        <f ca="1">IFERROR(INDEX([2]DebtFundUniverse!$B$2:$EU$700,MATCH($C9,[2]DebtFundUniverse!$A$2:$A$700,0),MATCH($AG$1,[2]DebtFundUniverse!$B$1:$EU$1,0)),"")</f>
        <v>227740000</v>
      </c>
      <c r="AH9" s="36">
        <f ca="1">IFERROR(INDEX([2]DebtFundUniverse!$B$2:$EU$700,MATCH($C9,[2]DebtFundUniverse!$A$2:$A$700,0),MATCH($AH$1,[2]DebtFundUniverse!$B$1:$EU$1,0)),"")</f>
        <v>0</v>
      </c>
    </row>
    <row r="10" spans="1:34" x14ac:dyDescent="0.2">
      <c r="A10" s="5" t="str">
        <f>IF(OR(ISTEXT([2]DFsmonkeyCompl!J11),ISNUMBER([2]DFsmonkeyCompl!J11)),[2]DFsmonkeyCompl!J11,"")</f>
        <v>Octopus Real Estate</v>
      </c>
      <c r="B10" s="6" t="str">
        <f>IF(OR(ISTEXT([2]DFsmonkeyCompl!K11),ISNUMBER([2]DFsmonkeyCompl!K11)),[2]DFsmonkeyCompl!K11,"")</f>
        <v>CREDF II-S</v>
      </c>
      <c r="C10" s="7">
        <v>17383</v>
      </c>
      <c r="D10" s="6" t="str">
        <f>INDEX([2]DebtFundUniverse!$B$2:$EU$200,MATCH([2]!DFanalysis[[#This Row],[ID]],[2]DebtFundUniverse!$A$2:$A$200,0),MATCH([2]!DFanalysis[[#Headers],[Loan Strategy]],[2]DebtFundUniverse!$B$1:$EU$1,0))</f>
        <v>Subordinated: Junior+Mezzanine</v>
      </c>
      <c r="E10" s="6" t="str">
        <f>INDEX([2]DebtFundUniverse!$B$2:$EU$200,MATCH([2]!DFanalysis[[#This Row],[ID]],[2]DebtFundUniverse!$A$2:$A$200,0),MATCH([2]!DFanalysis[[#Headers],[Target Regional Strategy]],[2]DebtFundUniverse!$B$1:$EU$1,0))</f>
        <v>Europe</v>
      </c>
      <c r="F10" s="6" t="str">
        <f>INDEX([2]DebtFundUniverse!$B$2:$EU$200,MATCH([2]!DFanalysis[[#This Row],[ID]],[2]DebtFundUniverse!$A$2:$A$200,0),MATCH([2]!DFanalysis[[#Headers],[Vehicle Structure]],[2]DebtFundUniverse!$B$1:$EU$1,0))</f>
        <v>Closed end</v>
      </c>
      <c r="G10" s="6">
        <f>INDEX([2]DebtFundUniverse!$B$2:$EU$200,MATCH([2]!DFanalysis[[#This Row],[ID]],[2]DebtFundUniverse!$A$2:$A$200,0),MATCH([2]!DFanalysis[[#Headers],[year of first closing]],[2]DebtFundUniverse!$B$1:$EU$1,0))</f>
        <v>2017</v>
      </c>
      <c r="H10" s="6" t="str">
        <f>IF(ISBLANK([2]DFsmonkeyCompl!L11),"",[2]DFsmonkeyCompl!L11)</f>
        <v>Yes</v>
      </c>
      <c r="I10" s="6" t="str">
        <f>IF(ISBLANK([2]DFsmonkeyCompl!M11),"",[2]DFsmonkeyCompl!M11)</f>
        <v/>
      </c>
      <c r="J10" s="6" t="str">
        <f>IF(ISBLANK([2]DFsmonkeyCompl!N11),"",[2]DFsmonkeyCompl!N11)</f>
        <v/>
      </c>
      <c r="K10" s="6" t="str">
        <f>INDEX([2]DebtFundUniverse!$B$2:$EU$200,MATCH([2]!DFanalysis[[#This Row],[ID]],[2]DebtFundUniverse!$A$2:$A$200,0),MATCH([2]!DFanalysis[[#Headers],[Currency of Reporting]],[2]DebtFundUniverse!$B$1:$EU$1,0))</f>
        <v>GBP</v>
      </c>
      <c r="L10" s="8">
        <f>VLOOKUP([2]!DFanalysis[[#This Row],[Currency of Reporting]],'[2]Xrate31.12.20'!$K$1:$M$25,3,0)</f>
        <v>1.1130927885999999</v>
      </c>
      <c r="M10" s="8">
        <f>IFERROR(IF(ISBLANK([2]DFsmonkeyCompl!O11),"",[2]DFsmonkeyCompl!O11*[2]!DFanalysis[[#This Row],[EUR]]),"")</f>
        <v>84.59505193359999</v>
      </c>
      <c r="N10" s="8">
        <f>IFERROR(IF(ISBLANK([2]DFsmonkeyCompl!P11),"",[2]DFsmonkeyCompl!P11*[2]!DFanalysis[[#This Row],[EUR]]),"")</f>
        <v>28.940412503599998</v>
      </c>
      <c r="O10" s="8" t="str">
        <f>IFERROR(IF(ISBLANK([2]DFsmonkeyCompl!Q11),"",[2]DFsmonkeyCompl!Q11*[2]!DFanalysis[[#This Row],[EUR]]),"")</f>
        <v/>
      </c>
      <c r="P10" s="8" t="str">
        <f>IFERROR(IF(ISBLANK([2]DFsmonkeyCompl!R11),"",[2]DFsmonkeyCompl!R11*[2]!DFanalysis[[#This Row],[EUR]]),"")</f>
        <v/>
      </c>
      <c r="Q10" s="8" t="str">
        <f>IFERROR(IF(ISBLANK([2]DFsmonkeyCompl!S11),"",[2]DFsmonkeyCompl!S11*[2]!DFanalysis[[#This Row],[EUR]]),"")</f>
        <v/>
      </c>
      <c r="R10" s="8" t="str">
        <f>IFERROR(IF(ISBLANK([2]DFsmonkeyCompl!T11),"",[2]DFsmonkeyCompl!T11*[2]!DFanalysis[[#This Row],[EUR]]),"")</f>
        <v/>
      </c>
      <c r="S10" s="8">
        <f>IFERROR(IF(ISBLANK([2]DFsmonkeyCompl!U11),"",[2]DFsmonkeyCompl!U11*[2]!DFanalysis[[#This Row],[EUR]]),"")</f>
        <v>55.654639429999996</v>
      </c>
      <c r="T10" s="8" t="str">
        <f>IFERROR(IF(ISBLANK([2]DFsmonkeyCompl!V11),"",[2]DFsmonkeyCompl!V11*[2]!DFanalysis[[#This Row],[EUR]]),"")</f>
        <v/>
      </c>
      <c r="U10" s="8" t="str">
        <f>IFERROR(IF(ISBLANK([2]DFsmonkeyCompl!W11),"",[2]DFsmonkeyCompl!W11*[2]!DFanalysis[[#This Row],[EUR]]),"")</f>
        <v/>
      </c>
      <c r="V10" s="8">
        <f>IFERROR(IF(ISBLANK([2]DFsmonkeyCompl!X11),"",[2]DFsmonkeyCompl!X11*[2]!DFanalysis[[#This Row],[EUR]]),"")</f>
        <v>84.59505193359999</v>
      </c>
      <c r="W10" s="8" t="str">
        <f>IFERROR(IF(ISBLANK([2]DFsmonkeyCompl!Y11),"",[2]DFsmonkeyCompl!Y11*[2]!DFanalysis[[#This Row],[EUR]]),"")</f>
        <v/>
      </c>
      <c r="X10" s="8" t="str">
        <f>IFERROR(IF(ISBLANK([2]DFsmonkeyCompl!Z11),"",[2]DFsmonkeyCompl!Z11*[2]!DFanalysis[[#This Row],[EUR]]),"")</f>
        <v/>
      </c>
      <c r="Y10" s="8" t="str">
        <f>IFERROR(IF(ISBLANK([2]DFsmonkeyCompl!AA11),"",[2]DFsmonkeyCompl!AA11*[2]!DFanalysis[[#This Row],[EUR]]),"")</f>
        <v/>
      </c>
      <c r="Z10" s="8" t="str">
        <f>IFERROR(IF(ISBLANK([2]DFsmonkeyCompl!AB11),"",[2]DFsmonkeyCompl!AB11*[2]!DFanalysis[[#This Row],[EUR]]),"")</f>
        <v/>
      </c>
      <c r="AA10" s="8">
        <f>IF(ISBLANK([2]DFsmonkeyCompl!AC11),"",[2]DFsmonkeyCompl!AC11)</f>
        <v>0</v>
      </c>
      <c r="AB10" s="8">
        <f>IF(ISBLANK([2]DFsmonkeyCompl!AD11),"",[2]DFsmonkeyCompl!AD11)</f>
        <v>0</v>
      </c>
      <c r="AC10" s="8">
        <f>IF(ISBLANK([2]DFsmonkeyCompl!AE11),"",[2]DFsmonkeyCompl!AE11)</f>
        <v>100</v>
      </c>
      <c r="AD10" s="8">
        <f>IF(ISBLANK([2]DFsmonkeyCompl!AF11),"",[2]DFsmonkeyCompl!AF11)</f>
        <v>0</v>
      </c>
      <c r="AE10" s="8" t="str">
        <f>IF(ISBLANK([2]DFsmonkeyCompl!AG11),"",[2]DFsmonkeyCompl!AG11)</f>
        <v>Increase</v>
      </c>
      <c r="AF10" s="8" t="str">
        <f>IF(ISBLANK([2]DFsmonkeyCompl!AH11),"",[2]DFsmonkeyCompl!AH11)</f>
        <v>Yes</v>
      </c>
      <c r="AG10" s="8">
        <f ca="1">IFERROR(INDEX([2]DebtFundUniverse!$B$2:$EU$700,MATCH($C10,[2]DebtFundUniverse!$A$2:$A$700,0),MATCH($AG$1,[2]DebtFundUniverse!$B$1:$EU$1,0)),"")</f>
        <v>750000000</v>
      </c>
      <c r="AH10" s="36">
        <f ca="1">IFERROR(INDEX([2]DebtFundUniverse!$B$2:$EU$700,MATCH($C10,[2]DebtFundUniverse!$A$2:$A$700,0),MATCH($AH$1,[2]DebtFundUniverse!$B$1:$EU$1,0)),"")</f>
        <v>750000000</v>
      </c>
    </row>
    <row r="11" spans="1:34" x14ac:dyDescent="0.2">
      <c r="A11" s="5" t="str">
        <f>IF(OR(ISTEXT([2]DFsmonkeyCompl!J12),ISNUMBER([2]DFsmonkeyCompl!J12)),[2]DFsmonkeyCompl!J12,"")</f>
        <v>AgFe LLP</v>
      </c>
      <c r="B11" s="6" t="str">
        <f>IF(OR(ISTEXT([2]DFsmonkeyCompl!K12),ISNUMBER([2]DFsmonkeyCompl!K12)),[2]DFsmonkeyCompl!K12,"")</f>
        <v>UK RE Senior Debt Fund LP</v>
      </c>
      <c r="C11" s="7">
        <v>19302</v>
      </c>
      <c r="D11" s="6" t="str">
        <f>INDEX([2]DebtFundUniverse!$B$2:$EU$200,MATCH([2]!DFanalysis[[#This Row],[ID]],[2]DebtFundUniverse!$A$2:$A$200,0),MATCH([2]!DFanalysis[[#Headers],[Loan Strategy]],[2]DebtFundUniverse!$B$1:$EU$1,0))</f>
        <v>Senior</v>
      </c>
      <c r="E11" s="6" t="str">
        <f>INDEX([2]DebtFundUniverse!$B$2:$EU$200,MATCH([2]!DFanalysis[[#This Row],[ID]],[2]DebtFundUniverse!$A$2:$A$200,0),MATCH([2]!DFanalysis[[#Headers],[Target Regional Strategy]],[2]DebtFundUniverse!$B$1:$EU$1,0))</f>
        <v>Europe</v>
      </c>
      <c r="F11" s="6" t="str">
        <f>INDEX([2]DebtFundUniverse!$B$2:$EU$200,MATCH([2]!DFanalysis[[#This Row],[ID]],[2]DebtFundUniverse!$A$2:$A$200,0),MATCH([2]!DFanalysis[[#Headers],[Vehicle Structure]],[2]DebtFundUniverse!$B$1:$EU$1,0))</f>
        <v>Closed end</v>
      </c>
      <c r="G11" s="6">
        <f>INDEX([2]DebtFundUniverse!$B$2:$EU$200,MATCH([2]!DFanalysis[[#This Row],[ID]],[2]DebtFundUniverse!$A$2:$A$200,0),MATCH([2]!DFanalysis[[#Headers],[year of first closing]],[2]DebtFundUniverse!$B$1:$EU$1,0))</f>
        <v>2014</v>
      </c>
      <c r="H11" s="6" t="str">
        <f>IF(ISBLANK([2]DFsmonkeyCompl!L12),"",[2]DFsmonkeyCompl!L12)</f>
        <v>Yes</v>
      </c>
      <c r="I11" s="6" t="str">
        <f>IF(ISBLANK([2]DFsmonkeyCompl!M12),"",[2]DFsmonkeyCompl!M12)</f>
        <v/>
      </c>
      <c r="J11" s="6" t="str">
        <f>IF(ISBLANK([2]DFsmonkeyCompl!N12),"",[2]DFsmonkeyCompl!N12)</f>
        <v/>
      </c>
      <c r="K11" s="6" t="str">
        <f>INDEX([2]DebtFundUniverse!$B$2:$EU$200,MATCH([2]!DFanalysis[[#This Row],[ID]],[2]DebtFundUniverse!$A$2:$A$200,0),MATCH([2]!DFanalysis[[#Headers],[Currency of Reporting]],[2]DebtFundUniverse!$B$1:$EU$1,0))</f>
        <v>GBP</v>
      </c>
      <c r="L11" s="8">
        <f>VLOOKUP([2]!DFanalysis[[#This Row],[Currency of Reporting]],'[2]Xrate31.12.20'!$K$1:$M$25,3,0)</f>
        <v>1.1130927885999999</v>
      </c>
      <c r="M11" s="8">
        <f>IFERROR(IF(ISBLANK([2]DFsmonkeyCompl!O12),"",[2]DFsmonkeyCompl!O12*[2]!DFanalysis[[#This Row],[EUR]]),"")</f>
        <v>890.47423087999994</v>
      </c>
      <c r="N11" s="8" t="str">
        <f>IFERROR(IF(ISBLANK([2]DFsmonkeyCompl!P12),"",[2]DFsmonkeyCompl!P12*[2]!DFanalysis[[#This Row],[EUR]]),"")</f>
        <v/>
      </c>
      <c r="O11" s="8">
        <f>IFERROR(IF(ISBLANK([2]DFsmonkeyCompl!Q12),"",[2]DFsmonkeyCompl!Q12*[2]!DFanalysis[[#This Row],[EUR]]),"")</f>
        <v>890.47423087999994</v>
      </c>
      <c r="P11" s="8" t="str">
        <f>IFERROR(IF(ISBLANK([2]DFsmonkeyCompl!R12),"",[2]DFsmonkeyCompl!R12*[2]!DFanalysis[[#This Row],[EUR]]),"")</f>
        <v/>
      </c>
      <c r="Q11" s="8" t="str">
        <f>IFERROR(IF(ISBLANK([2]DFsmonkeyCompl!S12),"",[2]DFsmonkeyCompl!S12*[2]!DFanalysis[[#This Row],[EUR]]),"")</f>
        <v/>
      </c>
      <c r="R11" s="8" t="str">
        <f>IFERROR(IF(ISBLANK([2]DFsmonkeyCompl!T12),"",[2]DFsmonkeyCompl!T12*[2]!DFanalysis[[#This Row],[EUR]]),"")</f>
        <v/>
      </c>
      <c r="S11" s="8" t="str">
        <f>IFERROR(IF(ISBLANK([2]DFsmonkeyCompl!U12),"",[2]DFsmonkeyCompl!U12*[2]!DFanalysis[[#This Row],[EUR]]),"")</f>
        <v/>
      </c>
      <c r="T11" s="8" t="str">
        <f>IFERROR(IF(ISBLANK([2]DFsmonkeyCompl!V12),"",[2]DFsmonkeyCompl!V12*[2]!DFanalysis[[#This Row],[EUR]]),"")</f>
        <v/>
      </c>
      <c r="U11" s="8" t="str">
        <f>IFERROR(IF(ISBLANK([2]DFsmonkeyCompl!W12),"",[2]DFsmonkeyCompl!W12*[2]!DFanalysis[[#This Row],[EUR]]),"")</f>
        <v/>
      </c>
      <c r="V11" s="8">
        <f>IFERROR(IF(ISBLANK([2]DFsmonkeyCompl!X12),"",[2]DFsmonkeyCompl!X12*[2]!DFanalysis[[#This Row],[EUR]]),"")</f>
        <v>890.47423087999994</v>
      </c>
      <c r="W11" s="8" t="str">
        <f>IFERROR(IF(ISBLANK([2]DFsmonkeyCompl!Y12),"",[2]DFsmonkeyCompl!Y12*[2]!DFanalysis[[#This Row],[EUR]]),"")</f>
        <v/>
      </c>
      <c r="X11" s="8" t="str">
        <f>IFERROR(IF(ISBLANK([2]DFsmonkeyCompl!Z12),"",[2]DFsmonkeyCompl!Z12*[2]!DFanalysis[[#This Row],[EUR]]),"")</f>
        <v/>
      </c>
      <c r="Y11" s="8" t="str">
        <f>IFERROR(IF(ISBLANK([2]DFsmonkeyCompl!AA12),"",[2]DFsmonkeyCompl!AA12*[2]!DFanalysis[[#This Row],[EUR]]),"")</f>
        <v/>
      </c>
      <c r="Z11" s="8" t="str">
        <f>IFERROR(IF(ISBLANK([2]DFsmonkeyCompl!AB12),"",[2]DFsmonkeyCompl!AB12*[2]!DFanalysis[[#This Row],[EUR]]),"")</f>
        <v/>
      </c>
      <c r="AA11" s="8" t="str">
        <f>IF(ISBLANK([2]DFsmonkeyCompl!AC12),"",[2]DFsmonkeyCompl!AC12)</f>
        <v/>
      </c>
      <c r="AB11" s="8" t="str">
        <f>IF(ISBLANK([2]DFsmonkeyCompl!AD12),"",[2]DFsmonkeyCompl!AD12)</f>
        <v/>
      </c>
      <c r="AC11" s="8">
        <f>IF(ISBLANK([2]DFsmonkeyCompl!AE12),"",[2]DFsmonkeyCompl!AE12)</f>
        <v>100</v>
      </c>
      <c r="AD11" s="8" t="str">
        <f>IF(ISBLANK([2]DFsmonkeyCompl!AF12),"",[2]DFsmonkeyCompl!AF12)</f>
        <v/>
      </c>
      <c r="AE11" s="8" t="str">
        <f>IF(ISBLANK([2]DFsmonkeyCompl!AG12),"",[2]DFsmonkeyCompl!AG12)</f>
        <v>Decrease</v>
      </c>
      <c r="AF11" s="8" t="str">
        <f>IF(ISBLANK([2]DFsmonkeyCompl!AH12),"",[2]DFsmonkeyCompl!AH12)</f>
        <v>Yes</v>
      </c>
      <c r="AG11" s="8">
        <f ca="1">IFERROR(INDEX([2]DebtFundUniverse!$B$2:$EU$700,MATCH($C11,[2]DebtFundUniverse!$A$2:$A$700,0),MATCH($AG$1,[2]DebtFundUniverse!$B$1:$EU$1,0)),"")</f>
        <v>1500000000</v>
      </c>
      <c r="AH11" s="36">
        <f ca="1">IFERROR(INDEX([2]DebtFundUniverse!$B$2:$EU$700,MATCH($C11,[2]DebtFundUniverse!$A$2:$A$700,0),MATCH($AH$1,[2]DebtFundUniverse!$B$1:$EU$1,0)),"")</f>
        <v>1500000000</v>
      </c>
    </row>
    <row r="12" spans="1:34" x14ac:dyDescent="0.2">
      <c r="A12" s="5" t="str">
        <f>IF(OR(ISTEXT([2]DFsmonkeyCompl!J13),ISNUMBER([2]DFsmonkeyCompl!J13)),[2]DFsmonkeyCompl!J13,"")</f>
        <v>Generali Real Estate SGR S.p.A.</v>
      </c>
      <c r="B12" s="6" t="str">
        <f>IF(OR(ISTEXT([2]DFsmonkeyCompl!K13),ISNUMBER([2]DFsmonkeyCompl!K13)),[2]DFsmonkeyCompl!K13,"")</f>
        <v>Generali Real Estate Debt Investment Fund</v>
      </c>
      <c r="C12" s="7" t="e" cm="1">
        <f t="array" ref="C12">INDEX([2]DebtFundUniverse!$A$85:$A$95,MATCH(B12,[2]DebtFundUniverse!$B$85:$B$95,0),0)</f>
        <v>#N/A</v>
      </c>
      <c r="D12" s="6" t="str">
        <f>INDEX([2]DebtFundUniverse!$B$2:$EU$200,MATCH([2]!DFanalysis[[#This Row],[ID]],[2]DebtFundUniverse!$A$2:$A$200,0),MATCH([2]!DFanalysis[[#Headers],[Loan Strategy]],[2]DebtFundUniverse!$B$1:$EU$1,0))</f>
        <v>Mixed: Senior+Subordinated</v>
      </c>
      <c r="E12" s="6" t="str">
        <f>INDEX([2]DebtFundUniverse!$B$2:$EU$200,MATCH([2]!DFanalysis[[#This Row],[ID]],[2]DebtFundUniverse!$A$2:$A$200,0),MATCH([2]!DFanalysis[[#Headers],[Target Regional Strategy]],[2]DebtFundUniverse!$B$1:$EU$1,0))</f>
        <v>Europe</v>
      </c>
      <c r="F12" s="6" t="str">
        <f>INDEX([2]DebtFundUniverse!$B$2:$EU$200,MATCH([2]!DFanalysis[[#This Row],[ID]],[2]DebtFundUniverse!$A$2:$A$200,0),MATCH([2]!DFanalysis[[#Headers],[Vehicle Structure]],[2]DebtFundUniverse!$B$1:$EU$1,0))</f>
        <v>Closed end</v>
      </c>
      <c r="G12" s="6">
        <f>INDEX([2]DebtFundUniverse!$B$2:$EU$200,MATCH([2]!DFanalysis[[#This Row],[ID]],[2]DebtFundUniverse!$A$2:$A$200,0),MATCH([2]!DFanalysis[[#Headers],[year of first closing]],[2]DebtFundUniverse!$B$1:$EU$1,0))</f>
        <v>2019</v>
      </c>
      <c r="H12" s="6" t="str">
        <f>IF(ISBLANK([2]DFsmonkeyCompl!L13),"",[2]DFsmonkeyCompl!L13)</f>
        <v>Yes</v>
      </c>
      <c r="I12" s="6" t="str">
        <f>IF(ISBLANK([2]DFsmonkeyCompl!M13),"",[2]DFsmonkeyCompl!M13)</f>
        <v/>
      </c>
      <c r="J12" s="6" t="str">
        <f>IF(ISBLANK([2]DFsmonkeyCompl!N13),"",[2]DFsmonkeyCompl!N13)</f>
        <v/>
      </c>
      <c r="K12" s="6" t="str">
        <f>INDEX([2]DebtFundUniverse!$B$2:$EU$200,MATCH([2]!DFanalysis[[#This Row],[ID]],[2]DebtFundUniverse!$A$2:$A$200,0),MATCH([2]!DFanalysis[[#Headers],[Currency of Reporting]],[2]DebtFundUniverse!$B$1:$EU$1,0))</f>
        <v>EUR</v>
      </c>
      <c r="L12" s="8">
        <f>VLOOKUP([2]!DFanalysis[[#This Row],[Currency of Reporting]],'[2]Xrate31.12.20'!$K$1:$M$25,3,0)</f>
        <v>1</v>
      </c>
      <c r="M12" s="8">
        <f>IFERROR(IF(ISBLANK([2]DFsmonkeyCompl!O13),"",[2]DFsmonkeyCompl!O13*[2]!DFanalysis[[#This Row],[EUR]]),"")</f>
        <v>214</v>
      </c>
      <c r="N12" s="8" t="str">
        <f>IFERROR(IF(ISBLANK([2]DFsmonkeyCompl!P13),"",[2]DFsmonkeyCompl!P13*[2]!DFanalysis[[#This Row],[EUR]]),"")</f>
        <v/>
      </c>
      <c r="O12" s="8">
        <f>IFERROR(IF(ISBLANK([2]DFsmonkeyCompl!Q13),"",[2]DFsmonkeyCompl!Q13*[2]!DFanalysis[[#This Row],[EUR]]),"")</f>
        <v>214</v>
      </c>
      <c r="P12" s="8" t="str">
        <f>IFERROR(IF(ISBLANK([2]DFsmonkeyCompl!R13),"",[2]DFsmonkeyCompl!R13*[2]!DFanalysis[[#This Row],[EUR]]),"")</f>
        <v/>
      </c>
      <c r="Q12" s="8" t="str">
        <f>IFERROR(IF(ISBLANK([2]DFsmonkeyCompl!S13),"",[2]DFsmonkeyCompl!S13*[2]!DFanalysis[[#This Row],[EUR]]),"")</f>
        <v/>
      </c>
      <c r="R12" s="8" t="str">
        <f>IFERROR(IF(ISBLANK([2]DFsmonkeyCompl!T13),"",[2]DFsmonkeyCompl!T13*[2]!DFanalysis[[#This Row],[EUR]]),"")</f>
        <v/>
      </c>
      <c r="S12" s="8" t="str">
        <f>IFERROR(IF(ISBLANK([2]DFsmonkeyCompl!U13),"",[2]DFsmonkeyCompl!U13*[2]!DFanalysis[[#This Row],[EUR]]),"")</f>
        <v/>
      </c>
      <c r="T12" s="8" t="str">
        <f>IFERROR(IF(ISBLANK([2]DFsmonkeyCompl!V13),"",[2]DFsmonkeyCompl!V13*[2]!DFanalysis[[#This Row],[EUR]]),"")</f>
        <v/>
      </c>
      <c r="U12" s="8" t="str">
        <f>IFERROR(IF(ISBLANK([2]DFsmonkeyCompl!W13),"",[2]DFsmonkeyCompl!W13*[2]!DFanalysis[[#This Row],[EUR]]),"")</f>
        <v/>
      </c>
      <c r="V12" s="8">
        <f>IFERROR(IF(ISBLANK([2]DFsmonkeyCompl!X13),"",[2]DFsmonkeyCompl!X13*[2]!DFanalysis[[#This Row],[EUR]]),"")</f>
        <v>214</v>
      </c>
      <c r="W12" s="8" t="str">
        <f>IFERROR(IF(ISBLANK([2]DFsmonkeyCompl!Y13),"",[2]DFsmonkeyCompl!Y13*[2]!DFanalysis[[#This Row],[EUR]]),"")</f>
        <v/>
      </c>
      <c r="X12" s="8" t="str">
        <f>IFERROR(IF(ISBLANK([2]DFsmonkeyCompl!Z13),"",[2]DFsmonkeyCompl!Z13*[2]!DFanalysis[[#This Row],[EUR]]),"")</f>
        <v/>
      </c>
      <c r="Y12" s="8" t="str">
        <f>IFERROR(IF(ISBLANK([2]DFsmonkeyCompl!AA13),"",[2]DFsmonkeyCompl!AA13*[2]!DFanalysis[[#This Row],[EUR]]),"")</f>
        <v/>
      </c>
      <c r="Z12" s="8" t="str">
        <f>IFERROR(IF(ISBLANK([2]DFsmonkeyCompl!AB13),"",[2]DFsmonkeyCompl!AB13*[2]!DFanalysis[[#This Row],[EUR]]),"")</f>
        <v/>
      </c>
      <c r="AA12" s="8" t="str">
        <f>IF(ISBLANK([2]DFsmonkeyCompl!AC13),"",[2]DFsmonkeyCompl!AC13)</f>
        <v/>
      </c>
      <c r="AB12" s="8" t="str">
        <f>IF(ISBLANK([2]DFsmonkeyCompl!AD13),"",[2]DFsmonkeyCompl!AD13)</f>
        <v/>
      </c>
      <c r="AC12" s="8">
        <f>IF(ISBLANK([2]DFsmonkeyCompl!AE13),"",[2]DFsmonkeyCompl!AE13)</f>
        <v>100</v>
      </c>
      <c r="AD12" s="8" t="str">
        <f>IF(ISBLANK([2]DFsmonkeyCompl!AF13),"",[2]DFsmonkeyCompl!AF13)</f>
        <v/>
      </c>
      <c r="AE12" s="8" t="str">
        <f>IF(ISBLANK([2]DFsmonkeyCompl!AG13),"",[2]DFsmonkeyCompl!AG13)</f>
        <v/>
      </c>
      <c r="AF12" s="8" t="str">
        <f>IF(ISBLANK([2]DFsmonkeyCompl!AH13),"",[2]DFsmonkeyCompl!AH13)</f>
        <v/>
      </c>
      <c r="AG12" s="8" t="str">
        <f ca="1">IFERROR(INDEX([2]DebtFundUniverse!$B$2:$EU$700,MATCH($C12,[2]DebtFundUniverse!$A$2:$A$700,0),MATCH($AG$1,[2]DebtFundUniverse!$B$1:$EU$1,0)),"")</f>
        <v/>
      </c>
      <c r="AH12" s="36" t="str">
        <f ca="1">IFERROR(INDEX([2]DebtFundUniverse!$B$2:$EU$700,MATCH($C12,[2]DebtFundUniverse!$A$2:$A$700,0),MATCH($AH$1,[2]DebtFundUniverse!$B$1:$EU$1,0)),"")</f>
        <v/>
      </c>
    </row>
    <row r="13" spans="1:34" x14ac:dyDescent="0.2">
      <c r="A13" s="5" t="str">
        <f>IF(OR(ISTEXT([2]DFsmonkeyCompl!J14),ISNUMBER([2]DFsmonkeyCompl!J14)),[2]DFsmonkeyCompl!J14,"")</f>
        <v xml:space="preserve">DRC Capital </v>
      </c>
      <c r="B13" s="6" t="str">
        <f>IF(OR(ISTEXT([2]DFsmonkeyCompl!K14),ISNUMBER([2]DFsmonkeyCompl!K14)),[2]DFsmonkeyCompl!K14,"")</f>
        <v>European Real Estate Senior Debt 6</v>
      </c>
      <c r="C13" s="7" t="e" cm="1">
        <f t="array" ref="C13">INDEX([2]DebtFundUniverse!$A$85:$A$95,MATCH(B13,[2]DebtFundUniverse!$B$85:$B$95,0),0)</f>
        <v>#N/A</v>
      </c>
      <c r="D13" s="6" t="e">
        <f>INDEX([2]DebtFundUniverse!$B$2:$EU$200,MATCH([2]!DFanalysis[[#This Row],[ID]],[2]DebtFundUniverse!$A$2:$A$200,0),MATCH([2]!DFanalysis[[#Headers],[Loan Strategy]],[2]DebtFundUniverse!$B$1:$EU$1,0))</f>
        <v>#N/A</v>
      </c>
      <c r="E13" s="6" t="e">
        <f>INDEX([2]DebtFundUniverse!$B$2:$EU$200,MATCH([2]!DFanalysis[[#This Row],[ID]],[2]DebtFundUniverse!$A$2:$A$200,0),MATCH([2]!DFanalysis[[#Headers],[Target Regional Strategy]],[2]DebtFundUniverse!$B$1:$EU$1,0))</f>
        <v>#N/A</v>
      </c>
      <c r="F13" s="6" t="e">
        <f>INDEX([2]DebtFundUniverse!$B$2:$EU$200,MATCH([2]!DFanalysis[[#This Row],[ID]],[2]DebtFundUniverse!$A$2:$A$200,0),MATCH([2]!DFanalysis[[#Headers],[Vehicle Structure]],[2]DebtFundUniverse!$B$1:$EU$1,0))</f>
        <v>#N/A</v>
      </c>
      <c r="G13" s="6" t="e">
        <f>INDEX([2]DebtFundUniverse!$B$2:$EU$200,MATCH([2]!DFanalysis[[#This Row],[ID]],[2]DebtFundUniverse!$A$2:$A$200,0),MATCH([2]!DFanalysis[[#Headers],[year of first closing]],[2]DebtFundUniverse!$B$1:$EU$1,0))</f>
        <v>#N/A</v>
      </c>
      <c r="H13" s="6" t="str">
        <f>IF(ISBLANK([2]DFsmonkeyCompl!L14),"",[2]DFsmonkeyCompl!L14)</f>
        <v>Yes</v>
      </c>
      <c r="I13" s="6" t="str">
        <f>IF(ISBLANK([2]DFsmonkeyCompl!M14),"",[2]DFsmonkeyCompl!M14)</f>
        <v/>
      </c>
      <c r="J13" s="6" t="str">
        <f>IF(ISBLANK([2]DFsmonkeyCompl!N14),"",[2]DFsmonkeyCompl!N14)</f>
        <v/>
      </c>
      <c r="K13" s="6" t="e">
        <f>INDEX([2]DebtFundUniverse!$B$2:$EU$200,MATCH([2]!DFanalysis[[#This Row],[ID]],[2]DebtFundUniverse!$A$2:$A$200,0),MATCH([2]!DFanalysis[[#Headers],[Currency of Reporting]],[2]DebtFundUniverse!$B$1:$EU$1,0))</f>
        <v>#N/A</v>
      </c>
      <c r="L13" s="8" t="e">
        <f>VLOOKUP([2]!DFanalysis[[#This Row],[Currency of Reporting]],'[2]Xrate31.12.20'!$K$1:$M$25,3,0)</f>
        <v>#N/A</v>
      </c>
      <c r="M13" s="8" t="str">
        <f>IFERROR(IF(ISBLANK([2]DFsmonkeyCompl!O14),"",[2]DFsmonkeyCompl!O14*[2]!DFanalysis[[#This Row],[EUR]]),"")</f>
        <v/>
      </c>
      <c r="N13" s="8" t="str">
        <f>IFERROR(IF(ISBLANK([2]DFsmonkeyCompl!P14),"",[2]DFsmonkeyCompl!P14*[2]!DFanalysis[[#This Row],[EUR]]),"")</f>
        <v/>
      </c>
      <c r="O13" s="8" t="str">
        <f>IFERROR(IF(ISBLANK([2]DFsmonkeyCompl!Q14),"",[2]DFsmonkeyCompl!Q14*[2]!DFanalysis[[#This Row],[EUR]]),"")</f>
        <v/>
      </c>
      <c r="P13" s="8" t="str">
        <f>IFERROR(IF(ISBLANK([2]DFsmonkeyCompl!R14),"",[2]DFsmonkeyCompl!R14*[2]!DFanalysis[[#This Row],[EUR]]),"")</f>
        <v/>
      </c>
      <c r="Q13" s="8" t="str">
        <f>IFERROR(IF(ISBLANK([2]DFsmonkeyCompl!S14),"",[2]DFsmonkeyCompl!S14*[2]!DFanalysis[[#This Row],[EUR]]),"")</f>
        <v/>
      </c>
      <c r="R13" s="8" t="str">
        <f>IFERROR(IF(ISBLANK([2]DFsmonkeyCompl!T14),"",[2]DFsmonkeyCompl!T14*[2]!DFanalysis[[#This Row],[EUR]]),"")</f>
        <v/>
      </c>
      <c r="S13" s="8" t="str">
        <f>IFERROR(IF(ISBLANK([2]DFsmonkeyCompl!U14),"",[2]DFsmonkeyCompl!U14*[2]!DFanalysis[[#This Row],[EUR]]),"")</f>
        <v/>
      </c>
      <c r="T13" s="8" t="str">
        <f>IFERROR(IF(ISBLANK([2]DFsmonkeyCompl!V14),"",[2]DFsmonkeyCompl!V14*[2]!DFanalysis[[#This Row],[EUR]]),"")</f>
        <v/>
      </c>
      <c r="U13" s="8" t="str">
        <f>IFERROR(IF(ISBLANK([2]DFsmonkeyCompl!W14),"",[2]DFsmonkeyCompl!W14*[2]!DFanalysis[[#This Row],[EUR]]),"")</f>
        <v/>
      </c>
      <c r="V13" s="8" t="str">
        <f>IFERROR(IF(ISBLANK([2]DFsmonkeyCompl!X14),"",[2]DFsmonkeyCompl!X14*[2]!DFanalysis[[#This Row],[EUR]]),"")</f>
        <v/>
      </c>
      <c r="W13" s="8" t="str">
        <f>IFERROR(IF(ISBLANK([2]DFsmonkeyCompl!Y14),"",[2]DFsmonkeyCompl!Y14*[2]!DFanalysis[[#This Row],[EUR]]),"")</f>
        <v/>
      </c>
      <c r="X13" s="8" t="str">
        <f>IFERROR(IF(ISBLANK([2]DFsmonkeyCompl!Z14),"",[2]DFsmonkeyCompl!Z14*[2]!DFanalysis[[#This Row],[EUR]]),"")</f>
        <v/>
      </c>
      <c r="Y13" s="8" t="str">
        <f>IFERROR(IF(ISBLANK([2]DFsmonkeyCompl!AA14),"",[2]DFsmonkeyCompl!AA14*[2]!DFanalysis[[#This Row],[EUR]]),"")</f>
        <v/>
      </c>
      <c r="Z13" s="8" t="str">
        <f>IFERROR(IF(ISBLANK([2]DFsmonkeyCompl!AB14),"",[2]DFsmonkeyCompl!AB14*[2]!DFanalysis[[#This Row],[EUR]]),"")</f>
        <v/>
      </c>
      <c r="AA13" s="8" t="str">
        <f>IF(ISBLANK([2]DFsmonkeyCompl!AC14),"",[2]DFsmonkeyCompl!AC14)</f>
        <v/>
      </c>
      <c r="AB13" s="8">
        <f>IF(ISBLANK([2]DFsmonkeyCompl!AD14),"",[2]DFsmonkeyCompl!AD14)</f>
        <v>100</v>
      </c>
      <c r="AC13" s="8" t="str">
        <f>IF(ISBLANK([2]DFsmonkeyCompl!AE14),"",[2]DFsmonkeyCompl!AE14)</f>
        <v/>
      </c>
      <c r="AD13" s="8" t="str">
        <f>IF(ISBLANK([2]DFsmonkeyCompl!AF14),"",[2]DFsmonkeyCompl!AF14)</f>
        <v/>
      </c>
      <c r="AE13" s="8" t="str">
        <f>IF(ISBLANK([2]DFsmonkeyCompl!AG14),"",[2]DFsmonkeyCompl!AG14)</f>
        <v>Increase</v>
      </c>
      <c r="AF13" s="8" t="str">
        <f>IF(ISBLANK([2]DFsmonkeyCompl!AH14),"",[2]DFsmonkeyCompl!AH14)</f>
        <v>Yes</v>
      </c>
      <c r="AG13" s="8">
        <f ca="1">IFERROR(INDEX([2]DebtFundUniverse!$B$2:$EU$700,MATCH($C13,[2]DebtFundUniverse!$A$2:$A$700,0),MATCH($AG$1,[2]DebtFundUniverse!$B$1:$EU$1,0)),"")</f>
        <v>558460000</v>
      </c>
      <c r="AH13" s="36">
        <f ca="1">IFERROR(INDEX([2]DebtFundUniverse!$B$2:$EU$700,MATCH($C13,[2]DebtFundUniverse!$A$2:$A$700,0),MATCH($AH$1,[2]DebtFundUniverse!$B$1:$EU$1,0)),"")</f>
        <v>0</v>
      </c>
    </row>
    <row r="14" spans="1:34" x14ac:dyDescent="0.2">
      <c r="A14" s="5" t="str">
        <f>IF(OR(ISTEXT([2]DFsmonkeyCompl!J15),ISNUMBER([2]DFsmonkeyCompl!J15)),[2]DFsmonkeyCompl!J15,"")</f>
        <v xml:space="preserve">DRC Capital </v>
      </c>
      <c r="B14" s="6" t="str">
        <f>IF(OR(ISTEXT([2]DFsmonkeyCompl!K15),ISNUMBER([2]DFsmonkeyCompl!K15)),[2]DFsmonkeyCompl!K15,"")</f>
        <v>DRC European Real Estate Senior Debt 4</v>
      </c>
      <c r="C14" s="7" cm="1">
        <f t="array" ref="C14">INDEX([2]DebtFundUniverse!$A$85:$A$95,MATCH(B14,[2]DebtFundUniverse!$B$85:$B$95,0),0)</f>
        <v>105974</v>
      </c>
      <c r="D14" s="6" t="str">
        <f>INDEX([2]DebtFundUniverse!$B$2:$EU$200,MATCH([2]!DFanalysis[[#This Row],[ID]],[2]DebtFundUniverse!$A$2:$A$200,0),MATCH([2]!DFanalysis[[#Headers],[Loan Strategy]],[2]DebtFundUniverse!$B$1:$EU$1,0))</f>
        <v>Whole Loans</v>
      </c>
      <c r="E14" s="6" t="str">
        <f>INDEX([2]DebtFundUniverse!$B$2:$EU$200,MATCH([2]!DFanalysis[[#This Row],[ID]],[2]DebtFundUniverse!$A$2:$A$200,0),MATCH([2]!DFanalysis[[#Headers],[Target Regional Strategy]],[2]DebtFundUniverse!$B$1:$EU$1,0))</f>
        <v>Europe</v>
      </c>
      <c r="F14" s="6" t="str">
        <f>INDEX([2]DebtFundUniverse!$B$2:$EU$200,MATCH([2]!DFanalysis[[#This Row],[ID]],[2]DebtFundUniverse!$A$2:$A$200,0),MATCH([2]!DFanalysis[[#Headers],[Vehicle Structure]],[2]DebtFundUniverse!$B$1:$EU$1,0))</f>
        <v>Closed end</v>
      </c>
      <c r="G14" s="6">
        <f>INDEX([2]DebtFundUniverse!$B$2:$EU$200,MATCH([2]!DFanalysis[[#This Row],[ID]],[2]DebtFundUniverse!$A$2:$A$200,0),MATCH([2]!DFanalysis[[#Headers],[year of first closing]],[2]DebtFundUniverse!$B$1:$EU$1,0))</f>
        <v>2019</v>
      </c>
      <c r="H14" s="6" t="str">
        <f>IF(ISBLANK([2]DFsmonkeyCompl!L15),"",[2]DFsmonkeyCompl!L15)</f>
        <v>Yes</v>
      </c>
      <c r="I14" s="6" t="str">
        <f>IF(ISBLANK([2]DFsmonkeyCompl!M15),"",[2]DFsmonkeyCompl!M15)</f>
        <v/>
      </c>
      <c r="J14" s="6" t="str">
        <f>IF(ISBLANK([2]DFsmonkeyCompl!N15),"",[2]DFsmonkeyCompl!N15)</f>
        <v/>
      </c>
      <c r="K14" s="6" t="str">
        <f>INDEX([2]DebtFundUniverse!$B$2:$EU$200,MATCH([2]!DFanalysis[[#This Row],[ID]],[2]DebtFundUniverse!$A$2:$A$200,0),MATCH([2]!DFanalysis[[#Headers],[Currency of Reporting]],[2]DebtFundUniverse!$B$1:$EU$1,0))</f>
        <v>GBP</v>
      </c>
      <c r="L14" s="8">
        <f>VLOOKUP([2]!DFanalysis[[#This Row],[Currency of Reporting]],'[2]Xrate31.12.20'!$K$1:$M$25,3,0)</f>
        <v>1.1130927885999999</v>
      </c>
      <c r="M14" s="8">
        <f>IFERROR(IF(ISBLANK([2]DFsmonkeyCompl!O15),"",[2]DFsmonkeyCompl!O15*[2]!DFanalysis[[#This Row],[EUR]]),"")</f>
        <v>111.30927885999999</v>
      </c>
      <c r="N14" s="8">
        <f>IFERROR(IF(ISBLANK([2]DFsmonkeyCompl!P15),"",[2]DFsmonkeyCompl!P15*[2]!DFanalysis[[#This Row],[EUR]]),"")</f>
        <v>111.30927885999999</v>
      </c>
      <c r="O14" s="8" t="str">
        <f>IFERROR(IF(ISBLANK([2]DFsmonkeyCompl!Q15),"",[2]DFsmonkeyCompl!Q15*[2]!DFanalysis[[#This Row],[EUR]]),"")</f>
        <v/>
      </c>
      <c r="P14" s="8" t="str">
        <f>IFERROR(IF(ISBLANK([2]DFsmonkeyCompl!R15),"",[2]DFsmonkeyCompl!R15*[2]!DFanalysis[[#This Row],[EUR]]),"")</f>
        <v/>
      </c>
      <c r="Q14" s="8" t="str">
        <f>IFERROR(IF(ISBLANK([2]DFsmonkeyCompl!S15),"",[2]DFsmonkeyCompl!S15*[2]!DFanalysis[[#This Row],[EUR]]),"")</f>
        <v/>
      </c>
      <c r="R14" s="8" t="str">
        <f>IFERROR(IF(ISBLANK([2]DFsmonkeyCompl!T15),"",[2]DFsmonkeyCompl!T15*[2]!DFanalysis[[#This Row],[EUR]]),"")</f>
        <v/>
      </c>
      <c r="S14" s="8" t="str">
        <f>IFERROR(IF(ISBLANK([2]DFsmonkeyCompl!U15),"",[2]DFsmonkeyCompl!U15*[2]!DFanalysis[[#This Row],[EUR]]),"")</f>
        <v/>
      </c>
      <c r="T14" s="8" t="str">
        <f>IFERROR(IF(ISBLANK([2]DFsmonkeyCompl!V15),"",[2]DFsmonkeyCompl!V15*[2]!DFanalysis[[#This Row],[EUR]]),"")</f>
        <v/>
      </c>
      <c r="U14" s="8" t="str">
        <f>IFERROR(IF(ISBLANK([2]DFsmonkeyCompl!W15),"",[2]DFsmonkeyCompl!W15*[2]!DFanalysis[[#This Row],[EUR]]),"")</f>
        <v/>
      </c>
      <c r="V14" s="8">
        <f>IFERROR(IF(ISBLANK([2]DFsmonkeyCompl!X15),"",[2]DFsmonkeyCompl!X15*[2]!DFanalysis[[#This Row],[EUR]]),"")</f>
        <v>111.30927885999999</v>
      </c>
      <c r="W14" s="8" t="str">
        <f>IFERROR(IF(ISBLANK([2]DFsmonkeyCompl!Y15),"",[2]DFsmonkeyCompl!Y15*[2]!DFanalysis[[#This Row],[EUR]]),"")</f>
        <v/>
      </c>
      <c r="X14" s="8" t="str">
        <f>IFERROR(IF(ISBLANK([2]DFsmonkeyCompl!Z15),"",[2]DFsmonkeyCompl!Z15*[2]!DFanalysis[[#This Row],[EUR]]),"")</f>
        <v/>
      </c>
      <c r="Y14" s="8" t="str">
        <f>IFERROR(IF(ISBLANK([2]DFsmonkeyCompl!AA15),"",[2]DFsmonkeyCompl!AA15*[2]!DFanalysis[[#This Row],[EUR]]),"")</f>
        <v/>
      </c>
      <c r="Z14" s="8" t="str">
        <f>IFERROR(IF(ISBLANK([2]DFsmonkeyCompl!AB15),"",[2]DFsmonkeyCompl!AB15*[2]!DFanalysis[[#This Row],[EUR]]),"")</f>
        <v/>
      </c>
      <c r="AA14" s="8" t="str">
        <f>IF(ISBLANK([2]DFsmonkeyCompl!AC15),"",[2]DFsmonkeyCompl!AC15)</f>
        <v/>
      </c>
      <c r="AB14" s="8" t="str">
        <f>IF(ISBLANK([2]DFsmonkeyCompl!AD15),"",[2]DFsmonkeyCompl!AD15)</f>
        <v/>
      </c>
      <c r="AC14" s="8">
        <f>IF(ISBLANK([2]DFsmonkeyCompl!AE15),"",[2]DFsmonkeyCompl!AE15)</f>
        <v>100</v>
      </c>
      <c r="AD14" s="8" t="str">
        <f>IF(ISBLANK([2]DFsmonkeyCompl!AF15),"",[2]DFsmonkeyCompl!AF15)</f>
        <v/>
      </c>
      <c r="AE14" s="8" t="str">
        <f>IF(ISBLANK([2]DFsmonkeyCompl!AG15),"",[2]DFsmonkeyCompl!AG15)</f>
        <v>Increase</v>
      </c>
      <c r="AF14" s="8" t="str">
        <f>IF(ISBLANK([2]DFsmonkeyCompl!AH15),"",[2]DFsmonkeyCompl!AH15)</f>
        <v>Yes</v>
      </c>
      <c r="AG14" s="8">
        <f ca="1">IFERROR(INDEX([2]DebtFundUniverse!$B$2:$EU$700,MATCH($C14,[2]DebtFundUniverse!$A$2:$A$700,0),MATCH($AG$1,[2]DebtFundUniverse!$B$1:$EU$1,0)),"")</f>
        <v>555060000</v>
      </c>
      <c r="AH14" s="36">
        <f ca="1">IFERROR(INDEX([2]DebtFundUniverse!$B$2:$EU$700,MATCH($C14,[2]DebtFundUniverse!$A$2:$A$700,0),MATCH($AH$1,[2]DebtFundUniverse!$B$1:$EU$1,0)),"")</f>
        <v>0</v>
      </c>
    </row>
    <row r="15" spans="1:34" x14ac:dyDescent="0.2">
      <c r="A15" s="5" t="str">
        <f>IF(OR(ISTEXT([2]DFsmonkeyCompl!J16),ISNUMBER([2]DFsmonkeyCompl!J16)),[2]DFsmonkeyCompl!J16,"")</f>
        <v xml:space="preserve">DRC Capital </v>
      </c>
      <c r="B15" s="6" t="str">
        <f>IF(OR(ISTEXT([2]DFsmonkeyCompl!K16),ISNUMBER([2]DFsmonkeyCompl!K16)),[2]DFsmonkeyCompl!K16,"")</f>
        <v>DRC UK Whole Loan Fund II</v>
      </c>
      <c r="C15" s="7">
        <v>19301</v>
      </c>
      <c r="D15" s="6" t="str">
        <f>INDEX([2]DebtFundUniverse!$B$2:$EU$200,MATCH([2]!DFanalysis[[#This Row],[ID]],[2]DebtFundUniverse!$A$2:$A$200,0),MATCH([2]!DFanalysis[[#Headers],[Loan Strategy]],[2]DebtFundUniverse!$B$1:$EU$1,0))</f>
        <v>Whole Loans</v>
      </c>
      <c r="E15" s="6" t="str">
        <f>INDEX([2]DebtFundUniverse!$B$2:$EU$200,MATCH([2]!DFanalysis[[#This Row],[ID]],[2]DebtFundUniverse!$A$2:$A$200,0),MATCH([2]!DFanalysis[[#Headers],[Target Regional Strategy]],[2]DebtFundUniverse!$B$1:$EU$1,0))</f>
        <v>Europe</v>
      </c>
      <c r="F15" s="6" t="str">
        <f>INDEX([2]DebtFundUniverse!$B$2:$EU$200,MATCH([2]!DFanalysis[[#This Row],[ID]],[2]DebtFundUniverse!$A$2:$A$200,0),MATCH([2]!DFanalysis[[#Headers],[Vehicle Structure]],[2]DebtFundUniverse!$B$1:$EU$1,0))</f>
        <v>Closed end</v>
      </c>
      <c r="G15" s="6">
        <f>INDEX([2]DebtFundUniverse!$B$2:$EU$200,MATCH([2]!DFanalysis[[#This Row],[ID]],[2]DebtFundUniverse!$A$2:$A$200,0),MATCH([2]!DFanalysis[[#Headers],[year of first closing]],[2]DebtFundUniverse!$B$1:$EU$1,0))</f>
        <v>2020</v>
      </c>
      <c r="H15" s="6" t="str">
        <f>IF(ISBLANK([2]DFsmonkeyCompl!L16),"",[2]DFsmonkeyCompl!L16)</f>
        <v>Yes</v>
      </c>
      <c r="I15" s="6" t="str">
        <f>IF(ISBLANK([2]DFsmonkeyCompl!M16),"",[2]DFsmonkeyCompl!M16)</f>
        <v/>
      </c>
      <c r="J15" s="6" t="str">
        <f>IF(ISBLANK([2]DFsmonkeyCompl!N16),"",[2]DFsmonkeyCompl!N16)</f>
        <v/>
      </c>
      <c r="K15" s="6" t="str">
        <f>INDEX([2]DebtFundUniverse!$B$2:$EU$200,MATCH([2]!DFanalysis[[#This Row],[ID]],[2]DebtFundUniverse!$A$2:$A$200,0),MATCH([2]!DFanalysis[[#Headers],[Currency of Reporting]],[2]DebtFundUniverse!$B$1:$EU$1,0))</f>
        <v>GBP</v>
      </c>
      <c r="L15" s="8">
        <f>VLOOKUP([2]!DFanalysis[[#This Row],[Currency of Reporting]],'[2]Xrate31.12.20'!$K$1:$M$25,3,0)</f>
        <v>1.1130927885999999</v>
      </c>
      <c r="M15" s="8">
        <f>IFERROR(IF(ISBLANK([2]DFsmonkeyCompl!O16),"",[2]DFsmonkeyCompl!O16*[2]!DFanalysis[[#This Row],[EUR]]),"")</f>
        <v>161.39845434699998</v>
      </c>
      <c r="N15" s="8">
        <f>IFERROR(IF(ISBLANK([2]DFsmonkeyCompl!P16),"",[2]DFsmonkeyCompl!P16*[2]!DFanalysis[[#This Row],[EUR]]),"")</f>
        <v>161.39845434699998</v>
      </c>
      <c r="O15" s="8" t="str">
        <f>IFERROR(IF(ISBLANK([2]DFsmonkeyCompl!Q16),"",[2]DFsmonkeyCompl!Q16*[2]!DFanalysis[[#This Row],[EUR]]),"")</f>
        <v/>
      </c>
      <c r="P15" s="8" t="str">
        <f>IFERROR(IF(ISBLANK([2]DFsmonkeyCompl!R16),"",[2]DFsmonkeyCompl!R16*[2]!DFanalysis[[#This Row],[EUR]]),"")</f>
        <v/>
      </c>
      <c r="Q15" s="8" t="str">
        <f>IFERROR(IF(ISBLANK([2]DFsmonkeyCompl!S16),"",[2]DFsmonkeyCompl!S16*[2]!DFanalysis[[#This Row],[EUR]]),"")</f>
        <v/>
      </c>
      <c r="R15" s="8" t="str">
        <f>IFERROR(IF(ISBLANK([2]DFsmonkeyCompl!T16),"",[2]DFsmonkeyCompl!T16*[2]!DFanalysis[[#This Row],[EUR]]),"")</f>
        <v/>
      </c>
      <c r="S15" s="8" t="str">
        <f>IFERROR(IF(ISBLANK([2]DFsmonkeyCompl!U16),"",[2]DFsmonkeyCompl!U16*[2]!DFanalysis[[#This Row],[EUR]]),"")</f>
        <v/>
      </c>
      <c r="T15" s="8" t="str">
        <f>IFERROR(IF(ISBLANK([2]DFsmonkeyCompl!V16),"",[2]DFsmonkeyCompl!V16*[2]!DFanalysis[[#This Row],[EUR]]),"")</f>
        <v/>
      </c>
      <c r="U15" s="8" t="str">
        <f>IFERROR(IF(ISBLANK([2]DFsmonkeyCompl!W16),"",[2]DFsmonkeyCompl!W16*[2]!DFanalysis[[#This Row],[EUR]]),"")</f>
        <v/>
      </c>
      <c r="V15" s="8">
        <f>IFERROR(IF(ISBLANK([2]DFsmonkeyCompl!X16),"",[2]DFsmonkeyCompl!X16*[2]!DFanalysis[[#This Row],[EUR]]),"")</f>
        <v>161.39845434699998</v>
      </c>
      <c r="W15" s="8" t="str">
        <f>IFERROR(IF(ISBLANK([2]DFsmonkeyCompl!Y16),"",[2]DFsmonkeyCompl!Y16*[2]!DFanalysis[[#This Row],[EUR]]),"")</f>
        <v/>
      </c>
      <c r="X15" s="8" t="str">
        <f>IFERROR(IF(ISBLANK([2]DFsmonkeyCompl!Z16),"",[2]DFsmonkeyCompl!Z16*[2]!DFanalysis[[#This Row],[EUR]]),"")</f>
        <v/>
      </c>
      <c r="Y15" s="8" t="str">
        <f>IFERROR(IF(ISBLANK([2]DFsmonkeyCompl!AA16),"",[2]DFsmonkeyCompl!AA16*[2]!DFanalysis[[#This Row],[EUR]]),"")</f>
        <v/>
      </c>
      <c r="Z15" s="8" t="str">
        <f>IFERROR(IF(ISBLANK([2]DFsmonkeyCompl!AB16),"",[2]DFsmonkeyCompl!AB16*[2]!DFanalysis[[#This Row],[EUR]]),"")</f>
        <v/>
      </c>
      <c r="AA15" s="8" t="str">
        <f>IF(ISBLANK([2]DFsmonkeyCompl!AC16),"",[2]DFsmonkeyCompl!AC16)</f>
        <v/>
      </c>
      <c r="AB15" s="8" t="str">
        <f>IF(ISBLANK([2]DFsmonkeyCompl!AD16),"",[2]DFsmonkeyCompl!AD16)</f>
        <v/>
      </c>
      <c r="AC15" s="8">
        <f>IF(ISBLANK([2]DFsmonkeyCompl!AE16),"",[2]DFsmonkeyCompl!AE16)</f>
        <v>100</v>
      </c>
      <c r="AD15" s="8" t="str">
        <f>IF(ISBLANK([2]DFsmonkeyCompl!AF16),"",[2]DFsmonkeyCompl!AF16)</f>
        <v/>
      </c>
      <c r="AE15" s="8" t="str">
        <f>IF(ISBLANK([2]DFsmonkeyCompl!AG16),"",[2]DFsmonkeyCompl!AG16)</f>
        <v>Increase</v>
      </c>
      <c r="AF15" s="8" t="str">
        <f>IF(ISBLANK([2]DFsmonkeyCompl!AH16),"",[2]DFsmonkeyCompl!AH16)</f>
        <v>Yes</v>
      </c>
      <c r="AG15" s="8">
        <f ca="1">IFERROR(INDEX([2]DebtFundUniverse!$B$2:$EU$700,MATCH($C15,[2]DebtFundUniverse!$A$2:$A$700,0),MATCH($AG$1,[2]DebtFundUniverse!$B$1:$EU$1,0)),"")</f>
        <v>500000000</v>
      </c>
      <c r="AH15" s="36">
        <f ca="1">IFERROR(INDEX([2]DebtFundUniverse!$B$2:$EU$700,MATCH($C15,[2]DebtFundUniverse!$A$2:$A$700,0),MATCH($AH$1,[2]DebtFundUniverse!$B$1:$EU$1,0)),"")</f>
        <v>750000000</v>
      </c>
    </row>
    <row r="16" spans="1:34" x14ac:dyDescent="0.2">
      <c r="A16" s="5" t="str">
        <f>IF(OR(ISTEXT([2]DFsmonkeyCompl!J17),ISNUMBER([2]DFsmonkeyCompl!J17)),[2]DFsmonkeyCompl!J17,"")</f>
        <v xml:space="preserve">DRC Capital </v>
      </c>
      <c r="B16" s="6" t="str">
        <f>IF(OR(ISTEXT([2]DFsmonkeyCompl!K17),ISNUMBER([2]DFsmonkeyCompl!K17)),[2]DFsmonkeyCompl!K17,"")</f>
        <v>DRC European Real Estate Debt Fund IV</v>
      </c>
      <c r="C16" s="7">
        <v>19296</v>
      </c>
      <c r="D16" s="6" t="str">
        <f>INDEX([2]DebtFundUniverse!$B$2:$EU$200,MATCH([2]!DFanalysis[[#This Row],[ID]],[2]DebtFundUniverse!$A$2:$A$200,0),MATCH([2]!DFanalysis[[#Headers],[Loan Strategy]],[2]DebtFundUniverse!$B$1:$EU$1,0))</f>
        <v>Mixed: Senior+Subordinated</v>
      </c>
      <c r="E16" s="6" t="str">
        <f>INDEX([2]DebtFundUniverse!$B$2:$EU$200,MATCH([2]!DFanalysis[[#This Row],[ID]],[2]DebtFundUniverse!$A$2:$A$200,0),MATCH([2]!DFanalysis[[#Headers],[Target Regional Strategy]],[2]DebtFundUniverse!$B$1:$EU$1,0))</f>
        <v>Europe</v>
      </c>
      <c r="F16" s="6" t="str">
        <f>INDEX([2]DebtFundUniverse!$B$2:$EU$200,MATCH([2]!DFanalysis[[#This Row],[ID]],[2]DebtFundUniverse!$A$2:$A$200,0),MATCH([2]!DFanalysis[[#Headers],[Vehicle Structure]],[2]DebtFundUniverse!$B$1:$EU$1,0))</f>
        <v>Closed end</v>
      </c>
      <c r="G16" s="6">
        <f>INDEX([2]DebtFundUniverse!$B$2:$EU$200,MATCH([2]!DFanalysis[[#This Row],[ID]],[2]DebtFundUniverse!$A$2:$A$200,0),MATCH([2]!DFanalysis[[#Headers],[year of first closing]],[2]DebtFundUniverse!$B$1:$EU$1,0))</f>
        <v>2019</v>
      </c>
      <c r="H16" s="6" t="str">
        <f>IF(ISBLANK([2]DFsmonkeyCompl!L17),"",[2]DFsmonkeyCompl!L17)</f>
        <v>Yes</v>
      </c>
      <c r="I16" s="6" t="str">
        <f>IF(ISBLANK([2]DFsmonkeyCompl!M17),"",[2]DFsmonkeyCompl!M17)</f>
        <v/>
      </c>
      <c r="J16" s="6" t="str">
        <f>IF(ISBLANK([2]DFsmonkeyCompl!N17),"",[2]DFsmonkeyCompl!N17)</f>
        <v/>
      </c>
      <c r="K16" s="6" t="str">
        <f>INDEX([2]DebtFundUniverse!$B$2:$EU$200,MATCH([2]!DFanalysis[[#This Row],[ID]],[2]DebtFundUniverse!$A$2:$A$200,0),MATCH([2]!DFanalysis[[#Headers],[Currency of Reporting]],[2]DebtFundUniverse!$B$1:$EU$1,0))</f>
        <v>GBP</v>
      </c>
      <c r="L16" s="8">
        <f>VLOOKUP([2]!DFanalysis[[#This Row],[Currency of Reporting]],'[2]Xrate31.12.20'!$K$1:$M$25,3,0)</f>
        <v>1.1130927885999999</v>
      </c>
      <c r="M16" s="8">
        <f>IFERROR(IF(ISBLANK([2]DFsmonkeyCompl!O17),"",[2]DFsmonkeyCompl!O17*[2]!DFanalysis[[#This Row],[EUR]]),"")</f>
        <v>115.76165001439999</v>
      </c>
      <c r="N16" s="8">
        <f>IFERROR(IF(ISBLANK([2]DFsmonkeyCompl!P17),"",[2]DFsmonkeyCompl!P17*[2]!DFanalysis[[#This Row],[EUR]]),"")</f>
        <v>87.934330299399988</v>
      </c>
      <c r="O16" s="8">
        <f>IFERROR(IF(ISBLANK([2]DFsmonkeyCompl!Q17),"",[2]DFsmonkeyCompl!Q17*[2]!DFanalysis[[#This Row],[EUR]]),"")</f>
        <v>27.827319714999998</v>
      </c>
      <c r="P16" s="8" t="str">
        <f>IFERROR(IF(ISBLANK([2]DFsmonkeyCompl!R17),"",[2]DFsmonkeyCompl!R17*[2]!DFanalysis[[#This Row],[EUR]]),"")</f>
        <v/>
      </c>
      <c r="Q16" s="8" t="str">
        <f>IFERROR(IF(ISBLANK([2]DFsmonkeyCompl!S17),"",[2]DFsmonkeyCompl!S17*[2]!DFanalysis[[#This Row],[EUR]]),"")</f>
        <v/>
      </c>
      <c r="R16" s="8" t="str">
        <f>IFERROR(IF(ISBLANK([2]DFsmonkeyCompl!T17),"",[2]DFsmonkeyCompl!T17*[2]!DFanalysis[[#This Row],[EUR]]),"")</f>
        <v/>
      </c>
      <c r="S16" s="8" t="str">
        <f>IFERROR(IF(ISBLANK([2]DFsmonkeyCompl!U17),"",[2]DFsmonkeyCompl!U17*[2]!DFanalysis[[#This Row],[EUR]]),"")</f>
        <v/>
      </c>
      <c r="T16" s="8" t="str">
        <f>IFERROR(IF(ISBLANK([2]DFsmonkeyCompl!V17),"",[2]DFsmonkeyCompl!V17*[2]!DFanalysis[[#This Row],[EUR]]),"")</f>
        <v/>
      </c>
      <c r="U16" s="8" t="str">
        <f>IFERROR(IF(ISBLANK([2]DFsmonkeyCompl!W17),"",[2]DFsmonkeyCompl!W17*[2]!DFanalysis[[#This Row],[EUR]]),"")</f>
        <v/>
      </c>
      <c r="V16" s="8">
        <f>IFERROR(IF(ISBLANK([2]DFsmonkeyCompl!X17),"",[2]DFsmonkeyCompl!X17*[2]!DFanalysis[[#This Row],[EUR]]),"")</f>
        <v>30.053505292199997</v>
      </c>
      <c r="W16" s="8">
        <f>IFERROR(IF(ISBLANK([2]DFsmonkeyCompl!Y17),"",[2]DFsmonkeyCompl!Y17*[2]!DFanalysis[[#This Row],[EUR]]),"")</f>
        <v>85.708144722199989</v>
      </c>
      <c r="X16" s="8" t="str">
        <f>IFERROR(IF(ISBLANK([2]DFsmonkeyCompl!Z17),"",[2]DFsmonkeyCompl!Z17*[2]!DFanalysis[[#This Row],[EUR]]),"")</f>
        <v/>
      </c>
      <c r="Y16" s="8" t="str">
        <f>IFERROR(IF(ISBLANK([2]DFsmonkeyCompl!AA17),"",[2]DFsmonkeyCompl!AA17*[2]!DFanalysis[[#This Row],[EUR]]),"")</f>
        <v/>
      </c>
      <c r="Z16" s="8" t="str">
        <f>IFERROR(IF(ISBLANK([2]DFsmonkeyCompl!AB17),"",[2]DFsmonkeyCompl!AB17*[2]!DFanalysis[[#This Row],[EUR]]),"")</f>
        <v/>
      </c>
      <c r="AA16" s="8">
        <f>IF(ISBLANK([2]DFsmonkeyCompl!AC17),"",[2]DFsmonkeyCompl!AC17)</f>
        <v>74</v>
      </c>
      <c r="AB16" s="8" t="str">
        <f>IF(ISBLANK([2]DFsmonkeyCompl!AD17),"",[2]DFsmonkeyCompl!AD17)</f>
        <v/>
      </c>
      <c r="AC16" s="8">
        <f>IF(ISBLANK([2]DFsmonkeyCompl!AE17),"",[2]DFsmonkeyCompl!AE17)</f>
        <v>26</v>
      </c>
      <c r="AD16" s="8" t="str">
        <f>IF(ISBLANK([2]DFsmonkeyCompl!AF17),"",[2]DFsmonkeyCompl!AF17)</f>
        <v/>
      </c>
      <c r="AE16" s="8" t="str">
        <f>IF(ISBLANK([2]DFsmonkeyCompl!AG17),"",[2]DFsmonkeyCompl!AG17)</f>
        <v>Increase</v>
      </c>
      <c r="AF16" s="8" t="str">
        <f>IF(ISBLANK([2]DFsmonkeyCompl!AH17),"",[2]DFsmonkeyCompl!AH17)</f>
        <v>Yes</v>
      </c>
      <c r="AG16" s="8">
        <f ca="1">IFERROR(INDEX([2]DebtFundUniverse!$B$2:$EU$700,MATCH($C16,[2]DebtFundUniverse!$A$2:$A$700,0),MATCH($AG$1,[2]DebtFundUniverse!$B$1:$EU$1,0)),"")</f>
        <v>141000000</v>
      </c>
      <c r="AH16" s="36">
        <f ca="1">IFERROR(INDEX([2]DebtFundUniverse!$B$2:$EU$700,MATCH($C16,[2]DebtFundUniverse!$A$2:$A$700,0),MATCH($AH$1,[2]DebtFundUniverse!$B$1:$EU$1,0)),"")</f>
        <v>141000000</v>
      </c>
    </row>
    <row r="17" spans="1:34" x14ac:dyDescent="0.2">
      <c r="A17" s="5" t="str">
        <f>IF(OR(ISTEXT([2]DFsmonkeyCompl!J18),ISNUMBER([2]DFsmonkeyCompl!J18)),[2]DFsmonkeyCompl!J18,"")</f>
        <v>Pluto Finance</v>
      </c>
      <c r="B17" s="6" t="str">
        <f>IF(OR(ISTEXT([2]DFsmonkeyCompl!K18),ISNUMBER([2]DFsmonkeyCompl!K18)),[2]DFsmonkeyCompl!K18,"")</f>
        <v>Fund V</v>
      </c>
      <c r="C17" s="10">
        <v>28321</v>
      </c>
      <c r="D17" s="6" t="str">
        <f>INDEX([2]DebtFundUniverse!$B$2:$EU$200,MATCH([2]!DFanalysis[[#This Row],[ID]],[2]DebtFundUniverse!$A$2:$A$200,0),MATCH([2]!DFanalysis[[#Headers],[Loan Strategy]],[2]DebtFundUniverse!$B$1:$EU$1,0))</f>
        <v>Senior</v>
      </c>
      <c r="E17" s="6" t="str">
        <f>INDEX([2]DebtFundUniverse!$B$2:$EU$200,MATCH([2]!DFanalysis[[#This Row],[ID]],[2]DebtFundUniverse!$A$2:$A$200,0),MATCH([2]!DFanalysis[[#Headers],[Target Regional Strategy]],[2]DebtFundUniverse!$B$1:$EU$1,0))</f>
        <v>Europe</v>
      </c>
      <c r="F17" s="6" t="str">
        <f>INDEX([2]DebtFundUniverse!$B$2:$EU$200,MATCH([2]!DFanalysis[[#This Row],[ID]],[2]DebtFundUniverse!$A$2:$A$200,0),MATCH([2]!DFanalysis[[#Headers],[Vehicle Structure]],[2]DebtFundUniverse!$B$1:$EU$1,0))</f>
        <v>Open end</v>
      </c>
      <c r="G17" s="6">
        <f>INDEX([2]DebtFundUniverse!$B$2:$EU$200,MATCH([2]!DFanalysis[[#This Row],[ID]],[2]DebtFundUniverse!$A$2:$A$200,0),MATCH([2]!DFanalysis[[#Headers],[year of first closing]],[2]DebtFundUniverse!$B$1:$EU$1,0))</f>
        <v>2017</v>
      </c>
      <c r="H17" s="6" t="str">
        <f>IF(ISBLANK([2]DFsmonkeyCompl!L18),"",[2]DFsmonkeyCompl!L18)</f>
        <v>Yes</v>
      </c>
      <c r="I17" s="6" t="str">
        <f>IF(ISBLANK([2]DFsmonkeyCompl!M18),"",[2]DFsmonkeyCompl!M18)</f>
        <v/>
      </c>
      <c r="J17" s="6" t="str">
        <f>IF(ISBLANK([2]DFsmonkeyCompl!N18),"",[2]DFsmonkeyCompl!N18)</f>
        <v/>
      </c>
      <c r="K17" s="6" t="str">
        <f>INDEX([2]DebtFundUniverse!$B$2:$EU$200,MATCH([2]!DFanalysis[[#This Row],[ID]],[2]DebtFundUniverse!$A$2:$A$200,0),MATCH([2]!DFanalysis[[#Headers],[Currency of Reporting]],[2]DebtFundUniverse!$B$1:$EU$1,0))</f>
        <v>GBP</v>
      </c>
      <c r="L17" s="8">
        <f>VLOOKUP([2]!DFanalysis[[#This Row],[Currency of Reporting]],'[2]Xrate31.12.20'!$K$1:$M$25,3,0)</f>
        <v>1.1130927885999999</v>
      </c>
      <c r="M17" s="8">
        <f>IFERROR(IF(ISBLANK([2]DFsmonkeyCompl!O18),"",[2]DFsmonkeyCompl!O18*[2]!DFanalysis[[#This Row],[EUR]]),"")</f>
        <v>53.428453852799997</v>
      </c>
      <c r="N17" s="8">
        <f>IFERROR(IF(ISBLANK([2]DFsmonkeyCompl!P18),"",[2]DFsmonkeyCompl!P18*[2]!DFanalysis[[#This Row],[EUR]]),"")</f>
        <v>11.130927885999998</v>
      </c>
      <c r="O17" s="8">
        <f>IFERROR(IF(ISBLANK([2]DFsmonkeyCompl!Q18),"",[2]DFsmonkeyCompl!Q18*[2]!DFanalysis[[#This Row],[EUR]]),"")</f>
        <v>31.1665980808</v>
      </c>
      <c r="P17" s="8" t="str">
        <f>IFERROR(IF(ISBLANK([2]DFsmonkeyCompl!R18),"",[2]DFsmonkeyCompl!R18*[2]!DFanalysis[[#This Row],[EUR]]),"")</f>
        <v/>
      </c>
      <c r="Q17" s="8" t="str">
        <f>IFERROR(IF(ISBLANK([2]DFsmonkeyCompl!S18),"",[2]DFsmonkeyCompl!S18*[2]!DFanalysis[[#This Row],[EUR]]),"")</f>
        <v/>
      </c>
      <c r="R17" s="8" t="str">
        <f>IFERROR(IF(ISBLANK([2]DFsmonkeyCompl!T18),"",[2]DFsmonkeyCompl!T18*[2]!DFanalysis[[#This Row],[EUR]]),"")</f>
        <v/>
      </c>
      <c r="S17" s="8">
        <f>IFERROR(IF(ISBLANK([2]DFsmonkeyCompl!U18),"",[2]DFsmonkeyCompl!U18*[2]!DFanalysis[[#This Row],[EUR]]),"")</f>
        <v>11.130927885999998</v>
      </c>
      <c r="T17" s="8" t="str">
        <f>IFERROR(IF(ISBLANK([2]DFsmonkeyCompl!V18),"",[2]DFsmonkeyCompl!V18*[2]!DFanalysis[[#This Row],[EUR]]),"")</f>
        <v/>
      </c>
      <c r="U17" s="8" t="str">
        <f>IFERROR(IF(ISBLANK([2]DFsmonkeyCompl!W18),"",[2]DFsmonkeyCompl!W18*[2]!DFanalysis[[#This Row],[EUR]]),"")</f>
        <v/>
      </c>
      <c r="V17" s="8">
        <f>IFERROR(IF(ISBLANK([2]DFsmonkeyCompl!X18),"",[2]DFsmonkeyCompl!X18*[2]!DFanalysis[[#This Row],[EUR]]),"")</f>
        <v>53.428453852799997</v>
      </c>
      <c r="W17" s="8" t="str">
        <f>IFERROR(IF(ISBLANK([2]DFsmonkeyCompl!Y18),"",[2]DFsmonkeyCompl!Y18*[2]!DFanalysis[[#This Row],[EUR]]),"")</f>
        <v/>
      </c>
      <c r="X17" s="8" t="str">
        <f>IFERROR(IF(ISBLANK([2]DFsmonkeyCompl!Z18),"",[2]DFsmonkeyCompl!Z18*[2]!DFanalysis[[#This Row],[EUR]]),"")</f>
        <v/>
      </c>
      <c r="Y17" s="8" t="str">
        <f>IFERROR(IF(ISBLANK([2]DFsmonkeyCompl!AA18),"",[2]DFsmonkeyCompl!AA18*[2]!DFanalysis[[#This Row],[EUR]]),"")</f>
        <v/>
      </c>
      <c r="Z17" s="8" t="str">
        <f>IFERROR(IF(ISBLANK([2]DFsmonkeyCompl!AB18),"",[2]DFsmonkeyCompl!AB18*[2]!DFanalysis[[#This Row],[EUR]]),"")</f>
        <v/>
      </c>
      <c r="AA17" s="8" t="str">
        <f>IF(ISBLANK([2]DFsmonkeyCompl!AC18),"",[2]DFsmonkeyCompl!AC18)</f>
        <v/>
      </c>
      <c r="AB17" s="8" t="str">
        <f>IF(ISBLANK([2]DFsmonkeyCompl!AD18),"",[2]DFsmonkeyCompl!AD18)</f>
        <v/>
      </c>
      <c r="AC17" s="8">
        <f>IF(ISBLANK([2]DFsmonkeyCompl!AE18),"",[2]DFsmonkeyCompl!AE18)</f>
        <v>100</v>
      </c>
      <c r="AD17" s="8" t="str">
        <f>IF(ISBLANK([2]DFsmonkeyCompl!AF18),"",[2]DFsmonkeyCompl!AF18)</f>
        <v/>
      </c>
      <c r="AE17" s="8" t="str">
        <f>IF(ISBLANK([2]DFsmonkeyCompl!AG18),"",[2]DFsmonkeyCompl!AG18)</f>
        <v>Increase</v>
      </c>
      <c r="AF17" s="8" t="str">
        <f>IF(ISBLANK([2]DFsmonkeyCompl!AH18),"",[2]DFsmonkeyCompl!AH18)</f>
        <v>No</v>
      </c>
      <c r="AG17" s="8">
        <f ca="1">IFERROR(INDEX([2]DebtFundUniverse!$B$2:$EU$700,MATCH($C17,[2]DebtFundUniverse!$A$2:$A$700,0),MATCH($AG$1,[2]DebtFundUniverse!$B$1:$EU$1,0)),"")</f>
        <v>0</v>
      </c>
      <c r="AH17" s="36">
        <f ca="1">IFERROR(INDEX([2]DebtFundUniverse!$B$2:$EU$700,MATCH($C17,[2]DebtFundUniverse!$A$2:$A$700,0),MATCH($AH$1,[2]DebtFundUniverse!$B$1:$EU$1,0)),"")</f>
        <v>0</v>
      </c>
    </row>
    <row r="18" spans="1:34" x14ac:dyDescent="0.2">
      <c r="B18" s="6" t="str">
        <f>IF(OR(ISTEXT([2]DFsmonkeyCompl!K19),ISNUMBER([2]DFsmonkeyCompl!K19)),[2]DFsmonkeyCompl!K19,"")</f>
        <v>Special Situations Fund</v>
      </c>
      <c r="C18" s="10"/>
      <c r="D18" s="6" t="str">
        <f>INDEX([2]DebtFundUniverse!$B$2:$EU$200,MATCH([2]!DFanalysis[[#This Row],[ID]],[2]DebtFundUniverse!$A$2:$A$200,0),MATCH([2]!DFanalysis[[#Headers],[Loan Strategy]],[2]DebtFundUniverse!$B$1:$EU$1,0))</f>
        <v>Mixed: Senior+Subordinated</v>
      </c>
      <c r="E18" s="6" t="str">
        <f>INDEX([2]DebtFundUniverse!$B$2:$EU$200,MATCH([2]!DFanalysis[[#This Row],[ID]],[2]DebtFundUniverse!$A$2:$A$200,0),MATCH([2]!DFanalysis[[#Headers],[Target Regional Strategy]],[2]DebtFundUniverse!$B$1:$EU$1,0))</f>
        <v>North America</v>
      </c>
      <c r="F18" s="6" t="str">
        <f>INDEX([2]DebtFundUniverse!$B$2:$EU$200,MATCH([2]!DFanalysis[[#This Row],[ID]],[2]DebtFundUniverse!$A$2:$A$200,0),MATCH([2]!DFanalysis[[#Headers],[Vehicle Structure]],[2]DebtFundUniverse!$B$1:$EU$1,0))</f>
        <v>Open end</v>
      </c>
      <c r="G18" s="6">
        <f>INDEX([2]DebtFundUniverse!$B$2:$EU$200,MATCH([2]!DFanalysis[[#This Row],[ID]],[2]DebtFundUniverse!$A$2:$A$200,0),MATCH([2]!DFanalysis[[#Headers],[year of first closing]],[2]DebtFundUniverse!$B$1:$EU$1,0))</f>
        <v>2009</v>
      </c>
      <c r="H18" s="6" t="str">
        <f>IF(ISBLANK([2]DFsmonkeyCompl!L19),"",[2]DFsmonkeyCompl!L19)</f>
        <v>Yes</v>
      </c>
      <c r="I18" s="6" t="str">
        <f>IF(ISBLANK([2]DFsmonkeyCompl!M19),"",[2]DFsmonkeyCompl!M19)</f>
        <v/>
      </c>
      <c r="J18" s="6" t="str">
        <f>IF(ISBLANK([2]DFsmonkeyCompl!N19),"",[2]DFsmonkeyCompl!N19)</f>
        <v/>
      </c>
      <c r="K18" s="6" t="str">
        <f>INDEX([2]DebtFundUniverse!$B$2:$EU$200,MATCH([2]!DFanalysis[[#This Row],[ID]],[2]DebtFundUniverse!$A$2:$A$200,0),MATCH([2]!DFanalysis[[#Headers],[Currency of Reporting]],[2]DebtFundUniverse!$B$1:$EU$1,0))</f>
        <v>USD</v>
      </c>
      <c r="L18" s="8">
        <f>VLOOKUP([2]!DFanalysis[[#This Row],[Currency of Reporting]],'[2]Xrate31.12.20'!$K$1:$M$25,3,0)</f>
        <v>0.81541286290000004</v>
      </c>
      <c r="M18" s="8">
        <f>IFERROR(IF(ISBLANK([2]DFsmonkeyCompl!O19),"",[2]DFsmonkeyCompl!O19*[2]!DFanalysis[[#This Row],[EUR]]),"")</f>
        <v>73.387157661000003</v>
      </c>
      <c r="N18" s="8">
        <f>IFERROR(IF(ISBLANK([2]DFsmonkeyCompl!P19),"",[2]DFsmonkeyCompl!P19*[2]!DFanalysis[[#This Row],[EUR]]),"")</f>
        <v>66.863854757799999</v>
      </c>
      <c r="O18" s="8" t="str">
        <f>IFERROR(IF(ISBLANK([2]DFsmonkeyCompl!Q19),"",[2]DFsmonkeyCompl!Q19*[2]!DFanalysis[[#This Row],[EUR]]),"")</f>
        <v/>
      </c>
      <c r="P18" s="8" t="str">
        <f>IFERROR(IF(ISBLANK([2]DFsmonkeyCompl!R19),"",[2]DFsmonkeyCompl!R19*[2]!DFanalysis[[#This Row],[EUR]]),"")</f>
        <v/>
      </c>
      <c r="Q18" s="8" t="str">
        <f>IFERROR(IF(ISBLANK([2]DFsmonkeyCompl!S19),"",[2]DFsmonkeyCompl!S19*[2]!DFanalysis[[#This Row],[EUR]]),"")</f>
        <v/>
      </c>
      <c r="R18" s="8" t="str">
        <f>IFERROR(IF(ISBLANK([2]DFsmonkeyCompl!T19),"",[2]DFsmonkeyCompl!T19*[2]!DFanalysis[[#This Row],[EUR]]),"")</f>
        <v/>
      </c>
      <c r="S18" s="8" t="str">
        <f>IFERROR(IF(ISBLANK([2]DFsmonkeyCompl!U19),"",[2]DFsmonkeyCompl!U19*[2]!DFanalysis[[#This Row],[EUR]]),"")</f>
        <v/>
      </c>
      <c r="T18" s="8" t="str">
        <f>IFERROR(IF(ISBLANK([2]DFsmonkeyCompl!V19),"",[2]DFsmonkeyCompl!V19*[2]!DFanalysis[[#This Row],[EUR]]),"")</f>
        <v/>
      </c>
      <c r="U18" s="8">
        <f>IFERROR(IF(ISBLANK([2]DFsmonkeyCompl!W19),"",[2]DFsmonkeyCompl!W19*[2]!DFanalysis[[#This Row],[EUR]]),"")</f>
        <v>6.5233029032000003</v>
      </c>
      <c r="V18" s="8">
        <f>IFERROR(IF(ISBLANK([2]DFsmonkeyCompl!X19),"",[2]DFsmonkeyCompl!X19*[2]!DFanalysis[[#This Row],[EUR]]),"")</f>
        <v>53.001836088499999</v>
      </c>
      <c r="W18" s="8" t="str">
        <f>IFERROR(IF(ISBLANK([2]DFsmonkeyCompl!Y19),"",[2]DFsmonkeyCompl!Y19*[2]!DFanalysis[[#This Row],[EUR]]),"")</f>
        <v/>
      </c>
      <c r="X18" s="8">
        <f>IFERROR(IF(ISBLANK([2]DFsmonkeyCompl!Z19),"",[2]DFsmonkeyCompl!Z19*[2]!DFanalysis[[#This Row],[EUR]]),"")</f>
        <v>20.385321572500001</v>
      </c>
      <c r="Y18" s="8" t="str">
        <f>IFERROR(IF(ISBLANK([2]DFsmonkeyCompl!AA19),"",[2]DFsmonkeyCompl!AA19*[2]!DFanalysis[[#This Row],[EUR]]),"")</f>
        <v/>
      </c>
      <c r="Z18" s="8" t="str">
        <f>IFERROR(IF(ISBLANK([2]DFsmonkeyCompl!AB19),"",[2]DFsmonkeyCompl!AB19*[2]!DFanalysis[[#This Row],[EUR]]),"")</f>
        <v/>
      </c>
      <c r="AA18" s="8" t="str">
        <f>IF(ISBLANK([2]DFsmonkeyCompl!AC19),"",[2]DFsmonkeyCompl!AC19)</f>
        <v/>
      </c>
      <c r="AB18" s="8" t="str">
        <f>IF(ISBLANK([2]DFsmonkeyCompl!AD19),"",[2]DFsmonkeyCompl!AD19)</f>
        <v/>
      </c>
      <c r="AC18" s="8">
        <f>IF(ISBLANK([2]DFsmonkeyCompl!AE19),"",[2]DFsmonkeyCompl!AE19)</f>
        <v>100</v>
      </c>
      <c r="AD18" s="8" t="str">
        <f>IF(ISBLANK([2]DFsmonkeyCompl!AF19),"",[2]DFsmonkeyCompl!AF19)</f>
        <v/>
      </c>
      <c r="AE18" s="8" t="str">
        <f>IF(ISBLANK([2]DFsmonkeyCompl!AG19),"",[2]DFsmonkeyCompl!AG19)</f>
        <v>Increase</v>
      </c>
      <c r="AF18" s="8" t="str">
        <f>IF(ISBLANK([2]DFsmonkeyCompl!AH19),"",[2]DFsmonkeyCompl!AH19)</f>
        <v>Yes</v>
      </c>
      <c r="AG18" s="8" t="str">
        <f ca="1">IFERROR(INDEX([2]DebtFundUniverse!$B$2:$EU$700,MATCH($C18,[2]DebtFundUniverse!$A$2:$A$700,0),MATCH($AG$1,[2]DebtFundUniverse!$B$1:$EU$1,0)),"")</f>
        <v/>
      </c>
      <c r="AH18" s="36" t="str">
        <f ca="1">IFERROR(INDEX([2]DebtFundUniverse!$B$2:$EU$700,MATCH($C18,[2]DebtFundUniverse!$A$2:$A$700,0),MATCH($AH$1,[2]DebtFundUniverse!$B$1:$EU$1,0)),"")</f>
        <v/>
      </c>
    </row>
    <row r="19" spans="1:34" x14ac:dyDescent="0.2">
      <c r="B19" s="6" t="str">
        <f>IF(OR(ISTEXT([2]DFsmonkeyCompl!K20),ISNUMBER([2]DFsmonkeyCompl!K20)),[2]DFsmonkeyCompl!K20,"")</f>
        <v>Heitman Closed End Debt Fund</v>
      </c>
      <c r="C19" s="10"/>
      <c r="D19" s="6" t="e">
        <f>INDEX([2]DebtFundUniverse!$B$2:$EU$200,MATCH([2]!DFanalysis[[#This Row],[ID]],[2]DebtFundUniverse!$A$2:$A$200,0),MATCH([2]!DFanalysis[[#Headers],[Loan Strategy]],[2]DebtFundUniverse!$B$1:$EU$1,0))</f>
        <v>#N/A</v>
      </c>
      <c r="E19" s="6" t="e">
        <f>INDEX([2]DebtFundUniverse!$B$2:$EU$200,MATCH([2]!DFanalysis[[#This Row],[ID]],[2]DebtFundUniverse!$A$2:$A$200,0),MATCH([2]!DFanalysis[[#Headers],[Target Regional Strategy]],[2]DebtFundUniverse!$B$1:$EU$1,0))</f>
        <v>#N/A</v>
      </c>
      <c r="F19" s="6" t="e">
        <f>INDEX([2]DebtFundUniverse!$B$2:$EU$200,MATCH([2]!DFanalysis[[#This Row],[ID]],[2]DebtFundUniverse!$A$2:$A$200,0),MATCH([2]!DFanalysis[[#Headers],[Vehicle Structure]],[2]DebtFundUniverse!$B$1:$EU$1,0))</f>
        <v>#N/A</v>
      </c>
      <c r="G19" s="6" t="e">
        <f>INDEX([2]DebtFundUniverse!$B$2:$EU$200,MATCH([2]!DFanalysis[[#This Row],[ID]],[2]DebtFundUniverse!$A$2:$A$200,0),MATCH([2]!DFanalysis[[#Headers],[year of first closing]],[2]DebtFundUniverse!$B$1:$EU$1,0))</f>
        <v>#N/A</v>
      </c>
      <c r="H19" s="6" t="str">
        <f>IF(ISBLANK([2]DFsmonkeyCompl!L20),"",[2]DFsmonkeyCompl!L20)</f>
        <v>Yes</v>
      </c>
      <c r="I19" s="6" t="str">
        <f>IF(ISBLANK([2]DFsmonkeyCompl!M20),"",[2]DFsmonkeyCompl!M20)</f>
        <v/>
      </c>
      <c r="J19" s="6" t="str">
        <f>IF(ISBLANK([2]DFsmonkeyCompl!N20),"",[2]DFsmonkeyCompl!N20)</f>
        <v/>
      </c>
      <c r="K19" s="6" t="e">
        <f>INDEX([2]DebtFundUniverse!$B$2:$EU$200,MATCH([2]!DFanalysis[[#This Row],[ID]],[2]DebtFundUniverse!$A$2:$A$200,0),MATCH([2]!DFanalysis[[#Headers],[Currency of Reporting]],[2]DebtFundUniverse!$B$1:$EU$1,0))</f>
        <v>#N/A</v>
      </c>
      <c r="L19" s="8" t="e">
        <f>VLOOKUP([2]!DFanalysis[[#This Row],[Currency of Reporting]],'[2]Xrate31.12.20'!$K$1:$M$25,3,0)</f>
        <v>#N/A</v>
      </c>
      <c r="M19" s="8" t="str">
        <f>IFERROR(IF(ISBLANK([2]DFsmonkeyCompl!O20),"",[2]DFsmonkeyCompl!O20*[2]!DFanalysis[[#This Row],[EUR]]),"")</f>
        <v/>
      </c>
      <c r="N19" s="8" t="str">
        <f>IFERROR(IF(ISBLANK([2]DFsmonkeyCompl!P20),"",[2]DFsmonkeyCompl!P20*[2]!DFanalysis[[#This Row],[EUR]]),"")</f>
        <v/>
      </c>
      <c r="O19" s="8" t="str">
        <f>IFERROR(IF(ISBLANK([2]DFsmonkeyCompl!Q20),"",[2]DFsmonkeyCompl!Q20*[2]!DFanalysis[[#This Row],[EUR]]),"")</f>
        <v/>
      </c>
      <c r="P19" s="8" t="str">
        <f>IFERROR(IF(ISBLANK([2]DFsmonkeyCompl!R20),"",[2]DFsmonkeyCompl!R20*[2]!DFanalysis[[#This Row],[EUR]]),"")</f>
        <v/>
      </c>
      <c r="Q19" s="8" t="str">
        <f>IFERROR(IF(ISBLANK([2]DFsmonkeyCompl!S20),"",[2]DFsmonkeyCompl!S20*[2]!DFanalysis[[#This Row],[EUR]]),"")</f>
        <v/>
      </c>
      <c r="R19" s="8" t="str">
        <f>IFERROR(IF(ISBLANK([2]DFsmonkeyCompl!T20),"",[2]DFsmonkeyCompl!T20*[2]!DFanalysis[[#This Row],[EUR]]),"")</f>
        <v/>
      </c>
      <c r="S19" s="8" t="str">
        <f>IFERROR(IF(ISBLANK([2]DFsmonkeyCompl!U20),"",[2]DFsmonkeyCompl!U20*[2]!DFanalysis[[#This Row],[EUR]]),"")</f>
        <v/>
      </c>
      <c r="T19" s="8" t="str">
        <f>IFERROR(IF(ISBLANK([2]DFsmonkeyCompl!V20),"",[2]DFsmonkeyCompl!V20*[2]!DFanalysis[[#This Row],[EUR]]),"")</f>
        <v/>
      </c>
      <c r="U19" s="8" t="str">
        <f>IFERROR(IF(ISBLANK([2]DFsmonkeyCompl!W20),"",[2]DFsmonkeyCompl!W20*[2]!DFanalysis[[#This Row],[EUR]]),"")</f>
        <v/>
      </c>
      <c r="V19" s="8" t="str">
        <f>IFERROR(IF(ISBLANK([2]DFsmonkeyCompl!X20),"",[2]DFsmonkeyCompl!X20*[2]!DFanalysis[[#This Row],[EUR]]),"")</f>
        <v/>
      </c>
      <c r="W19" s="8" t="str">
        <f>IFERROR(IF(ISBLANK([2]DFsmonkeyCompl!Y20),"",[2]DFsmonkeyCompl!Y20*[2]!DFanalysis[[#This Row],[EUR]]),"")</f>
        <v/>
      </c>
      <c r="X19" s="8" t="str">
        <f>IFERROR(IF(ISBLANK([2]DFsmonkeyCompl!Z20),"",[2]DFsmonkeyCompl!Z20*[2]!DFanalysis[[#This Row],[EUR]]),"")</f>
        <v/>
      </c>
      <c r="Y19" s="8" t="str">
        <f>IFERROR(IF(ISBLANK([2]DFsmonkeyCompl!AA20),"",[2]DFsmonkeyCompl!AA20*[2]!DFanalysis[[#This Row],[EUR]]),"")</f>
        <v/>
      </c>
      <c r="Z19" s="8" t="str">
        <f>IFERROR(IF(ISBLANK([2]DFsmonkeyCompl!AB20),"",[2]DFsmonkeyCompl!AB20*[2]!DFanalysis[[#This Row],[EUR]]),"")</f>
        <v/>
      </c>
      <c r="AA19" s="8" t="str">
        <f>IF(ISBLANK([2]DFsmonkeyCompl!AC20),"",[2]DFsmonkeyCompl!AC20)</f>
        <v/>
      </c>
      <c r="AB19" s="8" t="str">
        <f>IF(ISBLANK([2]DFsmonkeyCompl!AD20),"",[2]DFsmonkeyCompl!AD20)</f>
        <v/>
      </c>
      <c r="AC19" s="8">
        <f>IF(ISBLANK([2]DFsmonkeyCompl!AE20),"",[2]DFsmonkeyCompl!AE20)</f>
        <v>100</v>
      </c>
      <c r="AD19" s="8" t="str">
        <f>IF(ISBLANK([2]DFsmonkeyCompl!AF20),"",[2]DFsmonkeyCompl!AF20)</f>
        <v/>
      </c>
      <c r="AE19" s="8" t="str">
        <f>IF(ISBLANK([2]DFsmonkeyCompl!AG20),"",[2]DFsmonkeyCompl!AG20)</f>
        <v>Increase</v>
      </c>
      <c r="AF19" s="8" t="str">
        <f>IF(ISBLANK([2]DFsmonkeyCompl!AH20),"",[2]DFsmonkeyCompl!AH20)</f>
        <v>Yes</v>
      </c>
      <c r="AG19" s="8" t="str">
        <f ca="1">IFERROR(INDEX([2]DebtFundUniverse!$B$2:$EU$700,MATCH($C19,[2]DebtFundUniverse!$A$2:$A$700,0),MATCH($AG$1,[2]DebtFundUniverse!$B$1:$EU$1,0)),"")</f>
        <v/>
      </c>
      <c r="AH19" s="36" t="str">
        <f ca="1">IFERROR(INDEX([2]DebtFundUniverse!$B$2:$EU$700,MATCH($C19,[2]DebtFundUniverse!$A$2:$A$700,0),MATCH($AH$1,[2]DebtFundUniverse!$B$1:$EU$1,0)),"")</f>
        <v/>
      </c>
    </row>
    <row r="20" spans="1:34" x14ac:dyDescent="0.2">
      <c r="A20">
        <v>12420559399</v>
      </c>
      <c r="B20">
        <v>396431383</v>
      </c>
      <c r="C20" s="28">
        <v>44245.722534722219</v>
      </c>
      <c r="D20" s="28">
        <v>44245.724780092591</v>
      </c>
      <c r="E20" t="s">
        <v>204</v>
      </c>
      <c r="J20" s="29" t="s">
        <v>205</v>
      </c>
      <c r="K20" t="s">
        <v>206</v>
      </c>
      <c r="L20" t="s">
        <v>152</v>
      </c>
      <c r="O20">
        <v>300</v>
      </c>
      <c r="S20">
        <v>300</v>
      </c>
      <c r="Y20">
        <v>200</v>
      </c>
      <c r="Z20">
        <v>100</v>
      </c>
      <c r="AE20">
        <v>100</v>
      </c>
      <c r="AG20" t="s">
        <v>151</v>
      </c>
      <c r="AH20" t="s">
        <v>152</v>
      </c>
    </row>
    <row r="21" spans="1:34" x14ac:dyDescent="0.2">
      <c r="A21">
        <v>12395085990</v>
      </c>
      <c r="B21">
        <v>396431383</v>
      </c>
      <c r="C21" s="28">
        <v>44236.669722222221</v>
      </c>
      <c r="D21" s="28">
        <v>44236.682789351849</v>
      </c>
      <c r="E21" t="s">
        <v>207</v>
      </c>
      <c r="J21" s="29" t="s">
        <v>208</v>
      </c>
      <c r="K21" t="s">
        <v>209</v>
      </c>
      <c r="L21" t="s">
        <v>152</v>
      </c>
      <c r="O21">
        <v>75</v>
      </c>
      <c r="Q21">
        <v>10</v>
      </c>
      <c r="R21">
        <v>65</v>
      </c>
      <c r="X21">
        <v>75</v>
      </c>
      <c r="AE21">
        <v>100</v>
      </c>
      <c r="AG21" t="s">
        <v>151</v>
      </c>
      <c r="AH21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CA2F-74C2-4874-AC7E-133E0F1616D0}">
  <sheetPr>
    <tabColor rgb="FFFFC000"/>
  </sheetPr>
  <dimension ref="A1:AH59"/>
  <sheetViews>
    <sheetView showGridLines="0" topLeftCell="B1" workbookViewId="0">
      <pane xSplit="1" topLeftCell="C1" activePane="topRight" state="frozen"/>
      <selection activeCell="B98" sqref="B98"/>
      <selection pane="topRight" activeCell="B27" sqref="B27"/>
    </sheetView>
  </sheetViews>
  <sheetFormatPr defaultRowHeight="12.75" x14ac:dyDescent="0.2"/>
  <cols>
    <col min="1" max="1" width="29" customWidth="1"/>
    <col min="2" max="2" width="69.140625" customWidth="1"/>
    <col min="3" max="3" width="7.5703125" style="12" customWidth="1"/>
    <col min="4" max="4" width="59.85546875" customWidth="1"/>
    <col min="5" max="6" width="75.85546875" customWidth="1"/>
    <col min="7" max="7" width="34.140625" customWidth="1"/>
    <col min="8" max="9" width="15.85546875" customWidth="1"/>
    <col min="10" max="10" width="21.42578125" bestFit="1" customWidth="1"/>
    <col min="11" max="11" width="21.42578125" customWidth="1"/>
    <col min="12" max="13" width="8.85546875" customWidth="1"/>
    <col min="14" max="14" width="15.85546875" customWidth="1"/>
    <col min="15" max="15" width="22.140625" customWidth="1"/>
    <col min="16" max="16" width="17.42578125" customWidth="1"/>
    <col min="17" max="17" width="14.140625" customWidth="1"/>
    <col min="18" max="18" width="11.140625" customWidth="1"/>
    <col min="19" max="19" width="15.140625" customWidth="1"/>
    <col min="22" max="22" width="9.5703125" customWidth="1"/>
    <col min="24" max="24" width="15.5703125" customWidth="1"/>
    <col min="25" max="25" width="16" customWidth="1"/>
    <col min="27" max="27" width="18.140625" customWidth="1"/>
    <col min="28" max="28" width="20.85546875" customWidth="1"/>
    <col min="29" max="29" width="18.5703125" customWidth="1"/>
    <col min="31" max="31" width="14.85546875" customWidth="1"/>
    <col min="32" max="32" width="11" customWidth="1"/>
    <col min="33" max="33" width="38.85546875" bestFit="1" customWidth="1"/>
    <col min="34" max="34" width="27.140625" bestFit="1" customWidth="1"/>
  </cols>
  <sheetData>
    <row r="1" spans="1:34" s="2" customFormat="1" ht="14.25" thickTop="1" thickBo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485</v>
      </c>
      <c r="AH1" s="2" t="s">
        <v>486</v>
      </c>
    </row>
    <row r="2" spans="1:34" ht="14.25" thickTop="1" thickBot="1" x14ac:dyDescent="0.25">
      <c r="A2" s="5" t="str">
        <f>IF(OR(ISTEXT([2]DFsmonkeyCompl!J3),ISNUMBER([2]DFsmonkeyCompl!J3)),[2]DFsmonkeyCompl!J3,"")</f>
        <v>PGIM Real Estate</v>
      </c>
      <c r="B2" s="6" t="str">
        <f>IF(OR(ISTEXT([2]DFsmonkeyCompl!K3),ISNUMBER([2]DFsmonkeyCompl!K3)),[2]DFsmonkeyCompl!K3,"")</f>
        <v>PRECap VII</v>
      </c>
      <c r="C2" s="7" cm="1">
        <f t="array" ref="C2">INDEX([2]DebtFundUniverse!$A$85:$A$95,MATCH(B2,[2]DebtFundUniverse!$B$85:$B$95,0),0)</f>
        <v>97174</v>
      </c>
      <c r="D2" s="6" t="str">
        <f>INDEX([2]DebtFundUniverse!$B$2:$EU$200,MATCH(DFanalysis6[[#This Row],[ID]],[2]DebtFundUniverse!$A$2:$A$200,0),MATCH(DFanalysis6[[#Headers],[Loan Strategy]],[2]DebtFundUniverse!$B$1:$EU$1,0))</f>
        <v>Mixed: Senior+Subordinated+Preferred equity</v>
      </c>
      <c r="E2" s="6" t="str">
        <f>INDEX([2]DebtFundUniverse!$B$2:$EU$200,MATCH(DFanalysis6[[#This Row],[ID]],[2]DebtFundUniverse!$A$2:$A$200,0),MATCH(DFanalysis6[[#Headers],[Target Regional Strategy]],[2]DebtFundUniverse!$B$1:$EU$1,0))</f>
        <v>Europe</v>
      </c>
      <c r="F2" s="6" t="str">
        <f>INDEX([2]DebtFundUniverse!$B$2:$EU$200,MATCH(DFanalysis6[[#This Row],[ID]],[2]DebtFundUniverse!$A$2:$A$200,0),MATCH(DFanalysis6[[#Headers],[Vehicle Structure]],[2]DebtFundUniverse!$B$1:$EU$1,0))</f>
        <v>Closed end</v>
      </c>
      <c r="G2" s="6">
        <f>INDEX([2]DebtFundUniverse!$B$2:$EU$200,MATCH(DFanalysis6[[#This Row],[ID]],[2]DebtFundUniverse!$A$2:$A$200,0),MATCH(DFanalysis6[[#Headers],[year of first closing]],[2]DebtFundUniverse!$B$1:$EU$1,0))</f>
        <v>2019</v>
      </c>
      <c r="H2" s="6" t="str">
        <f>IF(ISBLANK([2]DFsmonkeyCompl!L3),"",[2]DFsmonkeyCompl!L3)</f>
        <v>Yes</v>
      </c>
      <c r="I2" s="6" t="str">
        <f>IF(ISBLANK([2]DFsmonkeyCompl!M3),"",[2]DFsmonkeyCompl!M3)</f>
        <v/>
      </c>
      <c r="J2" s="6" t="str">
        <f>IF(ISBLANK([2]DFsmonkeyCompl!N3),"",[2]DFsmonkeyCompl!N3)</f>
        <v/>
      </c>
      <c r="K2" s="6" t="str">
        <f>INDEX([2]DebtFundUniverse!$B$2:$EU$200,MATCH(DFanalysis6[[#This Row],[ID]],[2]DebtFundUniverse!$A$2:$A$200,0),MATCH(DFanalysis6[[#Headers],[Currency of Reporting]],[2]DebtFundUniverse!$B$1:$EU$1,0))</f>
        <v>GBP</v>
      </c>
      <c r="L2" s="8">
        <f>VLOOKUP(DFanalysis6[[#This Row],[Currency of Reporting]],'[2]Xrate31.12.20'!$K$1:$M$25,3,0)</f>
        <v>1.1130927885999999</v>
      </c>
      <c r="M2" s="8">
        <f>IFERROR(IF(ISBLANK([2]DFsmonkeyCompl!O3),"",[2]DFsmonkeyCompl!O3*DFanalysis6[[#This Row],[EUR]]),"")</f>
        <v>1021.8191799348</v>
      </c>
      <c r="N2" s="8">
        <f>IFERROR(IF(ISBLANK([2]DFsmonkeyCompl!P3),"",[2]DFsmonkeyCompl!P3*DFanalysis6[[#This Row],[EUR]]),"")</f>
        <v>906.05752992039993</v>
      </c>
      <c r="O2" s="8" t="str">
        <f>IFERROR(IF(ISBLANK([2]DFsmonkeyCompl!Q3),"",[2]DFsmonkeyCompl!Q3*DFanalysis6[[#This Row],[EUR]]),"")</f>
        <v/>
      </c>
      <c r="P2" s="8">
        <f>IFERROR(IF(ISBLANK([2]DFsmonkeyCompl!R3),"",[2]DFsmonkeyCompl!R3*DFanalysis6[[#This Row],[EUR]]),"")</f>
        <v>57.880825007199995</v>
      </c>
      <c r="Q2" s="8" t="str">
        <f>IFERROR(IF(ISBLANK([2]DFsmonkeyCompl!S3),"",[2]DFsmonkeyCompl!S3*DFanalysis6[[#This Row],[EUR]]),"")</f>
        <v/>
      </c>
      <c r="R2" s="8" t="str">
        <f>IFERROR(IF(ISBLANK([2]DFsmonkeyCompl!T3),"",[2]DFsmonkeyCompl!T3*DFanalysis6[[#This Row],[EUR]]),"")</f>
        <v/>
      </c>
      <c r="S2" s="8" t="str">
        <f>IFERROR(IF(ISBLANK([2]DFsmonkeyCompl!U3),"",[2]DFsmonkeyCompl!U3*DFanalysis6[[#This Row],[EUR]]),"")</f>
        <v/>
      </c>
      <c r="T2" s="8" t="str">
        <f>IFERROR(IF(ISBLANK([2]DFsmonkeyCompl!V3),"",[2]DFsmonkeyCompl!V3*DFanalysis6[[#This Row],[EUR]]),"")</f>
        <v/>
      </c>
      <c r="U2" s="8">
        <f>IFERROR(IF(ISBLANK([2]DFsmonkeyCompl!W3),"",[2]DFsmonkeyCompl!W3*DFanalysis6[[#This Row],[EUR]]),"")</f>
        <v>57.880825007199995</v>
      </c>
      <c r="V2" s="8">
        <f>IFERROR(IF(ISBLANK([2]DFsmonkeyCompl!X3),"",[2]DFsmonkeyCompl!X3*DFanalysis6[[#This Row],[EUR]]),"")</f>
        <v>57.880825007199995</v>
      </c>
      <c r="W2" s="8">
        <f>IFERROR(IF(ISBLANK([2]DFsmonkeyCompl!Y3),"",[2]DFsmonkeyCompl!Y3*DFanalysis6[[#This Row],[EUR]]),"")</f>
        <v>37.845154812399997</v>
      </c>
      <c r="X2" s="8">
        <f>IFERROR(IF(ISBLANK([2]DFsmonkeyCompl!Z3),"",[2]DFsmonkeyCompl!Z3*DFanalysis6[[#This Row],[EUR]]),"")</f>
        <v>926.09320011519992</v>
      </c>
      <c r="Y2" s="8" t="str">
        <f>IFERROR(IF(ISBLANK([2]DFsmonkeyCompl!AA3),"",[2]DFsmonkeyCompl!AA3*DFanalysis6[[#This Row],[EUR]]),"")</f>
        <v/>
      </c>
      <c r="Z2" s="8" t="str">
        <f>IFERROR(IF(ISBLANK([2]DFsmonkeyCompl!AB3),"",[2]DFsmonkeyCompl!AB3*DFanalysis6[[#This Row],[EUR]]),"")</f>
        <v/>
      </c>
      <c r="AA2" s="8" t="str">
        <f>IF(ISBLANK([2]DFsmonkeyCompl!AC3),"",[2]DFsmonkeyCompl!AC3)</f>
        <v/>
      </c>
      <c r="AB2" s="8" t="str">
        <f>IF(ISBLANK([2]DFsmonkeyCompl!AD3),"",[2]DFsmonkeyCompl!AD3)</f>
        <v/>
      </c>
      <c r="AC2" s="8">
        <f>IF(ISBLANK([2]DFsmonkeyCompl!AE3),"",[2]DFsmonkeyCompl!AE3)</f>
        <v>100</v>
      </c>
      <c r="AD2" s="8" t="str">
        <f>IF(ISBLANK([2]DFsmonkeyCompl!AF3),"",[2]DFsmonkeyCompl!AF3)</f>
        <v/>
      </c>
      <c r="AE2" s="8" t="str">
        <f>IF(ISBLANK([2]DFsmonkeyCompl!AG3),"",[2]DFsmonkeyCompl!AG3)</f>
        <v>Increase</v>
      </c>
      <c r="AF2" s="8" t="str">
        <f>IF(ISBLANK([2]DFsmonkeyCompl!AH3),"",[2]DFsmonkeyCompl!AH3)</f>
        <v>Yes</v>
      </c>
      <c r="AG2" s="35">
        <f>IFERROR(INDEX([2]DebtFundUniverse!$B$2:$EU$700,MATCH($C2,[2]DebtFundUniverse!$A$2:$A$700,0),MATCH($AG$1,[2]DebtFundUniverse!$B$1:$EU$1,0)),"")</f>
        <v>1116920000</v>
      </c>
      <c r="AH2" s="36" t="str">
        <f>IFERROR(INDEX([2]DebtFundUniverse!$B$2:$EU$700,MATCH($C2,[2]DebtFundUniverse!$A$2:$A$700,0),MATCH($AH$1,[2]DebtFundUniverse!$B$1:$EU$1,0)),"")</f>
        <v/>
      </c>
    </row>
    <row r="3" spans="1:34" ht="14.25" thickTop="1" thickBot="1" x14ac:dyDescent="0.25">
      <c r="A3" s="9" t="str">
        <f>IF(OR(ISTEXT([2]DFsmonkeyCompl!J4),ISNUMBER([2]DFsmonkeyCompl!J4)),[2]DFsmonkeyCompl!J4,"")</f>
        <v>BentallGreenOak</v>
      </c>
      <c r="B3" s="6" t="str">
        <f>IF(OR(ISTEXT([2]DFsmonkeyCompl!K4),ISNUMBER([2]DFsmonkeyCompl!K4)),[2]DFsmonkeyCompl!K4,"")</f>
        <v>UK Secured Lending III</v>
      </c>
      <c r="C3" s="7" cm="1">
        <f t="array" ref="C3">INDEX([2]DebtFundUniverse!$A$85:$A$95,MATCH(B3,[2]DebtFundUniverse!$B$85:$B$95,0),0)</f>
        <v>10000001</v>
      </c>
      <c r="D3" s="6" t="str">
        <f>INDEX([2]DebtFundUniverse!$B$2:$EU$200,MATCH(DFanalysis6[[#This Row],[ID]],[2]DebtFundUniverse!$A$2:$A$200,0),MATCH(DFanalysis6[[#Headers],[Loan Strategy]],[2]DebtFundUniverse!$B$1:$EU$1,0))</f>
        <v>Senior</v>
      </c>
      <c r="E3" s="6" t="str">
        <f>INDEX([2]DebtFundUniverse!$B$2:$EU$200,MATCH(DFanalysis6[[#This Row],[ID]],[2]DebtFundUniverse!$A$2:$A$200,0),MATCH(DFanalysis6[[#Headers],[Target Regional Strategy]],[2]DebtFundUniverse!$B$1:$EU$1,0))</f>
        <v>Europe</v>
      </c>
      <c r="F3" s="6" t="str">
        <f>INDEX([2]DebtFundUniverse!$B$2:$EU$200,MATCH(DFanalysis6[[#This Row],[ID]],[2]DebtFundUniverse!$A$2:$A$200,0),MATCH(DFanalysis6[[#Headers],[Vehicle Structure]],[2]DebtFundUniverse!$B$1:$EU$1,0))</f>
        <v>Closed end</v>
      </c>
      <c r="G3" s="6">
        <f>INDEX([2]DebtFundUniverse!$B$2:$EU$200,MATCH(DFanalysis6[[#This Row],[ID]],[2]DebtFundUniverse!$A$2:$A$200,0),MATCH(DFanalysis6[[#Headers],[year of first closing]],[2]DebtFundUniverse!$B$1:$EU$1,0))</f>
        <v>2020</v>
      </c>
      <c r="H3" s="6" t="str">
        <f>IF(ISBLANK([2]DFsmonkeyCompl!L4),"",[2]DFsmonkeyCompl!L4)</f>
        <v>Yes</v>
      </c>
      <c r="I3" s="6" t="str">
        <f>IF(ISBLANK([2]DFsmonkeyCompl!M4),"",[2]DFsmonkeyCompl!M4)</f>
        <v/>
      </c>
      <c r="J3" s="6" t="str">
        <f>IF(ISBLANK([2]DFsmonkeyCompl!N4),"",[2]DFsmonkeyCompl!N4)</f>
        <v/>
      </c>
      <c r="K3" s="6" t="str">
        <f>INDEX([2]DebtFundUniverse!$B$2:$EU$200,MATCH(DFanalysis6[[#This Row],[ID]],[2]DebtFundUniverse!$A$2:$A$200,0),MATCH(DFanalysis6[[#Headers],[Currency of Reporting]],[2]DebtFundUniverse!$B$1:$EU$1,0))</f>
        <v>GBP</v>
      </c>
      <c r="L3" s="8">
        <f>VLOOKUP(DFanalysis6[[#This Row],[Currency of Reporting]],'[2]Xrate31.12.20'!$K$1:$M$25,3,0)</f>
        <v>1.1130927885999999</v>
      </c>
      <c r="M3" s="8">
        <f>IFERROR(IF(ISBLANK([2]DFsmonkeyCompl!O4),"",[2]DFsmonkeyCompl!O4*DFanalysis6[[#This Row],[EUR]]),"")</f>
        <v>400.71340389599999</v>
      </c>
      <c r="N3" s="8">
        <f>IFERROR(IF(ISBLANK([2]DFsmonkeyCompl!P4),"",[2]DFsmonkeyCompl!P4*DFanalysis6[[#This Row],[EUR]]),"")</f>
        <v>400.71340389599999</v>
      </c>
      <c r="O3" s="8" t="str">
        <f>IFERROR(IF(ISBLANK([2]DFsmonkeyCompl!Q4),"",[2]DFsmonkeyCompl!Q4*DFanalysis6[[#This Row],[EUR]]),"")</f>
        <v/>
      </c>
      <c r="P3" s="8" t="str">
        <f>IFERROR(IF(ISBLANK([2]DFsmonkeyCompl!R4),"",[2]DFsmonkeyCompl!R4*DFanalysis6[[#This Row],[EUR]]),"")</f>
        <v/>
      </c>
      <c r="Q3" s="8" t="str">
        <f>IFERROR(IF(ISBLANK([2]DFsmonkeyCompl!S4),"",[2]DFsmonkeyCompl!S4*DFanalysis6[[#This Row],[EUR]]),"")</f>
        <v/>
      </c>
      <c r="R3" s="8" t="str">
        <f>IFERROR(IF(ISBLANK([2]DFsmonkeyCompl!T4),"",[2]DFsmonkeyCompl!T4*DFanalysis6[[#This Row],[EUR]]),"")</f>
        <v/>
      </c>
      <c r="S3" s="8" t="str">
        <f>IFERROR(IF(ISBLANK([2]DFsmonkeyCompl!U4),"",[2]DFsmonkeyCompl!U4*DFanalysis6[[#This Row],[EUR]]),"")</f>
        <v/>
      </c>
      <c r="T3" s="8" t="str">
        <f>IFERROR(IF(ISBLANK([2]DFsmonkeyCompl!V4),"",[2]DFsmonkeyCompl!V4*DFanalysis6[[#This Row],[EUR]]),"")</f>
        <v/>
      </c>
      <c r="U3" s="8" t="str">
        <f>IFERROR(IF(ISBLANK([2]DFsmonkeyCompl!W4),"",[2]DFsmonkeyCompl!W4*DFanalysis6[[#This Row],[EUR]]),"")</f>
        <v/>
      </c>
      <c r="V3" s="8">
        <f>IFERROR(IF(ISBLANK([2]DFsmonkeyCompl!X4),"",[2]DFsmonkeyCompl!X4*DFanalysis6[[#This Row],[EUR]]),"")</f>
        <v>400.71340389599999</v>
      </c>
      <c r="W3" s="8" t="str">
        <f>IFERROR(IF(ISBLANK([2]DFsmonkeyCompl!Y4),"",[2]DFsmonkeyCompl!Y4*DFanalysis6[[#This Row],[EUR]]),"")</f>
        <v/>
      </c>
      <c r="X3" s="8" t="str">
        <f>IFERROR(IF(ISBLANK([2]DFsmonkeyCompl!Z4),"",[2]DFsmonkeyCompl!Z4*DFanalysis6[[#This Row],[EUR]]),"")</f>
        <v/>
      </c>
      <c r="Y3" s="8" t="str">
        <f>IFERROR(IF(ISBLANK([2]DFsmonkeyCompl!AA4),"",[2]DFsmonkeyCompl!AA4*DFanalysis6[[#This Row],[EUR]]),"")</f>
        <v/>
      </c>
      <c r="Z3" s="8" t="str">
        <f>IFERROR(IF(ISBLANK([2]DFsmonkeyCompl!AB4),"",[2]DFsmonkeyCompl!AB4*DFanalysis6[[#This Row],[EUR]]),"")</f>
        <v/>
      </c>
      <c r="AA3" s="8" t="str">
        <f>IF(ISBLANK([2]DFsmonkeyCompl!AC4),"",[2]DFsmonkeyCompl!AC4)</f>
        <v/>
      </c>
      <c r="AB3" s="8" t="str">
        <f>IF(ISBLANK([2]DFsmonkeyCompl!AD4),"",[2]DFsmonkeyCompl!AD4)</f>
        <v/>
      </c>
      <c r="AC3" s="8">
        <f>IF(ISBLANK([2]DFsmonkeyCompl!AE4),"",[2]DFsmonkeyCompl!AE4)</f>
        <v>100</v>
      </c>
      <c r="AD3" s="8" t="str">
        <f>IF(ISBLANK([2]DFsmonkeyCompl!AF4),"",[2]DFsmonkeyCompl!AF4)</f>
        <v/>
      </c>
      <c r="AE3" s="8" t="str">
        <f>IF(ISBLANK([2]DFsmonkeyCompl!AG4),"",[2]DFsmonkeyCompl!AG4)</f>
        <v>Increase</v>
      </c>
      <c r="AF3" s="8" t="str">
        <f>IF(ISBLANK([2]DFsmonkeyCompl!AH4),"",[2]DFsmonkeyCompl!AH4)</f>
        <v>Yes</v>
      </c>
      <c r="AG3" s="8" t="str">
        <f>IFERROR(INDEX([2]DebtFundUniverse!$B$2:$EU$700,MATCH($C3,[2]DebtFundUniverse!$A$2:$A$700,0),MATCH($AG$1,[2]DebtFundUniverse!$B$1:$EU$1,0)),"")</f>
        <v/>
      </c>
      <c r="AH3" s="36">
        <f>IFERROR(INDEX([2]DebtFundUniverse!$B$2:$EU$700,MATCH($C3,[2]DebtFundUniverse!$A$2:$A$700,0),MATCH($AH$1,[2]DebtFundUniverse!$B$1:$EU$1,0)),"")</f>
        <v>0</v>
      </c>
    </row>
    <row r="4" spans="1:34" ht="14.25" thickTop="1" thickBot="1" x14ac:dyDescent="0.25">
      <c r="A4" s="5" t="str">
        <f>IF(OR(ISTEXT([2]DFsmonkeyCompl!J5),ISNUMBER([2]DFsmonkeyCompl!J5)),[2]DFsmonkeyCompl!J5,"")</f>
        <v>BentallGreenOak</v>
      </c>
      <c r="B4" s="6" t="str">
        <f>IF(OR(ISTEXT([2]DFsmonkeyCompl!K5),ISNUMBER([2]DFsmonkeyCompl!K5)),[2]DFsmonkeyCompl!K5,"")</f>
        <v>Europe Secured Lending II</v>
      </c>
      <c r="C4" s="7" cm="1">
        <f t="array" ref="C4">INDEX([2]DebtFundUniverse!$A$85:$A$95,MATCH(B4,[2]DebtFundUniverse!$B$85:$B$95,0),0)</f>
        <v>10000002</v>
      </c>
      <c r="D4" s="6" t="str">
        <f>INDEX([2]DebtFundUniverse!$B$2:$EU$200,MATCH(DFanalysis6[[#This Row],[ID]],[2]DebtFundUniverse!$A$2:$A$200,0),MATCH(DFanalysis6[[#Headers],[Loan Strategy]],[2]DebtFundUniverse!$B$1:$EU$1,0))</f>
        <v>Senior</v>
      </c>
      <c r="E4" s="6" t="str">
        <f>INDEX([2]DebtFundUniverse!$B$2:$EU$200,MATCH(DFanalysis6[[#This Row],[ID]],[2]DebtFundUniverse!$A$2:$A$200,0),MATCH(DFanalysis6[[#Headers],[Target Regional Strategy]],[2]DebtFundUniverse!$B$1:$EU$1,0))</f>
        <v>Europe</v>
      </c>
      <c r="F4" s="6" t="str">
        <f>INDEX([2]DebtFundUniverse!$B$2:$EU$200,MATCH(DFanalysis6[[#This Row],[ID]],[2]DebtFundUniverse!$A$2:$A$200,0),MATCH(DFanalysis6[[#Headers],[Vehicle Structure]],[2]DebtFundUniverse!$B$1:$EU$1,0))</f>
        <v>Closed end</v>
      </c>
      <c r="G4" s="6">
        <f>INDEX([2]DebtFundUniverse!$B$2:$EU$200,MATCH(DFanalysis6[[#This Row],[ID]],[2]DebtFundUniverse!$A$2:$A$200,0),MATCH(DFanalysis6[[#Headers],[year of first closing]],[2]DebtFundUniverse!$B$1:$EU$1,0))</f>
        <v>2020</v>
      </c>
      <c r="H4" s="6" t="str">
        <f>IF(ISBLANK([2]DFsmonkeyCompl!L5),"",[2]DFsmonkeyCompl!L5)</f>
        <v>Yes</v>
      </c>
      <c r="I4" s="6" t="str">
        <f>IF(ISBLANK([2]DFsmonkeyCompl!M5),"",[2]DFsmonkeyCompl!M5)</f>
        <v/>
      </c>
      <c r="J4" s="6" t="str">
        <f>IF(ISBLANK([2]DFsmonkeyCompl!N5),"",[2]DFsmonkeyCompl!N5)</f>
        <v/>
      </c>
      <c r="K4" s="6" t="str">
        <f>INDEX([2]DebtFundUniverse!$B$2:$EU$200,MATCH(DFanalysis6[[#This Row],[ID]],[2]DebtFundUniverse!$A$2:$A$200,0),MATCH(DFanalysis6[[#Headers],[Currency of Reporting]],[2]DebtFundUniverse!$B$1:$EU$1,0))</f>
        <v>GBP</v>
      </c>
      <c r="L4" s="8">
        <f>VLOOKUP(DFanalysis6[[#This Row],[Currency of Reporting]],'[2]Xrate31.12.20'!$K$1:$M$25,3,0)</f>
        <v>1.1130927885999999</v>
      </c>
      <c r="M4" s="8">
        <f>IFERROR(IF(ISBLANK([2]DFsmonkeyCompl!O5),"",[2]DFsmonkeyCompl!O5*DFanalysis6[[#This Row],[EUR]]),"")</f>
        <v>122.44020674599999</v>
      </c>
      <c r="N4" s="8">
        <f>IFERROR(IF(ISBLANK([2]DFsmonkeyCompl!P5),"",[2]DFsmonkeyCompl!P5*DFanalysis6[[#This Row],[EUR]]),"")</f>
        <v>122.44020674599999</v>
      </c>
      <c r="O4" s="8" t="str">
        <f>IFERROR(IF(ISBLANK([2]DFsmonkeyCompl!Q5),"",[2]DFsmonkeyCompl!Q5*DFanalysis6[[#This Row],[EUR]]),"")</f>
        <v/>
      </c>
      <c r="P4" s="8" t="str">
        <f>IFERROR(IF(ISBLANK([2]DFsmonkeyCompl!R5),"",[2]DFsmonkeyCompl!R5*DFanalysis6[[#This Row],[EUR]]),"")</f>
        <v/>
      </c>
      <c r="Q4" s="8" t="str">
        <f>IFERROR(IF(ISBLANK([2]DFsmonkeyCompl!S5),"",[2]DFsmonkeyCompl!S5*DFanalysis6[[#This Row],[EUR]]),"")</f>
        <v/>
      </c>
      <c r="R4" s="8" t="str">
        <f>IFERROR(IF(ISBLANK([2]DFsmonkeyCompl!T5),"",[2]DFsmonkeyCompl!T5*DFanalysis6[[#This Row],[EUR]]),"")</f>
        <v/>
      </c>
      <c r="S4" s="8" t="str">
        <f>IFERROR(IF(ISBLANK([2]DFsmonkeyCompl!U5),"",[2]DFsmonkeyCompl!U5*DFanalysis6[[#This Row],[EUR]]),"")</f>
        <v/>
      </c>
      <c r="T4" s="8" t="str">
        <f>IFERROR(IF(ISBLANK([2]DFsmonkeyCompl!V5),"",[2]DFsmonkeyCompl!V5*DFanalysis6[[#This Row],[EUR]]),"")</f>
        <v/>
      </c>
      <c r="U4" s="8" t="str">
        <f>IFERROR(IF(ISBLANK([2]DFsmonkeyCompl!W5),"",[2]DFsmonkeyCompl!W5*DFanalysis6[[#This Row],[EUR]]),"")</f>
        <v/>
      </c>
      <c r="V4" s="8">
        <f>IFERROR(IF(ISBLANK([2]DFsmonkeyCompl!X5),"",[2]DFsmonkeyCompl!X5*DFanalysis6[[#This Row],[EUR]]),"")</f>
        <v>122.44020674599999</v>
      </c>
      <c r="W4" s="8" t="str">
        <f>IFERROR(IF(ISBLANK([2]DFsmonkeyCompl!Y5),"",[2]DFsmonkeyCompl!Y5*DFanalysis6[[#This Row],[EUR]]),"")</f>
        <v/>
      </c>
      <c r="X4" s="8" t="str">
        <f>IFERROR(IF(ISBLANK([2]DFsmonkeyCompl!Z5),"",[2]DFsmonkeyCompl!Z5*DFanalysis6[[#This Row],[EUR]]),"")</f>
        <v/>
      </c>
      <c r="Y4" s="8" t="str">
        <f>IFERROR(IF(ISBLANK([2]DFsmonkeyCompl!AA5),"",[2]DFsmonkeyCompl!AA5*DFanalysis6[[#This Row],[EUR]]),"")</f>
        <v/>
      </c>
      <c r="Z4" s="8" t="str">
        <f>IFERROR(IF(ISBLANK([2]DFsmonkeyCompl!AB5),"",[2]DFsmonkeyCompl!AB5*DFanalysis6[[#This Row],[EUR]]),"")</f>
        <v/>
      </c>
      <c r="AA4" s="8" t="str">
        <f>IF(ISBLANK([2]DFsmonkeyCompl!AC5),"",[2]DFsmonkeyCompl!AC5)</f>
        <v/>
      </c>
      <c r="AB4" s="8" t="str">
        <f>IF(ISBLANK([2]DFsmonkeyCompl!AD5),"",[2]DFsmonkeyCompl!AD5)</f>
        <v/>
      </c>
      <c r="AC4" s="8">
        <f>IF(ISBLANK([2]DFsmonkeyCompl!AE5),"",[2]DFsmonkeyCompl!AE5)</f>
        <v>100</v>
      </c>
      <c r="AD4" s="8" t="str">
        <f>IF(ISBLANK([2]DFsmonkeyCompl!AF5),"",[2]DFsmonkeyCompl!AF5)</f>
        <v/>
      </c>
      <c r="AE4" s="8" t="str">
        <f>IF(ISBLANK([2]DFsmonkeyCompl!AG5),"",[2]DFsmonkeyCompl!AG5)</f>
        <v>Increase</v>
      </c>
      <c r="AF4" s="8" t="str">
        <f>IF(ISBLANK([2]DFsmonkeyCompl!AH5),"",[2]DFsmonkeyCompl!AH5)</f>
        <v>Yes</v>
      </c>
      <c r="AG4" s="8" t="str">
        <f>IFERROR(INDEX([2]DebtFundUniverse!$B$2:$EU$700,MATCH($C4,[2]DebtFundUniverse!$A$2:$A$700,0),MATCH($AG$1,[2]DebtFundUniverse!$B$1:$EU$1,0)),"")</f>
        <v/>
      </c>
      <c r="AH4" s="36">
        <f>IFERROR(INDEX([2]DebtFundUniverse!$B$2:$EU$700,MATCH($C4,[2]DebtFundUniverse!$A$2:$A$700,0),MATCH($AH$1,[2]DebtFundUniverse!$B$1:$EU$1,0)),"")</f>
        <v>0</v>
      </c>
    </row>
    <row r="5" spans="1:34" ht="14.25" thickTop="1" thickBot="1" x14ac:dyDescent="0.25">
      <c r="A5" s="9" t="str">
        <f>IF(OR(ISTEXT([2]DFsmonkeyCompl!J6),ISNUMBER([2]DFsmonkeyCompl!J6)),[2]DFsmonkeyCompl!J6,"")</f>
        <v>SCOR Investment Partners</v>
      </c>
      <c r="B5" s="6" t="str">
        <f>IF(OR(ISTEXT([2]DFsmonkeyCompl!K6),ISNUMBER([2]DFsmonkeyCompl!K6)),[2]DFsmonkeyCompl!K6,"")</f>
        <v>SCOR Real Estate Loans IV</v>
      </c>
      <c r="C5" s="7" cm="1">
        <f t="array" ref="C5">INDEX([2]DebtFundUniverse!$A$85:$A$95,MATCH(B5,[2]DebtFundUniverse!$B$85:$B$95,0),0)</f>
        <v>76090</v>
      </c>
      <c r="D5" s="6" t="str">
        <f>INDEX([2]DebtFundUniverse!$B$2:$EU$200,MATCH(DFanalysis6[[#This Row],[ID]],[2]DebtFundUniverse!$A$2:$A$200,0),MATCH(DFanalysis6[[#Headers],[Loan Strategy]],[2]DebtFundUniverse!$B$1:$EU$1,0))</f>
        <v>Senior</v>
      </c>
      <c r="E5" s="6" t="str">
        <f>INDEX([2]DebtFundUniverse!$B$2:$EU$200,MATCH(DFanalysis6[[#This Row],[ID]],[2]DebtFundUniverse!$A$2:$A$200,0),MATCH(DFanalysis6[[#Headers],[Target Regional Strategy]],[2]DebtFundUniverse!$B$1:$EU$1,0))</f>
        <v>Europe</v>
      </c>
      <c r="F5" s="6" t="str">
        <f>INDEX([2]DebtFundUniverse!$B$2:$EU$200,MATCH(DFanalysis6[[#This Row],[ID]],[2]DebtFundUniverse!$A$2:$A$200,0),MATCH(DFanalysis6[[#Headers],[Vehicle Structure]],[2]DebtFundUniverse!$B$1:$EU$1,0))</f>
        <v>Closed end</v>
      </c>
      <c r="G5" s="6">
        <f>INDEX([2]DebtFundUniverse!$B$2:$EU$200,MATCH(DFanalysis6[[#This Row],[ID]],[2]DebtFundUniverse!$A$2:$A$200,0),MATCH(DFanalysis6[[#Headers],[year of first closing]],[2]DebtFundUniverse!$B$1:$EU$1,0))</f>
        <v>2020</v>
      </c>
      <c r="H5" s="6" t="str">
        <f>IF(ISBLANK([2]DFsmonkeyCompl!L6),"",[2]DFsmonkeyCompl!L6)</f>
        <v>Yes</v>
      </c>
      <c r="I5" s="6" t="str">
        <f>IF(ISBLANK([2]DFsmonkeyCompl!M6),"",[2]DFsmonkeyCompl!M6)</f>
        <v/>
      </c>
      <c r="J5" s="6" t="str">
        <f>IF(ISBLANK([2]DFsmonkeyCompl!N6),"",[2]DFsmonkeyCompl!N6)</f>
        <v/>
      </c>
      <c r="K5" s="6" t="str">
        <f>INDEX([2]DebtFundUniverse!$B$2:$EU$200,MATCH(DFanalysis6[[#This Row],[ID]],[2]DebtFundUniverse!$A$2:$A$200,0),MATCH(DFanalysis6[[#Headers],[Currency of Reporting]],[2]DebtFundUniverse!$B$1:$EU$1,0))</f>
        <v>EUR</v>
      </c>
      <c r="L5" s="8">
        <f>VLOOKUP(DFanalysis6[[#This Row],[Currency of Reporting]],'[2]Xrate31.12.20'!$K$1:$M$25,3,0)</f>
        <v>1</v>
      </c>
      <c r="M5" s="8">
        <f>IFERROR(IF(ISBLANK([2]DFsmonkeyCompl!O6),"",[2]DFsmonkeyCompl!O6*DFanalysis6[[#This Row],[EUR]]),"")</f>
        <v>175</v>
      </c>
      <c r="N5" s="8">
        <f>IFERROR(IF(ISBLANK([2]DFsmonkeyCompl!P6),"",[2]DFsmonkeyCompl!P6*DFanalysis6[[#This Row],[EUR]]),"")</f>
        <v>0</v>
      </c>
      <c r="O5" s="8">
        <f>IFERROR(IF(ISBLANK([2]DFsmonkeyCompl!Q6),"",[2]DFsmonkeyCompl!Q6*DFanalysis6[[#This Row],[EUR]]),"")</f>
        <v>150</v>
      </c>
      <c r="P5" s="8">
        <f>IFERROR(IF(ISBLANK([2]DFsmonkeyCompl!R6),"",[2]DFsmonkeyCompl!R6*DFanalysis6[[#This Row],[EUR]]),"")</f>
        <v>0</v>
      </c>
      <c r="Q5" s="8">
        <f>IFERROR(IF(ISBLANK([2]DFsmonkeyCompl!S6),"",[2]DFsmonkeyCompl!S6*DFanalysis6[[#This Row],[EUR]]),"")</f>
        <v>0</v>
      </c>
      <c r="R5" s="8">
        <f>IFERROR(IF(ISBLANK([2]DFsmonkeyCompl!T6),"",[2]DFsmonkeyCompl!T6*DFanalysis6[[#This Row],[EUR]]),"")</f>
        <v>0</v>
      </c>
      <c r="S5" s="8">
        <f>IFERROR(IF(ISBLANK([2]DFsmonkeyCompl!U6),"",[2]DFsmonkeyCompl!U6*DFanalysis6[[#This Row],[EUR]]),"")</f>
        <v>0</v>
      </c>
      <c r="T5" s="8">
        <f>IFERROR(IF(ISBLANK([2]DFsmonkeyCompl!V6),"",[2]DFsmonkeyCompl!V6*DFanalysis6[[#This Row],[EUR]]),"")</f>
        <v>0</v>
      </c>
      <c r="U5" s="8">
        <f>IFERROR(IF(ISBLANK([2]DFsmonkeyCompl!W6),"",[2]DFsmonkeyCompl!W6*DFanalysis6[[#This Row],[EUR]]),"")</f>
        <v>25</v>
      </c>
      <c r="V5" s="8">
        <f>IFERROR(IF(ISBLANK([2]DFsmonkeyCompl!X6),"",[2]DFsmonkeyCompl!X6*DFanalysis6[[#This Row],[EUR]]),"")</f>
        <v>175</v>
      </c>
      <c r="W5" s="8">
        <f>IFERROR(IF(ISBLANK([2]DFsmonkeyCompl!Y6),"",[2]DFsmonkeyCompl!Y6*DFanalysis6[[#This Row],[EUR]]),"")</f>
        <v>0</v>
      </c>
      <c r="X5" s="8">
        <f>IFERROR(IF(ISBLANK([2]DFsmonkeyCompl!Z6),"",[2]DFsmonkeyCompl!Z6*DFanalysis6[[#This Row],[EUR]]),"")</f>
        <v>0</v>
      </c>
      <c r="Y5" s="8">
        <f>IFERROR(IF(ISBLANK([2]DFsmonkeyCompl!AA6),"",[2]DFsmonkeyCompl!AA6*DFanalysis6[[#This Row],[EUR]]),"")</f>
        <v>0</v>
      </c>
      <c r="Z5" s="8">
        <f>IFERROR(IF(ISBLANK([2]DFsmonkeyCompl!AB6),"",[2]DFsmonkeyCompl!AB6*DFanalysis6[[#This Row],[EUR]]),"")</f>
        <v>0</v>
      </c>
      <c r="AA5" s="8">
        <f>IF(ISBLANK([2]DFsmonkeyCompl!AC6),"",[2]DFsmonkeyCompl!AC6)</f>
        <v>0</v>
      </c>
      <c r="AB5" s="8">
        <f>IF(ISBLANK([2]DFsmonkeyCompl!AD6),"",[2]DFsmonkeyCompl!AD6)</f>
        <v>0</v>
      </c>
      <c r="AC5" s="8">
        <f>IF(ISBLANK([2]DFsmonkeyCompl!AE6),"",[2]DFsmonkeyCompl!AE6)</f>
        <v>100</v>
      </c>
      <c r="AD5" s="8">
        <f>IF(ISBLANK([2]DFsmonkeyCompl!AF6),"",[2]DFsmonkeyCompl!AF6)</f>
        <v>0</v>
      </c>
      <c r="AE5" s="8" t="str">
        <f>IF(ISBLANK([2]DFsmonkeyCompl!AG6),"",[2]DFsmonkeyCompl!AG6)</f>
        <v>No change</v>
      </c>
      <c r="AF5" s="8" t="str">
        <f>IF(ISBLANK([2]DFsmonkeyCompl!AH6),"",[2]DFsmonkeyCompl!AH6)</f>
        <v>No</v>
      </c>
      <c r="AG5" s="8">
        <f>IFERROR(INDEX([2]DebtFundUniverse!$B$2:$EU$700,MATCH($C5,[2]DebtFundUniverse!$A$2:$A$700,0),MATCH($AG$1,[2]DebtFundUniverse!$B$1:$EU$1,0)),"")</f>
        <v>550000000</v>
      </c>
      <c r="AH5" s="36">
        <f>IFERROR(INDEX([2]DebtFundUniverse!$B$2:$EU$700,MATCH($C5,[2]DebtFundUniverse!$A$2:$A$700,0),MATCH($AH$1,[2]DebtFundUniverse!$B$1:$EU$1,0)),"")</f>
        <v>0</v>
      </c>
    </row>
    <row r="6" spans="1:34" ht="14.25" thickTop="1" thickBot="1" x14ac:dyDescent="0.25">
      <c r="A6" s="9" t="str">
        <f>IF(OR(ISTEXT([2]DFsmonkeyCompl!J7),ISNUMBER([2]DFsmonkeyCompl!J7)),[2]DFsmonkeyCompl!J7,"")</f>
        <v xml:space="preserve">LaSalle Investment Management </v>
      </c>
      <c r="B6" s="6" t="str">
        <f>IF(OR(ISTEXT([2]DFsmonkeyCompl!K7),ISNUMBER([2]DFsmonkeyCompl!K7)),[2]DFsmonkeyCompl!K7,"")</f>
        <v>LaSalle Real Estate Debt Strategies IV</v>
      </c>
      <c r="C6" s="7" cm="1">
        <f t="array" ref="C6">INDEX([2]DebtFundUniverse!$A$85:$A$95,MATCH(B6,[2]DebtFundUniverse!$B$85:$B$95,0),0)</f>
        <v>105571</v>
      </c>
      <c r="D6" s="6" t="str">
        <f>INDEX([2]DebtFundUniverse!$B$2:$EU$200,MATCH(DFanalysis6[[#This Row],[ID]],[2]DebtFundUniverse!$A$2:$A$200,0),MATCH(DFanalysis6[[#Headers],[Loan Strategy]],[2]DebtFundUniverse!$B$1:$EU$1,0))</f>
        <v>Subordinated: Junior+Mezzanine</v>
      </c>
      <c r="E6" s="6" t="str">
        <f>INDEX([2]DebtFundUniverse!$B$2:$EU$200,MATCH(DFanalysis6[[#This Row],[ID]],[2]DebtFundUniverse!$A$2:$A$200,0),MATCH(DFanalysis6[[#Headers],[Target Regional Strategy]],[2]DebtFundUniverse!$B$1:$EU$1,0))</f>
        <v>Europe</v>
      </c>
      <c r="F6" s="6" t="str">
        <f>INDEX([2]DebtFundUniverse!$B$2:$EU$200,MATCH(DFanalysis6[[#This Row],[ID]],[2]DebtFundUniverse!$A$2:$A$200,0),MATCH(DFanalysis6[[#Headers],[Vehicle Structure]],[2]DebtFundUniverse!$B$1:$EU$1,0))</f>
        <v>Closed end</v>
      </c>
      <c r="G6" s="6">
        <f>INDEX([2]DebtFundUniverse!$B$2:$EU$200,MATCH(DFanalysis6[[#This Row],[ID]],[2]DebtFundUniverse!$A$2:$A$200,0),MATCH(DFanalysis6[[#Headers],[year of first closing]],[2]DebtFundUniverse!$B$1:$EU$1,0))</f>
        <v>2020</v>
      </c>
      <c r="H6" s="6" t="str">
        <f>IF(ISBLANK([2]DFsmonkeyCompl!L7),"",[2]DFsmonkeyCompl!L7)</f>
        <v>Yes</v>
      </c>
      <c r="I6" s="6" t="str">
        <f>IF(ISBLANK([2]DFsmonkeyCompl!M7),"",[2]DFsmonkeyCompl!M7)</f>
        <v/>
      </c>
      <c r="J6" s="6" t="str">
        <f>IF(ISBLANK([2]DFsmonkeyCompl!N7),"",[2]DFsmonkeyCompl!N7)</f>
        <v/>
      </c>
      <c r="K6" s="6" t="str">
        <f>INDEX([2]DebtFundUniverse!$B$2:$EU$200,MATCH(DFanalysis6[[#This Row],[ID]],[2]DebtFundUniverse!$A$2:$A$200,0),MATCH(DFanalysis6[[#Headers],[Currency of Reporting]],[2]DebtFundUniverse!$B$1:$EU$1,0))</f>
        <v>EUR</v>
      </c>
      <c r="L6" s="8">
        <f>VLOOKUP(DFanalysis6[[#This Row],[Currency of Reporting]],'[2]Xrate31.12.20'!$K$1:$M$25,3,0)</f>
        <v>1</v>
      </c>
      <c r="M6" s="8">
        <f>IFERROR(IF(ISBLANK([2]DFsmonkeyCompl!O7),"",[2]DFsmonkeyCompl!O7*DFanalysis6[[#This Row],[EUR]]),"")</f>
        <v>435</v>
      </c>
      <c r="N6" s="8">
        <f>IFERROR(IF(ISBLANK([2]DFsmonkeyCompl!P7),"",[2]DFsmonkeyCompl!P7*DFanalysis6[[#This Row],[EUR]]),"")</f>
        <v>310</v>
      </c>
      <c r="O6" s="8">
        <f>IFERROR(IF(ISBLANK([2]DFsmonkeyCompl!Q7),"",[2]DFsmonkeyCompl!Q7*DFanalysis6[[#This Row],[EUR]]),"")</f>
        <v>100</v>
      </c>
      <c r="P6" s="8" t="str">
        <f>IFERROR(IF(ISBLANK([2]DFsmonkeyCompl!R7),"",[2]DFsmonkeyCompl!R7*DFanalysis6[[#This Row],[EUR]]),"")</f>
        <v/>
      </c>
      <c r="Q6" s="8" t="str">
        <f>IFERROR(IF(ISBLANK([2]DFsmonkeyCompl!S7),"",[2]DFsmonkeyCompl!S7*DFanalysis6[[#This Row],[EUR]]),"")</f>
        <v/>
      </c>
      <c r="R6" s="8" t="str">
        <f>IFERROR(IF(ISBLANK([2]DFsmonkeyCompl!T7),"",[2]DFsmonkeyCompl!T7*DFanalysis6[[#This Row],[EUR]]),"")</f>
        <v/>
      </c>
      <c r="S6" s="8" t="str">
        <f>IFERROR(IF(ISBLANK([2]DFsmonkeyCompl!U7),"",[2]DFsmonkeyCompl!U7*DFanalysis6[[#This Row],[EUR]]),"")</f>
        <v/>
      </c>
      <c r="T6" s="8" t="str">
        <f>IFERROR(IF(ISBLANK([2]DFsmonkeyCompl!V7),"",[2]DFsmonkeyCompl!V7*DFanalysis6[[#This Row],[EUR]]),"")</f>
        <v/>
      </c>
      <c r="U6" s="8">
        <f>IFERROR(IF(ISBLANK([2]DFsmonkeyCompl!W7),"",[2]DFsmonkeyCompl!W7*DFanalysis6[[#This Row],[EUR]]),"")</f>
        <v>25</v>
      </c>
      <c r="V6" s="8">
        <f>IFERROR(IF(ISBLANK([2]DFsmonkeyCompl!X7),"",[2]DFsmonkeyCompl!X7*DFanalysis6[[#This Row],[EUR]]),"")</f>
        <v>180</v>
      </c>
      <c r="W6" s="8">
        <f>IFERROR(IF(ISBLANK([2]DFsmonkeyCompl!Y7),"",[2]DFsmonkeyCompl!Y7*DFanalysis6[[#This Row],[EUR]]),"")</f>
        <v>230</v>
      </c>
      <c r="X6" s="8">
        <f>IFERROR(IF(ISBLANK([2]DFsmonkeyCompl!Z7),"",[2]DFsmonkeyCompl!Z7*DFanalysis6[[#This Row],[EUR]]),"")</f>
        <v>25</v>
      </c>
      <c r="Y6" s="8" t="str">
        <f>IFERROR(IF(ISBLANK([2]DFsmonkeyCompl!AA7),"",[2]DFsmonkeyCompl!AA7*DFanalysis6[[#This Row],[EUR]]),"")</f>
        <v/>
      </c>
      <c r="Z6" s="8" t="str">
        <f>IFERROR(IF(ISBLANK([2]DFsmonkeyCompl!AB7),"",[2]DFsmonkeyCompl!AB7*DFanalysis6[[#This Row],[EUR]]),"")</f>
        <v/>
      </c>
      <c r="AA6" s="8" t="str">
        <f>IF(ISBLANK([2]DFsmonkeyCompl!AC7),"",[2]DFsmonkeyCompl!AC7)</f>
        <v/>
      </c>
      <c r="AB6" s="8" t="str">
        <f>IF(ISBLANK([2]DFsmonkeyCompl!AD7),"",[2]DFsmonkeyCompl!AD7)</f>
        <v/>
      </c>
      <c r="AC6" s="8">
        <f>IF(ISBLANK([2]DFsmonkeyCompl!AE7),"",[2]DFsmonkeyCompl!AE7)</f>
        <v>100</v>
      </c>
      <c r="AD6" s="8" t="str">
        <f>IF(ISBLANK([2]DFsmonkeyCompl!AF7),"",[2]DFsmonkeyCompl!AF7)</f>
        <v/>
      </c>
      <c r="AE6" s="8" t="str">
        <f>IF(ISBLANK([2]DFsmonkeyCompl!AG7),"",[2]DFsmonkeyCompl!AG7)</f>
        <v>Increase</v>
      </c>
      <c r="AF6" s="8" t="str">
        <f>IF(ISBLANK([2]DFsmonkeyCompl!AH7),"",[2]DFsmonkeyCompl!AH7)</f>
        <v>Yes</v>
      </c>
      <c r="AG6" s="8">
        <f>IFERROR(INDEX([2]DebtFundUniverse!$B$2:$EU$700,MATCH($C6,[2]DebtFundUniverse!$A$2:$A$700,0),MATCH($AG$1,[2]DebtFundUniverse!$B$1:$EU$1,0)),"")</f>
        <v>1000000000</v>
      </c>
      <c r="AH6" s="36">
        <f>IFERROR(INDEX([2]DebtFundUniverse!$B$2:$EU$700,MATCH($C6,[2]DebtFundUniverse!$A$2:$A$700,0),MATCH($AH$1,[2]DebtFundUniverse!$B$1:$EU$1,0)),"")</f>
        <v>0</v>
      </c>
    </row>
    <row r="7" spans="1:34" ht="14.25" thickTop="1" thickBot="1" x14ac:dyDescent="0.25">
      <c r="A7" s="5" t="str">
        <f>IF(OR(ISTEXT([2]DFsmonkeyCompl!J8),ISNUMBER([2]DFsmonkeyCompl!J8)),[2]DFsmonkeyCompl!J8,"")</f>
        <v>Octopus Investments</v>
      </c>
      <c r="B7" s="6" t="str">
        <f>IF(OR(ISTEXT([2]DFsmonkeyCompl!K8),ISNUMBER([2]DFsmonkeyCompl!K8)),[2]DFsmonkeyCompl!K8,"")</f>
        <v xml:space="preserve">Commercial Real Estate Debt Fund </v>
      </c>
      <c r="C7" s="7">
        <v>18415</v>
      </c>
      <c r="D7" s="6" t="str">
        <f>INDEX([2]DebtFundUniverse!$B$2:$EU$200,MATCH(DFanalysis6[[#This Row],[ID]],[2]DebtFundUniverse!$A$2:$A$200,0),MATCH(DFanalysis6[[#Headers],[Loan Strategy]],[2]DebtFundUniverse!$B$1:$EU$1,0))</f>
        <v>Senior</v>
      </c>
      <c r="E7" s="6" t="str">
        <f>INDEX([2]DebtFundUniverse!$B$2:$EU$200,MATCH(DFanalysis6[[#This Row],[ID]],[2]DebtFundUniverse!$A$2:$A$200,0),MATCH(DFanalysis6[[#Headers],[Target Regional Strategy]],[2]DebtFundUniverse!$B$1:$EU$1,0))</f>
        <v>Europe</v>
      </c>
      <c r="F7" s="6" t="str">
        <f>INDEX([2]DebtFundUniverse!$B$2:$EU$200,MATCH(DFanalysis6[[#This Row],[ID]],[2]DebtFundUniverse!$A$2:$A$200,0),MATCH(DFanalysis6[[#Headers],[Vehicle Structure]],[2]DebtFundUniverse!$B$1:$EU$1,0))</f>
        <v>Closed end</v>
      </c>
      <c r="G7" s="6">
        <f>INDEX([2]DebtFundUniverse!$B$2:$EU$200,MATCH(DFanalysis6[[#This Row],[ID]],[2]DebtFundUniverse!$A$2:$A$200,0),MATCH(DFanalysis6[[#Headers],[year of first closing]],[2]DebtFundUniverse!$B$1:$EU$1,0))</f>
        <v>2014</v>
      </c>
      <c r="H7" s="6" t="str">
        <f>IF(ISBLANK([2]DFsmonkeyCompl!L8),"",[2]DFsmonkeyCompl!L8)</f>
        <v>No</v>
      </c>
      <c r="I7" s="6" t="str">
        <f>IF(ISBLANK([2]DFsmonkeyCompl!M8),"",[2]DFsmonkeyCompl!M8)</f>
        <v>Other (please specify)</v>
      </c>
      <c r="J7" s="6" t="str">
        <f>IF(ISBLANK([2]DFsmonkeyCompl!N8),"",[2]DFsmonkeyCompl!N8)</f>
        <v xml:space="preserve">Market </v>
      </c>
      <c r="K7" s="6" t="str">
        <f>INDEX([2]DebtFundUniverse!$B$2:$EU$200,MATCH(DFanalysis6[[#This Row],[ID]],[2]DebtFundUniverse!$A$2:$A$200,0),MATCH(DFanalysis6[[#Headers],[Currency of Reporting]],[2]DebtFundUniverse!$B$1:$EU$1,0))</f>
        <v>GBP</v>
      </c>
      <c r="L7" s="8">
        <f>VLOOKUP(DFanalysis6[[#This Row],[Currency of Reporting]],'[2]Xrate31.12.20'!$K$1:$M$25,3,0)</f>
        <v>1.1130927885999999</v>
      </c>
      <c r="M7" s="8" t="str">
        <f>IFERROR(IF(ISBLANK([2]DFsmonkeyCompl!O8),"",[2]DFsmonkeyCompl!O8*DFanalysis6[[#This Row],[EUR]]),"")</f>
        <v/>
      </c>
      <c r="N7" s="8" t="str">
        <f>IFERROR(IF(ISBLANK([2]DFsmonkeyCompl!P8),"",[2]DFsmonkeyCompl!P8*DFanalysis6[[#This Row],[EUR]]),"")</f>
        <v/>
      </c>
      <c r="O7" s="8" t="str">
        <f>IFERROR(IF(ISBLANK([2]DFsmonkeyCompl!Q8),"",[2]DFsmonkeyCompl!Q8*DFanalysis6[[#This Row],[EUR]]),"")</f>
        <v/>
      </c>
      <c r="P7" s="8" t="str">
        <f>IFERROR(IF(ISBLANK([2]DFsmonkeyCompl!R8),"",[2]DFsmonkeyCompl!R8*DFanalysis6[[#This Row],[EUR]]),"")</f>
        <v/>
      </c>
      <c r="Q7" s="8" t="str">
        <f>IFERROR(IF(ISBLANK([2]DFsmonkeyCompl!S8),"",[2]DFsmonkeyCompl!S8*DFanalysis6[[#This Row],[EUR]]),"")</f>
        <v/>
      </c>
      <c r="R7" s="8" t="str">
        <f>IFERROR(IF(ISBLANK([2]DFsmonkeyCompl!T8),"",[2]DFsmonkeyCompl!T8*DFanalysis6[[#This Row],[EUR]]),"")</f>
        <v/>
      </c>
      <c r="S7" s="8" t="str">
        <f>IFERROR(IF(ISBLANK([2]DFsmonkeyCompl!U8),"",[2]DFsmonkeyCompl!U8*DFanalysis6[[#This Row],[EUR]]),"")</f>
        <v/>
      </c>
      <c r="T7" s="8" t="str">
        <f>IFERROR(IF(ISBLANK([2]DFsmonkeyCompl!V8),"",[2]DFsmonkeyCompl!V8*DFanalysis6[[#This Row],[EUR]]),"")</f>
        <v/>
      </c>
      <c r="U7" s="8" t="str">
        <f>IFERROR(IF(ISBLANK([2]DFsmonkeyCompl!W8),"",[2]DFsmonkeyCompl!W8*DFanalysis6[[#This Row],[EUR]]),"")</f>
        <v/>
      </c>
      <c r="V7" s="8" t="str">
        <f>IFERROR(IF(ISBLANK([2]DFsmonkeyCompl!X8),"",[2]DFsmonkeyCompl!X8*DFanalysis6[[#This Row],[EUR]]),"")</f>
        <v/>
      </c>
      <c r="W7" s="8" t="str">
        <f>IFERROR(IF(ISBLANK([2]DFsmonkeyCompl!Y8),"",[2]DFsmonkeyCompl!Y8*DFanalysis6[[#This Row],[EUR]]),"")</f>
        <v/>
      </c>
      <c r="X7" s="8" t="str">
        <f>IFERROR(IF(ISBLANK([2]DFsmonkeyCompl!Z8),"",[2]DFsmonkeyCompl!Z8*DFanalysis6[[#This Row],[EUR]]),"")</f>
        <v/>
      </c>
      <c r="Y7" s="8" t="str">
        <f>IFERROR(IF(ISBLANK([2]DFsmonkeyCompl!AA8),"",[2]DFsmonkeyCompl!AA8*DFanalysis6[[#This Row],[EUR]]),"")</f>
        <v/>
      </c>
      <c r="Z7" s="8" t="str">
        <f>IFERROR(IF(ISBLANK([2]DFsmonkeyCompl!AB8),"",[2]DFsmonkeyCompl!AB8*DFanalysis6[[#This Row],[EUR]]),"")</f>
        <v/>
      </c>
      <c r="AA7" s="8" t="str">
        <f>IF(ISBLANK([2]DFsmonkeyCompl!AC8),"",[2]DFsmonkeyCompl!AC8)</f>
        <v/>
      </c>
      <c r="AB7" s="8" t="str">
        <f>IF(ISBLANK([2]DFsmonkeyCompl!AD8),"",[2]DFsmonkeyCompl!AD8)</f>
        <v/>
      </c>
      <c r="AC7" s="8" t="str">
        <f>IF(ISBLANK([2]DFsmonkeyCompl!AE8),"",[2]DFsmonkeyCompl!AE8)</f>
        <v/>
      </c>
      <c r="AD7" s="8" t="str">
        <f>IF(ISBLANK([2]DFsmonkeyCompl!AF8),"",[2]DFsmonkeyCompl!AF8)</f>
        <v/>
      </c>
      <c r="AE7" s="8" t="str">
        <f>IF(ISBLANK([2]DFsmonkeyCompl!AG8),"",[2]DFsmonkeyCompl!AG8)</f>
        <v>Increase</v>
      </c>
      <c r="AF7" s="8" t="str">
        <f>IF(ISBLANK([2]DFsmonkeyCompl!AH8),"",[2]DFsmonkeyCompl!AH8)</f>
        <v>Yes</v>
      </c>
      <c r="AG7" s="8">
        <f>IFERROR(INDEX([2]DebtFundUniverse!$B$2:$EU$700,MATCH($C7,[2]DebtFundUniverse!$A$2:$A$700,0),MATCH($AG$1,[2]DebtFundUniverse!$B$1:$EU$1,0)),"")</f>
        <v>131000000</v>
      </c>
      <c r="AH7" s="36">
        <f>IFERROR(INDEX([2]DebtFundUniverse!$B$2:$EU$700,MATCH($C7,[2]DebtFundUniverse!$A$2:$A$700,0),MATCH($AH$1,[2]DebtFundUniverse!$B$1:$EU$1,0)),"")</f>
        <v>0</v>
      </c>
    </row>
    <row r="8" spans="1:34" ht="14.25" thickTop="1" thickBot="1" x14ac:dyDescent="0.25">
      <c r="A8" s="9" t="str">
        <f>IF(OR(ISTEXT([2]DFsmonkeyCompl!J9),ISNUMBER([2]DFsmonkeyCompl!J9)),[2]DFsmonkeyCompl!J9,"")</f>
        <v>LaSalle Investment Management</v>
      </c>
      <c r="B8" s="6" t="str">
        <f>IF(OR(ISTEXT([2]DFsmonkeyCompl!K9),ISNUMBER([2]DFsmonkeyCompl!K9)),[2]DFsmonkeyCompl!K9,"")</f>
        <v>LaSalle Whole Loan Strategy I</v>
      </c>
      <c r="C8" s="7" cm="1">
        <f t="array" ref="C8">INDEX([2]DebtFundUniverse!$A$85:$A$95,MATCH(B8,[2]DebtFundUniverse!$B$85:$B$95,0),0)</f>
        <v>101287</v>
      </c>
      <c r="D8" s="6" t="str">
        <f>INDEX([2]DebtFundUniverse!$B$2:$EU$200,MATCH(DFanalysis6[[#This Row],[ID]],[2]DebtFundUniverse!$A$2:$A$200,0),MATCH(DFanalysis6[[#Headers],[Loan Strategy]],[2]DebtFundUniverse!$B$1:$EU$1,0))</f>
        <v>Whole Loans</v>
      </c>
      <c r="E8" s="6" t="str">
        <f>INDEX([2]DebtFundUniverse!$B$2:$EU$200,MATCH(DFanalysis6[[#This Row],[ID]],[2]DebtFundUniverse!$A$2:$A$200,0),MATCH(DFanalysis6[[#Headers],[Target Regional Strategy]],[2]DebtFundUniverse!$B$1:$EU$1,0))</f>
        <v>Europe</v>
      </c>
      <c r="F8" s="6" t="str">
        <f>INDEX([2]DebtFundUniverse!$B$2:$EU$200,MATCH(DFanalysis6[[#This Row],[ID]],[2]DebtFundUniverse!$A$2:$A$200,0),MATCH(DFanalysis6[[#Headers],[Vehicle Structure]],[2]DebtFundUniverse!$B$1:$EU$1,0))</f>
        <v>Closed end</v>
      </c>
      <c r="G8" s="6">
        <f>INDEX([2]DebtFundUniverse!$B$2:$EU$200,MATCH(DFanalysis6[[#This Row],[ID]],[2]DebtFundUniverse!$A$2:$A$200,0),MATCH(DFanalysis6[[#Headers],[year of first closing]],[2]DebtFundUniverse!$B$1:$EU$1,0))</f>
        <v>2019</v>
      </c>
      <c r="H8" s="6" t="str">
        <f>IF(ISBLANK([2]DFsmonkeyCompl!L9),"",[2]DFsmonkeyCompl!L9)</f>
        <v>Yes</v>
      </c>
      <c r="I8" s="6" t="str">
        <f>IF(ISBLANK([2]DFsmonkeyCompl!M9),"",[2]DFsmonkeyCompl!M9)</f>
        <v/>
      </c>
      <c r="J8" s="6" t="str">
        <f>IF(ISBLANK([2]DFsmonkeyCompl!N9),"",[2]DFsmonkeyCompl!N9)</f>
        <v/>
      </c>
      <c r="K8" s="6" t="str">
        <f>INDEX([2]DebtFundUniverse!$B$2:$EU$200,MATCH(DFanalysis6[[#This Row],[ID]],[2]DebtFundUniverse!$A$2:$A$200,0),MATCH(DFanalysis6[[#Headers],[Currency of Reporting]],[2]DebtFundUniverse!$B$1:$EU$1,0))</f>
        <v>EUR</v>
      </c>
      <c r="L8" s="8">
        <f>VLOOKUP(DFanalysis6[[#This Row],[Currency of Reporting]],'[2]Xrate31.12.20'!$K$1:$M$25,3,0)</f>
        <v>1</v>
      </c>
      <c r="M8" s="8">
        <f>IFERROR(IF(ISBLANK([2]DFsmonkeyCompl!O9),"",[2]DFsmonkeyCompl!O9*DFanalysis6[[#This Row],[EUR]]),"")</f>
        <v>300</v>
      </c>
      <c r="N8" s="8" t="str">
        <f>IFERROR(IF(ISBLANK([2]DFsmonkeyCompl!P9),"",[2]DFsmonkeyCompl!P9*DFanalysis6[[#This Row],[EUR]]),"")</f>
        <v/>
      </c>
      <c r="O8" s="8">
        <f>IFERROR(IF(ISBLANK([2]DFsmonkeyCompl!Q9),"",[2]DFsmonkeyCompl!Q9*DFanalysis6[[#This Row],[EUR]]),"")</f>
        <v>300</v>
      </c>
      <c r="P8" s="8" t="str">
        <f>IFERROR(IF(ISBLANK([2]DFsmonkeyCompl!R9),"",[2]DFsmonkeyCompl!R9*DFanalysis6[[#This Row],[EUR]]),"")</f>
        <v/>
      </c>
      <c r="Q8" s="8" t="str">
        <f>IFERROR(IF(ISBLANK([2]DFsmonkeyCompl!S9),"",[2]DFsmonkeyCompl!S9*DFanalysis6[[#This Row],[EUR]]),"")</f>
        <v/>
      </c>
      <c r="R8" s="8" t="str">
        <f>IFERROR(IF(ISBLANK([2]DFsmonkeyCompl!T9),"",[2]DFsmonkeyCompl!T9*DFanalysis6[[#This Row],[EUR]]),"")</f>
        <v/>
      </c>
      <c r="S8" s="8" t="str">
        <f>IFERROR(IF(ISBLANK([2]DFsmonkeyCompl!U9),"",[2]DFsmonkeyCompl!U9*DFanalysis6[[#This Row],[EUR]]),"")</f>
        <v/>
      </c>
      <c r="T8" s="8" t="str">
        <f>IFERROR(IF(ISBLANK([2]DFsmonkeyCompl!V9),"",[2]DFsmonkeyCompl!V9*DFanalysis6[[#This Row],[EUR]]),"")</f>
        <v/>
      </c>
      <c r="U8" s="8" t="str">
        <f>IFERROR(IF(ISBLANK([2]DFsmonkeyCompl!W9),"",[2]DFsmonkeyCompl!W9*DFanalysis6[[#This Row],[EUR]]),"")</f>
        <v/>
      </c>
      <c r="V8" s="8">
        <f>IFERROR(IF(ISBLANK([2]DFsmonkeyCompl!X9),"",[2]DFsmonkeyCompl!X9*DFanalysis6[[#This Row],[EUR]]),"")</f>
        <v>300</v>
      </c>
      <c r="W8" s="8" t="str">
        <f>IFERROR(IF(ISBLANK([2]DFsmonkeyCompl!Y9),"",[2]DFsmonkeyCompl!Y9*DFanalysis6[[#This Row],[EUR]]),"")</f>
        <v/>
      </c>
      <c r="X8" s="8" t="str">
        <f>IFERROR(IF(ISBLANK([2]DFsmonkeyCompl!Z9),"",[2]DFsmonkeyCompl!Z9*DFanalysis6[[#This Row],[EUR]]),"")</f>
        <v/>
      </c>
      <c r="Y8" s="8" t="str">
        <f>IFERROR(IF(ISBLANK([2]DFsmonkeyCompl!AA9),"",[2]DFsmonkeyCompl!AA9*DFanalysis6[[#This Row],[EUR]]),"")</f>
        <v/>
      </c>
      <c r="Z8" s="8" t="str">
        <f>IFERROR(IF(ISBLANK([2]DFsmonkeyCompl!AB9),"",[2]DFsmonkeyCompl!AB9*DFanalysis6[[#This Row],[EUR]]),"")</f>
        <v/>
      </c>
      <c r="AA8" s="8" t="str">
        <f>IF(ISBLANK([2]DFsmonkeyCompl!AC9),"",[2]DFsmonkeyCompl!AC9)</f>
        <v/>
      </c>
      <c r="AB8" s="8" t="str">
        <f>IF(ISBLANK([2]DFsmonkeyCompl!AD9),"",[2]DFsmonkeyCompl!AD9)</f>
        <v/>
      </c>
      <c r="AC8" s="8">
        <f>IF(ISBLANK([2]DFsmonkeyCompl!AE9),"",[2]DFsmonkeyCompl!AE9)</f>
        <v>100</v>
      </c>
      <c r="AD8" s="8" t="str">
        <f>IF(ISBLANK([2]DFsmonkeyCompl!AF9),"",[2]DFsmonkeyCompl!AF9)</f>
        <v/>
      </c>
      <c r="AE8" s="8" t="str">
        <f>IF(ISBLANK([2]DFsmonkeyCompl!AG9),"",[2]DFsmonkeyCompl!AG9)</f>
        <v>Increase</v>
      </c>
      <c r="AF8" s="8" t="str">
        <f>IF(ISBLANK([2]DFsmonkeyCompl!AH9),"",[2]DFsmonkeyCompl!AH9)</f>
        <v>Yes</v>
      </c>
      <c r="AG8" s="8">
        <f>IFERROR(INDEX([2]DebtFundUniverse!$B$2:$EU$700,MATCH($C8,[2]DebtFundUniverse!$A$2:$A$700,0),MATCH($AG$1,[2]DebtFundUniverse!$B$1:$EU$1,0)),"")</f>
        <v>0</v>
      </c>
      <c r="AH8" s="36">
        <f>IFERROR(INDEX([2]DebtFundUniverse!$B$2:$EU$700,MATCH($C8,[2]DebtFundUniverse!$A$2:$A$700,0),MATCH($AH$1,[2]DebtFundUniverse!$B$1:$EU$1,0)),"")</f>
        <v>0</v>
      </c>
    </row>
    <row r="9" spans="1:34" ht="13.5" thickTop="1" x14ac:dyDescent="0.2">
      <c r="A9" s="5" t="str">
        <f>IF(OR(ISTEXT([2]DFsmonkeyCompl!J10),ISNUMBER([2]DFsmonkeyCompl!J10)),[2]DFsmonkeyCompl!J10,"")</f>
        <v>LaSalle Investment Management</v>
      </c>
      <c r="B9" s="6" t="str">
        <f>IF(OR(ISTEXT([2]DFsmonkeyCompl!K10),ISNUMBER([2]DFsmonkeyCompl!K10)),[2]DFsmonkeyCompl!K10,"")</f>
        <v>LaSalle Real Estate Strategies IV</v>
      </c>
      <c r="C9" s="7" cm="1">
        <f t="array" ref="C9">INDEX([2]DebtFundUniverse!$A$85:$A$95,MATCH(B9,[2]DebtFundUniverse!$B$85:$B$95,0),0)</f>
        <v>105571</v>
      </c>
      <c r="D9" s="6" t="str">
        <f>INDEX([2]DebtFundUniverse!$B$2:$EU$200,MATCH(DFanalysis6[[#This Row],[ID]],[2]DebtFundUniverse!$A$2:$A$200,0),MATCH(DFanalysis6[[#Headers],[Loan Strategy]],[2]DebtFundUniverse!$B$1:$EU$1,0))</f>
        <v>Subordinated: Junior+Mezzanine</v>
      </c>
      <c r="E9" s="6" t="str">
        <f>INDEX([2]DebtFundUniverse!$B$2:$EU$200,MATCH(DFanalysis6[[#This Row],[ID]],[2]DebtFundUniverse!$A$2:$A$200,0),MATCH(DFanalysis6[[#Headers],[Target Regional Strategy]],[2]DebtFundUniverse!$B$1:$EU$1,0))</f>
        <v>Europe</v>
      </c>
      <c r="F9" s="6" t="str">
        <f>INDEX([2]DebtFundUniverse!$B$2:$EU$200,MATCH(DFanalysis6[[#This Row],[ID]],[2]DebtFundUniverse!$A$2:$A$200,0),MATCH(DFanalysis6[[#Headers],[Vehicle Structure]],[2]DebtFundUniverse!$B$1:$EU$1,0))</f>
        <v>Closed end</v>
      </c>
      <c r="G9" s="6">
        <f>INDEX([2]DebtFundUniverse!$B$2:$EU$200,MATCH(DFanalysis6[[#This Row],[ID]],[2]DebtFundUniverse!$A$2:$A$200,0),MATCH(DFanalysis6[[#Headers],[year of first closing]],[2]DebtFundUniverse!$B$1:$EU$1,0))</f>
        <v>2020</v>
      </c>
      <c r="H9" s="6" t="str">
        <f>IF(ISBLANK([2]DFsmonkeyCompl!L10),"",[2]DFsmonkeyCompl!L10)</f>
        <v>Yes</v>
      </c>
      <c r="I9" s="6" t="str">
        <f>IF(ISBLANK([2]DFsmonkeyCompl!M10),"",[2]DFsmonkeyCompl!M10)</f>
        <v/>
      </c>
      <c r="J9" s="6" t="str">
        <f>IF(ISBLANK([2]DFsmonkeyCompl!N10),"",[2]DFsmonkeyCompl!N10)</f>
        <v/>
      </c>
      <c r="K9" s="6" t="str">
        <f>INDEX([2]DebtFundUniverse!$B$2:$EU$200,MATCH(DFanalysis6[[#This Row],[ID]],[2]DebtFundUniverse!$A$2:$A$200,0),MATCH(DFanalysis6[[#Headers],[Currency of Reporting]],[2]DebtFundUniverse!$B$1:$EU$1,0))</f>
        <v>EUR</v>
      </c>
      <c r="L9" s="8">
        <f>VLOOKUP(DFanalysis6[[#This Row],[Currency of Reporting]],'[2]Xrate31.12.20'!$K$1:$M$25,3,0)</f>
        <v>1</v>
      </c>
      <c r="M9" s="8" t="str">
        <f>IFERROR(IF(ISBLANK([2]DFsmonkeyCompl!O10),"",[2]DFsmonkeyCompl!O10*DFanalysis6[[#This Row],[EUR]]),"")</f>
        <v/>
      </c>
      <c r="N9" s="8" t="str">
        <f>IFERROR(IF(ISBLANK([2]DFsmonkeyCompl!P10),"",[2]DFsmonkeyCompl!P10*DFanalysis6[[#This Row],[EUR]]),"")</f>
        <v/>
      </c>
      <c r="O9" s="8" t="str">
        <f>IFERROR(IF(ISBLANK([2]DFsmonkeyCompl!Q10),"",[2]DFsmonkeyCompl!Q10*DFanalysis6[[#This Row],[EUR]]),"")</f>
        <v/>
      </c>
      <c r="P9" s="8" t="str">
        <f>IFERROR(IF(ISBLANK([2]DFsmonkeyCompl!R10),"",[2]DFsmonkeyCompl!R10*DFanalysis6[[#This Row],[EUR]]),"")</f>
        <v/>
      </c>
      <c r="Q9" s="8" t="str">
        <f>IFERROR(IF(ISBLANK([2]DFsmonkeyCompl!S10),"",[2]DFsmonkeyCompl!S10*DFanalysis6[[#This Row],[EUR]]),"")</f>
        <v/>
      </c>
      <c r="R9" s="8" t="str">
        <f>IFERROR(IF(ISBLANK([2]DFsmonkeyCompl!T10),"",[2]DFsmonkeyCompl!T10*DFanalysis6[[#This Row],[EUR]]),"")</f>
        <v/>
      </c>
      <c r="S9" s="8" t="str">
        <f>IFERROR(IF(ISBLANK([2]DFsmonkeyCompl!U10),"",[2]DFsmonkeyCompl!U10*DFanalysis6[[#This Row],[EUR]]),"")</f>
        <v/>
      </c>
      <c r="T9" s="8" t="str">
        <f>IFERROR(IF(ISBLANK([2]DFsmonkeyCompl!V10),"",[2]DFsmonkeyCompl!V10*DFanalysis6[[#This Row],[EUR]]),"")</f>
        <v/>
      </c>
      <c r="U9" s="8" t="str">
        <f>IFERROR(IF(ISBLANK([2]DFsmonkeyCompl!W10),"",[2]DFsmonkeyCompl!W10*DFanalysis6[[#This Row],[EUR]]),"")</f>
        <v/>
      </c>
      <c r="V9" s="8" t="str">
        <f>IFERROR(IF(ISBLANK([2]DFsmonkeyCompl!X10),"",[2]DFsmonkeyCompl!X10*DFanalysis6[[#This Row],[EUR]]),"")</f>
        <v/>
      </c>
      <c r="W9" s="8" t="str">
        <f>IFERROR(IF(ISBLANK([2]DFsmonkeyCompl!Y10),"",[2]DFsmonkeyCompl!Y10*DFanalysis6[[#This Row],[EUR]]),"")</f>
        <v/>
      </c>
      <c r="X9" s="8" t="str">
        <f>IFERROR(IF(ISBLANK([2]DFsmonkeyCompl!Z10),"",[2]DFsmonkeyCompl!Z10*DFanalysis6[[#This Row],[EUR]]),"")</f>
        <v/>
      </c>
      <c r="Y9" s="8" t="str">
        <f>IFERROR(IF(ISBLANK([2]DFsmonkeyCompl!AA10),"",[2]DFsmonkeyCompl!AA10*DFanalysis6[[#This Row],[EUR]]),"")</f>
        <v/>
      </c>
      <c r="Z9" s="8" t="str">
        <f>IFERROR(IF(ISBLANK([2]DFsmonkeyCompl!AB10),"",[2]DFsmonkeyCompl!AB10*DFanalysis6[[#This Row],[EUR]]),"")</f>
        <v/>
      </c>
      <c r="AA9" s="8" t="str">
        <f>IF(ISBLANK([2]DFsmonkeyCompl!AC10),"",[2]DFsmonkeyCompl!AC10)</f>
        <v/>
      </c>
      <c r="AB9" s="8" t="str">
        <f>IF(ISBLANK([2]DFsmonkeyCompl!AD10),"",[2]DFsmonkeyCompl!AD10)</f>
        <v/>
      </c>
      <c r="AC9" s="8" t="str">
        <f>IF(ISBLANK([2]DFsmonkeyCompl!AE10),"",[2]DFsmonkeyCompl!AE10)</f>
        <v/>
      </c>
      <c r="AD9" s="8" t="str">
        <f>IF(ISBLANK([2]DFsmonkeyCompl!AF10),"",[2]DFsmonkeyCompl!AF10)</f>
        <v/>
      </c>
      <c r="AE9" s="8" t="str">
        <f>IF(ISBLANK([2]DFsmonkeyCompl!AG10),"",[2]DFsmonkeyCompl!AG10)</f>
        <v/>
      </c>
      <c r="AF9" s="8" t="str">
        <f>IF(ISBLANK([2]DFsmonkeyCompl!AH10),"",[2]DFsmonkeyCompl!AH10)</f>
        <v/>
      </c>
      <c r="AG9" s="8">
        <f>IFERROR(INDEX([2]DebtFundUniverse!$B$2:$EU$700,MATCH($C9,[2]DebtFundUniverse!$A$2:$A$700,0),MATCH($AG$1,[2]DebtFundUniverse!$B$1:$EU$1,0)),"")</f>
        <v>1000000000</v>
      </c>
      <c r="AH9" s="36">
        <f>IFERROR(INDEX([2]DebtFundUniverse!$B$2:$EU$700,MATCH($C9,[2]DebtFundUniverse!$A$2:$A$700,0),MATCH($AH$1,[2]DebtFundUniverse!$B$1:$EU$1,0)),"")</f>
        <v>0</v>
      </c>
    </row>
    <row r="10" spans="1:34" x14ac:dyDescent="0.2">
      <c r="A10" s="5" t="str">
        <f>IF(OR(ISTEXT([2]DFsmonkeyCompl!J11),ISNUMBER([2]DFsmonkeyCompl!J11)),[2]DFsmonkeyCompl!J11,"")</f>
        <v>Octopus Real Estate</v>
      </c>
      <c r="B10" s="6" t="str">
        <f>IF(OR(ISTEXT([2]DFsmonkeyCompl!K11),ISNUMBER([2]DFsmonkeyCompl!K11)),[2]DFsmonkeyCompl!K11,"")</f>
        <v>CREDF II-S</v>
      </c>
      <c r="C10" s="7">
        <v>73412</v>
      </c>
      <c r="D10" s="6" t="str">
        <f>INDEX([2]DebtFundUniverse!$B$2:$EU$200,MATCH(DFanalysis6[[#This Row],[ID]],[2]DebtFundUniverse!$A$2:$A$200,0),MATCH(DFanalysis6[[#Headers],[Loan Strategy]],[2]DebtFundUniverse!$B$1:$EU$1,0))</f>
        <v>Subordinated: Junior+Mezzanine</v>
      </c>
      <c r="E10" s="6" t="str">
        <f>INDEX([2]DebtFundUniverse!$B$2:$EU$200,MATCH(DFanalysis6[[#This Row],[ID]],[2]DebtFundUniverse!$A$2:$A$200,0),MATCH(DFanalysis6[[#Headers],[Target Regional Strategy]],[2]DebtFundUniverse!$B$1:$EU$1,0))</f>
        <v>Europe</v>
      </c>
      <c r="F10" s="6" t="str">
        <f>INDEX([2]DebtFundUniverse!$B$2:$EU$200,MATCH(DFanalysis6[[#This Row],[ID]],[2]DebtFundUniverse!$A$2:$A$200,0),MATCH(DFanalysis6[[#Headers],[Vehicle Structure]],[2]DebtFundUniverse!$B$1:$EU$1,0))</f>
        <v>Closed end</v>
      </c>
      <c r="G10" s="6">
        <f>INDEX([2]DebtFundUniverse!$B$2:$EU$200,MATCH(DFanalysis6[[#This Row],[ID]],[2]DebtFundUniverse!$A$2:$A$200,0),MATCH(DFanalysis6[[#Headers],[year of first closing]],[2]DebtFundUniverse!$B$1:$EU$1,0))</f>
        <v>2017</v>
      </c>
      <c r="H10" s="6" t="str">
        <f>IF(ISBLANK([2]DFsmonkeyCompl!L11),"",[2]DFsmonkeyCompl!L11)</f>
        <v>Yes</v>
      </c>
      <c r="I10" s="6" t="str">
        <f>IF(ISBLANK([2]DFsmonkeyCompl!M11),"",[2]DFsmonkeyCompl!M11)</f>
        <v/>
      </c>
      <c r="J10" s="6" t="str">
        <f>IF(ISBLANK([2]DFsmonkeyCompl!N11),"",[2]DFsmonkeyCompl!N11)</f>
        <v/>
      </c>
      <c r="K10" s="6" t="str">
        <f>INDEX([2]DebtFundUniverse!$B$2:$EU$200,MATCH(DFanalysis6[[#This Row],[ID]],[2]DebtFundUniverse!$A$2:$A$200,0),MATCH(DFanalysis6[[#Headers],[Currency of Reporting]],[2]DebtFundUniverse!$B$1:$EU$1,0))</f>
        <v>GBP</v>
      </c>
      <c r="L10" s="8">
        <f>VLOOKUP(DFanalysis6[[#This Row],[Currency of Reporting]],'[2]Xrate31.12.20'!$K$1:$M$25,3,0)</f>
        <v>1.1130927885999999</v>
      </c>
      <c r="M10" s="8">
        <f>IFERROR(IF(ISBLANK([2]DFsmonkeyCompl!O11),"",[2]DFsmonkeyCompl!O11*DFanalysis6[[#This Row],[EUR]]),"")</f>
        <v>84.59505193359999</v>
      </c>
      <c r="N10" s="8">
        <f>IFERROR(IF(ISBLANK([2]DFsmonkeyCompl!P11),"",[2]DFsmonkeyCompl!P11*DFanalysis6[[#This Row],[EUR]]),"")</f>
        <v>28.940412503599998</v>
      </c>
      <c r="O10" s="8" t="str">
        <f>IFERROR(IF(ISBLANK([2]DFsmonkeyCompl!Q11),"",[2]DFsmonkeyCompl!Q11*DFanalysis6[[#This Row],[EUR]]),"")</f>
        <v/>
      </c>
      <c r="P10" s="8" t="str">
        <f>IFERROR(IF(ISBLANK([2]DFsmonkeyCompl!R11),"",[2]DFsmonkeyCompl!R11*DFanalysis6[[#This Row],[EUR]]),"")</f>
        <v/>
      </c>
      <c r="Q10" s="8" t="str">
        <f>IFERROR(IF(ISBLANK([2]DFsmonkeyCompl!S11),"",[2]DFsmonkeyCompl!S11*DFanalysis6[[#This Row],[EUR]]),"")</f>
        <v/>
      </c>
      <c r="R10" s="8" t="str">
        <f>IFERROR(IF(ISBLANK([2]DFsmonkeyCompl!T11),"",[2]DFsmonkeyCompl!T11*DFanalysis6[[#This Row],[EUR]]),"")</f>
        <v/>
      </c>
      <c r="S10" s="8">
        <f>IFERROR(IF(ISBLANK([2]DFsmonkeyCompl!U11),"",[2]DFsmonkeyCompl!U11*DFanalysis6[[#This Row],[EUR]]),"")</f>
        <v>55.654639429999996</v>
      </c>
      <c r="T10" s="8" t="str">
        <f>IFERROR(IF(ISBLANK([2]DFsmonkeyCompl!V11),"",[2]DFsmonkeyCompl!V11*DFanalysis6[[#This Row],[EUR]]),"")</f>
        <v/>
      </c>
      <c r="U10" s="8" t="str">
        <f>IFERROR(IF(ISBLANK([2]DFsmonkeyCompl!W11),"",[2]DFsmonkeyCompl!W11*DFanalysis6[[#This Row],[EUR]]),"")</f>
        <v/>
      </c>
      <c r="V10" s="8">
        <f>IFERROR(IF(ISBLANK([2]DFsmonkeyCompl!X11),"",[2]DFsmonkeyCompl!X11*DFanalysis6[[#This Row],[EUR]]),"")</f>
        <v>84.59505193359999</v>
      </c>
      <c r="W10" s="8" t="str">
        <f>IFERROR(IF(ISBLANK([2]DFsmonkeyCompl!Y11),"",[2]DFsmonkeyCompl!Y11*DFanalysis6[[#This Row],[EUR]]),"")</f>
        <v/>
      </c>
      <c r="X10" s="8" t="str">
        <f>IFERROR(IF(ISBLANK([2]DFsmonkeyCompl!Z11),"",[2]DFsmonkeyCompl!Z11*DFanalysis6[[#This Row],[EUR]]),"")</f>
        <v/>
      </c>
      <c r="Y10" s="8" t="str">
        <f>IFERROR(IF(ISBLANK([2]DFsmonkeyCompl!AA11),"",[2]DFsmonkeyCompl!AA11*DFanalysis6[[#This Row],[EUR]]),"")</f>
        <v/>
      </c>
      <c r="Z10" s="8" t="str">
        <f>IFERROR(IF(ISBLANK([2]DFsmonkeyCompl!AB11),"",[2]DFsmonkeyCompl!AB11*DFanalysis6[[#This Row],[EUR]]),"")</f>
        <v/>
      </c>
      <c r="AA10" s="8">
        <f>IF(ISBLANK([2]DFsmonkeyCompl!AC11),"",[2]DFsmonkeyCompl!AC11)</f>
        <v>0</v>
      </c>
      <c r="AB10" s="8">
        <f>IF(ISBLANK([2]DFsmonkeyCompl!AD11),"",[2]DFsmonkeyCompl!AD11)</f>
        <v>0</v>
      </c>
      <c r="AC10" s="8">
        <f>IF(ISBLANK([2]DFsmonkeyCompl!AE11),"",[2]DFsmonkeyCompl!AE11)</f>
        <v>100</v>
      </c>
      <c r="AD10" s="8">
        <f>IF(ISBLANK([2]DFsmonkeyCompl!AF11),"",[2]DFsmonkeyCompl!AF11)</f>
        <v>0</v>
      </c>
      <c r="AE10" s="8" t="str">
        <f>IF(ISBLANK([2]DFsmonkeyCompl!AG11),"",[2]DFsmonkeyCompl!AG11)</f>
        <v>Increase</v>
      </c>
      <c r="AF10" s="8" t="str">
        <f>IF(ISBLANK([2]DFsmonkeyCompl!AH11),"",[2]DFsmonkeyCompl!AH11)</f>
        <v>Yes</v>
      </c>
      <c r="AG10" s="8">
        <f>IFERROR(INDEX([2]DebtFundUniverse!$B$2:$EU$700,MATCH($C10,[2]DebtFundUniverse!$A$2:$A$700,0),MATCH($AG$1,[2]DebtFundUniverse!$B$1:$EU$1,0)),"")</f>
        <v>227740000</v>
      </c>
      <c r="AH10" s="36">
        <f>IFERROR(INDEX([2]DebtFundUniverse!$B$2:$EU$700,MATCH($C10,[2]DebtFundUniverse!$A$2:$A$700,0),MATCH($AH$1,[2]DebtFundUniverse!$B$1:$EU$1,0)),"")</f>
        <v>0</v>
      </c>
    </row>
    <row r="11" spans="1:34" x14ac:dyDescent="0.2">
      <c r="A11" s="5" t="str">
        <f>IF(OR(ISTEXT([2]DFsmonkeyCompl!J12),ISNUMBER([2]DFsmonkeyCompl!J12)),[2]DFsmonkeyCompl!J12,"")</f>
        <v>AgFe LLP</v>
      </c>
      <c r="B11" s="6" t="str">
        <f>IF(OR(ISTEXT([2]DFsmonkeyCompl!K12),ISNUMBER([2]DFsmonkeyCompl!K12)),[2]DFsmonkeyCompl!K12,"")</f>
        <v>UK RE Senior Debt Fund LP</v>
      </c>
      <c r="C11" s="7">
        <v>17383</v>
      </c>
      <c r="D11" s="6" t="str">
        <f>INDEX([2]DebtFundUniverse!$B$2:$EU$200,MATCH(DFanalysis6[[#This Row],[ID]],[2]DebtFundUniverse!$A$2:$A$200,0),MATCH(DFanalysis6[[#Headers],[Loan Strategy]],[2]DebtFundUniverse!$B$1:$EU$1,0))</f>
        <v>Senior</v>
      </c>
      <c r="E11" s="6" t="str">
        <f>INDEX([2]DebtFundUniverse!$B$2:$EU$200,MATCH(DFanalysis6[[#This Row],[ID]],[2]DebtFundUniverse!$A$2:$A$200,0),MATCH(DFanalysis6[[#Headers],[Target Regional Strategy]],[2]DebtFundUniverse!$B$1:$EU$1,0))</f>
        <v>Europe</v>
      </c>
      <c r="F11" s="6" t="str">
        <f>INDEX([2]DebtFundUniverse!$B$2:$EU$200,MATCH(DFanalysis6[[#This Row],[ID]],[2]DebtFundUniverse!$A$2:$A$200,0),MATCH(DFanalysis6[[#Headers],[Vehicle Structure]],[2]DebtFundUniverse!$B$1:$EU$1,0))</f>
        <v>Closed end</v>
      </c>
      <c r="G11" s="6">
        <f>INDEX([2]DebtFundUniverse!$B$2:$EU$200,MATCH(DFanalysis6[[#This Row],[ID]],[2]DebtFundUniverse!$A$2:$A$200,0),MATCH(DFanalysis6[[#Headers],[year of first closing]],[2]DebtFundUniverse!$B$1:$EU$1,0))</f>
        <v>2014</v>
      </c>
      <c r="H11" s="6" t="str">
        <f>IF(ISBLANK([2]DFsmonkeyCompl!L12),"",[2]DFsmonkeyCompl!L12)</f>
        <v>Yes</v>
      </c>
      <c r="I11" s="6" t="str">
        <f>IF(ISBLANK([2]DFsmonkeyCompl!M12),"",[2]DFsmonkeyCompl!M12)</f>
        <v/>
      </c>
      <c r="J11" s="6" t="str">
        <f>IF(ISBLANK([2]DFsmonkeyCompl!N12),"",[2]DFsmonkeyCompl!N12)</f>
        <v/>
      </c>
      <c r="K11" s="6" t="str">
        <f>INDEX([2]DebtFundUniverse!$B$2:$EU$200,MATCH(DFanalysis6[[#This Row],[ID]],[2]DebtFundUniverse!$A$2:$A$200,0),MATCH(DFanalysis6[[#Headers],[Currency of Reporting]],[2]DebtFundUniverse!$B$1:$EU$1,0))</f>
        <v>GBP</v>
      </c>
      <c r="L11" s="8">
        <f>VLOOKUP(DFanalysis6[[#This Row],[Currency of Reporting]],'[2]Xrate31.12.20'!$K$1:$M$25,3,0)</f>
        <v>1.1130927885999999</v>
      </c>
      <c r="M11" s="8">
        <f>IFERROR(IF(ISBLANK([2]DFsmonkeyCompl!O12),"",[2]DFsmonkeyCompl!O12*DFanalysis6[[#This Row],[EUR]]),"")</f>
        <v>890.47423087999994</v>
      </c>
      <c r="N11" s="8" t="str">
        <f>IFERROR(IF(ISBLANK([2]DFsmonkeyCompl!P12),"",[2]DFsmonkeyCompl!P12*DFanalysis6[[#This Row],[EUR]]),"")</f>
        <v/>
      </c>
      <c r="O11" s="8">
        <f>IFERROR(IF(ISBLANK([2]DFsmonkeyCompl!Q12),"",[2]DFsmonkeyCompl!Q12*DFanalysis6[[#This Row],[EUR]]),"")</f>
        <v>890.47423087999994</v>
      </c>
      <c r="P11" s="8" t="str">
        <f>IFERROR(IF(ISBLANK([2]DFsmonkeyCompl!R12),"",[2]DFsmonkeyCompl!R12*DFanalysis6[[#This Row],[EUR]]),"")</f>
        <v/>
      </c>
      <c r="Q11" s="8" t="str">
        <f>IFERROR(IF(ISBLANK([2]DFsmonkeyCompl!S12),"",[2]DFsmonkeyCompl!S12*DFanalysis6[[#This Row],[EUR]]),"")</f>
        <v/>
      </c>
      <c r="R11" s="8" t="str">
        <f>IFERROR(IF(ISBLANK([2]DFsmonkeyCompl!T12),"",[2]DFsmonkeyCompl!T12*DFanalysis6[[#This Row],[EUR]]),"")</f>
        <v/>
      </c>
      <c r="S11" s="8" t="str">
        <f>IFERROR(IF(ISBLANK([2]DFsmonkeyCompl!U12),"",[2]DFsmonkeyCompl!U12*DFanalysis6[[#This Row],[EUR]]),"")</f>
        <v/>
      </c>
      <c r="T11" s="8" t="str">
        <f>IFERROR(IF(ISBLANK([2]DFsmonkeyCompl!V12),"",[2]DFsmonkeyCompl!V12*DFanalysis6[[#This Row],[EUR]]),"")</f>
        <v/>
      </c>
      <c r="U11" s="8" t="str">
        <f>IFERROR(IF(ISBLANK([2]DFsmonkeyCompl!W12),"",[2]DFsmonkeyCompl!W12*DFanalysis6[[#This Row],[EUR]]),"")</f>
        <v/>
      </c>
      <c r="V11" s="8">
        <f>IFERROR(IF(ISBLANK([2]DFsmonkeyCompl!X12),"",[2]DFsmonkeyCompl!X12*DFanalysis6[[#This Row],[EUR]]),"")</f>
        <v>890.47423087999994</v>
      </c>
      <c r="W11" s="8" t="str">
        <f>IFERROR(IF(ISBLANK([2]DFsmonkeyCompl!Y12),"",[2]DFsmonkeyCompl!Y12*DFanalysis6[[#This Row],[EUR]]),"")</f>
        <v/>
      </c>
      <c r="X11" s="8" t="str">
        <f>IFERROR(IF(ISBLANK([2]DFsmonkeyCompl!Z12),"",[2]DFsmonkeyCompl!Z12*DFanalysis6[[#This Row],[EUR]]),"")</f>
        <v/>
      </c>
      <c r="Y11" s="8" t="str">
        <f>IFERROR(IF(ISBLANK([2]DFsmonkeyCompl!AA12),"",[2]DFsmonkeyCompl!AA12*DFanalysis6[[#This Row],[EUR]]),"")</f>
        <v/>
      </c>
      <c r="Z11" s="8" t="str">
        <f>IFERROR(IF(ISBLANK([2]DFsmonkeyCompl!AB12),"",[2]DFsmonkeyCompl!AB12*DFanalysis6[[#This Row],[EUR]]),"")</f>
        <v/>
      </c>
      <c r="AA11" s="8" t="str">
        <f>IF(ISBLANK([2]DFsmonkeyCompl!AC12),"",[2]DFsmonkeyCompl!AC12)</f>
        <v/>
      </c>
      <c r="AB11" s="8" t="str">
        <f>IF(ISBLANK([2]DFsmonkeyCompl!AD12),"",[2]DFsmonkeyCompl!AD12)</f>
        <v/>
      </c>
      <c r="AC11" s="8">
        <f>IF(ISBLANK([2]DFsmonkeyCompl!AE12),"",[2]DFsmonkeyCompl!AE12)</f>
        <v>100</v>
      </c>
      <c r="AD11" s="8" t="str">
        <f>IF(ISBLANK([2]DFsmonkeyCompl!AF12),"",[2]DFsmonkeyCompl!AF12)</f>
        <v/>
      </c>
      <c r="AE11" s="8" t="str">
        <f>IF(ISBLANK([2]DFsmonkeyCompl!AG12),"",[2]DFsmonkeyCompl!AG12)</f>
        <v>Decrease</v>
      </c>
      <c r="AF11" s="8" t="str">
        <f>IF(ISBLANK([2]DFsmonkeyCompl!AH12),"",[2]DFsmonkeyCompl!AH12)</f>
        <v>Yes</v>
      </c>
      <c r="AG11" s="8">
        <f>IFERROR(INDEX([2]DebtFundUniverse!$B$2:$EU$700,MATCH($C11,[2]DebtFundUniverse!$A$2:$A$700,0),MATCH($AG$1,[2]DebtFundUniverse!$B$1:$EU$1,0)),"")</f>
        <v>750000000</v>
      </c>
      <c r="AH11" s="36">
        <f>IFERROR(INDEX([2]DebtFundUniverse!$B$2:$EU$700,MATCH($C11,[2]DebtFundUniverse!$A$2:$A$700,0),MATCH($AH$1,[2]DebtFundUniverse!$B$1:$EU$1,0)),"")</f>
        <v>750000000</v>
      </c>
    </row>
    <row r="12" spans="1:34" x14ac:dyDescent="0.2">
      <c r="A12" s="5" t="str">
        <f>IF(OR(ISTEXT([2]DFsmonkeyCompl!J13),ISNUMBER([2]DFsmonkeyCompl!J13)),[2]DFsmonkeyCompl!J13,"")</f>
        <v>Generali Real Estate SGR S.p.A.</v>
      </c>
      <c r="B12" s="6" t="str">
        <f>IF(OR(ISTEXT([2]DFsmonkeyCompl!K13),ISNUMBER([2]DFsmonkeyCompl!K13)),[2]DFsmonkeyCompl!K13,"")</f>
        <v>Generali Real Estate Debt Investment Fund</v>
      </c>
      <c r="C12" s="7">
        <v>19302</v>
      </c>
      <c r="D12" s="6" t="str">
        <f>INDEX([2]DebtFundUniverse!$B$2:$EU$200,MATCH(DFanalysis6[[#This Row],[ID]],[2]DebtFundUniverse!$A$2:$A$200,0),MATCH(DFanalysis6[[#Headers],[Loan Strategy]],[2]DebtFundUniverse!$B$1:$EU$1,0))</f>
        <v>Mixed: Senior+Subordinated</v>
      </c>
      <c r="E12" s="6" t="str">
        <f>INDEX([2]DebtFundUniverse!$B$2:$EU$200,MATCH(DFanalysis6[[#This Row],[ID]],[2]DebtFundUniverse!$A$2:$A$200,0),MATCH(DFanalysis6[[#Headers],[Target Regional Strategy]],[2]DebtFundUniverse!$B$1:$EU$1,0))</f>
        <v>Europe</v>
      </c>
      <c r="F12" s="6" t="str">
        <f>INDEX([2]DebtFundUniverse!$B$2:$EU$200,MATCH(DFanalysis6[[#This Row],[ID]],[2]DebtFundUniverse!$A$2:$A$200,0),MATCH(DFanalysis6[[#Headers],[Vehicle Structure]],[2]DebtFundUniverse!$B$1:$EU$1,0))</f>
        <v>Closed end</v>
      </c>
      <c r="G12" s="6">
        <f>INDEX([2]DebtFundUniverse!$B$2:$EU$200,MATCH(DFanalysis6[[#This Row],[ID]],[2]DebtFundUniverse!$A$2:$A$200,0),MATCH(DFanalysis6[[#Headers],[year of first closing]],[2]DebtFundUniverse!$B$1:$EU$1,0))</f>
        <v>2019</v>
      </c>
      <c r="H12" s="6" t="str">
        <f>IF(ISBLANK([2]DFsmonkeyCompl!L13),"",[2]DFsmonkeyCompl!L13)</f>
        <v>Yes</v>
      </c>
      <c r="I12" s="6" t="str">
        <f>IF(ISBLANK([2]DFsmonkeyCompl!M13),"",[2]DFsmonkeyCompl!M13)</f>
        <v/>
      </c>
      <c r="J12" s="6" t="str">
        <f>IF(ISBLANK([2]DFsmonkeyCompl!N13),"",[2]DFsmonkeyCompl!N13)</f>
        <v/>
      </c>
      <c r="K12" s="6" t="str">
        <f>INDEX([2]DebtFundUniverse!$B$2:$EU$200,MATCH(DFanalysis6[[#This Row],[ID]],[2]DebtFundUniverse!$A$2:$A$200,0),MATCH(DFanalysis6[[#Headers],[Currency of Reporting]],[2]DebtFundUniverse!$B$1:$EU$1,0))</f>
        <v>EUR</v>
      </c>
      <c r="L12" s="8">
        <f>VLOOKUP(DFanalysis6[[#This Row],[Currency of Reporting]],'[2]Xrate31.12.20'!$K$1:$M$25,3,0)</f>
        <v>1</v>
      </c>
      <c r="M12" s="8">
        <f>IFERROR(IF(ISBLANK([2]DFsmonkeyCompl!O13),"",[2]DFsmonkeyCompl!O13*DFanalysis6[[#This Row],[EUR]]),"")</f>
        <v>214</v>
      </c>
      <c r="N12" s="8" t="str">
        <f>IFERROR(IF(ISBLANK([2]DFsmonkeyCompl!P13),"",[2]DFsmonkeyCompl!P13*DFanalysis6[[#This Row],[EUR]]),"")</f>
        <v/>
      </c>
      <c r="O12" s="8">
        <f>IFERROR(IF(ISBLANK([2]DFsmonkeyCompl!Q13),"",[2]DFsmonkeyCompl!Q13*DFanalysis6[[#This Row],[EUR]]),"")</f>
        <v>214</v>
      </c>
      <c r="P12" s="8" t="str">
        <f>IFERROR(IF(ISBLANK([2]DFsmonkeyCompl!R13),"",[2]DFsmonkeyCompl!R13*DFanalysis6[[#This Row],[EUR]]),"")</f>
        <v/>
      </c>
      <c r="Q12" s="8" t="str">
        <f>IFERROR(IF(ISBLANK([2]DFsmonkeyCompl!S13),"",[2]DFsmonkeyCompl!S13*DFanalysis6[[#This Row],[EUR]]),"")</f>
        <v/>
      </c>
      <c r="R12" s="8" t="str">
        <f>IFERROR(IF(ISBLANK([2]DFsmonkeyCompl!T13),"",[2]DFsmonkeyCompl!T13*DFanalysis6[[#This Row],[EUR]]),"")</f>
        <v/>
      </c>
      <c r="S12" s="8" t="str">
        <f>IFERROR(IF(ISBLANK([2]DFsmonkeyCompl!U13),"",[2]DFsmonkeyCompl!U13*DFanalysis6[[#This Row],[EUR]]),"")</f>
        <v/>
      </c>
      <c r="T12" s="8" t="str">
        <f>IFERROR(IF(ISBLANK([2]DFsmonkeyCompl!V13),"",[2]DFsmonkeyCompl!V13*DFanalysis6[[#This Row],[EUR]]),"")</f>
        <v/>
      </c>
      <c r="U12" s="8" t="str">
        <f>IFERROR(IF(ISBLANK([2]DFsmonkeyCompl!W13),"",[2]DFsmonkeyCompl!W13*DFanalysis6[[#This Row],[EUR]]),"")</f>
        <v/>
      </c>
      <c r="V12" s="8">
        <f>IFERROR(IF(ISBLANK([2]DFsmonkeyCompl!X13),"",[2]DFsmonkeyCompl!X13*DFanalysis6[[#This Row],[EUR]]),"")</f>
        <v>214</v>
      </c>
      <c r="W12" s="8" t="str">
        <f>IFERROR(IF(ISBLANK([2]DFsmonkeyCompl!Y13),"",[2]DFsmonkeyCompl!Y13*DFanalysis6[[#This Row],[EUR]]),"")</f>
        <v/>
      </c>
      <c r="X12" s="8" t="str">
        <f>IFERROR(IF(ISBLANK([2]DFsmonkeyCompl!Z13),"",[2]DFsmonkeyCompl!Z13*DFanalysis6[[#This Row],[EUR]]),"")</f>
        <v/>
      </c>
      <c r="Y12" s="8" t="str">
        <f>IFERROR(IF(ISBLANK([2]DFsmonkeyCompl!AA13),"",[2]DFsmonkeyCompl!AA13*DFanalysis6[[#This Row],[EUR]]),"")</f>
        <v/>
      </c>
      <c r="Z12" s="8" t="str">
        <f>IFERROR(IF(ISBLANK([2]DFsmonkeyCompl!AB13),"",[2]DFsmonkeyCompl!AB13*DFanalysis6[[#This Row],[EUR]]),"")</f>
        <v/>
      </c>
      <c r="AA12" s="8" t="str">
        <f>IF(ISBLANK([2]DFsmonkeyCompl!AC13),"",[2]DFsmonkeyCompl!AC13)</f>
        <v/>
      </c>
      <c r="AB12" s="8" t="str">
        <f>IF(ISBLANK([2]DFsmonkeyCompl!AD13),"",[2]DFsmonkeyCompl!AD13)</f>
        <v/>
      </c>
      <c r="AC12" s="8">
        <f>IF(ISBLANK([2]DFsmonkeyCompl!AE13),"",[2]DFsmonkeyCompl!AE13)</f>
        <v>100</v>
      </c>
      <c r="AD12" s="8" t="str">
        <f>IF(ISBLANK([2]DFsmonkeyCompl!AF13),"",[2]DFsmonkeyCompl!AF13)</f>
        <v/>
      </c>
      <c r="AE12" s="8" t="str">
        <f>IF(ISBLANK([2]DFsmonkeyCompl!AG13),"",[2]DFsmonkeyCompl!AG13)</f>
        <v/>
      </c>
      <c r="AF12" s="8" t="str">
        <f>IF(ISBLANK([2]DFsmonkeyCompl!AH13),"",[2]DFsmonkeyCompl!AH13)</f>
        <v/>
      </c>
      <c r="AG12" s="8">
        <f>IFERROR(INDEX([2]DebtFundUniverse!$B$2:$EU$700,MATCH($C12,[2]DebtFundUniverse!$A$2:$A$700,0),MATCH($AG$1,[2]DebtFundUniverse!$B$1:$EU$1,0)),"")</f>
        <v>1500000000</v>
      </c>
      <c r="AH12" s="36">
        <f>IFERROR(INDEX([2]DebtFundUniverse!$B$2:$EU$700,MATCH($C12,[2]DebtFundUniverse!$A$2:$A$700,0),MATCH($AH$1,[2]DebtFundUniverse!$B$1:$EU$1,0)),"")</f>
        <v>1500000000</v>
      </c>
    </row>
    <row r="13" spans="1:34" x14ac:dyDescent="0.2">
      <c r="A13" s="5" t="str">
        <f>IF(OR(ISTEXT([2]DFsmonkeyCompl!J14),ISNUMBER([2]DFsmonkeyCompl!J14)),[2]DFsmonkeyCompl!J14,"")</f>
        <v xml:space="preserve">DRC Capital </v>
      </c>
      <c r="B13" s="6" t="str">
        <f>IF(OR(ISTEXT([2]DFsmonkeyCompl!K14),ISNUMBER([2]DFsmonkeyCompl!K14)),[2]DFsmonkeyCompl!K14,"")</f>
        <v>European Real Estate Senior Debt 6</v>
      </c>
      <c r="C13" s="7" t="e" cm="1">
        <f t="array" ref="C13">INDEX([2]DebtFundUniverse!$A$85:$A$95,MATCH(B13,[2]DebtFundUniverse!$B$85:$B$95,0),0)</f>
        <v>#N/A</v>
      </c>
      <c r="D13" s="6" t="e">
        <f>INDEX([2]DebtFundUniverse!$B$2:$EU$200,MATCH(DFanalysis6[[#This Row],[ID]],[2]DebtFundUniverse!$A$2:$A$200,0),MATCH(DFanalysis6[[#Headers],[Loan Strategy]],[2]DebtFundUniverse!$B$1:$EU$1,0))</f>
        <v>#N/A</v>
      </c>
      <c r="E13" s="6" t="e">
        <f>INDEX([2]DebtFundUniverse!$B$2:$EU$200,MATCH(DFanalysis6[[#This Row],[ID]],[2]DebtFundUniverse!$A$2:$A$200,0),MATCH(DFanalysis6[[#Headers],[Target Regional Strategy]],[2]DebtFundUniverse!$B$1:$EU$1,0))</f>
        <v>#N/A</v>
      </c>
      <c r="F13" s="6" t="e">
        <f>INDEX([2]DebtFundUniverse!$B$2:$EU$200,MATCH(DFanalysis6[[#This Row],[ID]],[2]DebtFundUniverse!$A$2:$A$200,0),MATCH(DFanalysis6[[#Headers],[Vehicle Structure]],[2]DebtFundUniverse!$B$1:$EU$1,0))</f>
        <v>#N/A</v>
      </c>
      <c r="G13" s="6" t="e">
        <f>INDEX([2]DebtFundUniverse!$B$2:$EU$200,MATCH(DFanalysis6[[#This Row],[ID]],[2]DebtFundUniverse!$A$2:$A$200,0),MATCH(DFanalysis6[[#Headers],[year of first closing]],[2]DebtFundUniverse!$B$1:$EU$1,0))</f>
        <v>#N/A</v>
      </c>
      <c r="H13" s="6" t="str">
        <f>IF(ISBLANK([2]DFsmonkeyCompl!L14),"",[2]DFsmonkeyCompl!L14)</f>
        <v>Yes</v>
      </c>
      <c r="I13" s="6" t="str">
        <f>IF(ISBLANK([2]DFsmonkeyCompl!M14),"",[2]DFsmonkeyCompl!M14)</f>
        <v/>
      </c>
      <c r="J13" s="6" t="str">
        <f>IF(ISBLANK([2]DFsmonkeyCompl!N14),"",[2]DFsmonkeyCompl!N14)</f>
        <v/>
      </c>
      <c r="K13" s="6" t="e">
        <f>INDEX([2]DebtFundUniverse!$B$2:$EU$200,MATCH(DFanalysis6[[#This Row],[ID]],[2]DebtFundUniverse!$A$2:$A$200,0),MATCH(DFanalysis6[[#Headers],[Currency of Reporting]],[2]DebtFundUniverse!$B$1:$EU$1,0))</f>
        <v>#N/A</v>
      </c>
      <c r="L13" s="8" t="e">
        <f>VLOOKUP(DFanalysis6[[#This Row],[Currency of Reporting]],'[2]Xrate31.12.20'!$K$1:$M$25,3,0)</f>
        <v>#N/A</v>
      </c>
      <c r="M13" s="8" t="str">
        <f>IFERROR(IF(ISBLANK([2]DFsmonkeyCompl!O14),"",[2]DFsmonkeyCompl!O14*DFanalysis6[[#This Row],[EUR]]),"")</f>
        <v/>
      </c>
      <c r="N13" s="8" t="str">
        <f>IFERROR(IF(ISBLANK([2]DFsmonkeyCompl!P14),"",[2]DFsmonkeyCompl!P14*DFanalysis6[[#This Row],[EUR]]),"")</f>
        <v/>
      </c>
      <c r="O13" s="8" t="str">
        <f>IFERROR(IF(ISBLANK([2]DFsmonkeyCompl!Q14),"",[2]DFsmonkeyCompl!Q14*DFanalysis6[[#This Row],[EUR]]),"")</f>
        <v/>
      </c>
      <c r="P13" s="8" t="str">
        <f>IFERROR(IF(ISBLANK([2]DFsmonkeyCompl!R14),"",[2]DFsmonkeyCompl!R14*DFanalysis6[[#This Row],[EUR]]),"")</f>
        <v/>
      </c>
      <c r="Q13" s="8" t="str">
        <f>IFERROR(IF(ISBLANK([2]DFsmonkeyCompl!S14),"",[2]DFsmonkeyCompl!S14*DFanalysis6[[#This Row],[EUR]]),"")</f>
        <v/>
      </c>
      <c r="R13" s="8" t="str">
        <f>IFERROR(IF(ISBLANK([2]DFsmonkeyCompl!T14),"",[2]DFsmonkeyCompl!T14*DFanalysis6[[#This Row],[EUR]]),"")</f>
        <v/>
      </c>
      <c r="S13" s="8" t="str">
        <f>IFERROR(IF(ISBLANK([2]DFsmonkeyCompl!U14),"",[2]DFsmonkeyCompl!U14*DFanalysis6[[#This Row],[EUR]]),"")</f>
        <v/>
      </c>
      <c r="T13" s="8" t="str">
        <f>IFERROR(IF(ISBLANK([2]DFsmonkeyCompl!V14),"",[2]DFsmonkeyCompl!V14*DFanalysis6[[#This Row],[EUR]]),"")</f>
        <v/>
      </c>
      <c r="U13" s="8" t="str">
        <f>IFERROR(IF(ISBLANK([2]DFsmonkeyCompl!W14),"",[2]DFsmonkeyCompl!W14*DFanalysis6[[#This Row],[EUR]]),"")</f>
        <v/>
      </c>
      <c r="V13" s="8" t="str">
        <f>IFERROR(IF(ISBLANK([2]DFsmonkeyCompl!X14),"",[2]DFsmonkeyCompl!X14*DFanalysis6[[#This Row],[EUR]]),"")</f>
        <v/>
      </c>
      <c r="W13" s="8" t="str">
        <f>IFERROR(IF(ISBLANK([2]DFsmonkeyCompl!Y14),"",[2]DFsmonkeyCompl!Y14*DFanalysis6[[#This Row],[EUR]]),"")</f>
        <v/>
      </c>
      <c r="X13" s="8" t="str">
        <f>IFERROR(IF(ISBLANK([2]DFsmonkeyCompl!Z14),"",[2]DFsmonkeyCompl!Z14*DFanalysis6[[#This Row],[EUR]]),"")</f>
        <v/>
      </c>
      <c r="Y13" s="8" t="str">
        <f>IFERROR(IF(ISBLANK([2]DFsmonkeyCompl!AA14),"",[2]DFsmonkeyCompl!AA14*DFanalysis6[[#This Row],[EUR]]),"")</f>
        <v/>
      </c>
      <c r="Z13" s="8" t="str">
        <f>IFERROR(IF(ISBLANK([2]DFsmonkeyCompl!AB14),"",[2]DFsmonkeyCompl!AB14*DFanalysis6[[#This Row],[EUR]]),"")</f>
        <v/>
      </c>
      <c r="AA13" s="8" t="str">
        <f>IF(ISBLANK([2]DFsmonkeyCompl!AC14),"",[2]DFsmonkeyCompl!AC14)</f>
        <v/>
      </c>
      <c r="AB13" s="8">
        <f>IF(ISBLANK([2]DFsmonkeyCompl!AD14),"",[2]DFsmonkeyCompl!AD14)</f>
        <v>100</v>
      </c>
      <c r="AC13" s="8" t="str">
        <f>IF(ISBLANK([2]DFsmonkeyCompl!AE14),"",[2]DFsmonkeyCompl!AE14)</f>
        <v/>
      </c>
      <c r="AD13" s="8" t="str">
        <f>IF(ISBLANK([2]DFsmonkeyCompl!AF14),"",[2]DFsmonkeyCompl!AF14)</f>
        <v/>
      </c>
      <c r="AE13" s="8" t="str">
        <f>IF(ISBLANK([2]DFsmonkeyCompl!AG14),"",[2]DFsmonkeyCompl!AG14)</f>
        <v>Increase</v>
      </c>
      <c r="AF13" s="8" t="str">
        <f>IF(ISBLANK([2]DFsmonkeyCompl!AH14),"",[2]DFsmonkeyCompl!AH14)</f>
        <v>Yes</v>
      </c>
      <c r="AG13" s="8" t="str">
        <f>IFERROR(INDEX([2]DebtFundUniverse!$B$2:$EU$700,MATCH($C13,[2]DebtFundUniverse!$A$2:$A$700,0),MATCH($AG$1,[2]DebtFundUniverse!$B$1:$EU$1,0)),"")</f>
        <v/>
      </c>
      <c r="AH13" s="36" t="str">
        <f>IFERROR(INDEX([2]DebtFundUniverse!$B$2:$EU$700,MATCH($C13,[2]DebtFundUniverse!$A$2:$A$700,0),MATCH($AH$1,[2]DebtFundUniverse!$B$1:$EU$1,0)),"")</f>
        <v/>
      </c>
    </row>
    <row r="14" spans="1:34" x14ac:dyDescent="0.2">
      <c r="A14" s="5" t="str">
        <f>IF(OR(ISTEXT([2]DFsmonkeyCompl!J15),ISNUMBER([2]DFsmonkeyCompl!J15)),[2]DFsmonkeyCompl!J15,"")</f>
        <v xml:space="preserve">DRC Capital </v>
      </c>
      <c r="B14" s="6" t="str">
        <f>IF(OR(ISTEXT([2]DFsmonkeyCompl!K15),ISNUMBER([2]DFsmonkeyCompl!K15)),[2]DFsmonkeyCompl!K15,"")</f>
        <v>DRC European Real Estate Senior Debt 4</v>
      </c>
      <c r="C14" s="7" cm="1">
        <f t="array" ref="C14">INDEX([2]DebtFundUniverse!$A$85:$A$95,MATCH(B14,[2]DebtFundUniverse!$B$85:$B$95,0),0)</f>
        <v>105974</v>
      </c>
      <c r="D14" s="6" t="str">
        <f>INDEX([2]DebtFundUniverse!$B$2:$EU$200,MATCH(DFanalysis6[[#This Row],[ID]],[2]DebtFundUniverse!$A$2:$A$200,0),MATCH(DFanalysis6[[#Headers],[Loan Strategy]],[2]DebtFundUniverse!$B$1:$EU$1,0))</f>
        <v>Whole Loans</v>
      </c>
      <c r="E14" s="6" t="str">
        <f>INDEX([2]DebtFundUniverse!$B$2:$EU$200,MATCH(DFanalysis6[[#This Row],[ID]],[2]DebtFundUniverse!$A$2:$A$200,0),MATCH(DFanalysis6[[#Headers],[Target Regional Strategy]],[2]DebtFundUniverse!$B$1:$EU$1,0))</f>
        <v>Europe</v>
      </c>
      <c r="F14" s="6" t="str">
        <f>INDEX([2]DebtFundUniverse!$B$2:$EU$200,MATCH(DFanalysis6[[#This Row],[ID]],[2]DebtFundUniverse!$A$2:$A$200,0),MATCH(DFanalysis6[[#Headers],[Vehicle Structure]],[2]DebtFundUniverse!$B$1:$EU$1,0))</f>
        <v>Closed end</v>
      </c>
      <c r="G14" s="6">
        <f>INDEX([2]DebtFundUniverse!$B$2:$EU$200,MATCH(DFanalysis6[[#This Row],[ID]],[2]DebtFundUniverse!$A$2:$A$200,0),MATCH(DFanalysis6[[#Headers],[year of first closing]],[2]DebtFundUniverse!$B$1:$EU$1,0))</f>
        <v>2019</v>
      </c>
      <c r="H14" s="6" t="str">
        <f>IF(ISBLANK([2]DFsmonkeyCompl!L15),"",[2]DFsmonkeyCompl!L15)</f>
        <v>Yes</v>
      </c>
      <c r="I14" s="6" t="str">
        <f>IF(ISBLANK([2]DFsmonkeyCompl!M15),"",[2]DFsmonkeyCompl!M15)</f>
        <v/>
      </c>
      <c r="J14" s="6" t="str">
        <f>IF(ISBLANK([2]DFsmonkeyCompl!N15),"",[2]DFsmonkeyCompl!N15)</f>
        <v/>
      </c>
      <c r="K14" s="6" t="str">
        <f>INDEX([2]DebtFundUniverse!$B$2:$EU$200,MATCH(DFanalysis6[[#This Row],[ID]],[2]DebtFundUniverse!$A$2:$A$200,0),MATCH(DFanalysis6[[#Headers],[Currency of Reporting]],[2]DebtFundUniverse!$B$1:$EU$1,0))</f>
        <v>GBP</v>
      </c>
      <c r="L14" s="8">
        <f>VLOOKUP(DFanalysis6[[#This Row],[Currency of Reporting]],'[2]Xrate31.12.20'!$K$1:$M$25,3,0)</f>
        <v>1.1130927885999999</v>
      </c>
      <c r="M14" s="8">
        <f>IFERROR(IF(ISBLANK([2]DFsmonkeyCompl!O15),"",[2]DFsmonkeyCompl!O15*DFanalysis6[[#This Row],[EUR]]),"")</f>
        <v>111.30927885999999</v>
      </c>
      <c r="N14" s="8">
        <f>IFERROR(IF(ISBLANK([2]DFsmonkeyCompl!P15),"",[2]DFsmonkeyCompl!P15*DFanalysis6[[#This Row],[EUR]]),"")</f>
        <v>111.30927885999999</v>
      </c>
      <c r="O14" s="8" t="str">
        <f>IFERROR(IF(ISBLANK([2]DFsmonkeyCompl!Q15),"",[2]DFsmonkeyCompl!Q15*DFanalysis6[[#This Row],[EUR]]),"")</f>
        <v/>
      </c>
      <c r="P14" s="8" t="str">
        <f>IFERROR(IF(ISBLANK([2]DFsmonkeyCompl!R15),"",[2]DFsmonkeyCompl!R15*DFanalysis6[[#This Row],[EUR]]),"")</f>
        <v/>
      </c>
      <c r="Q14" s="8" t="str">
        <f>IFERROR(IF(ISBLANK([2]DFsmonkeyCompl!S15),"",[2]DFsmonkeyCompl!S15*DFanalysis6[[#This Row],[EUR]]),"")</f>
        <v/>
      </c>
      <c r="R14" s="8" t="str">
        <f>IFERROR(IF(ISBLANK([2]DFsmonkeyCompl!T15),"",[2]DFsmonkeyCompl!T15*DFanalysis6[[#This Row],[EUR]]),"")</f>
        <v/>
      </c>
      <c r="S14" s="8" t="str">
        <f>IFERROR(IF(ISBLANK([2]DFsmonkeyCompl!U15),"",[2]DFsmonkeyCompl!U15*DFanalysis6[[#This Row],[EUR]]),"")</f>
        <v/>
      </c>
      <c r="T14" s="8" t="str">
        <f>IFERROR(IF(ISBLANK([2]DFsmonkeyCompl!V15),"",[2]DFsmonkeyCompl!V15*DFanalysis6[[#This Row],[EUR]]),"")</f>
        <v/>
      </c>
      <c r="U14" s="8" t="str">
        <f>IFERROR(IF(ISBLANK([2]DFsmonkeyCompl!W15),"",[2]DFsmonkeyCompl!W15*DFanalysis6[[#This Row],[EUR]]),"")</f>
        <v/>
      </c>
      <c r="V14" s="8">
        <f>IFERROR(IF(ISBLANK([2]DFsmonkeyCompl!X15),"",[2]DFsmonkeyCompl!X15*DFanalysis6[[#This Row],[EUR]]),"")</f>
        <v>111.30927885999999</v>
      </c>
      <c r="W14" s="8" t="str">
        <f>IFERROR(IF(ISBLANK([2]DFsmonkeyCompl!Y15),"",[2]DFsmonkeyCompl!Y15*DFanalysis6[[#This Row],[EUR]]),"")</f>
        <v/>
      </c>
      <c r="X14" s="8" t="str">
        <f>IFERROR(IF(ISBLANK([2]DFsmonkeyCompl!Z15),"",[2]DFsmonkeyCompl!Z15*DFanalysis6[[#This Row],[EUR]]),"")</f>
        <v/>
      </c>
      <c r="Y14" s="8" t="str">
        <f>IFERROR(IF(ISBLANK([2]DFsmonkeyCompl!AA15),"",[2]DFsmonkeyCompl!AA15*DFanalysis6[[#This Row],[EUR]]),"")</f>
        <v/>
      </c>
      <c r="Z14" s="8" t="str">
        <f>IFERROR(IF(ISBLANK([2]DFsmonkeyCompl!AB15),"",[2]DFsmonkeyCompl!AB15*DFanalysis6[[#This Row],[EUR]]),"")</f>
        <v/>
      </c>
      <c r="AA14" s="8" t="str">
        <f>IF(ISBLANK([2]DFsmonkeyCompl!AC15),"",[2]DFsmonkeyCompl!AC15)</f>
        <v/>
      </c>
      <c r="AB14" s="8" t="str">
        <f>IF(ISBLANK([2]DFsmonkeyCompl!AD15),"",[2]DFsmonkeyCompl!AD15)</f>
        <v/>
      </c>
      <c r="AC14" s="8">
        <f>IF(ISBLANK([2]DFsmonkeyCompl!AE15),"",[2]DFsmonkeyCompl!AE15)</f>
        <v>100</v>
      </c>
      <c r="AD14" s="8" t="str">
        <f>IF(ISBLANK([2]DFsmonkeyCompl!AF15),"",[2]DFsmonkeyCompl!AF15)</f>
        <v/>
      </c>
      <c r="AE14" s="8" t="str">
        <f>IF(ISBLANK([2]DFsmonkeyCompl!AG15),"",[2]DFsmonkeyCompl!AG15)</f>
        <v>Increase</v>
      </c>
      <c r="AF14" s="8" t="str">
        <f>IF(ISBLANK([2]DFsmonkeyCompl!AH15),"",[2]DFsmonkeyCompl!AH15)</f>
        <v>Yes</v>
      </c>
      <c r="AG14" s="8">
        <f>IFERROR(INDEX([2]DebtFundUniverse!$B$2:$EU$700,MATCH($C14,[2]DebtFundUniverse!$A$2:$A$700,0),MATCH($AG$1,[2]DebtFundUniverse!$B$1:$EU$1,0)),"")</f>
        <v>558460000</v>
      </c>
      <c r="AH14" s="36">
        <f>IFERROR(INDEX([2]DebtFundUniverse!$B$2:$EU$700,MATCH($C14,[2]DebtFundUniverse!$A$2:$A$700,0),MATCH($AH$1,[2]DebtFundUniverse!$B$1:$EU$1,0)),"")</f>
        <v>0</v>
      </c>
    </row>
    <row r="15" spans="1:34" x14ac:dyDescent="0.2">
      <c r="A15" s="5" t="str">
        <f>IF(OR(ISTEXT([2]DFsmonkeyCompl!J16),ISNUMBER([2]DFsmonkeyCompl!J16)),[2]DFsmonkeyCompl!J16,"")</f>
        <v xml:space="preserve">DRC Capital </v>
      </c>
      <c r="B15" s="6" t="str">
        <f>IF(OR(ISTEXT([2]DFsmonkeyCompl!K16),ISNUMBER([2]DFsmonkeyCompl!K16)),[2]DFsmonkeyCompl!K16,"")</f>
        <v>DRC UK Whole Loan Fund II</v>
      </c>
      <c r="C15" s="7" cm="1">
        <f t="array" ref="C15">INDEX([2]DebtFundUniverse!$A$85:$A$95,MATCH(B15,[2]DebtFundUniverse!$B$85:$B$95,0),0)</f>
        <v>120207</v>
      </c>
      <c r="D15" s="6" t="str">
        <f>INDEX([2]DebtFundUniverse!$B$2:$EU$200,MATCH(DFanalysis6[[#This Row],[ID]],[2]DebtFundUniverse!$A$2:$A$200,0),MATCH(DFanalysis6[[#Headers],[Loan Strategy]],[2]DebtFundUniverse!$B$1:$EU$1,0))</f>
        <v>Whole Loans</v>
      </c>
      <c r="E15" s="6" t="str">
        <f>INDEX([2]DebtFundUniverse!$B$2:$EU$200,MATCH(DFanalysis6[[#This Row],[ID]],[2]DebtFundUniverse!$A$2:$A$200,0),MATCH(DFanalysis6[[#Headers],[Target Regional Strategy]],[2]DebtFundUniverse!$B$1:$EU$1,0))</f>
        <v>Europe</v>
      </c>
      <c r="F15" s="6" t="str">
        <f>INDEX([2]DebtFundUniverse!$B$2:$EU$200,MATCH(DFanalysis6[[#This Row],[ID]],[2]DebtFundUniverse!$A$2:$A$200,0),MATCH(DFanalysis6[[#Headers],[Vehicle Structure]],[2]DebtFundUniverse!$B$1:$EU$1,0))</f>
        <v>Closed end</v>
      </c>
      <c r="G15" s="6">
        <f>INDEX([2]DebtFundUniverse!$B$2:$EU$200,MATCH(DFanalysis6[[#This Row],[ID]],[2]DebtFundUniverse!$A$2:$A$200,0),MATCH(DFanalysis6[[#Headers],[year of first closing]],[2]DebtFundUniverse!$B$1:$EU$1,0))</f>
        <v>2020</v>
      </c>
      <c r="H15" s="6" t="str">
        <f>IF(ISBLANK([2]DFsmonkeyCompl!L16),"",[2]DFsmonkeyCompl!L16)</f>
        <v>Yes</v>
      </c>
      <c r="I15" s="6" t="str">
        <f>IF(ISBLANK([2]DFsmonkeyCompl!M16),"",[2]DFsmonkeyCompl!M16)</f>
        <v/>
      </c>
      <c r="J15" s="6" t="str">
        <f>IF(ISBLANK([2]DFsmonkeyCompl!N16),"",[2]DFsmonkeyCompl!N16)</f>
        <v/>
      </c>
      <c r="K15" s="6" t="str">
        <f>INDEX([2]DebtFundUniverse!$B$2:$EU$200,MATCH(DFanalysis6[[#This Row],[ID]],[2]DebtFundUniverse!$A$2:$A$200,0),MATCH(DFanalysis6[[#Headers],[Currency of Reporting]],[2]DebtFundUniverse!$B$1:$EU$1,0))</f>
        <v>GBP</v>
      </c>
      <c r="L15" s="8">
        <f>VLOOKUP(DFanalysis6[[#This Row],[Currency of Reporting]],'[2]Xrate31.12.20'!$K$1:$M$25,3,0)</f>
        <v>1.1130927885999999</v>
      </c>
      <c r="M15" s="8">
        <f>IFERROR(IF(ISBLANK([2]DFsmonkeyCompl!O16),"",[2]DFsmonkeyCompl!O16*DFanalysis6[[#This Row],[EUR]]),"")</f>
        <v>161.39845434699998</v>
      </c>
      <c r="N15" s="8">
        <f>IFERROR(IF(ISBLANK([2]DFsmonkeyCompl!P16),"",[2]DFsmonkeyCompl!P16*DFanalysis6[[#This Row],[EUR]]),"")</f>
        <v>161.39845434699998</v>
      </c>
      <c r="O15" s="8" t="str">
        <f>IFERROR(IF(ISBLANK([2]DFsmonkeyCompl!Q16),"",[2]DFsmonkeyCompl!Q16*DFanalysis6[[#This Row],[EUR]]),"")</f>
        <v/>
      </c>
      <c r="P15" s="8" t="str">
        <f>IFERROR(IF(ISBLANK([2]DFsmonkeyCompl!R16),"",[2]DFsmonkeyCompl!R16*DFanalysis6[[#This Row],[EUR]]),"")</f>
        <v/>
      </c>
      <c r="Q15" s="8" t="str">
        <f>IFERROR(IF(ISBLANK([2]DFsmonkeyCompl!S16),"",[2]DFsmonkeyCompl!S16*DFanalysis6[[#This Row],[EUR]]),"")</f>
        <v/>
      </c>
      <c r="R15" s="8" t="str">
        <f>IFERROR(IF(ISBLANK([2]DFsmonkeyCompl!T16),"",[2]DFsmonkeyCompl!T16*DFanalysis6[[#This Row],[EUR]]),"")</f>
        <v/>
      </c>
      <c r="S15" s="8" t="str">
        <f>IFERROR(IF(ISBLANK([2]DFsmonkeyCompl!U16),"",[2]DFsmonkeyCompl!U16*DFanalysis6[[#This Row],[EUR]]),"")</f>
        <v/>
      </c>
      <c r="T15" s="8" t="str">
        <f>IFERROR(IF(ISBLANK([2]DFsmonkeyCompl!V16),"",[2]DFsmonkeyCompl!V16*DFanalysis6[[#This Row],[EUR]]),"")</f>
        <v/>
      </c>
      <c r="U15" s="8" t="str">
        <f>IFERROR(IF(ISBLANK([2]DFsmonkeyCompl!W16),"",[2]DFsmonkeyCompl!W16*DFanalysis6[[#This Row],[EUR]]),"")</f>
        <v/>
      </c>
      <c r="V15" s="8">
        <f>IFERROR(IF(ISBLANK([2]DFsmonkeyCompl!X16),"",[2]DFsmonkeyCompl!X16*DFanalysis6[[#This Row],[EUR]]),"")</f>
        <v>161.39845434699998</v>
      </c>
      <c r="W15" s="8" t="str">
        <f>IFERROR(IF(ISBLANK([2]DFsmonkeyCompl!Y16),"",[2]DFsmonkeyCompl!Y16*DFanalysis6[[#This Row],[EUR]]),"")</f>
        <v/>
      </c>
      <c r="X15" s="8" t="str">
        <f>IFERROR(IF(ISBLANK([2]DFsmonkeyCompl!Z16),"",[2]DFsmonkeyCompl!Z16*DFanalysis6[[#This Row],[EUR]]),"")</f>
        <v/>
      </c>
      <c r="Y15" s="8" t="str">
        <f>IFERROR(IF(ISBLANK([2]DFsmonkeyCompl!AA16),"",[2]DFsmonkeyCompl!AA16*DFanalysis6[[#This Row],[EUR]]),"")</f>
        <v/>
      </c>
      <c r="Z15" s="8" t="str">
        <f>IFERROR(IF(ISBLANK([2]DFsmonkeyCompl!AB16),"",[2]DFsmonkeyCompl!AB16*DFanalysis6[[#This Row],[EUR]]),"")</f>
        <v/>
      </c>
      <c r="AA15" s="8" t="str">
        <f>IF(ISBLANK([2]DFsmonkeyCompl!AC16),"",[2]DFsmonkeyCompl!AC16)</f>
        <v/>
      </c>
      <c r="AB15" s="8" t="str">
        <f>IF(ISBLANK([2]DFsmonkeyCompl!AD16),"",[2]DFsmonkeyCompl!AD16)</f>
        <v/>
      </c>
      <c r="AC15" s="8">
        <f>IF(ISBLANK([2]DFsmonkeyCompl!AE16),"",[2]DFsmonkeyCompl!AE16)</f>
        <v>100</v>
      </c>
      <c r="AD15" s="8" t="str">
        <f>IF(ISBLANK([2]DFsmonkeyCompl!AF16),"",[2]DFsmonkeyCompl!AF16)</f>
        <v/>
      </c>
      <c r="AE15" s="8" t="str">
        <f>IF(ISBLANK([2]DFsmonkeyCompl!AG16),"",[2]DFsmonkeyCompl!AG16)</f>
        <v>Increase</v>
      </c>
      <c r="AF15" s="8" t="str">
        <f>IF(ISBLANK([2]DFsmonkeyCompl!AH16),"",[2]DFsmonkeyCompl!AH16)</f>
        <v>Yes</v>
      </c>
      <c r="AG15" s="8">
        <f>IFERROR(INDEX([2]DebtFundUniverse!$B$2:$EU$700,MATCH($C15,[2]DebtFundUniverse!$A$2:$A$700,0),MATCH($AG$1,[2]DebtFundUniverse!$B$1:$EU$1,0)),"")</f>
        <v>555060000</v>
      </c>
      <c r="AH15" s="36">
        <f>IFERROR(INDEX([2]DebtFundUniverse!$B$2:$EU$700,MATCH($C15,[2]DebtFundUniverse!$A$2:$A$700,0),MATCH($AH$1,[2]DebtFundUniverse!$B$1:$EU$1,0)),"")</f>
        <v>0</v>
      </c>
    </row>
    <row r="16" spans="1:34" x14ac:dyDescent="0.2">
      <c r="A16" s="5" t="str">
        <f>IF(OR(ISTEXT([2]DFsmonkeyCompl!J17),ISNUMBER([2]DFsmonkeyCompl!J17)),[2]DFsmonkeyCompl!J17,"")</f>
        <v xml:space="preserve">DRC Capital </v>
      </c>
      <c r="B16" s="6" t="str">
        <f>IF(OR(ISTEXT([2]DFsmonkeyCompl!K17),ISNUMBER([2]DFsmonkeyCompl!K17)),[2]DFsmonkeyCompl!K17,"")</f>
        <v>DRC European Real Estate Debt Fund IV</v>
      </c>
      <c r="C16" s="7">
        <v>19301</v>
      </c>
      <c r="D16" s="6" t="str">
        <f>INDEX([2]DebtFundUniverse!$B$2:$EU$200,MATCH(DFanalysis6[[#This Row],[ID]],[2]DebtFundUniverse!$A$2:$A$200,0),MATCH(DFanalysis6[[#Headers],[Loan Strategy]],[2]DebtFundUniverse!$B$1:$EU$1,0))</f>
        <v>Mixed: Senior+Subordinated</v>
      </c>
      <c r="E16" s="6" t="str">
        <f>INDEX([2]DebtFundUniverse!$B$2:$EU$200,MATCH(DFanalysis6[[#This Row],[ID]],[2]DebtFundUniverse!$A$2:$A$200,0),MATCH(DFanalysis6[[#Headers],[Target Regional Strategy]],[2]DebtFundUniverse!$B$1:$EU$1,0))</f>
        <v>Europe</v>
      </c>
      <c r="F16" s="6" t="str">
        <f>INDEX([2]DebtFundUniverse!$B$2:$EU$200,MATCH(DFanalysis6[[#This Row],[ID]],[2]DebtFundUniverse!$A$2:$A$200,0),MATCH(DFanalysis6[[#Headers],[Vehicle Structure]],[2]DebtFundUniverse!$B$1:$EU$1,0))</f>
        <v>Closed end</v>
      </c>
      <c r="G16" s="6">
        <f>INDEX([2]DebtFundUniverse!$B$2:$EU$200,MATCH(DFanalysis6[[#This Row],[ID]],[2]DebtFundUniverse!$A$2:$A$200,0),MATCH(DFanalysis6[[#Headers],[year of first closing]],[2]DebtFundUniverse!$B$1:$EU$1,0))</f>
        <v>2019</v>
      </c>
      <c r="H16" s="6" t="str">
        <f>IF(ISBLANK([2]DFsmonkeyCompl!L17),"",[2]DFsmonkeyCompl!L17)</f>
        <v>Yes</v>
      </c>
      <c r="I16" s="6" t="str">
        <f>IF(ISBLANK([2]DFsmonkeyCompl!M17),"",[2]DFsmonkeyCompl!M17)</f>
        <v/>
      </c>
      <c r="J16" s="6" t="str">
        <f>IF(ISBLANK([2]DFsmonkeyCompl!N17),"",[2]DFsmonkeyCompl!N17)</f>
        <v/>
      </c>
      <c r="K16" s="6" t="str">
        <f>INDEX([2]DebtFundUniverse!$B$2:$EU$200,MATCH(DFanalysis6[[#This Row],[ID]],[2]DebtFundUniverse!$A$2:$A$200,0),MATCH(DFanalysis6[[#Headers],[Currency of Reporting]],[2]DebtFundUniverse!$B$1:$EU$1,0))</f>
        <v>GBP</v>
      </c>
      <c r="L16" s="8">
        <f>VLOOKUP(DFanalysis6[[#This Row],[Currency of Reporting]],'[2]Xrate31.12.20'!$K$1:$M$25,3,0)</f>
        <v>1.1130927885999999</v>
      </c>
      <c r="M16" s="8">
        <f>IFERROR(IF(ISBLANK([2]DFsmonkeyCompl!O17),"",[2]DFsmonkeyCompl!O17*DFanalysis6[[#This Row],[EUR]]),"")</f>
        <v>115.76165001439999</v>
      </c>
      <c r="N16" s="8">
        <f>IFERROR(IF(ISBLANK([2]DFsmonkeyCompl!P17),"",[2]DFsmonkeyCompl!P17*DFanalysis6[[#This Row],[EUR]]),"")</f>
        <v>87.934330299399988</v>
      </c>
      <c r="O16" s="8">
        <f>IFERROR(IF(ISBLANK([2]DFsmonkeyCompl!Q17),"",[2]DFsmonkeyCompl!Q17*DFanalysis6[[#This Row],[EUR]]),"")</f>
        <v>27.827319714999998</v>
      </c>
      <c r="P16" s="8" t="str">
        <f>IFERROR(IF(ISBLANK([2]DFsmonkeyCompl!R17),"",[2]DFsmonkeyCompl!R17*DFanalysis6[[#This Row],[EUR]]),"")</f>
        <v/>
      </c>
      <c r="Q16" s="8" t="str">
        <f>IFERROR(IF(ISBLANK([2]DFsmonkeyCompl!S17),"",[2]DFsmonkeyCompl!S17*DFanalysis6[[#This Row],[EUR]]),"")</f>
        <v/>
      </c>
      <c r="R16" s="8" t="str">
        <f>IFERROR(IF(ISBLANK([2]DFsmonkeyCompl!T17),"",[2]DFsmonkeyCompl!T17*DFanalysis6[[#This Row],[EUR]]),"")</f>
        <v/>
      </c>
      <c r="S16" s="8" t="str">
        <f>IFERROR(IF(ISBLANK([2]DFsmonkeyCompl!U17),"",[2]DFsmonkeyCompl!U17*DFanalysis6[[#This Row],[EUR]]),"")</f>
        <v/>
      </c>
      <c r="T16" s="8" t="str">
        <f>IFERROR(IF(ISBLANK([2]DFsmonkeyCompl!V17),"",[2]DFsmonkeyCompl!V17*DFanalysis6[[#This Row],[EUR]]),"")</f>
        <v/>
      </c>
      <c r="U16" s="8" t="str">
        <f>IFERROR(IF(ISBLANK([2]DFsmonkeyCompl!W17),"",[2]DFsmonkeyCompl!W17*DFanalysis6[[#This Row],[EUR]]),"")</f>
        <v/>
      </c>
      <c r="V16" s="8">
        <f>IFERROR(IF(ISBLANK([2]DFsmonkeyCompl!X17),"",[2]DFsmonkeyCompl!X17*DFanalysis6[[#This Row],[EUR]]),"")</f>
        <v>30.053505292199997</v>
      </c>
      <c r="W16" s="8">
        <f>IFERROR(IF(ISBLANK([2]DFsmonkeyCompl!Y17),"",[2]DFsmonkeyCompl!Y17*DFanalysis6[[#This Row],[EUR]]),"")</f>
        <v>85.708144722199989</v>
      </c>
      <c r="X16" s="8" t="str">
        <f>IFERROR(IF(ISBLANK([2]DFsmonkeyCompl!Z17),"",[2]DFsmonkeyCompl!Z17*DFanalysis6[[#This Row],[EUR]]),"")</f>
        <v/>
      </c>
      <c r="Y16" s="8" t="str">
        <f>IFERROR(IF(ISBLANK([2]DFsmonkeyCompl!AA17),"",[2]DFsmonkeyCompl!AA17*DFanalysis6[[#This Row],[EUR]]),"")</f>
        <v/>
      </c>
      <c r="Z16" s="8" t="str">
        <f>IFERROR(IF(ISBLANK([2]DFsmonkeyCompl!AB17),"",[2]DFsmonkeyCompl!AB17*DFanalysis6[[#This Row],[EUR]]),"")</f>
        <v/>
      </c>
      <c r="AA16" s="8">
        <f>IF(ISBLANK([2]DFsmonkeyCompl!AC17),"",[2]DFsmonkeyCompl!AC17)</f>
        <v>74</v>
      </c>
      <c r="AB16" s="8" t="str">
        <f>IF(ISBLANK([2]DFsmonkeyCompl!AD17),"",[2]DFsmonkeyCompl!AD17)</f>
        <v/>
      </c>
      <c r="AC16" s="8">
        <f>IF(ISBLANK([2]DFsmonkeyCompl!AE17),"",[2]DFsmonkeyCompl!AE17)</f>
        <v>26</v>
      </c>
      <c r="AD16" s="8" t="str">
        <f>IF(ISBLANK([2]DFsmonkeyCompl!AF17),"",[2]DFsmonkeyCompl!AF17)</f>
        <v/>
      </c>
      <c r="AE16" s="8" t="str">
        <f>IF(ISBLANK([2]DFsmonkeyCompl!AG17),"",[2]DFsmonkeyCompl!AG17)</f>
        <v>Increase</v>
      </c>
      <c r="AF16" s="8" t="str">
        <f>IF(ISBLANK([2]DFsmonkeyCompl!AH17),"",[2]DFsmonkeyCompl!AH17)</f>
        <v>Yes</v>
      </c>
      <c r="AG16" s="8">
        <f>IFERROR(INDEX([2]DebtFundUniverse!$B$2:$EU$700,MATCH($C16,[2]DebtFundUniverse!$A$2:$A$700,0),MATCH($AG$1,[2]DebtFundUniverse!$B$1:$EU$1,0)),"")</f>
        <v>500000000</v>
      </c>
      <c r="AH16" s="36">
        <f>IFERROR(INDEX([2]DebtFundUniverse!$B$2:$EU$700,MATCH($C16,[2]DebtFundUniverse!$A$2:$A$700,0),MATCH($AH$1,[2]DebtFundUniverse!$B$1:$EU$1,0)),"")</f>
        <v>750000000</v>
      </c>
    </row>
    <row r="17" spans="1:34" x14ac:dyDescent="0.2">
      <c r="A17" s="5" t="str">
        <f>IF(OR(ISTEXT([2]DFsmonkeyCompl!J18),ISNUMBER([2]DFsmonkeyCompl!J18)),[2]DFsmonkeyCompl!J18,"")</f>
        <v>Pluto Finance</v>
      </c>
      <c r="B17" s="6" t="str">
        <f>IF(OR(ISTEXT([2]DFsmonkeyCompl!K18),ISNUMBER([2]DFsmonkeyCompl!K18)),[2]DFsmonkeyCompl!K18,"")</f>
        <v>Fund V</v>
      </c>
      <c r="C17" s="7">
        <v>19296</v>
      </c>
      <c r="D17" s="6" t="str">
        <f>INDEX([2]DebtFundUniverse!$B$2:$EU$200,MATCH(DFanalysis6[[#This Row],[ID]],[2]DebtFundUniverse!$A$2:$A$200,0),MATCH(DFanalysis6[[#Headers],[Loan Strategy]],[2]DebtFundUniverse!$B$1:$EU$1,0))</f>
        <v>Senior</v>
      </c>
      <c r="E17" s="6" t="str">
        <f>INDEX([2]DebtFundUniverse!$B$2:$EU$200,MATCH(DFanalysis6[[#This Row],[ID]],[2]DebtFundUniverse!$A$2:$A$200,0),MATCH(DFanalysis6[[#Headers],[Target Regional Strategy]],[2]DebtFundUniverse!$B$1:$EU$1,0))</f>
        <v>Europe</v>
      </c>
      <c r="F17" s="6" t="str">
        <f>INDEX([2]DebtFundUniverse!$B$2:$EU$200,MATCH(DFanalysis6[[#This Row],[ID]],[2]DebtFundUniverse!$A$2:$A$200,0),MATCH(DFanalysis6[[#Headers],[Vehicle Structure]],[2]DebtFundUniverse!$B$1:$EU$1,0))</f>
        <v>Open end</v>
      </c>
      <c r="G17" s="6">
        <f>INDEX([2]DebtFundUniverse!$B$2:$EU$200,MATCH(DFanalysis6[[#This Row],[ID]],[2]DebtFundUniverse!$A$2:$A$200,0),MATCH(DFanalysis6[[#Headers],[year of first closing]],[2]DebtFundUniverse!$B$1:$EU$1,0))</f>
        <v>2017</v>
      </c>
      <c r="H17" s="6" t="str">
        <f>IF(ISBLANK([2]DFsmonkeyCompl!L18),"",[2]DFsmonkeyCompl!L18)</f>
        <v>Yes</v>
      </c>
      <c r="I17" s="6" t="str">
        <f>IF(ISBLANK([2]DFsmonkeyCompl!M18),"",[2]DFsmonkeyCompl!M18)</f>
        <v/>
      </c>
      <c r="J17" s="6" t="str">
        <f>IF(ISBLANK([2]DFsmonkeyCompl!N18),"",[2]DFsmonkeyCompl!N18)</f>
        <v/>
      </c>
      <c r="K17" s="6" t="str">
        <f>INDEX([2]DebtFundUniverse!$B$2:$EU$200,MATCH(DFanalysis6[[#This Row],[ID]],[2]DebtFundUniverse!$A$2:$A$200,0),MATCH(DFanalysis6[[#Headers],[Currency of Reporting]],[2]DebtFundUniverse!$B$1:$EU$1,0))</f>
        <v>GBP</v>
      </c>
      <c r="L17" s="8">
        <f>VLOOKUP(DFanalysis6[[#This Row],[Currency of Reporting]],'[2]Xrate31.12.20'!$K$1:$M$25,3,0)</f>
        <v>1.1130927885999999</v>
      </c>
      <c r="M17" s="8">
        <f>IFERROR(IF(ISBLANK([2]DFsmonkeyCompl!O18),"",[2]DFsmonkeyCompl!O18*DFanalysis6[[#This Row],[EUR]]),"")</f>
        <v>53.428453852799997</v>
      </c>
      <c r="N17" s="8">
        <f>IFERROR(IF(ISBLANK([2]DFsmonkeyCompl!P18),"",[2]DFsmonkeyCompl!P18*DFanalysis6[[#This Row],[EUR]]),"")</f>
        <v>11.130927885999998</v>
      </c>
      <c r="O17" s="8">
        <f>IFERROR(IF(ISBLANK([2]DFsmonkeyCompl!Q18),"",[2]DFsmonkeyCompl!Q18*DFanalysis6[[#This Row],[EUR]]),"")</f>
        <v>31.1665980808</v>
      </c>
      <c r="P17" s="8" t="str">
        <f>IFERROR(IF(ISBLANK([2]DFsmonkeyCompl!R18),"",[2]DFsmonkeyCompl!R18*DFanalysis6[[#This Row],[EUR]]),"")</f>
        <v/>
      </c>
      <c r="Q17" s="8" t="str">
        <f>IFERROR(IF(ISBLANK([2]DFsmonkeyCompl!S18),"",[2]DFsmonkeyCompl!S18*DFanalysis6[[#This Row],[EUR]]),"")</f>
        <v/>
      </c>
      <c r="R17" s="8" t="str">
        <f>IFERROR(IF(ISBLANK([2]DFsmonkeyCompl!T18),"",[2]DFsmonkeyCompl!T18*DFanalysis6[[#This Row],[EUR]]),"")</f>
        <v/>
      </c>
      <c r="S17" s="8">
        <f>IFERROR(IF(ISBLANK([2]DFsmonkeyCompl!U18),"",[2]DFsmonkeyCompl!U18*DFanalysis6[[#This Row],[EUR]]),"")</f>
        <v>11.130927885999998</v>
      </c>
      <c r="T17" s="8" t="str">
        <f>IFERROR(IF(ISBLANK([2]DFsmonkeyCompl!V18),"",[2]DFsmonkeyCompl!V18*DFanalysis6[[#This Row],[EUR]]),"")</f>
        <v/>
      </c>
      <c r="U17" s="8" t="str">
        <f>IFERROR(IF(ISBLANK([2]DFsmonkeyCompl!W18),"",[2]DFsmonkeyCompl!W18*DFanalysis6[[#This Row],[EUR]]),"")</f>
        <v/>
      </c>
      <c r="V17" s="8">
        <f>IFERROR(IF(ISBLANK([2]DFsmonkeyCompl!X18),"",[2]DFsmonkeyCompl!X18*DFanalysis6[[#This Row],[EUR]]),"")</f>
        <v>53.428453852799997</v>
      </c>
      <c r="W17" s="8" t="str">
        <f>IFERROR(IF(ISBLANK([2]DFsmonkeyCompl!Y18),"",[2]DFsmonkeyCompl!Y18*DFanalysis6[[#This Row],[EUR]]),"")</f>
        <v/>
      </c>
      <c r="X17" s="8" t="str">
        <f>IFERROR(IF(ISBLANK([2]DFsmonkeyCompl!Z18),"",[2]DFsmonkeyCompl!Z18*DFanalysis6[[#This Row],[EUR]]),"")</f>
        <v/>
      </c>
      <c r="Y17" s="8" t="str">
        <f>IFERROR(IF(ISBLANK([2]DFsmonkeyCompl!AA18),"",[2]DFsmonkeyCompl!AA18*DFanalysis6[[#This Row],[EUR]]),"")</f>
        <v/>
      </c>
      <c r="Z17" s="8" t="str">
        <f>IFERROR(IF(ISBLANK([2]DFsmonkeyCompl!AB18),"",[2]DFsmonkeyCompl!AB18*DFanalysis6[[#This Row],[EUR]]),"")</f>
        <v/>
      </c>
      <c r="AA17" s="8" t="str">
        <f>IF(ISBLANK([2]DFsmonkeyCompl!AC18),"",[2]DFsmonkeyCompl!AC18)</f>
        <v/>
      </c>
      <c r="AB17" s="8" t="str">
        <f>IF(ISBLANK([2]DFsmonkeyCompl!AD18),"",[2]DFsmonkeyCompl!AD18)</f>
        <v/>
      </c>
      <c r="AC17" s="8">
        <f>IF(ISBLANK([2]DFsmonkeyCompl!AE18),"",[2]DFsmonkeyCompl!AE18)</f>
        <v>100</v>
      </c>
      <c r="AD17" s="8" t="str">
        <f>IF(ISBLANK([2]DFsmonkeyCompl!AF18),"",[2]DFsmonkeyCompl!AF18)</f>
        <v/>
      </c>
      <c r="AE17" s="8" t="str">
        <f>IF(ISBLANK([2]DFsmonkeyCompl!AG18),"",[2]DFsmonkeyCompl!AG18)</f>
        <v>Increase</v>
      </c>
      <c r="AF17" s="8" t="str">
        <f>IF(ISBLANK([2]DFsmonkeyCompl!AH18),"",[2]DFsmonkeyCompl!AH18)</f>
        <v>No</v>
      </c>
      <c r="AG17" s="8">
        <f>IFERROR(INDEX([2]DebtFundUniverse!$B$2:$EU$700,MATCH($C17,[2]DebtFundUniverse!$A$2:$A$700,0),MATCH($AG$1,[2]DebtFundUniverse!$B$1:$EU$1,0)),"")</f>
        <v>141000000</v>
      </c>
      <c r="AH17" s="36">
        <f>IFERROR(INDEX([2]DebtFundUniverse!$B$2:$EU$700,MATCH($C17,[2]DebtFundUniverse!$A$2:$A$700,0),MATCH($AH$1,[2]DebtFundUniverse!$B$1:$EU$1,0)),"")</f>
        <v>141000000</v>
      </c>
    </row>
    <row r="18" spans="1:34" x14ac:dyDescent="0.2">
      <c r="A18" s="5" t="str">
        <f>IF(OR(ISTEXT([2]DFsmonkeyCompl!J19),ISNUMBER([2]DFsmonkeyCompl!J19)),[2]DFsmonkeyCompl!J19,"")</f>
        <v>CBRE Global Investors</v>
      </c>
      <c r="B18" s="6" t="str">
        <f>IF(OR(ISTEXT([2]DFsmonkeyCompl!K19),ISNUMBER([2]DFsmonkeyCompl!K19)),[2]DFsmonkeyCompl!K19,"")</f>
        <v>Special Situations Fund</v>
      </c>
      <c r="C18" s="10">
        <v>28321</v>
      </c>
      <c r="D18" s="6" t="str">
        <f>INDEX([2]DebtFundUniverse!$B$2:$EU$200,MATCH(DFanalysis6[[#This Row],[ID]],[2]DebtFundUniverse!$A$2:$A$200,0),MATCH(DFanalysis6[[#Headers],[Loan Strategy]],[2]DebtFundUniverse!$B$1:$EU$1,0))</f>
        <v>Mixed: Senior+Subordinated</v>
      </c>
      <c r="E18" s="6" t="str">
        <f>INDEX([2]DebtFundUniverse!$B$2:$EU$200,MATCH(DFanalysis6[[#This Row],[ID]],[2]DebtFundUniverse!$A$2:$A$200,0),MATCH(DFanalysis6[[#Headers],[Target Regional Strategy]],[2]DebtFundUniverse!$B$1:$EU$1,0))</f>
        <v>North America</v>
      </c>
      <c r="F18" s="6" t="str">
        <f>INDEX([2]DebtFundUniverse!$B$2:$EU$200,MATCH(DFanalysis6[[#This Row],[ID]],[2]DebtFundUniverse!$A$2:$A$200,0),MATCH(DFanalysis6[[#Headers],[Vehicle Structure]],[2]DebtFundUniverse!$B$1:$EU$1,0))</f>
        <v>Open end</v>
      </c>
      <c r="G18" s="6">
        <f>INDEX([2]DebtFundUniverse!$B$2:$EU$200,MATCH(DFanalysis6[[#This Row],[ID]],[2]DebtFundUniverse!$A$2:$A$200,0),MATCH(DFanalysis6[[#Headers],[year of first closing]],[2]DebtFundUniverse!$B$1:$EU$1,0))</f>
        <v>2009</v>
      </c>
      <c r="H18" s="6" t="str">
        <f>IF(ISBLANK([2]DFsmonkeyCompl!L19),"",[2]DFsmonkeyCompl!L19)</f>
        <v>Yes</v>
      </c>
      <c r="I18" s="6" t="str">
        <f>IF(ISBLANK([2]DFsmonkeyCompl!M19),"",[2]DFsmonkeyCompl!M19)</f>
        <v/>
      </c>
      <c r="J18" s="6" t="str">
        <f>IF(ISBLANK([2]DFsmonkeyCompl!N19),"",[2]DFsmonkeyCompl!N19)</f>
        <v/>
      </c>
      <c r="K18" s="6" t="str">
        <f>INDEX([2]DebtFundUniverse!$B$2:$EU$200,MATCH(DFanalysis6[[#This Row],[ID]],[2]DebtFundUniverse!$A$2:$A$200,0),MATCH(DFanalysis6[[#Headers],[Currency of Reporting]],[2]DebtFundUniverse!$B$1:$EU$1,0))</f>
        <v>USD</v>
      </c>
      <c r="L18" s="8">
        <f>VLOOKUP(DFanalysis6[[#This Row],[Currency of Reporting]],'[2]Xrate31.12.20'!$K$1:$M$25,3,0)</f>
        <v>0.81541286290000004</v>
      </c>
      <c r="M18" s="8">
        <f>IFERROR(IF(ISBLANK([2]DFsmonkeyCompl!O19),"",[2]DFsmonkeyCompl!O19*DFanalysis6[[#This Row],[EUR]]),"")</f>
        <v>73.387157661000003</v>
      </c>
      <c r="N18" s="8">
        <f>IFERROR(IF(ISBLANK([2]DFsmonkeyCompl!P19),"",[2]DFsmonkeyCompl!P19*DFanalysis6[[#This Row],[EUR]]),"")</f>
        <v>66.863854757799999</v>
      </c>
      <c r="O18" s="8" t="str">
        <f>IFERROR(IF(ISBLANK([2]DFsmonkeyCompl!Q19),"",[2]DFsmonkeyCompl!Q19*DFanalysis6[[#This Row],[EUR]]),"")</f>
        <v/>
      </c>
      <c r="P18" s="8" t="str">
        <f>IFERROR(IF(ISBLANK([2]DFsmonkeyCompl!R19),"",[2]DFsmonkeyCompl!R19*DFanalysis6[[#This Row],[EUR]]),"")</f>
        <v/>
      </c>
      <c r="Q18" s="8" t="str">
        <f>IFERROR(IF(ISBLANK([2]DFsmonkeyCompl!S19),"",[2]DFsmonkeyCompl!S19*DFanalysis6[[#This Row],[EUR]]),"")</f>
        <v/>
      </c>
      <c r="R18" s="8" t="str">
        <f>IFERROR(IF(ISBLANK([2]DFsmonkeyCompl!T19),"",[2]DFsmonkeyCompl!T19*DFanalysis6[[#This Row],[EUR]]),"")</f>
        <v/>
      </c>
      <c r="S18" s="8" t="str">
        <f>IFERROR(IF(ISBLANK([2]DFsmonkeyCompl!U19),"",[2]DFsmonkeyCompl!U19*DFanalysis6[[#This Row],[EUR]]),"")</f>
        <v/>
      </c>
      <c r="T18" s="8" t="str">
        <f>IFERROR(IF(ISBLANK([2]DFsmonkeyCompl!V19),"",[2]DFsmonkeyCompl!V19*DFanalysis6[[#This Row],[EUR]]),"")</f>
        <v/>
      </c>
      <c r="U18" s="8">
        <f>IFERROR(IF(ISBLANK([2]DFsmonkeyCompl!W19),"",[2]DFsmonkeyCompl!W19*DFanalysis6[[#This Row],[EUR]]),"")</f>
        <v>6.5233029032000003</v>
      </c>
      <c r="V18" s="8">
        <f>IFERROR(IF(ISBLANK([2]DFsmonkeyCompl!X19),"",[2]DFsmonkeyCompl!X19*DFanalysis6[[#This Row],[EUR]]),"")</f>
        <v>53.001836088499999</v>
      </c>
      <c r="W18" s="8" t="str">
        <f>IFERROR(IF(ISBLANK([2]DFsmonkeyCompl!Y19),"",[2]DFsmonkeyCompl!Y19*DFanalysis6[[#This Row],[EUR]]),"")</f>
        <v/>
      </c>
      <c r="X18" s="8">
        <f>IFERROR(IF(ISBLANK([2]DFsmonkeyCompl!Z19),"",[2]DFsmonkeyCompl!Z19*DFanalysis6[[#This Row],[EUR]]),"")</f>
        <v>20.385321572500001</v>
      </c>
      <c r="Y18" s="8" t="str">
        <f>IFERROR(IF(ISBLANK([2]DFsmonkeyCompl!AA19),"",[2]DFsmonkeyCompl!AA19*DFanalysis6[[#This Row],[EUR]]),"")</f>
        <v/>
      </c>
      <c r="Z18" s="8" t="str">
        <f>IFERROR(IF(ISBLANK([2]DFsmonkeyCompl!AB19),"",[2]DFsmonkeyCompl!AB19*DFanalysis6[[#This Row],[EUR]]),"")</f>
        <v/>
      </c>
      <c r="AA18" s="8" t="str">
        <f>IF(ISBLANK([2]DFsmonkeyCompl!AC19),"",[2]DFsmonkeyCompl!AC19)</f>
        <v/>
      </c>
      <c r="AB18" s="8" t="str">
        <f>IF(ISBLANK([2]DFsmonkeyCompl!AD19),"",[2]DFsmonkeyCompl!AD19)</f>
        <v/>
      </c>
      <c r="AC18" s="8">
        <f>IF(ISBLANK([2]DFsmonkeyCompl!AE19),"",[2]DFsmonkeyCompl!AE19)</f>
        <v>100</v>
      </c>
      <c r="AD18" s="8" t="str">
        <f>IF(ISBLANK([2]DFsmonkeyCompl!AF19),"",[2]DFsmonkeyCompl!AF19)</f>
        <v/>
      </c>
      <c r="AE18" s="8" t="str">
        <f>IF(ISBLANK([2]DFsmonkeyCompl!AG19),"",[2]DFsmonkeyCompl!AG19)</f>
        <v>Increase</v>
      </c>
      <c r="AF18" s="8" t="str">
        <f>IF(ISBLANK([2]DFsmonkeyCompl!AH19),"",[2]DFsmonkeyCompl!AH19)</f>
        <v>Yes</v>
      </c>
      <c r="AG18" s="8">
        <f>IFERROR(INDEX([2]DebtFundUniverse!$B$2:$EU$700,MATCH($C18,[2]DebtFundUniverse!$A$2:$A$700,0),MATCH($AG$1,[2]DebtFundUniverse!$B$1:$EU$1,0)),"")</f>
        <v>0</v>
      </c>
      <c r="AH18" s="36">
        <f>IFERROR(INDEX([2]DebtFundUniverse!$B$2:$EU$700,MATCH($C18,[2]DebtFundUniverse!$A$2:$A$700,0),MATCH($AH$1,[2]DebtFundUniverse!$B$1:$EU$1,0)),"")</f>
        <v>0</v>
      </c>
    </row>
    <row r="19" spans="1:34" x14ac:dyDescent="0.2">
      <c r="B19" s="6" t="str">
        <f>IF(OR(ISTEXT([2]DFsmonkeyCompl!K20),ISNUMBER([2]DFsmonkeyCompl!K20)),[2]DFsmonkeyCompl!K20,"")</f>
        <v>Heitman Closed End Debt Fund</v>
      </c>
      <c r="C19" s="10"/>
      <c r="D19" s="6" t="e">
        <f>INDEX([2]DebtFundUniverse!$B$2:$EU$200,MATCH(DFanalysis6[[#This Row],[ID]],[2]DebtFundUniverse!$A$2:$A$200,0),MATCH(DFanalysis6[[#Headers],[Loan Strategy]],[2]DebtFundUniverse!$B$1:$EU$1,0))</f>
        <v>#N/A</v>
      </c>
      <c r="E19" s="6" t="e">
        <f>INDEX([2]DebtFundUniverse!$B$2:$EU$200,MATCH(DFanalysis6[[#This Row],[ID]],[2]DebtFundUniverse!$A$2:$A$200,0),MATCH(DFanalysis6[[#Headers],[Target Regional Strategy]],[2]DebtFundUniverse!$B$1:$EU$1,0))</f>
        <v>#N/A</v>
      </c>
      <c r="F19" s="6" t="e">
        <f>INDEX([2]DebtFundUniverse!$B$2:$EU$200,MATCH(DFanalysis6[[#This Row],[ID]],[2]DebtFundUniverse!$A$2:$A$200,0),MATCH(DFanalysis6[[#Headers],[Vehicle Structure]],[2]DebtFundUniverse!$B$1:$EU$1,0))</f>
        <v>#N/A</v>
      </c>
      <c r="G19" s="6" t="e">
        <f>INDEX([2]DebtFundUniverse!$B$2:$EU$200,MATCH(DFanalysis6[[#This Row],[ID]],[2]DebtFundUniverse!$A$2:$A$200,0),MATCH(DFanalysis6[[#Headers],[year of first closing]],[2]DebtFundUniverse!$B$1:$EU$1,0))</f>
        <v>#N/A</v>
      </c>
      <c r="H19" s="6" t="str">
        <f>IF(ISBLANK([2]DFsmonkeyCompl!L20),"",[2]DFsmonkeyCompl!L20)</f>
        <v>Yes</v>
      </c>
      <c r="I19" s="6" t="str">
        <f>IF(ISBLANK([2]DFsmonkeyCompl!M20),"",[2]DFsmonkeyCompl!M20)</f>
        <v/>
      </c>
      <c r="J19" s="6" t="str">
        <f>IF(ISBLANK([2]DFsmonkeyCompl!N20),"",[2]DFsmonkeyCompl!N20)</f>
        <v/>
      </c>
      <c r="K19" s="6" t="e">
        <f>INDEX([2]DebtFundUniverse!$B$2:$EU$200,MATCH(DFanalysis6[[#This Row],[ID]],[2]DebtFundUniverse!$A$2:$A$200,0),MATCH(DFanalysis6[[#Headers],[Currency of Reporting]],[2]DebtFundUniverse!$B$1:$EU$1,0))</f>
        <v>#N/A</v>
      </c>
      <c r="L19" s="8" t="e">
        <f>VLOOKUP(DFanalysis6[[#This Row],[Currency of Reporting]],'[2]Xrate31.12.20'!$K$1:$M$25,3,0)</f>
        <v>#N/A</v>
      </c>
      <c r="M19" s="8" t="str">
        <f>IFERROR(IF(ISBLANK([2]DFsmonkeyCompl!O20),"",[2]DFsmonkeyCompl!O20*DFanalysis6[[#This Row],[EUR]]),"")</f>
        <v/>
      </c>
      <c r="N19" s="8" t="str">
        <f>IFERROR(IF(ISBLANK([2]DFsmonkeyCompl!P20),"",[2]DFsmonkeyCompl!P20*DFanalysis6[[#This Row],[EUR]]),"")</f>
        <v/>
      </c>
      <c r="O19" s="8" t="str">
        <f>IFERROR(IF(ISBLANK([2]DFsmonkeyCompl!Q20),"",[2]DFsmonkeyCompl!Q20*DFanalysis6[[#This Row],[EUR]]),"")</f>
        <v/>
      </c>
      <c r="P19" s="8" t="str">
        <f>IFERROR(IF(ISBLANK([2]DFsmonkeyCompl!R20),"",[2]DFsmonkeyCompl!R20*DFanalysis6[[#This Row],[EUR]]),"")</f>
        <v/>
      </c>
      <c r="Q19" s="8" t="str">
        <f>IFERROR(IF(ISBLANK([2]DFsmonkeyCompl!S20),"",[2]DFsmonkeyCompl!S20*DFanalysis6[[#This Row],[EUR]]),"")</f>
        <v/>
      </c>
      <c r="R19" s="8" t="str">
        <f>IFERROR(IF(ISBLANK([2]DFsmonkeyCompl!T20),"",[2]DFsmonkeyCompl!T20*DFanalysis6[[#This Row],[EUR]]),"")</f>
        <v/>
      </c>
      <c r="S19" s="8" t="str">
        <f>IFERROR(IF(ISBLANK([2]DFsmonkeyCompl!U20),"",[2]DFsmonkeyCompl!U20*DFanalysis6[[#This Row],[EUR]]),"")</f>
        <v/>
      </c>
      <c r="T19" s="8" t="str">
        <f>IFERROR(IF(ISBLANK([2]DFsmonkeyCompl!V20),"",[2]DFsmonkeyCompl!V20*DFanalysis6[[#This Row],[EUR]]),"")</f>
        <v/>
      </c>
      <c r="U19" s="8" t="str">
        <f>IFERROR(IF(ISBLANK([2]DFsmonkeyCompl!W20),"",[2]DFsmonkeyCompl!W20*DFanalysis6[[#This Row],[EUR]]),"")</f>
        <v/>
      </c>
      <c r="V19" s="8" t="str">
        <f>IFERROR(IF(ISBLANK([2]DFsmonkeyCompl!X20),"",[2]DFsmonkeyCompl!X20*DFanalysis6[[#This Row],[EUR]]),"")</f>
        <v/>
      </c>
      <c r="W19" s="8" t="str">
        <f>IFERROR(IF(ISBLANK([2]DFsmonkeyCompl!Y20),"",[2]DFsmonkeyCompl!Y20*DFanalysis6[[#This Row],[EUR]]),"")</f>
        <v/>
      </c>
      <c r="X19" s="8" t="str">
        <f>IFERROR(IF(ISBLANK([2]DFsmonkeyCompl!Z20),"",[2]DFsmonkeyCompl!Z20*DFanalysis6[[#This Row],[EUR]]),"")</f>
        <v/>
      </c>
      <c r="Y19" s="8" t="str">
        <f>IFERROR(IF(ISBLANK([2]DFsmonkeyCompl!AA20),"",[2]DFsmonkeyCompl!AA20*DFanalysis6[[#This Row],[EUR]]),"")</f>
        <v/>
      </c>
      <c r="Z19" s="8" t="str">
        <f>IFERROR(IF(ISBLANK([2]DFsmonkeyCompl!AB20),"",[2]DFsmonkeyCompl!AB20*DFanalysis6[[#This Row],[EUR]]),"")</f>
        <v/>
      </c>
      <c r="AA19" s="8" t="str">
        <f>IF(ISBLANK([2]DFsmonkeyCompl!AC20),"",[2]DFsmonkeyCompl!AC20)</f>
        <v/>
      </c>
      <c r="AB19" s="8" t="str">
        <f>IF(ISBLANK([2]DFsmonkeyCompl!AD20),"",[2]DFsmonkeyCompl!AD20)</f>
        <v/>
      </c>
      <c r="AC19" s="8">
        <f>IF(ISBLANK([2]DFsmonkeyCompl!AE20),"",[2]DFsmonkeyCompl!AE20)</f>
        <v>100</v>
      </c>
      <c r="AD19" s="8" t="str">
        <f>IF(ISBLANK([2]DFsmonkeyCompl!AF20),"",[2]DFsmonkeyCompl!AF20)</f>
        <v/>
      </c>
      <c r="AE19" s="8" t="str">
        <f>IF(ISBLANK([2]DFsmonkeyCompl!AG20),"",[2]DFsmonkeyCompl!AG20)</f>
        <v>Increase</v>
      </c>
      <c r="AF19" s="8" t="str">
        <f>IF(ISBLANK([2]DFsmonkeyCompl!AH20),"",[2]DFsmonkeyCompl!AH20)</f>
        <v>Yes</v>
      </c>
      <c r="AG19" s="8" t="str">
        <f>IFERROR(INDEX([2]DebtFundUniverse!$B$2:$EU$700,MATCH($C19,[2]DebtFundUniverse!$A$2:$A$700,0),MATCH($AG$1,[2]DebtFundUniverse!$B$1:$EU$1,0)),"")</f>
        <v/>
      </c>
      <c r="AH19" s="36" t="str">
        <f>IFERROR(INDEX([2]DebtFundUniverse!$B$2:$EU$700,MATCH($C19,[2]DebtFundUniverse!$A$2:$A$700,0),MATCH($AH$1,[2]DebtFundUniverse!$B$1:$EU$1,0)),"")</f>
        <v/>
      </c>
    </row>
    <row r="20" spans="1:34" x14ac:dyDescent="0.2">
      <c r="B20" s="6" t="str">
        <f>IF(OR(ISTEXT([2]DFsmonkeyCompl!K21),ISNUMBER([2]DFsmonkeyCompl!K21)),[2]DFsmonkeyCompl!K21,"")</f>
        <v>SELF III</v>
      </c>
      <c r="C20" s="10"/>
      <c r="D20" s="6" t="e">
        <f>INDEX([2]DebtFundUniverse!$B$2:$EU$200,MATCH(DFanalysis6[[#This Row],[ID]],[2]DebtFundUniverse!$A$2:$A$200,0),MATCH(DFanalysis6[[#Headers],[Loan Strategy]],[2]DebtFundUniverse!$B$1:$EU$1,0))</f>
        <v>#N/A</v>
      </c>
      <c r="E20" s="6" t="e">
        <f>INDEX([2]DebtFundUniverse!$B$2:$EU$200,MATCH(DFanalysis6[[#This Row],[ID]],[2]DebtFundUniverse!$A$2:$A$200,0),MATCH(DFanalysis6[[#Headers],[Target Regional Strategy]],[2]DebtFundUniverse!$B$1:$EU$1,0))</f>
        <v>#N/A</v>
      </c>
      <c r="F20" s="6" t="e">
        <f>INDEX([2]DebtFundUniverse!$B$2:$EU$200,MATCH(DFanalysis6[[#This Row],[ID]],[2]DebtFundUniverse!$A$2:$A$200,0),MATCH(DFanalysis6[[#Headers],[Vehicle Structure]],[2]DebtFundUniverse!$B$1:$EU$1,0))</f>
        <v>#N/A</v>
      </c>
      <c r="G20" s="6" t="e">
        <f>INDEX([2]DebtFundUniverse!$B$2:$EU$200,MATCH(DFanalysis6[[#This Row],[ID]],[2]DebtFundUniverse!$A$2:$A$200,0),MATCH(DFanalysis6[[#Headers],[year of first closing]],[2]DebtFundUniverse!$B$1:$EU$1,0))</f>
        <v>#N/A</v>
      </c>
      <c r="H20" s="6" t="str">
        <f>IF(ISBLANK([2]DFsmonkeyCompl!L21),"",[2]DFsmonkeyCompl!L21)</f>
        <v>Yes</v>
      </c>
      <c r="I20" s="6" t="str">
        <f>IF(ISBLANK([2]DFsmonkeyCompl!M21),"",[2]DFsmonkeyCompl!M21)</f>
        <v/>
      </c>
      <c r="J20" s="6" t="str">
        <f>IF(ISBLANK([2]DFsmonkeyCompl!N21),"",[2]DFsmonkeyCompl!N21)</f>
        <v/>
      </c>
      <c r="K20" s="6" t="e">
        <f>INDEX([2]DebtFundUniverse!$B$2:$EU$200,MATCH(DFanalysis6[[#This Row],[ID]],[2]DebtFundUniverse!$A$2:$A$200,0),MATCH(DFanalysis6[[#Headers],[Currency of Reporting]],[2]DebtFundUniverse!$B$1:$EU$1,0))</f>
        <v>#N/A</v>
      </c>
      <c r="L20" s="8" t="e">
        <f>VLOOKUP(DFanalysis6[[#This Row],[Currency of Reporting]],'[2]Xrate31.12.20'!$K$1:$M$25,3,0)</f>
        <v>#N/A</v>
      </c>
      <c r="M20" s="8" t="str">
        <f>IFERROR(IF(ISBLANK([2]DFsmonkeyCompl!O21),"",[2]DFsmonkeyCompl!O21*DFanalysis6[[#This Row],[EUR]]),"")</f>
        <v/>
      </c>
      <c r="N20" s="8" t="str">
        <f>IFERROR(IF(ISBLANK([2]DFsmonkeyCompl!P21),"",[2]DFsmonkeyCompl!P21*DFanalysis6[[#This Row],[EUR]]),"")</f>
        <v/>
      </c>
      <c r="O20" s="8" t="str">
        <f>IFERROR(IF(ISBLANK([2]DFsmonkeyCompl!Q21),"",[2]DFsmonkeyCompl!Q21*DFanalysis6[[#This Row],[EUR]]),"")</f>
        <v/>
      </c>
      <c r="P20" s="8" t="str">
        <f>IFERROR(IF(ISBLANK([2]DFsmonkeyCompl!R21),"",[2]DFsmonkeyCompl!R21*DFanalysis6[[#This Row],[EUR]]),"")</f>
        <v/>
      </c>
      <c r="Q20" s="8" t="str">
        <f>IFERROR(IF(ISBLANK([2]DFsmonkeyCompl!S21),"",[2]DFsmonkeyCompl!S21*DFanalysis6[[#This Row],[EUR]]),"")</f>
        <v/>
      </c>
      <c r="R20" s="8" t="str">
        <f>IFERROR(IF(ISBLANK([2]DFsmonkeyCompl!T21),"",[2]DFsmonkeyCompl!T21*DFanalysis6[[#This Row],[EUR]]),"")</f>
        <v/>
      </c>
      <c r="S20" s="8" t="str">
        <f>IFERROR(IF(ISBLANK([2]DFsmonkeyCompl!U21),"",[2]DFsmonkeyCompl!U21*DFanalysis6[[#This Row],[EUR]]),"")</f>
        <v/>
      </c>
      <c r="T20" s="8" t="str">
        <f>IFERROR(IF(ISBLANK([2]DFsmonkeyCompl!V21),"",[2]DFsmonkeyCompl!V21*DFanalysis6[[#This Row],[EUR]]),"")</f>
        <v/>
      </c>
      <c r="U20" s="8" t="str">
        <f>IFERROR(IF(ISBLANK([2]DFsmonkeyCompl!W21),"",[2]DFsmonkeyCompl!W21*DFanalysis6[[#This Row],[EUR]]),"")</f>
        <v/>
      </c>
      <c r="V20" s="8" t="str">
        <f>IFERROR(IF(ISBLANK([2]DFsmonkeyCompl!X21),"",[2]DFsmonkeyCompl!X21*DFanalysis6[[#This Row],[EUR]]),"")</f>
        <v/>
      </c>
      <c r="W20" s="8" t="str">
        <f>IFERROR(IF(ISBLANK([2]DFsmonkeyCompl!Y21),"",[2]DFsmonkeyCompl!Y21*DFanalysis6[[#This Row],[EUR]]),"")</f>
        <v/>
      </c>
      <c r="X20" s="8" t="str">
        <f>IFERROR(IF(ISBLANK([2]DFsmonkeyCompl!Z21),"",[2]DFsmonkeyCompl!Z21*DFanalysis6[[#This Row],[EUR]]),"")</f>
        <v/>
      </c>
      <c r="Y20" s="8" t="str">
        <f>IFERROR(IF(ISBLANK([2]DFsmonkeyCompl!AA21),"",[2]DFsmonkeyCompl!AA21*DFanalysis6[[#This Row],[EUR]]),"")</f>
        <v/>
      </c>
      <c r="Z20" s="8" t="str">
        <f>IFERROR(IF(ISBLANK([2]DFsmonkeyCompl!AB21),"",[2]DFsmonkeyCompl!AB21*DFanalysis6[[#This Row],[EUR]]),"")</f>
        <v/>
      </c>
      <c r="AA20" s="8" t="str">
        <f>IF(ISBLANK([2]DFsmonkeyCompl!AC21),"",[2]DFsmonkeyCompl!AC21)</f>
        <v/>
      </c>
      <c r="AB20" s="8" t="str">
        <f>IF(ISBLANK([2]DFsmonkeyCompl!AD21),"",[2]DFsmonkeyCompl!AD21)</f>
        <v/>
      </c>
      <c r="AC20" s="8">
        <f>IF(ISBLANK([2]DFsmonkeyCompl!AE21),"",[2]DFsmonkeyCompl!AE21)</f>
        <v>100</v>
      </c>
      <c r="AD20" s="8" t="str">
        <f>IF(ISBLANK([2]DFsmonkeyCompl!AF21),"",[2]DFsmonkeyCompl!AF21)</f>
        <v/>
      </c>
      <c r="AE20" s="8" t="str">
        <f>IF(ISBLANK([2]DFsmonkeyCompl!AG21),"",[2]DFsmonkeyCompl!AG21)</f>
        <v>Increase</v>
      </c>
      <c r="AF20" s="8" t="str">
        <f>IF(ISBLANK([2]DFsmonkeyCompl!AH21),"",[2]DFsmonkeyCompl!AH21)</f>
        <v>Yes</v>
      </c>
      <c r="AG20" s="8" t="str">
        <f>IFERROR(INDEX([2]DebtFundUniverse!$B$2:$EU$700,MATCH($C20,[2]DebtFundUniverse!$A$2:$A$700,0),MATCH($AG$1,[2]DebtFundUniverse!$B$1:$EU$1,0)),"")</f>
        <v/>
      </c>
      <c r="AH20" s="36" t="str">
        <f>IFERROR(INDEX([2]DebtFundUniverse!$B$2:$EU$700,MATCH($C20,[2]DebtFundUniverse!$A$2:$A$700,0),MATCH($AH$1,[2]DebtFundUniverse!$B$1:$EU$1,0)),"")</f>
        <v/>
      </c>
    </row>
    <row r="21" spans="1:34" x14ac:dyDescent="0.2">
      <c r="C21"/>
      <c r="M21" s="11"/>
      <c r="V21" s="11"/>
      <c r="W21" s="11"/>
    </row>
    <row r="22" spans="1:34" x14ac:dyDescent="0.2">
      <c r="C22"/>
      <c r="M22" s="11"/>
      <c r="V22" s="11"/>
      <c r="W22" s="11"/>
    </row>
    <row r="23" spans="1:34" x14ac:dyDescent="0.2">
      <c r="C23"/>
      <c r="M23" s="11"/>
      <c r="V23" s="11"/>
      <c r="W23" s="11"/>
    </row>
    <row r="24" spans="1:34" x14ac:dyDescent="0.2">
      <c r="C24"/>
      <c r="M24" s="11"/>
      <c r="V24" s="11"/>
      <c r="W24" s="11"/>
    </row>
    <row r="25" spans="1:34" x14ac:dyDescent="0.2">
      <c r="C25"/>
      <c r="M25" s="11"/>
      <c r="V25" s="11"/>
      <c r="W25" s="11"/>
    </row>
    <row r="26" spans="1:34" x14ac:dyDescent="0.2">
      <c r="C26"/>
      <c r="M26" s="11"/>
      <c r="V26" s="11"/>
      <c r="W26" s="11"/>
    </row>
    <row r="27" spans="1:34" x14ac:dyDescent="0.2">
      <c r="C27"/>
      <c r="M27" s="11"/>
      <c r="V27" s="11"/>
      <c r="W27" s="11"/>
    </row>
    <row r="28" spans="1:34" x14ac:dyDescent="0.2">
      <c r="C28"/>
      <c r="M28" s="11"/>
      <c r="V28" s="11"/>
      <c r="W28" s="11"/>
    </row>
    <row r="29" spans="1:34" x14ac:dyDescent="0.2">
      <c r="C29"/>
      <c r="M29" s="11"/>
      <c r="V29" s="11"/>
      <c r="W29" s="11"/>
    </row>
    <row r="30" spans="1:34" x14ac:dyDescent="0.2">
      <c r="C30"/>
      <c r="M30" s="11"/>
      <c r="V30" s="11"/>
      <c r="W30" s="11"/>
    </row>
    <row r="31" spans="1:34" x14ac:dyDescent="0.2">
      <c r="C31"/>
      <c r="M31" s="11"/>
      <c r="V31" s="11"/>
      <c r="W31" s="11"/>
    </row>
    <row r="32" spans="1:34" x14ac:dyDescent="0.2">
      <c r="C32"/>
      <c r="M32" s="11"/>
      <c r="V32" s="11"/>
      <c r="W32" s="11"/>
    </row>
    <row r="33" spans="3:23" x14ac:dyDescent="0.2">
      <c r="C33"/>
      <c r="M33" s="11"/>
      <c r="V33" s="11"/>
      <c r="W33" s="11"/>
    </row>
    <row r="34" spans="3:23" x14ac:dyDescent="0.2">
      <c r="C34"/>
      <c r="M34" s="11"/>
      <c r="V34" s="11"/>
      <c r="W34" s="11"/>
    </row>
    <row r="35" spans="3:23" x14ac:dyDescent="0.2">
      <c r="C35"/>
      <c r="M35" s="11"/>
      <c r="V35" s="11"/>
      <c r="W35" s="11"/>
    </row>
    <row r="36" spans="3:23" x14ac:dyDescent="0.2">
      <c r="C36"/>
      <c r="M36" s="11"/>
      <c r="V36" s="11"/>
      <c r="W36" s="11"/>
    </row>
    <row r="37" spans="3:23" x14ac:dyDescent="0.2">
      <c r="C37"/>
      <c r="M37" s="11"/>
      <c r="V37" s="11"/>
      <c r="W37" s="11"/>
    </row>
    <row r="38" spans="3:23" x14ac:dyDescent="0.2">
      <c r="C38"/>
    </row>
    <row r="39" spans="3:23" x14ac:dyDescent="0.2">
      <c r="C39"/>
    </row>
    <row r="40" spans="3:23" x14ac:dyDescent="0.2">
      <c r="C40"/>
    </row>
    <row r="41" spans="3:23" x14ac:dyDescent="0.2">
      <c r="C41"/>
    </row>
    <row r="42" spans="3:23" x14ac:dyDescent="0.2">
      <c r="C42"/>
    </row>
    <row r="43" spans="3:23" x14ac:dyDescent="0.2">
      <c r="C43"/>
    </row>
    <row r="44" spans="3:23" x14ac:dyDescent="0.2">
      <c r="C44"/>
    </row>
    <row r="45" spans="3:23" x14ac:dyDescent="0.2">
      <c r="C45"/>
    </row>
    <row r="46" spans="3:23" x14ac:dyDescent="0.2">
      <c r="C46"/>
    </row>
    <row r="47" spans="3:23" x14ac:dyDescent="0.2">
      <c r="C47"/>
    </row>
    <row r="48" spans="3:23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156B-70EB-4687-938E-31BCFB13FFAB}">
  <sheetPr>
    <tabColor rgb="FFFFC000"/>
  </sheetPr>
  <dimension ref="A1:AH21"/>
  <sheetViews>
    <sheetView showGridLines="0" topLeftCell="G1" workbookViewId="0">
      <selection activeCell="I1" sqref="A1:XFD2"/>
    </sheetView>
  </sheetViews>
  <sheetFormatPr defaultRowHeight="12.75" x14ac:dyDescent="0.2"/>
  <cols>
    <col min="1" max="1" width="11.85546875" customWidth="1"/>
    <col min="3" max="3" width="20.42578125" bestFit="1" customWidth="1"/>
    <col min="4" max="4" width="32.42578125" customWidth="1"/>
    <col min="5" max="5" width="21.140625" customWidth="1"/>
    <col min="10" max="10" width="78.85546875" customWidth="1"/>
    <col min="11" max="11" width="53.140625" bestFit="1" customWidth="1"/>
    <col min="12" max="12" width="29" bestFit="1" customWidth="1"/>
    <col min="13" max="13" width="23" customWidth="1"/>
    <col min="14" max="14" width="74.42578125" bestFit="1" customWidth="1"/>
    <col min="15" max="15" width="45" customWidth="1"/>
    <col min="16" max="16" width="21.42578125" bestFit="1" customWidth="1"/>
    <col min="17" max="17" width="21.85546875" bestFit="1" customWidth="1"/>
    <col min="18" max="18" width="23.140625" bestFit="1" customWidth="1"/>
    <col min="19" max="19" width="45.140625" bestFit="1" customWidth="1"/>
    <col min="20" max="20" width="13.85546875" bestFit="1" customWidth="1"/>
    <col min="21" max="21" width="40" bestFit="1" customWidth="1"/>
    <col min="22" max="22" width="22" bestFit="1" customWidth="1"/>
    <col min="23" max="23" width="202" bestFit="1" customWidth="1"/>
    <col min="24" max="24" width="11.85546875" bestFit="1" customWidth="1"/>
    <col min="25" max="25" width="14.42578125" bestFit="1" customWidth="1"/>
    <col min="26" max="26" width="14.85546875" bestFit="1" customWidth="1"/>
    <col min="27" max="27" width="6.140625" bestFit="1" customWidth="1"/>
    <col min="28" max="28" width="85.85546875" bestFit="1" customWidth="1"/>
    <col min="29" max="29" width="35.140625" bestFit="1" customWidth="1"/>
    <col min="30" max="30" width="44.85546875" bestFit="1" customWidth="1"/>
    <col min="31" max="31" width="10.140625" bestFit="1" customWidth="1"/>
    <col min="32" max="32" width="105.42578125" bestFit="1" customWidth="1"/>
    <col min="33" max="33" width="78.85546875" bestFit="1" customWidth="1"/>
  </cols>
  <sheetData>
    <row r="1" spans="1:34" ht="14.25" x14ac:dyDescent="0.2">
      <c r="A1" s="25" t="s">
        <v>67</v>
      </c>
      <c r="B1" s="25" t="s">
        <v>70</v>
      </c>
      <c r="C1" s="25" t="s">
        <v>72</v>
      </c>
      <c r="D1" s="25" t="s">
        <v>74</v>
      </c>
      <c r="E1" s="25" t="s">
        <v>76</v>
      </c>
      <c r="F1" s="25" t="s">
        <v>78</v>
      </c>
      <c r="G1" s="25" t="s">
        <v>80</v>
      </c>
      <c r="H1" s="25" t="s">
        <v>82</v>
      </c>
      <c r="I1" s="25" t="s">
        <v>84</v>
      </c>
      <c r="J1" s="25" t="s">
        <v>32</v>
      </c>
      <c r="K1" s="25" t="s">
        <v>153</v>
      </c>
      <c r="L1" s="25" t="s">
        <v>154</v>
      </c>
      <c r="M1" s="25" t="s">
        <v>155</v>
      </c>
      <c r="N1" s="25"/>
      <c r="O1" s="25" t="s">
        <v>156</v>
      </c>
      <c r="P1" s="25" t="s">
        <v>157</v>
      </c>
      <c r="Q1" s="25"/>
      <c r="R1" s="25"/>
      <c r="S1" s="25"/>
      <c r="T1" s="25"/>
      <c r="U1" s="25"/>
      <c r="V1" s="25"/>
      <c r="W1" s="25"/>
      <c r="X1" s="25" t="s">
        <v>158</v>
      </c>
      <c r="Y1" s="25"/>
      <c r="Z1" s="25"/>
      <c r="AA1" s="25"/>
      <c r="AB1" s="25"/>
      <c r="AC1" s="25" t="s">
        <v>128</v>
      </c>
      <c r="AD1" s="25"/>
      <c r="AE1" s="25"/>
      <c r="AF1" s="25"/>
      <c r="AG1" s="25" t="s">
        <v>139</v>
      </c>
      <c r="AH1" s="25" t="s">
        <v>141</v>
      </c>
    </row>
    <row r="2" spans="1:34" ht="14.25" x14ac:dyDescent="0.2">
      <c r="A2" s="25"/>
      <c r="B2" s="25"/>
      <c r="C2" s="25"/>
      <c r="D2" s="25"/>
      <c r="E2" s="25"/>
      <c r="F2" s="25"/>
      <c r="G2" s="25"/>
      <c r="H2" s="25"/>
      <c r="I2" s="25"/>
      <c r="J2" s="25" t="s">
        <v>86</v>
      </c>
      <c r="K2" s="25" t="s">
        <v>86</v>
      </c>
      <c r="L2" s="25" t="s">
        <v>97</v>
      </c>
      <c r="M2" s="25" t="s">
        <v>97</v>
      </c>
      <c r="N2" s="25" t="s">
        <v>9</v>
      </c>
      <c r="O2" s="25" t="s">
        <v>86</v>
      </c>
      <c r="P2" s="25" t="s">
        <v>104</v>
      </c>
      <c r="Q2" s="25" t="s">
        <v>106</v>
      </c>
      <c r="R2" s="25" t="s">
        <v>108</v>
      </c>
      <c r="S2" s="25" t="s">
        <v>110</v>
      </c>
      <c r="T2" s="25" t="s">
        <v>112</v>
      </c>
      <c r="U2" s="25" t="s">
        <v>114</v>
      </c>
      <c r="V2" s="25" t="s">
        <v>116</v>
      </c>
      <c r="W2" s="25" t="s">
        <v>9</v>
      </c>
      <c r="X2" s="25" t="s">
        <v>21</v>
      </c>
      <c r="Y2" s="25" t="s">
        <v>121</v>
      </c>
      <c r="Z2" s="25" t="s">
        <v>123</v>
      </c>
      <c r="AA2" s="25" t="s">
        <v>125</v>
      </c>
      <c r="AB2" s="25" t="s">
        <v>25</v>
      </c>
      <c r="AC2" s="25" t="s">
        <v>130</v>
      </c>
      <c r="AD2" s="25" t="s">
        <v>133</v>
      </c>
      <c r="AE2" s="25" t="s">
        <v>135</v>
      </c>
      <c r="AF2" s="25" t="s">
        <v>137</v>
      </c>
      <c r="AG2" s="25" t="s">
        <v>97</v>
      </c>
      <c r="AH2" s="25" t="s">
        <v>97</v>
      </c>
    </row>
    <row r="3" spans="1:34" ht="15" x14ac:dyDescent="0.25">
      <c r="A3" s="38">
        <v>12434535301</v>
      </c>
      <c r="B3" s="38">
        <v>396431783</v>
      </c>
      <c r="C3" s="39">
        <v>44250.511782407404</v>
      </c>
      <c r="D3" s="39">
        <v>44250.514189814814</v>
      </c>
      <c r="E3" s="38" t="s">
        <v>159</v>
      </c>
      <c r="F3" s="38"/>
      <c r="G3" s="38"/>
      <c r="H3" s="38"/>
      <c r="I3" s="38"/>
      <c r="J3" s="38" t="s">
        <v>160</v>
      </c>
      <c r="K3" s="38" t="s">
        <v>161</v>
      </c>
      <c r="L3" s="38" t="s">
        <v>152</v>
      </c>
      <c r="M3" s="38"/>
      <c r="N3" s="38"/>
      <c r="O3" s="38">
        <v>918</v>
      </c>
      <c r="P3" s="38">
        <v>814</v>
      </c>
      <c r="Q3" s="38"/>
      <c r="R3" s="38">
        <v>52</v>
      </c>
      <c r="S3" s="38"/>
      <c r="T3" s="38"/>
      <c r="U3" s="38"/>
      <c r="V3" s="38"/>
      <c r="W3" s="38">
        <v>52</v>
      </c>
      <c r="X3" s="38">
        <v>52</v>
      </c>
      <c r="Y3" s="38">
        <v>34</v>
      </c>
      <c r="Z3" s="38">
        <v>832</v>
      </c>
      <c r="AA3" s="38"/>
      <c r="AB3" s="38"/>
      <c r="AC3" s="38"/>
      <c r="AD3" s="38"/>
      <c r="AE3" s="38">
        <v>100</v>
      </c>
      <c r="AF3" s="38"/>
      <c r="AG3" s="38" t="s">
        <v>151</v>
      </c>
      <c r="AH3" s="38" t="s">
        <v>152</v>
      </c>
    </row>
    <row r="4" spans="1:34" ht="15" x14ac:dyDescent="0.25">
      <c r="A4" s="38">
        <v>12419473127</v>
      </c>
      <c r="B4" s="38">
        <v>396431783</v>
      </c>
      <c r="C4" s="39">
        <v>44245.501493055555</v>
      </c>
      <c r="D4" s="39">
        <v>44245.502465277779</v>
      </c>
      <c r="E4" s="38" t="s">
        <v>162</v>
      </c>
      <c r="F4" s="38"/>
      <c r="G4" s="38"/>
      <c r="H4" s="38"/>
      <c r="I4" s="38"/>
      <c r="J4" s="38" t="s">
        <v>163</v>
      </c>
      <c r="K4" s="38" t="s">
        <v>164</v>
      </c>
      <c r="L4" s="38" t="s">
        <v>152</v>
      </c>
      <c r="M4" s="38"/>
      <c r="N4" s="38"/>
      <c r="O4" s="38">
        <v>360</v>
      </c>
      <c r="P4" s="38">
        <v>360</v>
      </c>
      <c r="Q4" s="38"/>
      <c r="R4" s="38"/>
      <c r="S4" s="38"/>
      <c r="T4" s="38"/>
      <c r="U4" s="38"/>
      <c r="V4" s="38"/>
      <c r="W4" s="38"/>
      <c r="X4" s="38">
        <v>360</v>
      </c>
      <c r="Y4" s="38"/>
      <c r="Z4" s="38"/>
      <c r="AA4" s="38"/>
      <c r="AB4" s="38"/>
      <c r="AC4" s="38"/>
      <c r="AD4" s="38"/>
      <c r="AE4" s="38">
        <v>100</v>
      </c>
      <c r="AF4" s="38"/>
      <c r="AG4" s="38" t="s">
        <v>151</v>
      </c>
      <c r="AH4" s="38" t="s">
        <v>152</v>
      </c>
    </row>
    <row r="5" spans="1:34" ht="15" x14ac:dyDescent="0.25">
      <c r="A5" s="38">
        <v>12419464784</v>
      </c>
      <c r="B5" s="38">
        <v>396431783</v>
      </c>
      <c r="C5" s="39">
        <v>44245.499085648145</v>
      </c>
      <c r="D5" s="39">
        <v>44245.501250000001</v>
      </c>
      <c r="E5" s="38" t="s">
        <v>162</v>
      </c>
      <c r="F5" s="38"/>
      <c r="G5" s="38"/>
      <c r="H5" s="38"/>
      <c r="I5" s="38"/>
      <c r="J5" s="38" t="s">
        <v>163</v>
      </c>
      <c r="K5" s="38" t="s">
        <v>165</v>
      </c>
      <c r="L5" s="38" t="s">
        <v>152</v>
      </c>
      <c r="M5" s="38"/>
      <c r="N5" s="38"/>
      <c r="O5" s="38">
        <v>110</v>
      </c>
      <c r="P5" s="38">
        <v>110</v>
      </c>
      <c r="Q5" s="38"/>
      <c r="R5" s="38"/>
      <c r="S5" s="38"/>
      <c r="T5" s="38"/>
      <c r="U5" s="38"/>
      <c r="V5" s="38"/>
      <c r="W5" s="38"/>
      <c r="X5" s="38">
        <v>110</v>
      </c>
      <c r="Y5" s="38"/>
      <c r="Z5" s="38"/>
      <c r="AA5" s="38"/>
      <c r="AB5" s="38"/>
      <c r="AC5" s="38"/>
      <c r="AD5" s="38"/>
      <c r="AE5" s="38">
        <v>100</v>
      </c>
      <c r="AF5" s="38"/>
      <c r="AG5" s="38" t="s">
        <v>151</v>
      </c>
      <c r="AH5" s="38" t="s">
        <v>152</v>
      </c>
    </row>
    <row r="6" spans="1:34" ht="15" x14ac:dyDescent="0.25">
      <c r="A6" s="38">
        <v>12410630931</v>
      </c>
      <c r="B6" s="38">
        <v>396431783</v>
      </c>
      <c r="C6" s="39">
        <v>44242.719930555555</v>
      </c>
      <c r="D6" s="39">
        <v>44242.722708333335</v>
      </c>
      <c r="E6" s="38" t="s">
        <v>166</v>
      </c>
      <c r="F6" s="38"/>
      <c r="G6" s="38"/>
      <c r="H6" s="38"/>
      <c r="I6" s="38"/>
      <c r="J6" s="38" t="s">
        <v>167</v>
      </c>
      <c r="K6" s="38" t="s">
        <v>168</v>
      </c>
      <c r="L6" s="38" t="s">
        <v>152</v>
      </c>
      <c r="M6" s="38"/>
      <c r="N6" s="38"/>
      <c r="O6" s="38">
        <v>175</v>
      </c>
      <c r="P6" s="38">
        <v>0</v>
      </c>
      <c r="Q6" s="38">
        <v>150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8">
        <v>25</v>
      </c>
      <c r="X6" s="38">
        <v>175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100</v>
      </c>
      <c r="AF6" s="38">
        <v>0</v>
      </c>
      <c r="AG6" s="38" t="s">
        <v>169</v>
      </c>
      <c r="AH6" s="38" t="s">
        <v>170</v>
      </c>
    </row>
    <row r="7" spans="1:34" ht="15" x14ac:dyDescent="0.25">
      <c r="A7" s="38">
        <v>12409818114</v>
      </c>
      <c r="B7" s="38">
        <v>396431783</v>
      </c>
      <c r="C7" s="39">
        <v>44242.479513888888</v>
      </c>
      <c r="D7" s="39">
        <v>44242.578032407408</v>
      </c>
      <c r="E7" s="38" t="s">
        <v>171</v>
      </c>
      <c r="F7" s="38"/>
      <c r="G7" s="38"/>
      <c r="H7" s="38"/>
      <c r="I7" s="38"/>
      <c r="J7" s="38" t="s">
        <v>172</v>
      </c>
      <c r="K7" s="38" t="s">
        <v>173</v>
      </c>
      <c r="L7" s="38" t="s">
        <v>152</v>
      </c>
      <c r="M7" s="38"/>
      <c r="N7" s="38"/>
      <c r="O7" s="38">
        <v>435</v>
      </c>
      <c r="P7" s="38">
        <v>310</v>
      </c>
      <c r="Q7" s="38">
        <v>100</v>
      </c>
      <c r="R7" s="38"/>
      <c r="S7" s="38"/>
      <c r="T7" s="38"/>
      <c r="U7" s="38"/>
      <c r="V7" s="38"/>
      <c r="W7" s="38">
        <v>25</v>
      </c>
      <c r="X7" s="38">
        <v>180</v>
      </c>
      <c r="Y7" s="38">
        <v>230</v>
      </c>
      <c r="Z7" s="38">
        <v>25</v>
      </c>
      <c r="AA7" s="38"/>
      <c r="AB7" s="38"/>
      <c r="AC7" s="38"/>
      <c r="AD7" s="38"/>
      <c r="AE7" s="38">
        <v>100</v>
      </c>
      <c r="AF7" s="38"/>
      <c r="AG7" s="38" t="s">
        <v>151</v>
      </c>
      <c r="AH7" s="38" t="s">
        <v>152</v>
      </c>
    </row>
    <row r="8" spans="1:34" ht="15" x14ac:dyDescent="0.25">
      <c r="A8" s="38">
        <v>12409801116</v>
      </c>
      <c r="B8" s="38">
        <v>396431783</v>
      </c>
      <c r="C8" s="39">
        <v>44238.445370370369</v>
      </c>
      <c r="D8" s="39">
        <v>44242.480682870373</v>
      </c>
      <c r="E8" s="38" t="s">
        <v>174</v>
      </c>
      <c r="F8" s="38"/>
      <c r="G8" s="38"/>
      <c r="H8" s="38"/>
      <c r="I8" s="38"/>
      <c r="J8" s="38" t="s">
        <v>175</v>
      </c>
      <c r="K8" s="38" t="s">
        <v>176</v>
      </c>
      <c r="L8" s="38" t="s">
        <v>170</v>
      </c>
      <c r="M8" s="38" t="s">
        <v>9</v>
      </c>
      <c r="N8" s="38" t="s">
        <v>177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 t="s">
        <v>151</v>
      </c>
      <c r="AH8" s="38" t="s">
        <v>152</v>
      </c>
    </row>
    <row r="9" spans="1:34" ht="15" x14ac:dyDescent="0.25">
      <c r="A9" s="38">
        <v>12409784321</v>
      </c>
      <c r="B9" s="38">
        <v>396431783</v>
      </c>
      <c r="C9" s="39">
        <v>44242.465451388889</v>
      </c>
      <c r="D9" s="39">
        <v>44242.654374999998</v>
      </c>
      <c r="E9" s="38" t="s">
        <v>178</v>
      </c>
      <c r="F9" s="38"/>
      <c r="G9" s="38"/>
      <c r="H9" s="38"/>
      <c r="I9" s="38"/>
      <c r="J9" s="38" t="s">
        <v>179</v>
      </c>
      <c r="K9" s="38" t="s">
        <v>180</v>
      </c>
      <c r="L9" s="38" t="s">
        <v>152</v>
      </c>
      <c r="M9" s="38"/>
      <c r="N9" s="38"/>
      <c r="O9" s="38">
        <v>300</v>
      </c>
      <c r="P9" s="38"/>
      <c r="Q9" s="38">
        <v>300</v>
      </c>
      <c r="R9" s="38"/>
      <c r="S9" s="38"/>
      <c r="T9" s="38"/>
      <c r="U9" s="38"/>
      <c r="V9" s="38"/>
      <c r="W9" s="38"/>
      <c r="X9" s="38">
        <v>300</v>
      </c>
      <c r="Y9" s="38"/>
      <c r="Z9" s="38"/>
      <c r="AA9" s="38"/>
      <c r="AB9" s="38"/>
      <c r="AC9" s="38"/>
      <c r="AD9" s="38"/>
      <c r="AE9" s="38">
        <v>100</v>
      </c>
      <c r="AF9" s="38"/>
      <c r="AG9" s="38" t="s">
        <v>151</v>
      </c>
      <c r="AH9" s="38" t="s">
        <v>152</v>
      </c>
    </row>
    <row r="10" spans="1:34" ht="15" x14ac:dyDescent="0.25">
      <c r="A10" s="38">
        <v>12409709323</v>
      </c>
      <c r="B10" s="38">
        <v>396431783</v>
      </c>
      <c r="C10" s="39">
        <v>44242.437708333331</v>
      </c>
      <c r="D10" s="39">
        <v>44242.438113425924</v>
      </c>
      <c r="E10" s="38" t="s">
        <v>178</v>
      </c>
      <c r="F10" s="38"/>
      <c r="G10" s="38"/>
      <c r="H10" s="38"/>
      <c r="I10" s="38"/>
      <c r="J10" s="38" t="s">
        <v>179</v>
      </c>
      <c r="K10" s="38" t="s">
        <v>181</v>
      </c>
      <c r="L10" s="38" t="s">
        <v>152</v>
      </c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</row>
    <row r="11" spans="1:34" ht="15" x14ac:dyDescent="0.25">
      <c r="A11" s="38">
        <v>12400952773</v>
      </c>
      <c r="B11" s="38">
        <v>396431783</v>
      </c>
      <c r="C11" s="39">
        <v>44238.446261574078</v>
      </c>
      <c r="D11" s="39">
        <v>44238.476875</v>
      </c>
      <c r="E11" s="38" t="s">
        <v>182</v>
      </c>
      <c r="F11" s="38"/>
      <c r="G11" s="38"/>
      <c r="H11" s="38"/>
      <c r="I11" s="38"/>
      <c r="J11" s="38" t="s">
        <v>183</v>
      </c>
      <c r="K11" s="38" t="s">
        <v>184</v>
      </c>
      <c r="L11" s="38" t="s">
        <v>152</v>
      </c>
      <c r="M11" s="38"/>
      <c r="N11" s="38"/>
      <c r="O11" s="38">
        <v>76</v>
      </c>
      <c r="P11" s="38">
        <v>26</v>
      </c>
      <c r="Q11" s="38"/>
      <c r="R11" s="38"/>
      <c r="S11" s="38"/>
      <c r="T11" s="38"/>
      <c r="U11" s="38">
        <v>50</v>
      </c>
      <c r="V11" s="38"/>
      <c r="W11" s="38"/>
      <c r="X11" s="38">
        <v>76</v>
      </c>
      <c r="Y11" s="38"/>
      <c r="Z11" s="38"/>
      <c r="AA11" s="38"/>
      <c r="AB11" s="38"/>
      <c r="AC11" s="38">
        <v>0</v>
      </c>
      <c r="AD11" s="38">
        <v>0</v>
      </c>
      <c r="AE11" s="38">
        <v>100</v>
      </c>
      <c r="AF11" s="38">
        <v>0</v>
      </c>
      <c r="AG11" s="38" t="s">
        <v>151</v>
      </c>
      <c r="AH11" s="38" t="s">
        <v>152</v>
      </c>
    </row>
    <row r="12" spans="1:34" ht="15" x14ac:dyDescent="0.25">
      <c r="A12" s="38">
        <v>12400844937</v>
      </c>
      <c r="B12" s="38">
        <v>396431783</v>
      </c>
      <c r="C12" s="39">
        <v>44238.400300925925</v>
      </c>
      <c r="D12" s="39">
        <v>44238.40179398148</v>
      </c>
      <c r="E12" s="38" t="s">
        <v>185</v>
      </c>
      <c r="F12" s="38"/>
      <c r="G12" s="38"/>
      <c r="H12" s="38"/>
      <c r="I12" s="38"/>
      <c r="J12" s="38" t="s">
        <v>186</v>
      </c>
      <c r="K12" s="38" t="s">
        <v>484</v>
      </c>
      <c r="L12" s="38" t="s">
        <v>152</v>
      </c>
      <c r="M12" s="38"/>
      <c r="N12" s="38"/>
      <c r="O12" s="38">
        <v>800</v>
      </c>
      <c r="P12" s="38"/>
      <c r="Q12" s="38">
        <v>800</v>
      </c>
      <c r="R12" s="38"/>
      <c r="S12" s="38"/>
      <c r="T12" s="38"/>
      <c r="U12" s="38"/>
      <c r="V12" s="38"/>
      <c r="W12" s="38"/>
      <c r="X12" s="38">
        <v>800</v>
      </c>
      <c r="Y12" s="38"/>
      <c r="Z12" s="38"/>
      <c r="AA12" s="38"/>
      <c r="AB12" s="38"/>
      <c r="AC12" s="38"/>
      <c r="AD12" s="38"/>
      <c r="AE12" s="38">
        <v>100</v>
      </c>
      <c r="AF12" s="38"/>
      <c r="AG12" s="38" t="s">
        <v>188</v>
      </c>
      <c r="AH12" s="38" t="s">
        <v>152</v>
      </c>
    </row>
    <row r="13" spans="1:34" ht="15" x14ac:dyDescent="0.25">
      <c r="A13" s="38">
        <v>12395458710</v>
      </c>
      <c r="B13" s="38">
        <v>396431783</v>
      </c>
      <c r="C13" s="39">
        <v>44236.74391203704</v>
      </c>
      <c r="D13" s="39">
        <v>44236.746921296297</v>
      </c>
      <c r="E13" s="38" t="s">
        <v>189</v>
      </c>
      <c r="F13" s="38"/>
      <c r="G13" s="38"/>
      <c r="H13" s="38"/>
      <c r="I13" s="38"/>
      <c r="J13" s="38" t="s">
        <v>190</v>
      </c>
      <c r="K13" s="38" t="s">
        <v>191</v>
      </c>
      <c r="L13" s="38" t="s">
        <v>152</v>
      </c>
      <c r="M13" s="38"/>
      <c r="N13" s="38"/>
      <c r="O13" s="38">
        <v>214</v>
      </c>
      <c r="P13" s="38"/>
      <c r="Q13" s="38">
        <v>214</v>
      </c>
      <c r="R13" s="38"/>
      <c r="S13" s="38"/>
      <c r="T13" s="38"/>
      <c r="U13" s="38"/>
      <c r="V13" s="38"/>
      <c r="W13" s="38"/>
      <c r="X13" s="38">
        <v>214</v>
      </c>
      <c r="Y13" s="38"/>
      <c r="Z13" s="38"/>
      <c r="AA13" s="38"/>
      <c r="AB13" s="38"/>
      <c r="AC13" s="38"/>
      <c r="AD13" s="38"/>
      <c r="AE13" s="38">
        <v>100</v>
      </c>
      <c r="AF13" s="38"/>
      <c r="AG13" s="38"/>
      <c r="AH13" s="38"/>
    </row>
    <row r="14" spans="1:34" ht="15" x14ac:dyDescent="0.25">
      <c r="A14" s="38">
        <v>12391185772</v>
      </c>
      <c r="B14" s="38">
        <v>396431783</v>
      </c>
      <c r="C14" s="39">
        <v>44235.504895833335</v>
      </c>
      <c r="D14" s="39">
        <v>44235.505266203705</v>
      </c>
      <c r="E14" s="38" t="s">
        <v>192</v>
      </c>
      <c r="F14" s="38"/>
      <c r="G14" s="38"/>
      <c r="H14" s="38"/>
      <c r="I14" s="38"/>
      <c r="J14" s="38" t="s">
        <v>193</v>
      </c>
      <c r="K14" s="38" t="s">
        <v>194</v>
      </c>
      <c r="L14" s="38" t="s">
        <v>152</v>
      </c>
      <c r="M14" s="38"/>
      <c r="N14" s="38"/>
      <c r="O14" s="38">
        <v>65</v>
      </c>
      <c r="P14" s="38"/>
      <c r="Q14" s="38">
        <v>65</v>
      </c>
      <c r="R14" s="38"/>
      <c r="S14" s="38"/>
      <c r="T14" s="38"/>
      <c r="U14" s="38"/>
      <c r="V14" s="38"/>
      <c r="W14" s="38"/>
      <c r="X14" s="38">
        <v>65</v>
      </c>
      <c r="Y14" s="38"/>
      <c r="Z14" s="38"/>
      <c r="AA14" s="38"/>
      <c r="AB14" s="38"/>
      <c r="AC14" s="38"/>
      <c r="AD14" s="38">
        <v>100</v>
      </c>
      <c r="AE14" s="38"/>
      <c r="AF14" s="38"/>
      <c r="AG14" s="38" t="s">
        <v>151</v>
      </c>
      <c r="AH14" s="38" t="s">
        <v>152</v>
      </c>
    </row>
    <row r="15" spans="1:34" ht="15" x14ac:dyDescent="0.25">
      <c r="A15" s="38">
        <v>12391184348</v>
      </c>
      <c r="B15" s="38">
        <v>396431783</v>
      </c>
      <c r="C15" s="39">
        <v>44235.504374999997</v>
      </c>
      <c r="D15" s="39">
        <v>44235.504803240743</v>
      </c>
      <c r="E15" s="38" t="s">
        <v>192</v>
      </c>
      <c r="F15" s="38"/>
      <c r="G15" s="38"/>
      <c r="H15" s="38"/>
      <c r="I15" s="38"/>
      <c r="J15" s="38" t="s">
        <v>193</v>
      </c>
      <c r="K15" s="38" t="s">
        <v>195</v>
      </c>
      <c r="L15" s="38" t="s">
        <v>152</v>
      </c>
      <c r="M15" s="38"/>
      <c r="N15" s="38"/>
      <c r="O15" s="38">
        <v>100</v>
      </c>
      <c r="P15" s="38">
        <v>100</v>
      </c>
      <c r="Q15" s="38"/>
      <c r="R15" s="38"/>
      <c r="S15" s="38"/>
      <c r="T15" s="38"/>
      <c r="U15" s="38"/>
      <c r="V15" s="38"/>
      <c r="W15" s="38"/>
      <c r="X15" s="38">
        <v>100</v>
      </c>
      <c r="Y15" s="38"/>
      <c r="Z15" s="38"/>
      <c r="AA15" s="38"/>
      <c r="AB15" s="38"/>
      <c r="AC15" s="38"/>
      <c r="AD15" s="38"/>
      <c r="AE15" s="38">
        <v>100</v>
      </c>
      <c r="AF15" s="38"/>
      <c r="AG15" s="38" t="s">
        <v>151</v>
      </c>
      <c r="AH15" s="38" t="s">
        <v>152</v>
      </c>
    </row>
    <row r="16" spans="1:34" ht="15" x14ac:dyDescent="0.25">
      <c r="A16" s="38">
        <v>12391182622</v>
      </c>
      <c r="B16" s="38">
        <v>396431783</v>
      </c>
      <c r="C16" s="39">
        <v>44235.503865740742</v>
      </c>
      <c r="D16" s="39">
        <v>44235.504282407404</v>
      </c>
      <c r="E16" s="38" t="s">
        <v>192</v>
      </c>
      <c r="F16" s="38"/>
      <c r="G16" s="38"/>
      <c r="H16" s="38"/>
      <c r="I16" s="38"/>
      <c r="J16" s="38" t="s">
        <v>193</v>
      </c>
      <c r="K16" s="38" t="s">
        <v>196</v>
      </c>
      <c r="L16" s="38" t="s">
        <v>152</v>
      </c>
      <c r="M16" s="38"/>
      <c r="N16" s="38"/>
      <c r="O16" s="38">
        <v>145</v>
      </c>
      <c r="P16" s="38">
        <v>145</v>
      </c>
      <c r="Q16" s="38"/>
      <c r="R16" s="38"/>
      <c r="S16" s="38"/>
      <c r="T16" s="38"/>
      <c r="U16" s="38"/>
      <c r="V16" s="38"/>
      <c r="W16" s="38"/>
      <c r="X16" s="38">
        <v>145</v>
      </c>
      <c r="Y16" s="38"/>
      <c r="Z16" s="38"/>
      <c r="AA16" s="38"/>
      <c r="AB16" s="38"/>
      <c r="AC16" s="38"/>
      <c r="AD16" s="38"/>
      <c r="AE16" s="38">
        <v>100</v>
      </c>
      <c r="AF16" s="38"/>
      <c r="AG16" s="38" t="s">
        <v>151</v>
      </c>
      <c r="AH16" s="38" t="s">
        <v>152</v>
      </c>
    </row>
    <row r="17" spans="1:34" ht="15" x14ac:dyDescent="0.25">
      <c r="A17" s="38">
        <v>12391176366</v>
      </c>
      <c r="B17" s="38">
        <v>396431783</v>
      </c>
      <c r="C17" s="39">
        <v>44235.501655092594</v>
      </c>
      <c r="D17" s="39">
        <v>44235.503738425927</v>
      </c>
      <c r="E17" s="38" t="s">
        <v>192</v>
      </c>
      <c r="F17" s="38"/>
      <c r="G17" s="38"/>
      <c r="H17" s="38"/>
      <c r="I17" s="38"/>
      <c r="J17" s="38" t="s">
        <v>193</v>
      </c>
      <c r="K17" s="38" t="s">
        <v>197</v>
      </c>
      <c r="L17" s="38" t="s">
        <v>152</v>
      </c>
      <c r="M17" s="38"/>
      <c r="N17" s="38"/>
      <c r="O17" s="38">
        <v>104</v>
      </c>
      <c r="P17" s="38">
        <v>79</v>
      </c>
      <c r="Q17" s="38">
        <v>25</v>
      </c>
      <c r="R17" s="38"/>
      <c r="S17" s="38"/>
      <c r="T17" s="38"/>
      <c r="U17" s="38"/>
      <c r="V17" s="38"/>
      <c r="W17" s="38"/>
      <c r="X17" s="38">
        <v>27</v>
      </c>
      <c r="Y17" s="38">
        <v>77</v>
      </c>
      <c r="Z17" s="38"/>
      <c r="AA17" s="38"/>
      <c r="AB17" s="38"/>
      <c r="AC17" s="38">
        <v>74</v>
      </c>
      <c r="AD17" s="38"/>
      <c r="AE17" s="38">
        <v>26</v>
      </c>
      <c r="AF17" s="38"/>
      <c r="AG17" s="38" t="s">
        <v>151</v>
      </c>
      <c r="AH17" s="38" t="s">
        <v>152</v>
      </c>
    </row>
    <row r="18" spans="1:34" ht="15" x14ac:dyDescent="0.25">
      <c r="A18" s="38">
        <v>12372280774</v>
      </c>
      <c r="B18" s="38">
        <v>396431783</v>
      </c>
      <c r="C18" s="39">
        <v>44228.652233796296</v>
      </c>
      <c r="D18" s="39">
        <v>44228.655127314814</v>
      </c>
      <c r="E18" s="38" t="s">
        <v>198</v>
      </c>
      <c r="F18" s="38"/>
      <c r="G18" s="38"/>
      <c r="H18" s="38"/>
      <c r="I18" s="38"/>
      <c r="J18" s="38" t="s">
        <v>199</v>
      </c>
      <c r="K18" s="38" t="s">
        <v>200</v>
      </c>
      <c r="L18" s="38" t="s">
        <v>152</v>
      </c>
      <c r="M18" s="38"/>
      <c r="N18" s="38"/>
      <c r="O18" s="38">
        <v>48</v>
      </c>
      <c r="P18" s="38">
        <v>10</v>
      </c>
      <c r="Q18" s="38">
        <v>28</v>
      </c>
      <c r="R18" s="38"/>
      <c r="S18" s="38"/>
      <c r="T18" s="38"/>
      <c r="U18" s="38">
        <v>10</v>
      </c>
      <c r="V18" s="38"/>
      <c r="W18" s="38"/>
      <c r="X18" s="38">
        <v>48</v>
      </c>
      <c r="Y18" s="38"/>
      <c r="Z18" s="38"/>
      <c r="AA18" s="38"/>
      <c r="AB18" s="38"/>
      <c r="AC18" s="38"/>
      <c r="AD18" s="38"/>
      <c r="AE18" s="38">
        <v>100</v>
      </c>
      <c r="AF18" s="38"/>
      <c r="AG18" s="38" t="s">
        <v>151</v>
      </c>
      <c r="AH18" s="38" t="s">
        <v>170</v>
      </c>
    </row>
    <row r="19" spans="1:34" ht="15" x14ac:dyDescent="0.25">
      <c r="A19" s="38">
        <v>12442549596</v>
      </c>
      <c r="B19" s="38">
        <v>396432108</v>
      </c>
      <c r="C19" s="39">
        <v>44252.743587962963</v>
      </c>
      <c r="D19" s="39">
        <v>44252.746400462966</v>
      </c>
      <c r="E19" s="38" t="s">
        <v>201</v>
      </c>
      <c r="F19" s="38"/>
      <c r="G19" s="38"/>
      <c r="H19" s="38"/>
      <c r="I19" s="38"/>
      <c r="J19" s="38" t="s">
        <v>202</v>
      </c>
      <c r="K19" s="38" t="s">
        <v>203</v>
      </c>
      <c r="L19" s="38" t="s">
        <v>152</v>
      </c>
      <c r="M19" s="38"/>
      <c r="N19" s="38"/>
      <c r="O19" s="38">
        <v>90</v>
      </c>
      <c r="P19" s="38">
        <v>82</v>
      </c>
      <c r="Q19" s="38"/>
      <c r="R19" s="38"/>
      <c r="S19" s="38"/>
      <c r="T19" s="38"/>
      <c r="U19" s="38"/>
      <c r="V19" s="38"/>
      <c r="W19" s="38">
        <v>8</v>
      </c>
      <c r="X19" s="38">
        <v>65</v>
      </c>
      <c r="Y19" s="38"/>
      <c r="Z19" s="38">
        <v>25</v>
      </c>
      <c r="AA19" s="38"/>
      <c r="AB19" s="38"/>
      <c r="AC19" s="38"/>
      <c r="AD19" s="38"/>
      <c r="AE19" s="38">
        <v>100</v>
      </c>
      <c r="AF19" s="38"/>
      <c r="AG19" s="38" t="s">
        <v>151</v>
      </c>
      <c r="AH19" s="38" t="s">
        <v>152</v>
      </c>
    </row>
    <row r="20" spans="1:34" x14ac:dyDescent="0.2">
      <c r="A20">
        <v>12420559399</v>
      </c>
      <c r="B20">
        <v>396431383</v>
      </c>
      <c r="C20" s="28">
        <v>44245.722534722219</v>
      </c>
      <c r="D20" s="28">
        <v>44245.724780092591</v>
      </c>
      <c r="E20" t="s">
        <v>204</v>
      </c>
      <c r="J20" s="29" t="s">
        <v>205</v>
      </c>
      <c r="K20" t="s">
        <v>206</v>
      </c>
      <c r="L20" t="s">
        <v>152</v>
      </c>
      <c r="O20">
        <v>300</v>
      </c>
      <c r="S20">
        <v>300</v>
      </c>
      <c r="Y20">
        <v>200</v>
      </c>
      <c r="Z20">
        <v>100</v>
      </c>
      <c r="AE20">
        <v>100</v>
      </c>
      <c r="AG20" t="s">
        <v>151</v>
      </c>
      <c r="AH20" t="s">
        <v>152</v>
      </c>
    </row>
    <row r="21" spans="1:34" x14ac:dyDescent="0.2">
      <c r="A21">
        <v>12395085990</v>
      </c>
      <c r="B21">
        <v>396431383</v>
      </c>
      <c r="C21" s="28">
        <v>44236.669722222221</v>
      </c>
      <c r="D21" s="28">
        <v>44236.682789351849</v>
      </c>
      <c r="E21" t="s">
        <v>207</v>
      </c>
      <c r="J21" s="29" t="s">
        <v>208</v>
      </c>
      <c r="K21" t="s">
        <v>209</v>
      </c>
      <c r="L21" t="s">
        <v>152</v>
      </c>
      <c r="O21">
        <v>75</v>
      </c>
      <c r="Q21">
        <v>10</v>
      </c>
      <c r="R21">
        <v>65</v>
      </c>
      <c r="X21">
        <v>75</v>
      </c>
      <c r="AE21">
        <v>100</v>
      </c>
      <c r="AG21" t="s">
        <v>151</v>
      </c>
      <c r="AH21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67ED-FD05-4A11-88A5-F2EB642803C5}">
  <dimension ref="A1:E42"/>
  <sheetViews>
    <sheetView topLeftCell="A16" workbookViewId="0">
      <selection activeCell="B1" sqref="B1"/>
    </sheetView>
  </sheetViews>
  <sheetFormatPr defaultRowHeight="12.75" x14ac:dyDescent="0.2"/>
  <cols>
    <col min="1" max="1" width="31.85546875" customWidth="1"/>
    <col min="2" max="5" width="31.140625" customWidth="1"/>
  </cols>
  <sheetData>
    <row r="1" spans="1:5" ht="15" x14ac:dyDescent="0.25">
      <c r="A1" s="20" t="s">
        <v>62</v>
      </c>
      <c r="B1" s="20" t="s">
        <v>63</v>
      </c>
      <c r="C1" s="20" t="s">
        <v>64</v>
      </c>
      <c r="D1" s="20" t="s">
        <v>65</v>
      </c>
      <c r="E1" s="20" t="s">
        <v>66</v>
      </c>
    </row>
    <row r="2" spans="1:5" ht="15" x14ac:dyDescent="0.25">
      <c r="A2" s="34" t="s">
        <v>483</v>
      </c>
      <c r="B2" s="20"/>
      <c r="C2" s="20"/>
      <c r="D2" s="34" t="s">
        <v>211</v>
      </c>
      <c r="E2" s="34" t="s">
        <v>69</v>
      </c>
    </row>
    <row r="3" spans="1:5" ht="15" x14ac:dyDescent="0.25">
      <c r="A3" s="25" t="s">
        <v>67</v>
      </c>
      <c r="C3" s="25"/>
      <c r="D3" s="20" t="s">
        <v>68</v>
      </c>
      <c r="E3" s="22" t="s">
        <v>69</v>
      </c>
    </row>
    <row r="4" spans="1:5" ht="15" x14ac:dyDescent="0.25">
      <c r="A4" s="25" t="s">
        <v>70</v>
      </c>
      <c r="C4" s="25"/>
      <c r="D4" s="20" t="s">
        <v>71</v>
      </c>
      <c r="E4" s="22" t="s">
        <v>69</v>
      </c>
    </row>
    <row r="5" spans="1:5" ht="15" x14ac:dyDescent="0.25">
      <c r="A5" s="25" t="s">
        <v>72</v>
      </c>
      <c r="C5" s="25"/>
      <c r="D5" s="20" t="s">
        <v>73</v>
      </c>
      <c r="E5" s="22" t="s">
        <v>69</v>
      </c>
    </row>
    <row r="6" spans="1:5" ht="15" x14ac:dyDescent="0.25">
      <c r="A6" s="25" t="s">
        <v>74</v>
      </c>
      <c r="C6" s="25"/>
      <c r="D6" s="20" t="s">
        <v>75</v>
      </c>
      <c r="E6" s="22" t="s">
        <v>69</v>
      </c>
    </row>
    <row r="7" spans="1:5" ht="15" x14ac:dyDescent="0.25">
      <c r="A7" s="25" t="s">
        <v>76</v>
      </c>
      <c r="C7" s="25"/>
      <c r="D7" s="20" t="s">
        <v>77</v>
      </c>
      <c r="E7" s="22" t="s">
        <v>69</v>
      </c>
    </row>
    <row r="8" spans="1:5" ht="15" x14ac:dyDescent="0.25">
      <c r="A8" s="25" t="s">
        <v>78</v>
      </c>
      <c r="C8" s="25"/>
      <c r="D8" s="20" t="s">
        <v>79</v>
      </c>
      <c r="E8" s="22" t="s">
        <v>69</v>
      </c>
    </row>
    <row r="9" spans="1:5" ht="15" x14ac:dyDescent="0.25">
      <c r="A9" s="25" t="s">
        <v>80</v>
      </c>
      <c r="C9" s="25"/>
      <c r="D9" s="20" t="s">
        <v>81</v>
      </c>
      <c r="E9" s="22" t="s">
        <v>69</v>
      </c>
    </row>
    <row r="10" spans="1:5" ht="15" x14ac:dyDescent="0.25">
      <c r="A10" s="25" t="s">
        <v>82</v>
      </c>
      <c r="C10" s="25"/>
      <c r="D10" s="20" t="s">
        <v>83</v>
      </c>
      <c r="E10" s="22" t="s">
        <v>69</v>
      </c>
    </row>
    <row r="11" spans="1:5" ht="15" x14ac:dyDescent="0.25">
      <c r="A11" s="25" t="s">
        <v>84</v>
      </c>
      <c r="C11" s="25"/>
      <c r="D11" s="20" t="s">
        <v>85</v>
      </c>
      <c r="E11" s="22" t="s">
        <v>69</v>
      </c>
    </row>
    <row r="12" spans="1:5" ht="15" x14ac:dyDescent="0.25">
      <c r="A12" s="25" t="s">
        <v>32</v>
      </c>
      <c r="C12" s="25" t="s">
        <v>86</v>
      </c>
      <c r="D12" s="20" t="s">
        <v>210</v>
      </c>
      <c r="E12" s="22" t="s">
        <v>69</v>
      </c>
    </row>
    <row r="13" spans="1:5" ht="15" x14ac:dyDescent="0.25">
      <c r="A13" s="25" t="s">
        <v>153</v>
      </c>
      <c r="C13" s="25" t="s">
        <v>86</v>
      </c>
      <c r="D13" s="20" t="s">
        <v>87</v>
      </c>
      <c r="E13" s="22" t="s">
        <v>69</v>
      </c>
    </row>
    <row r="14" spans="1:5" s="20" customFormat="1" ht="15" x14ac:dyDescent="0.25">
      <c r="A14" s="21" t="s">
        <v>88</v>
      </c>
      <c r="B14" s="21"/>
      <c r="C14" s="21"/>
      <c r="D14" s="20" t="s">
        <v>89</v>
      </c>
      <c r="E14" s="22" t="s">
        <v>69</v>
      </c>
    </row>
    <row r="15" spans="1:5" s="20" customFormat="1" ht="15" x14ac:dyDescent="0.25">
      <c r="A15" s="21" t="s">
        <v>90</v>
      </c>
      <c r="B15" s="21"/>
      <c r="C15" s="21"/>
      <c r="D15" s="20" t="s">
        <v>91</v>
      </c>
      <c r="E15" s="22" t="s">
        <v>69</v>
      </c>
    </row>
    <row r="16" spans="1:5" s="20" customFormat="1" ht="15" x14ac:dyDescent="0.25">
      <c r="A16" s="21" t="s">
        <v>3</v>
      </c>
      <c r="B16" s="21"/>
      <c r="C16" s="21"/>
      <c r="D16" s="20" t="s">
        <v>92</v>
      </c>
      <c r="E16" s="22" t="s">
        <v>69</v>
      </c>
    </row>
    <row r="17" spans="1:5" s="20" customFormat="1" ht="15" x14ac:dyDescent="0.25">
      <c r="A17" s="21" t="s">
        <v>4</v>
      </c>
      <c r="B17" s="21"/>
      <c r="C17" s="21"/>
      <c r="D17" s="20" t="s">
        <v>93</v>
      </c>
      <c r="E17" s="22" t="s">
        <v>69</v>
      </c>
    </row>
    <row r="18" spans="1:5" s="20" customFormat="1" ht="15" x14ac:dyDescent="0.25">
      <c r="A18" s="21" t="s">
        <v>5</v>
      </c>
      <c r="B18" s="21"/>
      <c r="C18" s="21"/>
      <c r="D18" s="20" t="s">
        <v>94</v>
      </c>
      <c r="E18" s="22" t="s">
        <v>69</v>
      </c>
    </row>
    <row r="19" spans="1:5" s="20" customFormat="1" ht="15" x14ac:dyDescent="0.25">
      <c r="A19" s="21" t="s">
        <v>6</v>
      </c>
      <c r="B19" s="21"/>
      <c r="C19" s="21"/>
      <c r="D19" s="20" t="s">
        <v>95</v>
      </c>
      <c r="E19" s="22" t="s">
        <v>69</v>
      </c>
    </row>
    <row r="20" spans="1:5" ht="15" x14ac:dyDescent="0.25">
      <c r="A20" s="25" t="s">
        <v>154</v>
      </c>
      <c r="B20" t="s">
        <v>96</v>
      </c>
      <c r="C20" s="25" t="s">
        <v>97</v>
      </c>
      <c r="D20" s="23" t="s">
        <v>96</v>
      </c>
      <c r="E20" s="22" t="s">
        <v>69</v>
      </c>
    </row>
    <row r="21" spans="1:5" ht="15" x14ac:dyDescent="0.25">
      <c r="A21" s="25" t="s">
        <v>155</v>
      </c>
      <c r="B21" t="s">
        <v>98</v>
      </c>
      <c r="C21" s="25" t="s">
        <v>97</v>
      </c>
      <c r="D21" s="20" t="s">
        <v>98</v>
      </c>
      <c r="E21" s="22" t="s">
        <v>69</v>
      </c>
    </row>
    <row r="22" spans="1:5" ht="15" x14ac:dyDescent="0.25">
      <c r="A22" s="25"/>
      <c r="C22" s="25" t="s">
        <v>9</v>
      </c>
      <c r="D22" s="23" t="s">
        <v>99</v>
      </c>
      <c r="E22" s="22" t="s">
        <v>69</v>
      </c>
    </row>
    <row r="23" spans="1:5" ht="15" x14ac:dyDescent="0.25">
      <c r="A23" s="25" t="s">
        <v>156</v>
      </c>
      <c r="B23" t="s">
        <v>101</v>
      </c>
      <c r="C23" s="25" t="s">
        <v>86</v>
      </c>
      <c r="D23" s="20" t="s">
        <v>101</v>
      </c>
      <c r="E23" s="22" t="s">
        <v>102</v>
      </c>
    </row>
    <row r="24" spans="1:5" ht="15" x14ac:dyDescent="0.25">
      <c r="A24" s="25" t="s">
        <v>157</v>
      </c>
      <c r="B24" t="s">
        <v>103</v>
      </c>
      <c r="C24" s="25" t="s">
        <v>104</v>
      </c>
      <c r="D24" s="24" t="s">
        <v>105</v>
      </c>
      <c r="E24" s="22" t="s">
        <v>102</v>
      </c>
    </row>
    <row r="25" spans="1:5" ht="15" x14ac:dyDescent="0.25">
      <c r="A25" s="25"/>
      <c r="C25" s="25" t="s">
        <v>106</v>
      </c>
      <c r="D25" s="24" t="s">
        <v>107</v>
      </c>
      <c r="E25" s="22" t="s">
        <v>102</v>
      </c>
    </row>
    <row r="26" spans="1:5" ht="15" x14ac:dyDescent="0.25">
      <c r="A26" s="25"/>
      <c r="C26" s="25" t="s">
        <v>108</v>
      </c>
      <c r="D26" s="24" t="s">
        <v>109</v>
      </c>
      <c r="E26" s="22" t="s">
        <v>102</v>
      </c>
    </row>
    <row r="27" spans="1:5" ht="15" x14ac:dyDescent="0.25">
      <c r="A27" s="25"/>
      <c r="C27" s="25" t="s">
        <v>110</v>
      </c>
      <c r="D27" s="24" t="s">
        <v>111</v>
      </c>
      <c r="E27" s="22" t="s">
        <v>102</v>
      </c>
    </row>
    <row r="28" spans="1:5" ht="15" x14ac:dyDescent="0.25">
      <c r="A28" s="25"/>
      <c r="C28" s="25" t="s">
        <v>112</v>
      </c>
      <c r="D28" s="24" t="s">
        <v>113</v>
      </c>
      <c r="E28" s="22" t="s">
        <v>102</v>
      </c>
    </row>
    <row r="29" spans="1:5" ht="15" x14ac:dyDescent="0.25">
      <c r="A29" s="25"/>
      <c r="C29" s="25" t="s">
        <v>114</v>
      </c>
      <c r="D29" s="24" t="s">
        <v>115</v>
      </c>
      <c r="E29" s="22" t="s">
        <v>102</v>
      </c>
    </row>
    <row r="30" spans="1:5" ht="15" x14ac:dyDescent="0.25">
      <c r="A30" s="25"/>
      <c r="C30" s="25" t="s">
        <v>116</v>
      </c>
      <c r="D30" s="24" t="s">
        <v>117</v>
      </c>
      <c r="E30" s="22" t="s">
        <v>102</v>
      </c>
    </row>
    <row r="31" spans="1:5" ht="15" x14ac:dyDescent="0.25">
      <c r="A31" s="25"/>
      <c r="C31" s="25" t="s">
        <v>9</v>
      </c>
      <c r="D31" s="24" t="s">
        <v>118</v>
      </c>
      <c r="E31" s="22" t="s">
        <v>102</v>
      </c>
    </row>
    <row r="32" spans="1:5" ht="15" x14ac:dyDescent="0.25">
      <c r="A32" s="25" t="s">
        <v>158</v>
      </c>
      <c r="B32" t="s">
        <v>119</v>
      </c>
      <c r="C32" s="25" t="s">
        <v>21</v>
      </c>
      <c r="D32" s="24" t="s">
        <v>120</v>
      </c>
      <c r="E32" s="22" t="s">
        <v>102</v>
      </c>
    </row>
    <row r="33" spans="1:5" ht="15" x14ac:dyDescent="0.25">
      <c r="A33" s="25"/>
      <c r="C33" s="25" t="s">
        <v>121</v>
      </c>
      <c r="D33" s="24" t="s">
        <v>122</v>
      </c>
      <c r="E33" s="22" t="s">
        <v>102</v>
      </c>
    </row>
    <row r="34" spans="1:5" ht="15" x14ac:dyDescent="0.25">
      <c r="A34" s="25"/>
      <c r="C34" s="25" t="s">
        <v>123</v>
      </c>
      <c r="D34" s="24" t="s">
        <v>124</v>
      </c>
      <c r="E34" s="22" t="s">
        <v>102</v>
      </c>
    </row>
    <row r="35" spans="1:5" ht="15" x14ac:dyDescent="0.25">
      <c r="A35" s="25"/>
      <c r="C35" s="25" t="s">
        <v>125</v>
      </c>
      <c r="D35" s="24" t="s">
        <v>126</v>
      </c>
      <c r="E35" s="22" t="s">
        <v>102</v>
      </c>
    </row>
    <row r="36" spans="1:5" ht="15" x14ac:dyDescent="0.25">
      <c r="A36" s="25"/>
      <c r="C36" s="25" t="s">
        <v>25</v>
      </c>
      <c r="D36" s="24" t="s">
        <v>127</v>
      </c>
      <c r="E36" s="22" t="s">
        <v>102</v>
      </c>
    </row>
    <row r="37" spans="1:5" ht="15" x14ac:dyDescent="0.25">
      <c r="A37" s="25" t="s">
        <v>128</v>
      </c>
      <c r="B37" t="s">
        <v>129</v>
      </c>
      <c r="C37" s="25" t="s">
        <v>130</v>
      </c>
      <c r="D37" s="24" t="s">
        <v>131</v>
      </c>
      <c r="E37" s="22" t="s">
        <v>132</v>
      </c>
    </row>
    <row r="38" spans="1:5" ht="15" x14ac:dyDescent="0.25">
      <c r="A38" s="25"/>
      <c r="C38" s="25" t="s">
        <v>133</v>
      </c>
      <c r="D38" s="24" t="s">
        <v>134</v>
      </c>
      <c r="E38" s="22" t="s">
        <v>132</v>
      </c>
    </row>
    <row r="39" spans="1:5" ht="15" x14ac:dyDescent="0.25">
      <c r="A39" s="25"/>
      <c r="C39" s="25" t="s">
        <v>135</v>
      </c>
      <c r="D39" s="24" t="s">
        <v>136</v>
      </c>
      <c r="E39" s="22" t="s">
        <v>132</v>
      </c>
    </row>
    <row r="40" spans="1:5" ht="15" x14ac:dyDescent="0.25">
      <c r="A40" s="25"/>
      <c r="C40" s="25" t="s">
        <v>137</v>
      </c>
      <c r="D40" s="24" t="s">
        <v>138</v>
      </c>
      <c r="E40" s="22" t="s">
        <v>132</v>
      </c>
    </row>
    <row r="41" spans="1:5" ht="15" x14ac:dyDescent="0.25">
      <c r="A41" s="25" t="s">
        <v>139</v>
      </c>
      <c r="B41" t="s">
        <v>140</v>
      </c>
      <c r="C41" s="25" t="s">
        <v>97</v>
      </c>
      <c r="D41" s="24" t="s">
        <v>140</v>
      </c>
      <c r="E41" s="22" t="s">
        <v>69</v>
      </c>
    </row>
    <row r="42" spans="1:5" ht="15" x14ac:dyDescent="0.25">
      <c r="A42" s="25" t="s">
        <v>141</v>
      </c>
      <c r="B42" t="s">
        <v>142</v>
      </c>
      <c r="C42" s="25" t="s">
        <v>97</v>
      </c>
      <c r="D42" s="24" t="s">
        <v>142</v>
      </c>
      <c r="E42" s="22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E216-808A-4541-981B-7973A527D782}">
  <sheetPr>
    <tabColor rgb="FFFFC000"/>
  </sheetPr>
  <dimension ref="A1:AO24"/>
  <sheetViews>
    <sheetView showGridLines="0" zoomScaleNormal="100" workbookViewId="0">
      <selection activeCell="M4" sqref="M4:R4"/>
    </sheetView>
  </sheetViews>
  <sheetFormatPr defaultRowHeight="12.75" x14ac:dyDescent="0.2"/>
  <cols>
    <col min="2" max="2" width="13.85546875" customWidth="1"/>
    <col min="3" max="3" width="11.28515625" customWidth="1"/>
    <col min="4" max="4" width="20.42578125" bestFit="1" customWidth="1"/>
    <col min="5" max="5" width="19.85546875" customWidth="1"/>
    <col min="6" max="6" width="18.7109375" customWidth="1"/>
    <col min="10" max="10" width="13.140625" customWidth="1"/>
    <col min="11" max="11" width="41.140625" customWidth="1"/>
    <col min="12" max="12" width="53.28515625" bestFit="1" customWidth="1"/>
    <col min="13" max="13" width="18.5703125" customWidth="1"/>
    <col min="14" max="18" width="53.28515625" customWidth="1"/>
    <col min="19" max="19" width="29" bestFit="1" customWidth="1"/>
    <col min="20" max="20" width="23" customWidth="1"/>
    <col min="21" max="21" width="74.42578125" bestFit="1" customWidth="1"/>
    <col min="22" max="22" width="45" customWidth="1"/>
    <col min="23" max="23" width="21.42578125" bestFit="1" customWidth="1"/>
    <col min="24" max="24" width="21.85546875" bestFit="1" customWidth="1"/>
    <col min="25" max="25" width="23.28515625" bestFit="1" customWidth="1"/>
    <col min="26" max="26" width="45.140625" bestFit="1" customWidth="1"/>
    <col min="27" max="27" width="13.85546875" bestFit="1" customWidth="1"/>
    <col min="28" max="28" width="40" bestFit="1" customWidth="1"/>
    <col min="29" max="29" width="22" bestFit="1" customWidth="1"/>
    <col min="30" max="30" width="202" bestFit="1" customWidth="1"/>
    <col min="31" max="31" width="11.85546875" bestFit="1" customWidth="1"/>
    <col min="32" max="32" width="14.42578125" bestFit="1" customWidth="1"/>
    <col min="33" max="33" width="14.85546875" bestFit="1" customWidth="1"/>
    <col min="34" max="34" width="6.28515625" bestFit="1" customWidth="1"/>
    <col min="35" max="35" width="85.7109375" bestFit="1" customWidth="1"/>
    <col min="36" max="36" width="35.28515625" bestFit="1" customWidth="1"/>
    <col min="37" max="37" width="44.85546875" bestFit="1" customWidth="1"/>
    <col min="38" max="38" width="10.140625" bestFit="1" customWidth="1"/>
    <col min="39" max="39" width="105.42578125" bestFit="1" customWidth="1"/>
    <col min="40" max="40" width="78.85546875" bestFit="1" customWidth="1"/>
  </cols>
  <sheetData>
    <row r="1" spans="1:41" ht="14.25" x14ac:dyDescent="0.2">
      <c r="B1" s="25" t="s">
        <v>67</v>
      </c>
      <c r="C1" s="25" t="s">
        <v>70</v>
      </c>
      <c r="D1" s="25" t="s">
        <v>72</v>
      </c>
      <c r="E1" s="25" t="s">
        <v>74</v>
      </c>
      <c r="F1" s="25" t="s">
        <v>76</v>
      </c>
      <c r="G1" s="25" t="s">
        <v>78</v>
      </c>
      <c r="H1" s="25" t="s">
        <v>80</v>
      </c>
      <c r="I1" s="25" t="s">
        <v>82</v>
      </c>
      <c r="J1" s="25" t="s">
        <v>84</v>
      </c>
      <c r="K1" s="25" t="s">
        <v>32</v>
      </c>
      <c r="L1" s="25" t="s">
        <v>153</v>
      </c>
      <c r="M1" s="25"/>
      <c r="N1" s="25"/>
      <c r="O1" s="25"/>
      <c r="P1" s="25"/>
      <c r="Q1" s="25"/>
      <c r="R1" s="25"/>
      <c r="S1" s="25" t="s">
        <v>154</v>
      </c>
      <c r="T1" s="25" t="s">
        <v>155</v>
      </c>
      <c r="U1" s="25"/>
      <c r="V1" s="25" t="s">
        <v>156</v>
      </c>
      <c r="W1" s="25" t="s">
        <v>157</v>
      </c>
      <c r="X1" s="25"/>
      <c r="Y1" s="25"/>
      <c r="Z1" s="25"/>
      <c r="AA1" s="25"/>
      <c r="AB1" s="25"/>
      <c r="AC1" s="25"/>
      <c r="AD1" s="25"/>
      <c r="AE1" s="25" t="s">
        <v>158</v>
      </c>
      <c r="AF1" s="25"/>
      <c r="AG1" s="25"/>
      <c r="AH1" s="25"/>
      <c r="AI1" s="25"/>
      <c r="AJ1" s="25" t="s">
        <v>128</v>
      </c>
      <c r="AK1" s="25"/>
      <c r="AL1" s="25"/>
      <c r="AM1" s="25"/>
      <c r="AN1" s="25" t="s">
        <v>139</v>
      </c>
      <c r="AO1" s="25" t="s">
        <v>141</v>
      </c>
    </row>
    <row r="2" spans="1:41" ht="14.25" x14ac:dyDescent="0.2">
      <c r="B2" s="25"/>
      <c r="C2" s="25"/>
      <c r="D2" s="25"/>
      <c r="E2" s="25"/>
      <c r="F2" s="25"/>
      <c r="G2" s="25"/>
      <c r="H2" s="25"/>
      <c r="I2" s="25"/>
      <c r="J2" s="25"/>
      <c r="K2" s="25" t="s">
        <v>86</v>
      </c>
      <c r="L2" s="25" t="s">
        <v>86</v>
      </c>
      <c r="M2" s="25"/>
      <c r="N2" s="25"/>
      <c r="O2" s="25"/>
      <c r="P2" s="25"/>
      <c r="Q2" s="25"/>
      <c r="R2" s="25"/>
      <c r="S2" s="25" t="s">
        <v>97</v>
      </c>
      <c r="T2" s="25" t="s">
        <v>97</v>
      </c>
      <c r="U2" s="25" t="s">
        <v>9</v>
      </c>
      <c r="V2" s="25" t="s">
        <v>86</v>
      </c>
      <c r="W2" s="25" t="s">
        <v>104</v>
      </c>
      <c r="X2" s="25" t="s">
        <v>106</v>
      </c>
      <c r="Y2" s="25" t="s">
        <v>108</v>
      </c>
      <c r="Z2" s="25" t="s">
        <v>110</v>
      </c>
      <c r="AA2" s="25" t="s">
        <v>112</v>
      </c>
      <c r="AB2" s="25" t="s">
        <v>114</v>
      </c>
      <c r="AC2" s="25" t="s">
        <v>116</v>
      </c>
      <c r="AD2" s="25" t="s">
        <v>9</v>
      </c>
      <c r="AE2" s="25" t="s">
        <v>21</v>
      </c>
      <c r="AF2" s="25" t="s">
        <v>121</v>
      </c>
      <c r="AG2" s="25" t="s">
        <v>123</v>
      </c>
      <c r="AH2" s="25" t="s">
        <v>125</v>
      </c>
      <c r="AI2" s="25" t="s">
        <v>25</v>
      </c>
      <c r="AJ2" s="25" t="s">
        <v>130</v>
      </c>
      <c r="AK2" s="25" t="s">
        <v>133</v>
      </c>
      <c r="AL2" s="25" t="s">
        <v>135</v>
      </c>
      <c r="AM2" s="25" t="s">
        <v>137</v>
      </c>
      <c r="AN2" s="25" t="s">
        <v>97</v>
      </c>
      <c r="AO2" s="25" t="s">
        <v>97</v>
      </c>
    </row>
    <row r="3" spans="1:41" ht="15" x14ac:dyDescent="0.25">
      <c r="A3" t="s">
        <v>211</v>
      </c>
      <c r="B3" s="20" t="s">
        <v>68</v>
      </c>
      <c r="C3" s="20" t="s">
        <v>71</v>
      </c>
      <c r="D3" s="20" t="s">
        <v>73</v>
      </c>
      <c r="E3" s="20" t="s">
        <v>75</v>
      </c>
      <c r="F3" s="20" t="s">
        <v>77</v>
      </c>
      <c r="G3" s="20" t="s">
        <v>79</v>
      </c>
      <c r="H3" s="20" t="s">
        <v>81</v>
      </c>
      <c r="I3" s="20" t="s">
        <v>83</v>
      </c>
      <c r="J3" s="20" t="s">
        <v>85</v>
      </c>
      <c r="K3" s="20" t="s">
        <v>210</v>
      </c>
      <c r="L3" s="20" t="s">
        <v>87</v>
      </c>
      <c r="M3" s="20" t="s">
        <v>89</v>
      </c>
      <c r="N3" s="20" t="s">
        <v>91</v>
      </c>
      <c r="O3" s="20" t="s">
        <v>92</v>
      </c>
      <c r="P3" s="20" t="s">
        <v>93</v>
      </c>
      <c r="Q3" s="20" t="s">
        <v>94</v>
      </c>
      <c r="R3" s="20" t="s">
        <v>95</v>
      </c>
      <c r="S3" s="23" t="s">
        <v>96</v>
      </c>
      <c r="T3" s="20" t="s">
        <v>98</v>
      </c>
      <c r="U3" s="23" t="s">
        <v>99</v>
      </c>
      <c r="V3" s="20" t="s">
        <v>101</v>
      </c>
      <c r="W3" s="24" t="s">
        <v>105</v>
      </c>
      <c r="X3" s="24" t="s">
        <v>107</v>
      </c>
      <c r="Y3" s="24" t="s">
        <v>109</v>
      </c>
      <c r="Z3" s="24" t="s">
        <v>111</v>
      </c>
      <c r="AA3" s="24" t="s">
        <v>113</v>
      </c>
      <c r="AB3" s="24" t="s">
        <v>115</v>
      </c>
      <c r="AC3" s="24" t="s">
        <v>117</v>
      </c>
      <c r="AD3" s="24" t="s">
        <v>118</v>
      </c>
      <c r="AE3" s="24" t="s">
        <v>120</v>
      </c>
      <c r="AF3" s="24" t="s">
        <v>122</v>
      </c>
      <c r="AG3" s="24" t="s">
        <v>124</v>
      </c>
      <c r="AH3" s="24" t="s">
        <v>126</v>
      </c>
      <c r="AI3" s="24" t="s">
        <v>127</v>
      </c>
      <c r="AJ3" s="24" t="s">
        <v>131</v>
      </c>
      <c r="AK3" s="24" t="s">
        <v>134</v>
      </c>
      <c r="AL3" s="24" t="s">
        <v>136</v>
      </c>
      <c r="AM3" s="24" t="s">
        <v>138</v>
      </c>
      <c r="AN3" s="24" t="s">
        <v>140</v>
      </c>
      <c r="AO3" s="24" t="s">
        <v>142</v>
      </c>
    </row>
    <row r="4" spans="1:41" ht="15" x14ac:dyDescent="0.25">
      <c r="A4" t="s">
        <v>212</v>
      </c>
      <c r="B4" s="26">
        <v>12434535301</v>
      </c>
      <c r="C4" s="26">
        <v>396431783</v>
      </c>
      <c r="D4" s="27">
        <v>44250.511782407404</v>
      </c>
      <c r="E4" s="27">
        <v>44250.514189814814</v>
      </c>
      <c r="F4" s="26" t="s">
        <v>159</v>
      </c>
      <c r="G4" s="26"/>
      <c r="H4" s="26"/>
      <c r="I4" s="26"/>
      <c r="J4" s="26"/>
      <c r="K4" s="26" t="s">
        <v>160</v>
      </c>
      <c r="L4" s="26" t="s">
        <v>161</v>
      </c>
      <c r="M4" s="26">
        <f>VLOOKUP(L4,DFanalysis!B:G,2,FALSE)</f>
        <v>97174</v>
      </c>
      <c r="N4" s="26" t="str">
        <f>VLOOKUP(L4,DFanalysis!B:K,10,FALSE)</f>
        <v>GBP</v>
      </c>
      <c r="O4" s="26" t="str">
        <f>VLOOKUP(L4,DFanalysis!B:G,3,FALSE)</f>
        <v>Mixed: Senior+Subordinated+Preferred equity</v>
      </c>
      <c r="P4" s="26" t="str">
        <f>VLOOKUP(L4,DFanalysis!B:E,4,FALSE)</f>
        <v>Europe</v>
      </c>
      <c r="Q4" s="26" t="str">
        <f>VLOOKUP(L4,DFanalysis!B:F,5,FALSE)</f>
        <v>Closed end</v>
      </c>
      <c r="R4" s="26">
        <f>VLOOKUP(L4,DFanalysis!B:G,6,FALSE)</f>
        <v>2019</v>
      </c>
      <c r="S4" s="26" t="s">
        <v>152</v>
      </c>
      <c r="T4" s="26"/>
      <c r="U4" s="26"/>
      <c r="V4" s="26">
        <v>918</v>
      </c>
      <c r="W4" s="26">
        <v>814</v>
      </c>
      <c r="X4" s="26"/>
      <c r="Y4" s="26">
        <v>52</v>
      </c>
      <c r="Z4" s="26"/>
      <c r="AA4" s="26"/>
      <c r="AB4" s="26"/>
      <c r="AC4" s="26"/>
      <c r="AD4" s="26">
        <v>52</v>
      </c>
      <c r="AE4" s="26">
        <v>52</v>
      </c>
      <c r="AF4" s="26">
        <v>34</v>
      </c>
      <c r="AG4" s="26">
        <v>832</v>
      </c>
      <c r="AH4" s="26"/>
      <c r="AI4" s="26"/>
      <c r="AJ4" s="26"/>
      <c r="AK4" s="26"/>
      <c r="AL4" s="26">
        <v>100</v>
      </c>
      <c r="AM4" s="26"/>
      <c r="AN4" s="26" t="s">
        <v>151</v>
      </c>
      <c r="AO4" s="26" t="s">
        <v>152</v>
      </c>
    </row>
    <row r="5" spans="1:41" ht="15" x14ac:dyDescent="0.25">
      <c r="A5" t="s">
        <v>212</v>
      </c>
      <c r="B5" s="26">
        <v>12419473127</v>
      </c>
      <c r="C5" s="26">
        <v>396431783</v>
      </c>
      <c r="D5" s="27">
        <v>44245.501493055555</v>
      </c>
      <c r="E5" s="27">
        <v>44245.502465277779</v>
      </c>
      <c r="F5" s="26" t="s">
        <v>162</v>
      </c>
      <c r="G5" s="26"/>
      <c r="H5" s="26"/>
      <c r="I5" s="26"/>
      <c r="J5" s="26"/>
      <c r="K5" s="26" t="s">
        <v>163</v>
      </c>
      <c r="L5" s="26" t="s">
        <v>164</v>
      </c>
      <c r="M5" s="26">
        <f>VLOOKUP(L5,DFanalysis!B:G,2,FALSE)</f>
        <v>10000001</v>
      </c>
      <c r="N5" s="26" t="str">
        <f>VLOOKUP(L5,DFanalysis!B:K,10,FALSE)</f>
        <v>GBP</v>
      </c>
      <c r="O5" s="26" t="str">
        <f>VLOOKUP(L5,DFanalysis!B:G,3,FALSE)</f>
        <v>Senior</v>
      </c>
      <c r="P5" s="26" t="str">
        <f>VLOOKUP(L5,DFanalysis!B:E,4,FALSE)</f>
        <v>Europe</v>
      </c>
      <c r="Q5" s="26" t="str">
        <f>VLOOKUP(L5,DFanalysis!B:F,5,FALSE)</f>
        <v>Closed end</v>
      </c>
      <c r="R5" s="26">
        <f>VLOOKUP(L5,DFanalysis!B:G,6,FALSE)</f>
        <v>2020</v>
      </c>
      <c r="S5" s="26" t="s">
        <v>152</v>
      </c>
      <c r="T5" s="26"/>
      <c r="U5" s="26"/>
      <c r="V5" s="26">
        <v>360</v>
      </c>
      <c r="W5" s="26">
        <v>360</v>
      </c>
      <c r="X5" s="26"/>
      <c r="Y5" s="26"/>
      <c r="Z5" s="26"/>
      <c r="AA5" s="26"/>
      <c r="AB5" s="26"/>
      <c r="AC5" s="26"/>
      <c r="AD5" s="26"/>
      <c r="AE5" s="26">
        <v>360</v>
      </c>
      <c r="AF5" s="26"/>
      <c r="AG5" s="26"/>
      <c r="AH5" s="26"/>
      <c r="AI5" s="26"/>
      <c r="AJ5" s="26"/>
      <c r="AK5" s="26"/>
      <c r="AL5" s="26">
        <v>100</v>
      </c>
      <c r="AM5" s="26"/>
      <c r="AN5" s="26" t="s">
        <v>151</v>
      </c>
      <c r="AO5" s="26" t="s">
        <v>152</v>
      </c>
    </row>
    <row r="6" spans="1:41" ht="15" x14ac:dyDescent="0.25">
      <c r="A6" t="s">
        <v>212</v>
      </c>
      <c r="B6" s="26">
        <v>12419464784</v>
      </c>
      <c r="C6" s="26">
        <v>396431783</v>
      </c>
      <c r="D6" s="27">
        <v>44245.499085648145</v>
      </c>
      <c r="E6" s="27">
        <v>44245.501250000001</v>
      </c>
      <c r="F6" s="26" t="s">
        <v>162</v>
      </c>
      <c r="G6" s="26"/>
      <c r="H6" s="26"/>
      <c r="I6" s="26"/>
      <c r="J6" s="26"/>
      <c r="K6" s="26" t="s">
        <v>163</v>
      </c>
      <c r="L6" s="26" t="s">
        <v>165</v>
      </c>
      <c r="M6" s="26">
        <f>VLOOKUP(L6,DFanalysis!B:G,2,FALSE)</f>
        <v>10000002</v>
      </c>
      <c r="N6" s="26" t="str">
        <f>VLOOKUP(L6,DFanalysis!B:K,10,FALSE)</f>
        <v>GBP</v>
      </c>
      <c r="O6" s="26" t="str">
        <f>VLOOKUP(L6,DFanalysis!B:G,3,FALSE)</f>
        <v>Senior</v>
      </c>
      <c r="P6" s="26" t="str">
        <f>VLOOKUP(L6,DFanalysis!B:E,4,FALSE)</f>
        <v>Europe</v>
      </c>
      <c r="Q6" s="26" t="str">
        <f>VLOOKUP(L6,DFanalysis!B:F,5,FALSE)</f>
        <v>Closed end</v>
      </c>
      <c r="R6" s="26">
        <f>VLOOKUP(L6,DFanalysis!B:G,6,FALSE)</f>
        <v>2020</v>
      </c>
      <c r="S6" s="26" t="s">
        <v>152</v>
      </c>
      <c r="T6" s="26"/>
      <c r="U6" s="26"/>
      <c r="V6" s="26">
        <v>110</v>
      </c>
      <c r="W6" s="26">
        <v>110</v>
      </c>
      <c r="X6" s="26"/>
      <c r="Y6" s="26"/>
      <c r="Z6" s="26"/>
      <c r="AA6" s="26"/>
      <c r="AB6" s="26"/>
      <c r="AC6" s="26"/>
      <c r="AD6" s="26"/>
      <c r="AE6" s="26">
        <v>110</v>
      </c>
      <c r="AF6" s="26"/>
      <c r="AG6" s="26"/>
      <c r="AH6" s="26"/>
      <c r="AI6" s="26"/>
      <c r="AJ6" s="26"/>
      <c r="AK6" s="26"/>
      <c r="AL6" s="26">
        <v>100</v>
      </c>
      <c r="AM6" s="26"/>
      <c r="AN6" s="26" t="s">
        <v>151</v>
      </c>
      <c r="AO6" s="26" t="s">
        <v>152</v>
      </c>
    </row>
    <row r="7" spans="1:41" ht="15" x14ac:dyDescent="0.25">
      <c r="A7" t="s">
        <v>212</v>
      </c>
      <c r="B7" s="26">
        <v>12410630931</v>
      </c>
      <c r="C7" s="26">
        <v>396431783</v>
      </c>
      <c r="D7" s="27">
        <v>44242.719930555555</v>
      </c>
      <c r="E7" s="27">
        <v>44242.722708333335</v>
      </c>
      <c r="F7" s="26" t="s">
        <v>166</v>
      </c>
      <c r="G7" s="26"/>
      <c r="H7" s="26"/>
      <c r="I7" s="26"/>
      <c r="J7" s="26"/>
      <c r="K7" s="26" t="s">
        <v>167</v>
      </c>
      <c r="L7" s="26" t="s">
        <v>168</v>
      </c>
      <c r="M7" s="26">
        <f>VLOOKUP(L7,DFanalysis!B:G,2,FALSE)</f>
        <v>76090</v>
      </c>
      <c r="N7" s="26" t="str">
        <f>VLOOKUP(L7,DFanalysis!B:K,10,FALSE)</f>
        <v>EUR</v>
      </c>
      <c r="O7" s="26" t="str">
        <f>VLOOKUP(L7,DFanalysis!B:G,3,FALSE)</f>
        <v>Senior</v>
      </c>
      <c r="P7" s="26" t="str">
        <f>VLOOKUP(L7,DFanalysis!B:E,4,FALSE)</f>
        <v>Europe</v>
      </c>
      <c r="Q7" s="26" t="str">
        <f>VLOOKUP(L7,DFanalysis!B:F,5,FALSE)</f>
        <v>Closed end</v>
      </c>
      <c r="R7" s="26">
        <f>VLOOKUP(L7,DFanalysis!B:G,6,FALSE)</f>
        <v>2020</v>
      </c>
      <c r="S7" s="26" t="s">
        <v>152</v>
      </c>
      <c r="T7" s="26"/>
      <c r="U7" s="26"/>
      <c r="V7" s="26">
        <v>175</v>
      </c>
      <c r="W7" s="26">
        <v>0</v>
      </c>
      <c r="X7" s="26">
        <v>150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26">
        <v>25</v>
      </c>
      <c r="AE7" s="26">
        <v>175</v>
      </c>
      <c r="AF7" s="26">
        <v>0</v>
      </c>
      <c r="AG7" s="26">
        <v>0</v>
      </c>
      <c r="AH7" s="26">
        <v>0</v>
      </c>
      <c r="AI7" s="26">
        <v>0</v>
      </c>
      <c r="AJ7" s="26">
        <v>0</v>
      </c>
      <c r="AK7" s="26">
        <v>0</v>
      </c>
      <c r="AL7" s="26">
        <v>100</v>
      </c>
      <c r="AM7" s="26">
        <v>0</v>
      </c>
      <c r="AN7" s="26" t="s">
        <v>169</v>
      </c>
      <c r="AO7" s="26" t="s">
        <v>170</v>
      </c>
    </row>
    <row r="8" spans="1:41" ht="15" x14ac:dyDescent="0.25">
      <c r="A8" t="s">
        <v>212</v>
      </c>
      <c r="B8" s="26">
        <v>12409818114</v>
      </c>
      <c r="C8" s="26">
        <v>396431783</v>
      </c>
      <c r="D8" s="27">
        <v>44242.479513888888</v>
      </c>
      <c r="E8" s="27">
        <v>44242.578032407408</v>
      </c>
      <c r="F8" s="26" t="s">
        <v>171</v>
      </c>
      <c r="G8" s="26"/>
      <c r="H8" s="26"/>
      <c r="I8" s="26"/>
      <c r="J8" s="26"/>
      <c r="K8" s="26" t="s">
        <v>172</v>
      </c>
      <c r="L8" s="26" t="s">
        <v>173</v>
      </c>
      <c r="M8" s="26">
        <f>VLOOKUP(L8,DFanalysis!B:G,2,FALSE)</f>
        <v>105571</v>
      </c>
      <c r="N8" s="26" t="str">
        <f>VLOOKUP(L8,DFanalysis!B:K,10,FALSE)</f>
        <v>EUR</v>
      </c>
      <c r="O8" s="26" t="str">
        <f>VLOOKUP(L8,DFanalysis!B:G,3,FALSE)</f>
        <v>Subordinated: Junior+Mezzanine</v>
      </c>
      <c r="P8" s="26" t="str">
        <f>VLOOKUP(L8,DFanalysis!B:E,4,FALSE)</f>
        <v>Europe</v>
      </c>
      <c r="Q8" s="26" t="str">
        <f>VLOOKUP(L8,DFanalysis!B:F,5,FALSE)</f>
        <v>Closed end</v>
      </c>
      <c r="R8" s="26">
        <f>VLOOKUP(L8,DFanalysis!B:G,6,FALSE)</f>
        <v>2020</v>
      </c>
      <c r="S8" s="26" t="s">
        <v>152</v>
      </c>
      <c r="T8" s="26"/>
      <c r="U8" s="26"/>
      <c r="V8" s="26">
        <v>435</v>
      </c>
      <c r="W8" s="26">
        <v>310</v>
      </c>
      <c r="X8" s="26">
        <v>100</v>
      </c>
      <c r="Y8" s="26"/>
      <c r="Z8" s="26"/>
      <c r="AA8" s="26"/>
      <c r="AB8" s="26"/>
      <c r="AC8" s="26"/>
      <c r="AD8" s="26">
        <v>25</v>
      </c>
      <c r="AE8" s="26">
        <v>180</v>
      </c>
      <c r="AF8" s="26">
        <v>230</v>
      </c>
      <c r="AG8" s="26">
        <v>25</v>
      </c>
      <c r="AH8" s="26"/>
      <c r="AI8" s="26"/>
      <c r="AJ8" s="26"/>
      <c r="AK8" s="26"/>
      <c r="AL8" s="26">
        <v>100</v>
      </c>
      <c r="AM8" s="26"/>
      <c r="AN8" s="26" t="s">
        <v>151</v>
      </c>
      <c r="AO8" s="26" t="s">
        <v>152</v>
      </c>
    </row>
    <row r="9" spans="1:41" ht="15" x14ac:dyDescent="0.25">
      <c r="A9" t="s">
        <v>213</v>
      </c>
      <c r="B9" s="26">
        <v>12409801116</v>
      </c>
      <c r="C9" s="26">
        <v>396431783</v>
      </c>
      <c r="D9" s="27">
        <v>44238.445370370369</v>
      </c>
      <c r="E9" s="27">
        <v>44242.480682870373</v>
      </c>
      <c r="F9" s="26" t="s">
        <v>174</v>
      </c>
      <c r="G9" s="26"/>
      <c r="H9" s="26"/>
      <c r="I9" s="26"/>
      <c r="J9" s="26"/>
      <c r="K9" s="26" t="s">
        <v>175</v>
      </c>
      <c r="L9" s="26" t="s">
        <v>176</v>
      </c>
      <c r="M9" s="26">
        <f>VLOOKUP(L9,DFanalysis!B:G,2,FALSE)</f>
        <v>18415</v>
      </c>
      <c r="N9" s="26" t="str">
        <f>VLOOKUP(L9,DFanalysis!B:K,10,FALSE)</f>
        <v>GBP</v>
      </c>
      <c r="O9" s="26" t="str">
        <f>VLOOKUP(L9,DFanalysis!B:G,3,FALSE)</f>
        <v>Senior</v>
      </c>
      <c r="P9" s="26" t="str">
        <f>VLOOKUP(L9,DFanalysis!B:E,4,FALSE)</f>
        <v>Europe</v>
      </c>
      <c r="Q9" s="26" t="str">
        <f>VLOOKUP(L9,DFanalysis!B:F,5,FALSE)</f>
        <v>Closed end</v>
      </c>
      <c r="R9" s="26">
        <f>VLOOKUP(L9,DFanalysis!B:G,6,FALSE)</f>
        <v>2014</v>
      </c>
      <c r="S9" s="26" t="s">
        <v>170</v>
      </c>
      <c r="T9" s="26" t="s">
        <v>9</v>
      </c>
      <c r="U9" s="26" t="s">
        <v>177</v>
      </c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 t="s">
        <v>151</v>
      </c>
      <c r="AO9" s="26" t="s">
        <v>152</v>
      </c>
    </row>
    <row r="10" spans="1:41" ht="15" x14ac:dyDescent="0.25">
      <c r="A10" t="s">
        <v>212</v>
      </c>
      <c r="B10" s="26">
        <v>12409784321</v>
      </c>
      <c r="C10" s="26">
        <v>396431783</v>
      </c>
      <c r="D10" s="27">
        <v>44242.465451388889</v>
      </c>
      <c r="E10" s="27">
        <v>44242.654374999998</v>
      </c>
      <c r="F10" s="26" t="s">
        <v>178</v>
      </c>
      <c r="G10" s="26"/>
      <c r="H10" s="26"/>
      <c r="I10" s="26"/>
      <c r="J10" s="26"/>
      <c r="K10" s="26" t="s">
        <v>179</v>
      </c>
      <c r="L10" s="26" t="s">
        <v>180</v>
      </c>
      <c r="M10" s="26">
        <f>VLOOKUP(L10,DFanalysis!B:G,2,FALSE)</f>
        <v>101287</v>
      </c>
      <c r="N10" s="26" t="str">
        <f>VLOOKUP(L10,DFanalysis!B:K,10,FALSE)</f>
        <v>EUR</v>
      </c>
      <c r="O10" s="26" t="str">
        <f>VLOOKUP(L10,DFanalysis!B:G,3,FALSE)</f>
        <v>Whole Loans</v>
      </c>
      <c r="P10" s="26" t="str">
        <f>VLOOKUP(L10,DFanalysis!B:E,4,FALSE)</f>
        <v>Europe</v>
      </c>
      <c r="Q10" s="26" t="str">
        <f>VLOOKUP(L10,DFanalysis!B:F,5,FALSE)</f>
        <v>Closed end</v>
      </c>
      <c r="R10" s="26">
        <f>VLOOKUP(L10,DFanalysis!B:G,6,FALSE)</f>
        <v>2019</v>
      </c>
      <c r="S10" s="26" t="s">
        <v>152</v>
      </c>
      <c r="T10" s="26"/>
      <c r="U10" s="26"/>
      <c r="V10" s="26">
        <v>300</v>
      </c>
      <c r="W10" s="26"/>
      <c r="X10" s="26">
        <v>300</v>
      </c>
      <c r="Y10" s="26"/>
      <c r="Z10" s="26"/>
      <c r="AA10" s="26"/>
      <c r="AB10" s="26"/>
      <c r="AC10" s="26"/>
      <c r="AD10" s="26"/>
      <c r="AE10" s="26">
        <v>300</v>
      </c>
      <c r="AF10" s="26"/>
      <c r="AG10" s="26"/>
      <c r="AH10" s="26"/>
      <c r="AI10" s="26"/>
      <c r="AJ10" s="26"/>
      <c r="AK10" s="26"/>
      <c r="AL10" s="26">
        <v>100</v>
      </c>
      <c r="AM10" s="26"/>
      <c r="AN10" s="26" t="s">
        <v>151</v>
      </c>
      <c r="AO10" s="26" t="s">
        <v>152</v>
      </c>
    </row>
    <row r="11" spans="1:41" ht="15" x14ac:dyDescent="0.25">
      <c r="A11" t="s">
        <v>212</v>
      </c>
      <c r="B11" s="26">
        <v>12409709323</v>
      </c>
      <c r="C11" s="26">
        <v>396431783</v>
      </c>
      <c r="D11" s="27">
        <v>44242.437708333331</v>
      </c>
      <c r="E11" s="27">
        <v>44242.438113425924</v>
      </c>
      <c r="F11" s="26" t="s">
        <v>178</v>
      </c>
      <c r="G11" s="26"/>
      <c r="H11" s="26"/>
      <c r="I11" s="26"/>
      <c r="J11" s="26"/>
      <c r="K11" s="26" t="s">
        <v>179</v>
      </c>
      <c r="L11" s="26" t="s">
        <v>181</v>
      </c>
      <c r="M11" s="26">
        <f>VLOOKUP(L11,DFanalysis!B:G,2,FALSE)</f>
        <v>105571</v>
      </c>
      <c r="N11" s="26" t="str">
        <f>VLOOKUP(L11,DFanalysis!B:K,10,FALSE)</f>
        <v>EUR</v>
      </c>
      <c r="O11" s="26" t="str">
        <f>VLOOKUP(L11,DFanalysis!B:G,3,FALSE)</f>
        <v>Subordinated: Junior+Mezzanine</v>
      </c>
      <c r="P11" s="26" t="str">
        <f>VLOOKUP(L11,DFanalysis!B:E,4,FALSE)</f>
        <v>Europe</v>
      </c>
      <c r="Q11" s="26" t="str">
        <f>VLOOKUP(L11,DFanalysis!B:F,5,FALSE)</f>
        <v>Closed end</v>
      </c>
      <c r="R11" s="26">
        <f>VLOOKUP(L11,DFanalysis!B:G,6,FALSE)</f>
        <v>2020</v>
      </c>
      <c r="S11" s="26" t="s">
        <v>152</v>
      </c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</row>
    <row r="12" spans="1:41" ht="15" x14ac:dyDescent="0.25">
      <c r="A12" t="s">
        <v>212</v>
      </c>
      <c r="B12" s="26">
        <v>12400952773</v>
      </c>
      <c r="C12" s="26">
        <v>396431783</v>
      </c>
      <c r="D12" s="27">
        <v>44238.446261574078</v>
      </c>
      <c r="E12" s="27">
        <v>44238.476875</v>
      </c>
      <c r="F12" s="26" t="s">
        <v>182</v>
      </c>
      <c r="G12" s="26"/>
      <c r="H12" s="26"/>
      <c r="I12" s="26"/>
      <c r="J12" s="26"/>
      <c r="K12" s="26" t="s">
        <v>183</v>
      </c>
      <c r="L12" s="26" t="s">
        <v>184</v>
      </c>
      <c r="M12" s="26">
        <f>VLOOKUP(L12,DFanalysis!B:G,2,FALSE)</f>
        <v>73412</v>
      </c>
      <c r="N12" s="26" t="str">
        <f>VLOOKUP(L12,DFanalysis!B:K,10,FALSE)</f>
        <v>GBP</v>
      </c>
      <c r="O12" s="26" t="str">
        <f>VLOOKUP(L12,DFanalysis!B:G,3,FALSE)</f>
        <v>Subordinated: Junior+Mezzanine</v>
      </c>
      <c r="P12" s="26" t="str">
        <f>VLOOKUP(L12,DFanalysis!B:E,4,FALSE)</f>
        <v>Europe</v>
      </c>
      <c r="Q12" s="26" t="str">
        <f>VLOOKUP(L12,DFanalysis!B:F,5,FALSE)</f>
        <v>Closed end</v>
      </c>
      <c r="R12" s="26">
        <f>VLOOKUP(L12,DFanalysis!B:G,6,FALSE)</f>
        <v>2017</v>
      </c>
      <c r="S12" s="26" t="s">
        <v>152</v>
      </c>
      <c r="T12" s="26"/>
      <c r="U12" s="26"/>
      <c r="V12" s="26">
        <v>76</v>
      </c>
      <c r="W12" s="26">
        <v>26</v>
      </c>
      <c r="X12" s="26"/>
      <c r="Y12" s="26"/>
      <c r="Z12" s="26"/>
      <c r="AA12" s="26"/>
      <c r="AB12" s="26">
        <v>50</v>
      </c>
      <c r="AC12" s="26"/>
      <c r="AD12" s="26"/>
      <c r="AE12" s="26">
        <v>76</v>
      </c>
      <c r="AF12" s="26"/>
      <c r="AG12" s="26"/>
      <c r="AH12" s="26"/>
      <c r="AI12" s="26"/>
      <c r="AJ12" s="26">
        <v>0</v>
      </c>
      <c r="AK12" s="26">
        <v>0</v>
      </c>
      <c r="AL12" s="26">
        <v>100</v>
      </c>
      <c r="AM12" s="26">
        <v>0</v>
      </c>
      <c r="AN12" s="26" t="s">
        <v>151</v>
      </c>
      <c r="AO12" s="26" t="s">
        <v>152</v>
      </c>
    </row>
    <row r="13" spans="1:41" ht="15" x14ac:dyDescent="0.25">
      <c r="A13" t="s">
        <v>212</v>
      </c>
      <c r="B13" s="26">
        <v>12400844937</v>
      </c>
      <c r="C13" s="26">
        <v>396431783</v>
      </c>
      <c r="D13" s="27">
        <v>44238.400300925925</v>
      </c>
      <c r="E13" s="27">
        <v>44238.40179398148</v>
      </c>
      <c r="F13" s="26" t="s">
        <v>185</v>
      </c>
      <c r="G13" s="26"/>
      <c r="H13" s="26"/>
      <c r="I13" s="26"/>
      <c r="J13" s="26"/>
      <c r="K13" s="26" t="s">
        <v>186</v>
      </c>
      <c r="L13" s="26" t="s">
        <v>187</v>
      </c>
      <c r="M13" s="26">
        <f>VLOOKUP(L13,DFanalysis!B:G,2,FALSE)</f>
        <v>17383</v>
      </c>
      <c r="N13" s="26" t="str">
        <f>VLOOKUP(L13,DFanalysis!B:K,10,FALSE)</f>
        <v>GBP</v>
      </c>
      <c r="O13" s="26" t="str">
        <f>VLOOKUP(L13,DFanalysis!B:G,3,FALSE)</f>
        <v>Senior</v>
      </c>
      <c r="P13" s="26">
        <f>VLOOKUP(L13,DFanalysis!B:E,4,FALSE)</f>
        <v>0</v>
      </c>
      <c r="Q13" s="26" t="str">
        <f>VLOOKUP(L13,DFanalysis!B:F,5,FALSE)</f>
        <v>Closed end</v>
      </c>
      <c r="R13" s="26">
        <f>VLOOKUP(L13,DFanalysis!B:G,6,FALSE)</f>
        <v>2014</v>
      </c>
      <c r="S13" s="26" t="s">
        <v>152</v>
      </c>
      <c r="T13" s="26"/>
      <c r="U13" s="26"/>
      <c r="V13" s="26">
        <v>800</v>
      </c>
      <c r="W13" s="26"/>
      <c r="X13" s="26">
        <v>800</v>
      </c>
      <c r="Y13" s="26"/>
      <c r="Z13" s="26"/>
      <c r="AA13" s="26"/>
      <c r="AB13" s="26"/>
      <c r="AC13" s="26"/>
      <c r="AD13" s="26"/>
      <c r="AE13" s="26">
        <v>800</v>
      </c>
      <c r="AF13" s="26"/>
      <c r="AG13" s="26"/>
      <c r="AH13" s="26"/>
      <c r="AI13" s="26"/>
      <c r="AJ13" s="26"/>
      <c r="AK13" s="26"/>
      <c r="AL13" s="26">
        <v>100</v>
      </c>
      <c r="AM13" s="26"/>
      <c r="AN13" s="26" t="s">
        <v>188</v>
      </c>
      <c r="AO13" s="26" t="s">
        <v>152</v>
      </c>
    </row>
    <row r="14" spans="1:41" ht="15" x14ac:dyDescent="0.25">
      <c r="A14" t="s">
        <v>212</v>
      </c>
      <c r="B14" s="26">
        <v>12395458710</v>
      </c>
      <c r="C14" s="26">
        <v>396431783</v>
      </c>
      <c r="D14" s="27">
        <v>44236.74391203704</v>
      </c>
      <c r="E14" s="27">
        <v>44236.746921296297</v>
      </c>
      <c r="F14" s="26" t="s">
        <v>189</v>
      </c>
      <c r="G14" s="26"/>
      <c r="H14" s="26"/>
      <c r="I14" s="26"/>
      <c r="J14" s="26"/>
      <c r="K14" s="26" t="s">
        <v>190</v>
      </c>
      <c r="L14" s="26" t="s">
        <v>191</v>
      </c>
      <c r="M14" s="26">
        <f>VLOOKUP(L14,DFanalysis!B:G,2,FALSE)</f>
        <v>19302</v>
      </c>
      <c r="N14" s="26" t="str">
        <f>VLOOKUP(L14,DFanalysis!B:K,10,FALSE)</f>
        <v>EUR</v>
      </c>
      <c r="O14" s="26" t="str">
        <f>VLOOKUP(L14,DFanalysis!B:G,3,FALSE)</f>
        <v>Mixed: Senior+Subordinated</v>
      </c>
      <c r="P14" s="26">
        <f>VLOOKUP(L14,DFanalysis!B:E,4,FALSE)</f>
        <v>0</v>
      </c>
      <c r="Q14" s="26" t="str">
        <f>VLOOKUP(L14,DFanalysis!B:F,5,FALSE)</f>
        <v>Closed end</v>
      </c>
      <c r="R14" s="26">
        <f>VLOOKUP(L14,DFanalysis!B:G,6,FALSE)</f>
        <v>2019</v>
      </c>
      <c r="S14" s="26" t="s">
        <v>152</v>
      </c>
      <c r="T14" s="26"/>
      <c r="U14" s="26"/>
      <c r="V14" s="26">
        <v>214</v>
      </c>
      <c r="W14" s="26"/>
      <c r="X14" s="26">
        <v>214</v>
      </c>
      <c r="Y14" s="26"/>
      <c r="Z14" s="26"/>
      <c r="AA14" s="26"/>
      <c r="AB14" s="26"/>
      <c r="AC14" s="26"/>
      <c r="AD14" s="26"/>
      <c r="AE14" s="26">
        <v>214</v>
      </c>
      <c r="AF14" s="26"/>
      <c r="AG14" s="26"/>
      <c r="AH14" s="26"/>
      <c r="AI14" s="26"/>
      <c r="AJ14" s="26"/>
      <c r="AK14" s="26"/>
      <c r="AL14" s="26">
        <v>100</v>
      </c>
      <c r="AM14" s="26"/>
      <c r="AN14" s="26"/>
      <c r="AO14" s="26"/>
    </row>
    <row r="15" spans="1:41" ht="15" x14ac:dyDescent="0.25">
      <c r="A15" t="s">
        <v>213</v>
      </c>
      <c r="B15" s="26">
        <v>12391185772</v>
      </c>
      <c r="C15" s="26">
        <v>396431783</v>
      </c>
      <c r="D15" s="27">
        <v>44235.504895833335</v>
      </c>
      <c r="E15" s="27">
        <v>44235.505266203705</v>
      </c>
      <c r="F15" s="26" t="s">
        <v>192</v>
      </c>
      <c r="G15" s="26"/>
      <c r="H15" s="26"/>
      <c r="I15" s="26"/>
      <c r="J15" s="26"/>
      <c r="K15" s="26" t="s">
        <v>193</v>
      </c>
      <c r="L15" s="26" t="s">
        <v>194</v>
      </c>
      <c r="M15" s="26" t="str">
        <f>VLOOKUP(L15,DFanalysis!B:G,2,FALSE)</f>
        <v>XXX/</v>
      </c>
      <c r="N15" s="26" t="e">
        <f>VLOOKUP(L15,DFanalysis!B:K,10,FALSE)</f>
        <v>#N/A</v>
      </c>
      <c r="O15" s="26" t="e">
        <f>VLOOKUP(L15,DFanalysis!B:G,3,FALSE)</f>
        <v>#N/A</v>
      </c>
      <c r="P15" s="26" t="e">
        <f>VLOOKUP(L15,DFanalysis!B:E,4,FALSE)</f>
        <v>#N/A</v>
      </c>
      <c r="Q15" s="26" t="e">
        <f>VLOOKUP(L15,DFanalysis!B:F,5,FALSE)</f>
        <v>#N/A</v>
      </c>
      <c r="R15" s="26" t="e">
        <f>VLOOKUP(L15,DFanalysis!B:G,6,FALSE)</f>
        <v>#N/A</v>
      </c>
      <c r="S15" s="26" t="s">
        <v>152</v>
      </c>
      <c r="T15" s="26"/>
      <c r="U15" s="26"/>
      <c r="V15" s="26">
        <v>65</v>
      </c>
      <c r="W15" s="26"/>
      <c r="X15" s="26">
        <v>65</v>
      </c>
      <c r="Y15" s="26"/>
      <c r="Z15" s="26"/>
      <c r="AA15" s="26"/>
      <c r="AB15" s="26"/>
      <c r="AC15" s="26"/>
      <c r="AD15" s="26"/>
      <c r="AE15" s="26">
        <v>65</v>
      </c>
      <c r="AF15" s="26"/>
      <c r="AG15" s="26"/>
      <c r="AH15" s="26"/>
      <c r="AI15" s="26"/>
      <c r="AJ15" s="26"/>
      <c r="AK15" s="26">
        <v>100</v>
      </c>
      <c r="AL15" s="26"/>
      <c r="AM15" s="26"/>
      <c r="AN15" s="26" t="s">
        <v>151</v>
      </c>
      <c r="AO15" s="26" t="s">
        <v>152</v>
      </c>
    </row>
    <row r="16" spans="1:41" ht="15" x14ac:dyDescent="0.25">
      <c r="A16" t="s">
        <v>212</v>
      </c>
      <c r="B16" s="26">
        <v>12391184348</v>
      </c>
      <c r="C16" s="26">
        <v>396431783</v>
      </c>
      <c r="D16" s="27">
        <v>44235.504374999997</v>
      </c>
      <c r="E16" s="27">
        <v>44235.504803240743</v>
      </c>
      <c r="F16" s="26" t="s">
        <v>192</v>
      </c>
      <c r="G16" s="26"/>
      <c r="H16" s="26"/>
      <c r="I16" s="26"/>
      <c r="J16" s="26"/>
      <c r="K16" s="26" t="s">
        <v>193</v>
      </c>
      <c r="L16" s="26" t="s">
        <v>195</v>
      </c>
      <c r="M16" s="26">
        <f>VLOOKUP(L16,DFanalysis!B:G,2,FALSE)</f>
        <v>105974</v>
      </c>
      <c r="N16" s="26" t="str">
        <f>VLOOKUP(L16,DFanalysis!B:K,10,FALSE)</f>
        <v>GBP</v>
      </c>
      <c r="O16" s="26" t="str">
        <f>VLOOKUP(L16,DFanalysis!B:G,3,FALSE)</f>
        <v>Mixed: Senior+Subordinated+Preferred equity</v>
      </c>
      <c r="P16" s="26" t="str">
        <f>VLOOKUP(L16,DFanalysis!B:E,4,FALSE)</f>
        <v>Europe</v>
      </c>
      <c r="Q16" s="26" t="str">
        <f>VLOOKUP(L16,DFanalysis!B:F,5,FALSE)</f>
        <v>Closed end</v>
      </c>
      <c r="R16" s="26">
        <f>VLOOKUP(L16,DFanalysis!B:G,6,FALSE)</f>
        <v>2019</v>
      </c>
      <c r="S16" s="26" t="s">
        <v>152</v>
      </c>
      <c r="T16" s="26"/>
      <c r="U16" s="26"/>
      <c r="V16" s="26">
        <v>100</v>
      </c>
      <c r="W16" s="26">
        <v>100</v>
      </c>
      <c r="X16" s="26"/>
      <c r="Y16" s="26"/>
      <c r="Z16" s="26"/>
      <c r="AA16" s="26"/>
      <c r="AB16" s="26"/>
      <c r="AC16" s="26"/>
      <c r="AD16" s="26"/>
      <c r="AE16" s="26">
        <v>100</v>
      </c>
      <c r="AF16" s="26"/>
      <c r="AG16" s="26"/>
      <c r="AH16" s="26"/>
      <c r="AI16" s="26"/>
      <c r="AJ16" s="26"/>
      <c r="AK16" s="26"/>
      <c r="AL16" s="26">
        <v>100</v>
      </c>
      <c r="AM16" s="26"/>
      <c r="AN16" s="26" t="s">
        <v>151</v>
      </c>
      <c r="AO16" s="26" t="s">
        <v>152</v>
      </c>
    </row>
    <row r="17" spans="1:41" ht="15" x14ac:dyDescent="0.25">
      <c r="A17" t="s">
        <v>212</v>
      </c>
      <c r="B17" s="26">
        <v>12391182622</v>
      </c>
      <c r="C17" s="26">
        <v>396431783</v>
      </c>
      <c r="D17" s="27">
        <v>44235.503865740742</v>
      </c>
      <c r="E17" s="27">
        <v>44235.504282407404</v>
      </c>
      <c r="F17" s="26" t="s">
        <v>192</v>
      </c>
      <c r="G17" s="26"/>
      <c r="H17" s="26"/>
      <c r="I17" s="26"/>
      <c r="J17" s="26"/>
      <c r="K17" s="26" t="s">
        <v>193</v>
      </c>
      <c r="L17" s="26" t="s">
        <v>196</v>
      </c>
      <c r="M17" s="26">
        <f>VLOOKUP(L17,DFanalysis!B:G,2,FALSE)</f>
        <v>120207</v>
      </c>
      <c r="N17" s="26" t="str">
        <f>VLOOKUP(L17,DFanalysis!B:K,10,FALSE)</f>
        <v>GBP</v>
      </c>
      <c r="O17" s="26" t="str">
        <f>VLOOKUP(L17,DFanalysis!B:G,3,FALSE)</f>
        <v>Whole Loans</v>
      </c>
      <c r="P17" s="26" t="str">
        <f>VLOOKUP(L17,DFanalysis!B:E,4,FALSE)</f>
        <v>Europe</v>
      </c>
      <c r="Q17" s="26" t="str">
        <f>VLOOKUP(L17,DFanalysis!B:F,5,FALSE)</f>
        <v>Closed end</v>
      </c>
      <c r="R17" s="26">
        <f>VLOOKUP(L17,DFanalysis!B:G,6,FALSE)</f>
        <v>2020</v>
      </c>
      <c r="S17" s="26" t="s">
        <v>152</v>
      </c>
      <c r="T17" s="26"/>
      <c r="U17" s="26"/>
      <c r="V17" s="26">
        <v>145</v>
      </c>
      <c r="W17" s="26">
        <v>145</v>
      </c>
      <c r="X17" s="26"/>
      <c r="Y17" s="26"/>
      <c r="Z17" s="26"/>
      <c r="AA17" s="26"/>
      <c r="AB17" s="26"/>
      <c r="AC17" s="26"/>
      <c r="AD17" s="26"/>
      <c r="AE17" s="26">
        <v>145</v>
      </c>
      <c r="AF17" s="26"/>
      <c r="AG17" s="26"/>
      <c r="AH17" s="26"/>
      <c r="AI17" s="26"/>
      <c r="AJ17" s="26"/>
      <c r="AK17" s="26"/>
      <c r="AL17" s="26">
        <v>100</v>
      </c>
      <c r="AM17" s="26"/>
      <c r="AN17" s="26" t="s">
        <v>151</v>
      </c>
      <c r="AO17" s="26" t="s">
        <v>152</v>
      </c>
    </row>
    <row r="18" spans="1:41" ht="15" x14ac:dyDescent="0.25">
      <c r="A18" t="s">
        <v>212</v>
      </c>
      <c r="B18" s="26">
        <v>12391176366</v>
      </c>
      <c r="C18" s="26">
        <v>396431783</v>
      </c>
      <c r="D18" s="27">
        <v>44235.501655092594</v>
      </c>
      <c r="E18" s="27">
        <v>44235.503738425927</v>
      </c>
      <c r="F18" s="26" t="s">
        <v>192</v>
      </c>
      <c r="G18" s="26"/>
      <c r="H18" s="26"/>
      <c r="I18" s="26"/>
      <c r="J18" s="26"/>
      <c r="K18" s="26" t="s">
        <v>193</v>
      </c>
      <c r="L18" s="26" t="s">
        <v>197</v>
      </c>
      <c r="M18" s="26">
        <f>VLOOKUP(L18,DFanalysis!B:G,2,FALSE)</f>
        <v>19301</v>
      </c>
      <c r="N18" s="26" t="str">
        <f>VLOOKUP(L18,DFanalysis!B:K,10,FALSE)</f>
        <v>GBP</v>
      </c>
      <c r="O18" s="26" t="str">
        <f>VLOOKUP(L18,DFanalysis!B:G,3,FALSE)</f>
        <v>Mixed: Senior+Subordinated</v>
      </c>
      <c r="P18" s="26">
        <f>VLOOKUP(L18,DFanalysis!B:E,4,FALSE)</f>
        <v>0</v>
      </c>
      <c r="Q18" s="26" t="str">
        <f>VLOOKUP(L18,DFanalysis!B:F,5,FALSE)</f>
        <v>Closed end</v>
      </c>
      <c r="R18" s="26">
        <f>VLOOKUP(L18,DFanalysis!B:G,6,FALSE)</f>
        <v>2019</v>
      </c>
      <c r="S18" s="26" t="s">
        <v>152</v>
      </c>
      <c r="T18" s="26"/>
      <c r="U18" s="26"/>
      <c r="V18" s="26">
        <v>104</v>
      </c>
      <c r="W18" s="26">
        <v>79</v>
      </c>
      <c r="X18" s="26">
        <v>25</v>
      </c>
      <c r="Y18" s="26"/>
      <c r="Z18" s="26"/>
      <c r="AA18" s="26"/>
      <c r="AB18" s="26"/>
      <c r="AC18" s="26"/>
      <c r="AD18" s="26"/>
      <c r="AE18" s="26">
        <v>27</v>
      </c>
      <c r="AF18" s="26">
        <v>77</v>
      </c>
      <c r="AG18" s="26"/>
      <c r="AH18" s="26"/>
      <c r="AI18" s="26"/>
      <c r="AJ18" s="26">
        <v>74</v>
      </c>
      <c r="AK18" s="26"/>
      <c r="AL18" s="26">
        <v>26</v>
      </c>
      <c r="AM18" s="26"/>
      <c r="AN18" s="26" t="s">
        <v>151</v>
      </c>
      <c r="AO18" s="26" t="s">
        <v>152</v>
      </c>
    </row>
    <row r="19" spans="1:41" ht="15" x14ac:dyDescent="0.25">
      <c r="A19" t="s">
        <v>212</v>
      </c>
      <c r="B19" s="26">
        <v>12372280774</v>
      </c>
      <c r="C19" s="26">
        <v>396431783</v>
      </c>
      <c r="D19" s="27">
        <v>44228.652233796296</v>
      </c>
      <c r="E19" s="27">
        <v>44228.655127314814</v>
      </c>
      <c r="F19" s="26" t="s">
        <v>198</v>
      </c>
      <c r="G19" s="26"/>
      <c r="H19" s="26"/>
      <c r="I19" s="26"/>
      <c r="J19" s="26"/>
      <c r="K19" s="26" t="s">
        <v>199</v>
      </c>
      <c r="L19" s="26" t="s">
        <v>200</v>
      </c>
      <c r="M19" s="26">
        <f>VLOOKUP(L19,DFanalysis!B:G,2,FALSE)</f>
        <v>19296</v>
      </c>
      <c r="N19" s="26" t="str">
        <f>VLOOKUP(L19,DFanalysis!B:K,10,FALSE)</f>
        <v>GBP</v>
      </c>
      <c r="O19" s="26" t="str">
        <f>VLOOKUP(L19,DFanalysis!B:G,3,FALSE)</f>
        <v>Senior</v>
      </c>
      <c r="P19" s="26">
        <f>VLOOKUP(L19,DFanalysis!B:E,4,FALSE)</f>
        <v>0</v>
      </c>
      <c r="Q19" s="26" t="str">
        <f>VLOOKUP(L19,DFanalysis!B:F,5,FALSE)</f>
        <v>Open end</v>
      </c>
      <c r="R19" s="26">
        <f>VLOOKUP(L19,DFanalysis!B:G,6,FALSE)</f>
        <v>2017</v>
      </c>
      <c r="S19" s="26" t="s">
        <v>152</v>
      </c>
      <c r="T19" s="26"/>
      <c r="U19" s="26"/>
      <c r="V19" s="26">
        <v>48</v>
      </c>
      <c r="W19" s="26">
        <v>10</v>
      </c>
      <c r="X19" s="26">
        <v>28</v>
      </c>
      <c r="Y19" s="26"/>
      <c r="Z19" s="26"/>
      <c r="AA19" s="26"/>
      <c r="AB19" s="26">
        <v>10</v>
      </c>
      <c r="AC19" s="26"/>
      <c r="AD19" s="26"/>
      <c r="AE19" s="26">
        <v>48</v>
      </c>
      <c r="AF19" s="26"/>
      <c r="AG19" s="26"/>
      <c r="AH19" s="26"/>
      <c r="AI19" s="26"/>
      <c r="AJ19" s="26"/>
      <c r="AK19" s="26"/>
      <c r="AL19" s="26">
        <v>100</v>
      </c>
      <c r="AM19" s="26"/>
      <c r="AN19" s="26" t="s">
        <v>151</v>
      </c>
      <c r="AO19" s="26" t="s">
        <v>170</v>
      </c>
    </row>
    <row r="20" spans="1:41" ht="15" x14ac:dyDescent="0.25">
      <c r="A20" t="s">
        <v>212</v>
      </c>
      <c r="B20" s="26">
        <v>12442549596</v>
      </c>
      <c r="C20" s="26">
        <v>396432108</v>
      </c>
      <c r="D20" s="27">
        <v>44252.743587962963</v>
      </c>
      <c r="E20" s="27">
        <v>44252.746400462966</v>
      </c>
      <c r="F20" s="26" t="s">
        <v>201</v>
      </c>
      <c r="G20" s="26"/>
      <c r="H20" s="26"/>
      <c r="I20" s="26"/>
      <c r="J20" s="26"/>
      <c r="K20" s="26" t="s">
        <v>202</v>
      </c>
      <c r="L20" s="26" t="s">
        <v>203</v>
      </c>
      <c r="M20" s="26">
        <f>VLOOKUP(L20,DFanalysis!B:G,2,FALSE)</f>
        <v>28321</v>
      </c>
      <c r="N20" s="26" t="str">
        <f>VLOOKUP(L20,DFanalysis!B:K,10,FALSE)</f>
        <v>USD</v>
      </c>
      <c r="O20" s="26" t="str">
        <f>VLOOKUP(L20,DFanalysis!B:G,3,FALSE)</f>
        <v>Mixed: Senior+Subordinated</v>
      </c>
      <c r="P20" s="26" t="str">
        <f>VLOOKUP(L20,DFanalysis!B:E,4,FALSE)</f>
        <v>North America</v>
      </c>
      <c r="Q20" s="26" t="str">
        <f>VLOOKUP(L20,DFanalysis!B:F,5,FALSE)</f>
        <v>Open end</v>
      </c>
      <c r="R20" s="26">
        <f>VLOOKUP(L20,DFanalysis!B:G,6,FALSE)</f>
        <v>2009</v>
      </c>
      <c r="S20" s="26" t="s">
        <v>152</v>
      </c>
      <c r="T20" s="26"/>
      <c r="U20" s="26"/>
      <c r="V20" s="26">
        <v>90</v>
      </c>
      <c r="W20" s="26">
        <v>82</v>
      </c>
      <c r="X20" s="26"/>
      <c r="Y20" s="26"/>
      <c r="Z20" s="26"/>
      <c r="AA20" s="26"/>
      <c r="AB20" s="26"/>
      <c r="AC20" s="26"/>
      <c r="AD20" s="26">
        <v>8</v>
      </c>
      <c r="AE20" s="26">
        <v>65</v>
      </c>
      <c r="AF20" s="26"/>
      <c r="AG20" s="26">
        <v>25</v>
      </c>
      <c r="AH20" s="26"/>
      <c r="AI20" s="26"/>
      <c r="AJ20" s="26"/>
      <c r="AK20" s="26"/>
      <c r="AL20" s="26">
        <v>100</v>
      </c>
      <c r="AM20" s="26"/>
      <c r="AN20" s="26" t="s">
        <v>151</v>
      </c>
      <c r="AO20" s="26" t="s">
        <v>152</v>
      </c>
    </row>
    <row r="21" spans="1:41" ht="15" x14ac:dyDescent="0.25">
      <c r="A21" t="s">
        <v>213</v>
      </c>
      <c r="B21">
        <v>12420559399</v>
      </c>
      <c r="C21">
        <v>396431383</v>
      </c>
      <c r="D21" s="28">
        <v>44245.722534722219</v>
      </c>
      <c r="E21" s="28">
        <v>44245.724780092591</v>
      </c>
      <c r="F21" t="s">
        <v>204</v>
      </c>
      <c r="K21" s="29" t="s">
        <v>205</v>
      </c>
      <c r="L21" t="s">
        <v>206</v>
      </c>
      <c r="M21" s="26">
        <f>VLOOKUP(L21,DFanalysis!B:G,2,FALSE)</f>
        <v>0</v>
      </c>
      <c r="N21" s="26" t="e">
        <f>VLOOKUP(L21,DFanalysis!B:K,10,FALSE)</f>
        <v>#N/A</v>
      </c>
      <c r="O21" s="26" t="e">
        <f>VLOOKUP(L21,DFanalysis!B:G,3,FALSE)</f>
        <v>#N/A</v>
      </c>
      <c r="P21" s="26" t="e">
        <f>VLOOKUP(L21,DFanalysis!B:E,4,FALSE)</f>
        <v>#N/A</v>
      </c>
      <c r="Q21" s="26" t="e">
        <f>VLOOKUP(L21,DFanalysis!B:F,5,FALSE)</f>
        <v>#N/A</v>
      </c>
      <c r="R21" s="26" t="e">
        <f>VLOOKUP(L21,DFanalysis!B:G,6,FALSE)</f>
        <v>#N/A</v>
      </c>
      <c r="S21" t="s">
        <v>152</v>
      </c>
      <c r="V21">
        <v>300</v>
      </c>
      <c r="Z21">
        <v>300</v>
      </c>
      <c r="AF21">
        <v>200</v>
      </c>
      <c r="AG21">
        <v>100</v>
      </c>
      <c r="AL21">
        <v>100</v>
      </c>
      <c r="AN21" t="s">
        <v>151</v>
      </c>
      <c r="AO21" t="s">
        <v>152</v>
      </c>
    </row>
    <row r="22" spans="1:41" ht="15" x14ac:dyDescent="0.25">
      <c r="A22" t="s">
        <v>213</v>
      </c>
      <c r="B22">
        <v>12395085990</v>
      </c>
      <c r="C22">
        <v>396431383</v>
      </c>
      <c r="D22" s="28">
        <v>44236.669722222221</v>
      </c>
      <c r="E22" s="28">
        <v>44236.682789351849</v>
      </c>
      <c r="F22" t="s">
        <v>207</v>
      </c>
      <c r="K22" s="29" t="s">
        <v>208</v>
      </c>
      <c r="L22" t="s">
        <v>209</v>
      </c>
      <c r="M22" s="26">
        <f>VLOOKUP(L22,DFanalysis!B:G,2,FALSE)</f>
        <v>0</v>
      </c>
      <c r="N22" s="26" t="e">
        <f>VLOOKUP(L22,DFanalysis!B:K,10,FALSE)</f>
        <v>#N/A</v>
      </c>
      <c r="O22" s="26" t="e">
        <f>VLOOKUP(L22,DFanalysis!B:G,3,FALSE)</f>
        <v>#N/A</v>
      </c>
      <c r="P22" s="26" t="e">
        <f>VLOOKUP(L22,DFanalysis!B:E,4,FALSE)</f>
        <v>#N/A</v>
      </c>
      <c r="Q22" s="26" t="e">
        <f>VLOOKUP(L22,DFanalysis!B:F,5,FALSE)</f>
        <v>#N/A</v>
      </c>
      <c r="R22" s="26" t="e">
        <f>VLOOKUP(L22,DFanalysis!B:G,6,FALSE)</f>
        <v>#N/A</v>
      </c>
      <c r="S22" t="s">
        <v>152</v>
      </c>
      <c r="V22">
        <v>75</v>
      </c>
      <c r="X22">
        <v>10</v>
      </c>
      <c r="Y22">
        <v>65</v>
      </c>
      <c r="AE22">
        <v>75</v>
      </c>
      <c r="AL22">
        <v>100</v>
      </c>
      <c r="AN22" t="s">
        <v>151</v>
      </c>
      <c r="AO22" t="s">
        <v>152</v>
      </c>
    </row>
    <row r="23" spans="1:41" ht="15" x14ac:dyDescent="0.25">
      <c r="O23" s="26" t="e">
        <f>VLOOKUP(L23,DFanalysis!B:G,3,FALSE)</f>
        <v>#N/A</v>
      </c>
      <c r="P23" s="26" t="e">
        <f>VLOOKUP(L23,DFanalysis!B:E,4,FALSE)</f>
        <v>#N/A</v>
      </c>
      <c r="Q23" s="26" t="e">
        <f>VLOOKUP(L23,DFanalysis!B:F,5,FALSE)</f>
        <v>#N/A</v>
      </c>
      <c r="R23" s="26" t="e">
        <f>VLOOKUP(L23,DFanalysis!B:G,6,FALSE)</f>
        <v>#N/A</v>
      </c>
    </row>
    <row r="24" spans="1:41" ht="15" x14ac:dyDescent="0.25">
      <c r="R24" s="26"/>
    </row>
  </sheetData>
  <autoFilter ref="A3:AO23" xr:uid="{5E66862B-573E-41F9-8E3C-07107A58384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BA2A-EA96-4558-A247-FA89ABEAAE99}">
  <sheetPr>
    <tabColor rgb="FFFFC000"/>
  </sheetPr>
  <dimension ref="A1:AO22"/>
  <sheetViews>
    <sheetView showGridLines="0" topLeftCell="K1" zoomScaleNormal="100" workbookViewId="0">
      <selection activeCell="A3" sqref="A3:XFD3"/>
    </sheetView>
  </sheetViews>
  <sheetFormatPr defaultRowHeight="12.75" x14ac:dyDescent="0.2"/>
  <cols>
    <col min="2" max="2" width="13.85546875" customWidth="1"/>
    <col min="3" max="3" width="11.28515625" customWidth="1"/>
    <col min="4" max="4" width="20.42578125" bestFit="1" customWidth="1"/>
    <col min="5" max="5" width="19.85546875" customWidth="1"/>
    <col min="6" max="6" width="18.7109375" customWidth="1"/>
    <col min="10" max="10" width="13.140625" customWidth="1"/>
    <col min="11" max="11" width="41.140625" customWidth="1"/>
    <col min="12" max="12" width="53.28515625" bestFit="1" customWidth="1"/>
    <col min="13" max="13" width="18.5703125" customWidth="1"/>
    <col min="14" max="18" width="53.28515625" customWidth="1"/>
    <col min="19" max="19" width="29" bestFit="1" customWidth="1"/>
    <col min="20" max="20" width="23" customWidth="1"/>
    <col min="21" max="21" width="74.42578125" bestFit="1" customWidth="1"/>
    <col min="22" max="22" width="45" customWidth="1"/>
    <col min="23" max="23" width="21.42578125" bestFit="1" customWidth="1"/>
    <col min="24" max="24" width="21.85546875" bestFit="1" customWidth="1"/>
    <col min="25" max="25" width="23.28515625" bestFit="1" customWidth="1"/>
    <col min="26" max="26" width="45.140625" bestFit="1" customWidth="1"/>
    <col min="27" max="27" width="13.85546875" bestFit="1" customWidth="1"/>
    <col min="28" max="28" width="40" bestFit="1" customWidth="1"/>
    <col min="29" max="29" width="22" bestFit="1" customWidth="1"/>
    <col min="30" max="30" width="202" bestFit="1" customWidth="1"/>
    <col min="31" max="31" width="11.85546875" bestFit="1" customWidth="1"/>
    <col min="32" max="32" width="14.42578125" bestFit="1" customWidth="1"/>
    <col min="33" max="33" width="14.85546875" bestFit="1" customWidth="1"/>
    <col min="34" max="34" width="6.28515625" bestFit="1" customWidth="1"/>
    <col min="35" max="35" width="85.7109375" bestFit="1" customWidth="1"/>
    <col min="36" max="36" width="35.28515625" bestFit="1" customWidth="1"/>
    <col min="37" max="37" width="44.85546875" bestFit="1" customWidth="1"/>
    <col min="38" max="38" width="10.140625" bestFit="1" customWidth="1"/>
    <col min="39" max="39" width="105.42578125" bestFit="1" customWidth="1"/>
    <col min="40" max="40" width="78.85546875" bestFit="1" customWidth="1"/>
  </cols>
  <sheetData>
    <row r="1" spans="1:41" ht="14.25" x14ac:dyDescent="0.2">
      <c r="B1" s="25" t="s">
        <v>67</v>
      </c>
      <c r="C1" s="25" t="s">
        <v>70</v>
      </c>
      <c r="D1" s="25" t="s">
        <v>72</v>
      </c>
      <c r="E1" s="25" t="s">
        <v>74</v>
      </c>
      <c r="F1" s="25" t="s">
        <v>76</v>
      </c>
      <c r="G1" s="25" t="s">
        <v>78</v>
      </c>
      <c r="H1" s="25" t="s">
        <v>80</v>
      </c>
      <c r="I1" s="25" t="s">
        <v>82</v>
      </c>
      <c r="J1" s="25" t="s">
        <v>84</v>
      </c>
      <c r="K1" s="25" t="s">
        <v>32</v>
      </c>
      <c r="L1" s="25" t="s">
        <v>153</v>
      </c>
      <c r="M1" s="25"/>
      <c r="N1" s="25"/>
      <c r="O1" s="25"/>
      <c r="P1" s="25"/>
      <c r="Q1" s="25"/>
      <c r="R1" s="25"/>
      <c r="S1" s="25" t="s">
        <v>154</v>
      </c>
      <c r="T1" s="25" t="s">
        <v>155</v>
      </c>
      <c r="U1" s="25"/>
      <c r="V1" s="25" t="s">
        <v>156</v>
      </c>
      <c r="W1" s="25" t="s">
        <v>157</v>
      </c>
      <c r="X1" s="25"/>
      <c r="Y1" s="25"/>
      <c r="Z1" s="25"/>
      <c r="AA1" s="25"/>
      <c r="AB1" s="25"/>
      <c r="AC1" s="25"/>
      <c r="AD1" s="25"/>
      <c r="AE1" s="25" t="s">
        <v>158</v>
      </c>
      <c r="AF1" s="25"/>
      <c r="AG1" s="25"/>
      <c r="AH1" s="25"/>
      <c r="AI1" s="25"/>
      <c r="AJ1" s="25" t="s">
        <v>128</v>
      </c>
      <c r="AK1" s="25"/>
      <c r="AL1" s="25"/>
      <c r="AM1" s="25"/>
      <c r="AN1" s="25" t="s">
        <v>139</v>
      </c>
      <c r="AO1" s="25" t="s">
        <v>141</v>
      </c>
    </row>
    <row r="2" spans="1:41" ht="14.25" x14ac:dyDescent="0.2">
      <c r="B2" s="25"/>
      <c r="C2" s="25"/>
      <c r="D2" s="25"/>
      <c r="E2" s="25"/>
      <c r="F2" s="25"/>
      <c r="G2" s="25"/>
      <c r="H2" s="25"/>
      <c r="I2" s="25"/>
      <c r="J2" s="25"/>
      <c r="K2" s="25" t="s">
        <v>86</v>
      </c>
      <c r="L2" s="25" t="s">
        <v>86</v>
      </c>
      <c r="M2" s="25"/>
      <c r="N2" s="25"/>
      <c r="O2" s="25"/>
      <c r="P2" s="25"/>
      <c r="Q2" s="25"/>
      <c r="R2" s="25"/>
      <c r="S2" s="25" t="s">
        <v>97</v>
      </c>
      <c r="T2" s="25" t="s">
        <v>97</v>
      </c>
      <c r="U2" s="25" t="s">
        <v>9</v>
      </c>
      <c r="V2" s="25" t="s">
        <v>86</v>
      </c>
      <c r="W2" s="25" t="s">
        <v>104</v>
      </c>
      <c r="X2" s="25" t="s">
        <v>106</v>
      </c>
      <c r="Y2" s="25" t="s">
        <v>108</v>
      </c>
      <c r="Z2" s="25" t="s">
        <v>110</v>
      </c>
      <c r="AA2" s="25" t="s">
        <v>112</v>
      </c>
      <c r="AB2" s="25" t="s">
        <v>114</v>
      </c>
      <c r="AC2" s="25" t="s">
        <v>116</v>
      </c>
      <c r="AD2" s="25" t="s">
        <v>9</v>
      </c>
      <c r="AE2" s="25" t="s">
        <v>21</v>
      </c>
      <c r="AF2" s="25" t="s">
        <v>121</v>
      </c>
      <c r="AG2" s="25" t="s">
        <v>123</v>
      </c>
      <c r="AH2" s="25" t="s">
        <v>125</v>
      </c>
      <c r="AI2" s="25" t="s">
        <v>25</v>
      </c>
      <c r="AJ2" s="25" t="s">
        <v>130</v>
      </c>
      <c r="AK2" s="25" t="s">
        <v>133</v>
      </c>
      <c r="AL2" s="25" t="s">
        <v>135</v>
      </c>
      <c r="AM2" s="25" t="s">
        <v>137</v>
      </c>
      <c r="AN2" s="25" t="s">
        <v>97</v>
      </c>
      <c r="AO2" s="25" t="s">
        <v>97</v>
      </c>
    </row>
    <row r="3" spans="1:41" ht="15" x14ac:dyDescent="0.25">
      <c r="A3" t="s">
        <v>211</v>
      </c>
      <c r="B3" s="20" t="s">
        <v>68</v>
      </c>
      <c r="C3" s="20" t="s">
        <v>71</v>
      </c>
      <c r="D3" s="20" t="s">
        <v>73</v>
      </c>
      <c r="E3" s="20" t="s">
        <v>75</v>
      </c>
      <c r="F3" s="20" t="s">
        <v>77</v>
      </c>
      <c r="G3" s="20" t="s">
        <v>79</v>
      </c>
      <c r="H3" s="20" t="s">
        <v>81</v>
      </c>
      <c r="I3" s="20" t="s">
        <v>83</v>
      </c>
      <c r="J3" s="20" t="s">
        <v>85</v>
      </c>
      <c r="K3" s="20" t="s">
        <v>210</v>
      </c>
      <c r="L3" s="20" t="s">
        <v>87</v>
      </c>
      <c r="M3" s="20" t="s">
        <v>89</v>
      </c>
      <c r="N3" s="20" t="s">
        <v>91</v>
      </c>
      <c r="O3" s="20" t="s">
        <v>92</v>
      </c>
      <c r="P3" s="20" t="s">
        <v>93</v>
      </c>
      <c r="Q3" s="20" t="s">
        <v>94</v>
      </c>
      <c r="R3" s="20" t="s">
        <v>95</v>
      </c>
      <c r="S3" s="23" t="s">
        <v>96</v>
      </c>
      <c r="T3" s="20" t="s">
        <v>98</v>
      </c>
      <c r="U3" s="23" t="s">
        <v>99</v>
      </c>
      <c r="V3" s="20" t="s">
        <v>101</v>
      </c>
      <c r="W3" s="24" t="s">
        <v>105</v>
      </c>
      <c r="X3" s="24" t="s">
        <v>107</v>
      </c>
      <c r="Y3" s="24" t="s">
        <v>109</v>
      </c>
      <c r="Z3" s="24" t="s">
        <v>111</v>
      </c>
      <c r="AA3" s="24" t="s">
        <v>113</v>
      </c>
      <c r="AB3" s="24" t="s">
        <v>115</v>
      </c>
      <c r="AC3" s="24" t="s">
        <v>117</v>
      </c>
      <c r="AD3" s="24" t="s">
        <v>118</v>
      </c>
      <c r="AE3" s="24" t="s">
        <v>120</v>
      </c>
      <c r="AF3" s="24" t="s">
        <v>122</v>
      </c>
      <c r="AG3" s="24" t="s">
        <v>124</v>
      </c>
      <c r="AH3" s="24" t="s">
        <v>126</v>
      </c>
      <c r="AI3" s="24" t="s">
        <v>127</v>
      </c>
      <c r="AJ3" s="24" t="s">
        <v>131</v>
      </c>
      <c r="AK3" s="24" t="s">
        <v>134</v>
      </c>
      <c r="AL3" s="24" t="s">
        <v>136</v>
      </c>
      <c r="AM3" s="24" t="s">
        <v>138</v>
      </c>
      <c r="AN3" s="24" t="s">
        <v>140</v>
      </c>
      <c r="AO3" s="24" t="s">
        <v>142</v>
      </c>
    </row>
    <row r="4" spans="1:41" ht="15" x14ac:dyDescent="0.25">
      <c r="A4" t="s">
        <v>212</v>
      </c>
      <c r="B4" s="38">
        <v>12434535301</v>
      </c>
      <c r="C4" s="38">
        <v>396431783</v>
      </c>
      <c r="D4" s="39">
        <v>44250.511782407404</v>
      </c>
      <c r="E4" s="39">
        <v>44250.514189814814</v>
      </c>
      <c r="F4" s="38" t="s">
        <v>159</v>
      </c>
      <c r="G4" s="38"/>
      <c r="H4" s="38"/>
      <c r="I4" s="38"/>
      <c r="J4" s="38"/>
      <c r="K4" s="38" t="s">
        <v>160</v>
      </c>
      <c r="L4" s="38" t="s">
        <v>161</v>
      </c>
      <c r="M4" s="26">
        <f>VLOOKUP(L4,DFanalysis_new!B:G,2,FALSE)</f>
        <v>97174</v>
      </c>
      <c r="N4" s="26" t="str">
        <f>VLOOKUP(L4,DFanalysis_new!B:K,10,FALSE)</f>
        <v>GBP</v>
      </c>
      <c r="O4" s="26" t="str">
        <f>VLOOKUP(L4,DFanalysis_new!B:G,3,FALSE)</f>
        <v>Mixed: Senior+Subordinated+Preferred equity</v>
      </c>
      <c r="P4" s="26" t="str">
        <f>VLOOKUP(L4,DFanalysis_new!B:E,4,FALSE)</f>
        <v>Europe</v>
      </c>
      <c r="Q4" s="26" t="str">
        <f>VLOOKUP(L4,DFanalysis_new!B:F,5,FALSE)</f>
        <v>Closed end</v>
      </c>
      <c r="R4" s="26">
        <f>VLOOKUP(L4,DFanalysis_new!B:G,6,FALSE)</f>
        <v>2019</v>
      </c>
      <c r="S4" s="38" t="s">
        <v>152</v>
      </c>
      <c r="T4" s="38"/>
      <c r="U4" s="38"/>
      <c r="V4" s="38">
        <v>918</v>
      </c>
      <c r="W4" s="38">
        <v>814</v>
      </c>
      <c r="X4" s="38"/>
      <c r="Y4" s="38">
        <v>52</v>
      </c>
      <c r="Z4" s="38"/>
      <c r="AA4" s="38"/>
      <c r="AB4" s="38"/>
      <c r="AC4" s="38"/>
      <c r="AD4" s="38">
        <v>52</v>
      </c>
      <c r="AE4" s="38">
        <v>52</v>
      </c>
      <c r="AF4" s="38">
        <v>34</v>
      </c>
      <c r="AG4" s="38">
        <v>832</v>
      </c>
      <c r="AH4" s="38"/>
      <c r="AI4" s="38"/>
      <c r="AJ4" s="38"/>
      <c r="AK4" s="38"/>
      <c r="AL4" s="38">
        <v>100</v>
      </c>
      <c r="AM4" s="38"/>
      <c r="AN4" s="38" t="s">
        <v>151</v>
      </c>
      <c r="AO4" s="38" t="s">
        <v>152</v>
      </c>
    </row>
    <row r="5" spans="1:41" ht="15" x14ac:dyDescent="0.25">
      <c r="A5" t="s">
        <v>212</v>
      </c>
      <c r="B5" s="38">
        <v>12419473127</v>
      </c>
      <c r="C5" s="38">
        <v>396431783</v>
      </c>
      <c r="D5" s="39">
        <v>44245.501493055555</v>
      </c>
      <c r="E5" s="39">
        <v>44245.502465277779</v>
      </c>
      <c r="F5" s="38" t="s">
        <v>162</v>
      </c>
      <c r="G5" s="38"/>
      <c r="H5" s="38"/>
      <c r="I5" s="38"/>
      <c r="J5" s="38"/>
      <c r="K5" s="38" t="s">
        <v>163</v>
      </c>
      <c r="L5" s="38" t="s">
        <v>164</v>
      </c>
      <c r="M5" s="26">
        <f>VLOOKUP(L5,DFanalysis_new!B:G,2,FALSE)</f>
        <v>10000001</v>
      </c>
      <c r="N5" s="26" t="str">
        <f>VLOOKUP(L5,DFanalysis_new!B:K,10,FALSE)</f>
        <v>GBP</v>
      </c>
      <c r="O5" s="26" t="str">
        <f>VLOOKUP(L5,DFanalysis_new!B:G,3,FALSE)</f>
        <v>Senior</v>
      </c>
      <c r="P5" s="26" t="str">
        <f>VLOOKUP(L5,DFanalysis_new!B:E,4,FALSE)</f>
        <v>Europe</v>
      </c>
      <c r="Q5" s="26" t="str">
        <f>VLOOKUP(L5,DFanalysis_new!B:F,5,FALSE)</f>
        <v>Closed end</v>
      </c>
      <c r="R5" s="26">
        <f>VLOOKUP(L5,DFanalysis_new!B:G,6,FALSE)</f>
        <v>2020</v>
      </c>
      <c r="S5" s="38" t="s">
        <v>152</v>
      </c>
      <c r="T5" s="38"/>
      <c r="U5" s="38"/>
      <c r="V5" s="38">
        <v>360</v>
      </c>
      <c r="W5" s="38">
        <v>360</v>
      </c>
      <c r="X5" s="38"/>
      <c r="Y5" s="38"/>
      <c r="Z5" s="38"/>
      <c r="AA5" s="38"/>
      <c r="AB5" s="38"/>
      <c r="AC5" s="38"/>
      <c r="AD5" s="38"/>
      <c r="AE5" s="38">
        <v>360</v>
      </c>
      <c r="AF5" s="38"/>
      <c r="AG5" s="38"/>
      <c r="AH5" s="38"/>
      <c r="AI5" s="38"/>
      <c r="AJ5" s="38"/>
      <c r="AK5" s="38"/>
      <c r="AL5" s="38">
        <v>100</v>
      </c>
      <c r="AM5" s="38"/>
      <c r="AN5" s="38" t="s">
        <v>151</v>
      </c>
      <c r="AO5" s="38" t="s">
        <v>152</v>
      </c>
    </row>
    <row r="6" spans="1:41" ht="15" x14ac:dyDescent="0.25">
      <c r="A6" t="s">
        <v>212</v>
      </c>
      <c r="B6" s="38">
        <v>12419464784</v>
      </c>
      <c r="C6" s="38">
        <v>396431783</v>
      </c>
      <c r="D6" s="39">
        <v>44245.499085648145</v>
      </c>
      <c r="E6" s="39">
        <v>44245.501250000001</v>
      </c>
      <c r="F6" s="38" t="s">
        <v>162</v>
      </c>
      <c r="G6" s="38"/>
      <c r="H6" s="38"/>
      <c r="I6" s="38"/>
      <c r="J6" s="38"/>
      <c r="K6" s="38" t="s">
        <v>163</v>
      </c>
      <c r="L6" s="38" t="s">
        <v>165</v>
      </c>
      <c r="M6" s="26">
        <f>VLOOKUP(L6,DFanalysis_new!B:G,2,FALSE)</f>
        <v>10000002</v>
      </c>
      <c r="N6" s="26" t="str">
        <f>VLOOKUP(L6,DFanalysis_new!B:K,10,FALSE)</f>
        <v>GBP</v>
      </c>
      <c r="O6" s="26" t="str">
        <f>VLOOKUP(L6,DFanalysis_new!B:G,3,FALSE)</f>
        <v>Senior</v>
      </c>
      <c r="P6" s="26" t="str">
        <f>VLOOKUP(L6,DFanalysis_new!B:E,4,FALSE)</f>
        <v>Europe</v>
      </c>
      <c r="Q6" s="26" t="str">
        <f>VLOOKUP(L6,DFanalysis_new!B:F,5,FALSE)</f>
        <v>Closed end</v>
      </c>
      <c r="R6" s="26">
        <f>VLOOKUP(L6,DFanalysis_new!B:G,6,FALSE)</f>
        <v>2020</v>
      </c>
      <c r="S6" s="38" t="s">
        <v>152</v>
      </c>
      <c r="T6" s="38"/>
      <c r="U6" s="38"/>
      <c r="V6" s="38">
        <v>110</v>
      </c>
      <c r="W6" s="38">
        <v>110</v>
      </c>
      <c r="X6" s="38"/>
      <c r="Y6" s="38"/>
      <c r="Z6" s="38"/>
      <c r="AA6" s="38"/>
      <c r="AB6" s="38"/>
      <c r="AC6" s="38"/>
      <c r="AD6" s="38"/>
      <c r="AE6" s="38">
        <v>110</v>
      </c>
      <c r="AF6" s="38"/>
      <c r="AG6" s="38"/>
      <c r="AH6" s="38"/>
      <c r="AI6" s="38"/>
      <c r="AJ6" s="38"/>
      <c r="AK6" s="38"/>
      <c r="AL6" s="38">
        <v>100</v>
      </c>
      <c r="AM6" s="38"/>
      <c r="AN6" s="38" t="s">
        <v>151</v>
      </c>
      <c r="AO6" s="38" t="s">
        <v>152</v>
      </c>
    </row>
    <row r="7" spans="1:41" ht="15" x14ac:dyDescent="0.25">
      <c r="A7" t="s">
        <v>212</v>
      </c>
      <c r="B7" s="38">
        <v>12410630931</v>
      </c>
      <c r="C7" s="38">
        <v>396431783</v>
      </c>
      <c r="D7" s="39">
        <v>44242.719930555555</v>
      </c>
      <c r="E7" s="39">
        <v>44242.722708333335</v>
      </c>
      <c r="F7" s="38" t="s">
        <v>166</v>
      </c>
      <c r="G7" s="38"/>
      <c r="H7" s="38"/>
      <c r="I7" s="38"/>
      <c r="J7" s="38"/>
      <c r="K7" s="38" t="s">
        <v>167</v>
      </c>
      <c r="L7" s="38" t="s">
        <v>168</v>
      </c>
      <c r="M7" s="26">
        <f>VLOOKUP(L7,DFanalysis_new!B:G,2,FALSE)</f>
        <v>76090</v>
      </c>
      <c r="N7" s="26" t="str">
        <f>VLOOKUP(L7,DFanalysis_new!B:K,10,FALSE)</f>
        <v>EUR</v>
      </c>
      <c r="O7" s="26" t="str">
        <f>VLOOKUP(L7,DFanalysis_new!B:G,3,FALSE)</f>
        <v>Senior</v>
      </c>
      <c r="P7" s="26" t="str">
        <f>VLOOKUP(L7,DFanalysis_new!B:E,4,FALSE)</f>
        <v>Europe</v>
      </c>
      <c r="Q7" s="26" t="str">
        <f>VLOOKUP(L7,DFanalysis_new!B:F,5,FALSE)</f>
        <v>Closed end</v>
      </c>
      <c r="R7" s="26">
        <f>VLOOKUP(L7,DFanalysis_new!B:G,6,FALSE)</f>
        <v>2020</v>
      </c>
      <c r="S7" s="38" t="s">
        <v>152</v>
      </c>
      <c r="T7" s="38"/>
      <c r="U7" s="38"/>
      <c r="V7" s="38">
        <v>175</v>
      </c>
      <c r="W7" s="38">
        <v>0</v>
      </c>
      <c r="X7" s="38">
        <v>150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25</v>
      </c>
      <c r="AE7" s="38">
        <v>175</v>
      </c>
      <c r="AF7" s="38">
        <v>0</v>
      </c>
      <c r="AG7" s="38">
        <v>0</v>
      </c>
      <c r="AH7" s="38">
        <v>0</v>
      </c>
      <c r="AI7" s="38">
        <v>0</v>
      </c>
      <c r="AJ7" s="38">
        <v>0</v>
      </c>
      <c r="AK7" s="38">
        <v>0</v>
      </c>
      <c r="AL7" s="38">
        <v>100</v>
      </c>
      <c r="AM7" s="38">
        <v>0</v>
      </c>
      <c r="AN7" s="38" t="s">
        <v>169</v>
      </c>
      <c r="AO7" s="38" t="s">
        <v>170</v>
      </c>
    </row>
    <row r="8" spans="1:41" ht="15" x14ac:dyDescent="0.25">
      <c r="A8" t="s">
        <v>212</v>
      </c>
      <c r="B8" s="38">
        <v>12409818114</v>
      </c>
      <c r="C8" s="38">
        <v>396431783</v>
      </c>
      <c r="D8" s="39">
        <v>44242.479513888888</v>
      </c>
      <c r="E8" s="39">
        <v>44242.578032407408</v>
      </c>
      <c r="F8" s="38" t="s">
        <v>171</v>
      </c>
      <c r="G8" s="38"/>
      <c r="H8" s="38"/>
      <c r="I8" s="38"/>
      <c r="J8" s="38"/>
      <c r="K8" s="38" t="s">
        <v>172</v>
      </c>
      <c r="L8" s="38" t="s">
        <v>173</v>
      </c>
      <c r="M8" s="26">
        <f>VLOOKUP(L8,DFanalysis_new!B:G,2,FALSE)</f>
        <v>105571</v>
      </c>
      <c r="N8" s="26" t="str">
        <f>VLOOKUP(L8,DFanalysis_new!B:K,10,FALSE)</f>
        <v>EUR</v>
      </c>
      <c r="O8" s="26" t="str">
        <f>VLOOKUP(L8,DFanalysis_new!B:G,3,FALSE)</f>
        <v>Subordinated: Junior+Mezzanine</v>
      </c>
      <c r="P8" s="26" t="str">
        <f>VLOOKUP(L8,DFanalysis_new!B:E,4,FALSE)</f>
        <v>Europe</v>
      </c>
      <c r="Q8" s="26" t="str">
        <f>VLOOKUP(L8,DFanalysis_new!B:F,5,FALSE)</f>
        <v>Closed end</v>
      </c>
      <c r="R8" s="26">
        <f>VLOOKUP(L8,DFanalysis_new!B:G,6,FALSE)</f>
        <v>2020</v>
      </c>
      <c r="S8" s="38" t="s">
        <v>152</v>
      </c>
      <c r="T8" s="38"/>
      <c r="U8" s="38"/>
      <c r="V8" s="38">
        <v>435</v>
      </c>
      <c r="W8" s="38">
        <v>310</v>
      </c>
      <c r="X8" s="38">
        <v>100</v>
      </c>
      <c r="Y8" s="38"/>
      <c r="Z8" s="38"/>
      <c r="AA8" s="38"/>
      <c r="AB8" s="38"/>
      <c r="AC8" s="38"/>
      <c r="AD8" s="38">
        <v>25</v>
      </c>
      <c r="AE8" s="38">
        <v>180</v>
      </c>
      <c r="AF8" s="38">
        <v>230</v>
      </c>
      <c r="AG8" s="38">
        <v>25</v>
      </c>
      <c r="AH8" s="38"/>
      <c r="AI8" s="38"/>
      <c r="AJ8" s="38"/>
      <c r="AK8" s="38"/>
      <c r="AL8" s="38">
        <v>100</v>
      </c>
      <c r="AM8" s="38"/>
      <c r="AN8" s="38" t="s">
        <v>151</v>
      </c>
      <c r="AO8" s="38" t="s">
        <v>152</v>
      </c>
    </row>
    <row r="9" spans="1:41" ht="15" x14ac:dyDescent="0.25">
      <c r="A9" t="s">
        <v>212</v>
      </c>
      <c r="B9" s="38">
        <v>12409801116</v>
      </c>
      <c r="C9" s="38">
        <v>396431783</v>
      </c>
      <c r="D9" s="39">
        <v>44238.445370370369</v>
      </c>
      <c r="E9" s="39">
        <v>44242.480682870373</v>
      </c>
      <c r="F9" s="38" t="s">
        <v>174</v>
      </c>
      <c r="G9" s="38"/>
      <c r="H9" s="38"/>
      <c r="I9" s="38"/>
      <c r="J9" s="38"/>
      <c r="K9" s="38" t="s">
        <v>175</v>
      </c>
      <c r="L9" s="38" t="s">
        <v>176</v>
      </c>
      <c r="M9" s="26">
        <f>VLOOKUP(L9,DFanalysis_new!B:G,2,FALSE)</f>
        <v>18415</v>
      </c>
      <c r="N9" s="26" t="str">
        <f>VLOOKUP(L9,DFanalysis_new!B:K,10,FALSE)</f>
        <v>GBP</v>
      </c>
      <c r="O9" s="26" t="str">
        <f>VLOOKUP(L9,DFanalysis_new!B:G,3,FALSE)</f>
        <v>Senior</v>
      </c>
      <c r="P9" s="26" t="str">
        <f>VLOOKUP(L9,DFanalysis_new!B:E,4,FALSE)</f>
        <v>Europe</v>
      </c>
      <c r="Q9" s="26" t="str">
        <f>VLOOKUP(L9,DFanalysis_new!B:F,5,FALSE)</f>
        <v>Closed end</v>
      </c>
      <c r="R9" s="26">
        <f>VLOOKUP(L9,DFanalysis_new!B:G,6,FALSE)</f>
        <v>2014</v>
      </c>
      <c r="S9" s="38" t="s">
        <v>170</v>
      </c>
      <c r="T9" s="38" t="s">
        <v>9</v>
      </c>
      <c r="U9" s="38" t="s">
        <v>177</v>
      </c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 t="s">
        <v>151</v>
      </c>
      <c r="AO9" s="38" t="s">
        <v>152</v>
      </c>
    </row>
    <row r="10" spans="1:41" ht="15" x14ac:dyDescent="0.25">
      <c r="A10" t="s">
        <v>212</v>
      </c>
      <c r="B10" s="38">
        <v>12409784321</v>
      </c>
      <c r="C10" s="38">
        <v>396431783</v>
      </c>
      <c r="D10" s="39">
        <v>44242.465451388889</v>
      </c>
      <c r="E10" s="39">
        <v>44242.654374999998</v>
      </c>
      <c r="F10" s="38" t="s">
        <v>178</v>
      </c>
      <c r="G10" s="38"/>
      <c r="H10" s="38"/>
      <c r="I10" s="38"/>
      <c r="J10" s="38"/>
      <c r="K10" s="38" t="s">
        <v>179</v>
      </c>
      <c r="L10" s="38" t="s">
        <v>180</v>
      </c>
      <c r="M10" s="26">
        <f>VLOOKUP(L10,DFanalysis_new!B:G,2,FALSE)</f>
        <v>101287</v>
      </c>
      <c r="N10" s="26" t="str">
        <f>VLOOKUP(L10,DFanalysis_new!B:K,10,FALSE)</f>
        <v>EUR</v>
      </c>
      <c r="O10" s="26" t="str">
        <f>VLOOKUP(L10,DFanalysis_new!B:G,3,FALSE)</f>
        <v>Whole Loans</v>
      </c>
      <c r="P10" s="26" t="str">
        <f>VLOOKUP(L10,DFanalysis_new!B:E,4,FALSE)</f>
        <v>Europe</v>
      </c>
      <c r="Q10" s="26" t="str">
        <f>VLOOKUP(L10,DFanalysis_new!B:F,5,FALSE)</f>
        <v>Closed end</v>
      </c>
      <c r="R10" s="26">
        <f>VLOOKUP(L10,DFanalysis_new!B:G,6,FALSE)</f>
        <v>2019</v>
      </c>
      <c r="S10" s="38" t="s">
        <v>152</v>
      </c>
      <c r="T10" s="38"/>
      <c r="U10" s="38"/>
      <c r="V10" s="38">
        <v>300</v>
      </c>
      <c r="W10" s="38"/>
      <c r="X10" s="38">
        <v>300</v>
      </c>
      <c r="Y10" s="38"/>
      <c r="Z10" s="38"/>
      <c r="AA10" s="38"/>
      <c r="AB10" s="38"/>
      <c r="AC10" s="38"/>
      <c r="AD10" s="38"/>
      <c r="AE10" s="38">
        <v>300</v>
      </c>
      <c r="AF10" s="38"/>
      <c r="AG10" s="38"/>
      <c r="AH10" s="38"/>
      <c r="AI10" s="38"/>
      <c r="AJ10" s="38"/>
      <c r="AK10" s="38"/>
      <c r="AL10" s="38">
        <v>100</v>
      </c>
      <c r="AM10" s="38"/>
      <c r="AN10" s="38" t="s">
        <v>151</v>
      </c>
      <c r="AO10" s="38" t="s">
        <v>152</v>
      </c>
    </row>
    <row r="11" spans="1:41" ht="15" x14ac:dyDescent="0.25">
      <c r="A11" t="s">
        <v>212</v>
      </c>
      <c r="B11" s="38">
        <v>12409709323</v>
      </c>
      <c r="C11" s="38">
        <v>396431783</v>
      </c>
      <c r="D11" s="39">
        <v>44242.437708333331</v>
      </c>
      <c r="E11" s="39">
        <v>44242.438113425924</v>
      </c>
      <c r="F11" s="38" t="s">
        <v>178</v>
      </c>
      <c r="G11" s="38"/>
      <c r="H11" s="38"/>
      <c r="I11" s="38"/>
      <c r="J11" s="38"/>
      <c r="K11" s="38" t="s">
        <v>179</v>
      </c>
      <c r="L11" s="38" t="s">
        <v>181</v>
      </c>
      <c r="M11" s="26">
        <f>VLOOKUP(L11,DFanalysis_new!B:G,2,FALSE)</f>
        <v>105571</v>
      </c>
      <c r="N11" s="26" t="str">
        <f>VLOOKUP(L11,DFanalysis_new!B:K,10,FALSE)</f>
        <v>EUR</v>
      </c>
      <c r="O11" s="26" t="str">
        <f>VLOOKUP(L11,DFanalysis_new!B:G,3,FALSE)</f>
        <v>Subordinated: Junior+Mezzanine</v>
      </c>
      <c r="P11" s="26" t="str">
        <f>VLOOKUP(L11,DFanalysis_new!B:E,4,FALSE)</f>
        <v>Europe</v>
      </c>
      <c r="Q11" s="26" t="str">
        <f>VLOOKUP(L11,DFanalysis_new!B:F,5,FALSE)</f>
        <v>Closed end</v>
      </c>
      <c r="R11" s="26">
        <f>VLOOKUP(L11,DFanalysis_new!B:G,6,FALSE)</f>
        <v>2020</v>
      </c>
      <c r="S11" s="38" t="s">
        <v>152</v>
      </c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</row>
    <row r="12" spans="1:41" ht="15" x14ac:dyDescent="0.25">
      <c r="A12" t="s">
        <v>212</v>
      </c>
      <c r="B12" s="38">
        <v>12400952773</v>
      </c>
      <c r="C12" s="38">
        <v>396431783</v>
      </c>
      <c r="D12" s="39">
        <v>44238.446261574078</v>
      </c>
      <c r="E12" s="39">
        <v>44238.476875</v>
      </c>
      <c r="F12" s="38" t="s">
        <v>182</v>
      </c>
      <c r="G12" s="38"/>
      <c r="H12" s="38"/>
      <c r="I12" s="38"/>
      <c r="J12" s="38"/>
      <c r="K12" s="38" t="s">
        <v>183</v>
      </c>
      <c r="L12" s="38" t="s">
        <v>184</v>
      </c>
      <c r="M12" s="26">
        <f>VLOOKUP(L12,DFanalysis_new!B:G,2,FALSE)</f>
        <v>73412</v>
      </c>
      <c r="N12" s="26" t="str">
        <f>VLOOKUP(L12,DFanalysis_new!B:K,10,FALSE)</f>
        <v>GBP</v>
      </c>
      <c r="O12" s="26" t="str">
        <f>VLOOKUP(L12,DFanalysis_new!B:G,3,FALSE)</f>
        <v>Subordinated: Junior+Mezzanine</v>
      </c>
      <c r="P12" s="26" t="str">
        <f>VLOOKUP(L12,DFanalysis_new!B:E,4,FALSE)</f>
        <v>Europe</v>
      </c>
      <c r="Q12" s="26" t="str">
        <f>VLOOKUP(L12,DFanalysis_new!B:F,5,FALSE)</f>
        <v>Closed end</v>
      </c>
      <c r="R12" s="26">
        <f>VLOOKUP(L12,DFanalysis_new!B:G,6,FALSE)</f>
        <v>2017</v>
      </c>
      <c r="S12" s="38" t="s">
        <v>152</v>
      </c>
      <c r="T12" s="38"/>
      <c r="U12" s="38"/>
      <c r="V12" s="38">
        <v>76</v>
      </c>
      <c r="W12" s="38">
        <v>26</v>
      </c>
      <c r="X12" s="38"/>
      <c r="Y12" s="38"/>
      <c r="Z12" s="38"/>
      <c r="AA12" s="38"/>
      <c r="AB12" s="38">
        <v>50</v>
      </c>
      <c r="AC12" s="38"/>
      <c r="AD12" s="38"/>
      <c r="AE12" s="38">
        <v>76</v>
      </c>
      <c r="AF12" s="38"/>
      <c r="AG12" s="38"/>
      <c r="AH12" s="38"/>
      <c r="AI12" s="38"/>
      <c r="AJ12" s="38">
        <v>0</v>
      </c>
      <c r="AK12" s="38">
        <v>0</v>
      </c>
      <c r="AL12" s="38">
        <v>100</v>
      </c>
      <c r="AM12" s="38">
        <v>0</v>
      </c>
      <c r="AN12" s="38" t="s">
        <v>151</v>
      </c>
      <c r="AO12" s="38" t="s">
        <v>152</v>
      </c>
    </row>
    <row r="13" spans="1:41" ht="15" x14ac:dyDescent="0.25">
      <c r="A13" t="s">
        <v>212</v>
      </c>
      <c r="B13" s="38">
        <v>12400844937</v>
      </c>
      <c r="C13" s="38">
        <v>396431783</v>
      </c>
      <c r="D13" s="39">
        <v>44238.400300925925</v>
      </c>
      <c r="E13" s="39">
        <v>44238.40179398148</v>
      </c>
      <c r="F13" s="38" t="s">
        <v>185</v>
      </c>
      <c r="G13" s="38"/>
      <c r="H13" s="38"/>
      <c r="I13" s="38"/>
      <c r="J13" s="38"/>
      <c r="K13" s="38" t="s">
        <v>186</v>
      </c>
      <c r="L13" s="38" t="s">
        <v>484</v>
      </c>
      <c r="M13" s="26">
        <f>VLOOKUP(L13,DFanalysis_new!B:G,2,FALSE)</f>
        <v>17383</v>
      </c>
      <c r="N13" s="26" t="str">
        <f>VLOOKUP(L13,DFanalysis_new!B:K,10,FALSE)</f>
        <v>GBP</v>
      </c>
      <c r="O13" s="26" t="str">
        <f>VLOOKUP(L13,DFanalysis_new!B:G,3,FALSE)</f>
        <v>Senior</v>
      </c>
      <c r="P13" s="26" t="str">
        <f>VLOOKUP(L13,DFanalysis_new!B:E,4,FALSE)</f>
        <v>Europe</v>
      </c>
      <c r="Q13" s="26" t="str">
        <f>VLOOKUP(L13,DFanalysis_new!B:F,5,FALSE)</f>
        <v>Closed end</v>
      </c>
      <c r="R13" s="26">
        <f>VLOOKUP(L13,DFanalysis_new!B:G,6,FALSE)</f>
        <v>2014</v>
      </c>
      <c r="S13" s="38" t="s">
        <v>152</v>
      </c>
      <c r="T13" s="38"/>
      <c r="U13" s="38"/>
      <c r="V13" s="38">
        <v>800</v>
      </c>
      <c r="W13" s="38"/>
      <c r="X13" s="38">
        <v>800</v>
      </c>
      <c r="Y13" s="38"/>
      <c r="Z13" s="38"/>
      <c r="AA13" s="38"/>
      <c r="AB13" s="38"/>
      <c r="AC13" s="38"/>
      <c r="AD13" s="38"/>
      <c r="AE13" s="38">
        <v>800</v>
      </c>
      <c r="AF13" s="38"/>
      <c r="AG13" s="38"/>
      <c r="AH13" s="38"/>
      <c r="AI13" s="38"/>
      <c r="AJ13" s="38"/>
      <c r="AK13" s="38"/>
      <c r="AL13" s="38">
        <v>100</v>
      </c>
      <c r="AM13" s="38"/>
      <c r="AN13" s="38" t="s">
        <v>188</v>
      </c>
      <c r="AO13" s="38" t="s">
        <v>152</v>
      </c>
    </row>
    <row r="14" spans="1:41" ht="15" x14ac:dyDescent="0.25">
      <c r="A14" t="s">
        <v>212</v>
      </c>
      <c r="B14" s="38">
        <v>12395458710</v>
      </c>
      <c r="C14" s="38">
        <v>396431783</v>
      </c>
      <c r="D14" s="39">
        <v>44236.74391203704</v>
      </c>
      <c r="E14" s="39">
        <v>44236.746921296297</v>
      </c>
      <c r="F14" s="38" t="s">
        <v>189</v>
      </c>
      <c r="G14" s="38"/>
      <c r="H14" s="38"/>
      <c r="I14" s="38"/>
      <c r="J14" s="38"/>
      <c r="K14" s="38" t="s">
        <v>190</v>
      </c>
      <c r="L14" s="38" t="s">
        <v>191</v>
      </c>
      <c r="M14" s="26">
        <f>VLOOKUP(L14,DFanalysis_new!B:G,2,FALSE)</f>
        <v>19302</v>
      </c>
      <c r="N14" s="26" t="str">
        <f>VLOOKUP(L14,DFanalysis_new!B:K,10,FALSE)</f>
        <v>EUR</v>
      </c>
      <c r="O14" s="26" t="str">
        <f>VLOOKUP(L14,DFanalysis_new!B:G,3,FALSE)</f>
        <v>Mixed: Senior+Subordinated</v>
      </c>
      <c r="P14" s="26" t="str">
        <f>VLOOKUP(L14,DFanalysis_new!B:E,4,FALSE)</f>
        <v>Europe</v>
      </c>
      <c r="Q14" s="26" t="str">
        <f>VLOOKUP(L14,DFanalysis_new!B:F,5,FALSE)</f>
        <v>Closed end</v>
      </c>
      <c r="R14" s="26">
        <f>VLOOKUP(L14,DFanalysis_new!B:G,6,FALSE)</f>
        <v>2019</v>
      </c>
      <c r="S14" s="38" t="s">
        <v>152</v>
      </c>
      <c r="T14" s="38"/>
      <c r="U14" s="38"/>
      <c r="V14" s="38">
        <v>214</v>
      </c>
      <c r="W14" s="38"/>
      <c r="X14" s="38">
        <v>214</v>
      </c>
      <c r="Y14" s="38"/>
      <c r="Z14" s="38"/>
      <c r="AA14" s="38"/>
      <c r="AB14" s="38"/>
      <c r="AC14" s="38"/>
      <c r="AD14" s="38"/>
      <c r="AE14" s="38">
        <v>214</v>
      </c>
      <c r="AF14" s="38"/>
      <c r="AG14" s="38"/>
      <c r="AH14" s="38"/>
      <c r="AI14" s="38"/>
      <c r="AJ14" s="38"/>
      <c r="AK14" s="38"/>
      <c r="AL14" s="38">
        <v>100</v>
      </c>
      <c r="AM14" s="38"/>
      <c r="AN14" s="38"/>
      <c r="AO14" s="38"/>
    </row>
    <row r="15" spans="1:41" ht="15" x14ac:dyDescent="0.25">
      <c r="A15" t="s">
        <v>213</v>
      </c>
      <c r="B15" s="38">
        <v>12391185772</v>
      </c>
      <c r="C15" s="38">
        <v>396431783</v>
      </c>
      <c r="D15" s="39">
        <v>44235.504895833335</v>
      </c>
      <c r="E15" s="39">
        <v>44235.505266203705</v>
      </c>
      <c r="F15" s="38" t="s">
        <v>192</v>
      </c>
      <c r="G15" s="38"/>
      <c r="H15" s="38"/>
      <c r="I15" s="38"/>
      <c r="J15" s="38"/>
      <c r="K15" s="38" t="s">
        <v>193</v>
      </c>
      <c r="L15" s="38" t="s">
        <v>194</v>
      </c>
      <c r="M15" s="26" t="e">
        <f>VLOOKUP(L15,DFanalysis_new!B:G,2,FALSE)</f>
        <v>#N/A</v>
      </c>
      <c r="N15" s="26" t="e">
        <f>VLOOKUP(L15,DFanalysis_new!B:K,10,FALSE)</f>
        <v>#N/A</v>
      </c>
      <c r="O15" s="26" t="e">
        <f>VLOOKUP(L15,DFanalysis_new!B:G,3,FALSE)</f>
        <v>#N/A</v>
      </c>
      <c r="P15" s="26" t="e">
        <f>VLOOKUP(L15,DFanalysis_new!B:E,4,FALSE)</f>
        <v>#N/A</v>
      </c>
      <c r="Q15" s="26" t="e">
        <f>VLOOKUP(L15,DFanalysis_new!B:F,5,FALSE)</f>
        <v>#N/A</v>
      </c>
      <c r="R15" s="26" t="e">
        <f>VLOOKUP(L15,DFanalysis_new!B:G,6,FALSE)</f>
        <v>#N/A</v>
      </c>
      <c r="S15" s="38" t="s">
        <v>152</v>
      </c>
      <c r="T15" s="38"/>
      <c r="U15" s="38"/>
      <c r="V15" s="38">
        <v>65</v>
      </c>
      <c r="W15" s="38"/>
      <c r="X15" s="38">
        <v>65</v>
      </c>
      <c r="Y15" s="38"/>
      <c r="Z15" s="38"/>
      <c r="AA15" s="38"/>
      <c r="AB15" s="38"/>
      <c r="AC15" s="38"/>
      <c r="AD15" s="38"/>
      <c r="AE15" s="38">
        <v>65</v>
      </c>
      <c r="AF15" s="38"/>
      <c r="AG15" s="38"/>
      <c r="AH15" s="38"/>
      <c r="AI15" s="38"/>
      <c r="AJ15" s="38"/>
      <c r="AK15" s="38">
        <v>100</v>
      </c>
      <c r="AL15" s="38"/>
      <c r="AM15" s="38"/>
      <c r="AN15" s="38" t="s">
        <v>151</v>
      </c>
      <c r="AO15" s="38" t="s">
        <v>152</v>
      </c>
    </row>
    <row r="16" spans="1:41" ht="15" x14ac:dyDescent="0.25">
      <c r="A16" t="s">
        <v>212</v>
      </c>
      <c r="B16" s="38">
        <v>12391184348</v>
      </c>
      <c r="C16" s="38">
        <v>396431783</v>
      </c>
      <c r="D16" s="39">
        <v>44235.504374999997</v>
      </c>
      <c r="E16" s="39">
        <v>44235.504803240743</v>
      </c>
      <c r="F16" s="38" t="s">
        <v>192</v>
      </c>
      <c r="G16" s="38"/>
      <c r="H16" s="38"/>
      <c r="I16" s="38"/>
      <c r="J16" s="38"/>
      <c r="K16" s="38" t="s">
        <v>193</v>
      </c>
      <c r="L16" s="38" t="s">
        <v>195</v>
      </c>
      <c r="M16" s="26">
        <f>VLOOKUP(L16,DFanalysis_new!B:G,2,FALSE)</f>
        <v>105974</v>
      </c>
      <c r="N16" s="26" t="str">
        <f>VLOOKUP(L16,DFanalysis_new!B:K,10,FALSE)</f>
        <v>GBP</v>
      </c>
      <c r="O16" s="26" t="str">
        <f>VLOOKUP(L16,DFanalysis_new!B:G,3,FALSE)</f>
        <v>Whole Loans</v>
      </c>
      <c r="P16" s="26" t="str">
        <f>VLOOKUP(L16,DFanalysis_new!B:E,4,FALSE)</f>
        <v>Europe</v>
      </c>
      <c r="Q16" s="26" t="str">
        <f>VLOOKUP(L16,DFanalysis_new!B:F,5,FALSE)</f>
        <v>Closed end</v>
      </c>
      <c r="R16" s="26">
        <f>VLOOKUP(L16,DFanalysis_new!B:G,6,FALSE)</f>
        <v>2019</v>
      </c>
      <c r="S16" s="38" t="s">
        <v>152</v>
      </c>
      <c r="T16" s="38"/>
      <c r="U16" s="38"/>
      <c r="V16" s="38">
        <v>100</v>
      </c>
      <c r="W16" s="38">
        <v>100</v>
      </c>
      <c r="X16" s="38"/>
      <c r="Y16" s="38"/>
      <c r="Z16" s="38"/>
      <c r="AA16" s="38"/>
      <c r="AB16" s="38"/>
      <c r="AC16" s="38"/>
      <c r="AD16" s="38"/>
      <c r="AE16" s="38">
        <v>100</v>
      </c>
      <c r="AF16" s="38"/>
      <c r="AG16" s="38"/>
      <c r="AH16" s="38"/>
      <c r="AI16" s="38"/>
      <c r="AJ16" s="38"/>
      <c r="AK16" s="38"/>
      <c r="AL16" s="38">
        <v>100</v>
      </c>
      <c r="AM16" s="38"/>
      <c r="AN16" s="38" t="s">
        <v>151</v>
      </c>
      <c r="AO16" s="38" t="s">
        <v>152</v>
      </c>
    </row>
    <row r="17" spans="1:41" ht="15" x14ac:dyDescent="0.25">
      <c r="A17" t="s">
        <v>212</v>
      </c>
      <c r="B17" s="38">
        <v>12391182622</v>
      </c>
      <c r="C17" s="38">
        <v>396431783</v>
      </c>
      <c r="D17" s="39">
        <v>44235.503865740742</v>
      </c>
      <c r="E17" s="39">
        <v>44235.504282407404</v>
      </c>
      <c r="F17" s="38" t="s">
        <v>192</v>
      </c>
      <c r="G17" s="38"/>
      <c r="H17" s="38"/>
      <c r="I17" s="38"/>
      <c r="J17" s="38"/>
      <c r="K17" s="38" t="s">
        <v>193</v>
      </c>
      <c r="L17" s="38" t="s">
        <v>196</v>
      </c>
      <c r="M17" s="26">
        <f>VLOOKUP(L17,DFanalysis_new!B:G,2,FALSE)</f>
        <v>120207</v>
      </c>
      <c r="N17" s="26" t="str">
        <f>VLOOKUP(L17,DFanalysis_new!B:K,10,FALSE)</f>
        <v>GBP</v>
      </c>
      <c r="O17" s="26" t="str">
        <f>VLOOKUP(L17,DFanalysis_new!B:G,3,FALSE)</f>
        <v>Whole Loans</v>
      </c>
      <c r="P17" s="26" t="str">
        <f>VLOOKUP(L17,DFanalysis_new!B:E,4,FALSE)</f>
        <v>Europe</v>
      </c>
      <c r="Q17" s="26" t="str">
        <f>VLOOKUP(L17,DFanalysis_new!B:F,5,FALSE)</f>
        <v>Closed end</v>
      </c>
      <c r="R17" s="26">
        <f>VLOOKUP(L17,DFanalysis_new!B:G,6,FALSE)</f>
        <v>2020</v>
      </c>
      <c r="S17" s="38" t="s">
        <v>152</v>
      </c>
      <c r="T17" s="38"/>
      <c r="U17" s="38"/>
      <c r="V17" s="38">
        <v>145</v>
      </c>
      <c r="W17" s="38">
        <v>145</v>
      </c>
      <c r="X17" s="38"/>
      <c r="Y17" s="38"/>
      <c r="Z17" s="38"/>
      <c r="AA17" s="38"/>
      <c r="AB17" s="38"/>
      <c r="AC17" s="38"/>
      <c r="AD17" s="38"/>
      <c r="AE17" s="38">
        <v>145</v>
      </c>
      <c r="AF17" s="38"/>
      <c r="AG17" s="38"/>
      <c r="AH17" s="38"/>
      <c r="AI17" s="38"/>
      <c r="AJ17" s="38"/>
      <c r="AK17" s="38"/>
      <c r="AL17" s="38">
        <v>100</v>
      </c>
      <c r="AM17" s="38"/>
      <c r="AN17" s="38" t="s">
        <v>151</v>
      </c>
      <c r="AO17" s="38" t="s">
        <v>152</v>
      </c>
    </row>
    <row r="18" spans="1:41" ht="15" x14ac:dyDescent="0.25">
      <c r="A18" t="s">
        <v>212</v>
      </c>
      <c r="B18" s="38">
        <v>12391176366</v>
      </c>
      <c r="C18" s="38">
        <v>396431783</v>
      </c>
      <c r="D18" s="39">
        <v>44235.501655092594</v>
      </c>
      <c r="E18" s="39">
        <v>44235.503738425927</v>
      </c>
      <c r="F18" s="38" t="s">
        <v>192</v>
      </c>
      <c r="G18" s="38"/>
      <c r="H18" s="38"/>
      <c r="I18" s="38"/>
      <c r="J18" s="38"/>
      <c r="K18" s="38" t="s">
        <v>193</v>
      </c>
      <c r="L18" s="38" t="s">
        <v>197</v>
      </c>
      <c r="M18" s="26">
        <f>VLOOKUP(L18,DFanalysis_new!B:G,2,FALSE)</f>
        <v>19301</v>
      </c>
      <c r="N18" s="26" t="str">
        <f>VLOOKUP(L18,DFanalysis_new!B:K,10,FALSE)</f>
        <v>GBP</v>
      </c>
      <c r="O18" s="26" t="str">
        <f>VLOOKUP(L18,DFanalysis_new!B:G,3,FALSE)</f>
        <v>Mixed: Senior+Subordinated</v>
      </c>
      <c r="P18" s="26" t="str">
        <f>VLOOKUP(L18,DFanalysis_new!B:E,4,FALSE)</f>
        <v>Europe</v>
      </c>
      <c r="Q18" s="26" t="str">
        <f>VLOOKUP(L18,DFanalysis_new!B:F,5,FALSE)</f>
        <v>Closed end</v>
      </c>
      <c r="R18" s="26">
        <f>VLOOKUP(L18,DFanalysis_new!B:G,6,FALSE)</f>
        <v>2019</v>
      </c>
      <c r="S18" s="38" t="s">
        <v>152</v>
      </c>
      <c r="T18" s="38"/>
      <c r="U18" s="38"/>
      <c r="V18" s="38">
        <v>104</v>
      </c>
      <c r="W18" s="38">
        <v>79</v>
      </c>
      <c r="X18" s="38">
        <v>25</v>
      </c>
      <c r="Y18" s="38"/>
      <c r="Z18" s="38"/>
      <c r="AA18" s="38"/>
      <c r="AB18" s="38"/>
      <c r="AC18" s="38"/>
      <c r="AD18" s="38"/>
      <c r="AE18" s="38">
        <v>27</v>
      </c>
      <c r="AF18" s="38">
        <v>77</v>
      </c>
      <c r="AG18" s="38"/>
      <c r="AH18" s="38"/>
      <c r="AI18" s="38"/>
      <c r="AJ18" s="38">
        <v>74</v>
      </c>
      <c r="AK18" s="38"/>
      <c r="AL18" s="38">
        <v>26</v>
      </c>
      <c r="AM18" s="38"/>
      <c r="AN18" s="38" t="s">
        <v>151</v>
      </c>
      <c r="AO18" s="38" t="s">
        <v>152</v>
      </c>
    </row>
    <row r="19" spans="1:41" ht="15" x14ac:dyDescent="0.25">
      <c r="A19" t="s">
        <v>212</v>
      </c>
      <c r="B19" s="38">
        <v>12372280774</v>
      </c>
      <c r="C19" s="38">
        <v>396431783</v>
      </c>
      <c r="D19" s="39">
        <v>44228.652233796296</v>
      </c>
      <c r="E19" s="39">
        <v>44228.655127314814</v>
      </c>
      <c r="F19" s="38" t="s">
        <v>198</v>
      </c>
      <c r="G19" s="38"/>
      <c r="H19" s="38"/>
      <c r="I19" s="38"/>
      <c r="J19" s="38"/>
      <c r="K19" s="38" t="s">
        <v>199</v>
      </c>
      <c r="L19" s="38" t="s">
        <v>200</v>
      </c>
      <c r="M19" s="26">
        <f>VLOOKUP(L19,DFanalysis_new!B:G,2,FALSE)</f>
        <v>19296</v>
      </c>
      <c r="N19" s="26" t="str">
        <f>VLOOKUP(L19,DFanalysis_new!B:K,10,FALSE)</f>
        <v>GBP</v>
      </c>
      <c r="O19" s="26" t="str">
        <f>VLOOKUP(L19,DFanalysis_new!B:G,3,FALSE)</f>
        <v>Senior</v>
      </c>
      <c r="P19" s="26" t="str">
        <f>VLOOKUP(L19,DFanalysis_new!B:E,4,FALSE)</f>
        <v>Europe</v>
      </c>
      <c r="Q19" s="26" t="str">
        <f>VLOOKUP(L19,DFanalysis_new!B:F,5,FALSE)</f>
        <v>Open end</v>
      </c>
      <c r="R19" s="26">
        <f>VLOOKUP(L19,DFanalysis_new!B:G,6,FALSE)</f>
        <v>2017</v>
      </c>
      <c r="S19" s="38" t="s">
        <v>152</v>
      </c>
      <c r="T19" s="38"/>
      <c r="U19" s="38"/>
      <c r="V19" s="38">
        <v>48</v>
      </c>
      <c r="W19" s="38">
        <v>10</v>
      </c>
      <c r="X19" s="38">
        <v>28</v>
      </c>
      <c r="Y19" s="38"/>
      <c r="Z19" s="38"/>
      <c r="AA19" s="38"/>
      <c r="AB19" s="38">
        <v>10</v>
      </c>
      <c r="AC19" s="38"/>
      <c r="AD19" s="38"/>
      <c r="AE19" s="38">
        <v>48</v>
      </c>
      <c r="AF19" s="38"/>
      <c r="AG19" s="38"/>
      <c r="AH19" s="38"/>
      <c r="AI19" s="38"/>
      <c r="AJ19" s="38"/>
      <c r="AK19" s="38"/>
      <c r="AL19" s="38">
        <v>100</v>
      </c>
      <c r="AM19" s="38"/>
      <c r="AN19" s="38" t="s">
        <v>151</v>
      </c>
      <c r="AO19" s="38" t="s">
        <v>170</v>
      </c>
    </row>
    <row r="20" spans="1:41" ht="15" x14ac:dyDescent="0.25">
      <c r="A20" t="s">
        <v>212</v>
      </c>
      <c r="B20" s="38">
        <v>12442549596</v>
      </c>
      <c r="C20" s="38">
        <v>396432108</v>
      </c>
      <c r="D20" s="39">
        <v>44252.743587962963</v>
      </c>
      <c r="E20" s="39">
        <v>44252.746400462966</v>
      </c>
      <c r="F20" s="38" t="s">
        <v>201</v>
      </c>
      <c r="G20" s="38"/>
      <c r="H20" s="38"/>
      <c r="I20" s="38"/>
      <c r="J20" s="38"/>
      <c r="K20" t="s">
        <v>202</v>
      </c>
      <c r="L20" s="38" t="s">
        <v>203</v>
      </c>
      <c r="M20" s="26">
        <f>VLOOKUP(L20,DFanalysis_new!B:G,2,FALSE)</f>
        <v>28321</v>
      </c>
      <c r="N20" s="26" t="str">
        <f>VLOOKUP(L20,DFanalysis_new!B:K,10,FALSE)</f>
        <v>USD</v>
      </c>
      <c r="O20" s="26" t="str">
        <f>VLOOKUP(L20,DFanalysis_new!B:G,3,FALSE)</f>
        <v>Mixed: Senior+Subordinated</v>
      </c>
      <c r="P20" s="26" t="str">
        <f>VLOOKUP(L20,DFanalysis_new!B:E,4,FALSE)</f>
        <v>North America</v>
      </c>
      <c r="Q20" s="26" t="str">
        <f>VLOOKUP(L20,DFanalysis_new!B:F,5,FALSE)</f>
        <v>Open end</v>
      </c>
      <c r="R20" s="26">
        <f>VLOOKUP(L20,DFanalysis_new!B:G,6,FALSE)</f>
        <v>2009</v>
      </c>
      <c r="S20" s="38" t="s">
        <v>152</v>
      </c>
      <c r="T20" s="38"/>
      <c r="U20" s="38"/>
      <c r="V20" s="38">
        <v>90</v>
      </c>
      <c r="W20" s="38">
        <v>82</v>
      </c>
      <c r="X20" s="38"/>
      <c r="Y20" s="38"/>
      <c r="Z20" s="38"/>
      <c r="AA20" s="38"/>
      <c r="AB20" s="38"/>
      <c r="AC20" s="38"/>
      <c r="AD20" s="38">
        <v>8</v>
      </c>
      <c r="AE20" s="38">
        <v>65</v>
      </c>
      <c r="AF20" s="38"/>
      <c r="AG20" s="38">
        <v>25</v>
      </c>
      <c r="AH20" s="38"/>
      <c r="AI20" s="38"/>
      <c r="AJ20" s="38"/>
      <c r="AK20" s="38"/>
      <c r="AL20" s="38">
        <v>100</v>
      </c>
      <c r="AM20" s="38"/>
      <c r="AN20" s="38" t="s">
        <v>151</v>
      </c>
      <c r="AO20" s="38" t="s">
        <v>152</v>
      </c>
    </row>
    <row r="21" spans="1:41" ht="15" x14ac:dyDescent="0.25">
      <c r="A21" t="s">
        <v>213</v>
      </c>
      <c r="B21">
        <v>12420559399</v>
      </c>
      <c r="C21">
        <v>396431383</v>
      </c>
      <c r="D21" s="28">
        <v>44245.722534722219</v>
      </c>
      <c r="E21" s="28">
        <v>44245.724780092591</v>
      </c>
      <c r="F21" t="s">
        <v>204</v>
      </c>
      <c r="K21" t="s">
        <v>205</v>
      </c>
      <c r="L21" t="s">
        <v>206</v>
      </c>
      <c r="M21" s="26">
        <f>VLOOKUP(L21,DFanalysis_new!B:G,2,FALSE)</f>
        <v>0</v>
      </c>
      <c r="N21" s="26" t="e">
        <f>VLOOKUP(L21,DFanalysis_new!B:K,10,FALSE)</f>
        <v>#N/A</v>
      </c>
      <c r="O21" s="26" t="e">
        <f>VLOOKUP(L21,DFanalysis_new!B:G,3,FALSE)</f>
        <v>#N/A</v>
      </c>
      <c r="P21" s="26" t="e">
        <f>VLOOKUP(L21,DFanalysis_new!B:E,4,FALSE)</f>
        <v>#N/A</v>
      </c>
      <c r="Q21" s="26" t="e">
        <f>VLOOKUP(L21,DFanalysis_new!B:F,5,FALSE)</f>
        <v>#N/A</v>
      </c>
      <c r="R21" s="26" t="e">
        <f>VLOOKUP(L21,DFanalysis_new!B:G,6,FALSE)</f>
        <v>#N/A</v>
      </c>
      <c r="S21" t="s">
        <v>152</v>
      </c>
      <c r="V21">
        <v>300</v>
      </c>
      <c r="Z21">
        <v>300</v>
      </c>
      <c r="AF21">
        <v>200</v>
      </c>
      <c r="AG21">
        <v>100</v>
      </c>
      <c r="AL21">
        <v>100</v>
      </c>
      <c r="AN21" t="s">
        <v>151</v>
      </c>
      <c r="AO21" t="s">
        <v>152</v>
      </c>
    </row>
    <row r="22" spans="1:41" ht="15" x14ac:dyDescent="0.25">
      <c r="A22" t="s">
        <v>213</v>
      </c>
      <c r="B22">
        <v>12395085990</v>
      </c>
      <c r="C22">
        <v>396431383</v>
      </c>
      <c r="D22" s="28">
        <v>44236.669722222221</v>
      </c>
      <c r="E22" s="28">
        <v>44236.682789351849</v>
      </c>
      <c r="F22" t="s">
        <v>207</v>
      </c>
      <c r="K22" t="s">
        <v>208</v>
      </c>
      <c r="L22" t="s">
        <v>209</v>
      </c>
      <c r="M22" s="26">
        <f>VLOOKUP(L22,DFanalysis_new!B:G,2,FALSE)</f>
        <v>0</v>
      </c>
      <c r="N22" s="26" t="e">
        <f>VLOOKUP(L22,DFanalysis_new!B:K,10,FALSE)</f>
        <v>#N/A</v>
      </c>
      <c r="O22" s="26" t="e">
        <f>VLOOKUP(L22,DFanalysis_new!B:G,3,FALSE)</f>
        <v>#N/A</v>
      </c>
      <c r="P22" s="26" t="e">
        <f>VLOOKUP(L22,DFanalysis_new!B:E,4,FALSE)</f>
        <v>#N/A</v>
      </c>
      <c r="Q22" s="26" t="e">
        <f>VLOOKUP(L22,DFanalysis_new!B:F,5,FALSE)</f>
        <v>#N/A</v>
      </c>
      <c r="R22" s="26" t="e">
        <f>VLOOKUP(L22,DFanalysis_new!B:G,6,FALSE)</f>
        <v>#N/A</v>
      </c>
      <c r="S22" t="s">
        <v>152</v>
      </c>
      <c r="V22">
        <v>75</v>
      </c>
      <c r="X22">
        <v>10</v>
      </c>
      <c r="Y22">
        <v>65</v>
      </c>
      <c r="AE22">
        <v>75</v>
      </c>
      <c r="AL22">
        <v>100</v>
      </c>
      <c r="AN22" t="s">
        <v>151</v>
      </c>
      <c r="AO22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16C8-6103-4D30-BB7E-6660A61AB7F4}">
  <sheetPr>
    <tabColor theme="5" tint="-0.249977111117893"/>
  </sheetPr>
  <dimension ref="A1:AH15"/>
  <sheetViews>
    <sheetView showGridLines="0" workbookViewId="0">
      <selection activeCell="A2" sqref="A2:XFD2"/>
    </sheetView>
  </sheetViews>
  <sheetFormatPr defaultRowHeight="12.75" x14ac:dyDescent="0.2"/>
  <cols>
    <col min="3" max="4" width="18.140625" bestFit="1" customWidth="1"/>
    <col min="5" max="5" width="20.28515625" customWidth="1"/>
    <col min="10" max="10" width="36.42578125" customWidth="1"/>
    <col min="11" max="11" width="61.140625" bestFit="1" customWidth="1"/>
  </cols>
  <sheetData>
    <row r="1" spans="1:34" ht="14.25" x14ac:dyDescent="0.2">
      <c r="A1" s="30" t="s">
        <v>67</v>
      </c>
      <c r="B1" s="30" t="s">
        <v>70</v>
      </c>
      <c r="C1" s="30" t="s">
        <v>72</v>
      </c>
      <c r="D1" s="30" t="s">
        <v>74</v>
      </c>
      <c r="E1" s="30" t="s">
        <v>76</v>
      </c>
      <c r="F1" s="30" t="s">
        <v>78</v>
      </c>
      <c r="G1" s="30" t="s">
        <v>80</v>
      </c>
      <c r="H1" s="30" t="s">
        <v>82</v>
      </c>
      <c r="I1" s="30" t="s">
        <v>84</v>
      </c>
      <c r="J1" s="25" t="s">
        <v>32</v>
      </c>
      <c r="K1" s="30" t="s">
        <v>1</v>
      </c>
      <c r="L1" s="30" t="s">
        <v>146</v>
      </c>
      <c r="M1" s="30" t="s">
        <v>147</v>
      </c>
      <c r="N1" s="30"/>
      <c r="O1" s="30" t="s">
        <v>100</v>
      </c>
      <c r="P1" s="30" t="s">
        <v>214</v>
      </c>
      <c r="Q1" s="30"/>
      <c r="R1" s="30"/>
      <c r="S1" s="30"/>
      <c r="T1" s="30"/>
      <c r="U1" s="30"/>
      <c r="V1" s="30"/>
      <c r="W1" s="30"/>
      <c r="X1" s="30" t="s">
        <v>150</v>
      </c>
      <c r="Y1" s="30"/>
      <c r="Z1" s="30"/>
      <c r="AA1" s="30"/>
      <c r="AB1" s="30"/>
      <c r="AC1" s="30" t="s">
        <v>128</v>
      </c>
      <c r="AD1" s="30"/>
      <c r="AE1" s="30"/>
      <c r="AF1" s="30"/>
      <c r="AG1" s="30" t="s">
        <v>139</v>
      </c>
      <c r="AH1" s="30" t="s">
        <v>141</v>
      </c>
    </row>
    <row r="2" spans="1:34" ht="14.25" x14ac:dyDescent="0.2">
      <c r="A2" s="30"/>
      <c r="B2" s="30"/>
      <c r="C2" s="30"/>
      <c r="D2" s="30"/>
      <c r="E2" s="30"/>
      <c r="F2" s="30"/>
      <c r="G2" s="30"/>
      <c r="H2" s="30"/>
      <c r="I2" s="30"/>
      <c r="J2" s="25" t="s">
        <v>86</v>
      </c>
      <c r="K2" s="30" t="s">
        <v>86</v>
      </c>
      <c r="L2" s="30" t="s">
        <v>97</v>
      </c>
      <c r="M2" s="30" t="s">
        <v>97</v>
      </c>
      <c r="N2" s="30" t="s">
        <v>9</v>
      </c>
      <c r="O2" s="30" t="s">
        <v>86</v>
      </c>
      <c r="P2" s="30" t="s">
        <v>104</v>
      </c>
      <c r="Q2" s="30" t="s">
        <v>106</v>
      </c>
      <c r="R2" s="30" t="s">
        <v>148</v>
      </c>
      <c r="S2" s="30" t="s">
        <v>110</v>
      </c>
      <c r="T2" s="30" t="s">
        <v>112</v>
      </c>
      <c r="U2" s="30" t="s">
        <v>114</v>
      </c>
      <c r="V2" s="30" t="s">
        <v>149</v>
      </c>
      <c r="W2" s="30" t="s">
        <v>20</v>
      </c>
      <c r="X2" s="30" t="s">
        <v>21</v>
      </c>
      <c r="Y2" s="30" t="s">
        <v>121</v>
      </c>
      <c r="Z2" s="30" t="s">
        <v>123</v>
      </c>
      <c r="AA2" s="30" t="s">
        <v>125</v>
      </c>
      <c r="AB2" s="30" t="s">
        <v>25</v>
      </c>
      <c r="AC2" s="30" t="s">
        <v>130</v>
      </c>
      <c r="AD2" s="30" t="s">
        <v>133</v>
      </c>
      <c r="AE2" s="30" t="s">
        <v>135</v>
      </c>
      <c r="AF2" s="30" t="s">
        <v>137</v>
      </c>
      <c r="AG2" s="30" t="s">
        <v>97</v>
      </c>
      <c r="AH2" s="30" t="s">
        <v>97</v>
      </c>
    </row>
    <row r="3" spans="1:34" ht="15" x14ac:dyDescent="0.25">
      <c r="A3" s="31">
        <v>12442521524</v>
      </c>
      <c r="B3" s="31">
        <v>396432108</v>
      </c>
      <c r="C3" s="32">
        <v>44252.73746527778</v>
      </c>
      <c r="D3" s="32">
        <v>44252.742881944447</v>
      </c>
      <c r="E3" s="31" t="s">
        <v>201</v>
      </c>
      <c r="F3" s="31"/>
      <c r="G3" s="31"/>
      <c r="H3" s="31"/>
      <c r="I3" s="31"/>
      <c r="J3" s="31" t="s">
        <v>202</v>
      </c>
      <c r="K3" s="31" t="s">
        <v>215</v>
      </c>
      <c r="L3" s="31" t="s">
        <v>152</v>
      </c>
      <c r="M3" s="31"/>
      <c r="N3" s="31"/>
      <c r="O3" s="31">
        <v>410</v>
      </c>
      <c r="P3" s="31">
        <v>377</v>
      </c>
      <c r="Q3" s="31">
        <v>23</v>
      </c>
      <c r="R3" s="31"/>
      <c r="S3" s="31"/>
      <c r="T3" s="31"/>
      <c r="U3" s="31"/>
      <c r="V3" s="31"/>
      <c r="W3" s="31">
        <v>10</v>
      </c>
      <c r="X3" s="31">
        <v>214</v>
      </c>
      <c r="Y3" s="31">
        <v>25</v>
      </c>
      <c r="Z3" s="31">
        <v>57</v>
      </c>
      <c r="AA3" s="31"/>
      <c r="AB3" s="31"/>
      <c r="AC3" s="31"/>
      <c r="AD3" s="31"/>
      <c r="AE3" s="31">
        <v>100</v>
      </c>
      <c r="AF3" s="31"/>
      <c r="AG3" s="31" t="s">
        <v>151</v>
      </c>
      <c r="AH3" s="31" t="s">
        <v>152</v>
      </c>
    </row>
    <row r="4" spans="1:34" ht="15" x14ac:dyDescent="0.25">
      <c r="A4" s="31">
        <v>12430584227</v>
      </c>
      <c r="B4" s="31">
        <v>396432108</v>
      </c>
      <c r="C4" s="32">
        <v>44249.454768518517</v>
      </c>
      <c r="D4" s="32">
        <v>44249.456736111111</v>
      </c>
      <c r="E4" s="31" t="s">
        <v>216</v>
      </c>
      <c r="F4" s="31"/>
      <c r="G4" s="31"/>
      <c r="H4" s="31"/>
      <c r="I4" s="31"/>
      <c r="J4" s="31" t="s">
        <v>217</v>
      </c>
      <c r="K4" s="31" t="s">
        <v>218</v>
      </c>
      <c r="L4" s="31" t="s">
        <v>152</v>
      </c>
      <c r="M4" s="31"/>
      <c r="N4" s="31"/>
      <c r="O4" s="31">
        <v>112</v>
      </c>
      <c r="P4" s="31"/>
      <c r="Q4" s="31"/>
      <c r="R4" s="31"/>
      <c r="S4" s="31"/>
      <c r="T4" s="31"/>
      <c r="U4" s="31"/>
      <c r="V4" s="31">
        <v>112</v>
      </c>
      <c r="W4" s="31"/>
      <c r="X4" s="31"/>
      <c r="Y4" s="31"/>
      <c r="Z4" s="31">
        <v>112</v>
      </c>
      <c r="AA4" s="31"/>
      <c r="AB4" s="31"/>
      <c r="AC4" s="31"/>
      <c r="AD4" s="31"/>
      <c r="AE4" s="31">
        <v>100</v>
      </c>
      <c r="AF4" s="31"/>
      <c r="AG4" s="31" t="s">
        <v>151</v>
      </c>
      <c r="AH4" s="31" t="s">
        <v>152</v>
      </c>
    </row>
    <row r="5" spans="1:34" ht="15" x14ac:dyDescent="0.25">
      <c r="A5" s="31">
        <v>12430565314</v>
      </c>
      <c r="B5" s="31">
        <v>396432108</v>
      </c>
      <c r="C5" s="32">
        <v>44249.447847222225</v>
      </c>
      <c r="D5" s="32">
        <v>44249.453738425924</v>
      </c>
      <c r="E5" s="31" t="s">
        <v>216</v>
      </c>
      <c r="F5" s="31"/>
      <c r="G5" s="31"/>
      <c r="H5" s="31"/>
      <c r="I5" s="31"/>
      <c r="J5" s="31" t="s">
        <v>217</v>
      </c>
      <c r="K5" s="31" t="s">
        <v>219</v>
      </c>
      <c r="L5" s="31" t="s">
        <v>152</v>
      </c>
      <c r="M5" s="31"/>
      <c r="N5" s="31"/>
      <c r="O5" s="31">
        <v>184</v>
      </c>
      <c r="P5" s="31">
        <v>184</v>
      </c>
      <c r="Q5" s="31"/>
      <c r="R5" s="31"/>
      <c r="S5" s="31"/>
      <c r="T5" s="31"/>
      <c r="U5" s="31"/>
      <c r="V5" s="31"/>
      <c r="W5" s="31"/>
      <c r="X5" s="31">
        <v>184</v>
      </c>
      <c r="Y5" s="31"/>
      <c r="Z5" s="31"/>
      <c r="AA5" s="31"/>
      <c r="AB5" s="31"/>
      <c r="AC5" s="31"/>
      <c r="AD5" s="31"/>
      <c r="AE5" s="31">
        <v>100</v>
      </c>
      <c r="AF5" s="31"/>
      <c r="AG5" s="31" t="s">
        <v>151</v>
      </c>
      <c r="AH5" s="31" t="s">
        <v>152</v>
      </c>
    </row>
    <row r="6" spans="1:34" ht="15" x14ac:dyDescent="0.25">
      <c r="A6" s="31">
        <v>12430447731</v>
      </c>
      <c r="B6" s="31">
        <v>396432108</v>
      </c>
      <c r="C6" s="32">
        <v>44249.403634259259</v>
      </c>
      <c r="D6" s="32">
        <v>44249.410937499997</v>
      </c>
      <c r="E6" s="31" t="s">
        <v>220</v>
      </c>
      <c r="F6" s="31"/>
      <c r="G6" s="31"/>
      <c r="H6" s="31"/>
      <c r="I6" s="31"/>
      <c r="J6" s="31" t="s">
        <v>221</v>
      </c>
      <c r="K6" s="31" t="s">
        <v>222</v>
      </c>
      <c r="L6" s="31" t="s">
        <v>152</v>
      </c>
      <c r="M6" s="31"/>
      <c r="N6" s="31"/>
      <c r="O6" s="31">
        <v>225</v>
      </c>
      <c r="P6" s="31">
        <v>71</v>
      </c>
      <c r="Q6" s="31">
        <v>25</v>
      </c>
      <c r="R6" s="31"/>
      <c r="S6" s="31"/>
      <c r="T6" s="31">
        <v>2</v>
      </c>
      <c r="U6" s="31"/>
      <c r="V6" s="31"/>
      <c r="W6" s="31">
        <v>127</v>
      </c>
      <c r="X6" s="31">
        <v>225</v>
      </c>
      <c r="Y6" s="31"/>
      <c r="Z6" s="31"/>
      <c r="AA6" s="31"/>
      <c r="AB6" s="31"/>
      <c r="AC6" s="31"/>
      <c r="AD6" s="31"/>
      <c r="AE6" s="31">
        <v>100</v>
      </c>
      <c r="AF6" s="31"/>
      <c r="AG6" s="31" t="s">
        <v>169</v>
      </c>
      <c r="AH6" s="31" t="s">
        <v>152</v>
      </c>
    </row>
    <row r="7" spans="1:34" ht="15" x14ac:dyDescent="0.25">
      <c r="A7" s="31">
        <v>12430404159</v>
      </c>
      <c r="B7" s="31">
        <v>396432108</v>
      </c>
      <c r="C7" s="32">
        <v>44249.388078703705</v>
      </c>
      <c r="D7" s="32">
        <v>44249.390902777777</v>
      </c>
      <c r="E7" s="31" t="s">
        <v>223</v>
      </c>
      <c r="F7" s="31"/>
      <c r="G7" s="31"/>
      <c r="H7" s="31"/>
      <c r="I7" s="31"/>
      <c r="J7" s="31" t="s">
        <v>217</v>
      </c>
      <c r="K7" s="31" t="s">
        <v>224</v>
      </c>
      <c r="L7" s="31" t="s">
        <v>152</v>
      </c>
      <c r="M7" s="31"/>
      <c r="N7" s="31"/>
      <c r="O7" s="31">
        <v>857</v>
      </c>
      <c r="P7" s="31">
        <v>241</v>
      </c>
      <c r="Q7" s="31">
        <v>116</v>
      </c>
      <c r="R7" s="31"/>
      <c r="S7" s="31">
        <v>7</v>
      </c>
      <c r="T7" s="31">
        <v>41</v>
      </c>
      <c r="U7" s="31">
        <v>32</v>
      </c>
      <c r="V7" s="31">
        <v>263</v>
      </c>
      <c r="W7" s="31">
        <v>158</v>
      </c>
      <c r="X7" s="31">
        <v>465</v>
      </c>
      <c r="Y7" s="31">
        <v>297</v>
      </c>
      <c r="Z7" s="31">
        <v>63</v>
      </c>
      <c r="AA7" s="31">
        <v>28</v>
      </c>
      <c r="AB7" s="31">
        <v>4</v>
      </c>
      <c r="AC7" s="31"/>
      <c r="AD7" s="31"/>
      <c r="AE7" s="31">
        <v>100</v>
      </c>
      <c r="AF7" s="31"/>
      <c r="AG7" s="31" t="s">
        <v>151</v>
      </c>
      <c r="AH7" s="31" t="s">
        <v>152</v>
      </c>
    </row>
    <row r="8" spans="1:34" ht="15" x14ac:dyDescent="0.25">
      <c r="A8" s="31">
        <v>12430396008</v>
      </c>
      <c r="B8" s="31">
        <v>396432108</v>
      </c>
      <c r="C8" s="32">
        <v>44249.374363425923</v>
      </c>
      <c r="D8" s="32">
        <v>44249.38658564815</v>
      </c>
      <c r="E8" s="31" t="s">
        <v>223</v>
      </c>
      <c r="F8" s="31"/>
      <c r="G8" s="31"/>
      <c r="H8" s="31"/>
      <c r="I8" s="31"/>
      <c r="J8" s="31" t="s">
        <v>225</v>
      </c>
      <c r="K8" s="31" t="s">
        <v>226</v>
      </c>
      <c r="L8" s="31" t="s">
        <v>152</v>
      </c>
      <c r="M8" s="31"/>
      <c r="N8" s="31"/>
      <c r="O8" s="31">
        <v>147</v>
      </c>
      <c r="P8" s="31">
        <v>147</v>
      </c>
      <c r="Q8" s="31"/>
      <c r="R8" s="31"/>
      <c r="S8" s="31"/>
      <c r="T8" s="31"/>
      <c r="U8" s="31"/>
      <c r="V8" s="31"/>
      <c r="W8" s="31"/>
      <c r="X8" s="31"/>
      <c r="Y8" s="31"/>
      <c r="Z8" s="31">
        <v>147</v>
      </c>
      <c r="AA8" s="31"/>
      <c r="AB8" s="31"/>
      <c r="AC8" s="31"/>
      <c r="AD8" s="31"/>
      <c r="AE8" s="31">
        <v>100</v>
      </c>
      <c r="AF8" s="31"/>
      <c r="AG8" s="31" t="s">
        <v>151</v>
      </c>
      <c r="AH8" s="31" t="s">
        <v>152</v>
      </c>
    </row>
    <row r="9" spans="1:34" ht="15" x14ac:dyDescent="0.25">
      <c r="A9" s="31">
        <v>12430362065</v>
      </c>
      <c r="B9" s="31">
        <v>396432108</v>
      </c>
      <c r="C9" s="32">
        <v>44249.369398148148</v>
      </c>
      <c r="D9" s="32">
        <v>44249.373032407406</v>
      </c>
      <c r="E9" s="31" t="s">
        <v>223</v>
      </c>
      <c r="F9" s="31"/>
      <c r="G9" s="31"/>
      <c r="H9" s="31"/>
      <c r="I9" s="31"/>
      <c r="J9" s="31" t="s">
        <v>217</v>
      </c>
      <c r="K9" s="31" t="s">
        <v>227</v>
      </c>
      <c r="L9" s="31" t="s">
        <v>152</v>
      </c>
      <c r="M9" s="31"/>
      <c r="N9" s="31"/>
      <c r="O9" s="31">
        <v>86</v>
      </c>
      <c r="P9" s="31"/>
      <c r="Q9" s="31"/>
      <c r="R9" s="31"/>
      <c r="S9" s="31"/>
      <c r="T9" s="31"/>
      <c r="U9" s="31"/>
      <c r="V9" s="31"/>
      <c r="W9" s="31">
        <v>86</v>
      </c>
      <c r="X9" s="31"/>
      <c r="Y9" s="31">
        <v>86</v>
      </c>
      <c r="Z9" s="31"/>
      <c r="AA9" s="31"/>
      <c r="AB9" s="31"/>
      <c r="AC9" s="31"/>
      <c r="AD9" s="31"/>
      <c r="AE9" s="31">
        <v>100</v>
      </c>
      <c r="AF9" s="31"/>
      <c r="AG9" s="31" t="s">
        <v>151</v>
      </c>
      <c r="AH9" s="31" t="s">
        <v>152</v>
      </c>
    </row>
    <row r="10" spans="1:34" ht="15" x14ac:dyDescent="0.25">
      <c r="A10" s="31">
        <v>12425174742</v>
      </c>
      <c r="B10" s="31">
        <v>396432108</v>
      </c>
      <c r="C10" s="32">
        <v>44246.877395833333</v>
      </c>
      <c r="D10" s="32">
        <v>44246.880162037036</v>
      </c>
      <c r="E10" s="31" t="s">
        <v>228</v>
      </c>
      <c r="F10" s="31"/>
      <c r="G10" s="31"/>
      <c r="H10" s="31"/>
      <c r="I10" s="31"/>
      <c r="J10" s="31" t="s">
        <v>229</v>
      </c>
      <c r="K10" s="31" t="s">
        <v>230</v>
      </c>
      <c r="L10" s="31" t="s">
        <v>152</v>
      </c>
      <c r="M10" s="31"/>
      <c r="N10" s="31"/>
      <c r="O10" s="31">
        <v>320</v>
      </c>
      <c r="P10" s="31">
        <v>295</v>
      </c>
      <c r="Q10" s="31"/>
      <c r="R10" s="31"/>
      <c r="S10" s="31"/>
      <c r="T10" s="31"/>
      <c r="U10" s="31"/>
      <c r="V10" s="31"/>
      <c r="W10" s="31">
        <v>25</v>
      </c>
      <c r="X10" s="31">
        <v>295</v>
      </c>
      <c r="Y10" s="31"/>
      <c r="Z10" s="31">
        <v>25</v>
      </c>
      <c r="AA10" s="31"/>
      <c r="AB10" s="31"/>
      <c r="AC10" s="31"/>
      <c r="AD10" s="31"/>
      <c r="AE10" s="31">
        <v>100</v>
      </c>
      <c r="AF10" s="31"/>
      <c r="AG10" s="31" t="s">
        <v>151</v>
      </c>
      <c r="AH10" s="31" t="s">
        <v>152</v>
      </c>
    </row>
    <row r="11" spans="1:34" ht="15" x14ac:dyDescent="0.25">
      <c r="A11" s="31">
        <v>12424163694</v>
      </c>
      <c r="B11" s="31">
        <v>396432108</v>
      </c>
      <c r="C11" s="32">
        <v>44246.66306712963</v>
      </c>
      <c r="D11" s="32">
        <v>44246.667754629627</v>
      </c>
      <c r="E11" s="31" t="s">
        <v>231</v>
      </c>
      <c r="F11" s="31"/>
      <c r="G11" s="31"/>
      <c r="H11" s="31"/>
      <c r="I11" s="31"/>
      <c r="J11" s="31" t="s">
        <v>232</v>
      </c>
      <c r="K11" s="31" t="s">
        <v>233</v>
      </c>
      <c r="L11" s="31" t="s">
        <v>152</v>
      </c>
      <c r="M11" s="31"/>
      <c r="N11" s="31"/>
      <c r="O11" s="31">
        <v>20</v>
      </c>
      <c r="P11" s="31">
        <v>20</v>
      </c>
      <c r="Q11" s="31"/>
      <c r="R11" s="31"/>
      <c r="S11" s="31"/>
      <c r="T11" s="31"/>
      <c r="U11" s="31"/>
      <c r="V11" s="31"/>
      <c r="W11" s="31"/>
      <c r="X11" s="31">
        <v>20</v>
      </c>
      <c r="Y11" s="31"/>
      <c r="Z11" s="31"/>
      <c r="AA11" s="31"/>
      <c r="AB11" s="31"/>
      <c r="AC11" s="31"/>
      <c r="AD11" s="31"/>
      <c r="AE11" s="31">
        <v>100</v>
      </c>
      <c r="AF11" s="31"/>
      <c r="AG11" s="31" t="s">
        <v>151</v>
      </c>
      <c r="AH11" s="31" t="s">
        <v>152</v>
      </c>
    </row>
    <row r="12" spans="1:34" ht="15" x14ac:dyDescent="0.25">
      <c r="A12" s="31">
        <v>12358461622</v>
      </c>
      <c r="B12" s="31">
        <v>396432108</v>
      </c>
      <c r="C12" s="32">
        <v>44223.473263888889</v>
      </c>
      <c r="D12" s="32">
        <v>44223.478993055556</v>
      </c>
      <c r="E12" s="31" t="s">
        <v>234</v>
      </c>
      <c r="F12" s="31"/>
      <c r="G12" s="31"/>
      <c r="H12" s="31"/>
      <c r="I12" s="31"/>
      <c r="J12" s="31" t="s">
        <v>235</v>
      </c>
      <c r="K12" s="31" t="s">
        <v>236</v>
      </c>
      <c r="L12" s="31" t="s">
        <v>152</v>
      </c>
      <c r="M12" s="31"/>
      <c r="N12" s="31"/>
      <c r="O12" s="31">
        <v>10</v>
      </c>
      <c r="P12" s="31"/>
      <c r="Q12" s="31"/>
      <c r="R12" s="31"/>
      <c r="S12" s="31"/>
      <c r="T12" s="31">
        <v>10</v>
      </c>
      <c r="U12" s="31"/>
      <c r="V12" s="31"/>
      <c r="W12" s="31"/>
      <c r="X12" s="31">
        <v>10</v>
      </c>
      <c r="Y12" s="31"/>
      <c r="Z12" s="31"/>
      <c r="AA12" s="31"/>
      <c r="AB12" s="31"/>
      <c r="AC12" s="31"/>
      <c r="AD12" s="31">
        <v>100</v>
      </c>
      <c r="AE12" s="31"/>
      <c r="AF12" s="31"/>
      <c r="AG12" s="31" t="s">
        <v>151</v>
      </c>
      <c r="AH12" s="31" t="s">
        <v>152</v>
      </c>
    </row>
    <row r="13" spans="1:34" ht="15" x14ac:dyDescent="0.25">
      <c r="A13" s="31">
        <v>12351696423</v>
      </c>
      <c r="B13" s="31">
        <v>396432108</v>
      </c>
      <c r="C13" s="32">
        <v>44221.546898148146</v>
      </c>
      <c r="D13" s="32">
        <v>44221.548263888886</v>
      </c>
      <c r="E13" s="31" t="s">
        <v>237</v>
      </c>
      <c r="F13" s="31"/>
      <c r="G13" s="31"/>
      <c r="H13" s="31"/>
      <c r="I13" s="31"/>
      <c r="J13" s="31" t="s">
        <v>238</v>
      </c>
      <c r="K13" s="31" t="s">
        <v>239</v>
      </c>
      <c r="L13" s="31" t="s">
        <v>170</v>
      </c>
      <c r="M13" s="31" t="s">
        <v>9</v>
      </c>
      <c r="N13" s="31" t="s">
        <v>240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 t="s">
        <v>188</v>
      </c>
      <c r="AH13" s="31" t="s">
        <v>152</v>
      </c>
    </row>
    <row r="14" spans="1:34" ht="15" x14ac:dyDescent="0.25">
      <c r="A14" s="31">
        <v>12351684281</v>
      </c>
      <c r="B14" s="31">
        <v>396432108</v>
      </c>
      <c r="C14" s="32">
        <v>44221.543090277781</v>
      </c>
      <c r="D14" s="32">
        <v>44221.543888888889</v>
      </c>
      <c r="E14" s="31" t="s">
        <v>237</v>
      </c>
      <c r="F14" s="31"/>
      <c r="G14" s="31"/>
      <c r="H14" s="31"/>
      <c r="I14" s="31"/>
      <c r="J14" s="31" t="s">
        <v>241</v>
      </c>
      <c r="K14" s="31" t="s">
        <v>239</v>
      </c>
      <c r="L14" s="31" t="s">
        <v>152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</row>
    <row r="15" spans="1:34" ht="15" x14ac:dyDescent="0.25">
      <c r="A15" s="31">
        <v>12351414425</v>
      </c>
      <c r="B15" s="31">
        <v>396432108</v>
      </c>
      <c r="C15" s="32">
        <v>44221.447905092595</v>
      </c>
      <c r="D15" s="32">
        <v>44221.453032407408</v>
      </c>
      <c r="E15" s="31" t="s">
        <v>242</v>
      </c>
      <c r="F15" s="31"/>
      <c r="G15" s="31"/>
      <c r="H15" s="31"/>
      <c r="I15" s="31"/>
      <c r="J15" s="31" t="s">
        <v>243</v>
      </c>
      <c r="K15" s="31" t="s">
        <v>244</v>
      </c>
      <c r="L15" s="31" t="s">
        <v>152</v>
      </c>
      <c r="M15" s="31"/>
      <c r="N15" s="31"/>
      <c r="O15" s="31">
        <v>188</v>
      </c>
      <c r="P15" s="31"/>
      <c r="Q15" s="31"/>
      <c r="R15" s="31"/>
      <c r="S15" s="31"/>
      <c r="T15" s="31"/>
      <c r="U15" s="31"/>
      <c r="V15" s="31"/>
      <c r="W15" s="31">
        <v>188</v>
      </c>
      <c r="X15" s="31">
        <v>188</v>
      </c>
      <c r="Y15" s="31"/>
      <c r="Z15" s="31"/>
      <c r="AA15" s="31"/>
      <c r="AB15" s="31"/>
      <c r="AC15" s="31"/>
      <c r="AD15" s="31">
        <v>100</v>
      </c>
      <c r="AE15" s="31"/>
      <c r="AF15" s="31"/>
      <c r="AG15" s="31" t="s">
        <v>169</v>
      </c>
      <c r="AH15" s="31" t="s">
        <v>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590E-7221-4893-976C-59955B496DF8}">
  <sheetPr>
    <tabColor theme="5" tint="-0.249977111117893"/>
  </sheetPr>
  <dimension ref="A1:AF57"/>
  <sheetViews>
    <sheetView showGridLines="0" workbookViewId="0">
      <selection activeCell="A2" sqref="A2:A12"/>
    </sheetView>
  </sheetViews>
  <sheetFormatPr defaultRowHeight="12.75" x14ac:dyDescent="0.2"/>
  <cols>
    <col min="1" max="1" width="22.140625" customWidth="1"/>
    <col min="2" max="2" width="72.140625" customWidth="1"/>
    <col min="3" max="3" width="7" style="12" bestFit="1" customWidth="1"/>
    <col min="4" max="6" width="22.140625" customWidth="1"/>
    <col min="7" max="7" width="15.85546875" customWidth="1"/>
    <col min="8" max="10" width="21.42578125" customWidth="1"/>
    <col min="11" max="11" width="8.85546875" customWidth="1"/>
    <col min="12" max="13" width="15.85546875" customWidth="1"/>
    <col min="14" max="14" width="22.140625" customWidth="1"/>
    <col min="15" max="15" width="17.42578125" customWidth="1"/>
    <col min="16" max="16" width="14.140625" customWidth="1"/>
    <col min="17" max="17" width="11.140625" customWidth="1"/>
    <col min="18" max="18" width="15.140625" customWidth="1"/>
    <col min="19" max="20" width="9.140625" customWidth="1"/>
    <col min="21" max="21" width="9.5703125" customWidth="1"/>
    <col min="22" max="22" width="9.140625" customWidth="1"/>
    <col min="23" max="23" width="15.5703125" customWidth="1"/>
    <col min="24" max="24" width="16" customWidth="1"/>
    <col min="25" max="25" width="9.140625" customWidth="1"/>
    <col min="26" max="26" width="18.140625" customWidth="1"/>
    <col min="27" max="27" width="20.85546875" customWidth="1"/>
    <col min="28" max="28" width="18.5703125" customWidth="1"/>
    <col min="29" max="29" width="9.140625" customWidth="1"/>
    <col min="30" max="30" width="14.85546875" customWidth="1"/>
    <col min="31" max="31" width="11" customWidth="1"/>
    <col min="32" max="32" width="38.85546875" bestFit="1" customWidth="1"/>
  </cols>
  <sheetData>
    <row r="1" spans="1:32" s="2" customFormat="1" ht="14.25" thickTop="1" thickBot="1" x14ac:dyDescent="0.25">
      <c r="A1" s="1" t="s">
        <v>32</v>
      </c>
      <c r="B1" s="2" t="s">
        <v>33</v>
      </c>
      <c r="C1" s="3" t="s">
        <v>2</v>
      </c>
      <c r="D1" s="2" t="s">
        <v>34</v>
      </c>
      <c r="E1" s="2" t="s">
        <v>5</v>
      </c>
      <c r="F1" s="2" t="s">
        <v>35</v>
      </c>
      <c r="G1" s="2" t="s">
        <v>7</v>
      </c>
      <c r="H1" s="2" t="s">
        <v>8</v>
      </c>
      <c r="I1" s="2" t="s">
        <v>20</v>
      </c>
      <c r="J1" s="2" t="s">
        <v>10</v>
      </c>
      <c r="K1" s="4" t="s">
        <v>11</v>
      </c>
      <c r="L1" s="2" t="s">
        <v>36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37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38</v>
      </c>
      <c r="AD1" s="2" t="s">
        <v>30</v>
      </c>
      <c r="AE1" s="2" t="s">
        <v>31</v>
      </c>
      <c r="AF1" s="2" t="s">
        <v>487</v>
      </c>
    </row>
    <row r="2" spans="1:32" ht="14.25" thickTop="1" thickBot="1" x14ac:dyDescent="0.25">
      <c r="A2" s="9" t="str">
        <f>IF(OR(ISTEXT([2]FoFsmonkeyCompl!J3),ISNUMBER([2]FoFsmonkeyCompl!J3)),[2]FoFsmonkeyCompl!J3,"")</f>
        <v>CBRE Global Investors</v>
      </c>
      <c r="B2" s="6" t="str">
        <f>IF(OR(ISTEXT([2]FoFsmonkeyCompl!K3),ISNUMBER([2]FoFsmonkeyCompl!K3)),[2]FoFsmonkeyCompl!K3,"")</f>
        <v>Global Alpha</v>
      </c>
      <c r="C2">
        <v>17454</v>
      </c>
      <c r="D2" s="6" t="str">
        <f>IFERROR(INDEX([2]FundOfFundsUniverse!$B$2:$EU$80,MATCH(FoFanalysis7[[#This Row],[ID]],[2]FundOfFundsUniverse!$A$2:$A$80,0),MATCH(FoFanalysis7[[#Headers],[Manager Defined Style]],[2]FundOfFundsUniverse!$B$1:$EU$1,0)),"")</f>
        <v>Core</v>
      </c>
      <c r="E2" s="6" t="str">
        <f>IFERROR(INDEX([2]FundOfFundsUniverse!$B$2:$EU$80,MATCH(FoFanalysis7[[#This Row],[ID]],[2]FundOfFundsUniverse!$A$2:$A$80,0),MATCH(FoFanalysis7[[#Headers],[Vehicle Structure]],[2]FundOfFundsUniverse!$B$1:$EU$1,0)),"")</f>
        <v>Open end</v>
      </c>
      <c r="F2" s="6">
        <f>IFERROR(INDEX([2]FundOfFundsUniverse!$B$2:$EU$80,MATCH(FoFanalysis7[[#This Row],[ID]],[2]FundOfFundsUniverse!$A$2:$A$80,0),MATCH(FoFanalysis7[[#Headers],[Year of first closing]],[2]FundOfFundsUniverse!$B$1:$EU$1,0)),"")</f>
        <v>2010</v>
      </c>
      <c r="G2" s="6" t="str">
        <f>IF(ISBLANK([2]FoFsmonkeyCompl!L3),"",[2]FoFsmonkeyCompl!L3)</f>
        <v>Yes</v>
      </c>
      <c r="H2" s="6" t="str">
        <f>IF(ISBLANK([2]FoFsmonkeyCompl!M3),"",[2]FoFsmonkeyCompl!M3)</f>
        <v/>
      </c>
      <c r="I2" s="6" t="str">
        <f>IF(ISBLANK([2]FoFsmonkeyCompl!N3),"",[2]FoFsmonkeyCompl!N3)</f>
        <v/>
      </c>
      <c r="J2" s="6" t="str">
        <f>IFERROR(INDEX([2]FundOfFundsUniverse!$B$2:$EU$80,MATCH(FoFanalysis7[[#This Row],[ID]],[2]FundOfFundsUniverse!$A$2:$A$80,0),MATCH(FoFanalysis7[[#Headers],[Currency of Reporting]],[2]FundOfFundsUniverse!$B$1:$EU$1,0)),"")</f>
        <v>USD</v>
      </c>
      <c r="K2" s="11">
        <f>VLOOKUP(FoFanalysis7[[#This Row],[Currency of Reporting]],'[2]Xrate31.12.20'!$K$1:$M$25,3,0)</f>
        <v>0.81541286290000004</v>
      </c>
      <c r="L2" s="11">
        <f>IFERROR(IF(ISBLANK([2]FoFsmonkeyCompl!O3),"",[2]FoFsmonkeyCompl!O3*FoFanalysis7[[#This Row],[EUR]]),"")</f>
        <v>334.31927378900002</v>
      </c>
      <c r="M2" s="8">
        <f>IFERROR(IF(ISBLANK([2]FoFsmonkeyCompl!P3),"",[2]FoFsmonkeyCompl!P3*FoFanalysis7[[#This Row],[EUR]]),"")</f>
        <v>307.41064931330004</v>
      </c>
      <c r="N2" s="8">
        <f>IFERROR(IF(ISBLANK([2]FoFsmonkeyCompl!Q3),"",[2]FoFsmonkeyCompl!Q3*FoFanalysis7[[#This Row],[EUR]]),"")</f>
        <v>18.754495846699999</v>
      </c>
      <c r="O2" s="8" t="str">
        <f>IFERROR(IF(ISBLANK([2]FoFsmonkeyCompl!R3),"",[2]FoFsmonkeyCompl!R3*FoFanalysis7[[#This Row],[EUR]]),"")</f>
        <v/>
      </c>
      <c r="P2" s="8" t="str">
        <f>IFERROR(IF(ISBLANK([2]FoFsmonkeyCompl!S3),"",[2]FoFsmonkeyCompl!S3*FoFanalysis7[[#This Row],[EUR]]),"")</f>
        <v/>
      </c>
      <c r="Q2" s="8" t="str">
        <f>IFERROR(IF(ISBLANK([2]FoFsmonkeyCompl!T3),"",[2]FoFsmonkeyCompl!T3*FoFanalysis7[[#This Row],[EUR]]),"")</f>
        <v/>
      </c>
      <c r="R2" s="8" t="str">
        <f>IFERROR(IF(ISBLANK([2]FoFsmonkeyCompl!U3),"",[2]FoFsmonkeyCompl!U3*FoFanalysis7[[#This Row],[EUR]]),"")</f>
        <v/>
      </c>
      <c r="S2" s="8" t="str">
        <f>IFERROR(IF(ISBLANK([2]FoFsmonkeyCompl!V3),"",[2]FoFsmonkeyCompl!V3*FoFanalysis7[[#This Row],[EUR]]),"")</f>
        <v/>
      </c>
      <c r="T2" s="8">
        <f>IFERROR(IF(ISBLANK([2]FoFsmonkeyCompl!W3),"",[2]FoFsmonkeyCompl!W3*FoFanalysis7[[#This Row],[EUR]]),"")</f>
        <v>8.1541286290000006</v>
      </c>
      <c r="U2" s="8">
        <f>IFERROR(IF(ISBLANK([2]FoFsmonkeyCompl!X3),"",[2]FoFsmonkeyCompl!X3*FoFanalysis7[[#This Row],[EUR]]),"")</f>
        <v>174.49835266060001</v>
      </c>
      <c r="V2" s="8">
        <f>IFERROR(IF(ISBLANK([2]FoFsmonkeyCompl!Y3),"",[2]FoFsmonkeyCompl!Y3*FoFanalysis7[[#This Row],[EUR]]),"")</f>
        <v>20.385321572500001</v>
      </c>
      <c r="W2" s="8">
        <f>IFERROR(IF(ISBLANK([2]FoFsmonkeyCompl!Z3),"",[2]FoFsmonkeyCompl!Z3*FoFanalysis7[[#This Row],[EUR]]),"")</f>
        <v>46.478533185300002</v>
      </c>
      <c r="X2" s="8" t="str">
        <f>IFERROR(IF(ISBLANK([2]FoFsmonkeyCompl!AA3),"",[2]FoFsmonkeyCompl!AA3*FoFanalysis7[[#This Row],[EUR]]),"")</f>
        <v/>
      </c>
      <c r="Y2" s="8" t="str">
        <f>IFERROR(IF(ISBLANK([2]FoFsmonkeyCompl!AB3),"",[2]FoFsmonkeyCompl!AB3*FoFanalysis7[[#This Row],[EUR]]),"")</f>
        <v/>
      </c>
      <c r="Z2" s="8" t="str">
        <f>IFERROR(IF(ISBLANK([2]FoFsmonkeyCompl!AC3),"",[2]FoFsmonkeyCompl!AC3),"")</f>
        <v/>
      </c>
      <c r="AA2" s="8" t="str">
        <f>IFERROR(IF(ISBLANK([2]FoFsmonkeyCompl!AD3),"",[2]FoFsmonkeyCompl!AD3),"")</f>
        <v/>
      </c>
      <c r="AB2" s="8">
        <f>IFERROR(IF(ISBLANK([2]FoFsmonkeyCompl!AE3),"",[2]FoFsmonkeyCompl!AE3),"")</f>
        <v>100</v>
      </c>
      <c r="AC2" s="8" t="str">
        <f>IFERROR(IF(ISBLANK([2]FoFsmonkeyCompl!AF3),"",[2]FoFsmonkeyCompl!AF3),"")</f>
        <v/>
      </c>
      <c r="AD2" s="8" t="str">
        <f>IFERROR(IF(ISBLANK([2]FoFsmonkeyCompl!AG3),"",[2]FoFsmonkeyCompl!AG3),"")</f>
        <v>Increase</v>
      </c>
      <c r="AE2" s="8" t="str">
        <f>IFERROR(IF(ISBLANK([2]FoFsmonkeyCompl!AH3),"",[2]FoFsmonkeyCompl!AH3),"")</f>
        <v>Yes</v>
      </c>
      <c r="AF2" s="35">
        <f>IFERROR(INDEX([2]FundOfFundsUniverse!$B$2:$EU$700,MATCH($C2,[2]FundOfFundsUniverse!$A$2:$A$700,0),MATCH($AF$1,[2]FundOfFundsUniverse!$B$1:$EU$1,0)),"")</f>
        <v>8696021578.0163746</v>
      </c>
    </row>
    <row r="3" spans="1:32" ht="14.25" thickTop="1" thickBot="1" x14ac:dyDescent="0.25">
      <c r="A3" s="5" t="str">
        <f>IF(OR(ISTEXT([2]FoFsmonkeyCompl!J4),ISNUMBER([2]FoFsmonkeyCompl!J4)),[2]FoFsmonkeyCompl!J4,"")</f>
        <v>UBS Asset Management</v>
      </c>
      <c r="B3" s="6" t="str">
        <f>IF(OR(ISTEXT([2]FoFsmonkeyCompl!K4),ISNUMBER([2]FoFsmonkeyCompl!K4)),[2]FoFsmonkeyCompl!K4,"")</f>
        <v>US Global Real Estate Funds Selection LP</v>
      </c>
      <c r="C3" s="7">
        <v>108365</v>
      </c>
      <c r="D3" s="6" t="str">
        <f>IFERROR(INDEX([2]FundOfFundsUniverse!$B$2:$EU$80,MATCH(FoFanalysis7[[#This Row],[ID]],[2]FundOfFundsUniverse!$A$2:$A$80,0),MATCH(FoFanalysis7[[#Headers],[Manager Defined Style]],[2]FundOfFundsUniverse!$B$1:$EU$1,0)),"")</f>
        <v>Core</v>
      </c>
      <c r="E3" s="6" t="str">
        <f>IFERROR(INDEX([2]FundOfFundsUniverse!$B$2:$EU$80,MATCH(FoFanalysis7[[#This Row],[ID]],[2]FundOfFundsUniverse!$A$2:$A$80,0),MATCH(FoFanalysis7[[#Headers],[Vehicle Structure]],[2]FundOfFundsUniverse!$B$1:$EU$1,0)),"")</f>
        <v>Closed end</v>
      </c>
      <c r="F3" s="6">
        <f>IFERROR(INDEX([2]FundOfFundsUniverse!$B$2:$EU$80,MATCH(FoFanalysis7[[#This Row],[ID]],[2]FundOfFundsUniverse!$A$2:$A$80,0),MATCH(FoFanalysis7[[#Headers],[Year of first closing]],[2]FundOfFundsUniverse!$B$1:$EU$1,0)),"")</f>
        <v>2020</v>
      </c>
      <c r="G3" s="6" t="str">
        <f>IF(ISBLANK([2]FoFsmonkeyCompl!L4),"",[2]FoFsmonkeyCompl!L4)</f>
        <v>Yes</v>
      </c>
      <c r="H3" s="6" t="str">
        <f>IF(ISBLANK([2]FoFsmonkeyCompl!M4),"",[2]FoFsmonkeyCompl!M4)</f>
        <v/>
      </c>
      <c r="I3" s="6" t="str">
        <f>IF(ISBLANK([2]FoFsmonkeyCompl!N4),"",[2]FoFsmonkeyCompl!N4)</f>
        <v/>
      </c>
      <c r="J3" s="6" t="str">
        <f>IFERROR(INDEX([2]FundOfFundsUniverse!$B$2:$EU$80,MATCH(FoFanalysis7[[#This Row],[ID]],[2]FundOfFundsUniverse!$A$2:$A$80,0),MATCH(FoFanalysis7[[#Headers],[Currency of Reporting]],[2]FundOfFundsUniverse!$B$1:$EU$1,0)),"")</f>
        <v>EUR</v>
      </c>
      <c r="K3" s="11">
        <f>VLOOKUP(FoFanalysis7[[#This Row],[Currency of Reporting]],'[2]Xrate31.12.20'!$K$1:$M$25,3,0)</f>
        <v>1</v>
      </c>
      <c r="L3" s="11">
        <f>IFERROR(IF(ISBLANK([2]FoFsmonkeyCompl!O4),"",[2]FoFsmonkeyCompl!O4*FoFanalysis7[[#This Row],[EUR]]),"")</f>
        <v>112</v>
      </c>
      <c r="M3" s="8" t="str">
        <f>IFERROR(IF(ISBLANK([2]FoFsmonkeyCompl!P4),"",[2]FoFsmonkeyCompl!P4*FoFanalysis7[[#This Row],[EUR]]),"")</f>
        <v/>
      </c>
      <c r="N3" s="8" t="str">
        <f>IFERROR(IF(ISBLANK([2]FoFsmonkeyCompl!Q4),"",[2]FoFsmonkeyCompl!Q4*FoFanalysis7[[#This Row],[EUR]]),"")</f>
        <v/>
      </c>
      <c r="O3" s="8" t="str">
        <f>IFERROR(IF(ISBLANK([2]FoFsmonkeyCompl!R4),"",[2]FoFsmonkeyCompl!R4*FoFanalysis7[[#This Row],[EUR]]),"")</f>
        <v/>
      </c>
      <c r="P3" s="8" t="str">
        <f>IFERROR(IF(ISBLANK([2]FoFsmonkeyCompl!S4),"",[2]FoFsmonkeyCompl!S4*FoFanalysis7[[#This Row],[EUR]]),"")</f>
        <v/>
      </c>
      <c r="Q3" s="8" t="str">
        <f>IFERROR(IF(ISBLANK([2]FoFsmonkeyCompl!T4),"",[2]FoFsmonkeyCompl!T4*FoFanalysis7[[#This Row],[EUR]]),"")</f>
        <v/>
      </c>
      <c r="R3" s="8" t="str">
        <f>IFERROR(IF(ISBLANK([2]FoFsmonkeyCompl!U4),"",[2]FoFsmonkeyCompl!U4*FoFanalysis7[[#This Row],[EUR]]),"")</f>
        <v/>
      </c>
      <c r="S3" s="8">
        <f>IFERROR(IF(ISBLANK([2]FoFsmonkeyCompl!V4),"",[2]FoFsmonkeyCompl!V4*FoFanalysis7[[#This Row],[EUR]]),"")</f>
        <v>112</v>
      </c>
      <c r="T3" s="8" t="str">
        <f>IFERROR(IF(ISBLANK([2]FoFsmonkeyCompl!W4),"",[2]FoFsmonkeyCompl!W4*FoFanalysis7[[#This Row],[EUR]]),"")</f>
        <v/>
      </c>
      <c r="U3" s="8" t="str">
        <f>IFERROR(IF(ISBLANK([2]FoFsmonkeyCompl!X4),"",[2]FoFsmonkeyCompl!X4*FoFanalysis7[[#This Row],[EUR]]),"")</f>
        <v/>
      </c>
      <c r="V3" s="8" t="str">
        <f>IFERROR(IF(ISBLANK([2]FoFsmonkeyCompl!Y4),"",[2]FoFsmonkeyCompl!Y4*FoFanalysis7[[#This Row],[EUR]]),"")</f>
        <v/>
      </c>
      <c r="W3" s="8">
        <f>IFERROR(IF(ISBLANK([2]FoFsmonkeyCompl!Z4),"",[2]FoFsmonkeyCompl!Z4*FoFanalysis7[[#This Row],[EUR]]),"")</f>
        <v>112</v>
      </c>
      <c r="X3" s="8" t="str">
        <f>IFERROR(IF(ISBLANK([2]FoFsmonkeyCompl!AA4),"",[2]FoFsmonkeyCompl!AA4*FoFanalysis7[[#This Row],[EUR]]),"")</f>
        <v/>
      </c>
      <c r="Y3" s="8" t="str">
        <f>IFERROR(IF(ISBLANK([2]FoFsmonkeyCompl!AB4),"",[2]FoFsmonkeyCompl!AB4*FoFanalysis7[[#This Row],[EUR]]),"")</f>
        <v/>
      </c>
      <c r="Z3" s="8" t="str">
        <f>IFERROR(IF(ISBLANK([2]FoFsmonkeyCompl!AC4),"",[2]FoFsmonkeyCompl!AC4),"")</f>
        <v/>
      </c>
      <c r="AA3" s="8" t="str">
        <f>IFERROR(IF(ISBLANK([2]FoFsmonkeyCompl!AD4),"",[2]FoFsmonkeyCompl!AD4),"")</f>
        <v/>
      </c>
      <c r="AB3" s="8">
        <f>IFERROR(IF(ISBLANK([2]FoFsmonkeyCompl!AE4),"",[2]FoFsmonkeyCompl!AE4),"")</f>
        <v>100</v>
      </c>
      <c r="AC3" s="8" t="str">
        <f>IFERROR(IF(ISBLANK([2]FoFsmonkeyCompl!AF4),"",[2]FoFsmonkeyCompl!AF4),"")</f>
        <v/>
      </c>
      <c r="AD3" s="8" t="str">
        <f>IFERROR(IF(ISBLANK([2]FoFsmonkeyCompl!AG4),"",[2]FoFsmonkeyCompl!AG4),"")</f>
        <v>Increase</v>
      </c>
      <c r="AE3" s="8" t="str">
        <f>IFERROR(IF(ISBLANK([2]FoFsmonkeyCompl!AH4),"",[2]FoFsmonkeyCompl!AH4),"")</f>
        <v>Yes</v>
      </c>
      <c r="AF3" s="35">
        <f>IFERROR(INDEX([2]FundOfFundsUniverse!$B$2:$EU$700,MATCH($C3,[2]FundOfFundsUniverse!$A$2:$A$700,0),MATCH($AF$1,[2]FundOfFundsUniverse!$B$1:$EU$1,0)),"")</f>
        <v>0</v>
      </c>
    </row>
    <row r="4" spans="1:32" ht="14.25" thickTop="1" thickBot="1" x14ac:dyDescent="0.25">
      <c r="A4" s="9" t="str">
        <f>IF(OR(ISTEXT([2]FoFsmonkeyCompl!J5),ISNUMBER([2]FoFsmonkeyCompl!J5)),[2]FoFsmonkeyCompl!J5,"")</f>
        <v>UBS Asset Management</v>
      </c>
      <c r="B4" s="6" t="str">
        <f>IF(OR(ISTEXT([2]FoFsmonkeyCompl!K5),ISNUMBER([2]FoFsmonkeyCompl!K5)),[2]FoFsmonkeyCompl!K5,"")</f>
        <v>UBS AST 3 Global Real Estate (ex CH)</v>
      </c>
      <c r="C4">
        <v>17443</v>
      </c>
      <c r="D4" s="6" t="str">
        <f>IFERROR(INDEX([2]FundOfFundsUniverse!$B$2:$EU$80,MATCH(FoFanalysis7[[#This Row],[ID]],[2]FundOfFundsUniverse!$A$2:$A$80,0),MATCH(FoFanalysis7[[#Headers],[Manager Defined Style]],[2]FundOfFundsUniverse!$B$1:$EU$1,0)),"")</f>
        <v>Core</v>
      </c>
      <c r="E4" s="6" t="str">
        <f>IFERROR(INDEX([2]FundOfFundsUniverse!$B$2:$EU$80,MATCH(FoFanalysis7[[#This Row],[ID]],[2]FundOfFundsUniverse!$A$2:$A$80,0),MATCH(FoFanalysis7[[#Headers],[Vehicle Structure]],[2]FundOfFundsUniverse!$B$1:$EU$1,0)),"")</f>
        <v>Open end</v>
      </c>
      <c r="F4" s="6">
        <f>IFERROR(INDEX([2]FundOfFundsUniverse!$B$2:$EU$80,MATCH(FoFanalysis7[[#This Row],[ID]],[2]FundOfFundsUniverse!$A$2:$A$80,0),MATCH(FoFanalysis7[[#Headers],[Year of first closing]],[2]FundOfFundsUniverse!$B$1:$EU$1,0)),"")</f>
        <v>2011</v>
      </c>
      <c r="G4" s="6" t="str">
        <f>IF(ISBLANK([2]FoFsmonkeyCompl!L5),"",[2]FoFsmonkeyCompl!L5)</f>
        <v>Yes</v>
      </c>
      <c r="H4" s="6" t="str">
        <f>IF(ISBLANK([2]FoFsmonkeyCompl!M5),"",[2]FoFsmonkeyCompl!M5)</f>
        <v/>
      </c>
      <c r="I4" s="6" t="str">
        <f>IF(ISBLANK([2]FoFsmonkeyCompl!N5),"",[2]FoFsmonkeyCompl!N5)</f>
        <v/>
      </c>
      <c r="J4" s="6" t="str">
        <f>IFERROR(INDEX([2]FundOfFundsUniverse!$B$2:$EU$80,MATCH(FoFanalysis7[[#This Row],[ID]],[2]FundOfFundsUniverse!$A$2:$A$80,0),MATCH(FoFanalysis7[[#Headers],[Currency of Reporting]],[2]FundOfFundsUniverse!$B$1:$EU$1,0)),"")</f>
        <v>CHF</v>
      </c>
      <c r="K4" s="11">
        <f>VLOOKUP(FoFanalysis7[[#This Row],[Currency of Reporting]],'[2]Xrate31.12.20'!$K$1:$M$25,3,0)</f>
        <v>0.92402414590000004</v>
      </c>
      <c r="L4" s="11">
        <f>IFERROR(IF(ISBLANK([2]FoFsmonkeyCompl!O5),"",[2]FoFsmonkeyCompl!O5*FoFanalysis7[[#This Row],[EUR]]),"")</f>
        <v>170.0204428456</v>
      </c>
      <c r="M4" s="8">
        <f>IFERROR(IF(ISBLANK([2]FoFsmonkeyCompl!P5),"",[2]FoFsmonkeyCompl!P5*FoFanalysis7[[#This Row],[EUR]]),"")</f>
        <v>170.0204428456</v>
      </c>
      <c r="N4" s="8" t="str">
        <f>IFERROR(IF(ISBLANK([2]FoFsmonkeyCompl!Q5),"",[2]FoFsmonkeyCompl!Q5*FoFanalysis7[[#This Row],[EUR]]),"")</f>
        <v/>
      </c>
      <c r="O4" s="8" t="str">
        <f>IFERROR(IF(ISBLANK([2]FoFsmonkeyCompl!R5),"",[2]FoFsmonkeyCompl!R5*FoFanalysis7[[#This Row],[EUR]]),"")</f>
        <v/>
      </c>
      <c r="P4" s="8" t="str">
        <f>IFERROR(IF(ISBLANK([2]FoFsmonkeyCompl!S5),"",[2]FoFsmonkeyCompl!S5*FoFanalysis7[[#This Row],[EUR]]),"")</f>
        <v/>
      </c>
      <c r="Q4" s="8" t="str">
        <f>IFERROR(IF(ISBLANK([2]FoFsmonkeyCompl!T5),"",[2]FoFsmonkeyCompl!T5*FoFanalysis7[[#This Row],[EUR]]),"")</f>
        <v/>
      </c>
      <c r="R4" s="8" t="str">
        <f>IFERROR(IF(ISBLANK([2]FoFsmonkeyCompl!U5),"",[2]FoFsmonkeyCompl!U5*FoFanalysis7[[#This Row],[EUR]]),"")</f>
        <v/>
      </c>
      <c r="S4" s="8" t="str">
        <f>IFERROR(IF(ISBLANK([2]FoFsmonkeyCompl!V5),"",[2]FoFsmonkeyCompl!V5*FoFanalysis7[[#This Row],[EUR]]),"")</f>
        <v/>
      </c>
      <c r="T4" s="8" t="str">
        <f>IFERROR(IF(ISBLANK([2]FoFsmonkeyCompl!W5),"",[2]FoFsmonkeyCompl!W5*FoFanalysis7[[#This Row],[EUR]]),"")</f>
        <v/>
      </c>
      <c r="U4" s="8">
        <f>IFERROR(IF(ISBLANK([2]FoFsmonkeyCompl!X5),"",[2]FoFsmonkeyCompl!X5*FoFanalysis7[[#This Row],[EUR]]),"")</f>
        <v>170.0204428456</v>
      </c>
      <c r="V4" s="8" t="str">
        <f>IFERROR(IF(ISBLANK([2]FoFsmonkeyCompl!Y5),"",[2]FoFsmonkeyCompl!Y5*FoFanalysis7[[#This Row],[EUR]]),"")</f>
        <v/>
      </c>
      <c r="W4" s="8" t="str">
        <f>IFERROR(IF(ISBLANK([2]FoFsmonkeyCompl!Z5),"",[2]FoFsmonkeyCompl!Z5*FoFanalysis7[[#This Row],[EUR]]),"")</f>
        <v/>
      </c>
      <c r="X4" s="8" t="str">
        <f>IFERROR(IF(ISBLANK([2]FoFsmonkeyCompl!AA5),"",[2]FoFsmonkeyCompl!AA5*FoFanalysis7[[#This Row],[EUR]]),"")</f>
        <v/>
      </c>
      <c r="Y4" s="8" t="str">
        <f>IFERROR(IF(ISBLANK([2]FoFsmonkeyCompl!AB5),"",[2]FoFsmonkeyCompl!AB5*FoFanalysis7[[#This Row],[EUR]]),"")</f>
        <v/>
      </c>
      <c r="Z4" s="8" t="str">
        <f>IFERROR(IF(ISBLANK([2]FoFsmonkeyCompl!AC5),"",[2]FoFsmonkeyCompl!AC5),"")</f>
        <v/>
      </c>
      <c r="AA4" s="8" t="str">
        <f>IFERROR(IF(ISBLANK([2]FoFsmonkeyCompl!AD5),"",[2]FoFsmonkeyCompl!AD5),"")</f>
        <v/>
      </c>
      <c r="AB4" s="8">
        <f>IFERROR(IF(ISBLANK([2]FoFsmonkeyCompl!AE5),"",[2]FoFsmonkeyCompl!AE5),"")</f>
        <v>100</v>
      </c>
      <c r="AC4" s="8" t="str">
        <f>IFERROR(IF(ISBLANK([2]FoFsmonkeyCompl!AF5),"",[2]FoFsmonkeyCompl!AF5),"")</f>
        <v/>
      </c>
      <c r="AD4" s="8" t="str">
        <f>IFERROR(IF(ISBLANK([2]FoFsmonkeyCompl!AG5),"",[2]FoFsmonkeyCompl!AG5),"")</f>
        <v>Increase</v>
      </c>
      <c r="AE4" s="8" t="str">
        <f>IFERROR(IF(ISBLANK([2]FoFsmonkeyCompl!AH5),"",[2]FoFsmonkeyCompl!AH5),"")</f>
        <v>Yes</v>
      </c>
      <c r="AF4" s="35">
        <f>IFERROR(INDEX([2]FundOfFundsUniverse!$B$2:$EU$700,MATCH($C4,[2]FundOfFundsUniverse!$A$2:$A$700,0),MATCH($AF$1,[2]FundOfFundsUniverse!$B$1:$EU$1,0)),"")</f>
        <v>4052182171.785017</v>
      </c>
    </row>
    <row r="5" spans="1:32" ht="14.25" thickTop="1" thickBot="1" x14ac:dyDescent="0.25">
      <c r="A5" s="5" t="str">
        <f>IF(OR(ISTEXT([2]FoFsmonkeyCompl!J6),ISNUMBER([2]FoFsmonkeyCompl!J6)),[2]FoFsmonkeyCompl!J6,"")</f>
        <v>Helaba Invest</v>
      </c>
      <c r="B5" s="6" t="str">
        <f>IF(OR(ISTEXT([2]FoFsmonkeyCompl!K6),ISNUMBER([2]FoFsmonkeyCompl!K6)),[2]FoFsmonkeyCompl!K6,"")</f>
        <v>HI-Immobilien-Multi Manager-Fonds IV</v>
      </c>
      <c r="C5" s="7">
        <v>114441</v>
      </c>
      <c r="D5" s="6" t="str">
        <f>IFERROR(INDEX([2]FundOfFundsUniverse!$B$2:$EU$80,MATCH(FoFanalysis7[[#This Row],[ID]],[2]FundOfFundsUniverse!$A$2:$A$80,0),MATCH(FoFanalysis7[[#Headers],[Manager Defined Style]],[2]FundOfFundsUniverse!$B$1:$EU$1,0)),"")</f>
        <v>Core</v>
      </c>
      <c r="E5" s="6" t="str">
        <f>IFERROR(INDEX([2]FundOfFundsUniverse!$B$2:$EU$80,MATCH(FoFanalysis7[[#This Row],[ID]],[2]FundOfFundsUniverse!$A$2:$A$80,0),MATCH(FoFanalysis7[[#Headers],[Vehicle Structure]],[2]FundOfFundsUniverse!$B$1:$EU$1,0)),"")</f>
        <v>Closed end</v>
      </c>
      <c r="F5" s="6">
        <f>IFERROR(INDEX([2]FundOfFundsUniverse!$B$2:$EU$80,MATCH(FoFanalysis7[[#This Row],[ID]],[2]FundOfFundsUniverse!$A$2:$A$80,0),MATCH(FoFanalysis7[[#Headers],[Year of first closing]],[2]FundOfFundsUniverse!$B$1:$EU$1,0)),"")</f>
        <v>2020</v>
      </c>
      <c r="G5" s="6" t="str">
        <f>IF(ISBLANK([2]FoFsmonkeyCompl!L6),"",[2]FoFsmonkeyCompl!L6)</f>
        <v>Yes</v>
      </c>
      <c r="H5" s="6" t="str">
        <f>IF(ISBLANK([2]FoFsmonkeyCompl!M6),"",[2]FoFsmonkeyCompl!M6)</f>
        <v/>
      </c>
      <c r="I5" s="6" t="str">
        <f>IF(ISBLANK([2]FoFsmonkeyCompl!N6),"",[2]FoFsmonkeyCompl!N6)</f>
        <v/>
      </c>
      <c r="J5" s="6" t="str">
        <f>IFERROR(INDEX([2]FundOfFundsUniverse!$B$2:$EU$80,MATCH(FoFanalysis7[[#This Row],[ID]],[2]FundOfFundsUniverse!$A$2:$A$80,0),MATCH(FoFanalysis7[[#Headers],[Currency of Reporting]],[2]FundOfFundsUniverse!$B$1:$EU$1,0)),"")</f>
        <v>EUR</v>
      </c>
      <c r="K5" s="11">
        <f>VLOOKUP(FoFanalysis7[[#This Row],[Currency of Reporting]],'[2]Xrate31.12.20'!$K$1:$M$25,3,0)</f>
        <v>1</v>
      </c>
      <c r="L5" s="11">
        <f>IFERROR(IF(ISBLANK([2]FoFsmonkeyCompl!O6),"",[2]FoFsmonkeyCompl!O6*FoFanalysis7[[#This Row],[EUR]]),"")</f>
        <v>225</v>
      </c>
      <c r="M5" s="8">
        <f>IFERROR(IF(ISBLANK([2]FoFsmonkeyCompl!P6),"",[2]FoFsmonkeyCompl!P6*FoFanalysis7[[#This Row],[EUR]]),"")</f>
        <v>71</v>
      </c>
      <c r="N5" s="8">
        <f>IFERROR(IF(ISBLANK([2]FoFsmonkeyCompl!Q6),"",[2]FoFsmonkeyCompl!Q6*FoFanalysis7[[#This Row],[EUR]]),"")</f>
        <v>25</v>
      </c>
      <c r="O5" s="8" t="str">
        <f>IFERROR(IF(ISBLANK([2]FoFsmonkeyCompl!R6),"",[2]FoFsmonkeyCompl!R6*FoFanalysis7[[#This Row],[EUR]]),"")</f>
        <v/>
      </c>
      <c r="P5" s="8" t="str">
        <f>IFERROR(IF(ISBLANK([2]FoFsmonkeyCompl!S6),"",[2]FoFsmonkeyCompl!S6*FoFanalysis7[[#This Row],[EUR]]),"")</f>
        <v/>
      </c>
      <c r="Q5" s="8">
        <f>IFERROR(IF(ISBLANK([2]FoFsmonkeyCompl!T6),"",[2]FoFsmonkeyCompl!T6*FoFanalysis7[[#This Row],[EUR]]),"")</f>
        <v>2</v>
      </c>
      <c r="R5" s="8" t="str">
        <f>IFERROR(IF(ISBLANK([2]FoFsmonkeyCompl!U6),"",[2]FoFsmonkeyCompl!U6*FoFanalysis7[[#This Row],[EUR]]),"")</f>
        <v/>
      </c>
      <c r="S5" s="8" t="str">
        <f>IFERROR(IF(ISBLANK([2]FoFsmonkeyCompl!V6),"",[2]FoFsmonkeyCompl!V6*FoFanalysis7[[#This Row],[EUR]]),"")</f>
        <v/>
      </c>
      <c r="T5" s="8">
        <f>IFERROR(IF(ISBLANK([2]FoFsmonkeyCompl!W6),"",[2]FoFsmonkeyCompl!W6*FoFanalysis7[[#This Row],[EUR]]),"")</f>
        <v>127</v>
      </c>
      <c r="U5" s="8">
        <f>IFERROR(IF(ISBLANK([2]FoFsmonkeyCompl!X6),"",[2]FoFsmonkeyCompl!X6*FoFanalysis7[[#This Row],[EUR]]),"")</f>
        <v>225</v>
      </c>
      <c r="V5" s="8" t="str">
        <f>IFERROR(IF(ISBLANK([2]FoFsmonkeyCompl!Y6),"",[2]FoFsmonkeyCompl!Y6*FoFanalysis7[[#This Row],[EUR]]),"")</f>
        <v/>
      </c>
      <c r="W5" s="8" t="str">
        <f>IFERROR(IF(ISBLANK([2]FoFsmonkeyCompl!Z6),"",[2]FoFsmonkeyCompl!Z6*FoFanalysis7[[#This Row],[EUR]]),"")</f>
        <v/>
      </c>
      <c r="X5" s="8" t="str">
        <f>IFERROR(IF(ISBLANK([2]FoFsmonkeyCompl!AA6),"",[2]FoFsmonkeyCompl!AA6*FoFanalysis7[[#This Row],[EUR]]),"")</f>
        <v/>
      </c>
      <c r="Y5" s="8" t="str">
        <f>IFERROR(IF(ISBLANK([2]FoFsmonkeyCompl!AB6),"",[2]FoFsmonkeyCompl!AB6*FoFanalysis7[[#This Row],[EUR]]),"")</f>
        <v/>
      </c>
      <c r="Z5" s="8" t="str">
        <f>IFERROR(IF(ISBLANK([2]FoFsmonkeyCompl!AC6),"",[2]FoFsmonkeyCompl!AC6),"")</f>
        <v/>
      </c>
      <c r="AA5" s="8" t="str">
        <f>IFERROR(IF(ISBLANK([2]FoFsmonkeyCompl!AD6),"",[2]FoFsmonkeyCompl!AD6),"")</f>
        <v/>
      </c>
      <c r="AB5" s="8">
        <f>IFERROR(IF(ISBLANK([2]FoFsmonkeyCompl!AE6),"",[2]FoFsmonkeyCompl!AE6),"")</f>
        <v>100</v>
      </c>
      <c r="AC5" s="8" t="str">
        <f>IFERROR(IF(ISBLANK([2]FoFsmonkeyCompl!AF6),"",[2]FoFsmonkeyCompl!AF6),"")</f>
        <v/>
      </c>
      <c r="AD5" s="8" t="str">
        <f>IFERROR(IF(ISBLANK([2]FoFsmonkeyCompl!AG6),"",[2]FoFsmonkeyCompl!AG6),"")</f>
        <v>No change</v>
      </c>
      <c r="AE5" s="8" t="str">
        <f>IFERROR(IF(ISBLANK([2]FoFsmonkeyCompl!AH6),"",[2]FoFsmonkeyCompl!AH6),"")</f>
        <v>Yes</v>
      </c>
      <c r="AF5" s="35">
        <f>IFERROR(INDEX([2]FundOfFundsUniverse!$B$2:$EU$700,MATCH($C5,[2]FundOfFundsUniverse!$A$2:$A$700,0),MATCH($AF$1,[2]FundOfFundsUniverse!$B$1:$EU$1,0)),"")</f>
        <v>0</v>
      </c>
    </row>
    <row r="6" spans="1:32" ht="14.25" thickTop="1" thickBot="1" x14ac:dyDescent="0.25">
      <c r="A6" s="9" t="str">
        <f>IF(OR(ISTEXT([2]FoFsmonkeyCompl!J7),ISNUMBER([2]FoFsmonkeyCompl!J7)),[2]FoFsmonkeyCompl!J7,"")</f>
        <v>UBS Asset Management</v>
      </c>
      <c r="B6" s="6" t="str">
        <f>IF(OR(ISTEXT([2]FoFsmonkeyCompl!K7),ISNUMBER([2]FoFsmonkeyCompl!K7)),[2]FoFsmonkeyCompl!K7,"")</f>
        <v>UBS (Lux) Real Estate Funds Selection - Global</v>
      </c>
      <c r="C6">
        <v>17439</v>
      </c>
      <c r="D6" s="6" t="str">
        <f>IFERROR(INDEX([2]FundOfFundsUniverse!$B$2:$EU$80,MATCH(FoFanalysis7[[#This Row],[ID]],[2]FundOfFundsUniverse!$A$2:$A$80,0),MATCH(FoFanalysis7[[#Headers],[Manager Defined Style]],[2]FundOfFundsUniverse!$B$1:$EU$1,0)),"")</f>
        <v>Core</v>
      </c>
      <c r="E6" s="6" t="str">
        <f>IFERROR(INDEX([2]FundOfFundsUniverse!$B$2:$EU$80,MATCH(FoFanalysis7[[#This Row],[ID]],[2]FundOfFundsUniverse!$A$2:$A$80,0),MATCH(FoFanalysis7[[#Headers],[Vehicle Structure]],[2]FundOfFundsUniverse!$B$1:$EU$1,0)),"")</f>
        <v>Open end</v>
      </c>
      <c r="F6" s="6">
        <f>IFERROR(INDEX([2]FundOfFundsUniverse!$B$2:$EU$80,MATCH(FoFanalysis7[[#This Row],[ID]],[2]FundOfFundsUniverse!$A$2:$A$80,0),MATCH(FoFanalysis7[[#Headers],[Year of first closing]],[2]FundOfFundsUniverse!$B$1:$EU$1,0)),"")</f>
        <v>2008</v>
      </c>
      <c r="G6" s="6" t="str">
        <f>IF(ISBLANK([2]FoFsmonkeyCompl!L7),"",[2]FoFsmonkeyCompl!L7)</f>
        <v>Yes</v>
      </c>
      <c r="H6" s="6" t="str">
        <f>IF(ISBLANK([2]FoFsmonkeyCompl!M7),"",[2]FoFsmonkeyCompl!M7)</f>
        <v/>
      </c>
      <c r="I6" s="6" t="str">
        <f>IF(ISBLANK([2]FoFsmonkeyCompl!N7),"",[2]FoFsmonkeyCompl!N7)</f>
        <v/>
      </c>
      <c r="J6" s="6" t="str">
        <f>IFERROR(INDEX([2]FundOfFundsUniverse!$B$2:$EU$80,MATCH(FoFanalysis7[[#This Row],[ID]],[2]FundOfFundsUniverse!$A$2:$A$80,0),MATCH(FoFanalysis7[[#Headers],[Currency of Reporting]],[2]FundOfFundsUniverse!$B$1:$EU$1,0)),"")</f>
        <v>EUR</v>
      </c>
      <c r="K6" s="11">
        <f>VLOOKUP(FoFanalysis7[[#This Row],[Currency of Reporting]],'[2]Xrate31.12.20'!$K$1:$M$25,3,0)</f>
        <v>1</v>
      </c>
      <c r="L6" s="11">
        <f>IFERROR(IF(ISBLANK([2]FoFsmonkeyCompl!O7),"",[2]FoFsmonkeyCompl!O7*FoFanalysis7[[#This Row],[EUR]]),"")</f>
        <v>857</v>
      </c>
      <c r="M6" s="8">
        <f>IFERROR(IF(ISBLANK([2]FoFsmonkeyCompl!P7),"",[2]FoFsmonkeyCompl!P7*FoFanalysis7[[#This Row],[EUR]]),"")</f>
        <v>241</v>
      </c>
      <c r="N6" s="8">
        <f>IFERROR(IF(ISBLANK([2]FoFsmonkeyCompl!Q7),"",[2]FoFsmonkeyCompl!Q7*FoFanalysis7[[#This Row],[EUR]]),"")</f>
        <v>116</v>
      </c>
      <c r="O6" s="8" t="str">
        <f>IFERROR(IF(ISBLANK([2]FoFsmonkeyCompl!R7),"",[2]FoFsmonkeyCompl!R7*FoFanalysis7[[#This Row],[EUR]]),"")</f>
        <v/>
      </c>
      <c r="P6" s="8">
        <f>IFERROR(IF(ISBLANK([2]FoFsmonkeyCompl!S7),"",[2]FoFsmonkeyCompl!S7*FoFanalysis7[[#This Row],[EUR]]),"")</f>
        <v>7</v>
      </c>
      <c r="Q6" s="8">
        <f>IFERROR(IF(ISBLANK([2]FoFsmonkeyCompl!T7),"",[2]FoFsmonkeyCompl!T7*FoFanalysis7[[#This Row],[EUR]]),"")</f>
        <v>41</v>
      </c>
      <c r="R6" s="8">
        <f>IFERROR(IF(ISBLANK([2]FoFsmonkeyCompl!U7),"",[2]FoFsmonkeyCompl!U7*FoFanalysis7[[#This Row],[EUR]]),"")</f>
        <v>32</v>
      </c>
      <c r="S6" s="8">
        <f>IFERROR(IF(ISBLANK([2]FoFsmonkeyCompl!V7),"",[2]FoFsmonkeyCompl!V7*FoFanalysis7[[#This Row],[EUR]]),"")</f>
        <v>263</v>
      </c>
      <c r="T6" s="8">
        <f>IFERROR(IF(ISBLANK([2]FoFsmonkeyCompl!W7),"",[2]FoFsmonkeyCompl!W7*FoFanalysis7[[#This Row],[EUR]]),"")</f>
        <v>158</v>
      </c>
      <c r="U6" s="8">
        <f>IFERROR(IF(ISBLANK([2]FoFsmonkeyCompl!X7),"",[2]FoFsmonkeyCompl!X7*FoFanalysis7[[#This Row],[EUR]]),"")</f>
        <v>465</v>
      </c>
      <c r="V6" s="8">
        <f>IFERROR(IF(ISBLANK([2]FoFsmonkeyCompl!Y7),"",[2]FoFsmonkeyCompl!Y7*FoFanalysis7[[#This Row],[EUR]]),"")</f>
        <v>297</v>
      </c>
      <c r="W6" s="8">
        <f>IFERROR(IF(ISBLANK([2]FoFsmonkeyCompl!Z7),"",[2]FoFsmonkeyCompl!Z7*FoFanalysis7[[#This Row],[EUR]]),"")</f>
        <v>63</v>
      </c>
      <c r="X6" s="8">
        <f>IFERROR(IF(ISBLANK([2]FoFsmonkeyCompl!AA7),"",[2]FoFsmonkeyCompl!AA7*FoFanalysis7[[#This Row],[EUR]]),"")</f>
        <v>28</v>
      </c>
      <c r="Y6" s="8">
        <f>IFERROR(IF(ISBLANK([2]FoFsmonkeyCompl!AB7),"",[2]FoFsmonkeyCompl!AB7*FoFanalysis7[[#This Row],[EUR]]),"")</f>
        <v>4</v>
      </c>
      <c r="Z6" s="8" t="str">
        <f>IFERROR(IF(ISBLANK([2]FoFsmonkeyCompl!AC7),"",[2]FoFsmonkeyCompl!AC7),"")</f>
        <v/>
      </c>
      <c r="AA6" s="8" t="str">
        <f>IFERROR(IF(ISBLANK([2]FoFsmonkeyCompl!AD7),"",[2]FoFsmonkeyCompl!AD7),"")</f>
        <v/>
      </c>
      <c r="AB6" s="8">
        <f>IFERROR(IF(ISBLANK([2]FoFsmonkeyCompl!AE7),"",[2]FoFsmonkeyCompl!AE7),"")</f>
        <v>100</v>
      </c>
      <c r="AC6" s="8" t="str">
        <f>IFERROR(IF(ISBLANK([2]FoFsmonkeyCompl!AF7),"",[2]FoFsmonkeyCompl!AF7),"")</f>
        <v/>
      </c>
      <c r="AD6" s="8" t="str">
        <f>IFERROR(IF(ISBLANK([2]FoFsmonkeyCompl!AG7),"",[2]FoFsmonkeyCompl!AG7),"")</f>
        <v>Increase</v>
      </c>
      <c r="AE6" s="8" t="str">
        <f>IFERROR(IF(ISBLANK([2]FoFsmonkeyCompl!AH7),"",[2]FoFsmonkeyCompl!AH7),"")</f>
        <v>Yes</v>
      </c>
      <c r="AF6" s="35">
        <f>IFERROR(INDEX([2]FundOfFundsUniverse!$B$2:$EU$700,MATCH($C6,[2]FundOfFundsUniverse!$A$2:$A$700,0),MATCH($AF$1,[2]FundOfFundsUniverse!$B$1:$EU$1,0)),"")</f>
        <v>5975947869.9200001</v>
      </c>
    </row>
    <row r="7" spans="1:32" ht="13.5" thickTop="1" x14ac:dyDescent="0.2">
      <c r="A7" s="5" t="str">
        <f>IF(OR(ISTEXT([2]FoFsmonkeyCompl!J8),ISNUMBER([2]FoFsmonkeyCompl!J8)),[2]FoFsmonkeyCompl!J8,"")</f>
        <v>UBS</v>
      </c>
      <c r="B7" s="6" t="str">
        <f>IF(OR(ISTEXT([2]FoFsmonkeyCompl!K8),ISNUMBER([2]FoFsmonkeyCompl!K8)),[2]FoFsmonkeyCompl!K8,"")</f>
        <v>UBS (UK) Real Estate Funds Selection - Global ex Canada LP</v>
      </c>
      <c r="C7">
        <v>17456</v>
      </c>
      <c r="D7" s="6" t="str">
        <f>IFERROR(INDEX([2]FundOfFundsUniverse!$B$2:$EU$80,MATCH(FoFanalysis7[[#This Row],[ID]],[2]FundOfFundsUniverse!$A$2:$A$80,0),MATCH(FoFanalysis7[[#Headers],[Manager Defined Style]],[2]FundOfFundsUniverse!$B$1:$EU$1,0)),"")</f>
        <v>Core</v>
      </c>
      <c r="E7" s="6" t="str">
        <f>IFERROR(INDEX([2]FundOfFundsUniverse!$B$2:$EU$80,MATCH(FoFanalysis7[[#This Row],[ID]],[2]FundOfFundsUniverse!$A$2:$A$80,0),MATCH(FoFanalysis7[[#Headers],[Vehicle Structure]],[2]FundOfFundsUniverse!$B$1:$EU$1,0)),"")</f>
        <v>Open end</v>
      </c>
      <c r="F7" s="6">
        <f>IFERROR(INDEX([2]FundOfFundsUniverse!$B$2:$EU$80,MATCH(FoFanalysis7[[#This Row],[ID]],[2]FundOfFundsUniverse!$A$2:$A$80,0),MATCH(FoFanalysis7[[#Headers],[Year of first closing]],[2]FundOfFundsUniverse!$B$1:$EU$1,0)),"")</f>
        <v>2011</v>
      </c>
      <c r="G7" s="6" t="str">
        <f>IF(ISBLANK([2]FoFsmonkeyCompl!L8),"",[2]FoFsmonkeyCompl!L8)</f>
        <v>Yes</v>
      </c>
      <c r="H7" s="6" t="str">
        <f>IF(ISBLANK([2]FoFsmonkeyCompl!M8),"",[2]FoFsmonkeyCompl!M8)</f>
        <v/>
      </c>
      <c r="I7" s="6" t="str">
        <f>IF(ISBLANK([2]FoFsmonkeyCompl!N8),"",[2]FoFsmonkeyCompl!N8)</f>
        <v/>
      </c>
      <c r="J7" s="6" t="str">
        <f>IFERROR(INDEX([2]FundOfFundsUniverse!$B$2:$EU$80,MATCH(FoFanalysis7[[#This Row],[ID]],[2]FundOfFundsUniverse!$A$2:$A$80,0),MATCH(FoFanalysis7[[#Headers],[Currency of Reporting]],[2]FundOfFundsUniverse!$B$1:$EU$1,0)),"")</f>
        <v>CAD</v>
      </c>
      <c r="K7" s="11">
        <f>VLOOKUP(FoFanalysis7[[#This Row],[Currency of Reporting]],'[2]Xrate31.12.20'!$K$1:$M$25,3,0)</f>
        <v>0.63999565120000002</v>
      </c>
      <c r="L7" s="11">
        <f>IFERROR(IF(ISBLANK([2]FoFsmonkeyCompl!O8),"",[2]FoFsmonkeyCompl!O8*FoFanalysis7[[#This Row],[EUR]]),"")</f>
        <v>94.079360726399997</v>
      </c>
      <c r="M7" s="8">
        <f>IFERROR(IF(ISBLANK([2]FoFsmonkeyCompl!P8),"",[2]FoFsmonkeyCompl!P8*FoFanalysis7[[#This Row],[EUR]]),"")</f>
        <v>94.079360726399997</v>
      </c>
      <c r="N7" s="8" t="str">
        <f>IFERROR(IF(ISBLANK([2]FoFsmonkeyCompl!Q8),"",[2]FoFsmonkeyCompl!Q8*FoFanalysis7[[#This Row],[EUR]]),"")</f>
        <v/>
      </c>
      <c r="O7" s="8" t="str">
        <f>IFERROR(IF(ISBLANK([2]FoFsmonkeyCompl!R8),"",[2]FoFsmonkeyCompl!R8*FoFanalysis7[[#This Row],[EUR]]),"")</f>
        <v/>
      </c>
      <c r="P7" s="8" t="str">
        <f>IFERROR(IF(ISBLANK([2]FoFsmonkeyCompl!S8),"",[2]FoFsmonkeyCompl!S8*FoFanalysis7[[#This Row],[EUR]]),"")</f>
        <v/>
      </c>
      <c r="Q7" s="8" t="str">
        <f>IFERROR(IF(ISBLANK([2]FoFsmonkeyCompl!T8),"",[2]FoFsmonkeyCompl!T8*FoFanalysis7[[#This Row],[EUR]]),"")</f>
        <v/>
      </c>
      <c r="R7" s="8" t="str">
        <f>IFERROR(IF(ISBLANK([2]FoFsmonkeyCompl!U8),"",[2]FoFsmonkeyCompl!U8*FoFanalysis7[[#This Row],[EUR]]),"")</f>
        <v/>
      </c>
      <c r="S7" s="8" t="str">
        <f>IFERROR(IF(ISBLANK([2]FoFsmonkeyCompl!V8),"",[2]FoFsmonkeyCompl!V8*FoFanalysis7[[#This Row],[EUR]]),"")</f>
        <v/>
      </c>
      <c r="T7" s="8" t="str">
        <f>IFERROR(IF(ISBLANK([2]FoFsmonkeyCompl!W8),"",[2]FoFsmonkeyCompl!W8*FoFanalysis7[[#This Row],[EUR]]),"")</f>
        <v/>
      </c>
      <c r="U7" s="8" t="str">
        <f>IFERROR(IF(ISBLANK([2]FoFsmonkeyCompl!X8),"",[2]FoFsmonkeyCompl!X8*FoFanalysis7[[#This Row],[EUR]]),"")</f>
        <v/>
      </c>
      <c r="V7" s="8" t="str">
        <f>IFERROR(IF(ISBLANK([2]FoFsmonkeyCompl!Y8),"",[2]FoFsmonkeyCompl!Y8*FoFanalysis7[[#This Row],[EUR]]),"")</f>
        <v/>
      </c>
      <c r="W7" s="8">
        <f>IFERROR(IF(ISBLANK([2]FoFsmonkeyCompl!Z8),"",[2]FoFsmonkeyCompl!Z8*FoFanalysis7[[#This Row],[EUR]]),"")</f>
        <v>94.079360726399997</v>
      </c>
      <c r="X7" s="8" t="str">
        <f>IFERROR(IF(ISBLANK([2]FoFsmonkeyCompl!AA8),"",[2]FoFsmonkeyCompl!AA8*FoFanalysis7[[#This Row],[EUR]]),"")</f>
        <v/>
      </c>
      <c r="Y7" s="8" t="str">
        <f>IFERROR(IF(ISBLANK([2]FoFsmonkeyCompl!AB8),"",[2]FoFsmonkeyCompl!AB8*FoFanalysis7[[#This Row],[EUR]]),"")</f>
        <v/>
      </c>
      <c r="Z7" s="8" t="str">
        <f>IFERROR(IF(ISBLANK([2]FoFsmonkeyCompl!AC8),"",[2]FoFsmonkeyCompl!AC8),"")</f>
        <v/>
      </c>
      <c r="AA7" s="8" t="str">
        <f>IFERROR(IF(ISBLANK([2]FoFsmonkeyCompl!AD8),"",[2]FoFsmonkeyCompl!AD8),"")</f>
        <v/>
      </c>
      <c r="AB7" s="8">
        <f>IFERROR(IF(ISBLANK([2]FoFsmonkeyCompl!AE8),"",[2]FoFsmonkeyCompl!AE8),"")</f>
        <v>100</v>
      </c>
      <c r="AC7" s="8" t="str">
        <f>IFERROR(IF(ISBLANK([2]FoFsmonkeyCompl!AF8),"",[2]FoFsmonkeyCompl!AF8),"")</f>
        <v/>
      </c>
      <c r="AD7" s="8" t="str">
        <f>IFERROR(IF(ISBLANK([2]FoFsmonkeyCompl!AG8),"",[2]FoFsmonkeyCompl!AG8),"")</f>
        <v>Increase</v>
      </c>
      <c r="AE7" s="8" t="str">
        <f>IFERROR(IF(ISBLANK([2]FoFsmonkeyCompl!AH8),"",[2]FoFsmonkeyCompl!AH8),"")</f>
        <v>Yes</v>
      </c>
      <c r="AF7" s="35">
        <f>IFERROR(INDEX([2]FundOfFundsUniverse!$B$2:$EU$700,MATCH($C7,[2]FundOfFundsUniverse!$A$2:$A$700,0),MATCH($AF$1,[2]FundOfFundsUniverse!$B$1:$EU$1,0)),"")</f>
        <v>787000013.93752444</v>
      </c>
    </row>
    <row r="8" spans="1:32" ht="15.75" thickBot="1" x14ac:dyDescent="0.3">
      <c r="A8" s="5" t="str">
        <f>IF(OR(ISTEXT([2]FoFsmonkeyCompl!J10),ISNUMBER([2]FoFsmonkeyCompl!J10)),[2]FoFsmonkeyCompl!J10,"")</f>
        <v>LaSalle</v>
      </c>
      <c r="B8" s="6" t="str">
        <f>IF(OR(ISTEXT([2]FoFsmonkeyCompl!K10),ISNUMBER([2]FoFsmonkeyCompl!K10)),[2]FoFsmonkeyCompl!K10,"")</f>
        <v>LaSalle Global Navigator Fund</v>
      </c>
      <c r="C8" s="13">
        <v>10000001</v>
      </c>
      <c r="D8" s="6" t="str">
        <f>IFERROR(INDEX([2]FundOfFundsUniverse!$B$2:$EU$80,MATCH(FoFanalysis7[[#This Row],[ID]],[2]FundOfFundsUniverse!$A$2:$A$80,0),MATCH(FoFanalysis7[[#Headers],[Manager Defined Style]],[2]FundOfFundsUniverse!$B$1:$EU$1,0)),"")</f>
        <v>Core</v>
      </c>
      <c r="E8" s="6" t="str">
        <f>IFERROR(INDEX([2]FundOfFundsUniverse!$B$2:$EU$80,MATCH(FoFanalysis7[[#This Row],[ID]],[2]FundOfFundsUniverse!$A$2:$A$80,0),MATCH(FoFanalysis7[[#Headers],[Vehicle Structure]],[2]FundOfFundsUniverse!$B$1:$EU$1,0)),"")</f>
        <v>Open end</v>
      </c>
      <c r="F8" s="6">
        <f>IFERROR(INDEX([2]FundOfFundsUniverse!$B$2:$EU$80,MATCH(FoFanalysis7[[#This Row],[ID]],[2]FundOfFundsUniverse!$A$2:$A$80,0),MATCH(FoFanalysis7[[#Headers],[Year of first closing]],[2]FundOfFundsUniverse!$B$1:$EU$1,0)),"")</f>
        <v>2020</v>
      </c>
      <c r="G8" s="6" t="str">
        <f>IF(ISBLANK([2]FoFsmonkeyCompl!L10),"",[2]FoFsmonkeyCompl!L10)</f>
        <v>Yes</v>
      </c>
      <c r="H8" s="6" t="str">
        <f>IF(ISBLANK([2]FoFsmonkeyCompl!M10),"",[2]FoFsmonkeyCompl!M10)</f>
        <v/>
      </c>
      <c r="I8" s="6" t="str">
        <f>IF(ISBLANK([2]FoFsmonkeyCompl!N10),"",[2]FoFsmonkeyCompl!N10)</f>
        <v/>
      </c>
      <c r="J8" s="6" t="str">
        <f>IFERROR(INDEX([2]FundOfFundsUniverse!$B$2:$EU$80,MATCH(FoFanalysis7[[#This Row],[ID]],[2]FundOfFundsUniverse!$A$2:$A$80,0),MATCH(FoFanalysis7[[#Headers],[Currency of Reporting]],[2]FundOfFundsUniverse!$B$1:$EU$1,0)),"")</f>
        <v>GBP</v>
      </c>
      <c r="K8" s="11">
        <f>VLOOKUP(FoFanalysis7[[#This Row],[Currency of Reporting]],'[2]Xrate31.12.20'!$K$1:$M$25,3,0)</f>
        <v>1.1130927885999999</v>
      </c>
      <c r="L8" s="11">
        <f>IFERROR(IF(ISBLANK([2]FoFsmonkeyCompl!O10),"",[2]FoFsmonkeyCompl!O10*FoFanalysis7[[#This Row],[EUR]]),"")</f>
        <v>356.18969235199995</v>
      </c>
      <c r="M8" s="8">
        <f>IFERROR(IF(ISBLANK([2]FoFsmonkeyCompl!P10),"",[2]FoFsmonkeyCompl!P10*FoFanalysis7[[#This Row],[EUR]]),"")</f>
        <v>328.36237263699996</v>
      </c>
      <c r="N8" s="8" t="str">
        <f>IFERROR(IF(ISBLANK([2]FoFsmonkeyCompl!Q10),"",[2]FoFsmonkeyCompl!Q10*FoFanalysis7[[#This Row],[EUR]]),"")</f>
        <v/>
      </c>
      <c r="O8" s="8" t="str">
        <f>IFERROR(IF(ISBLANK([2]FoFsmonkeyCompl!R10),"",[2]FoFsmonkeyCompl!R10*FoFanalysis7[[#This Row],[EUR]]),"")</f>
        <v/>
      </c>
      <c r="P8" s="8" t="str">
        <f>IFERROR(IF(ISBLANK([2]FoFsmonkeyCompl!S10),"",[2]FoFsmonkeyCompl!S10*FoFanalysis7[[#This Row],[EUR]]),"")</f>
        <v/>
      </c>
      <c r="Q8" s="8" t="str">
        <f>IFERROR(IF(ISBLANK([2]FoFsmonkeyCompl!T10),"",[2]FoFsmonkeyCompl!T10*FoFanalysis7[[#This Row],[EUR]]),"")</f>
        <v/>
      </c>
      <c r="R8" s="8" t="str">
        <f>IFERROR(IF(ISBLANK([2]FoFsmonkeyCompl!U10),"",[2]FoFsmonkeyCompl!U10*FoFanalysis7[[#This Row],[EUR]]),"")</f>
        <v/>
      </c>
      <c r="S8" s="8" t="str">
        <f>IFERROR(IF(ISBLANK([2]FoFsmonkeyCompl!V10),"",[2]FoFsmonkeyCompl!V10*FoFanalysis7[[#This Row],[EUR]]),"")</f>
        <v/>
      </c>
      <c r="T8" s="8">
        <f>IFERROR(IF(ISBLANK([2]FoFsmonkeyCompl!W10),"",[2]FoFsmonkeyCompl!W10*FoFanalysis7[[#This Row],[EUR]]),"")</f>
        <v>27.827319714999998</v>
      </c>
      <c r="U8" s="8">
        <f>IFERROR(IF(ISBLANK([2]FoFsmonkeyCompl!X10),"",[2]FoFsmonkeyCompl!X10*FoFanalysis7[[#This Row],[EUR]]),"")</f>
        <v>328.36237263699996</v>
      </c>
      <c r="V8" s="8" t="str">
        <f>IFERROR(IF(ISBLANK([2]FoFsmonkeyCompl!Y10),"",[2]FoFsmonkeyCompl!Y10*FoFanalysis7[[#This Row],[EUR]]),"")</f>
        <v/>
      </c>
      <c r="W8" s="8">
        <f>IFERROR(IF(ISBLANK([2]FoFsmonkeyCompl!Z10),"",[2]FoFsmonkeyCompl!Z10*FoFanalysis7[[#This Row],[EUR]]),"")</f>
        <v>27.827319714999998</v>
      </c>
      <c r="X8" s="8" t="str">
        <f>IFERROR(IF(ISBLANK([2]FoFsmonkeyCompl!AA10),"",[2]FoFsmonkeyCompl!AA10*FoFanalysis7[[#This Row],[EUR]]),"")</f>
        <v/>
      </c>
      <c r="Y8" s="8" t="str">
        <f>IFERROR(IF(ISBLANK([2]FoFsmonkeyCompl!AB10),"",[2]FoFsmonkeyCompl!AB10*FoFanalysis7[[#This Row],[EUR]]),"")</f>
        <v/>
      </c>
      <c r="Z8" s="8" t="str">
        <f>IFERROR(IF(ISBLANK([2]FoFsmonkeyCompl!AC10),"",[2]FoFsmonkeyCompl!AC10),"")</f>
        <v/>
      </c>
      <c r="AA8" s="8" t="str">
        <f>IFERROR(IF(ISBLANK([2]FoFsmonkeyCompl!AD10),"",[2]FoFsmonkeyCompl!AD10),"")</f>
        <v/>
      </c>
      <c r="AB8" s="8">
        <f>IFERROR(IF(ISBLANK([2]FoFsmonkeyCompl!AE10),"",[2]FoFsmonkeyCompl!AE10),"")</f>
        <v>100</v>
      </c>
      <c r="AC8" s="8" t="str">
        <f>IFERROR(IF(ISBLANK([2]FoFsmonkeyCompl!AF10),"",[2]FoFsmonkeyCompl!AF10),"")</f>
        <v/>
      </c>
      <c r="AD8" s="8" t="str">
        <f>IFERROR(IF(ISBLANK([2]FoFsmonkeyCompl!AG10),"",[2]FoFsmonkeyCompl!AG10),"")</f>
        <v>Increase</v>
      </c>
      <c r="AE8" s="8" t="str">
        <f>IFERROR(IF(ISBLANK([2]FoFsmonkeyCompl!AH10),"",[2]FoFsmonkeyCompl!AH10),"")</f>
        <v>Yes</v>
      </c>
      <c r="AF8" s="35">
        <f>IFERROR(INDEX([2]FundOfFundsUniverse!$B$2:$EU$700,MATCH($C8,[2]FundOfFundsUniverse!$A$2:$A$700,0),MATCH($AF$1,[2]FundOfFundsUniverse!$B$1:$EU$1,0)),"")</f>
        <v>0</v>
      </c>
    </row>
    <row r="9" spans="1:32" ht="14.25" thickTop="1" thickBot="1" x14ac:dyDescent="0.25">
      <c r="A9" s="9" t="str">
        <f>IF(OR(ISTEXT([2]FoFsmonkeyCompl!J11),ISNUMBER([2]FoFsmonkeyCompl!J11)),[2]FoFsmonkeyCompl!J11,"")</f>
        <v>Swiss Finance &amp; Property</v>
      </c>
      <c r="B9" s="6" t="str">
        <f>IF(OR(ISTEXT([2]FoFsmonkeyCompl!K11),ISNUMBER([2]FoFsmonkeyCompl!K11)),[2]FoFsmonkeyCompl!K11,"")</f>
        <v>SFP AST Global Core Property</v>
      </c>
      <c r="C9">
        <v>19261</v>
      </c>
      <c r="D9" s="6" t="str">
        <f>IFERROR(INDEX([2]FundOfFundsUniverse!$B$2:$EU$80,MATCH(FoFanalysis7[[#This Row],[ID]],[2]FundOfFundsUniverse!$A$2:$A$80,0),MATCH(FoFanalysis7[[#Headers],[Manager Defined Style]],[2]FundOfFundsUniverse!$B$1:$EU$1,0)),"")</f>
        <v>Core</v>
      </c>
      <c r="E9" s="6" t="str">
        <f>IFERROR(INDEX([2]FundOfFundsUniverse!$B$2:$EU$80,MATCH(FoFanalysis7[[#This Row],[ID]],[2]FundOfFundsUniverse!$A$2:$A$80,0),MATCH(FoFanalysis7[[#Headers],[Vehicle Structure]],[2]FundOfFundsUniverse!$B$1:$EU$1,0)),"")</f>
        <v>Open end</v>
      </c>
      <c r="F9" s="6">
        <f>IFERROR(INDEX([2]FundOfFundsUniverse!$B$2:$EU$80,MATCH(FoFanalysis7[[#This Row],[ID]],[2]FundOfFundsUniverse!$A$2:$A$80,0),MATCH(FoFanalysis7[[#Headers],[Year of first closing]],[2]FundOfFundsUniverse!$B$1:$EU$1,0)),"")</f>
        <v>2017</v>
      </c>
      <c r="G9" s="6" t="str">
        <f>IF(ISBLANK([2]FoFsmonkeyCompl!L11),"",[2]FoFsmonkeyCompl!L11)</f>
        <v>Yes</v>
      </c>
      <c r="H9" s="6" t="str">
        <f>IF(ISBLANK([2]FoFsmonkeyCompl!M11),"",[2]FoFsmonkeyCompl!M11)</f>
        <v/>
      </c>
      <c r="I9" s="6" t="str">
        <f>IF(ISBLANK([2]FoFsmonkeyCompl!N11),"",[2]FoFsmonkeyCompl!N11)</f>
        <v/>
      </c>
      <c r="J9" s="6" t="str">
        <f>IFERROR(INDEX([2]FundOfFundsUniverse!$B$2:$EU$80,MATCH(FoFanalysis7[[#This Row],[ID]],[2]FundOfFundsUniverse!$A$2:$A$80,0),MATCH(FoFanalysis7[[#Headers],[Currency of Reporting]],[2]FundOfFundsUniverse!$B$1:$EU$1,0)),"")</f>
        <v>CHF</v>
      </c>
      <c r="K9" s="11">
        <f>VLOOKUP(FoFanalysis7[[#This Row],[Currency of Reporting]],'[2]Xrate31.12.20'!$K$1:$M$25,3,0)</f>
        <v>0.92402414590000004</v>
      </c>
      <c r="L9" s="11">
        <f>IFERROR(IF(ISBLANK([2]FoFsmonkeyCompl!O11),"",[2]FoFsmonkeyCompl!O11*FoFanalysis7[[#This Row],[EUR]]),"")</f>
        <v>18.480482918</v>
      </c>
      <c r="M9" s="8">
        <f>IFERROR(IF(ISBLANK([2]FoFsmonkeyCompl!P11),"",[2]FoFsmonkeyCompl!P11*FoFanalysis7[[#This Row],[EUR]]),"")</f>
        <v>18.480482918</v>
      </c>
      <c r="N9" s="8" t="str">
        <f>IFERROR(IF(ISBLANK([2]FoFsmonkeyCompl!Q11),"",[2]FoFsmonkeyCompl!Q11*FoFanalysis7[[#This Row],[EUR]]),"")</f>
        <v/>
      </c>
      <c r="O9" s="8" t="str">
        <f>IFERROR(IF(ISBLANK([2]FoFsmonkeyCompl!R11),"",[2]FoFsmonkeyCompl!R11*FoFanalysis7[[#This Row],[EUR]]),"")</f>
        <v/>
      </c>
      <c r="P9" s="8" t="str">
        <f>IFERROR(IF(ISBLANK([2]FoFsmonkeyCompl!S11),"",[2]FoFsmonkeyCompl!S11*FoFanalysis7[[#This Row],[EUR]]),"")</f>
        <v/>
      </c>
      <c r="Q9" s="8" t="str">
        <f>IFERROR(IF(ISBLANK([2]FoFsmonkeyCompl!T11),"",[2]FoFsmonkeyCompl!T11*FoFanalysis7[[#This Row],[EUR]]),"")</f>
        <v/>
      </c>
      <c r="R9" s="8" t="str">
        <f>IFERROR(IF(ISBLANK([2]FoFsmonkeyCompl!U11),"",[2]FoFsmonkeyCompl!U11*FoFanalysis7[[#This Row],[EUR]]),"")</f>
        <v/>
      </c>
      <c r="S9" s="8" t="str">
        <f>IFERROR(IF(ISBLANK([2]FoFsmonkeyCompl!V11),"",[2]FoFsmonkeyCompl!V11*FoFanalysis7[[#This Row],[EUR]]),"")</f>
        <v/>
      </c>
      <c r="T9" s="8" t="str">
        <f>IFERROR(IF(ISBLANK([2]FoFsmonkeyCompl!W11),"",[2]FoFsmonkeyCompl!W11*FoFanalysis7[[#This Row],[EUR]]),"")</f>
        <v/>
      </c>
      <c r="U9" s="8">
        <f>IFERROR(IF(ISBLANK([2]FoFsmonkeyCompl!X11),"",[2]FoFsmonkeyCompl!X11*FoFanalysis7[[#This Row],[EUR]]),"")</f>
        <v>18.480482918</v>
      </c>
      <c r="V9" s="8" t="str">
        <f>IFERROR(IF(ISBLANK([2]FoFsmonkeyCompl!Y11),"",[2]FoFsmonkeyCompl!Y11*FoFanalysis7[[#This Row],[EUR]]),"")</f>
        <v/>
      </c>
      <c r="W9" s="8" t="str">
        <f>IFERROR(IF(ISBLANK([2]FoFsmonkeyCompl!Z11),"",[2]FoFsmonkeyCompl!Z11*FoFanalysis7[[#This Row],[EUR]]),"")</f>
        <v/>
      </c>
      <c r="X9" s="8" t="str">
        <f>IFERROR(IF(ISBLANK([2]FoFsmonkeyCompl!AA11),"",[2]FoFsmonkeyCompl!AA11*FoFanalysis7[[#This Row],[EUR]]),"")</f>
        <v/>
      </c>
      <c r="Y9" s="8" t="str">
        <f>IFERROR(IF(ISBLANK([2]FoFsmonkeyCompl!AB11),"",[2]FoFsmonkeyCompl!AB11*FoFanalysis7[[#This Row],[EUR]]),"")</f>
        <v/>
      </c>
      <c r="Z9" s="8" t="str">
        <f>IFERROR(IF(ISBLANK([2]FoFsmonkeyCompl!AC11),"",[2]FoFsmonkeyCompl!AC11),"")</f>
        <v/>
      </c>
      <c r="AA9" s="8" t="str">
        <f>IFERROR(IF(ISBLANK([2]FoFsmonkeyCompl!AD11),"",[2]FoFsmonkeyCompl!AD11),"")</f>
        <v/>
      </c>
      <c r="AB9" s="8">
        <f>IFERROR(IF(ISBLANK([2]FoFsmonkeyCompl!AE11),"",[2]FoFsmonkeyCompl!AE11),"")</f>
        <v>100</v>
      </c>
      <c r="AC9" s="8" t="str">
        <f>IFERROR(IF(ISBLANK([2]FoFsmonkeyCompl!AF11),"",[2]FoFsmonkeyCompl!AF11),"")</f>
        <v/>
      </c>
      <c r="AD9" s="8" t="str">
        <f>IFERROR(IF(ISBLANK([2]FoFsmonkeyCompl!AG11),"",[2]FoFsmonkeyCompl!AG11),"")</f>
        <v>Increase</v>
      </c>
      <c r="AE9" s="8" t="str">
        <f>IFERROR(IF(ISBLANK([2]FoFsmonkeyCompl!AH11),"",[2]FoFsmonkeyCompl!AH11),"")</f>
        <v>Yes</v>
      </c>
      <c r="AF9" s="35">
        <f>IFERROR(INDEX([2]FundOfFundsUniverse!$B$2:$EU$700,MATCH($C9,[2]FundOfFundsUniverse!$A$2:$A$700,0),MATCH($AF$1,[2]FundOfFundsUniverse!$B$1:$EU$1,0)),"")</f>
        <v>153223060.52160001</v>
      </c>
    </row>
    <row r="10" spans="1:32" ht="16.5" thickTop="1" thickBot="1" x14ac:dyDescent="0.3">
      <c r="A10" s="5" t="str">
        <f>IF(OR(ISTEXT([2]FoFsmonkeyCompl!J12),ISNUMBER([2]FoFsmonkeyCompl!J12)),[2]FoFsmonkeyCompl!J12,"")</f>
        <v>PATRIZIA Global Partners</v>
      </c>
      <c r="B10" s="6" t="str">
        <f>IF(OR(ISTEXT([2]FoFsmonkeyCompl!K12),ISNUMBER([2]FoFsmonkeyCompl!K12)),[2]FoFsmonkeyCompl!K12,"")</f>
        <v>PMM Global V</v>
      </c>
      <c r="C10" s="14">
        <v>65040</v>
      </c>
      <c r="D10" s="6" t="str">
        <f>IFERROR(INDEX([2]FundOfFundsUniverse!$B$2:$EU$80,MATCH(FoFanalysis7[[#This Row],[ID]],[2]FundOfFundsUniverse!$A$2:$A$80,0),MATCH(FoFanalysis7[[#Headers],[Manager Defined Style]],[2]FundOfFundsUniverse!$B$1:$EU$1,0)),"")</f>
        <v>Opportunity</v>
      </c>
      <c r="E10" s="6" t="str">
        <f>IFERROR(INDEX([2]FundOfFundsUniverse!$B$2:$EU$80,MATCH(FoFanalysis7[[#This Row],[ID]],[2]FundOfFundsUniverse!$A$2:$A$80,0),MATCH(FoFanalysis7[[#Headers],[Vehicle Structure]],[2]FundOfFundsUniverse!$B$1:$EU$1,0)),"")</f>
        <v>Closed end</v>
      </c>
      <c r="F10" s="6">
        <f>IFERROR(INDEX([2]FundOfFundsUniverse!$B$2:$EU$80,MATCH(FoFanalysis7[[#This Row],[ID]],[2]FundOfFundsUniverse!$A$2:$A$80,0),MATCH(FoFanalysis7[[#Headers],[Year of first closing]],[2]FundOfFundsUniverse!$B$1:$EU$1,0)),"")</f>
        <v>2019</v>
      </c>
      <c r="G10" s="6" t="str">
        <f>IF(ISBLANK([2]FoFsmonkeyCompl!L12),"",[2]FoFsmonkeyCompl!L12)</f>
        <v>Yes</v>
      </c>
      <c r="H10" s="6" t="str">
        <f>IF(ISBLANK([2]FoFsmonkeyCompl!M12),"",[2]FoFsmonkeyCompl!M12)</f>
        <v/>
      </c>
      <c r="I10" s="6" t="str">
        <f>IF(ISBLANK([2]FoFsmonkeyCompl!N12),"",[2]FoFsmonkeyCompl!N12)</f>
        <v/>
      </c>
      <c r="J10" s="6" t="str">
        <f>IFERROR(INDEX([2]FundOfFundsUniverse!$B$2:$EU$80,MATCH(FoFanalysis7[[#This Row],[ID]],[2]FundOfFundsUniverse!$A$2:$A$80,0),MATCH(FoFanalysis7[[#Headers],[Currency of Reporting]],[2]FundOfFundsUniverse!$B$1:$EU$1,0)),"")</f>
        <v>EUR</v>
      </c>
      <c r="K10" s="11">
        <f>VLOOKUP(FoFanalysis7[[#This Row],[Currency of Reporting]],'[2]Xrate31.12.20'!$K$1:$M$25,3,0)</f>
        <v>1</v>
      </c>
      <c r="L10" s="11">
        <f>IFERROR(IF(ISBLANK([2]FoFsmonkeyCompl!O12),"",[2]FoFsmonkeyCompl!O12*FoFanalysis7[[#This Row],[EUR]]),"")</f>
        <v>10</v>
      </c>
      <c r="M10" s="8" t="str">
        <f>IFERROR(IF(ISBLANK([2]FoFsmonkeyCompl!P12),"",[2]FoFsmonkeyCompl!P12*FoFanalysis7[[#This Row],[EUR]]),"")</f>
        <v/>
      </c>
      <c r="N10" s="8" t="str">
        <f>IFERROR(IF(ISBLANK([2]FoFsmonkeyCompl!Q12),"",[2]FoFsmonkeyCompl!Q12*FoFanalysis7[[#This Row],[EUR]]),"")</f>
        <v/>
      </c>
      <c r="O10" s="8" t="str">
        <f>IFERROR(IF(ISBLANK([2]FoFsmonkeyCompl!R12),"",[2]FoFsmonkeyCompl!R12*FoFanalysis7[[#This Row],[EUR]]),"")</f>
        <v/>
      </c>
      <c r="P10" s="8" t="str">
        <f>IFERROR(IF(ISBLANK([2]FoFsmonkeyCompl!S12),"",[2]FoFsmonkeyCompl!S12*FoFanalysis7[[#This Row],[EUR]]),"")</f>
        <v/>
      </c>
      <c r="Q10" s="8">
        <f>IFERROR(IF(ISBLANK([2]FoFsmonkeyCompl!T12),"",[2]FoFsmonkeyCompl!T12*FoFanalysis7[[#This Row],[EUR]]),"")</f>
        <v>10</v>
      </c>
      <c r="R10" s="8" t="str">
        <f>IFERROR(IF(ISBLANK([2]FoFsmonkeyCompl!U12),"",[2]FoFsmonkeyCompl!U12*FoFanalysis7[[#This Row],[EUR]]),"")</f>
        <v/>
      </c>
      <c r="S10" s="8" t="str">
        <f>IFERROR(IF(ISBLANK([2]FoFsmonkeyCompl!V12),"",[2]FoFsmonkeyCompl!V12*FoFanalysis7[[#This Row],[EUR]]),"")</f>
        <v/>
      </c>
      <c r="T10" s="8" t="str">
        <f>IFERROR(IF(ISBLANK([2]FoFsmonkeyCompl!W12),"",[2]FoFsmonkeyCompl!W12*FoFanalysis7[[#This Row],[EUR]]),"")</f>
        <v/>
      </c>
      <c r="U10" s="8">
        <f>IFERROR(IF(ISBLANK([2]FoFsmonkeyCompl!X12),"",[2]FoFsmonkeyCompl!X12*FoFanalysis7[[#This Row],[EUR]]),"")</f>
        <v>10</v>
      </c>
      <c r="V10" s="8" t="str">
        <f>IFERROR(IF(ISBLANK([2]FoFsmonkeyCompl!Y12),"",[2]FoFsmonkeyCompl!Y12*FoFanalysis7[[#This Row],[EUR]]),"")</f>
        <v/>
      </c>
      <c r="W10" s="8" t="str">
        <f>IFERROR(IF(ISBLANK([2]FoFsmonkeyCompl!Z12),"",[2]FoFsmonkeyCompl!Z12*FoFanalysis7[[#This Row],[EUR]]),"")</f>
        <v/>
      </c>
      <c r="X10" s="8" t="str">
        <f>IFERROR(IF(ISBLANK([2]FoFsmonkeyCompl!AA12),"",[2]FoFsmonkeyCompl!AA12*FoFanalysis7[[#This Row],[EUR]]),"")</f>
        <v/>
      </c>
      <c r="Y10" s="8" t="str">
        <f>IFERROR(IF(ISBLANK([2]FoFsmonkeyCompl!AB12),"",[2]FoFsmonkeyCompl!AB12*FoFanalysis7[[#This Row],[EUR]]),"")</f>
        <v/>
      </c>
      <c r="Z10" s="8" t="str">
        <f>IFERROR(IF(ISBLANK([2]FoFsmonkeyCompl!AC12),"",[2]FoFsmonkeyCompl!AC12),"")</f>
        <v/>
      </c>
      <c r="AA10" s="8">
        <f>IFERROR(IF(ISBLANK([2]FoFsmonkeyCompl!AD12),"",[2]FoFsmonkeyCompl!AD12),"")</f>
        <v>100</v>
      </c>
      <c r="AB10" s="8" t="str">
        <f>IFERROR(IF(ISBLANK([2]FoFsmonkeyCompl!AE12),"",[2]FoFsmonkeyCompl!AE12),"")</f>
        <v/>
      </c>
      <c r="AC10" s="8" t="str">
        <f>IFERROR(IF(ISBLANK([2]FoFsmonkeyCompl!AF12),"",[2]FoFsmonkeyCompl!AF12),"")</f>
        <v/>
      </c>
      <c r="AD10" s="8" t="str">
        <f>IFERROR(IF(ISBLANK([2]FoFsmonkeyCompl!AG12),"",[2]FoFsmonkeyCompl!AG12),"")</f>
        <v>Increase</v>
      </c>
      <c r="AE10" s="8" t="str">
        <f>IFERROR(IF(ISBLANK([2]FoFsmonkeyCompl!AH12),"",[2]FoFsmonkeyCompl!AH12),"")</f>
        <v>Yes</v>
      </c>
      <c r="AF10" s="35">
        <f>IFERROR(INDEX([2]FundOfFundsUniverse!$B$2:$EU$700,MATCH($C10,[2]FundOfFundsUniverse!$A$2:$A$700,0),MATCH($AF$1,[2]FundOfFundsUniverse!$B$1:$EU$1,0)),"")</f>
        <v>0</v>
      </c>
    </row>
    <row r="11" spans="1:32" ht="16.5" thickTop="1" thickBot="1" x14ac:dyDescent="0.3">
      <c r="A11" s="9" t="str">
        <f>IF(OR(ISTEXT([2]FoFsmonkeyCompl!J13),ISNUMBER([2]FoFsmonkeyCompl!J13)),[2]FoFsmonkeyCompl!J13,"")</f>
        <v>Altan Capital</v>
      </c>
      <c r="B11" s="6" t="str">
        <f>IF(OR(ISTEXT([2]FoFsmonkeyCompl!K13),ISNUMBER([2]FoFsmonkeyCompl!K13)),[2]FoFsmonkeyCompl!K13,"")</f>
        <v>Altan IV</v>
      </c>
      <c r="C11" s="15">
        <v>105127</v>
      </c>
      <c r="D11" s="6" t="str">
        <f>IFERROR(INDEX([2]FundOfFundsUniverse!$B$2:$EU$80,MATCH(FoFanalysis7[[#This Row],[ID]],[2]FundOfFundsUniverse!$A$2:$A$80,0),MATCH(FoFanalysis7[[#Headers],[Manager Defined Style]],[2]FundOfFundsUniverse!$B$1:$EU$1,0)),"")</f>
        <v>Opportunity</v>
      </c>
      <c r="E11" s="6" t="str">
        <f>IFERROR(INDEX([2]FundOfFundsUniverse!$B$2:$EU$80,MATCH(FoFanalysis7[[#This Row],[ID]],[2]FundOfFundsUniverse!$A$2:$A$80,0),MATCH(FoFanalysis7[[#Headers],[Vehicle Structure]],[2]FundOfFundsUniverse!$B$1:$EU$1,0)),"")</f>
        <v>Closed end</v>
      </c>
      <c r="F11" s="6">
        <f>IFERROR(INDEX([2]FundOfFundsUniverse!$B$2:$EU$80,MATCH(FoFanalysis7[[#This Row],[ID]],[2]FundOfFundsUniverse!$A$2:$A$80,0),MATCH(FoFanalysis7[[#Headers],[Year of first closing]],[2]FundOfFundsUniverse!$B$1:$EU$1,0)),"")</f>
        <v>2018</v>
      </c>
      <c r="G11" s="6" t="str">
        <f>IF(ISBLANK([2]FoFsmonkeyCompl!L13),"",[2]FoFsmonkeyCompl!L13)</f>
        <v>No</v>
      </c>
      <c r="H11" s="6" t="str">
        <f>IF(ISBLANK([2]FoFsmonkeyCompl!M13),"",[2]FoFsmonkeyCompl!M13)</f>
        <v>Other (please specify)</v>
      </c>
      <c r="I11" s="6" t="str">
        <f>IF(ISBLANK([2]FoFsmonkeyCompl!N13),"",[2]FoFsmonkeyCompl!N13)</f>
        <v>Fund already raised and in investment period</v>
      </c>
      <c r="J11" s="6" t="str">
        <f>IFERROR(INDEX([2]FundOfFundsUniverse!$B$2:$EU$80,MATCH(FoFanalysis7[[#This Row],[ID]],[2]FundOfFundsUniverse!$A$2:$A$80,0),MATCH(FoFanalysis7[[#Headers],[Currency of Reporting]],[2]FundOfFundsUniverse!$B$1:$EU$1,0)),"")</f>
        <v>EUR</v>
      </c>
      <c r="K11" s="11">
        <f>VLOOKUP(FoFanalysis7[[#This Row],[Currency of Reporting]],'[2]Xrate31.12.20'!$K$1:$M$25,3,0)</f>
        <v>1</v>
      </c>
      <c r="L11" s="11" t="str">
        <f>IFERROR(IF(ISBLANK([2]FoFsmonkeyCompl!O13),"",[2]FoFsmonkeyCompl!O13*FoFanalysis7[[#This Row],[EUR]]),"")</f>
        <v/>
      </c>
      <c r="M11" s="8" t="str">
        <f>IFERROR(IF(ISBLANK([2]FoFsmonkeyCompl!P13),"",[2]FoFsmonkeyCompl!P13*FoFanalysis7[[#This Row],[EUR]]),"")</f>
        <v/>
      </c>
      <c r="N11" s="8" t="str">
        <f>IFERROR(IF(ISBLANK([2]FoFsmonkeyCompl!Q13),"",[2]FoFsmonkeyCompl!Q13*FoFanalysis7[[#This Row],[EUR]]),"")</f>
        <v/>
      </c>
      <c r="O11" s="8" t="str">
        <f>IFERROR(IF(ISBLANK([2]FoFsmonkeyCompl!R13),"",[2]FoFsmonkeyCompl!R13*FoFanalysis7[[#This Row],[EUR]]),"")</f>
        <v/>
      </c>
      <c r="P11" s="8" t="str">
        <f>IFERROR(IF(ISBLANK([2]FoFsmonkeyCompl!S13),"",[2]FoFsmonkeyCompl!S13*FoFanalysis7[[#This Row],[EUR]]),"")</f>
        <v/>
      </c>
      <c r="Q11" s="8" t="str">
        <f>IFERROR(IF(ISBLANK([2]FoFsmonkeyCompl!T13),"",[2]FoFsmonkeyCompl!T13*FoFanalysis7[[#This Row],[EUR]]),"")</f>
        <v/>
      </c>
      <c r="R11" s="8" t="str">
        <f>IFERROR(IF(ISBLANK([2]FoFsmonkeyCompl!U13),"",[2]FoFsmonkeyCompl!U13*FoFanalysis7[[#This Row],[EUR]]),"")</f>
        <v/>
      </c>
      <c r="S11" s="8" t="str">
        <f>IFERROR(IF(ISBLANK([2]FoFsmonkeyCompl!V13),"",[2]FoFsmonkeyCompl!V13*FoFanalysis7[[#This Row],[EUR]]),"")</f>
        <v/>
      </c>
      <c r="T11" s="8" t="str">
        <f>IFERROR(IF(ISBLANK([2]FoFsmonkeyCompl!W13),"",[2]FoFsmonkeyCompl!W13*FoFanalysis7[[#This Row],[EUR]]),"")</f>
        <v/>
      </c>
      <c r="U11" s="8" t="str">
        <f>IFERROR(IF(ISBLANK([2]FoFsmonkeyCompl!X13),"",[2]FoFsmonkeyCompl!X13*FoFanalysis7[[#This Row],[EUR]]),"")</f>
        <v/>
      </c>
      <c r="V11" s="8" t="str">
        <f>IFERROR(IF(ISBLANK([2]FoFsmonkeyCompl!Y13),"",[2]FoFsmonkeyCompl!Y13*FoFanalysis7[[#This Row],[EUR]]),"")</f>
        <v/>
      </c>
      <c r="W11" s="8" t="str">
        <f>IFERROR(IF(ISBLANK([2]FoFsmonkeyCompl!Z13),"",[2]FoFsmonkeyCompl!Z13*FoFanalysis7[[#This Row],[EUR]]),"")</f>
        <v/>
      </c>
      <c r="X11" s="8" t="str">
        <f>IFERROR(IF(ISBLANK([2]FoFsmonkeyCompl!AA13),"",[2]FoFsmonkeyCompl!AA13*FoFanalysis7[[#This Row],[EUR]]),"")</f>
        <v/>
      </c>
      <c r="Y11" s="8" t="str">
        <f>IFERROR(IF(ISBLANK([2]FoFsmonkeyCompl!AB13),"",[2]FoFsmonkeyCompl!AB13*FoFanalysis7[[#This Row],[EUR]]),"")</f>
        <v/>
      </c>
      <c r="Z11" s="8" t="str">
        <f>IFERROR(IF(ISBLANK([2]FoFsmonkeyCompl!AC13),"",[2]FoFsmonkeyCompl!AC13),"")</f>
        <v/>
      </c>
      <c r="AA11" s="8" t="str">
        <f>IFERROR(IF(ISBLANK([2]FoFsmonkeyCompl!AD13),"",[2]FoFsmonkeyCompl!AD13),"")</f>
        <v/>
      </c>
      <c r="AB11" s="8" t="str">
        <f>IFERROR(IF(ISBLANK([2]FoFsmonkeyCompl!AE13),"",[2]FoFsmonkeyCompl!AE13),"")</f>
        <v/>
      </c>
      <c r="AC11" s="8" t="str">
        <f>IFERROR(IF(ISBLANK([2]FoFsmonkeyCompl!AF13),"",[2]FoFsmonkeyCompl!AF13),"")</f>
        <v/>
      </c>
      <c r="AD11" s="8" t="str">
        <f>IFERROR(IF(ISBLANK([2]FoFsmonkeyCompl!AG13),"",[2]FoFsmonkeyCompl!AG13),"")</f>
        <v>Decrease</v>
      </c>
      <c r="AE11" s="8" t="str">
        <f>IFERROR(IF(ISBLANK([2]FoFsmonkeyCompl!AH13),"",[2]FoFsmonkeyCompl!AH13),"")</f>
        <v>Yes</v>
      </c>
      <c r="AF11" s="35">
        <f>IFERROR(INDEX([2]FundOfFundsUniverse!$B$2:$EU$700,MATCH($C11,[2]FundOfFundsUniverse!$A$2:$A$700,0),MATCH($AF$1,[2]FundOfFundsUniverse!$B$1:$EU$1,0)),"")</f>
        <v>0</v>
      </c>
    </row>
    <row r="12" spans="1:32" ht="14.25" thickTop="1" thickBot="1" x14ac:dyDescent="0.25">
      <c r="A12" s="9" t="str">
        <f>IF(OR(ISTEXT([2]FoFsmonkeyCompl!J15),ISNUMBER([2]FoFsmonkeyCompl!J15)),[2]FoFsmonkeyCompl!J15,"")</f>
        <v>Deka Immobilien Investment GmbH</v>
      </c>
      <c r="B12" s="6" t="str">
        <f>IF(OR(ISTEXT([2]FoFsmonkeyCompl!K15),ISNUMBER([2]FoFsmonkeyCompl!K15)),[2]FoFsmonkeyCompl!K15,"")</f>
        <v>Deka-Immobilien StrategieInstitutionell</v>
      </c>
      <c r="C12">
        <v>17629</v>
      </c>
      <c r="D12" s="6" t="str">
        <f>IFERROR(INDEX([2]FundOfFundsUniverse!$B$2:$EU$80,MATCH(FoFanalysis7[[#This Row],[ID]],[2]FundOfFundsUniverse!$A$2:$A$80,0),MATCH(FoFanalysis7[[#Headers],[Manager Defined Style]],[2]FundOfFundsUniverse!$B$1:$EU$1,0)),"")</f>
        <v>Core</v>
      </c>
      <c r="E12" s="6" t="str">
        <f>IFERROR(INDEX([2]FundOfFundsUniverse!$B$2:$EU$80,MATCH(FoFanalysis7[[#This Row],[ID]],[2]FundOfFundsUniverse!$A$2:$A$80,0),MATCH(FoFanalysis7[[#Headers],[Vehicle Structure]],[2]FundOfFundsUniverse!$B$1:$EU$1,0)),"")</f>
        <v>Open end</v>
      </c>
      <c r="F12" s="6">
        <f>IFERROR(INDEX([2]FundOfFundsUniverse!$B$2:$EU$80,MATCH(FoFanalysis7[[#This Row],[ID]],[2]FundOfFundsUniverse!$A$2:$A$80,0),MATCH(FoFanalysis7[[#Headers],[Year of first closing]],[2]FundOfFundsUniverse!$B$1:$EU$1,0)),"")</f>
        <v>2012</v>
      </c>
      <c r="G12" s="6" t="str">
        <f>IF(ISBLANK([2]FoFsmonkeyCompl!L15),"",[2]FoFsmonkeyCompl!L15)</f>
        <v>Yes</v>
      </c>
      <c r="H12" s="6" t="str">
        <f>IF(ISBLANK([2]FoFsmonkeyCompl!M15),"",[2]FoFsmonkeyCompl!M15)</f>
        <v/>
      </c>
      <c r="I12" s="6" t="str">
        <f>IF(ISBLANK([2]FoFsmonkeyCompl!N15),"",[2]FoFsmonkeyCompl!N15)</f>
        <v/>
      </c>
      <c r="J12" s="6" t="str">
        <f>IFERROR(INDEX([2]FundOfFundsUniverse!$B$2:$EU$80,MATCH(FoFanalysis7[[#This Row],[ID]],[2]FundOfFundsUniverse!$A$2:$A$80,0),MATCH(FoFanalysis7[[#Headers],[Currency of Reporting]],[2]FundOfFundsUniverse!$B$1:$EU$1,0)),"")</f>
        <v>EUR</v>
      </c>
      <c r="K12" s="11">
        <f>VLOOKUP(FoFanalysis7[[#This Row],[Currency of Reporting]],'[2]Xrate31.12.20'!$K$1:$M$25,3,0)</f>
        <v>1</v>
      </c>
      <c r="L12" s="11">
        <f>IFERROR(IF(ISBLANK([2]FoFsmonkeyCompl!O15),"",[2]FoFsmonkeyCompl!O15*FoFanalysis7[[#This Row],[EUR]]),"")</f>
        <v>188</v>
      </c>
      <c r="M12" s="8" t="str">
        <f>IFERROR(IF(ISBLANK([2]FoFsmonkeyCompl!P15),"",[2]FoFsmonkeyCompl!P15*FoFanalysis7[[#This Row],[EUR]]),"")</f>
        <v/>
      </c>
      <c r="N12" s="8" t="str">
        <f>IFERROR(IF(ISBLANK([2]FoFsmonkeyCompl!Q15),"",[2]FoFsmonkeyCompl!Q15*FoFanalysis7[[#This Row],[EUR]]),"")</f>
        <v/>
      </c>
      <c r="O12" s="8" t="str">
        <f>IFERROR(IF(ISBLANK([2]FoFsmonkeyCompl!R15),"",[2]FoFsmonkeyCompl!R15*FoFanalysis7[[#This Row],[EUR]]),"")</f>
        <v/>
      </c>
      <c r="P12" s="8" t="str">
        <f>IFERROR(IF(ISBLANK([2]FoFsmonkeyCompl!S15),"",[2]FoFsmonkeyCompl!S15*FoFanalysis7[[#This Row],[EUR]]),"")</f>
        <v/>
      </c>
      <c r="Q12" s="8" t="str">
        <f>IFERROR(IF(ISBLANK([2]FoFsmonkeyCompl!T15),"",[2]FoFsmonkeyCompl!T15*FoFanalysis7[[#This Row],[EUR]]),"")</f>
        <v/>
      </c>
      <c r="R12" s="8" t="str">
        <f>IFERROR(IF(ISBLANK([2]FoFsmonkeyCompl!U15),"",[2]FoFsmonkeyCompl!U15*FoFanalysis7[[#This Row],[EUR]]),"")</f>
        <v/>
      </c>
      <c r="S12" s="8" t="str">
        <f>IFERROR(IF(ISBLANK([2]FoFsmonkeyCompl!V15),"",[2]FoFsmonkeyCompl!V15*FoFanalysis7[[#This Row],[EUR]]),"")</f>
        <v/>
      </c>
      <c r="T12" s="8">
        <f>IFERROR(IF(ISBLANK([2]FoFsmonkeyCompl!W15),"",[2]FoFsmonkeyCompl!W15*FoFanalysis7[[#This Row],[EUR]]),"")</f>
        <v>188</v>
      </c>
      <c r="U12" s="8">
        <f>IFERROR(IF(ISBLANK([2]FoFsmonkeyCompl!X15),"",[2]FoFsmonkeyCompl!X15*FoFanalysis7[[#This Row],[EUR]]),"")</f>
        <v>188</v>
      </c>
      <c r="V12" s="8" t="str">
        <f>IFERROR(IF(ISBLANK([2]FoFsmonkeyCompl!Y15),"",[2]FoFsmonkeyCompl!Y15*FoFanalysis7[[#This Row],[EUR]]),"")</f>
        <v/>
      </c>
      <c r="W12" s="8" t="str">
        <f>IFERROR(IF(ISBLANK([2]FoFsmonkeyCompl!Z15),"",[2]FoFsmonkeyCompl!Z15*FoFanalysis7[[#This Row],[EUR]]),"")</f>
        <v/>
      </c>
      <c r="X12" s="8" t="str">
        <f>IFERROR(IF(ISBLANK([2]FoFsmonkeyCompl!AA15),"",[2]FoFsmonkeyCompl!AA15*FoFanalysis7[[#This Row],[EUR]]),"")</f>
        <v/>
      </c>
      <c r="Y12" s="8" t="str">
        <f>IFERROR(IF(ISBLANK([2]FoFsmonkeyCompl!AB15),"",[2]FoFsmonkeyCompl!AB15*FoFanalysis7[[#This Row],[EUR]]),"")</f>
        <v/>
      </c>
      <c r="Z12" s="8" t="str">
        <f>IFERROR(IF(ISBLANK([2]FoFsmonkeyCompl!AC15),"",[2]FoFsmonkeyCompl!AC15),"")</f>
        <v/>
      </c>
      <c r="AA12" s="8">
        <f>IFERROR(IF(ISBLANK([2]FoFsmonkeyCompl!AD15),"",[2]FoFsmonkeyCompl!AD15),"")</f>
        <v>100</v>
      </c>
      <c r="AB12" s="8" t="str">
        <f>IFERROR(IF(ISBLANK([2]FoFsmonkeyCompl!AE15),"",[2]FoFsmonkeyCompl!AE15),"")</f>
        <v/>
      </c>
      <c r="AC12" s="8" t="str">
        <f>IFERROR(IF(ISBLANK([2]FoFsmonkeyCompl!AF15),"",[2]FoFsmonkeyCompl!AF15),"")</f>
        <v/>
      </c>
      <c r="AD12" s="8" t="str">
        <f>IFERROR(IF(ISBLANK([2]FoFsmonkeyCompl!AG15),"",[2]FoFsmonkeyCompl!AG15),"")</f>
        <v>No change</v>
      </c>
      <c r="AE12" s="8" t="str">
        <f>IFERROR(IF(ISBLANK([2]FoFsmonkeyCompl!AH15),"",[2]FoFsmonkeyCompl!AH15),"")</f>
        <v>No</v>
      </c>
      <c r="AF12" s="35">
        <f>IFERROR(INDEX([2]FundOfFundsUniverse!$B$2:$EU$700,MATCH($C12,[2]FundOfFundsUniverse!$A$2:$A$700,0),MATCH($AF$1,[2]FundOfFundsUniverse!$B$1:$EU$1,0)),"")</f>
        <v>1027619539</v>
      </c>
    </row>
    <row r="13" spans="1:32" ht="14.25" thickTop="1" thickBot="1" x14ac:dyDescent="0.25">
      <c r="A13" s="5" t="str">
        <f>IF(OR(ISTEXT([2]FoFsmonkeyCompl!J16),ISNUMBER([2]FoFsmonkeyCompl!J16)),[2]FoFsmonkeyCompl!J16,"")</f>
        <v/>
      </c>
      <c r="B13" s="6" t="str">
        <f>IF(OR(ISTEXT([2]FoFsmonkeyCompl!K16),ISNUMBER([2]FoFsmonkeyCompl!K16)),[2]FoFsmonkeyCompl!K16,"")</f>
        <v/>
      </c>
      <c r="C13" s="7"/>
      <c r="D13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13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13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13" s="6" t="str">
        <f>IF(ISBLANK([2]FoFsmonkeyCompl!L16),"",[2]FoFsmonkeyCompl!L16)</f>
        <v/>
      </c>
      <c r="H13" s="6" t="str">
        <f>IF(ISBLANK([2]FoFsmonkeyCompl!M16),"",[2]FoFsmonkeyCompl!M16)</f>
        <v/>
      </c>
      <c r="I13" s="6" t="str">
        <f>IF(ISBLANK([2]FoFsmonkeyCompl!N16),"",[2]FoFsmonkeyCompl!N16)</f>
        <v/>
      </c>
      <c r="J13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13" s="11" t="str">
        <f>IFERROR(VLOOKUP(FoFanalysis7[[#This Row],[Currency of Reporting]],'[2]Xrate31.12.20'!$F$5:$H$28,3,0),"")</f>
        <v/>
      </c>
      <c r="L13" s="11" t="str">
        <f>IFERROR(IF(ISBLANK([2]FoFsmonkeyCompl!O16),"",[2]FoFsmonkeyCompl!O16*FoFanalysis7[[#This Row],[EUR]]),"")</f>
        <v/>
      </c>
      <c r="M13" s="8" t="str">
        <f>IFERROR(IF(ISBLANK([2]FoFsmonkeyCompl!P16),"",[2]FoFsmonkeyCompl!P16*FoFanalysis7[[#This Row],[EUR]]),"")</f>
        <v/>
      </c>
      <c r="N13" s="8" t="str">
        <f>IFERROR(IF(ISBLANK([2]FoFsmonkeyCompl!Q16),"",[2]FoFsmonkeyCompl!Q16*FoFanalysis7[[#This Row],[EUR]]),"")</f>
        <v/>
      </c>
      <c r="O13" s="8" t="str">
        <f>IFERROR(IF(ISBLANK([2]FoFsmonkeyCompl!R16),"",[2]FoFsmonkeyCompl!R16*FoFanalysis7[[#This Row],[EUR]]),"")</f>
        <v/>
      </c>
      <c r="P13" s="8" t="str">
        <f>IFERROR(IF(ISBLANK([2]FoFsmonkeyCompl!S16),"",[2]FoFsmonkeyCompl!S16*FoFanalysis7[[#This Row],[EUR]]),"")</f>
        <v/>
      </c>
      <c r="Q13" s="8" t="str">
        <f>IFERROR(IF(ISBLANK([2]FoFsmonkeyCompl!T16),"",[2]FoFsmonkeyCompl!T16*FoFanalysis7[[#This Row],[EUR]]),"")</f>
        <v/>
      </c>
      <c r="R13" s="8" t="str">
        <f>IFERROR(IF(ISBLANK([2]FoFsmonkeyCompl!U16),"",[2]FoFsmonkeyCompl!U16*FoFanalysis7[[#This Row],[EUR]]),"")</f>
        <v/>
      </c>
      <c r="S13" s="8" t="str">
        <f>IFERROR(IF(ISBLANK([2]FoFsmonkeyCompl!V16),"",[2]FoFsmonkeyCompl!V16*FoFanalysis7[[#This Row],[EUR]]),"")</f>
        <v/>
      </c>
      <c r="T13" s="8" t="str">
        <f>IFERROR(IF(ISBLANK([2]FoFsmonkeyCompl!W16),"",[2]FoFsmonkeyCompl!W16*FoFanalysis7[[#This Row],[EUR]]),"")</f>
        <v/>
      </c>
      <c r="U13" s="8" t="str">
        <f>IFERROR(IF(ISBLANK([2]FoFsmonkeyCompl!X16),"",[2]FoFsmonkeyCompl!X16*FoFanalysis7[[#This Row],[EUR]]),"")</f>
        <v/>
      </c>
      <c r="V13" s="8" t="str">
        <f>IFERROR(IF(ISBLANK([2]FoFsmonkeyCompl!Y16),"",[2]FoFsmonkeyCompl!Y16*FoFanalysis7[[#This Row],[EUR]]),"")</f>
        <v/>
      </c>
      <c r="W13" s="8" t="str">
        <f>IFERROR(IF(ISBLANK([2]FoFsmonkeyCompl!Z16),"",[2]FoFsmonkeyCompl!Z16*FoFanalysis7[[#This Row],[EUR]]),"")</f>
        <v/>
      </c>
      <c r="X13" s="8" t="str">
        <f>IFERROR(IF(ISBLANK([2]FoFsmonkeyCompl!AA16),"",[2]FoFsmonkeyCompl!AA16*FoFanalysis7[[#This Row],[EUR]]),"")</f>
        <v/>
      </c>
      <c r="Y13" s="8" t="str">
        <f>IFERROR(IF(ISBLANK([2]FoFsmonkeyCompl!AB16),"",[2]FoFsmonkeyCompl!AB16*FoFanalysis7[[#This Row],[EUR]]),"")</f>
        <v/>
      </c>
      <c r="Z13" s="8" t="str">
        <f>IFERROR(IF(ISBLANK([2]FoFsmonkeyCompl!AC16),"",[2]FoFsmonkeyCompl!AC16),"")</f>
        <v/>
      </c>
      <c r="AA13" s="8" t="str">
        <f>IFERROR(IF(ISBLANK([2]FoFsmonkeyCompl!AD16),"",[2]FoFsmonkeyCompl!AD16),"")</f>
        <v/>
      </c>
      <c r="AB13" s="8" t="str">
        <f>IFERROR(IF(ISBLANK([2]FoFsmonkeyCompl!AE16),"",[2]FoFsmonkeyCompl!AE16),"")</f>
        <v/>
      </c>
      <c r="AC13" s="8" t="str">
        <f>IFERROR(IF(ISBLANK([2]FoFsmonkeyCompl!AF16),"",[2]FoFsmonkeyCompl!AF16),"")</f>
        <v/>
      </c>
      <c r="AD13" s="8" t="str">
        <f>IFERROR(IF(ISBLANK([2]FoFsmonkeyCompl!AG16),"",[2]FoFsmonkeyCompl!AG16),"")</f>
        <v/>
      </c>
      <c r="AE13" s="8" t="str">
        <f>IFERROR(IF(ISBLANK([2]FoFsmonkeyCompl!AH16),"",[2]FoFsmonkeyCompl!AH16),"")</f>
        <v/>
      </c>
      <c r="AF13" s="35" t="str">
        <f>IFERROR(INDEX([2]FundOfFundsUniverse!$B$2:$EU$700,MATCH($C13,[2]FundOfFundsUniverse!$A$2:$A$700,0),MATCH($AF$1,[2]FundOfFundsUniverse!$B$1:$EU$1,0)),"")</f>
        <v/>
      </c>
    </row>
    <row r="14" spans="1:32" ht="14.25" thickTop="1" thickBot="1" x14ac:dyDescent="0.25">
      <c r="A14" s="9" t="str">
        <f>IF(OR(ISTEXT([2]FoFsmonkeyCompl!J17),ISNUMBER([2]FoFsmonkeyCompl!J17)),[2]FoFsmonkeyCompl!J17,"")</f>
        <v/>
      </c>
      <c r="B14" s="6" t="str">
        <f>IF(OR(ISTEXT([2]FoFsmonkeyCompl!K17),ISNUMBER([2]FoFsmonkeyCompl!K17)),[2]FoFsmonkeyCompl!K17,"")</f>
        <v/>
      </c>
      <c r="C14" s="7"/>
      <c r="D14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14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14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14" s="6" t="str">
        <f>IF(ISBLANK([2]FoFsmonkeyCompl!L17),"",[2]FoFsmonkeyCompl!L17)</f>
        <v/>
      </c>
      <c r="H14" s="6" t="str">
        <f>IF(ISBLANK([2]FoFsmonkeyCompl!M17),"",[2]FoFsmonkeyCompl!M17)</f>
        <v/>
      </c>
      <c r="I14" s="6" t="str">
        <f>IF(ISBLANK([2]FoFsmonkeyCompl!N17),"",[2]FoFsmonkeyCompl!N17)</f>
        <v/>
      </c>
      <c r="J14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14" s="11" t="str">
        <f>IFERROR(VLOOKUP(FoFanalysis7[[#This Row],[Currency of Reporting]],'[2]Xrate31.12.20'!$F$5:$H$28,3,0),"")</f>
        <v/>
      </c>
      <c r="L14" s="11" t="str">
        <f>IFERROR(IF(ISBLANK([2]FoFsmonkeyCompl!O17),"",[2]FoFsmonkeyCompl!O17*FoFanalysis7[[#This Row],[EUR]]),"")</f>
        <v/>
      </c>
      <c r="M14" s="8" t="str">
        <f>IFERROR(IF(ISBLANK([2]FoFsmonkeyCompl!P17),"",[2]FoFsmonkeyCompl!P17*FoFanalysis7[[#This Row],[EUR]]),"")</f>
        <v/>
      </c>
      <c r="N14" s="8" t="str">
        <f>IFERROR(IF(ISBLANK([2]FoFsmonkeyCompl!Q17),"",[2]FoFsmonkeyCompl!Q17*FoFanalysis7[[#This Row],[EUR]]),"")</f>
        <v/>
      </c>
      <c r="O14" s="8" t="str">
        <f>IFERROR(IF(ISBLANK([2]FoFsmonkeyCompl!R17),"",[2]FoFsmonkeyCompl!R17*FoFanalysis7[[#This Row],[EUR]]),"")</f>
        <v/>
      </c>
      <c r="P14" s="8" t="str">
        <f>IFERROR(IF(ISBLANK([2]FoFsmonkeyCompl!S17),"",[2]FoFsmonkeyCompl!S17*FoFanalysis7[[#This Row],[EUR]]),"")</f>
        <v/>
      </c>
      <c r="Q14" s="8" t="str">
        <f>IFERROR(IF(ISBLANK([2]FoFsmonkeyCompl!T17),"",[2]FoFsmonkeyCompl!T17*FoFanalysis7[[#This Row],[EUR]]),"")</f>
        <v/>
      </c>
      <c r="R14" s="8" t="str">
        <f>IFERROR(IF(ISBLANK([2]FoFsmonkeyCompl!U17),"",[2]FoFsmonkeyCompl!U17*FoFanalysis7[[#This Row],[EUR]]),"")</f>
        <v/>
      </c>
      <c r="S14" s="8" t="str">
        <f>IFERROR(IF(ISBLANK([2]FoFsmonkeyCompl!V17),"",[2]FoFsmonkeyCompl!V17*FoFanalysis7[[#This Row],[EUR]]),"")</f>
        <v/>
      </c>
      <c r="T14" s="8" t="str">
        <f>IFERROR(IF(ISBLANK([2]FoFsmonkeyCompl!W17),"",[2]FoFsmonkeyCompl!W17*FoFanalysis7[[#This Row],[EUR]]),"")</f>
        <v/>
      </c>
      <c r="U14" s="8" t="str">
        <f>IFERROR(IF(ISBLANK([2]FoFsmonkeyCompl!X17),"",[2]FoFsmonkeyCompl!X17*FoFanalysis7[[#This Row],[EUR]]),"")</f>
        <v/>
      </c>
      <c r="V14" s="8" t="str">
        <f>IFERROR(IF(ISBLANK([2]FoFsmonkeyCompl!Y17),"",[2]FoFsmonkeyCompl!Y17*FoFanalysis7[[#This Row],[EUR]]),"")</f>
        <v/>
      </c>
      <c r="W14" s="8" t="str">
        <f>IFERROR(IF(ISBLANK([2]FoFsmonkeyCompl!Z17),"",[2]FoFsmonkeyCompl!Z17*FoFanalysis7[[#This Row],[EUR]]),"")</f>
        <v/>
      </c>
      <c r="X14" s="8" t="str">
        <f>IFERROR(IF(ISBLANK([2]FoFsmonkeyCompl!AA17),"",[2]FoFsmonkeyCompl!AA17*FoFanalysis7[[#This Row],[EUR]]),"")</f>
        <v/>
      </c>
      <c r="Y14" s="8" t="str">
        <f>IFERROR(IF(ISBLANK([2]FoFsmonkeyCompl!AB17),"",[2]FoFsmonkeyCompl!AB17*FoFanalysis7[[#This Row],[EUR]]),"")</f>
        <v/>
      </c>
      <c r="Z14" s="8" t="str">
        <f>IFERROR(IF(ISBLANK([2]FoFsmonkeyCompl!AC17),"",[2]FoFsmonkeyCompl!AC17),"")</f>
        <v/>
      </c>
      <c r="AA14" s="8" t="str">
        <f>IFERROR(IF(ISBLANK([2]FoFsmonkeyCompl!AD17),"",[2]FoFsmonkeyCompl!AD17),"")</f>
        <v/>
      </c>
      <c r="AB14" s="8" t="str">
        <f>IFERROR(IF(ISBLANK([2]FoFsmonkeyCompl!AE17),"",[2]FoFsmonkeyCompl!AE17),"")</f>
        <v/>
      </c>
      <c r="AC14" s="8" t="str">
        <f>IFERROR(IF(ISBLANK([2]FoFsmonkeyCompl!AF17),"",[2]FoFsmonkeyCompl!AF17),"")</f>
        <v/>
      </c>
      <c r="AD14" s="8" t="str">
        <f>IFERROR(IF(ISBLANK([2]FoFsmonkeyCompl!AG17),"",[2]FoFsmonkeyCompl!AG17),"")</f>
        <v/>
      </c>
      <c r="AE14" s="8" t="str">
        <f>IFERROR(IF(ISBLANK([2]FoFsmonkeyCompl!AH17),"",[2]FoFsmonkeyCompl!AH17),"")</f>
        <v/>
      </c>
      <c r="AF14" s="40" t="str">
        <f>IFERROR(INDEX([2]FundOfFundsUniverse!$B$2:$EU$700,MATCH($C14,[2]FundOfFundsUniverse!$A$2:$A$700,0),MATCH($AF$1,[2]FundOfFundsUniverse!$B$1:$EU$1,0)),"")</f>
        <v/>
      </c>
    </row>
    <row r="15" spans="1:32" ht="14.25" thickTop="1" thickBot="1" x14ac:dyDescent="0.25">
      <c r="A15" s="5" t="str">
        <f>IF(OR(ISTEXT([2]FoFsmonkeyCompl!J18),ISNUMBER([2]FoFsmonkeyCompl!J18)),[2]FoFsmonkeyCompl!J18,"")</f>
        <v/>
      </c>
      <c r="B15" s="6" t="str">
        <f>IF(OR(ISTEXT([2]FoFsmonkeyCompl!K18),ISNUMBER([2]FoFsmonkeyCompl!K18)),[2]FoFsmonkeyCompl!K18,"")</f>
        <v/>
      </c>
      <c r="C15" s="7"/>
      <c r="D15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15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15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15" s="6" t="str">
        <f>IF(ISBLANK([2]FoFsmonkeyCompl!L18),"",[2]FoFsmonkeyCompl!L18)</f>
        <v/>
      </c>
      <c r="H15" s="6" t="str">
        <f>IF(ISBLANK([2]FoFsmonkeyCompl!M18),"",[2]FoFsmonkeyCompl!M18)</f>
        <v/>
      </c>
      <c r="I15" s="6" t="str">
        <f>IF(ISBLANK([2]FoFsmonkeyCompl!N18),"",[2]FoFsmonkeyCompl!N18)</f>
        <v/>
      </c>
      <c r="J15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15" s="11" t="str">
        <f>IFERROR(VLOOKUP(FoFanalysis7[[#This Row],[Currency of Reporting]],'[2]Xrate31.12.20'!$F$5:$H$28,3,0),"")</f>
        <v/>
      </c>
      <c r="L15" s="11" t="str">
        <f>IFERROR(IF(ISBLANK([2]FoFsmonkeyCompl!O18),"",[2]FoFsmonkeyCompl!O18*FoFanalysis7[[#This Row],[EUR]]),"")</f>
        <v/>
      </c>
      <c r="M15" s="8" t="str">
        <f>IFERROR(IF(ISBLANK([2]FoFsmonkeyCompl!P18),"",[2]FoFsmonkeyCompl!P18*FoFanalysis7[[#This Row],[EUR]]),"")</f>
        <v/>
      </c>
      <c r="N15" s="8" t="str">
        <f>IFERROR(IF(ISBLANK([2]FoFsmonkeyCompl!Q18),"",[2]FoFsmonkeyCompl!Q18*FoFanalysis7[[#This Row],[EUR]]),"")</f>
        <v/>
      </c>
      <c r="O15" s="8" t="str">
        <f>IFERROR(IF(ISBLANK([2]FoFsmonkeyCompl!R18),"",[2]FoFsmonkeyCompl!R18*FoFanalysis7[[#This Row],[EUR]]),"")</f>
        <v/>
      </c>
      <c r="P15" s="8" t="str">
        <f>IFERROR(IF(ISBLANK([2]FoFsmonkeyCompl!S18),"",[2]FoFsmonkeyCompl!S18*FoFanalysis7[[#This Row],[EUR]]),"")</f>
        <v/>
      </c>
      <c r="Q15" s="8" t="str">
        <f>IFERROR(IF(ISBLANK([2]FoFsmonkeyCompl!T18),"",[2]FoFsmonkeyCompl!T18*FoFanalysis7[[#This Row],[EUR]]),"")</f>
        <v/>
      </c>
      <c r="R15" s="8" t="str">
        <f>IFERROR(IF(ISBLANK([2]FoFsmonkeyCompl!U18),"",[2]FoFsmonkeyCompl!U18*FoFanalysis7[[#This Row],[EUR]]),"")</f>
        <v/>
      </c>
      <c r="S15" s="8" t="str">
        <f>IFERROR(IF(ISBLANK([2]FoFsmonkeyCompl!V18),"",[2]FoFsmonkeyCompl!V18*FoFanalysis7[[#This Row],[EUR]]),"")</f>
        <v/>
      </c>
      <c r="T15" s="8" t="str">
        <f>IFERROR(IF(ISBLANK([2]FoFsmonkeyCompl!W18),"",[2]FoFsmonkeyCompl!W18*FoFanalysis7[[#This Row],[EUR]]),"")</f>
        <v/>
      </c>
      <c r="U15" s="8" t="str">
        <f>IFERROR(IF(ISBLANK([2]FoFsmonkeyCompl!X18),"",[2]FoFsmonkeyCompl!X18*FoFanalysis7[[#This Row],[EUR]]),"")</f>
        <v/>
      </c>
      <c r="V15" s="8" t="str">
        <f>IFERROR(IF(ISBLANK([2]FoFsmonkeyCompl!Y18),"",[2]FoFsmonkeyCompl!Y18*FoFanalysis7[[#This Row],[EUR]]),"")</f>
        <v/>
      </c>
      <c r="W15" s="8" t="str">
        <f>IFERROR(IF(ISBLANK([2]FoFsmonkeyCompl!Z18),"",[2]FoFsmonkeyCompl!Z18*FoFanalysis7[[#This Row],[EUR]]),"")</f>
        <v/>
      </c>
      <c r="X15" s="8" t="str">
        <f>IFERROR(IF(ISBLANK([2]FoFsmonkeyCompl!AA18),"",[2]FoFsmonkeyCompl!AA18*FoFanalysis7[[#This Row],[EUR]]),"")</f>
        <v/>
      </c>
      <c r="Y15" s="8" t="str">
        <f>IFERROR(IF(ISBLANK([2]FoFsmonkeyCompl!AB18),"",[2]FoFsmonkeyCompl!AB18*FoFanalysis7[[#This Row],[EUR]]),"")</f>
        <v/>
      </c>
      <c r="Z15" s="8" t="str">
        <f>IFERROR(IF(ISBLANK([2]FoFsmonkeyCompl!AC18),"",[2]FoFsmonkeyCompl!AC18),"")</f>
        <v/>
      </c>
      <c r="AA15" s="8" t="str">
        <f>IFERROR(IF(ISBLANK([2]FoFsmonkeyCompl!AD18),"",[2]FoFsmonkeyCompl!AD18),"")</f>
        <v/>
      </c>
      <c r="AB15" s="8" t="str">
        <f>IFERROR(IF(ISBLANK([2]FoFsmonkeyCompl!AE18),"",[2]FoFsmonkeyCompl!AE18),"")</f>
        <v/>
      </c>
      <c r="AC15" s="8" t="str">
        <f>IFERROR(IF(ISBLANK([2]FoFsmonkeyCompl!AF18),"",[2]FoFsmonkeyCompl!AF18),"")</f>
        <v/>
      </c>
      <c r="AD15" s="8" t="str">
        <f>IFERROR(IF(ISBLANK([2]FoFsmonkeyCompl!AG18),"",[2]FoFsmonkeyCompl!AG18),"")</f>
        <v/>
      </c>
      <c r="AE15" s="8" t="str">
        <f>IFERROR(IF(ISBLANK([2]FoFsmonkeyCompl!AH18),"",[2]FoFsmonkeyCompl!AH18),"")</f>
        <v/>
      </c>
      <c r="AF15" s="40" t="str">
        <f>IFERROR(INDEX([2]FundOfFundsUniverse!$B$2:$EU$700,MATCH($C15,[2]FundOfFundsUniverse!$A$2:$A$700,0),MATCH($AF$1,[2]FundOfFundsUniverse!$B$1:$EU$1,0)),"")</f>
        <v/>
      </c>
    </row>
    <row r="16" spans="1:32" ht="14.25" thickTop="1" thickBot="1" x14ac:dyDescent="0.25">
      <c r="A16" s="9" t="str">
        <f>IF(OR(ISTEXT([2]FoFsmonkeyCompl!J19),ISNUMBER([2]FoFsmonkeyCompl!J19)),[2]FoFsmonkeyCompl!J19,"")</f>
        <v/>
      </c>
      <c r="B16" s="6" t="str">
        <f>IF(OR(ISTEXT([2]FoFsmonkeyCompl!K19),ISNUMBER([2]FoFsmonkeyCompl!K19)),[2]FoFsmonkeyCompl!K19,"")</f>
        <v/>
      </c>
      <c r="C16" s="7"/>
      <c r="D16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16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16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16" s="6" t="str">
        <f>IF(ISBLANK([2]FoFsmonkeyCompl!L19),"",[2]FoFsmonkeyCompl!L19)</f>
        <v/>
      </c>
      <c r="H16" s="6" t="str">
        <f>IF(ISBLANK([2]FoFsmonkeyCompl!M19),"",[2]FoFsmonkeyCompl!M19)</f>
        <v/>
      </c>
      <c r="I16" s="6" t="str">
        <f>IF(ISBLANK([2]FoFsmonkeyCompl!N19),"",[2]FoFsmonkeyCompl!N19)</f>
        <v/>
      </c>
      <c r="J16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16" s="11" t="str">
        <f>IFERROR(VLOOKUP(FoFanalysis7[[#This Row],[Currency of Reporting]],'[2]Xrate31.12.20'!$F$5:$H$28,3,0),"")</f>
        <v/>
      </c>
      <c r="L16" s="11" t="str">
        <f>IFERROR(IF(ISBLANK([2]FoFsmonkeyCompl!O19),"",[2]FoFsmonkeyCompl!O19*FoFanalysis7[[#This Row],[EUR]]),"")</f>
        <v/>
      </c>
      <c r="M16" s="8" t="str">
        <f>IFERROR(IF(ISBLANK([2]FoFsmonkeyCompl!P19),"",[2]FoFsmonkeyCompl!P19*FoFanalysis7[[#This Row],[EUR]]),"")</f>
        <v/>
      </c>
      <c r="N16" s="8" t="str">
        <f>IFERROR(IF(ISBLANK([2]FoFsmonkeyCompl!Q19),"",[2]FoFsmonkeyCompl!Q19*FoFanalysis7[[#This Row],[EUR]]),"")</f>
        <v/>
      </c>
      <c r="O16" s="8" t="str">
        <f>IFERROR(IF(ISBLANK([2]FoFsmonkeyCompl!R19),"",[2]FoFsmonkeyCompl!R19*FoFanalysis7[[#This Row],[EUR]]),"")</f>
        <v/>
      </c>
      <c r="P16" s="8" t="str">
        <f>IFERROR(IF(ISBLANK([2]FoFsmonkeyCompl!S19),"",[2]FoFsmonkeyCompl!S19*FoFanalysis7[[#This Row],[EUR]]),"")</f>
        <v/>
      </c>
      <c r="Q16" s="8" t="str">
        <f>IFERROR(IF(ISBLANK([2]FoFsmonkeyCompl!T19),"",[2]FoFsmonkeyCompl!T19*FoFanalysis7[[#This Row],[EUR]]),"")</f>
        <v/>
      </c>
      <c r="R16" s="8" t="str">
        <f>IFERROR(IF(ISBLANK([2]FoFsmonkeyCompl!U19),"",[2]FoFsmonkeyCompl!U19*FoFanalysis7[[#This Row],[EUR]]),"")</f>
        <v/>
      </c>
      <c r="S16" s="8" t="str">
        <f>IFERROR(IF(ISBLANK([2]FoFsmonkeyCompl!V19),"",[2]FoFsmonkeyCompl!V19*FoFanalysis7[[#This Row],[EUR]]),"")</f>
        <v/>
      </c>
      <c r="T16" s="8" t="str">
        <f>IFERROR(IF(ISBLANK([2]FoFsmonkeyCompl!W19),"",[2]FoFsmonkeyCompl!W19*FoFanalysis7[[#This Row],[EUR]]),"")</f>
        <v/>
      </c>
      <c r="U16" s="8" t="str">
        <f>IFERROR(IF(ISBLANK([2]FoFsmonkeyCompl!X19),"",[2]FoFsmonkeyCompl!X19*FoFanalysis7[[#This Row],[EUR]]),"")</f>
        <v/>
      </c>
      <c r="V16" s="8" t="str">
        <f>IFERROR(IF(ISBLANK([2]FoFsmonkeyCompl!Y19),"",[2]FoFsmonkeyCompl!Y19*FoFanalysis7[[#This Row],[EUR]]),"")</f>
        <v/>
      </c>
      <c r="W16" s="8" t="str">
        <f>IFERROR(IF(ISBLANK([2]FoFsmonkeyCompl!Z19),"",[2]FoFsmonkeyCompl!Z19*FoFanalysis7[[#This Row],[EUR]]),"")</f>
        <v/>
      </c>
      <c r="X16" s="8" t="str">
        <f>IFERROR(IF(ISBLANK([2]FoFsmonkeyCompl!AA19),"",[2]FoFsmonkeyCompl!AA19*FoFanalysis7[[#This Row],[EUR]]),"")</f>
        <v/>
      </c>
      <c r="Y16" s="8" t="str">
        <f>IFERROR(IF(ISBLANK([2]FoFsmonkeyCompl!AB19),"",[2]FoFsmonkeyCompl!AB19*FoFanalysis7[[#This Row],[EUR]]),"")</f>
        <v/>
      </c>
      <c r="Z16" s="8" t="str">
        <f>IFERROR(IF(ISBLANK([2]FoFsmonkeyCompl!AC19),"",[2]FoFsmonkeyCompl!AC19),"")</f>
        <v/>
      </c>
      <c r="AA16" s="8" t="str">
        <f>IFERROR(IF(ISBLANK([2]FoFsmonkeyCompl!AD19),"",[2]FoFsmonkeyCompl!AD19),"")</f>
        <v/>
      </c>
      <c r="AB16" s="8" t="str">
        <f>IFERROR(IF(ISBLANK([2]FoFsmonkeyCompl!AE19),"",[2]FoFsmonkeyCompl!AE19),"")</f>
        <v/>
      </c>
      <c r="AC16" s="8" t="str">
        <f>IFERROR(IF(ISBLANK([2]FoFsmonkeyCompl!AF19),"",[2]FoFsmonkeyCompl!AF19),"")</f>
        <v/>
      </c>
      <c r="AD16" s="8" t="str">
        <f>IFERROR(IF(ISBLANK([2]FoFsmonkeyCompl!AG19),"",[2]FoFsmonkeyCompl!AG19),"")</f>
        <v/>
      </c>
      <c r="AE16" s="8" t="str">
        <f>IFERROR(IF(ISBLANK([2]FoFsmonkeyCompl!AH19),"",[2]FoFsmonkeyCompl!AH19),"")</f>
        <v/>
      </c>
      <c r="AF16" s="40" t="str">
        <f>IFERROR(INDEX([2]FundOfFundsUniverse!$B$2:$EU$700,MATCH($C16,[2]FundOfFundsUniverse!$A$2:$A$700,0),MATCH($AF$1,[2]FundOfFundsUniverse!$B$1:$EU$1,0)),"")</f>
        <v/>
      </c>
    </row>
    <row r="17" spans="1:32" ht="14.25" thickTop="1" thickBot="1" x14ac:dyDescent="0.25">
      <c r="A17" s="5" t="str">
        <f>IF(OR(ISTEXT([2]FoFsmonkeyCompl!J20),ISNUMBER([2]FoFsmonkeyCompl!J20)),[2]FoFsmonkeyCompl!J20,"")</f>
        <v/>
      </c>
      <c r="B17" s="6" t="str">
        <f>IF(OR(ISTEXT([2]FoFsmonkeyCompl!K20),ISNUMBER([2]FoFsmonkeyCompl!K20)),[2]FoFsmonkeyCompl!K20,"")</f>
        <v/>
      </c>
      <c r="C17" s="7"/>
      <c r="D17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17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17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17" s="6" t="str">
        <f>IF(ISBLANK([2]FoFsmonkeyCompl!L20),"",[2]FoFsmonkeyCompl!L20)</f>
        <v/>
      </c>
      <c r="H17" s="6" t="str">
        <f>IF(ISBLANK([2]FoFsmonkeyCompl!M20),"",[2]FoFsmonkeyCompl!M20)</f>
        <v/>
      </c>
      <c r="I17" s="6" t="str">
        <f>IF(ISBLANK([2]FoFsmonkeyCompl!N20),"",[2]FoFsmonkeyCompl!N20)</f>
        <v/>
      </c>
      <c r="J17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17" s="11" t="str">
        <f>IFERROR(VLOOKUP(FoFanalysis7[[#This Row],[Currency of Reporting]],'[2]Xrate31.12.20'!$F$5:$H$28,3,0),"")</f>
        <v/>
      </c>
      <c r="L17" s="11" t="str">
        <f>IFERROR(IF(ISBLANK([2]FoFsmonkeyCompl!O20),"",[2]FoFsmonkeyCompl!O20*FoFanalysis7[[#This Row],[EUR]]),"")</f>
        <v/>
      </c>
      <c r="M17" s="8" t="str">
        <f>IFERROR(IF(ISBLANK([2]FoFsmonkeyCompl!P20),"",[2]FoFsmonkeyCompl!P20*FoFanalysis7[[#This Row],[EUR]]),"")</f>
        <v/>
      </c>
      <c r="N17" s="8" t="str">
        <f>IFERROR(IF(ISBLANK([2]FoFsmonkeyCompl!Q20),"",[2]FoFsmonkeyCompl!Q20*FoFanalysis7[[#This Row],[EUR]]),"")</f>
        <v/>
      </c>
      <c r="O17" s="8" t="str">
        <f>IFERROR(IF(ISBLANK([2]FoFsmonkeyCompl!R20),"",[2]FoFsmonkeyCompl!R20*FoFanalysis7[[#This Row],[EUR]]),"")</f>
        <v/>
      </c>
      <c r="P17" s="8" t="str">
        <f>IFERROR(IF(ISBLANK([2]FoFsmonkeyCompl!S20),"",[2]FoFsmonkeyCompl!S20*FoFanalysis7[[#This Row],[EUR]]),"")</f>
        <v/>
      </c>
      <c r="Q17" s="8" t="str">
        <f>IFERROR(IF(ISBLANK([2]FoFsmonkeyCompl!T20),"",[2]FoFsmonkeyCompl!T20*FoFanalysis7[[#This Row],[EUR]]),"")</f>
        <v/>
      </c>
      <c r="R17" s="8" t="str">
        <f>IFERROR(IF(ISBLANK([2]FoFsmonkeyCompl!U20),"",[2]FoFsmonkeyCompl!U20*FoFanalysis7[[#This Row],[EUR]]),"")</f>
        <v/>
      </c>
      <c r="S17" s="8" t="str">
        <f>IFERROR(IF(ISBLANK([2]FoFsmonkeyCompl!V20),"",[2]FoFsmonkeyCompl!V20*FoFanalysis7[[#This Row],[EUR]]),"")</f>
        <v/>
      </c>
      <c r="T17" s="8" t="str">
        <f>IFERROR(IF(ISBLANK([2]FoFsmonkeyCompl!W20),"",[2]FoFsmonkeyCompl!W20*FoFanalysis7[[#This Row],[EUR]]),"")</f>
        <v/>
      </c>
      <c r="U17" s="8" t="str">
        <f>IFERROR(IF(ISBLANK([2]FoFsmonkeyCompl!X20),"",[2]FoFsmonkeyCompl!X20*FoFanalysis7[[#This Row],[EUR]]),"")</f>
        <v/>
      </c>
      <c r="V17" s="8" t="str">
        <f>IFERROR(IF(ISBLANK([2]FoFsmonkeyCompl!Y20),"",[2]FoFsmonkeyCompl!Y20*FoFanalysis7[[#This Row],[EUR]]),"")</f>
        <v/>
      </c>
      <c r="W17" s="8" t="str">
        <f>IFERROR(IF(ISBLANK([2]FoFsmonkeyCompl!Z20),"",[2]FoFsmonkeyCompl!Z20*FoFanalysis7[[#This Row],[EUR]]),"")</f>
        <v/>
      </c>
      <c r="X17" s="8" t="str">
        <f>IFERROR(IF(ISBLANK([2]FoFsmonkeyCompl!AA20),"",[2]FoFsmonkeyCompl!AA20*FoFanalysis7[[#This Row],[EUR]]),"")</f>
        <v/>
      </c>
      <c r="Y17" s="8" t="str">
        <f>IFERROR(IF(ISBLANK([2]FoFsmonkeyCompl!AB20),"",[2]FoFsmonkeyCompl!AB20*FoFanalysis7[[#This Row],[EUR]]),"")</f>
        <v/>
      </c>
      <c r="Z17" s="8" t="str">
        <f>IFERROR(IF(ISBLANK([2]FoFsmonkeyCompl!AC20),"",[2]FoFsmonkeyCompl!AC20),"")</f>
        <v/>
      </c>
      <c r="AA17" s="8" t="str">
        <f>IFERROR(IF(ISBLANK([2]FoFsmonkeyCompl!AD20),"",[2]FoFsmonkeyCompl!AD20),"")</f>
        <v/>
      </c>
      <c r="AB17" s="8" t="str">
        <f>IFERROR(IF(ISBLANK([2]FoFsmonkeyCompl!AE20),"",[2]FoFsmonkeyCompl!AE20),"")</f>
        <v/>
      </c>
      <c r="AC17" s="8" t="str">
        <f>IFERROR(IF(ISBLANK([2]FoFsmonkeyCompl!AF20),"",[2]FoFsmonkeyCompl!AF20),"")</f>
        <v/>
      </c>
      <c r="AD17" s="8" t="str">
        <f>IFERROR(IF(ISBLANK([2]FoFsmonkeyCompl!AG20),"",[2]FoFsmonkeyCompl!AG20),"")</f>
        <v/>
      </c>
      <c r="AE17" s="8" t="str">
        <f>IFERROR(IF(ISBLANK([2]FoFsmonkeyCompl!AH20),"",[2]FoFsmonkeyCompl!AH20),"")</f>
        <v/>
      </c>
      <c r="AF17" s="40" t="str">
        <f>IFERROR(INDEX([2]FundOfFundsUniverse!$B$2:$EU$700,MATCH($C17,[2]FundOfFundsUniverse!$A$2:$A$700,0),MATCH($AF$1,[2]FundOfFundsUniverse!$B$1:$EU$1,0)),"")</f>
        <v/>
      </c>
    </row>
    <row r="18" spans="1:32" ht="14.25" thickTop="1" thickBot="1" x14ac:dyDescent="0.25">
      <c r="A18" s="9" t="str">
        <f>IF(OR(ISTEXT([2]FoFsmonkeyCompl!J21),ISNUMBER([2]FoFsmonkeyCompl!J21)),[2]FoFsmonkeyCompl!J21,"")</f>
        <v/>
      </c>
      <c r="B18" s="6" t="str">
        <f>IF(OR(ISTEXT([2]FoFsmonkeyCompl!K21),ISNUMBER([2]FoFsmonkeyCompl!K21)),[2]FoFsmonkeyCompl!K21,"")</f>
        <v/>
      </c>
      <c r="C18" s="7"/>
      <c r="D18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18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18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18" s="6" t="str">
        <f>IF(ISBLANK([2]FoFsmonkeyCompl!L21),"",[2]FoFsmonkeyCompl!L21)</f>
        <v/>
      </c>
      <c r="H18" s="6" t="str">
        <f>IF(ISBLANK([2]FoFsmonkeyCompl!M21),"",[2]FoFsmonkeyCompl!M21)</f>
        <v/>
      </c>
      <c r="I18" s="6" t="str">
        <f>IF(ISBLANK([2]FoFsmonkeyCompl!N21),"",[2]FoFsmonkeyCompl!N21)</f>
        <v/>
      </c>
      <c r="J18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18" s="11" t="str">
        <f>IFERROR(VLOOKUP(FoFanalysis7[[#This Row],[Currency of Reporting]],'[2]Xrate31.12.20'!$F$5:$H$28,3,0),"")</f>
        <v/>
      </c>
      <c r="L18" s="11" t="str">
        <f>IFERROR(IF(ISBLANK([2]FoFsmonkeyCompl!O21),"",[2]FoFsmonkeyCompl!O21*FoFanalysis7[[#This Row],[EUR]]),"")</f>
        <v/>
      </c>
      <c r="M18" s="8" t="str">
        <f>IFERROR(IF(ISBLANK([2]FoFsmonkeyCompl!P21),"",[2]FoFsmonkeyCompl!P21*FoFanalysis7[[#This Row],[EUR]]),"")</f>
        <v/>
      </c>
      <c r="N18" s="8" t="str">
        <f>IFERROR(IF(ISBLANK([2]FoFsmonkeyCompl!Q21),"",[2]FoFsmonkeyCompl!Q21*FoFanalysis7[[#This Row],[EUR]]),"")</f>
        <v/>
      </c>
      <c r="O18" s="8" t="str">
        <f>IFERROR(IF(ISBLANK([2]FoFsmonkeyCompl!R21),"",[2]FoFsmonkeyCompl!R21*FoFanalysis7[[#This Row],[EUR]]),"")</f>
        <v/>
      </c>
      <c r="P18" s="8" t="str">
        <f>IFERROR(IF(ISBLANK([2]FoFsmonkeyCompl!S21),"",[2]FoFsmonkeyCompl!S21*FoFanalysis7[[#This Row],[EUR]]),"")</f>
        <v/>
      </c>
      <c r="Q18" s="8" t="str">
        <f>IFERROR(IF(ISBLANK([2]FoFsmonkeyCompl!T21),"",[2]FoFsmonkeyCompl!T21*FoFanalysis7[[#This Row],[EUR]]),"")</f>
        <v/>
      </c>
      <c r="R18" s="8" t="str">
        <f>IFERROR(IF(ISBLANK([2]FoFsmonkeyCompl!U21),"",[2]FoFsmonkeyCompl!U21*FoFanalysis7[[#This Row],[EUR]]),"")</f>
        <v/>
      </c>
      <c r="S18" s="8" t="str">
        <f>IFERROR(IF(ISBLANK([2]FoFsmonkeyCompl!V21),"",[2]FoFsmonkeyCompl!V21*FoFanalysis7[[#This Row],[EUR]]),"")</f>
        <v/>
      </c>
      <c r="T18" s="8" t="str">
        <f>IFERROR(IF(ISBLANK([2]FoFsmonkeyCompl!W21),"",[2]FoFsmonkeyCompl!W21*FoFanalysis7[[#This Row],[EUR]]),"")</f>
        <v/>
      </c>
      <c r="U18" s="8" t="str">
        <f>IFERROR(IF(ISBLANK([2]FoFsmonkeyCompl!X21),"",[2]FoFsmonkeyCompl!X21*FoFanalysis7[[#This Row],[EUR]]),"")</f>
        <v/>
      </c>
      <c r="V18" s="8" t="str">
        <f>IFERROR(IF(ISBLANK([2]FoFsmonkeyCompl!Y21),"",[2]FoFsmonkeyCompl!Y21*FoFanalysis7[[#This Row],[EUR]]),"")</f>
        <v/>
      </c>
      <c r="W18" s="8" t="str">
        <f>IFERROR(IF(ISBLANK([2]FoFsmonkeyCompl!Z21),"",[2]FoFsmonkeyCompl!Z21*FoFanalysis7[[#This Row],[EUR]]),"")</f>
        <v/>
      </c>
      <c r="X18" s="8" t="str">
        <f>IFERROR(IF(ISBLANK([2]FoFsmonkeyCompl!AA21),"",[2]FoFsmonkeyCompl!AA21*FoFanalysis7[[#This Row],[EUR]]),"")</f>
        <v/>
      </c>
      <c r="Y18" s="8" t="str">
        <f>IFERROR(IF(ISBLANK([2]FoFsmonkeyCompl!AB21),"",[2]FoFsmonkeyCompl!AB21*FoFanalysis7[[#This Row],[EUR]]),"")</f>
        <v/>
      </c>
      <c r="Z18" s="8" t="str">
        <f>IFERROR(IF(ISBLANK([2]FoFsmonkeyCompl!AC21),"",[2]FoFsmonkeyCompl!AC21),"")</f>
        <v/>
      </c>
      <c r="AA18" s="8" t="str">
        <f>IFERROR(IF(ISBLANK([2]FoFsmonkeyCompl!AD21),"",[2]FoFsmonkeyCompl!AD21),"")</f>
        <v/>
      </c>
      <c r="AB18" s="8" t="str">
        <f>IFERROR(IF(ISBLANK([2]FoFsmonkeyCompl!AE21),"",[2]FoFsmonkeyCompl!AE21),"")</f>
        <v/>
      </c>
      <c r="AC18" s="8" t="str">
        <f>IFERROR(IF(ISBLANK([2]FoFsmonkeyCompl!AF21),"",[2]FoFsmonkeyCompl!AF21),"")</f>
        <v/>
      </c>
      <c r="AD18" s="8" t="str">
        <f>IFERROR(IF(ISBLANK([2]FoFsmonkeyCompl!AG21),"",[2]FoFsmonkeyCompl!AG21),"")</f>
        <v/>
      </c>
      <c r="AE18" s="8" t="str">
        <f>IFERROR(IF(ISBLANK([2]FoFsmonkeyCompl!AH21),"",[2]FoFsmonkeyCompl!AH21),"")</f>
        <v/>
      </c>
      <c r="AF18" s="40" t="str">
        <f>IFERROR(INDEX([2]FundOfFundsUniverse!$B$2:$EU$700,MATCH($C18,[2]FundOfFundsUniverse!$A$2:$A$700,0),MATCH($AF$1,[2]FundOfFundsUniverse!$B$1:$EU$1,0)),"")</f>
        <v/>
      </c>
    </row>
    <row r="19" spans="1:32" ht="14.25" thickTop="1" thickBot="1" x14ac:dyDescent="0.25">
      <c r="A19" s="5" t="str">
        <f>IF(OR(ISTEXT([2]FoFsmonkeyCompl!J22),ISNUMBER([2]FoFsmonkeyCompl!J22)),[2]FoFsmonkeyCompl!J22,"")</f>
        <v/>
      </c>
      <c r="B19" s="6" t="str">
        <f>IF(OR(ISTEXT([2]FoFsmonkeyCompl!K22),ISNUMBER([2]FoFsmonkeyCompl!K22)),[2]FoFsmonkeyCompl!K22,"")</f>
        <v/>
      </c>
      <c r="C19" s="7"/>
      <c r="D19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19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19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19" s="6" t="str">
        <f>IF(ISBLANK([2]FoFsmonkeyCompl!L22),"",[2]FoFsmonkeyCompl!L22)</f>
        <v/>
      </c>
      <c r="H19" s="6" t="str">
        <f>IF(ISBLANK([2]FoFsmonkeyCompl!M22),"",[2]FoFsmonkeyCompl!M22)</f>
        <v/>
      </c>
      <c r="I19" s="6" t="str">
        <f>IF(ISBLANK([2]FoFsmonkeyCompl!N22),"",[2]FoFsmonkeyCompl!N22)</f>
        <v/>
      </c>
      <c r="J19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19" s="11" t="str">
        <f>IFERROR(VLOOKUP(FoFanalysis7[[#This Row],[Currency of Reporting]],'[2]Xrate31.12.20'!$F$5:$H$28,3,0),"")</f>
        <v/>
      </c>
      <c r="L19" s="11" t="str">
        <f>IFERROR(IF(ISBLANK([2]FoFsmonkeyCompl!O22),"",[2]FoFsmonkeyCompl!O22*FoFanalysis7[[#This Row],[EUR]]),"")</f>
        <v/>
      </c>
      <c r="M19" s="8" t="str">
        <f>IFERROR(IF(ISBLANK([2]FoFsmonkeyCompl!P22),"",[2]FoFsmonkeyCompl!P22*FoFanalysis7[[#This Row],[EUR]]),"")</f>
        <v/>
      </c>
      <c r="N19" s="8" t="str">
        <f>IFERROR(IF(ISBLANK([2]FoFsmonkeyCompl!Q22),"",[2]FoFsmonkeyCompl!Q22*FoFanalysis7[[#This Row],[EUR]]),"")</f>
        <v/>
      </c>
      <c r="O19" s="8" t="str">
        <f>IFERROR(IF(ISBLANK([2]FoFsmonkeyCompl!R22),"",[2]FoFsmonkeyCompl!R22*FoFanalysis7[[#This Row],[EUR]]),"")</f>
        <v/>
      </c>
      <c r="P19" s="8" t="str">
        <f>IFERROR(IF(ISBLANK([2]FoFsmonkeyCompl!S22),"",[2]FoFsmonkeyCompl!S22*FoFanalysis7[[#This Row],[EUR]]),"")</f>
        <v/>
      </c>
      <c r="Q19" s="8" t="str">
        <f>IFERROR(IF(ISBLANK([2]FoFsmonkeyCompl!T22),"",[2]FoFsmonkeyCompl!T22*FoFanalysis7[[#This Row],[EUR]]),"")</f>
        <v/>
      </c>
      <c r="R19" s="8" t="str">
        <f>IFERROR(IF(ISBLANK([2]FoFsmonkeyCompl!U22),"",[2]FoFsmonkeyCompl!U22*FoFanalysis7[[#This Row],[EUR]]),"")</f>
        <v/>
      </c>
      <c r="S19" s="8" t="str">
        <f>IFERROR(IF(ISBLANK([2]FoFsmonkeyCompl!V22),"",[2]FoFsmonkeyCompl!V22*FoFanalysis7[[#This Row],[EUR]]),"")</f>
        <v/>
      </c>
      <c r="T19" s="8" t="str">
        <f>IFERROR(IF(ISBLANK([2]FoFsmonkeyCompl!W22),"",[2]FoFsmonkeyCompl!W22*FoFanalysis7[[#This Row],[EUR]]),"")</f>
        <v/>
      </c>
      <c r="U19" s="8" t="str">
        <f>IFERROR(IF(ISBLANK([2]FoFsmonkeyCompl!X22),"",[2]FoFsmonkeyCompl!X22*FoFanalysis7[[#This Row],[EUR]]),"")</f>
        <v/>
      </c>
      <c r="V19" s="8" t="str">
        <f>IFERROR(IF(ISBLANK([2]FoFsmonkeyCompl!Y22),"",[2]FoFsmonkeyCompl!Y22*FoFanalysis7[[#This Row],[EUR]]),"")</f>
        <v/>
      </c>
      <c r="W19" s="8" t="str">
        <f>IFERROR(IF(ISBLANK([2]FoFsmonkeyCompl!Z22),"",[2]FoFsmonkeyCompl!Z22*FoFanalysis7[[#This Row],[EUR]]),"")</f>
        <v/>
      </c>
      <c r="X19" s="8" t="str">
        <f>IFERROR(IF(ISBLANK([2]FoFsmonkeyCompl!AA22),"",[2]FoFsmonkeyCompl!AA22*FoFanalysis7[[#This Row],[EUR]]),"")</f>
        <v/>
      </c>
      <c r="Y19" s="8" t="str">
        <f>IFERROR(IF(ISBLANK([2]FoFsmonkeyCompl!AB22),"",[2]FoFsmonkeyCompl!AB22*FoFanalysis7[[#This Row],[EUR]]),"")</f>
        <v/>
      </c>
      <c r="Z19" s="8" t="str">
        <f>IFERROR(IF(ISBLANK([2]FoFsmonkeyCompl!AC22),"",[2]FoFsmonkeyCompl!AC22),"")</f>
        <v/>
      </c>
      <c r="AA19" s="8" t="str">
        <f>IFERROR(IF(ISBLANK([2]FoFsmonkeyCompl!AD22),"",[2]FoFsmonkeyCompl!AD22),"")</f>
        <v/>
      </c>
      <c r="AB19" s="8" t="str">
        <f>IFERROR(IF(ISBLANK([2]FoFsmonkeyCompl!AE22),"",[2]FoFsmonkeyCompl!AE22),"")</f>
        <v/>
      </c>
      <c r="AC19" s="8" t="str">
        <f>IFERROR(IF(ISBLANK([2]FoFsmonkeyCompl!AF22),"",[2]FoFsmonkeyCompl!AF22),"")</f>
        <v/>
      </c>
      <c r="AD19" s="8" t="str">
        <f>IFERROR(IF(ISBLANK([2]FoFsmonkeyCompl!AG22),"",[2]FoFsmonkeyCompl!AG22),"")</f>
        <v/>
      </c>
      <c r="AE19" s="8" t="str">
        <f>IFERROR(IF(ISBLANK([2]FoFsmonkeyCompl!AH22),"",[2]FoFsmonkeyCompl!AH22),"")</f>
        <v/>
      </c>
      <c r="AF19" s="40" t="str">
        <f>IFERROR(INDEX([2]FundOfFundsUniverse!$B$2:$EU$700,MATCH($C19,[2]FundOfFundsUniverse!$A$2:$A$700,0),MATCH($AF$1,[2]FundOfFundsUniverse!$B$1:$EU$1,0)),"")</f>
        <v/>
      </c>
    </row>
    <row r="20" spans="1:32" ht="14.25" thickTop="1" thickBot="1" x14ac:dyDescent="0.25">
      <c r="A20" s="9" t="str">
        <f>IF(OR(ISTEXT([2]FoFsmonkeyCompl!J23),ISNUMBER([2]FoFsmonkeyCompl!J23)),[2]FoFsmonkeyCompl!J23,"")</f>
        <v/>
      </c>
      <c r="B20" s="6" t="str">
        <f>IF(OR(ISTEXT([2]FoFsmonkeyCompl!K23),ISNUMBER([2]FoFsmonkeyCompl!K23)),[2]FoFsmonkeyCompl!K23,"")</f>
        <v/>
      </c>
      <c r="C20" s="7"/>
      <c r="D20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20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20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20" s="6" t="str">
        <f>IF(ISBLANK([2]FoFsmonkeyCompl!L23),"",[2]FoFsmonkeyCompl!L23)</f>
        <v/>
      </c>
      <c r="H20" s="6" t="str">
        <f>IF(ISBLANK([2]FoFsmonkeyCompl!M23),"",[2]FoFsmonkeyCompl!M23)</f>
        <v/>
      </c>
      <c r="I20" s="6" t="str">
        <f>IF(ISBLANK([2]FoFsmonkeyCompl!N23),"",[2]FoFsmonkeyCompl!N23)</f>
        <v/>
      </c>
      <c r="J20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20" s="11" t="str">
        <f>IFERROR(VLOOKUP(FoFanalysis7[[#This Row],[Currency of Reporting]],'[2]Xrate31.12.20'!$F$5:$H$28,3,0),"")</f>
        <v/>
      </c>
      <c r="L20" s="11" t="str">
        <f>IFERROR(IF(ISBLANK([2]FoFsmonkeyCompl!O23),"",[2]FoFsmonkeyCompl!O23*FoFanalysis7[[#This Row],[EUR]]),"")</f>
        <v/>
      </c>
      <c r="M20" s="8" t="str">
        <f>IFERROR(IF(ISBLANK([2]FoFsmonkeyCompl!P23),"",[2]FoFsmonkeyCompl!P23*FoFanalysis7[[#This Row],[EUR]]),"")</f>
        <v/>
      </c>
      <c r="N20" s="8" t="str">
        <f>IFERROR(IF(ISBLANK([2]FoFsmonkeyCompl!Q23),"",[2]FoFsmonkeyCompl!Q23*FoFanalysis7[[#This Row],[EUR]]),"")</f>
        <v/>
      </c>
      <c r="O20" s="8" t="str">
        <f>IFERROR(IF(ISBLANK([2]FoFsmonkeyCompl!R23),"",[2]FoFsmonkeyCompl!R23*FoFanalysis7[[#This Row],[EUR]]),"")</f>
        <v/>
      </c>
      <c r="P20" s="8" t="str">
        <f>IFERROR(IF(ISBLANK([2]FoFsmonkeyCompl!S23),"",[2]FoFsmonkeyCompl!S23*FoFanalysis7[[#This Row],[EUR]]),"")</f>
        <v/>
      </c>
      <c r="Q20" s="8" t="str">
        <f>IFERROR(IF(ISBLANK([2]FoFsmonkeyCompl!T23),"",[2]FoFsmonkeyCompl!T23*FoFanalysis7[[#This Row],[EUR]]),"")</f>
        <v/>
      </c>
      <c r="R20" s="8" t="str">
        <f>IFERROR(IF(ISBLANK([2]FoFsmonkeyCompl!U23),"",[2]FoFsmonkeyCompl!U23*FoFanalysis7[[#This Row],[EUR]]),"")</f>
        <v/>
      </c>
      <c r="S20" s="8" t="str">
        <f>IFERROR(IF(ISBLANK([2]FoFsmonkeyCompl!V23),"",[2]FoFsmonkeyCompl!V23*FoFanalysis7[[#This Row],[EUR]]),"")</f>
        <v/>
      </c>
      <c r="T20" s="8" t="str">
        <f>IFERROR(IF(ISBLANK([2]FoFsmonkeyCompl!W23),"",[2]FoFsmonkeyCompl!W23*FoFanalysis7[[#This Row],[EUR]]),"")</f>
        <v/>
      </c>
      <c r="U20" s="8" t="str">
        <f>IFERROR(IF(ISBLANK([2]FoFsmonkeyCompl!X23),"",[2]FoFsmonkeyCompl!X23*FoFanalysis7[[#This Row],[EUR]]),"")</f>
        <v/>
      </c>
      <c r="V20" s="8" t="str">
        <f>IFERROR(IF(ISBLANK([2]FoFsmonkeyCompl!Y23),"",[2]FoFsmonkeyCompl!Y23*FoFanalysis7[[#This Row],[EUR]]),"")</f>
        <v/>
      </c>
      <c r="W20" s="8" t="str">
        <f>IFERROR(IF(ISBLANK([2]FoFsmonkeyCompl!Z23),"",[2]FoFsmonkeyCompl!Z23*FoFanalysis7[[#This Row],[EUR]]),"")</f>
        <v/>
      </c>
      <c r="X20" s="8" t="str">
        <f>IFERROR(IF(ISBLANK([2]FoFsmonkeyCompl!AA23),"",[2]FoFsmonkeyCompl!AA23*FoFanalysis7[[#This Row],[EUR]]),"")</f>
        <v/>
      </c>
      <c r="Y20" s="8" t="str">
        <f>IFERROR(IF(ISBLANK([2]FoFsmonkeyCompl!AB23),"",[2]FoFsmonkeyCompl!AB23*FoFanalysis7[[#This Row],[EUR]]),"")</f>
        <v/>
      </c>
      <c r="Z20" s="8" t="str">
        <f>IFERROR(IF(ISBLANK([2]FoFsmonkeyCompl!AC23),"",[2]FoFsmonkeyCompl!AC23),"")</f>
        <v/>
      </c>
      <c r="AA20" s="8" t="str">
        <f>IFERROR(IF(ISBLANK([2]FoFsmonkeyCompl!AD23),"",[2]FoFsmonkeyCompl!AD23),"")</f>
        <v/>
      </c>
      <c r="AB20" s="8" t="str">
        <f>IFERROR(IF(ISBLANK([2]FoFsmonkeyCompl!AE23),"",[2]FoFsmonkeyCompl!AE23),"")</f>
        <v/>
      </c>
      <c r="AC20" s="8" t="str">
        <f>IFERROR(IF(ISBLANK([2]FoFsmonkeyCompl!AF23),"",[2]FoFsmonkeyCompl!AF23),"")</f>
        <v/>
      </c>
      <c r="AD20" s="8" t="str">
        <f>IFERROR(IF(ISBLANK([2]FoFsmonkeyCompl!AG23),"",[2]FoFsmonkeyCompl!AG23),"")</f>
        <v/>
      </c>
      <c r="AE20" s="8" t="str">
        <f>IFERROR(IF(ISBLANK([2]FoFsmonkeyCompl!AH23),"",[2]FoFsmonkeyCompl!AH23),"")</f>
        <v/>
      </c>
      <c r="AF20" s="40" t="str">
        <f>IFERROR(INDEX([2]FundOfFundsUniverse!$B$2:$EU$700,MATCH($C20,[2]FundOfFundsUniverse!$A$2:$A$700,0),MATCH($AF$1,[2]FundOfFundsUniverse!$B$1:$EU$1,0)),"")</f>
        <v/>
      </c>
    </row>
    <row r="21" spans="1:32" ht="14.25" thickTop="1" thickBot="1" x14ac:dyDescent="0.25">
      <c r="A21" s="5" t="str">
        <f>IF(OR(ISTEXT([2]FoFsmonkeyCompl!J24),ISNUMBER([2]FoFsmonkeyCompl!J24)),[2]FoFsmonkeyCompl!J24,"")</f>
        <v/>
      </c>
      <c r="B21" s="6" t="str">
        <f>IF(OR(ISTEXT([2]FoFsmonkeyCompl!K24),ISNUMBER([2]FoFsmonkeyCompl!K24)),[2]FoFsmonkeyCompl!K24,"")</f>
        <v/>
      </c>
      <c r="C21" s="7"/>
      <c r="D21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21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21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21" s="6" t="str">
        <f>IF(ISBLANK([2]FoFsmonkeyCompl!L24),"",[2]FoFsmonkeyCompl!L24)</f>
        <v/>
      </c>
      <c r="H21" s="6" t="str">
        <f>IF(ISBLANK([2]FoFsmonkeyCompl!M24),"",[2]FoFsmonkeyCompl!M24)</f>
        <v/>
      </c>
      <c r="I21" s="6" t="str">
        <f>IF(ISBLANK([2]FoFsmonkeyCompl!N24),"",[2]FoFsmonkeyCompl!N24)</f>
        <v/>
      </c>
      <c r="J21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21" s="11" t="str">
        <f>IFERROR(VLOOKUP(FoFanalysis7[[#This Row],[Currency of Reporting]],'[2]Xrate31.12.20'!$F$5:$H$28,3,0),"")</f>
        <v/>
      </c>
      <c r="L21" s="11" t="str">
        <f>IFERROR(IF(ISBLANK([2]FoFsmonkeyCompl!O24),"",[2]FoFsmonkeyCompl!O24*FoFanalysis7[[#This Row],[EUR]]),"")</f>
        <v/>
      </c>
      <c r="M21" s="8" t="str">
        <f>IFERROR(IF(ISBLANK([2]FoFsmonkeyCompl!P24),"",[2]FoFsmonkeyCompl!P24*FoFanalysis7[[#This Row],[EUR]]),"")</f>
        <v/>
      </c>
      <c r="N21" s="8" t="str">
        <f>IFERROR(IF(ISBLANK([2]FoFsmonkeyCompl!Q24),"",[2]FoFsmonkeyCompl!Q24*FoFanalysis7[[#This Row],[EUR]]),"")</f>
        <v/>
      </c>
      <c r="O21" s="8" t="str">
        <f>IFERROR(IF(ISBLANK([2]FoFsmonkeyCompl!R24),"",[2]FoFsmonkeyCompl!R24*FoFanalysis7[[#This Row],[EUR]]),"")</f>
        <v/>
      </c>
      <c r="P21" s="8" t="str">
        <f>IFERROR(IF(ISBLANK([2]FoFsmonkeyCompl!S24),"",[2]FoFsmonkeyCompl!S24*FoFanalysis7[[#This Row],[EUR]]),"")</f>
        <v/>
      </c>
      <c r="Q21" s="8" t="str">
        <f>IFERROR(IF(ISBLANK([2]FoFsmonkeyCompl!T24),"",[2]FoFsmonkeyCompl!T24*FoFanalysis7[[#This Row],[EUR]]),"")</f>
        <v/>
      </c>
      <c r="R21" s="8" t="str">
        <f>IFERROR(IF(ISBLANK([2]FoFsmonkeyCompl!U24),"",[2]FoFsmonkeyCompl!U24*FoFanalysis7[[#This Row],[EUR]]),"")</f>
        <v/>
      </c>
      <c r="S21" s="8" t="str">
        <f>IFERROR(IF(ISBLANK([2]FoFsmonkeyCompl!V24),"",[2]FoFsmonkeyCompl!V24*FoFanalysis7[[#This Row],[EUR]]),"")</f>
        <v/>
      </c>
      <c r="T21" s="8" t="str">
        <f>IFERROR(IF(ISBLANK([2]FoFsmonkeyCompl!W24),"",[2]FoFsmonkeyCompl!W24*FoFanalysis7[[#This Row],[EUR]]),"")</f>
        <v/>
      </c>
      <c r="U21" s="8" t="str">
        <f>IFERROR(IF(ISBLANK([2]FoFsmonkeyCompl!X24),"",[2]FoFsmonkeyCompl!X24*FoFanalysis7[[#This Row],[EUR]]),"")</f>
        <v/>
      </c>
      <c r="V21" s="8" t="str">
        <f>IFERROR(IF(ISBLANK([2]FoFsmonkeyCompl!Y24),"",[2]FoFsmonkeyCompl!Y24*FoFanalysis7[[#This Row],[EUR]]),"")</f>
        <v/>
      </c>
      <c r="W21" s="8" t="str">
        <f>IFERROR(IF(ISBLANK([2]FoFsmonkeyCompl!Z24),"",[2]FoFsmonkeyCompl!Z24*FoFanalysis7[[#This Row],[EUR]]),"")</f>
        <v/>
      </c>
      <c r="X21" s="8" t="str">
        <f>IFERROR(IF(ISBLANK([2]FoFsmonkeyCompl!AA24),"",[2]FoFsmonkeyCompl!AA24*FoFanalysis7[[#This Row],[EUR]]),"")</f>
        <v/>
      </c>
      <c r="Y21" s="8" t="str">
        <f>IFERROR(IF(ISBLANK([2]FoFsmonkeyCompl!AB24),"",[2]FoFsmonkeyCompl!AB24*FoFanalysis7[[#This Row],[EUR]]),"")</f>
        <v/>
      </c>
      <c r="Z21" s="8" t="str">
        <f>IFERROR(IF(ISBLANK([2]FoFsmonkeyCompl!AC24),"",[2]FoFsmonkeyCompl!AC24),"")</f>
        <v/>
      </c>
      <c r="AA21" s="8" t="str">
        <f>IFERROR(IF(ISBLANK([2]FoFsmonkeyCompl!AD24),"",[2]FoFsmonkeyCompl!AD24),"")</f>
        <v/>
      </c>
      <c r="AB21" s="8" t="str">
        <f>IFERROR(IF(ISBLANK([2]FoFsmonkeyCompl!AE24),"",[2]FoFsmonkeyCompl!AE24),"")</f>
        <v/>
      </c>
      <c r="AC21" s="8" t="str">
        <f>IFERROR(IF(ISBLANK([2]FoFsmonkeyCompl!AF24),"",[2]FoFsmonkeyCompl!AF24),"")</f>
        <v/>
      </c>
      <c r="AD21" s="8" t="str">
        <f>IFERROR(IF(ISBLANK([2]FoFsmonkeyCompl!AG24),"",[2]FoFsmonkeyCompl!AG24),"")</f>
        <v/>
      </c>
      <c r="AE21" s="8" t="str">
        <f>IFERROR(IF(ISBLANK([2]FoFsmonkeyCompl!AH24),"",[2]FoFsmonkeyCompl!AH24),"")</f>
        <v/>
      </c>
      <c r="AF21" s="40" t="str">
        <f>IFERROR(INDEX([2]FundOfFundsUniverse!$B$2:$EU$700,MATCH($C21,[2]FundOfFundsUniverse!$A$2:$A$700,0),MATCH($AF$1,[2]FundOfFundsUniverse!$B$1:$EU$1,0)),"")</f>
        <v/>
      </c>
    </row>
    <row r="22" spans="1:32" ht="14.25" thickTop="1" thickBot="1" x14ac:dyDescent="0.25">
      <c r="A22" s="9" t="str">
        <f>IF(OR(ISTEXT([2]FoFsmonkeyCompl!J25),ISNUMBER([2]FoFsmonkeyCompl!J25)),[2]FoFsmonkeyCompl!J25,"")</f>
        <v/>
      </c>
      <c r="B22" s="6" t="str">
        <f>IF(OR(ISTEXT([2]FoFsmonkeyCompl!K25),ISNUMBER([2]FoFsmonkeyCompl!K25)),[2]FoFsmonkeyCompl!K25,"")</f>
        <v/>
      </c>
      <c r="C22" s="7"/>
      <c r="D22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22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22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22" s="6" t="str">
        <f>IF(ISBLANK([2]FoFsmonkeyCompl!L25),"",[2]FoFsmonkeyCompl!L25)</f>
        <v/>
      </c>
      <c r="H22" s="6" t="str">
        <f>IF(ISBLANK([2]FoFsmonkeyCompl!M25),"",[2]FoFsmonkeyCompl!M25)</f>
        <v/>
      </c>
      <c r="I22" s="6" t="str">
        <f>IF(ISBLANK([2]FoFsmonkeyCompl!N25),"",[2]FoFsmonkeyCompl!N25)</f>
        <v/>
      </c>
      <c r="J22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22" s="11" t="str">
        <f>IFERROR(VLOOKUP(FoFanalysis7[[#This Row],[Currency of Reporting]],'[2]Xrate31.12.20'!$F$5:$H$28,3,0),"")</f>
        <v/>
      </c>
      <c r="L22" s="11" t="str">
        <f>IFERROR(IF(ISBLANK([2]FoFsmonkeyCompl!O25),"",[2]FoFsmonkeyCompl!O25*FoFanalysis7[[#This Row],[EUR]]),"")</f>
        <v/>
      </c>
      <c r="M22" s="8" t="str">
        <f>IFERROR(IF(ISBLANK([2]FoFsmonkeyCompl!P25),"",[2]FoFsmonkeyCompl!P25*FoFanalysis7[[#This Row],[EUR]]),"")</f>
        <v/>
      </c>
      <c r="N22" s="8" t="str">
        <f>IFERROR(IF(ISBLANK([2]FoFsmonkeyCompl!Q25),"",[2]FoFsmonkeyCompl!Q25*FoFanalysis7[[#This Row],[EUR]]),"")</f>
        <v/>
      </c>
      <c r="O22" s="8" t="str">
        <f>IFERROR(IF(ISBLANK([2]FoFsmonkeyCompl!R25),"",[2]FoFsmonkeyCompl!R25*FoFanalysis7[[#This Row],[EUR]]),"")</f>
        <v/>
      </c>
      <c r="P22" s="8" t="str">
        <f>IFERROR(IF(ISBLANK([2]FoFsmonkeyCompl!S25),"",[2]FoFsmonkeyCompl!S25*FoFanalysis7[[#This Row],[EUR]]),"")</f>
        <v/>
      </c>
      <c r="Q22" s="8" t="str">
        <f>IFERROR(IF(ISBLANK([2]FoFsmonkeyCompl!T25),"",[2]FoFsmonkeyCompl!T25*FoFanalysis7[[#This Row],[EUR]]),"")</f>
        <v/>
      </c>
      <c r="R22" s="8" t="str">
        <f>IFERROR(IF(ISBLANK([2]FoFsmonkeyCompl!U25),"",[2]FoFsmonkeyCompl!U25*FoFanalysis7[[#This Row],[EUR]]),"")</f>
        <v/>
      </c>
      <c r="S22" s="8" t="str">
        <f>IFERROR(IF(ISBLANK([2]FoFsmonkeyCompl!V25),"",[2]FoFsmonkeyCompl!V25*FoFanalysis7[[#This Row],[EUR]]),"")</f>
        <v/>
      </c>
      <c r="T22" s="8" t="str">
        <f>IFERROR(IF(ISBLANK([2]FoFsmonkeyCompl!W25),"",[2]FoFsmonkeyCompl!W25*FoFanalysis7[[#This Row],[EUR]]),"")</f>
        <v/>
      </c>
      <c r="U22" s="8" t="str">
        <f>IFERROR(IF(ISBLANK([2]FoFsmonkeyCompl!X25),"",[2]FoFsmonkeyCompl!X25*FoFanalysis7[[#This Row],[EUR]]),"")</f>
        <v/>
      </c>
      <c r="V22" s="8" t="str">
        <f>IFERROR(IF(ISBLANK([2]FoFsmonkeyCompl!Y25),"",[2]FoFsmonkeyCompl!Y25*FoFanalysis7[[#This Row],[EUR]]),"")</f>
        <v/>
      </c>
      <c r="W22" s="8" t="str">
        <f>IFERROR(IF(ISBLANK([2]FoFsmonkeyCompl!Z25),"",[2]FoFsmonkeyCompl!Z25*FoFanalysis7[[#This Row],[EUR]]),"")</f>
        <v/>
      </c>
      <c r="X22" s="8" t="str">
        <f>IFERROR(IF(ISBLANK([2]FoFsmonkeyCompl!AA25),"",[2]FoFsmonkeyCompl!AA25*FoFanalysis7[[#This Row],[EUR]]),"")</f>
        <v/>
      </c>
      <c r="Y22" s="8" t="str">
        <f>IFERROR(IF(ISBLANK([2]FoFsmonkeyCompl!AB25),"",[2]FoFsmonkeyCompl!AB25*FoFanalysis7[[#This Row],[EUR]]),"")</f>
        <v/>
      </c>
      <c r="Z22" s="8" t="str">
        <f>IFERROR(IF(ISBLANK([2]FoFsmonkeyCompl!AC25),"",[2]FoFsmonkeyCompl!AC25),"")</f>
        <v/>
      </c>
      <c r="AA22" s="8" t="str">
        <f>IFERROR(IF(ISBLANK([2]FoFsmonkeyCompl!AD25),"",[2]FoFsmonkeyCompl!AD25),"")</f>
        <v/>
      </c>
      <c r="AB22" s="8" t="str">
        <f>IFERROR(IF(ISBLANK([2]FoFsmonkeyCompl!AE25),"",[2]FoFsmonkeyCompl!AE25),"")</f>
        <v/>
      </c>
      <c r="AC22" s="8" t="str">
        <f>IFERROR(IF(ISBLANK([2]FoFsmonkeyCompl!AF25),"",[2]FoFsmonkeyCompl!AF25),"")</f>
        <v/>
      </c>
      <c r="AD22" s="8" t="str">
        <f>IFERROR(IF(ISBLANK([2]FoFsmonkeyCompl!AG25),"",[2]FoFsmonkeyCompl!AG25),"")</f>
        <v/>
      </c>
      <c r="AE22" s="8" t="str">
        <f>IFERROR(IF(ISBLANK([2]FoFsmonkeyCompl!AH25),"",[2]FoFsmonkeyCompl!AH25),"")</f>
        <v/>
      </c>
      <c r="AF22" s="40" t="str">
        <f>IFERROR(INDEX([2]FundOfFundsUniverse!$B$2:$EU$700,MATCH($C22,[2]FundOfFundsUniverse!$A$2:$A$700,0),MATCH($AF$1,[2]FundOfFundsUniverse!$B$1:$EU$1,0)),"")</f>
        <v/>
      </c>
    </row>
    <row r="23" spans="1:32" ht="14.25" thickTop="1" thickBot="1" x14ac:dyDescent="0.25">
      <c r="A23" s="5" t="str">
        <f>IF(OR(ISTEXT([2]FoFsmonkeyCompl!J26),ISNUMBER([2]FoFsmonkeyCompl!J26)),[2]FoFsmonkeyCompl!J26,"")</f>
        <v/>
      </c>
      <c r="B23" s="6" t="str">
        <f>IF(OR(ISTEXT([2]FoFsmonkeyCompl!K26),ISNUMBER([2]FoFsmonkeyCompl!K26)),[2]FoFsmonkeyCompl!K26,"")</f>
        <v/>
      </c>
      <c r="C23" s="7"/>
      <c r="D23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23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23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23" s="6" t="str">
        <f>IF(ISBLANK([2]FoFsmonkeyCompl!L26),"",[2]FoFsmonkeyCompl!L26)</f>
        <v/>
      </c>
      <c r="H23" s="6" t="str">
        <f>IF(ISBLANK([2]FoFsmonkeyCompl!M26),"",[2]FoFsmonkeyCompl!M26)</f>
        <v/>
      </c>
      <c r="I23" s="6" t="str">
        <f>IF(ISBLANK([2]FoFsmonkeyCompl!N26),"",[2]FoFsmonkeyCompl!N26)</f>
        <v/>
      </c>
      <c r="J23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23" s="11" t="str">
        <f>IFERROR(VLOOKUP(FoFanalysis7[[#This Row],[Currency of Reporting]],'[2]Xrate31.12.20'!$F$5:$H$28,3,0),"")</f>
        <v/>
      </c>
      <c r="L23" s="11" t="str">
        <f>IFERROR(IF(ISBLANK([2]FoFsmonkeyCompl!O26),"",[2]FoFsmonkeyCompl!O26*FoFanalysis7[[#This Row],[EUR]]),"")</f>
        <v/>
      </c>
      <c r="M23" s="8" t="str">
        <f>IFERROR(IF(ISBLANK([2]FoFsmonkeyCompl!P26),"",[2]FoFsmonkeyCompl!P26*FoFanalysis7[[#This Row],[EUR]]),"")</f>
        <v/>
      </c>
      <c r="N23" s="8" t="str">
        <f>IFERROR(IF(ISBLANK([2]FoFsmonkeyCompl!Q26),"",[2]FoFsmonkeyCompl!Q26*FoFanalysis7[[#This Row],[EUR]]),"")</f>
        <v/>
      </c>
      <c r="O23" s="8" t="str">
        <f>IFERROR(IF(ISBLANK([2]FoFsmonkeyCompl!R26),"",[2]FoFsmonkeyCompl!R26*FoFanalysis7[[#This Row],[EUR]]),"")</f>
        <v/>
      </c>
      <c r="P23" s="8" t="str">
        <f>IFERROR(IF(ISBLANK([2]FoFsmonkeyCompl!S26),"",[2]FoFsmonkeyCompl!S26*FoFanalysis7[[#This Row],[EUR]]),"")</f>
        <v/>
      </c>
      <c r="Q23" s="8" t="str">
        <f>IFERROR(IF(ISBLANK([2]FoFsmonkeyCompl!T26),"",[2]FoFsmonkeyCompl!T26*FoFanalysis7[[#This Row],[EUR]]),"")</f>
        <v/>
      </c>
      <c r="R23" s="8" t="str">
        <f>IFERROR(IF(ISBLANK([2]FoFsmonkeyCompl!U26),"",[2]FoFsmonkeyCompl!U26*FoFanalysis7[[#This Row],[EUR]]),"")</f>
        <v/>
      </c>
      <c r="S23" s="8" t="str">
        <f>IFERROR(IF(ISBLANK([2]FoFsmonkeyCompl!V26),"",[2]FoFsmonkeyCompl!V26*FoFanalysis7[[#This Row],[EUR]]),"")</f>
        <v/>
      </c>
      <c r="T23" s="8" t="str">
        <f>IFERROR(IF(ISBLANK([2]FoFsmonkeyCompl!W26),"",[2]FoFsmonkeyCompl!W26*FoFanalysis7[[#This Row],[EUR]]),"")</f>
        <v/>
      </c>
      <c r="U23" s="8" t="str">
        <f>IFERROR(IF(ISBLANK([2]FoFsmonkeyCompl!X26),"",[2]FoFsmonkeyCompl!X26*FoFanalysis7[[#This Row],[EUR]]),"")</f>
        <v/>
      </c>
      <c r="V23" s="8" t="str">
        <f>IFERROR(IF(ISBLANK([2]FoFsmonkeyCompl!Y26),"",[2]FoFsmonkeyCompl!Y26*FoFanalysis7[[#This Row],[EUR]]),"")</f>
        <v/>
      </c>
      <c r="W23" s="8" t="str">
        <f>IFERROR(IF(ISBLANK([2]FoFsmonkeyCompl!Z26),"",[2]FoFsmonkeyCompl!Z26*FoFanalysis7[[#This Row],[EUR]]),"")</f>
        <v/>
      </c>
      <c r="X23" s="8" t="str">
        <f>IFERROR(IF(ISBLANK([2]FoFsmonkeyCompl!AA26),"",[2]FoFsmonkeyCompl!AA26*FoFanalysis7[[#This Row],[EUR]]),"")</f>
        <v/>
      </c>
      <c r="Y23" s="8" t="str">
        <f>IFERROR(IF(ISBLANK([2]FoFsmonkeyCompl!AB26),"",[2]FoFsmonkeyCompl!AB26*FoFanalysis7[[#This Row],[EUR]]),"")</f>
        <v/>
      </c>
      <c r="Z23" s="8" t="str">
        <f>IFERROR(IF(ISBLANK([2]FoFsmonkeyCompl!AC26),"",[2]FoFsmonkeyCompl!AC26),"")</f>
        <v/>
      </c>
      <c r="AA23" s="8" t="str">
        <f>IFERROR(IF(ISBLANK([2]FoFsmonkeyCompl!AD26),"",[2]FoFsmonkeyCompl!AD26),"")</f>
        <v/>
      </c>
      <c r="AB23" s="8" t="str">
        <f>IFERROR(IF(ISBLANK([2]FoFsmonkeyCompl!AE26),"",[2]FoFsmonkeyCompl!AE26),"")</f>
        <v/>
      </c>
      <c r="AC23" s="8" t="str">
        <f>IFERROR(IF(ISBLANK([2]FoFsmonkeyCompl!AF26),"",[2]FoFsmonkeyCompl!AF26),"")</f>
        <v/>
      </c>
      <c r="AD23" s="8" t="str">
        <f>IFERROR(IF(ISBLANK([2]FoFsmonkeyCompl!AG26),"",[2]FoFsmonkeyCompl!AG26),"")</f>
        <v/>
      </c>
      <c r="AE23" s="8" t="str">
        <f>IFERROR(IF(ISBLANK([2]FoFsmonkeyCompl!AH26),"",[2]FoFsmonkeyCompl!AH26),"")</f>
        <v/>
      </c>
      <c r="AF23" s="40" t="str">
        <f>IFERROR(INDEX([2]FundOfFundsUniverse!$B$2:$EU$700,MATCH($C23,[2]FundOfFundsUniverse!$A$2:$A$700,0),MATCH($AF$1,[2]FundOfFundsUniverse!$B$1:$EU$1,0)),"")</f>
        <v/>
      </c>
    </row>
    <row r="24" spans="1:32" ht="14.25" thickTop="1" thickBot="1" x14ac:dyDescent="0.25">
      <c r="A24" s="9" t="str">
        <f>IF(OR(ISTEXT([2]FoFsmonkeyCompl!J27),ISNUMBER([2]FoFsmonkeyCompl!J27)),[2]FoFsmonkeyCompl!J27,"")</f>
        <v/>
      </c>
      <c r="B24" s="6" t="str">
        <f>IF(OR(ISTEXT([2]FoFsmonkeyCompl!K27),ISNUMBER([2]FoFsmonkeyCompl!K27)),[2]FoFsmonkeyCompl!K27,"")</f>
        <v/>
      </c>
      <c r="C24" s="7"/>
      <c r="D24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24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24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24" s="6" t="str">
        <f>IF(ISBLANK([2]FoFsmonkeyCompl!L27),"",[2]FoFsmonkeyCompl!L27)</f>
        <v/>
      </c>
      <c r="H24" s="6" t="str">
        <f>IF(ISBLANK([2]FoFsmonkeyCompl!M27),"",[2]FoFsmonkeyCompl!M27)</f>
        <v/>
      </c>
      <c r="I24" s="6" t="str">
        <f>IF(ISBLANK([2]FoFsmonkeyCompl!N27),"",[2]FoFsmonkeyCompl!N27)</f>
        <v/>
      </c>
      <c r="J24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24" s="11" t="str">
        <f>IFERROR(VLOOKUP(FoFanalysis7[[#This Row],[Currency of Reporting]],'[2]Xrate31.12.20'!$F$5:$H$28,3,0),"")</f>
        <v/>
      </c>
      <c r="L24" s="11" t="str">
        <f>IFERROR(IF(ISBLANK([2]FoFsmonkeyCompl!O27),"",[2]FoFsmonkeyCompl!O27*FoFanalysis7[[#This Row],[EUR]]),"")</f>
        <v/>
      </c>
      <c r="M24" s="8" t="str">
        <f>IFERROR(IF(ISBLANK([2]FoFsmonkeyCompl!P27),"",[2]FoFsmonkeyCompl!P27*FoFanalysis7[[#This Row],[EUR]]),"")</f>
        <v/>
      </c>
      <c r="N24" s="8" t="str">
        <f>IFERROR(IF(ISBLANK([2]FoFsmonkeyCompl!Q27),"",[2]FoFsmonkeyCompl!Q27*FoFanalysis7[[#This Row],[EUR]]),"")</f>
        <v/>
      </c>
      <c r="O24" s="8" t="str">
        <f>IFERROR(IF(ISBLANK([2]FoFsmonkeyCompl!R27),"",[2]FoFsmonkeyCompl!R27*FoFanalysis7[[#This Row],[EUR]]),"")</f>
        <v/>
      </c>
      <c r="P24" s="8" t="str">
        <f>IFERROR(IF(ISBLANK([2]FoFsmonkeyCompl!S27),"",[2]FoFsmonkeyCompl!S27*FoFanalysis7[[#This Row],[EUR]]),"")</f>
        <v/>
      </c>
      <c r="Q24" s="8" t="str">
        <f>IFERROR(IF(ISBLANK([2]FoFsmonkeyCompl!T27),"",[2]FoFsmonkeyCompl!T27*FoFanalysis7[[#This Row],[EUR]]),"")</f>
        <v/>
      </c>
      <c r="R24" s="8" t="str">
        <f>IFERROR(IF(ISBLANK([2]FoFsmonkeyCompl!U27),"",[2]FoFsmonkeyCompl!U27*FoFanalysis7[[#This Row],[EUR]]),"")</f>
        <v/>
      </c>
      <c r="S24" s="8" t="str">
        <f>IFERROR(IF(ISBLANK([2]FoFsmonkeyCompl!V27),"",[2]FoFsmonkeyCompl!V27*FoFanalysis7[[#This Row],[EUR]]),"")</f>
        <v/>
      </c>
      <c r="T24" s="8" t="str">
        <f>IFERROR(IF(ISBLANK([2]FoFsmonkeyCompl!W27),"",[2]FoFsmonkeyCompl!W27*FoFanalysis7[[#This Row],[EUR]]),"")</f>
        <v/>
      </c>
      <c r="U24" s="8" t="str">
        <f>IFERROR(IF(ISBLANK([2]FoFsmonkeyCompl!X27),"",[2]FoFsmonkeyCompl!X27*FoFanalysis7[[#This Row],[EUR]]),"")</f>
        <v/>
      </c>
      <c r="V24" s="8" t="str">
        <f>IFERROR(IF(ISBLANK([2]FoFsmonkeyCompl!Y27),"",[2]FoFsmonkeyCompl!Y27*FoFanalysis7[[#This Row],[EUR]]),"")</f>
        <v/>
      </c>
      <c r="W24" s="8" t="str">
        <f>IFERROR(IF(ISBLANK([2]FoFsmonkeyCompl!Z27),"",[2]FoFsmonkeyCompl!Z27*FoFanalysis7[[#This Row],[EUR]]),"")</f>
        <v/>
      </c>
      <c r="X24" s="8" t="str">
        <f>IFERROR(IF(ISBLANK([2]FoFsmonkeyCompl!AA27),"",[2]FoFsmonkeyCompl!AA27*FoFanalysis7[[#This Row],[EUR]]),"")</f>
        <v/>
      </c>
      <c r="Y24" s="8" t="str">
        <f>IFERROR(IF(ISBLANK([2]FoFsmonkeyCompl!AB27),"",[2]FoFsmonkeyCompl!AB27*FoFanalysis7[[#This Row],[EUR]]),"")</f>
        <v/>
      </c>
      <c r="Z24" s="8" t="str">
        <f>IFERROR(IF(ISBLANK([2]FoFsmonkeyCompl!AC27),"",[2]FoFsmonkeyCompl!AC27),"")</f>
        <v/>
      </c>
      <c r="AA24" s="8" t="str">
        <f>IFERROR(IF(ISBLANK([2]FoFsmonkeyCompl!AD27),"",[2]FoFsmonkeyCompl!AD27),"")</f>
        <v/>
      </c>
      <c r="AB24" s="8" t="str">
        <f>IFERROR(IF(ISBLANK([2]FoFsmonkeyCompl!AE27),"",[2]FoFsmonkeyCompl!AE27),"")</f>
        <v/>
      </c>
      <c r="AC24" s="8" t="str">
        <f>IFERROR(IF(ISBLANK([2]FoFsmonkeyCompl!AF27),"",[2]FoFsmonkeyCompl!AF27),"")</f>
        <v/>
      </c>
      <c r="AD24" s="8" t="str">
        <f>IFERROR(IF(ISBLANK([2]FoFsmonkeyCompl!AG27),"",[2]FoFsmonkeyCompl!AG27),"")</f>
        <v/>
      </c>
      <c r="AE24" s="8" t="str">
        <f>IFERROR(IF(ISBLANK([2]FoFsmonkeyCompl!AH27),"",[2]FoFsmonkeyCompl!AH27),"")</f>
        <v/>
      </c>
      <c r="AF24" s="40" t="str">
        <f>IFERROR(INDEX([2]FundOfFundsUniverse!$B$2:$EU$700,MATCH($C24,[2]FundOfFundsUniverse!$A$2:$A$700,0),MATCH($AF$1,[2]FundOfFundsUniverse!$B$1:$EU$1,0)),"")</f>
        <v/>
      </c>
    </row>
    <row r="25" spans="1:32" ht="14.25" thickTop="1" thickBot="1" x14ac:dyDescent="0.25">
      <c r="A25" s="5" t="str">
        <f>IF(OR(ISTEXT([2]FoFsmonkeyCompl!J28),ISNUMBER([2]FoFsmonkeyCompl!J28)),[2]FoFsmonkeyCompl!J28,"")</f>
        <v/>
      </c>
      <c r="B25" s="6" t="str">
        <f>IF(OR(ISTEXT([2]FoFsmonkeyCompl!K28),ISNUMBER([2]FoFsmonkeyCompl!K28)),[2]FoFsmonkeyCompl!K28,"")</f>
        <v/>
      </c>
      <c r="C25" s="7"/>
      <c r="D25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25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25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25" s="6" t="str">
        <f>IF(ISBLANK([2]FoFsmonkeyCompl!L28),"",[2]FoFsmonkeyCompl!L28)</f>
        <v/>
      </c>
      <c r="H25" s="6" t="str">
        <f>IF(ISBLANK([2]FoFsmonkeyCompl!M28),"",[2]FoFsmonkeyCompl!M28)</f>
        <v/>
      </c>
      <c r="I25" s="6" t="str">
        <f>IF(ISBLANK([2]FoFsmonkeyCompl!N28),"",[2]FoFsmonkeyCompl!N28)</f>
        <v/>
      </c>
      <c r="J25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25" s="11" t="str">
        <f>IFERROR(VLOOKUP(FoFanalysis7[[#This Row],[Currency of Reporting]],'[2]Xrate31.12.20'!$F$5:$H$28,3,0),"")</f>
        <v/>
      </c>
      <c r="L25" s="11" t="str">
        <f>IFERROR(IF(ISBLANK([2]FoFsmonkeyCompl!O28),"",[2]FoFsmonkeyCompl!O28*FoFanalysis7[[#This Row],[EUR]]),"")</f>
        <v/>
      </c>
      <c r="M25" s="8" t="str">
        <f>IFERROR(IF(ISBLANK([2]FoFsmonkeyCompl!P28),"",[2]FoFsmonkeyCompl!P28*FoFanalysis7[[#This Row],[EUR]]),"")</f>
        <v/>
      </c>
      <c r="N25" s="8" t="str">
        <f>IFERROR(IF(ISBLANK([2]FoFsmonkeyCompl!Q28),"",[2]FoFsmonkeyCompl!Q28*FoFanalysis7[[#This Row],[EUR]]),"")</f>
        <v/>
      </c>
      <c r="O25" s="8" t="str">
        <f>IFERROR(IF(ISBLANK([2]FoFsmonkeyCompl!R28),"",[2]FoFsmonkeyCompl!R28*FoFanalysis7[[#This Row],[EUR]]),"")</f>
        <v/>
      </c>
      <c r="P25" s="8" t="str">
        <f>IFERROR(IF(ISBLANK([2]FoFsmonkeyCompl!S28),"",[2]FoFsmonkeyCompl!S28*FoFanalysis7[[#This Row],[EUR]]),"")</f>
        <v/>
      </c>
      <c r="Q25" s="8" t="str">
        <f>IFERROR(IF(ISBLANK([2]FoFsmonkeyCompl!T28),"",[2]FoFsmonkeyCompl!T28*FoFanalysis7[[#This Row],[EUR]]),"")</f>
        <v/>
      </c>
      <c r="R25" s="8" t="str">
        <f>IFERROR(IF(ISBLANK([2]FoFsmonkeyCompl!U28),"",[2]FoFsmonkeyCompl!U28*FoFanalysis7[[#This Row],[EUR]]),"")</f>
        <v/>
      </c>
      <c r="S25" s="8" t="str">
        <f>IFERROR(IF(ISBLANK([2]FoFsmonkeyCompl!V28),"",[2]FoFsmonkeyCompl!V28*FoFanalysis7[[#This Row],[EUR]]),"")</f>
        <v/>
      </c>
      <c r="T25" s="8" t="str">
        <f>IFERROR(IF(ISBLANK([2]FoFsmonkeyCompl!W28),"",[2]FoFsmonkeyCompl!W28*FoFanalysis7[[#This Row],[EUR]]),"")</f>
        <v/>
      </c>
      <c r="U25" s="8" t="str">
        <f>IFERROR(IF(ISBLANK([2]FoFsmonkeyCompl!X28),"",[2]FoFsmonkeyCompl!X28*FoFanalysis7[[#This Row],[EUR]]),"")</f>
        <v/>
      </c>
      <c r="V25" s="8" t="str">
        <f>IFERROR(IF(ISBLANK([2]FoFsmonkeyCompl!Y28),"",[2]FoFsmonkeyCompl!Y28*FoFanalysis7[[#This Row],[EUR]]),"")</f>
        <v/>
      </c>
      <c r="W25" s="8" t="str">
        <f>IFERROR(IF(ISBLANK([2]FoFsmonkeyCompl!Z28),"",[2]FoFsmonkeyCompl!Z28*FoFanalysis7[[#This Row],[EUR]]),"")</f>
        <v/>
      </c>
      <c r="X25" s="8" t="str">
        <f>IFERROR(IF(ISBLANK([2]FoFsmonkeyCompl!AA28),"",[2]FoFsmonkeyCompl!AA28*FoFanalysis7[[#This Row],[EUR]]),"")</f>
        <v/>
      </c>
      <c r="Y25" s="8" t="str">
        <f>IFERROR(IF(ISBLANK([2]FoFsmonkeyCompl!AB28),"",[2]FoFsmonkeyCompl!AB28*FoFanalysis7[[#This Row],[EUR]]),"")</f>
        <v/>
      </c>
      <c r="Z25" s="8" t="str">
        <f>IFERROR(IF(ISBLANK([2]FoFsmonkeyCompl!AC28),"",[2]FoFsmonkeyCompl!AC28),"")</f>
        <v/>
      </c>
      <c r="AA25" s="8" t="str">
        <f>IFERROR(IF(ISBLANK([2]FoFsmonkeyCompl!AD28),"",[2]FoFsmonkeyCompl!AD28),"")</f>
        <v/>
      </c>
      <c r="AB25" s="8" t="str">
        <f>IFERROR(IF(ISBLANK([2]FoFsmonkeyCompl!AE28),"",[2]FoFsmonkeyCompl!AE28),"")</f>
        <v/>
      </c>
      <c r="AC25" s="8" t="str">
        <f>IFERROR(IF(ISBLANK([2]FoFsmonkeyCompl!AF28),"",[2]FoFsmonkeyCompl!AF28),"")</f>
        <v/>
      </c>
      <c r="AD25" s="8" t="str">
        <f>IFERROR(IF(ISBLANK([2]FoFsmonkeyCompl!AG28),"",[2]FoFsmonkeyCompl!AG28),"")</f>
        <v/>
      </c>
      <c r="AE25" s="8" t="str">
        <f>IFERROR(IF(ISBLANK([2]FoFsmonkeyCompl!AH28),"",[2]FoFsmonkeyCompl!AH28),"")</f>
        <v/>
      </c>
      <c r="AF25" s="40" t="str">
        <f>IFERROR(INDEX([2]FundOfFundsUniverse!$B$2:$EU$700,MATCH($C25,[2]FundOfFundsUniverse!$A$2:$A$700,0),MATCH($AF$1,[2]FundOfFundsUniverse!$B$1:$EU$1,0)),"")</f>
        <v/>
      </c>
    </row>
    <row r="26" spans="1:32" ht="14.25" thickTop="1" thickBot="1" x14ac:dyDescent="0.25">
      <c r="A26" s="9" t="str">
        <f>IF(OR(ISTEXT([2]FoFsmonkeyCompl!J29),ISNUMBER([2]FoFsmonkeyCompl!J29)),[2]FoFsmonkeyCompl!J29,"")</f>
        <v/>
      </c>
      <c r="B26" s="6" t="str">
        <f>IF(OR(ISTEXT([2]FoFsmonkeyCompl!K29),ISNUMBER([2]FoFsmonkeyCompl!K29)),[2]FoFsmonkeyCompl!K29,"")</f>
        <v/>
      </c>
      <c r="C26" s="7"/>
      <c r="D26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26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26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26" s="6" t="str">
        <f>IF(ISBLANK([2]FoFsmonkeyCompl!L29),"",[2]FoFsmonkeyCompl!L29)</f>
        <v/>
      </c>
      <c r="H26" s="6" t="str">
        <f>IF(ISBLANK([2]FoFsmonkeyCompl!M29),"",[2]FoFsmonkeyCompl!M29)</f>
        <v/>
      </c>
      <c r="I26" s="6" t="str">
        <f>IF(ISBLANK([2]FoFsmonkeyCompl!N29),"",[2]FoFsmonkeyCompl!N29)</f>
        <v/>
      </c>
      <c r="J26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26" s="11" t="str">
        <f>IFERROR(VLOOKUP(FoFanalysis7[[#This Row],[Currency of Reporting]],'[2]Xrate31.12.20'!$F$5:$H$28,3,0),"")</f>
        <v/>
      </c>
      <c r="L26" s="11" t="str">
        <f>IFERROR(IF(ISBLANK([2]FoFsmonkeyCompl!O29),"",[2]FoFsmonkeyCompl!O29*FoFanalysis7[[#This Row],[EUR]]),"")</f>
        <v/>
      </c>
      <c r="M26" s="8" t="str">
        <f>IFERROR(IF(ISBLANK([2]FoFsmonkeyCompl!P29),"",[2]FoFsmonkeyCompl!P29*FoFanalysis7[[#This Row],[EUR]]),"")</f>
        <v/>
      </c>
      <c r="N26" s="8" t="str">
        <f>IFERROR(IF(ISBLANK([2]FoFsmonkeyCompl!Q29),"",[2]FoFsmonkeyCompl!Q29*FoFanalysis7[[#This Row],[EUR]]),"")</f>
        <v/>
      </c>
      <c r="O26" s="8" t="str">
        <f>IFERROR(IF(ISBLANK([2]FoFsmonkeyCompl!R29),"",[2]FoFsmonkeyCompl!R29*FoFanalysis7[[#This Row],[EUR]]),"")</f>
        <v/>
      </c>
      <c r="P26" s="8" t="str">
        <f>IFERROR(IF(ISBLANK([2]FoFsmonkeyCompl!S29),"",[2]FoFsmonkeyCompl!S29*FoFanalysis7[[#This Row],[EUR]]),"")</f>
        <v/>
      </c>
      <c r="Q26" s="8" t="str">
        <f>IFERROR(IF(ISBLANK([2]FoFsmonkeyCompl!T29),"",[2]FoFsmonkeyCompl!T29*FoFanalysis7[[#This Row],[EUR]]),"")</f>
        <v/>
      </c>
      <c r="R26" s="8" t="str">
        <f>IFERROR(IF(ISBLANK([2]FoFsmonkeyCompl!U29),"",[2]FoFsmonkeyCompl!U29*FoFanalysis7[[#This Row],[EUR]]),"")</f>
        <v/>
      </c>
      <c r="S26" s="8" t="str">
        <f>IFERROR(IF(ISBLANK([2]FoFsmonkeyCompl!V29),"",[2]FoFsmonkeyCompl!V29*FoFanalysis7[[#This Row],[EUR]]),"")</f>
        <v/>
      </c>
      <c r="T26" s="8" t="str">
        <f>IFERROR(IF(ISBLANK([2]FoFsmonkeyCompl!W29),"",[2]FoFsmonkeyCompl!W29*FoFanalysis7[[#This Row],[EUR]]),"")</f>
        <v/>
      </c>
      <c r="U26" s="8" t="str">
        <f>IFERROR(IF(ISBLANK([2]FoFsmonkeyCompl!X29),"",[2]FoFsmonkeyCompl!X29*FoFanalysis7[[#This Row],[EUR]]),"")</f>
        <v/>
      </c>
      <c r="V26" s="8" t="str">
        <f>IFERROR(IF(ISBLANK([2]FoFsmonkeyCompl!Y29),"",[2]FoFsmonkeyCompl!Y29*FoFanalysis7[[#This Row],[EUR]]),"")</f>
        <v/>
      </c>
      <c r="W26" s="8" t="str">
        <f>IFERROR(IF(ISBLANK([2]FoFsmonkeyCompl!Z29),"",[2]FoFsmonkeyCompl!Z29*FoFanalysis7[[#This Row],[EUR]]),"")</f>
        <v/>
      </c>
      <c r="X26" s="8" t="str">
        <f>IFERROR(IF(ISBLANK([2]FoFsmonkeyCompl!AA29),"",[2]FoFsmonkeyCompl!AA29*FoFanalysis7[[#This Row],[EUR]]),"")</f>
        <v/>
      </c>
      <c r="Y26" s="8" t="str">
        <f>IFERROR(IF(ISBLANK([2]FoFsmonkeyCompl!AB29),"",[2]FoFsmonkeyCompl!AB29*FoFanalysis7[[#This Row],[EUR]]),"")</f>
        <v/>
      </c>
      <c r="Z26" s="8" t="str">
        <f>IFERROR(IF(ISBLANK([2]FoFsmonkeyCompl!AC29),"",[2]FoFsmonkeyCompl!AC29),"")</f>
        <v/>
      </c>
      <c r="AA26" s="8" t="str">
        <f>IFERROR(IF(ISBLANK([2]FoFsmonkeyCompl!AD29),"",[2]FoFsmonkeyCompl!AD29),"")</f>
        <v/>
      </c>
      <c r="AB26" s="8" t="str">
        <f>IFERROR(IF(ISBLANK([2]FoFsmonkeyCompl!AE29),"",[2]FoFsmonkeyCompl!AE29),"")</f>
        <v/>
      </c>
      <c r="AC26" s="8" t="str">
        <f>IFERROR(IF(ISBLANK([2]FoFsmonkeyCompl!AF29),"",[2]FoFsmonkeyCompl!AF29),"")</f>
        <v/>
      </c>
      <c r="AD26" s="8" t="str">
        <f>IFERROR(IF(ISBLANK([2]FoFsmonkeyCompl!AG29),"",[2]FoFsmonkeyCompl!AG29),"")</f>
        <v/>
      </c>
      <c r="AE26" s="8" t="str">
        <f>IFERROR(IF(ISBLANK([2]FoFsmonkeyCompl!AH29),"",[2]FoFsmonkeyCompl!AH29),"")</f>
        <v/>
      </c>
      <c r="AF26" s="40" t="str">
        <f>IFERROR(INDEX([2]FundOfFundsUniverse!$B$2:$EU$700,MATCH($C26,[2]FundOfFundsUniverse!$A$2:$A$700,0),MATCH($AF$1,[2]FundOfFundsUniverse!$B$1:$EU$1,0)),"")</f>
        <v/>
      </c>
    </row>
    <row r="27" spans="1:32" ht="14.25" thickTop="1" thickBot="1" x14ac:dyDescent="0.25">
      <c r="A27" s="5" t="str">
        <f>IF(OR(ISTEXT([2]FoFsmonkeyCompl!J30),ISNUMBER([2]FoFsmonkeyCompl!J30)),[2]FoFsmonkeyCompl!J30,"")</f>
        <v/>
      </c>
      <c r="B27" s="6" t="str">
        <f>IF(OR(ISTEXT([2]FoFsmonkeyCompl!K30),ISNUMBER([2]FoFsmonkeyCompl!K30)),[2]FoFsmonkeyCompl!K30,"")</f>
        <v/>
      </c>
      <c r="C27" s="7"/>
      <c r="D27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27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27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27" s="6" t="str">
        <f>IF(ISBLANK([2]FoFsmonkeyCompl!L30),"",[2]FoFsmonkeyCompl!L30)</f>
        <v/>
      </c>
      <c r="H27" s="6" t="str">
        <f>IF(ISBLANK([2]FoFsmonkeyCompl!M30),"",[2]FoFsmonkeyCompl!M30)</f>
        <v/>
      </c>
      <c r="I27" s="6" t="str">
        <f>IF(ISBLANK([2]FoFsmonkeyCompl!N30),"",[2]FoFsmonkeyCompl!N30)</f>
        <v/>
      </c>
      <c r="J27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27" s="11" t="str">
        <f>IFERROR(VLOOKUP(FoFanalysis7[[#This Row],[Currency of Reporting]],'[2]Xrate31.12.20'!$F$5:$H$28,3,0),"")</f>
        <v/>
      </c>
      <c r="L27" s="11" t="str">
        <f>IFERROR(IF(ISBLANK([2]FoFsmonkeyCompl!O30),"",[2]FoFsmonkeyCompl!O30*FoFanalysis7[[#This Row],[EUR]]),"")</f>
        <v/>
      </c>
      <c r="M27" s="8" t="str">
        <f>IFERROR(IF(ISBLANK([2]FoFsmonkeyCompl!P30),"",[2]FoFsmonkeyCompl!P30*FoFanalysis7[[#This Row],[EUR]]),"")</f>
        <v/>
      </c>
      <c r="N27" s="8" t="str">
        <f>IFERROR(IF(ISBLANK([2]FoFsmonkeyCompl!Q30),"",[2]FoFsmonkeyCompl!Q30*FoFanalysis7[[#This Row],[EUR]]),"")</f>
        <v/>
      </c>
      <c r="O27" s="8" t="str">
        <f>IFERROR(IF(ISBLANK([2]FoFsmonkeyCompl!R30),"",[2]FoFsmonkeyCompl!R30*FoFanalysis7[[#This Row],[EUR]]),"")</f>
        <v/>
      </c>
      <c r="P27" s="8" t="str">
        <f>IFERROR(IF(ISBLANK([2]FoFsmonkeyCompl!S30),"",[2]FoFsmonkeyCompl!S30*FoFanalysis7[[#This Row],[EUR]]),"")</f>
        <v/>
      </c>
      <c r="Q27" s="8" t="str">
        <f>IFERROR(IF(ISBLANK([2]FoFsmonkeyCompl!T30),"",[2]FoFsmonkeyCompl!T30*FoFanalysis7[[#This Row],[EUR]]),"")</f>
        <v/>
      </c>
      <c r="R27" s="8" t="str">
        <f>IFERROR(IF(ISBLANK([2]FoFsmonkeyCompl!U30),"",[2]FoFsmonkeyCompl!U30*FoFanalysis7[[#This Row],[EUR]]),"")</f>
        <v/>
      </c>
      <c r="S27" s="8" t="str">
        <f>IFERROR(IF(ISBLANK([2]FoFsmonkeyCompl!V30),"",[2]FoFsmonkeyCompl!V30*FoFanalysis7[[#This Row],[EUR]]),"")</f>
        <v/>
      </c>
      <c r="T27" s="8" t="str">
        <f>IFERROR(IF(ISBLANK([2]FoFsmonkeyCompl!W30),"",[2]FoFsmonkeyCompl!W30*FoFanalysis7[[#This Row],[EUR]]),"")</f>
        <v/>
      </c>
      <c r="U27" s="8" t="str">
        <f>IFERROR(IF(ISBLANK([2]FoFsmonkeyCompl!X30),"",[2]FoFsmonkeyCompl!X30*FoFanalysis7[[#This Row],[EUR]]),"")</f>
        <v/>
      </c>
      <c r="V27" s="8" t="str">
        <f>IFERROR(IF(ISBLANK([2]FoFsmonkeyCompl!Y30),"",[2]FoFsmonkeyCompl!Y30*FoFanalysis7[[#This Row],[EUR]]),"")</f>
        <v/>
      </c>
      <c r="W27" s="8" t="str">
        <f>IFERROR(IF(ISBLANK([2]FoFsmonkeyCompl!Z30),"",[2]FoFsmonkeyCompl!Z30*FoFanalysis7[[#This Row],[EUR]]),"")</f>
        <v/>
      </c>
      <c r="X27" s="8" t="str">
        <f>IFERROR(IF(ISBLANK([2]FoFsmonkeyCompl!AA30),"",[2]FoFsmonkeyCompl!AA30*FoFanalysis7[[#This Row],[EUR]]),"")</f>
        <v/>
      </c>
      <c r="Y27" s="8" t="str">
        <f>IFERROR(IF(ISBLANK([2]FoFsmonkeyCompl!AB30),"",[2]FoFsmonkeyCompl!AB30*FoFanalysis7[[#This Row],[EUR]]),"")</f>
        <v/>
      </c>
      <c r="Z27" s="8" t="str">
        <f>IFERROR(IF(ISBLANK([2]FoFsmonkeyCompl!AC30),"",[2]FoFsmonkeyCompl!AC30),"")</f>
        <v/>
      </c>
      <c r="AA27" s="8" t="str">
        <f>IFERROR(IF(ISBLANK([2]FoFsmonkeyCompl!AD30),"",[2]FoFsmonkeyCompl!AD30),"")</f>
        <v/>
      </c>
      <c r="AB27" s="8" t="str">
        <f>IFERROR(IF(ISBLANK([2]FoFsmonkeyCompl!AE30),"",[2]FoFsmonkeyCompl!AE30),"")</f>
        <v/>
      </c>
      <c r="AC27" s="8" t="str">
        <f>IFERROR(IF(ISBLANK([2]FoFsmonkeyCompl!AF30),"",[2]FoFsmonkeyCompl!AF30),"")</f>
        <v/>
      </c>
      <c r="AD27" s="8" t="str">
        <f>IFERROR(IF(ISBLANK([2]FoFsmonkeyCompl!AG30),"",[2]FoFsmonkeyCompl!AG30),"")</f>
        <v/>
      </c>
      <c r="AE27" s="8" t="str">
        <f>IFERROR(IF(ISBLANK([2]FoFsmonkeyCompl!AH30),"",[2]FoFsmonkeyCompl!AH30),"")</f>
        <v/>
      </c>
      <c r="AF27" s="40" t="str">
        <f>IFERROR(INDEX([2]FundOfFundsUniverse!$B$2:$EU$700,MATCH($C27,[2]FundOfFundsUniverse!$A$2:$A$700,0),MATCH($AF$1,[2]FundOfFundsUniverse!$B$1:$EU$1,0)),"")</f>
        <v/>
      </c>
    </row>
    <row r="28" spans="1:32" ht="14.25" thickTop="1" thickBot="1" x14ac:dyDescent="0.25">
      <c r="A28" s="9" t="str">
        <f>IF(OR(ISTEXT([2]FoFsmonkeyCompl!J31),ISNUMBER([2]FoFsmonkeyCompl!J31)),[2]FoFsmonkeyCompl!J31,"")</f>
        <v/>
      </c>
      <c r="B28" s="6" t="str">
        <f>IF(OR(ISTEXT([2]FoFsmonkeyCompl!K31),ISNUMBER([2]FoFsmonkeyCompl!K31)),[2]FoFsmonkeyCompl!K31,"")</f>
        <v/>
      </c>
      <c r="C28" s="7"/>
      <c r="D28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28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28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28" s="6" t="str">
        <f>IF(ISBLANK([2]FoFsmonkeyCompl!L31),"",[2]FoFsmonkeyCompl!L31)</f>
        <v/>
      </c>
      <c r="H28" s="6" t="str">
        <f>IF(ISBLANK([2]FoFsmonkeyCompl!M31),"",[2]FoFsmonkeyCompl!M31)</f>
        <v/>
      </c>
      <c r="I28" s="6" t="str">
        <f>IF(ISBLANK([2]FoFsmonkeyCompl!N31),"",[2]FoFsmonkeyCompl!N31)</f>
        <v/>
      </c>
      <c r="J28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28" s="11" t="str">
        <f>IFERROR(VLOOKUP(FoFanalysis7[[#This Row],[Currency of Reporting]],'[2]Xrate31.12.20'!$F$5:$H$28,3,0),"")</f>
        <v/>
      </c>
      <c r="L28" s="11" t="str">
        <f>IFERROR(IF(ISBLANK([2]FoFsmonkeyCompl!O31),"",[2]FoFsmonkeyCompl!O31*FoFanalysis7[[#This Row],[EUR]]),"")</f>
        <v/>
      </c>
      <c r="M28" s="8" t="str">
        <f>IFERROR(IF(ISBLANK([2]FoFsmonkeyCompl!P31),"",[2]FoFsmonkeyCompl!P31*FoFanalysis7[[#This Row],[EUR]]),"")</f>
        <v/>
      </c>
      <c r="N28" s="8" t="str">
        <f>IFERROR(IF(ISBLANK([2]FoFsmonkeyCompl!Q31),"",[2]FoFsmonkeyCompl!Q31*FoFanalysis7[[#This Row],[EUR]]),"")</f>
        <v/>
      </c>
      <c r="O28" s="8" t="str">
        <f>IFERROR(IF(ISBLANK([2]FoFsmonkeyCompl!R31),"",[2]FoFsmonkeyCompl!R31*FoFanalysis7[[#This Row],[EUR]]),"")</f>
        <v/>
      </c>
      <c r="P28" s="8" t="str">
        <f>IFERROR(IF(ISBLANK([2]FoFsmonkeyCompl!S31),"",[2]FoFsmonkeyCompl!S31*FoFanalysis7[[#This Row],[EUR]]),"")</f>
        <v/>
      </c>
      <c r="Q28" s="8" t="str">
        <f>IFERROR(IF(ISBLANK([2]FoFsmonkeyCompl!T31),"",[2]FoFsmonkeyCompl!T31*FoFanalysis7[[#This Row],[EUR]]),"")</f>
        <v/>
      </c>
      <c r="R28" s="8" t="str">
        <f>IFERROR(IF(ISBLANK([2]FoFsmonkeyCompl!U31),"",[2]FoFsmonkeyCompl!U31*FoFanalysis7[[#This Row],[EUR]]),"")</f>
        <v/>
      </c>
      <c r="S28" s="8" t="str">
        <f>IFERROR(IF(ISBLANK([2]FoFsmonkeyCompl!V31),"",[2]FoFsmonkeyCompl!V31*FoFanalysis7[[#This Row],[EUR]]),"")</f>
        <v/>
      </c>
      <c r="T28" s="8" t="str">
        <f>IFERROR(IF(ISBLANK([2]FoFsmonkeyCompl!W31),"",[2]FoFsmonkeyCompl!W31*FoFanalysis7[[#This Row],[EUR]]),"")</f>
        <v/>
      </c>
      <c r="U28" s="8" t="str">
        <f>IFERROR(IF(ISBLANK([2]FoFsmonkeyCompl!X31),"",[2]FoFsmonkeyCompl!X31*FoFanalysis7[[#This Row],[EUR]]),"")</f>
        <v/>
      </c>
      <c r="V28" s="8" t="str">
        <f>IFERROR(IF(ISBLANK([2]FoFsmonkeyCompl!Y31),"",[2]FoFsmonkeyCompl!Y31*FoFanalysis7[[#This Row],[EUR]]),"")</f>
        <v/>
      </c>
      <c r="W28" s="8" t="str">
        <f>IFERROR(IF(ISBLANK([2]FoFsmonkeyCompl!Z31),"",[2]FoFsmonkeyCompl!Z31*FoFanalysis7[[#This Row],[EUR]]),"")</f>
        <v/>
      </c>
      <c r="X28" s="8" t="str">
        <f>IFERROR(IF(ISBLANK([2]FoFsmonkeyCompl!AA31),"",[2]FoFsmonkeyCompl!AA31*FoFanalysis7[[#This Row],[EUR]]),"")</f>
        <v/>
      </c>
      <c r="Y28" s="8" t="str">
        <f>IFERROR(IF(ISBLANK([2]FoFsmonkeyCompl!AB31),"",[2]FoFsmonkeyCompl!AB31*FoFanalysis7[[#This Row],[EUR]]),"")</f>
        <v/>
      </c>
      <c r="Z28" s="8" t="str">
        <f>IFERROR(IF(ISBLANK([2]FoFsmonkeyCompl!AC31),"",[2]FoFsmonkeyCompl!AC31),"")</f>
        <v/>
      </c>
      <c r="AA28" s="8" t="str">
        <f>IFERROR(IF(ISBLANK([2]FoFsmonkeyCompl!AD31),"",[2]FoFsmonkeyCompl!AD31),"")</f>
        <v/>
      </c>
      <c r="AB28" s="8" t="str">
        <f>IFERROR(IF(ISBLANK([2]FoFsmonkeyCompl!AE31),"",[2]FoFsmonkeyCompl!AE31),"")</f>
        <v/>
      </c>
      <c r="AC28" s="8" t="str">
        <f>IFERROR(IF(ISBLANK([2]FoFsmonkeyCompl!AF31),"",[2]FoFsmonkeyCompl!AF31),"")</f>
        <v/>
      </c>
      <c r="AD28" s="8" t="str">
        <f>IFERROR(IF(ISBLANK([2]FoFsmonkeyCompl!AG31),"",[2]FoFsmonkeyCompl!AG31),"")</f>
        <v/>
      </c>
      <c r="AE28" s="8" t="str">
        <f>IFERROR(IF(ISBLANK([2]FoFsmonkeyCompl!AH31),"",[2]FoFsmonkeyCompl!AH31),"")</f>
        <v/>
      </c>
      <c r="AF28" s="40" t="str">
        <f>IFERROR(INDEX([2]FundOfFundsUniverse!$B$2:$EU$700,MATCH($C28,[2]FundOfFundsUniverse!$A$2:$A$700,0),MATCH($AF$1,[2]FundOfFundsUniverse!$B$1:$EU$1,0)),"")</f>
        <v/>
      </c>
    </row>
    <row r="29" spans="1:32" ht="14.25" thickTop="1" thickBot="1" x14ac:dyDescent="0.25">
      <c r="A29" s="5" t="str">
        <f>IF(OR(ISTEXT([2]FoFsmonkeyCompl!J32),ISNUMBER([2]FoFsmonkeyCompl!J32)),[2]FoFsmonkeyCompl!J32,"")</f>
        <v/>
      </c>
      <c r="B29" s="6" t="str">
        <f>IF(OR(ISTEXT([2]FoFsmonkeyCompl!K32),ISNUMBER([2]FoFsmonkeyCompl!K32)),[2]FoFsmonkeyCompl!K32,"")</f>
        <v/>
      </c>
      <c r="C29" s="7"/>
      <c r="D29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29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29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29" s="6" t="str">
        <f>IF(ISBLANK([2]FoFsmonkeyCompl!L32),"",[2]FoFsmonkeyCompl!L32)</f>
        <v/>
      </c>
      <c r="H29" s="6" t="str">
        <f>IF(ISBLANK([2]FoFsmonkeyCompl!M32),"",[2]FoFsmonkeyCompl!M32)</f>
        <v/>
      </c>
      <c r="I29" s="6" t="str">
        <f>IF(ISBLANK([2]FoFsmonkeyCompl!N32),"",[2]FoFsmonkeyCompl!N32)</f>
        <v/>
      </c>
      <c r="J29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29" s="11" t="str">
        <f>IFERROR(VLOOKUP(FoFanalysis7[[#This Row],[Currency of Reporting]],'[2]Xrate31.12.20'!$F$5:$H$28,3,0),"")</f>
        <v/>
      </c>
      <c r="L29" s="11" t="str">
        <f>IFERROR(IF(ISBLANK([2]FoFsmonkeyCompl!O32),"",[2]FoFsmonkeyCompl!O32*FoFanalysis7[[#This Row],[EUR]]),"")</f>
        <v/>
      </c>
      <c r="M29" s="8" t="str">
        <f>IFERROR(IF(ISBLANK([2]FoFsmonkeyCompl!P32),"",[2]FoFsmonkeyCompl!P32*FoFanalysis7[[#This Row],[EUR]]),"")</f>
        <v/>
      </c>
      <c r="N29" s="8" t="str">
        <f>IFERROR(IF(ISBLANK([2]FoFsmonkeyCompl!Q32),"",[2]FoFsmonkeyCompl!Q32*FoFanalysis7[[#This Row],[EUR]]),"")</f>
        <v/>
      </c>
      <c r="O29" s="8" t="str">
        <f>IFERROR(IF(ISBLANK([2]FoFsmonkeyCompl!R32),"",[2]FoFsmonkeyCompl!R32*FoFanalysis7[[#This Row],[EUR]]),"")</f>
        <v/>
      </c>
      <c r="P29" s="8" t="str">
        <f>IFERROR(IF(ISBLANK([2]FoFsmonkeyCompl!S32),"",[2]FoFsmonkeyCompl!S32*FoFanalysis7[[#This Row],[EUR]]),"")</f>
        <v/>
      </c>
      <c r="Q29" s="8" t="str">
        <f>IFERROR(IF(ISBLANK([2]FoFsmonkeyCompl!T32),"",[2]FoFsmonkeyCompl!T32*FoFanalysis7[[#This Row],[EUR]]),"")</f>
        <v/>
      </c>
      <c r="R29" s="8" t="str">
        <f>IFERROR(IF(ISBLANK([2]FoFsmonkeyCompl!U32),"",[2]FoFsmonkeyCompl!U32*FoFanalysis7[[#This Row],[EUR]]),"")</f>
        <v/>
      </c>
      <c r="S29" s="8" t="str">
        <f>IFERROR(IF(ISBLANK([2]FoFsmonkeyCompl!V32),"",[2]FoFsmonkeyCompl!V32*FoFanalysis7[[#This Row],[EUR]]),"")</f>
        <v/>
      </c>
      <c r="T29" s="8" t="str">
        <f>IFERROR(IF(ISBLANK([2]FoFsmonkeyCompl!W32),"",[2]FoFsmonkeyCompl!W32*FoFanalysis7[[#This Row],[EUR]]),"")</f>
        <v/>
      </c>
      <c r="U29" s="8" t="str">
        <f>IFERROR(IF(ISBLANK([2]FoFsmonkeyCompl!X32),"",[2]FoFsmonkeyCompl!X32*FoFanalysis7[[#This Row],[EUR]]),"")</f>
        <v/>
      </c>
      <c r="V29" s="8" t="str">
        <f>IFERROR(IF(ISBLANK([2]FoFsmonkeyCompl!Y32),"",[2]FoFsmonkeyCompl!Y32*FoFanalysis7[[#This Row],[EUR]]),"")</f>
        <v/>
      </c>
      <c r="W29" s="8" t="str">
        <f>IFERROR(IF(ISBLANK([2]FoFsmonkeyCompl!Z32),"",[2]FoFsmonkeyCompl!Z32*FoFanalysis7[[#This Row],[EUR]]),"")</f>
        <v/>
      </c>
      <c r="X29" s="8" t="str">
        <f>IFERROR(IF(ISBLANK([2]FoFsmonkeyCompl!AA32),"",[2]FoFsmonkeyCompl!AA32*FoFanalysis7[[#This Row],[EUR]]),"")</f>
        <v/>
      </c>
      <c r="Y29" s="8" t="str">
        <f>IFERROR(IF(ISBLANK([2]FoFsmonkeyCompl!AB32),"",[2]FoFsmonkeyCompl!AB32*FoFanalysis7[[#This Row],[EUR]]),"")</f>
        <v/>
      </c>
      <c r="Z29" s="8" t="str">
        <f>IFERROR(IF(ISBLANK([2]FoFsmonkeyCompl!AC32),"",[2]FoFsmonkeyCompl!AC32),"")</f>
        <v/>
      </c>
      <c r="AA29" s="8" t="str">
        <f>IFERROR(IF(ISBLANK([2]FoFsmonkeyCompl!AD32),"",[2]FoFsmonkeyCompl!AD32),"")</f>
        <v/>
      </c>
      <c r="AB29" s="8" t="str">
        <f>IFERROR(IF(ISBLANK([2]FoFsmonkeyCompl!AE32),"",[2]FoFsmonkeyCompl!AE32),"")</f>
        <v/>
      </c>
      <c r="AC29" s="8" t="str">
        <f>IFERROR(IF(ISBLANK([2]FoFsmonkeyCompl!AF32),"",[2]FoFsmonkeyCompl!AF32),"")</f>
        <v/>
      </c>
      <c r="AD29" s="8" t="str">
        <f>IFERROR(IF(ISBLANK([2]FoFsmonkeyCompl!AG32),"",[2]FoFsmonkeyCompl!AG32),"")</f>
        <v/>
      </c>
      <c r="AE29" s="8" t="str">
        <f>IFERROR(IF(ISBLANK([2]FoFsmonkeyCompl!AH32),"",[2]FoFsmonkeyCompl!AH32),"")</f>
        <v/>
      </c>
      <c r="AF29" s="40" t="str">
        <f>IFERROR(INDEX([2]FundOfFundsUniverse!$B$2:$EU$700,MATCH($C29,[2]FundOfFundsUniverse!$A$2:$A$700,0),MATCH($AF$1,[2]FundOfFundsUniverse!$B$1:$EU$1,0)),"")</f>
        <v/>
      </c>
    </row>
    <row r="30" spans="1:32" ht="14.25" thickTop="1" thickBot="1" x14ac:dyDescent="0.25">
      <c r="A30" s="9" t="str">
        <f>IF(OR(ISTEXT([2]FoFsmonkeyCompl!J33),ISNUMBER([2]FoFsmonkeyCompl!J33)),[2]FoFsmonkeyCompl!J33,"")</f>
        <v/>
      </c>
      <c r="B30" s="6" t="str">
        <f>IF(OR(ISTEXT([2]FoFsmonkeyCompl!K33),ISNUMBER([2]FoFsmonkeyCompl!K33)),[2]FoFsmonkeyCompl!K33,"")</f>
        <v/>
      </c>
      <c r="C30" s="7"/>
      <c r="D30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30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30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30" s="6" t="str">
        <f>IF(ISBLANK([2]FoFsmonkeyCompl!L33),"",[2]FoFsmonkeyCompl!L33)</f>
        <v/>
      </c>
      <c r="H30" s="6" t="str">
        <f>IF(ISBLANK([2]FoFsmonkeyCompl!M33),"",[2]FoFsmonkeyCompl!M33)</f>
        <v/>
      </c>
      <c r="I30" s="6" t="str">
        <f>IF(ISBLANK([2]FoFsmonkeyCompl!N33),"",[2]FoFsmonkeyCompl!N33)</f>
        <v/>
      </c>
      <c r="J30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30" s="11" t="str">
        <f>IFERROR(VLOOKUP(FoFanalysis7[[#This Row],[Currency of Reporting]],'[2]Xrate31.12.20'!$F$5:$H$28,3,0),"")</f>
        <v/>
      </c>
      <c r="L30" s="11" t="str">
        <f>IFERROR(IF(ISBLANK([2]FoFsmonkeyCompl!O33),"",[2]FoFsmonkeyCompl!O33*FoFanalysis7[[#This Row],[EUR]]),"")</f>
        <v/>
      </c>
      <c r="M30" s="8" t="str">
        <f>IFERROR(IF(ISBLANK([2]FoFsmonkeyCompl!P33),"",[2]FoFsmonkeyCompl!P33*FoFanalysis7[[#This Row],[EUR]]),"")</f>
        <v/>
      </c>
      <c r="N30" s="8" t="str">
        <f>IFERROR(IF(ISBLANK([2]FoFsmonkeyCompl!Q33),"",[2]FoFsmonkeyCompl!Q33*FoFanalysis7[[#This Row],[EUR]]),"")</f>
        <v/>
      </c>
      <c r="O30" s="8" t="str">
        <f>IFERROR(IF(ISBLANK([2]FoFsmonkeyCompl!R33),"",[2]FoFsmonkeyCompl!R33*FoFanalysis7[[#This Row],[EUR]]),"")</f>
        <v/>
      </c>
      <c r="P30" s="8" t="str">
        <f>IFERROR(IF(ISBLANK([2]FoFsmonkeyCompl!S33),"",[2]FoFsmonkeyCompl!S33*FoFanalysis7[[#This Row],[EUR]]),"")</f>
        <v/>
      </c>
      <c r="Q30" s="8" t="str">
        <f>IFERROR(IF(ISBLANK([2]FoFsmonkeyCompl!T33),"",[2]FoFsmonkeyCompl!T33*FoFanalysis7[[#This Row],[EUR]]),"")</f>
        <v/>
      </c>
      <c r="R30" s="8" t="str">
        <f>IFERROR(IF(ISBLANK([2]FoFsmonkeyCompl!U33),"",[2]FoFsmonkeyCompl!U33*FoFanalysis7[[#This Row],[EUR]]),"")</f>
        <v/>
      </c>
      <c r="S30" s="8" t="str">
        <f>IFERROR(IF(ISBLANK([2]FoFsmonkeyCompl!V33),"",[2]FoFsmonkeyCompl!V33*FoFanalysis7[[#This Row],[EUR]]),"")</f>
        <v/>
      </c>
      <c r="T30" s="8" t="str">
        <f>IFERROR(IF(ISBLANK([2]FoFsmonkeyCompl!W33),"",[2]FoFsmonkeyCompl!W33*FoFanalysis7[[#This Row],[EUR]]),"")</f>
        <v/>
      </c>
      <c r="U30" s="8" t="str">
        <f>IFERROR(IF(ISBLANK([2]FoFsmonkeyCompl!X33),"",[2]FoFsmonkeyCompl!X33*FoFanalysis7[[#This Row],[EUR]]),"")</f>
        <v/>
      </c>
      <c r="V30" s="8" t="str">
        <f>IFERROR(IF(ISBLANK([2]FoFsmonkeyCompl!Y33),"",[2]FoFsmonkeyCompl!Y33*FoFanalysis7[[#This Row],[EUR]]),"")</f>
        <v/>
      </c>
      <c r="W30" s="8" t="str">
        <f>IFERROR(IF(ISBLANK([2]FoFsmonkeyCompl!Z33),"",[2]FoFsmonkeyCompl!Z33*FoFanalysis7[[#This Row],[EUR]]),"")</f>
        <v/>
      </c>
      <c r="X30" s="8" t="str">
        <f>IFERROR(IF(ISBLANK([2]FoFsmonkeyCompl!AA33),"",[2]FoFsmonkeyCompl!AA33*FoFanalysis7[[#This Row],[EUR]]),"")</f>
        <v/>
      </c>
      <c r="Y30" s="8" t="str">
        <f>IFERROR(IF(ISBLANK([2]FoFsmonkeyCompl!AB33),"",[2]FoFsmonkeyCompl!AB33*FoFanalysis7[[#This Row],[EUR]]),"")</f>
        <v/>
      </c>
      <c r="Z30" s="8" t="str">
        <f>IFERROR(IF(ISBLANK([2]FoFsmonkeyCompl!AC33),"",[2]FoFsmonkeyCompl!AC33),"")</f>
        <v/>
      </c>
      <c r="AA30" s="8" t="str">
        <f>IFERROR(IF(ISBLANK([2]FoFsmonkeyCompl!AD33),"",[2]FoFsmonkeyCompl!AD33),"")</f>
        <v/>
      </c>
      <c r="AB30" s="8" t="str">
        <f>IFERROR(IF(ISBLANK([2]FoFsmonkeyCompl!AE33),"",[2]FoFsmonkeyCompl!AE33),"")</f>
        <v/>
      </c>
      <c r="AC30" s="8" t="str">
        <f>IFERROR(IF(ISBLANK([2]FoFsmonkeyCompl!AF33),"",[2]FoFsmonkeyCompl!AF33),"")</f>
        <v/>
      </c>
      <c r="AD30" s="8" t="str">
        <f>IFERROR(IF(ISBLANK([2]FoFsmonkeyCompl!AG33),"",[2]FoFsmonkeyCompl!AG33),"")</f>
        <v/>
      </c>
      <c r="AE30" s="8" t="str">
        <f>IFERROR(IF(ISBLANK([2]FoFsmonkeyCompl!AH33),"",[2]FoFsmonkeyCompl!AH33),"")</f>
        <v/>
      </c>
      <c r="AF30" s="40" t="str">
        <f>IFERROR(INDEX([2]FundOfFundsUniverse!$B$2:$EU$700,MATCH($C30,[2]FundOfFundsUniverse!$A$2:$A$700,0),MATCH($AF$1,[2]FundOfFundsUniverse!$B$1:$EU$1,0)),"")</f>
        <v/>
      </c>
    </row>
    <row r="31" spans="1:32" ht="14.25" thickTop="1" thickBot="1" x14ac:dyDescent="0.25">
      <c r="A31" s="5" t="str">
        <f>IF(OR(ISTEXT([2]FoFsmonkeyCompl!J34),ISNUMBER([2]FoFsmonkeyCompl!J34)),[2]FoFsmonkeyCompl!J34,"")</f>
        <v/>
      </c>
      <c r="B31" s="6" t="str">
        <f>IF(OR(ISTEXT([2]FoFsmonkeyCompl!K34),ISNUMBER([2]FoFsmonkeyCompl!K34)),[2]FoFsmonkeyCompl!K34,"")</f>
        <v/>
      </c>
      <c r="C31" s="7"/>
      <c r="D31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31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31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31" s="6" t="str">
        <f>IF(ISBLANK([2]FoFsmonkeyCompl!L34),"",[2]FoFsmonkeyCompl!L34)</f>
        <v/>
      </c>
      <c r="H31" s="6" t="str">
        <f>IF(ISBLANK([2]FoFsmonkeyCompl!M34),"",[2]FoFsmonkeyCompl!M34)</f>
        <v/>
      </c>
      <c r="I31" s="6" t="str">
        <f>IF(ISBLANK([2]FoFsmonkeyCompl!N34),"",[2]FoFsmonkeyCompl!N34)</f>
        <v/>
      </c>
      <c r="J31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31" s="11" t="str">
        <f>IFERROR(VLOOKUP(FoFanalysis7[[#This Row],[Currency of Reporting]],'[2]Xrate31.12.20'!$F$5:$H$28,3,0),"")</f>
        <v/>
      </c>
      <c r="L31" s="11" t="str">
        <f>IFERROR(IF(ISBLANK([2]FoFsmonkeyCompl!O34),"",[2]FoFsmonkeyCompl!O34*FoFanalysis7[[#This Row],[EUR]]),"")</f>
        <v/>
      </c>
      <c r="M31" s="8" t="str">
        <f>IFERROR(IF(ISBLANK([2]FoFsmonkeyCompl!P34),"",[2]FoFsmonkeyCompl!P34*FoFanalysis7[[#This Row],[EUR]]),"")</f>
        <v/>
      </c>
      <c r="N31" s="8" t="str">
        <f>IFERROR(IF(ISBLANK([2]FoFsmonkeyCompl!Q34),"",[2]FoFsmonkeyCompl!Q34*FoFanalysis7[[#This Row],[EUR]]),"")</f>
        <v/>
      </c>
      <c r="O31" s="8" t="str">
        <f>IFERROR(IF(ISBLANK([2]FoFsmonkeyCompl!R34),"",[2]FoFsmonkeyCompl!R34*FoFanalysis7[[#This Row],[EUR]]),"")</f>
        <v/>
      </c>
      <c r="P31" s="8" t="str">
        <f>IFERROR(IF(ISBLANK([2]FoFsmonkeyCompl!S34),"",[2]FoFsmonkeyCompl!S34*FoFanalysis7[[#This Row],[EUR]]),"")</f>
        <v/>
      </c>
      <c r="Q31" s="8" t="str">
        <f>IFERROR(IF(ISBLANK([2]FoFsmonkeyCompl!T34),"",[2]FoFsmonkeyCompl!T34*FoFanalysis7[[#This Row],[EUR]]),"")</f>
        <v/>
      </c>
      <c r="R31" s="8" t="str">
        <f>IFERROR(IF(ISBLANK([2]FoFsmonkeyCompl!U34),"",[2]FoFsmonkeyCompl!U34*FoFanalysis7[[#This Row],[EUR]]),"")</f>
        <v/>
      </c>
      <c r="S31" s="8" t="str">
        <f>IFERROR(IF(ISBLANK([2]FoFsmonkeyCompl!V34),"",[2]FoFsmonkeyCompl!V34*FoFanalysis7[[#This Row],[EUR]]),"")</f>
        <v/>
      </c>
      <c r="T31" s="8" t="str">
        <f>IFERROR(IF(ISBLANK([2]FoFsmonkeyCompl!W34),"",[2]FoFsmonkeyCompl!W34*FoFanalysis7[[#This Row],[EUR]]),"")</f>
        <v/>
      </c>
      <c r="U31" s="8" t="str">
        <f>IFERROR(IF(ISBLANK([2]FoFsmonkeyCompl!X34),"",[2]FoFsmonkeyCompl!X34*FoFanalysis7[[#This Row],[EUR]]),"")</f>
        <v/>
      </c>
      <c r="V31" s="8" t="str">
        <f>IFERROR(IF(ISBLANK([2]FoFsmonkeyCompl!Y34),"",[2]FoFsmonkeyCompl!Y34*FoFanalysis7[[#This Row],[EUR]]),"")</f>
        <v/>
      </c>
      <c r="W31" s="8" t="str">
        <f>IFERROR(IF(ISBLANK([2]FoFsmonkeyCompl!Z34),"",[2]FoFsmonkeyCompl!Z34*FoFanalysis7[[#This Row],[EUR]]),"")</f>
        <v/>
      </c>
      <c r="X31" s="8" t="str">
        <f>IFERROR(IF(ISBLANK([2]FoFsmonkeyCompl!AA34),"",[2]FoFsmonkeyCompl!AA34*FoFanalysis7[[#This Row],[EUR]]),"")</f>
        <v/>
      </c>
      <c r="Y31" s="8" t="str">
        <f>IFERROR(IF(ISBLANK([2]FoFsmonkeyCompl!AB34),"",[2]FoFsmonkeyCompl!AB34*FoFanalysis7[[#This Row],[EUR]]),"")</f>
        <v/>
      </c>
      <c r="Z31" s="8" t="str">
        <f>IFERROR(IF(ISBLANK([2]FoFsmonkeyCompl!AC34),"",[2]FoFsmonkeyCompl!AC34),"")</f>
        <v/>
      </c>
      <c r="AA31" s="8" t="str">
        <f>IFERROR(IF(ISBLANK([2]FoFsmonkeyCompl!AD34),"",[2]FoFsmonkeyCompl!AD34),"")</f>
        <v/>
      </c>
      <c r="AB31" s="8" t="str">
        <f>IFERROR(IF(ISBLANK([2]FoFsmonkeyCompl!AE34),"",[2]FoFsmonkeyCompl!AE34),"")</f>
        <v/>
      </c>
      <c r="AC31" s="8" t="str">
        <f>IFERROR(IF(ISBLANK([2]FoFsmonkeyCompl!AF34),"",[2]FoFsmonkeyCompl!AF34),"")</f>
        <v/>
      </c>
      <c r="AD31" s="8" t="str">
        <f>IFERROR(IF(ISBLANK([2]FoFsmonkeyCompl!AG34),"",[2]FoFsmonkeyCompl!AG34),"")</f>
        <v/>
      </c>
      <c r="AE31" s="8" t="str">
        <f>IFERROR(IF(ISBLANK([2]FoFsmonkeyCompl!AH34),"",[2]FoFsmonkeyCompl!AH34),"")</f>
        <v/>
      </c>
      <c r="AF31" s="40" t="str">
        <f>IFERROR(INDEX([2]FundOfFundsUniverse!$B$2:$EU$700,MATCH($C31,[2]FundOfFundsUniverse!$A$2:$A$700,0),MATCH($AF$1,[2]FundOfFundsUniverse!$B$1:$EU$1,0)),"")</f>
        <v/>
      </c>
    </row>
    <row r="32" spans="1:32" ht="14.25" thickTop="1" thickBot="1" x14ac:dyDescent="0.25">
      <c r="A32" s="9" t="str">
        <f>IF(OR(ISTEXT([2]FoFsmonkeyCompl!J35),ISNUMBER([2]FoFsmonkeyCompl!J35)),[2]FoFsmonkeyCompl!J35,"")</f>
        <v/>
      </c>
      <c r="B32" s="6" t="str">
        <f>IF(OR(ISTEXT([2]FoFsmonkeyCompl!K35),ISNUMBER([2]FoFsmonkeyCompl!K35)),[2]FoFsmonkeyCompl!K35,"")</f>
        <v/>
      </c>
      <c r="C32" s="7"/>
      <c r="D32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32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32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32" s="6" t="str">
        <f>IF(ISBLANK([2]FoFsmonkeyCompl!L35),"",[2]FoFsmonkeyCompl!L35)</f>
        <v/>
      </c>
      <c r="H32" s="6" t="str">
        <f>IF(ISBLANK([2]FoFsmonkeyCompl!M35),"",[2]FoFsmonkeyCompl!M35)</f>
        <v/>
      </c>
      <c r="I32" s="6" t="str">
        <f>IF(ISBLANK([2]FoFsmonkeyCompl!N35),"",[2]FoFsmonkeyCompl!N35)</f>
        <v/>
      </c>
      <c r="J32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32" s="11" t="str">
        <f>IFERROR(VLOOKUP(FoFanalysis7[[#This Row],[Currency of Reporting]],'[2]Xrate31.12.20'!$F$5:$H$28,3,0),"")</f>
        <v/>
      </c>
      <c r="L32" s="11" t="str">
        <f>IFERROR(IF(ISBLANK([2]FoFsmonkeyCompl!O35),"",[2]FoFsmonkeyCompl!O35*FoFanalysis7[[#This Row],[EUR]]),"")</f>
        <v/>
      </c>
      <c r="M32" s="8" t="str">
        <f>IFERROR(IF(ISBLANK([2]FoFsmonkeyCompl!P35),"",[2]FoFsmonkeyCompl!P35*FoFanalysis7[[#This Row],[EUR]]),"")</f>
        <v/>
      </c>
      <c r="N32" s="8" t="str">
        <f>IFERROR(IF(ISBLANK([2]FoFsmonkeyCompl!Q35),"",[2]FoFsmonkeyCompl!Q35*FoFanalysis7[[#This Row],[EUR]]),"")</f>
        <v/>
      </c>
      <c r="O32" s="8" t="str">
        <f>IFERROR(IF(ISBLANK([2]FoFsmonkeyCompl!R35),"",[2]FoFsmonkeyCompl!R35*FoFanalysis7[[#This Row],[EUR]]),"")</f>
        <v/>
      </c>
      <c r="P32" s="8" t="str">
        <f>IFERROR(IF(ISBLANK([2]FoFsmonkeyCompl!S35),"",[2]FoFsmonkeyCompl!S35*FoFanalysis7[[#This Row],[EUR]]),"")</f>
        <v/>
      </c>
      <c r="Q32" s="8" t="str">
        <f>IFERROR(IF(ISBLANK([2]FoFsmonkeyCompl!T35),"",[2]FoFsmonkeyCompl!T35*FoFanalysis7[[#This Row],[EUR]]),"")</f>
        <v/>
      </c>
      <c r="R32" s="8" t="str">
        <f>IFERROR(IF(ISBLANK([2]FoFsmonkeyCompl!U35),"",[2]FoFsmonkeyCompl!U35*FoFanalysis7[[#This Row],[EUR]]),"")</f>
        <v/>
      </c>
      <c r="S32" s="8" t="str">
        <f>IFERROR(IF(ISBLANK([2]FoFsmonkeyCompl!V35),"",[2]FoFsmonkeyCompl!V35*FoFanalysis7[[#This Row],[EUR]]),"")</f>
        <v/>
      </c>
      <c r="T32" s="8" t="str">
        <f>IFERROR(IF(ISBLANK([2]FoFsmonkeyCompl!W35),"",[2]FoFsmonkeyCompl!W35*FoFanalysis7[[#This Row],[EUR]]),"")</f>
        <v/>
      </c>
      <c r="U32" s="8" t="str">
        <f>IFERROR(IF(ISBLANK([2]FoFsmonkeyCompl!X35),"",[2]FoFsmonkeyCompl!X35*FoFanalysis7[[#This Row],[EUR]]),"")</f>
        <v/>
      </c>
      <c r="V32" s="8" t="str">
        <f>IFERROR(IF(ISBLANK([2]FoFsmonkeyCompl!Y35),"",[2]FoFsmonkeyCompl!Y35*FoFanalysis7[[#This Row],[EUR]]),"")</f>
        <v/>
      </c>
      <c r="W32" s="8" t="str">
        <f>IFERROR(IF(ISBLANK([2]FoFsmonkeyCompl!Z35),"",[2]FoFsmonkeyCompl!Z35*FoFanalysis7[[#This Row],[EUR]]),"")</f>
        <v/>
      </c>
      <c r="X32" s="8" t="str">
        <f>IFERROR(IF(ISBLANK([2]FoFsmonkeyCompl!AA35),"",[2]FoFsmonkeyCompl!AA35*FoFanalysis7[[#This Row],[EUR]]),"")</f>
        <v/>
      </c>
      <c r="Y32" s="8" t="str">
        <f>IFERROR(IF(ISBLANK([2]FoFsmonkeyCompl!AB35),"",[2]FoFsmonkeyCompl!AB35*FoFanalysis7[[#This Row],[EUR]]),"")</f>
        <v/>
      </c>
      <c r="Z32" s="8" t="str">
        <f>IFERROR(IF(ISBLANK([2]FoFsmonkeyCompl!AC35),"",[2]FoFsmonkeyCompl!AC35),"")</f>
        <v/>
      </c>
      <c r="AA32" s="8" t="str">
        <f>IFERROR(IF(ISBLANK([2]FoFsmonkeyCompl!AD35),"",[2]FoFsmonkeyCompl!AD35),"")</f>
        <v/>
      </c>
      <c r="AB32" s="8" t="str">
        <f>IFERROR(IF(ISBLANK([2]FoFsmonkeyCompl!AE35),"",[2]FoFsmonkeyCompl!AE35),"")</f>
        <v/>
      </c>
      <c r="AC32" s="8" t="str">
        <f>IFERROR(IF(ISBLANK([2]FoFsmonkeyCompl!AF35),"",[2]FoFsmonkeyCompl!AF35),"")</f>
        <v/>
      </c>
      <c r="AD32" s="8" t="str">
        <f>IFERROR(IF(ISBLANK([2]FoFsmonkeyCompl!AG35),"",[2]FoFsmonkeyCompl!AG35),"")</f>
        <v/>
      </c>
      <c r="AE32" s="8" t="str">
        <f>IFERROR(IF(ISBLANK([2]FoFsmonkeyCompl!AH35),"",[2]FoFsmonkeyCompl!AH35),"")</f>
        <v/>
      </c>
      <c r="AF32" s="40" t="str">
        <f>IFERROR(INDEX([2]FundOfFundsUniverse!$B$2:$EU$700,MATCH($C32,[2]FundOfFundsUniverse!$A$2:$A$700,0),MATCH($AF$1,[2]FundOfFundsUniverse!$B$1:$EU$1,0)),"")</f>
        <v/>
      </c>
    </row>
    <row r="33" spans="1:32" ht="14.25" thickTop="1" thickBot="1" x14ac:dyDescent="0.25">
      <c r="A33" s="5" t="str">
        <f>IF(OR(ISTEXT([2]FoFsmonkeyCompl!J36),ISNUMBER([2]FoFsmonkeyCompl!J36)),[2]FoFsmonkeyCompl!J36,"")</f>
        <v/>
      </c>
      <c r="B33" s="6" t="str">
        <f>IF(OR(ISTEXT([2]FoFsmonkeyCompl!K36),ISNUMBER([2]FoFsmonkeyCompl!K36)),[2]FoFsmonkeyCompl!K36,"")</f>
        <v/>
      </c>
      <c r="C33" s="7"/>
      <c r="D33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33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33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33" s="6" t="str">
        <f>IF(ISBLANK([2]FoFsmonkeyCompl!L36),"",[2]FoFsmonkeyCompl!L36)</f>
        <v/>
      </c>
      <c r="H33" s="6" t="str">
        <f>IF(ISBLANK([2]FoFsmonkeyCompl!M36),"",[2]FoFsmonkeyCompl!M36)</f>
        <v/>
      </c>
      <c r="I33" s="6" t="str">
        <f>IF(ISBLANK([2]FoFsmonkeyCompl!N36),"",[2]FoFsmonkeyCompl!N36)</f>
        <v/>
      </c>
      <c r="J33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33" s="11" t="str">
        <f>IFERROR(VLOOKUP(FoFanalysis7[[#This Row],[Currency of Reporting]],'[2]Xrate31.12.20'!$F$5:$H$28,3,0),"")</f>
        <v/>
      </c>
      <c r="L33" s="11" t="str">
        <f>IFERROR(IF(ISBLANK([2]FoFsmonkeyCompl!O36),"",[2]FoFsmonkeyCompl!O36*FoFanalysis7[[#This Row],[EUR]]),"")</f>
        <v/>
      </c>
      <c r="M33" s="8" t="str">
        <f>IFERROR(IF(ISBLANK([2]FoFsmonkeyCompl!P36),"",[2]FoFsmonkeyCompl!P36*FoFanalysis7[[#This Row],[EUR]]),"")</f>
        <v/>
      </c>
      <c r="N33" s="8" t="str">
        <f>IFERROR(IF(ISBLANK([2]FoFsmonkeyCompl!Q36),"",[2]FoFsmonkeyCompl!Q36*FoFanalysis7[[#This Row],[EUR]]),"")</f>
        <v/>
      </c>
      <c r="O33" s="8" t="str">
        <f>IFERROR(IF(ISBLANK([2]FoFsmonkeyCompl!R36),"",[2]FoFsmonkeyCompl!R36*FoFanalysis7[[#This Row],[EUR]]),"")</f>
        <v/>
      </c>
      <c r="P33" s="8" t="str">
        <f>IFERROR(IF(ISBLANK([2]FoFsmonkeyCompl!S36),"",[2]FoFsmonkeyCompl!S36*FoFanalysis7[[#This Row],[EUR]]),"")</f>
        <v/>
      </c>
      <c r="Q33" s="8" t="str">
        <f>IFERROR(IF(ISBLANK([2]FoFsmonkeyCompl!T36),"",[2]FoFsmonkeyCompl!T36*FoFanalysis7[[#This Row],[EUR]]),"")</f>
        <v/>
      </c>
      <c r="R33" s="8" t="str">
        <f>IFERROR(IF(ISBLANK([2]FoFsmonkeyCompl!U36),"",[2]FoFsmonkeyCompl!U36*FoFanalysis7[[#This Row],[EUR]]),"")</f>
        <v/>
      </c>
      <c r="S33" s="8" t="str">
        <f>IFERROR(IF(ISBLANK([2]FoFsmonkeyCompl!V36),"",[2]FoFsmonkeyCompl!V36*FoFanalysis7[[#This Row],[EUR]]),"")</f>
        <v/>
      </c>
      <c r="T33" s="8" t="str">
        <f>IFERROR(IF(ISBLANK([2]FoFsmonkeyCompl!W36),"",[2]FoFsmonkeyCompl!W36*FoFanalysis7[[#This Row],[EUR]]),"")</f>
        <v/>
      </c>
      <c r="U33" s="8" t="str">
        <f>IFERROR(IF(ISBLANK([2]FoFsmonkeyCompl!X36),"",[2]FoFsmonkeyCompl!X36*FoFanalysis7[[#This Row],[EUR]]),"")</f>
        <v/>
      </c>
      <c r="V33" s="8" t="str">
        <f>IFERROR(IF(ISBLANK([2]FoFsmonkeyCompl!Y36),"",[2]FoFsmonkeyCompl!Y36*FoFanalysis7[[#This Row],[EUR]]),"")</f>
        <v/>
      </c>
      <c r="W33" s="8" t="str">
        <f>IFERROR(IF(ISBLANK([2]FoFsmonkeyCompl!Z36),"",[2]FoFsmonkeyCompl!Z36*FoFanalysis7[[#This Row],[EUR]]),"")</f>
        <v/>
      </c>
      <c r="X33" s="8" t="str">
        <f>IFERROR(IF(ISBLANK([2]FoFsmonkeyCompl!AA36),"",[2]FoFsmonkeyCompl!AA36*FoFanalysis7[[#This Row],[EUR]]),"")</f>
        <v/>
      </c>
      <c r="Y33" s="8" t="str">
        <f>IFERROR(IF(ISBLANK([2]FoFsmonkeyCompl!AB36),"",[2]FoFsmonkeyCompl!AB36*FoFanalysis7[[#This Row],[EUR]]),"")</f>
        <v/>
      </c>
      <c r="Z33" s="8" t="str">
        <f>IFERROR(IF(ISBLANK([2]FoFsmonkeyCompl!AC36),"",[2]FoFsmonkeyCompl!AC36),"")</f>
        <v/>
      </c>
      <c r="AA33" s="8" t="str">
        <f>IFERROR(IF(ISBLANK([2]FoFsmonkeyCompl!AD36),"",[2]FoFsmonkeyCompl!AD36),"")</f>
        <v/>
      </c>
      <c r="AB33" s="8" t="str">
        <f>IFERROR(IF(ISBLANK([2]FoFsmonkeyCompl!AE36),"",[2]FoFsmonkeyCompl!AE36),"")</f>
        <v/>
      </c>
      <c r="AC33" s="8" t="str">
        <f>IFERROR(IF(ISBLANK([2]FoFsmonkeyCompl!AF36),"",[2]FoFsmonkeyCompl!AF36),"")</f>
        <v/>
      </c>
      <c r="AD33" s="8" t="str">
        <f>IFERROR(IF(ISBLANK([2]FoFsmonkeyCompl!AG36),"",[2]FoFsmonkeyCompl!AG36),"")</f>
        <v/>
      </c>
      <c r="AE33" s="8" t="str">
        <f>IFERROR(IF(ISBLANK([2]FoFsmonkeyCompl!AH36),"",[2]FoFsmonkeyCompl!AH36),"")</f>
        <v/>
      </c>
      <c r="AF33" s="40" t="str">
        <f>IFERROR(INDEX([2]FundOfFundsUniverse!$B$2:$EU$700,MATCH($C33,[2]FundOfFundsUniverse!$A$2:$A$700,0),MATCH($AF$1,[2]FundOfFundsUniverse!$B$1:$EU$1,0)),"")</f>
        <v/>
      </c>
    </row>
    <row r="34" spans="1:32" ht="14.25" thickTop="1" thickBot="1" x14ac:dyDescent="0.25">
      <c r="A34" s="9" t="str">
        <f>IF(OR(ISTEXT([2]FoFsmonkeyCompl!J37),ISNUMBER([2]FoFsmonkeyCompl!J37)),[2]FoFsmonkeyCompl!J37,"")</f>
        <v/>
      </c>
      <c r="B34" s="6" t="str">
        <f>IF(OR(ISTEXT([2]FoFsmonkeyCompl!K37),ISNUMBER([2]FoFsmonkeyCompl!K37)),[2]FoFsmonkeyCompl!K37,"")</f>
        <v/>
      </c>
      <c r="C34" s="7"/>
      <c r="D34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34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34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34" s="6" t="str">
        <f>IF(ISBLANK([2]FoFsmonkeyCompl!L37),"",[2]FoFsmonkeyCompl!L37)</f>
        <v/>
      </c>
      <c r="H34" s="6" t="str">
        <f>IF(ISBLANK([2]FoFsmonkeyCompl!M37),"",[2]FoFsmonkeyCompl!M37)</f>
        <v/>
      </c>
      <c r="I34" s="6" t="str">
        <f>IF(ISBLANK([2]FoFsmonkeyCompl!N37),"",[2]FoFsmonkeyCompl!N37)</f>
        <v/>
      </c>
      <c r="J34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34" s="11" t="str">
        <f>IFERROR(VLOOKUP(FoFanalysis7[[#This Row],[Currency of Reporting]],'[2]Xrate31.12.20'!$F$5:$H$28,3,0),"")</f>
        <v/>
      </c>
      <c r="L34" s="11" t="str">
        <f>IFERROR(IF(ISBLANK([2]FoFsmonkeyCompl!O37),"",[2]FoFsmonkeyCompl!O37*FoFanalysis7[[#This Row],[EUR]]),"")</f>
        <v/>
      </c>
      <c r="M34" s="8" t="str">
        <f>IFERROR(IF(ISBLANK([2]FoFsmonkeyCompl!P37),"",[2]FoFsmonkeyCompl!P37*FoFanalysis7[[#This Row],[EUR]]),"")</f>
        <v/>
      </c>
      <c r="N34" s="8" t="str">
        <f>IFERROR(IF(ISBLANK([2]FoFsmonkeyCompl!Q37),"",[2]FoFsmonkeyCompl!Q37*FoFanalysis7[[#This Row],[EUR]]),"")</f>
        <v/>
      </c>
      <c r="O34" s="8" t="str">
        <f>IFERROR(IF(ISBLANK([2]FoFsmonkeyCompl!R37),"",[2]FoFsmonkeyCompl!R37*FoFanalysis7[[#This Row],[EUR]]),"")</f>
        <v/>
      </c>
      <c r="P34" s="8" t="str">
        <f>IFERROR(IF(ISBLANK([2]FoFsmonkeyCompl!S37),"",[2]FoFsmonkeyCompl!S37*FoFanalysis7[[#This Row],[EUR]]),"")</f>
        <v/>
      </c>
      <c r="Q34" s="8" t="str">
        <f>IFERROR(IF(ISBLANK([2]FoFsmonkeyCompl!T37),"",[2]FoFsmonkeyCompl!T37*FoFanalysis7[[#This Row],[EUR]]),"")</f>
        <v/>
      </c>
      <c r="R34" s="8" t="str">
        <f>IFERROR(IF(ISBLANK([2]FoFsmonkeyCompl!U37),"",[2]FoFsmonkeyCompl!U37*FoFanalysis7[[#This Row],[EUR]]),"")</f>
        <v/>
      </c>
      <c r="S34" s="8" t="str">
        <f>IFERROR(IF(ISBLANK([2]FoFsmonkeyCompl!V37),"",[2]FoFsmonkeyCompl!V37*FoFanalysis7[[#This Row],[EUR]]),"")</f>
        <v/>
      </c>
      <c r="T34" s="8" t="str">
        <f>IFERROR(IF(ISBLANK([2]FoFsmonkeyCompl!W37),"",[2]FoFsmonkeyCompl!W37*FoFanalysis7[[#This Row],[EUR]]),"")</f>
        <v/>
      </c>
      <c r="U34" s="8" t="str">
        <f>IFERROR(IF(ISBLANK([2]FoFsmonkeyCompl!X37),"",[2]FoFsmonkeyCompl!X37*FoFanalysis7[[#This Row],[EUR]]),"")</f>
        <v/>
      </c>
      <c r="V34" s="8" t="str">
        <f>IFERROR(IF(ISBLANK([2]FoFsmonkeyCompl!Y37),"",[2]FoFsmonkeyCompl!Y37*FoFanalysis7[[#This Row],[EUR]]),"")</f>
        <v/>
      </c>
      <c r="W34" s="8" t="str">
        <f>IFERROR(IF(ISBLANK([2]FoFsmonkeyCompl!Z37),"",[2]FoFsmonkeyCompl!Z37*FoFanalysis7[[#This Row],[EUR]]),"")</f>
        <v/>
      </c>
      <c r="X34" s="8" t="str">
        <f>IFERROR(IF(ISBLANK([2]FoFsmonkeyCompl!AA37),"",[2]FoFsmonkeyCompl!AA37*FoFanalysis7[[#This Row],[EUR]]),"")</f>
        <v/>
      </c>
      <c r="Y34" s="8" t="str">
        <f>IFERROR(IF(ISBLANK([2]FoFsmonkeyCompl!AB37),"",[2]FoFsmonkeyCompl!AB37*FoFanalysis7[[#This Row],[EUR]]),"")</f>
        <v/>
      </c>
      <c r="Z34" s="8" t="str">
        <f>IFERROR(IF(ISBLANK([2]FoFsmonkeyCompl!AC37),"",[2]FoFsmonkeyCompl!AC37),"")</f>
        <v/>
      </c>
      <c r="AA34" s="8" t="str">
        <f>IFERROR(IF(ISBLANK([2]FoFsmonkeyCompl!AD37),"",[2]FoFsmonkeyCompl!AD37),"")</f>
        <v/>
      </c>
      <c r="AB34" s="8" t="str">
        <f>IFERROR(IF(ISBLANK([2]FoFsmonkeyCompl!AE37),"",[2]FoFsmonkeyCompl!AE37),"")</f>
        <v/>
      </c>
      <c r="AC34" s="8" t="str">
        <f>IFERROR(IF(ISBLANK([2]FoFsmonkeyCompl!AF37),"",[2]FoFsmonkeyCompl!AF37),"")</f>
        <v/>
      </c>
      <c r="AD34" s="8" t="str">
        <f>IFERROR(IF(ISBLANK([2]FoFsmonkeyCompl!AG37),"",[2]FoFsmonkeyCompl!AG37),"")</f>
        <v/>
      </c>
      <c r="AE34" s="8" t="str">
        <f>IFERROR(IF(ISBLANK([2]FoFsmonkeyCompl!AH37),"",[2]FoFsmonkeyCompl!AH37),"")</f>
        <v/>
      </c>
      <c r="AF34" s="40" t="str">
        <f>IFERROR(INDEX([2]FundOfFundsUniverse!$B$2:$EU$700,MATCH($C34,[2]FundOfFundsUniverse!$A$2:$A$700,0),MATCH($AF$1,[2]FundOfFundsUniverse!$B$1:$EU$1,0)),"")</f>
        <v/>
      </c>
    </row>
    <row r="35" spans="1:32" ht="14.25" thickTop="1" thickBot="1" x14ac:dyDescent="0.25">
      <c r="A35" s="5" t="str">
        <f>IF(OR(ISTEXT([2]FoFsmonkeyCompl!J38),ISNUMBER([2]FoFsmonkeyCompl!J38)),[2]FoFsmonkeyCompl!J38,"")</f>
        <v/>
      </c>
      <c r="B35" s="6" t="str">
        <f>IF(OR(ISTEXT([2]FoFsmonkeyCompl!K38),ISNUMBER([2]FoFsmonkeyCompl!K38)),[2]FoFsmonkeyCompl!K38,"")</f>
        <v/>
      </c>
      <c r="C35" s="7"/>
      <c r="D35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35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35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35" s="6" t="str">
        <f>IF(ISBLANK([2]FoFsmonkeyCompl!L38),"",[2]FoFsmonkeyCompl!L38)</f>
        <v/>
      </c>
      <c r="H35" s="6" t="str">
        <f>IF(ISBLANK([2]FoFsmonkeyCompl!M38),"",[2]FoFsmonkeyCompl!M38)</f>
        <v/>
      </c>
      <c r="I35" s="6" t="str">
        <f>IF(ISBLANK([2]FoFsmonkeyCompl!N38),"",[2]FoFsmonkeyCompl!N38)</f>
        <v/>
      </c>
      <c r="J35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35" s="11" t="str">
        <f>IFERROR(VLOOKUP(FoFanalysis7[[#This Row],[Currency of Reporting]],'[2]Xrate31.12.20'!$F$5:$H$28,3,0),"")</f>
        <v/>
      </c>
      <c r="L35" s="11" t="str">
        <f>IFERROR(IF(ISBLANK([2]FoFsmonkeyCompl!O38),"",[2]FoFsmonkeyCompl!O38*FoFanalysis7[[#This Row],[EUR]]),"")</f>
        <v/>
      </c>
      <c r="M35" s="8" t="str">
        <f>IFERROR(IF(ISBLANK([2]FoFsmonkeyCompl!P38),"",[2]FoFsmonkeyCompl!P38*FoFanalysis7[[#This Row],[EUR]]),"")</f>
        <v/>
      </c>
      <c r="N35" s="8" t="str">
        <f>IFERROR(IF(ISBLANK([2]FoFsmonkeyCompl!Q38),"",[2]FoFsmonkeyCompl!Q38*FoFanalysis7[[#This Row],[EUR]]),"")</f>
        <v/>
      </c>
      <c r="O35" s="8" t="str">
        <f>IFERROR(IF(ISBLANK([2]FoFsmonkeyCompl!R38),"",[2]FoFsmonkeyCompl!R38*FoFanalysis7[[#This Row],[EUR]]),"")</f>
        <v/>
      </c>
      <c r="P35" s="8" t="str">
        <f>IFERROR(IF(ISBLANK([2]FoFsmonkeyCompl!S38),"",[2]FoFsmonkeyCompl!S38*FoFanalysis7[[#This Row],[EUR]]),"")</f>
        <v/>
      </c>
      <c r="Q35" s="8" t="str">
        <f>IFERROR(IF(ISBLANK([2]FoFsmonkeyCompl!T38),"",[2]FoFsmonkeyCompl!T38*FoFanalysis7[[#This Row],[EUR]]),"")</f>
        <v/>
      </c>
      <c r="R35" s="8" t="str">
        <f>IFERROR(IF(ISBLANK([2]FoFsmonkeyCompl!U38),"",[2]FoFsmonkeyCompl!U38*FoFanalysis7[[#This Row],[EUR]]),"")</f>
        <v/>
      </c>
      <c r="S35" s="8" t="str">
        <f>IFERROR(IF(ISBLANK([2]FoFsmonkeyCompl!V38),"",[2]FoFsmonkeyCompl!V38*FoFanalysis7[[#This Row],[EUR]]),"")</f>
        <v/>
      </c>
      <c r="T35" s="8" t="str">
        <f>IFERROR(IF(ISBLANK([2]FoFsmonkeyCompl!W38),"",[2]FoFsmonkeyCompl!W38*FoFanalysis7[[#This Row],[EUR]]),"")</f>
        <v/>
      </c>
      <c r="U35" s="8" t="str">
        <f>IFERROR(IF(ISBLANK([2]FoFsmonkeyCompl!X38),"",[2]FoFsmonkeyCompl!X38*FoFanalysis7[[#This Row],[EUR]]),"")</f>
        <v/>
      </c>
      <c r="V35" s="8" t="str">
        <f>IFERROR(IF(ISBLANK([2]FoFsmonkeyCompl!Y38),"",[2]FoFsmonkeyCompl!Y38*FoFanalysis7[[#This Row],[EUR]]),"")</f>
        <v/>
      </c>
      <c r="W35" s="8" t="str">
        <f>IFERROR(IF(ISBLANK([2]FoFsmonkeyCompl!Z38),"",[2]FoFsmonkeyCompl!Z38*FoFanalysis7[[#This Row],[EUR]]),"")</f>
        <v/>
      </c>
      <c r="X35" s="8" t="str">
        <f>IFERROR(IF(ISBLANK([2]FoFsmonkeyCompl!AA38),"",[2]FoFsmonkeyCompl!AA38*FoFanalysis7[[#This Row],[EUR]]),"")</f>
        <v/>
      </c>
      <c r="Y35" s="8" t="str">
        <f>IFERROR(IF(ISBLANK([2]FoFsmonkeyCompl!AB38),"",[2]FoFsmonkeyCompl!AB38*FoFanalysis7[[#This Row],[EUR]]),"")</f>
        <v/>
      </c>
      <c r="Z35" s="8" t="str">
        <f>IFERROR(IF(ISBLANK([2]FoFsmonkeyCompl!AC38),"",[2]FoFsmonkeyCompl!AC38),"")</f>
        <v/>
      </c>
      <c r="AA35" s="8" t="str">
        <f>IFERROR(IF(ISBLANK([2]FoFsmonkeyCompl!AD38),"",[2]FoFsmonkeyCompl!AD38),"")</f>
        <v/>
      </c>
      <c r="AB35" s="8" t="str">
        <f>IFERROR(IF(ISBLANK([2]FoFsmonkeyCompl!AE38),"",[2]FoFsmonkeyCompl!AE38),"")</f>
        <v/>
      </c>
      <c r="AC35" s="8" t="str">
        <f>IFERROR(IF(ISBLANK([2]FoFsmonkeyCompl!AF38),"",[2]FoFsmonkeyCompl!AF38),"")</f>
        <v/>
      </c>
      <c r="AD35" s="8" t="str">
        <f>IFERROR(IF(ISBLANK([2]FoFsmonkeyCompl!AG38),"",[2]FoFsmonkeyCompl!AG38),"")</f>
        <v/>
      </c>
      <c r="AE35" s="8" t="str">
        <f>IFERROR(IF(ISBLANK([2]FoFsmonkeyCompl!AH38),"",[2]FoFsmonkeyCompl!AH38),"")</f>
        <v/>
      </c>
      <c r="AF35" s="40" t="str">
        <f>IFERROR(INDEX([2]FundOfFundsUniverse!$B$2:$EU$700,MATCH($C35,[2]FundOfFundsUniverse!$A$2:$A$700,0),MATCH($AF$1,[2]FundOfFundsUniverse!$B$1:$EU$1,0)),"")</f>
        <v/>
      </c>
    </row>
    <row r="36" spans="1:32" ht="14.25" thickTop="1" thickBot="1" x14ac:dyDescent="0.25">
      <c r="A36" s="9" t="str">
        <f>IF(OR(ISTEXT([2]FoFsmonkeyCompl!J39),ISNUMBER([2]FoFsmonkeyCompl!J39)),[2]FoFsmonkeyCompl!J39,"")</f>
        <v/>
      </c>
      <c r="B36" s="6" t="str">
        <f>IF(OR(ISTEXT([2]FoFsmonkeyCompl!K39),ISNUMBER([2]FoFsmonkeyCompl!K39)),[2]FoFsmonkeyCompl!K39,"")</f>
        <v/>
      </c>
      <c r="C36" s="7"/>
      <c r="D36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36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36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36" s="6" t="str">
        <f>IF(ISBLANK([2]FoFsmonkeyCompl!L39),"",[2]FoFsmonkeyCompl!L39)</f>
        <v/>
      </c>
      <c r="H36" s="6" t="str">
        <f>IF(ISBLANK([2]FoFsmonkeyCompl!M39),"",[2]FoFsmonkeyCompl!M39)</f>
        <v/>
      </c>
      <c r="I36" s="6" t="str">
        <f>IF(ISBLANK([2]FoFsmonkeyCompl!N39),"",[2]FoFsmonkeyCompl!N39)</f>
        <v/>
      </c>
      <c r="J36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36" s="11" t="str">
        <f>IFERROR(VLOOKUP(FoFanalysis7[[#This Row],[Currency of Reporting]],'[2]Xrate31.12.20'!$F$5:$H$28,3,0),"")</f>
        <v/>
      </c>
      <c r="L36" s="11" t="str">
        <f>IFERROR(IF(ISBLANK([2]FoFsmonkeyCompl!O39),"",[2]FoFsmonkeyCompl!O39*FoFanalysis7[[#This Row],[EUR]]),"")</f>
        <v/>
      </c>
      <c r="M36" s="8" t="str">
        <f>IFERROR(IF(ISBLANK([2]FoFsmonkeyCompl!P39),"",[2]FoFsmonkeyCompl!P39*FoFanalysis7[[#This Row],[EUR]]),"")</f>
        <v/>
      </c>
      <c r="N36" s="8" t="str">
        <f>IFERROR(IF(ISBLANK([2]FoFsmonkeyCompl!Q39),"",[2]FoFsmonkeyCompl!Q39*FoFanalysis7[[#This Row],[EUR]]),"")</f>
        <v/>
      </c>
      <c r="O36" s="8" t="str">
        <f>IFERROR(IF(ISBLANK([2]FoFsmonkeyCompl!R39),"",[2]FoFsmonkeyCompl!R39*FoFanalysis7[[#This Row],[EUR]]),"")</f>
        <v/>
      </c>
      <c r="P36" s="8" t="str">
        <f>IFERROR(IF(ISBLANK([2]FoFsmonkeyCompl!S39),"",[2]FoFsmonkeyCompl!S39*FoFanalysis7[[#This Row],[EUR]]),"")</f>
        <v/>
      </c>
      <c r="Q36" s="8" t="str">
        <f>IFERROR(IF(ISBLANK([2]FoFsmonkeyCompl!T39),"",[2]FoFsmonkeyCompl!T39*FoFanalysis7[[#This Row],[EUR]]),"")</f>
        <v/>
      </c>
      <c r="R36" s="8" t="str">
        <f>IFERROR(IF(ISBLANK([2]FoFsmonkeyCompl!U39),"",[2]FoFsmonkeyCompl!U39*FoFanalysis7[[#This Row],[EUR]]),"")</f>
        <v/>
      </c>
      <c r="S36" s="8" t="str">
        <f>IFERROR(IF(ISBLANK([2]FoFsmonkeyCompl!V39),"",[2]FoFsmonkeyCompl!V39*FoFanalysis7[[#This Row],[EUR]]),"")</f>
        <v/>
      </c>
      <c r="T36" s="8" t="str">
        <f>IFERROR(IF(ISBLANK([2]FoFsmonkeyCompl!W39),"",[2]FoFsmonkeyCompl!W39*FoFanalysis7[[#This Row],[EUR]]),"")</f>
        <v/>
      </c>
      <c r="U36" s="8" t="str">
        <f>IFERROR(IF(ISBLANK([2]FoFsmonkeyCompl!X39),"",[2]FoFsmonkeyCompl!X39*FoFanalysis7[[#This Row],[EUR]]),"")</f>
        <v/>
      </c>
      <c r="V36" s="8" t="str">
        <f>IFERROR(IF(ISBLANK([2]FoFsmonkeyCompl!Y39),"",[2]FoFsmonkeyCompl!Y39*FoFanalysis7[[#This Row],[EUR]]),"")</f>
        <v/>
      </c>
      <c r="W36" s="8" t="str">
        <f>IFERROR(IF(ISBLANK([2]FoFsmonkeyCompl!Z39),"",[2]FoFsmonkeyCompl!Z39*FoFanalysis7[[#This Row],[EUR]]),"")</f>
        <v/>
      </c>
      <c r="X36" s="8" t="str">
        <f>IFERROR(IF(ISBLANK([2]FoFsmonkeyCompl!AA39),"",[2]FoFsmonkeyCompl!AA39*FoFanalysis7[[#This Row],[EUR]]),"")</f>
        <v/>
      </c>
      <c r="Y36" s="8" t="str">
        <f>IFERROR(IF(ISBLANK([2]FoFsmonkeyCompl!AB39),"",[2]FoFsmonkeyCompl!AB39*FoFanalysis7[[#This Row],[EUR]]),"")</f>
        <v/>
      </c>
      <c r="Z36" s="8" t="str">
        <f>IFERROR(IF(ISBLANK([2]FoFsmonkeyCompl!AC39),"",[2]FoFsmonkeyCompl!AC39),"")</f>
        <v/>
      </c>
      <c r="AA36" s="8" t="str">
        <f>IFERROR(IF(ISBLANK([2]FoFsmonkeyCompl!AD39),"",[2]FoFsmonkeyCompl!AD39),"")</f>
        <v/>
      </c>
      <c r="AB36" s="8" t="str">
        <f>IFERROR(IF(ISBLANK([2]FoFsmonkeyCompl!AE39),"",[2]FoFsmonkeyCompl!AE39),"")</f>
        <v/>
      </c>
      <c r="AC36" s="8" t="str">
        <f>IFERROR(IF(ISBLANK([2]FoFsmonkeyCompl!AF39),"",[2]FoFsmonkeyCompl!AF39),"")</f>
        <v/>
      </c>
      <c r="AD36" s="8" t="str">
        <f>IFERROR(IF(ISBLANK([2]FoFsmonkeyCompl!AG39),"",[2]FoFsmonkeyCompl!AG39),"")</f>
        <v/>
      </c>
      <c r="AE36" s="8" t="str">
        <f>IFERROR(IF(ISBLANK([2]FoFsmonkeyCompl!AH39),"",[2]FoFsmonkeyCompl!AH39),"")</f>
        <v/>
      </c>
      <c r="AF36" s="40" t="str">
        <f>IFERROR(INDEX([2]FundOfFundsUniverse!$B$2:$EU$700,MATCH($C36,[2]FundOfFundsUniverse!$A$2:$A$700,0),MATCH($AF$1,[2]FundOfFundsUniverse!$B$1:$EU$1,0)),"")</f>
        <v/>
      </c>
    </row>
    <row r="37" spans="1:32" ht="14.25" thickTop="1" thickBot="1" x14ac:dyDescent="0.25">
      <c r="A37" s="5" t="str">
        <f>IF(OR(ISTEXT([2]FoFsmonkeyCompl!J40),ISNUMBER([2]FoFsmonkeyCompl!J40)),[2]FoFsmonkeyCompl!J40,"")</f>
        <v/>
      </c>
      <c r="B37" s="6" t="str">
        <f>IF(OR(ISTEXT([2]FoFsmonkeyCompl!K40),ISNUMBER([2]FoFsmonkeyCompl!K40)),[2]FoFsmonkeyCompl!K40,"")</f>
        <v/>
      </c>
      <c r="C37" s="7"/>
      <c r="D37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37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37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37" s="6" t="str">
        <f>IF(ISBLANK([2]FoFsmonkeyCompl!L40),"",[2]FoFsmonkeyCompl!L40)</f>
        <v/>
      </c>
      <c r="H37" s="6" t="str">
        <f>IF(ISBLANK([2]FoFsmonkeyCompl!M40),"",[2]FoFsmonkeyCompl!M40)</f>
        <v/>
      </c>
      <c r="I37" s="6" t="str">
        <f>IF(ISBLANK([2]FoFsmonkeyCompl!N40),"",[2]FoFsmonkeyCompl!N40)</f>
        <v/>
      </c>
      <c r="J37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37" s="11" t="str">
        <f>IFERROR(VLOOKUP(FoFanalysis7[[#This Row],[Currency of Reporting]],'[2]Xrate31.12.20'!$F$5:$H$28,3,0),"")</f>
        <v/>
      </c>
      <c r="L37" s="11" t="str">
        <f>IFERROR(IF(ISBLANK([2]FoFsmonkeyCompl!O40),"",[2]FoFsmonkeyCompl!O40*FoFanalysis7[[#This Row],[EUR]]),"")</f>
        <v/>
      </c>
      <c r="M37" s="8" t="str">
        <f>IFERROR(IF(ISBLANK([2]FoFsmonkeyCompl!P40),"",[2]FoFsmonkeyCompl!P40*FoFanalysis7[[#This Row],[EUR]]),"")</f>
        <v/>
      </c>
      <c r="N37" s="8" t="str">
        <f>IFERROR(IF(ISBLANK([2]FoFsmonkeyCompl!Q40),"",[2]FoFsmonkeyCompl!Q40*FoFanalysis7[[#This Row],[EUR]]),"")</f>
        <v/>
      </c>
      <c r="O37" s="8" t="str">
        <f>IFERROR(IF(ISBLANK([2]FoFsmonkeyCompl!R40),"",[2]FoFsmonkeyCompl!R40*FoFanalysis7[[#This Row],[EUR]]),"")</f>
        <v/>
      </c>
      <c r="P37" s="8" t="str">
        <f>IFERROR(IF(ISBLANK([2]FoFsmonkeyCompl!S40),"",[2]FoFsmonkeyCompl!S40*FoFanalysis7[[#This Row],[EUR]]),"")</f>
        <v/>
      </c>
      <c r="Q37" s="8" t="str">
        <f>IFERROR(IF(ISBLANK([2]FoFsmonkeyCompl!T40),"",[2]FoFsmonkeyCompl!T40*FoFanalysis7[[#This Row],[EUR]]),"")</f>
        <v/>
      </c>
      <c r="R37" s="8" t="str">
        <f>IFERROR(IF(ISBLANK([2]FoFsmonkeyCompl!U40),"",[2]FoFsmonkeyCompl!U40*FoFanalysis7[[#This Row],[EUR]]),"")</f>
        <v/>
      </c>
      <c r="S37" s="8" t="str">
        <f>IFERROR(IF(ISBLANK([2]FoFsmonkeyCompl!V40),"",[2]FoFsmonkeyCompl!V40*FoFanalysis7[[#This Row],[EUR]]),"")</f>
        <v/>
      </c>
      <c r="T37" s="8" t="str">
        <f>IFERROR(IF(ISBLANK([2]FoFsmonkeyCompl!W40),"",[2]FoFsmonkeyCompl!W40*FoFanalysis7[[#This Row],[EUR]]),"")</f>
        <v/>
      </c>
      <c r="U37" s="8" t="str">
        <f>IFERROR(IF(ISBLANK([2]FoFsmonkeyCompl!X40),"",[2]FoFsmonkeyCompl!X40*FoFanalysis7[[#This Row],[EUR]]),"")</f>
        <v/>
      </c>
      <c r="V37" s="8" t="str">
        <f>IFERROR(IF(ISBLANK([2]FoFsmonkeyCompl!Y40),"",[2]FoFsmonkeyCompl!Y40*FoFanalysis7[[#This Row],[EUR]]),"")</f>
        <v/>
      </c>
      <c r="W37" s="8" t="str">
        <f>IFERROR(IF(ISBLANK([2]FoFsmonkeyCompl!Z40),"",[2]FoFsmonkeyCompl!Z40*FoFanalysis7[[#This Row],[EUR]]),"")</f>
        <v/>
      </c>
      <c r="X37" s="8" t="str">
        <f>IFERROR(IF(ISBLANK([2]FoFsmonkeyCompl!AA40),"",[2]FoFsmonkeyCompl!AA40*FoFanalysis7[[#This Row],[EUR]]),"")</f>
        <v/>
      </c>
      <c r="Y37" s="8" t="str">
        <f>IFERROR(IF(ISBLANK([2]FoFsmonkeyCompl!AB40),"",[2]FoFsmonkeyCompl!AB40*FoFanalysis7[[#This Row],[EUR]]),"")</f>
        <v/>
      </c>
      <c r="Z37" s="8" t="str">
        <f>IFERROR(IF(ISBLANK([2]FoFsmonkeyCompl!AC40),"",[2]FoFsmonkeyCompl!AC40),"")</f>
        <v/>
      </c>
      <c r="AA37" s="8" t="str">
        <f>IFERROR(IF(ISBLANK([2]FoFsmonkeyCompl!AD40),"",[2]FoFsmonkeyCompl!AD40),"")</f>
        <v/>
      </c>
      <c r="AB37" s="8" t="str">
        <f>IFERROR(IF(ISBLANK([2]FoFsmonkeyCompl!AE40),"",[2]FoFsmonkeyCompl!AE40),"")</f>
        <v/>
      </c>
      <c r="AC37" s="8" t="str">
        <f>IFERROR(IF(ISBLANK([2]FoFsmonkeyCompl!AF40),"",[2]FoFsmonkeyCompl!AF40),"")</f>
        <v/>
      </c>
      <c r="AD37" s="8" t="str">
        <f>IFERROR(IF(ISBLANK([2]FoFsmonkeyCompl!AG40),"",[2]FoFsmonkeyCompl!AG40),"")</f>
        <v/>
      </c>
      <c r="AE37" s="8" t="str">
        <f>IFERROR(IF(ISBLANK([2]FoFsmonkeyCompl!AH40),"",[2]FoFsmonkeyCompl!AH40),"")</f>
        <v/>
      </c>
      <c r="AF37" s="40" t="str">
        <f>IFERROR(INDEX([2]FundOfFundsUniverse!$B$2:$EU$700,MATCH($C37,[2]FundOfFundsUniverse!$A$2:$A$700,0),MATCH($AF$1,[2]FundOfFundsUniverse!$B$1:$EU$1,0)),"")</f>
        <v/>
      </c>
    </row>
    <row r="38" spans="1:32" ht="14.25" thickTop="1" thickBot="1" x14ac:dyDescent="0.25">
      <c r="A38" s="9" t="str">
        <f>IF(OR(ISTEXT([2]FoFsmonkeyCompl!J41),ISNUMBER([2]FoFsmonkeyCompl!J41)),[2]FoFsmonkeyCompl!J41,"")</f>
        <v/>
      </c>
      <c r="B38" s="6" t="str">
        <f>IF(OR(ISTEXT([2]FoFsmonkeyCompl!K41),ISNUMBER([2]FoFsmonkeyCompl!K41)),[2]FoFsmonkeyCompl!K41,"")</f>
        <v/>
      </c>
      <c r="C38" s="7"/>
      <c r="D38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38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38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38" s="6" t="str">
        <f>IF(ISBLANK([2]FoFsmonkeyCompl!L41),"",[2]FoFsmonkeyCompl!L41)</f>
        <v/>
      </c>
      <c r="H38" s="6" t="str">
        <f>IF(ISBLANK([2]FoFsmonkeyCompl!M41),"",[2]FoFsmonkeyCompl!M41)</f>
        <v/>
      </c>
      <c r="I38" s="6" t="str">
        <f>IF(ISBLANK([2]FoFsmonkeyCompl!N41),"",[2]FoFsmonkeyCompl!N41)</f>
        <v/>
      </c>
      <c r="J38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38" s="11" t="str">
        <f>IFERROR(VLOOKUP(FoFanalysis7[[#This Row],[Currency of Reporting]],'[2]Xrate31.12.20'!$F$5:$H$28,3,0),"")</f>
        <v/>
      </c>
      <c r="L38" s="11" t="str">
        <f>IFERROR(IF(ISBLANK([2]FoFsmonkeyCompl!O41),"",[2]FoFsmonkeyCompl!O41*FoFanalysis7[[#This Row],[EUR]]),"")</f>
        <v/>
      </c>
      <c r="M38" s="8" t="str">
        <f>IFERROR(IF(ISBLANK([2]FoFsmonkeyCompl!P41),"",[2]FoFsmonkeyCompl!P41*FoFanalysis7[[#This Row],[EUR]]),"")</f>
        <v/>
      </c>
      <c r="N38" s="8" t="str">
        <f>IFERROR(IF(ISBLANK([2]FoFsmonkeyCompl!Q41),"",[2]FoFsmonkeyCompl!Q41*FoFanalysis7[[#This Row],[EUR]]),"")</f>
        <v/>
      </c>
      <c r="O38" s="8" t="str">
        <f>IFERROR(IF(ISBLANK([2]FoFsmonkeyCompl!R41),"",[2]FoFsmonkeyCompl!R41*FoFanalysis7[[#This Row],[EUR]]),"")</f>
        <v/>
      </c>
      <c r="P38" s="8" t="str">
        <f>IFERROR(IF(ISBLANK([2]FoFsmonkeyCompl!S41),"",[2]FoFsmonkeyCompl!S41*FoFanalysis7[[#This Row],[EUR]]),"")</f>
        <v/>
      </c>
      <c r="Q38" s="8" t="str">
        <f>IFERROR(IF(ISBLANK([2]FoFsmonkeyCompl!T41),"",[2]FoFsmonkeyCompl!T41*FoFanalysis7[[#This Row],[EUR]]),"")</f>
        <v/>
      </c>
      <c r="R38" s="8" t="str">
        <f>IFERROR(IF(ISBLANK([2]FoFsmonkeyCompl!U41),"",[2]FoFsmonkeyCompl!U41*FoFanalysis7[[#This Row],[EUR]]),"")</f>
        <v/>
      </c>
      <c r="S38" s="8" t="str">
        <f>IFERROR(IF(ISBLANK([2]FoFsmonkeyCompl!V41),"",[2]FoFsmonkeyCompl!V41*FoFanalysis7[[#This Row],[EUR]]),"")</f>
        <v/>
      </c>
      <c r="T38" s="8" t="str">
        <f>IFERROR(IF(ISBLANK([2]FoFsmonkeyCompl!W41),"",[2]FoFsmonkeyCompl!W41*FoFanalysis7[[#This Row],[EUR]]),"")</f>
        <v/>
      </c>
      <c r="U38" s="8" t="str">
        <f>IFERROR(IF(ISBLANK([2]FoFsmonkeyCompl!X41),"",[2]FoFsmonkeyCompl!X41*FoFanalysis7[[#This Row],[EUR]]),"")</f>
        <v/>
      </c>
      <c r="V38" s="8" t="str">
        <f>IFERROR(IF(ISBLANK([2]FoFsmonkeyCompl!Y41),"",[2]FoFsmonkeyCompl!Y41*FoFanalysis7[[#This Row],[EUR]]),"")</f>
        <v/>
      </c>
      <c r="W38" s="8" t="str">
        <f>IFERROR(IF(ISBLANK([2]FoFsmonkeyCompl!Z41),"",[2]FoFsmonkeyCompl!Z41*FoFanalysis7[[#This Row],[EUR]]),"")</f>
        <v/>
      </c>
      <c r="X38" s="8" t="str">
        <f>IFERROR(IF(ISBLANK([2]FoFsmonkeyCompl!AA41),"",[2]FoFsmonkeyCompl!AA41*FoFanalysis7[[#This Row],[EUR]]),"")</f>
        <v/>
      </c>
      <c r="Y38" s="8" t="str">
        <f>IFERROR(IF(ISBLANK([2]FoFsmonkeyCompl!AB41),"",[2]FoFsmonkeyCompl!AB41*FoFanalysis7[[#This Row],[EUR]]),"")</f>
        <v/>
      </c>
      <c r="Z38" s="8" t="str">
        <f>IFERROR(IF(ISBLANK([2]FoFsmonkeyCompl!AC41),"",[2]FoFsmonkeyCompl!AC41),"")</f>
        <v/>
      </c>
      <c r="AA38" s="8" t="str">
        <f>IFERROR(IF(ISBLANK([2]FoFsmonkeyCompl!AD41),"",[2]FoFsmonkeyCompl!AD41),"")</f>
        <v/>
      </c>
      <c r="AB38" s="8" t="str">
        <f>IFERROR(IF(ISBLANK([2]FoFsmonkeyCompl!AE41),"",[2]FoFsmonkeyCompl!AE41),"")</f>
        <v/>
      </c>
      <c r="AC38" s="8" t="str">
        <f>IFERROR(IF(ISBLANK([2]FoFsmonkeyCompl!AF41),"",[2]FoFsmonkeyCompl!AF41),"")</f>
        <v/>
      </c>
      <c r="AD38" s="8" t="str">
        <f>IFERROR(IF(ISBLANK([2]FoFsmonkeyCompl!AG41),"",[2]FoFsmonkeyCompl!AG41),"")</f>
        <v/>
      </c>
      <c r="AE38" s="8" t="str">
        <f>IFERROR(IF(ISBLANK([2]FoFsmonkeyCompl!AH41),"",[2]FoFsmonkeyCompl!AH41),"")</f>
        <v/>
      </c>
      <c r="AF38" s="40" t="str">
        <f>IFERROR(INDEX([2]FundOfFundsUniverse!$B$2:$EU$700,MATCH($C38,[2]FundOfFundsUniverse!$A$2:$A$700,0),MATCH($AF$1,[2]FundOfFundsUniverse!$B$1:$EU$1,0)),"")</f>
        <v/>
      </c>
    </row>
    <row r="39" spans="1:32" ht="14.25" thickTop="1" thickBot="1" x14ac:dyDescent="0.25">
      <c r="A39" s="5" t="str">
        <f>IF(OR(ISTEXT([2]FoFsmonkeyCompl!J42),ISNUMBER([2]FoFsmonkeyCompl!J42)),[2]FoFsmonkeyCompl!J42,"")</f>
        <v/>
      </c>
      <c r="B39" s="6" t="str">
        <f>IF(OR(ISTEXT([2]FoFsmonkeyCompl!K42),ISNUMBER([2]FoFsmonkeyCompl!K42)),[2]FoFsmonkeyCompl!K42,"")</f>
        <v/>
      </c>
      <c r="C39" s="7"/>
      <c r="D39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39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39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39" s="6" t="str">
        <f>IF(ISBLANK([2]FoFsmonkeyCompl!L42),"",[2]FoFsmonkeyCompl!L42)</f>
        <v/>
      </c>
      <c r="H39" s="6" t="str">
        <f>IF(ISBLANK([2]FoFsmonkeyCompl!M42),"",[2]FoFsmonkeyCompl!M42)</f>
        <v/>
      </c>
      <c r="I39" s="6" t="str">
        <f>IF(ISBLANK([2]FoFsmonkeyCompl!N42),"",[2]FoFsmonkeyCompl!N42)</f>
        <v/>
      </c>
      <c r="J39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39" s="11" t="str">
        <f>IFERROR(VLOOKUP(FoFanalysis7[[#This Row],[Currency of Reporting]],'[2]Xrate31.12.20'!$F$5:$H$28,3,0),"")</f>
        <v/>
      </c>
      <c r="L39" s="11" t="str">
        <f>IFERROR(IF(ISBLANK([2]FoFsmonkeyCompl!O42),"",[2]FoFsmonkeyCompl!O42*FoFanalysis7[[#This Row],[EUR]]),"")</f>
        <v/>
      </c>
      <c r="M39" s="8" t="str">
        <f>IFERROR(IF(ISBLANK([2]FoFsmonkeyCompl!P42),"",[2]FoFsmonkeyCompl!P42*FoFanalysis7[[#This Row],[EUR]]),"")</f>
        <v/>
      </c>
      <c r="N39" s="8" t="str">
        <f>IFERROR(IF(ISBLANK([2]FoFsmonkeyCompl!Q42),"",[2]FoFsmonkeyCompl!Q42*FoFanalysis7[[#This Row],[EUR]]),"")</f>
        <v/>
      </c>
      <c r="O39" s="8" t="str">
        <f>IFERROR(IF(ISBLANK([2]FoFsmonkeyCompl!R42),"",[2]FoFsmonkeyCompl!R42*FoFanalysis7[[#This Row],[EUR]]),"")</f>
        <v/>
      </c>
      <c r="P39" s="8" t="str">
        <f>IFERROR(IF(ISBLANK([2]FoFsmonkeyCompl!S42),"",[2]FoFsmonkeyCompl!S42*FoFanalysis7[[#This Row],[EUR]]),"")</f>
        <v/>
      </c>
      <c r="Q39" s="8" t="str">
        <f>IFERROR(IF(ISBLANK([2]FoFsmonkeyCompl!T42),"",[2]FoFsmonkeyCompl!T42*FoFanalysis7[[#This Row],[EUR]]),"")</f>
        <v/>
      </c>
      <c r="R39" s="8" t="str">
        <f>IFERROR(IF(ISBLANK([2]FoFsmonkeyCompl!U42),"",[2]FoFsmonkeyCompl!U42*FoFanalysis7[[#This Row],[EUR]]),"")</f>
        <v/>
      </c>
      <c r="S39" s="8" t="str">
        <f>IFERROR(IF(ISBLANK([2]FoFsmonkeyCompl!V42),"",[2]FoFsmonkeyCompl!V42*FoFanalysis7[[#This Row],[EUR]]),"")</f>
        <v/>
      </c>
      <c r="T39" s="8" t="str">
        <f>IFERROR(IF(ISBLANK([2]FoFsmonkeyCompl!W42),"",[2]FoFsmonkeyCompl!W42*FoFanalysis7[[#This Row],[EUR]]),"")</f>
        <v/>
      </c>
      <c r="U39" s="8" t="str">
        <f>IFERROR(IF(ISBLANK([2]FoFsmonkeyCompl!X42),"",[2]FoFsmonkeyCompl!X42*FoFanalysis7[[#This Row],[EUR]]),"")</f>
        <v/>
      </c>
      <c r="V39" s="8" t="str">
        <f>IFERROR(IF(ISBLANK([2]FoFsmonkeyCompl!Y42),"",[2]FoFsmonkeyCompl!Y42*FoFanalysis7[[#This Row],[EUR]]),"")</f>
        <v/>
      </c>
      <c r="W39" s="8" t="str">
        <f>IFERROR(IF(ISBLANK([2]FoFsmonkeyCompl!Z42),"",[2]FoFsmonkeyCompl!Z42*FoFanalysis7[[#This Row],[EUR]]),"")</f>
        <v/>
      </c>
      <c r="X39" s="8" t="str">
        <f>IFERROR(IF(ISBLANK([2]FoFsmonkeyCompl!AA42),"",[2]FoFsmonkeyCompl!AA42*FoFanalysis7[[#This Row],[EUR]]),"")</f>
        <v/>
      </c>
      <c r="Y39" s="8" t="str">
        <f>IFERROR(IF(ISBLANK([2]FoFsmonkeyCompl!AB42),"",[2]FoFsmonkeyCompl!AB42*FoFanalysis7[[#This Row],[EUR]]),"")</f>
        <v/>
      </c>
      <c r="Z39" s="8" t="str">
        <f>IFERROR(IF(ISBLANK([2]FoFsmonkeyCompl!AC42),"",[2]FoFsmonkeyCompl!AC42),"")</f>
        <v/>
      </c>
      <c r="AA39" s="8" t="str">
        <f>IFERROR(IF(ISBLANK([2]FoFsmonkeyCompl!AD42),"",[2]FoFsmonkeyCompl!AD42),"")</f>
        <v/>
      </c>
      <c r="AB39" s="8" t="str">
        <f>IFERROR(IF(ISBLANK([2]FoFsmonkeyCompl!AE42),"",[2]FoFsmonkeyCompl!AE42),"")</f>
        <v/>
      </c>
      <c r="AC39" s="8" t="str">
        <f>IFERROR(IF(ISBLANK([2]FoFsmonkeyCompl!AF42),"",[2]FoFsmonkeyCompl!AF42),"")</f>
        <v/>
      </c>
      <c r="AD39" s="8" t="str">
        <f>IFERROR(IF(ISBLANK([2]FoFsmonkeyCompl!AG42),"",[2]FoFsmonkeyCompl!AG42),"")</f>
        <v/>
      </c>
      <c r="AE39" s="8" t="str">
        <f>IFERROR(IF(ISBLANK([2]FoFsmonkeyCompl!AH42),"",[2]FoFsmonkeyCompl!AH42),"")</f>
        <v/>
      </c>
      <c r="AF39" s="40" t="str">
        <f>IFERROR(INDEX([2]FundOfFundsUniverse!$B$2:$EU$700,MATCH($C39,[2]FundOfFundsUniverse!$A$2:$A$700,0),MATCH($AF$1,[2]FundOfFundsUniverse!$B$1:$EU$1,0)),"")</f>
        <v/>
      </c>
    </row>
    <row r="40" spans="1:32" ht="14.25" thickTop="1" thickBot="1" x14ac:dyDescent="0.25">
      <c r="A40" s="9" t="str">
        <f>IF(OR(ISTEXT([2]FoFsmonkeyCompl!J43),ISNUMBER([2]FoFsmonkeyCompl!J43)),[2]FoFsmonkeyCompl!J43,"")</f>
        <v/>
      </c>
      <c r="B40" s="6" t="str">
        <f>IF(OR(ISTEXT([2]FoFsmonkeyCompl!K43),ISNUMBER([2]FoFsmonkeyCompl!K43)),[2]FoFsmonkeyCompl!K43,"")</f>
        <v/>
      </c>
      <c r="C40" s="7"/>
      <c r="D40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40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40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40" s="6" t="str">
        <f>IF(ISBLANK([2]FoFsmonkeyCompl!L43),"",[2]FoFsmonkeyCompl!L43)</f>
        <v/>
      </c>
      <c r="H40" s="6" t="str">
        <f>IF(ISBLANK([2]FoFsmonkeyCompl!M43),"",[2]FoFsmonkeyCompl!M43)</f>
        <v/>
      </c>
      <c r="I40" s="6" t="str">
        <f>IF(ISBLANK([2]FoFsmonkeyCompl!N43),"",[2]FoFsmonkeyCompl!N43)</f>
        <v/>
      </c>
      <c r="J40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40" s="11" t="str">
        <f>IFERROR(VLOOKUP(FoFanalysis7[[#This Row],[Currency of Reporting]],'[2]Xrate31.12.20'!$F$5:$H$28,3,0),"")</f>
        <v/>
      </c>
      <c r="L40" s="11" t="str">
        <f>IFERROR(IF(ISBLANK([2]FoFsmonkeyCompl!O43),"",[2]FoFsmonkeyCompl!O43*FoFanalysis7[[#This Row],[EUR]]),"")</f>
        <v/>
      </c>
      <c r="M40" s="8" t="str">
        <f>IFERROR(IF(ISBLANK([2]FoFsmonkeyCompl!P43),"",[2]FoFsmonkeyCompl!P43*FoFanalysis7[[#This Row],[EUR]]),"")</f>
        <v/>
      </c>
      <c r="N40" s="8" t="str">
        <f>IFERROR(IF(ISBLANK([2]FoFsmonkeyCompl!Q43),"",[2]FoFsmonkeyCompl!Q43*FoFanalysis7[[#This Row],[EUR]]),"")</f>
        <v/>
      </c>
      <c r="O40" s="8" t="str">
        <f>IFERROR(IF(ISBLANK([2]FoFsmonkeyCompl!R43),"",[2]FoFsmonkeyCompl!R43*FoFanalysis7[[#This Row],[EUR]]),"")</f>
        <v/>
      </c>
      <c r="P40" s="8" t="str">
        <f>IFERROR(IF(ISBLANK([2]FoFsmonkeyCompl!S43),"",[2]FoFsmonkeyCompl!S43*FoFanalysis7[[#This Row],[EUR]]),"")</f>
        <v/>
      </c>
      <c r="Q40" s="8" t="str">
        <f>IFERROR(IF(ISBLANK([2]FoFsmonkeyCompl!T43),"",[2]FoFsmonkeyCompl!T43*FoFanalysis7[[#This Row],[EUR]]),"")</f>
        <v/>
      </c>
      <c r="R40" s="8" t="str">
        <f>IFERROR(IF(ISBLANK([2]FoFsmonkeyCompl!U43),"",[2]FoFsmonkeyCompl!U43*FoFanalysis7[[#This Row],[EUR]]),"")</f>
        <v/>
      </c>
      <c r="S40" s="8" t="str">
        <f>IFERROR(IF(ISBLANK([2]FoFsmonkeyCompl!V43),"",[2]FoFsmonkeyCompl!V43*FoFanalysis7[[#This Row],[EUR]]),"")</f>
        <v/>
      </c>
      <c r="T40" s="8" t="str">
        <f>IFERROR(IF(ISBLANK([2]FoFsmonkeyCompl!W43),"",[2]FoFsmonkeyCompl!W43*FoFanalysis7[[#This Row],[EUR]]),"")</f>
        <v/>
      </c>
      <c r="U40" s="8" t="str">
        <f>IFERROR(IF(ISBLANK([2]FoFsmonkeyCompl!X43),"",[2]FoFsmonkeyCompl!X43*FoFanalysis7[[#This Row],[EUR]]),"")</f>
        <v/>
      </c>
      <c r="V40" s="8" t="str">
        <f>IFERROR(IF(ISBLANK([2]FoFsmonkeyCompl!Y43),"",[2]FoFsmonkeyCompl!Y43*FoFanalysis7[[#This Row],[EUR]]),"")</f>
        <v/>
      </c>
      <c r="W40" s="8" t="str">
        <f>IFERROR(IF(ISBLANK([2]FoFsmonkeyCompl!Z43),"",[2]FoFsmonkeyCompl!Z43*FoFanalysis7[[#This Row],[EUR]]),"")</f>
        <v/>
      </c>
      <c r="X40" s="8" t="str">
        <f>IFERROR(IF(ISBLANK([2]FoFsmonkeyCompl!AA43),"",[2]FoFsmonkeyCompl!AA43*FoFanalysis7[[#This Row],[EUR]]),"")</f>
        <v/>
      </c>
      <c r="Y40" s="8" t="str">
        <f>IFERROR(IF(ISBLANK([2]FoFsmonkeyCompl!AB43),"",[2]FoFsmonkeyCompl!AB43*FoFanalysis7[[#This Row],[EUR]]),"")</f>
        <v/>
      </c>
      <c r="Z40" s="8" t="str">
        <f>IFERROR(IF(ISBLANK([2]FoFsmonkeyCompl!AC43),"",[2]FoFsmonkeyCompl!AC43),"")</f>
        <v/>
      </c>
      <c r="AA40" s="8" t="str">
        <f>IFERROR(IF(ISBLANK([2]FoFsmonkeyCompl!AD43),"",[2]FoFsmonkeyCompl!AD43),"")</f>
        <v/>
      </c>
      <c r="AB40" s="8" t="str">
        <f>IFERROR(IF(ISBLANK([2]FoFsmonkeyCompl!AE43),"",[2]FoFsmonkeyCompl!AE43),"")</f>
        <v/>
      </c>
      <c r="AC40" s="8" t="str">
        <f>IFERROR(IF(ISBLANK([2]FoFsmonkeyCompl!AF43),"",[2]FoFsmonkeyCompl!AF43),"")</f>
        <v/>
      </c>
      <c r="AD40" s="8" t="str">
        <f>IFERROR(IF(ISBLANK([2]FoFsmonkeyCompl!AG43),"",[2]FoFsmonkeyCompl!AG43),"")</f>
        <v/>
      </c>
      <c r="AE40" s="8" t="str">
        <f>IFERROR(IF(ISBLANK([2]FoFsmonkeyCompl!AH43),"",[2]FoFsmonkeyCompl!AH43),"")</f>
        <v/>
      </c>
      <c r="AF40" s="40" t="str">
        <f>IFERROR(INDEX([2]FundOfFundsUniverse!$B$2:$EU$700,MATCH($C40,[2]FundOfFundsUniverse!$A$2:$A$700,0),MATCH($AF$1,[2]FundOfFundsUniverse!$B$1:$EU$1,0)),"")</f>
        <v/>
      </c>
    </row>
    <row r="41" spans="1:32" ht="14.25" thickTop="1" thickBot="1" x14ac:dyDescent="0.25">
      <c r="A41" s="5" t="str">
        <f>IF(OR(ISTEXT([2]FoFsmonkeyCompl!J44),ISNUMBER([2]FoFsmonkeyCompl!J44)),[2]FoFsmonkeyCompl!J44,"")</f>
        <v/>
      </c>
      <c r="B41" s="6" t="str">
        <f>IF(OR(ISTEXT([2]FoFsmonkeyCompl!K44),ISNUMBER([2]FoFsmonkeyCompl!K44)),[2]FoFsmonkeyCompl!K44,"")</f>
        <v/>
      </c>
      <c r="C41" s="7"/>
      <c r="D41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41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41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41" s="6" t="str">
        <f>IF(ISBLANK([2]FoFsmonkeyCompl!L44),"",[2]FoFsmonkeyCompl!L44)</f>
        <v/>
      </c>
      <c r="H41" s="6" t="str">
        <f>IF(ISBLANK([2]FoFsmonkeyCompl!M44),"",[2]FoFsmonkeyCompl!M44)</f>
        <v/>
      </c>
      <c r="I41" s="6" t="str">
        <f>IF(ISBLANK([2]FoFsmonkeyCompl!N44),"",[2]FoFsmonkeyCompl!N44)</f>
        <v/>
      </c>
      <c r="J41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41" s="11" t="str">
        <f>IFERROR(VLOOKUP(FoFanalysis7[[#This Row],[Currency of Reporting]],'[2]Xrate31.12.20'!$F$5:$H$28,3,0),"")</f>
        <v/>
      </c>
      <c r="L41" s="11" t="str">
        <f>IFERROR(IF(ISBLANK([2]FoFsmonkeyCompl!O44),"",[2]FoFsmonkeyCompl!O44*FoFanalysis7[[#This Row],[EUR]]),"")</f>
        <v/>
      </c>
      <c r="M41" s="8" t="str">
        <f>IFERROR(IF(ISBLANK([2]FoFsmonkeyCompl!P44),"",[2]FoFsmonkeyCompl!P44*FoFanalysis7[[#This Row],[EUR]]),"")</f>
        <v/>
      </c>
      <c r="N41" s="8" t="str">
        <f>IFERROR(IF(ISBLANK([2]FoFsmonkeyCompl!Q44),"",[2]FoFsmonkeyCompl!Q44*FoFanalysis7[[#This Row],[EUR]]),"")</f>
        <v/>
      </c>
      <c r="O41" s="8" t="str">
        <f>IFERROR(IF(ISBLANK([2]FoFsmonkeyCompl!R44),"",[2]FoFsmonkeyCompl!R44*FoFanalysis7[[#This Row],[EUR]]),"")</f>
        <v/>
      </c>
      <c r="P41" s="8" t="str">
        <f>IFERROR(IF(ISBLANK([2]FoFsmonkeyCompl!S44),"",[2]FoFsmonkeyCompl!S44*FoFanalysis7[[#This Row],[EUR]]),"")</f>
        <v/>
      </c>
      <c r="Q41" s="8" t="str">
        <f>IFERROR(IF(ISBLANK([2]FoFsmonkeyCompl!T44),"",[2]FoFsmonkeyCompl!T44*FoFanalysis7[[#This Row],[EUR]]),"")</f>
        <v/>
      </c>
      <c r="R41" s="8" t="str">
        <f>IFERROR(IF(ISBLANK([2]FoFsmonkeyCompl!U44),"",[2]FoFsmonkeyCompl!U44*FoFanalysis7[[#This Row],[EUR]]),"")</f>
        <v/>
      </c>
      <c r="S41" s="8" t="str">
        <f>IFERROR(IF(ISBLANK([2]FoFsmonkeyCompl!V44),"",[2]FoFsmonkeyCompl!V44*FoFanalysis7[[#This Row],[EUR]]),"")</f>
        <v/>
      </c>
      <c r="T41" s="8" t="str">
        <f>IFERROR(IF(ISBLANK([2]FoFsmonkeyCompl!W44),"",[2]FoFsmonkeyCompl!W44*FoFanalysis7[[#This Row],[EUR]]),"")</f>
        <v/>
      </c>
      <c r="U41" s="8" t="str">
        <f>IFERROR(IF(ISBLANK([2]FoFsmonkeyCompl!X44),"",[2]FoFsmonkeyCompl!X44*FoFanalysis7[[#This Row],[EUR]]),"")</f>
        <v/>
      </c>
      <c r="V41" s="8" t="str">
        <f>IFERROR(IF(ISBLANK([2]FoFsmonkeyCompl!Y44),"",[2]FoFsmonkeyCompl!Y44*FoFanalysis7[[#This Row],[EUR]]),"")</f>
        <v/>
      </c>
      <c r="W41" s="8" t="str">
        <f>IFERROR(IF(ISBLANK([2]FoFsmonkeyCompl!Z44),"",[2]FoFsmonkeyCompl!Z44*FoFanalysis7[[#This Row],[EUR]]),"")</f>
        <v/>
      </c>
      <c r="X41" s="8" t="str">
        <f>IFERROR(IF(ISBLANK([2]FoFsmonkeyCompl!AA44),"",[2]FoFsmonkeyCompl!AA44*FoFanalysis7[[#This Row],[EUR]]),"")</f>
        <v/>
      </c>
      <c r="Y41" s="8" t="str">
        <f>IFERROR(IF(ISBLANK([2]FoFsmonkeyCompl!AB44),"",[2]FoFsmonkeyCompl!AB44*FoFanalysis7[[#This Row],[EUR]]),"")</f>
        <v/>
      </c>
      <c r="Z41" s="8" t="str">
        <f>IFERROR(IF(ISBLANK([2]FoFsmonkeyCompl!AC44),"",[2]FoFsmonkeyCompl!AC44),"")</f>
        <v/>
      </c>
      <c r="AA41" s="8" t="str">
        <f>IFERROR(IF(ISBLANK([2]FoFsmonkeyCompl!AD44),"",[2]FoFsmonkeyCompl!AD44),"")</f>
        <v/>
      </c>
      <c r="AB41" s="8" t="str">
        <f>IFERROR(IF(ISBLANK([2]FoFsmonkeyCompl!AE44),"",[2]FoFsmonkeyCompl!AE44),"")</f>
        <v/>
      </c>
      <c r="AC41" s="8" t="str">
        <f>IFERROR(IF(ISBLANK([2]FoFsmonkeyCompl!AF44),"",[2]FoFsmonkeyCompl!AF44),"")</f>
        <v/>
      </c>
      <c r="AD41" s="8" t="str">
        <f>IFERROR(IF(ISBLANK([2]FoFsmonkeyCompl!AG44),"",[2]FoFsmonkeyCompl!AG44),"")</f>
        <v/>
      </c>
      <c r="AE41" s="8" t="str">
        <f>IFERROR(IF(ISBLANK([2]FoFsmonkeyCompl!AH44),"",[2]FoFsmonkeyCompl!AH44),"")</f>
        <v/>
      </c>
      <c r="AF41" s="40" t="str">
        <f>IFERROR(INDEX([2]FundOfFundsUniverse!$B$2:$EU$700,MATCH($C41,[2]FundOfFundsUniverse!$A$2:$A$700,0),MATCH($AF$1,[2]FundOfFundsUniverse!$B$1:$EU$1,0)),"")</f>
        <v/>
      </c>
    </row>
    <row r="42" spans="1:32" ht="14.25" thickTop="1" thickBot="1" x14ac:dyDescent="0.25">
      <c r="A42" s="9" t="str">
        <f>IF(OR(ISTEXT([2]FoFsmonkeyCompl!J45),ISNUMBER([2]FoFsmonkeyCompl!J45)),[2]FoFsmonkeyCompl!J45,"")</f>
        <v/>
      </c>
      <c r="B42" s="6" t="str">
        <f>IF(OR(ISTEXT([2]FoFsmonkeyCompl!K45),ISNUMBER([2]FoFsmonkeyCompl!K45)),[2]FoFsmonkeyCompl!K45,"")</f>
        <v/>
      </c>
      <c r="C42" s="7"/>
      <c r="D42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42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42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42" s="6" t="str">
        <f>IF(ISBLANK([2]FoFsmonkeyCompl!L45),"",[2]FoFsmonkeyCompl!L45)</f>
        <v/>
      </c>
      <c r="H42" s="6" t="str">
        <f>IF(ISBLANK([2]FoFsmonkeyCompl!M45),"",[2]FoFsmonkeyCompl!M45)</f>
        <v/>
      </c>
      <c r="I42" s="6" t="str">
        <f>IF(ISBLANK([2]FoFsmonkeyCompl!N45),"",[2]FoFsmonkeyCompl!N45)</f>
        <v/>
      </c>
      <c r="J42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42" s="11" t="str">
        <f>IFERROR(VLOOKUP(FoFanalysis7[[#This Row],[Currency of Reporting]],'[2]Xrate31.12.20'!$F$5:$H$28,3,0),"")</f>
        <v/>
      </c>
      <c r="L42" s="11" t="str">
        <f>IFERROR(IF(ISBLANK([2]FoFsmonkeyCompl!O45),"",[2]FoFsmonkeyCompl!O45*FoFanalysis7[[#This Row],[EUR]]),"")</f>
        <v/>
      </c>
      <c r="M42" s="8" t="str">
        <f>IFERROR(IF(ISBLANK([2]FoFsmonkeyCompl!P45),"",[2]FoFsmonkeyCompl!P45*FoFanalysis7[[#This Row],[EUR]]),"")</f>
        <v/>
      </c>
      <c r="N42" s="8" t="str">
        <f>IFERROR(IF(ISBLANK([2]FoFsmonkeyCompl!Q45),"",[2]FoFsmonkeyCompl!Q45*FoFanalysis7[[#This Row],[EUR]]),"")</f>
        <v/>
      </c>
      <c r="O42" s="8" t="str">
        <f>IFERROR(IF(ISBLANK([2]FoFsmonkeyCompl!R45),"",[2]FoFsmonkeyCompl!R45*FoFanalysis7[[#This Row],[EUR]]),"")</f>
        <v/>
      </c>
      <c r="P42" s="8" t="str">
        <f>IFERROR(IF(ISBLANK([2]FoFsmonkeyCompl!S45),"",[2]FoFsmonkeyCompl!S45*FoFanalysis7[[#This Row],[EUR]]),"")</f>
        <v/>
      </c>
      <c r="Q42" s="8" t="str">
        <f>IFERROR(IF(ISBLANK([2]FoFsmonkeyCompl!T45),"",[2]FoFsmonkeyCompl!T45*FoFanalysis7[[#This Row],[EUR]]),"")</f>
        <v/>
      </c>
      <c r="R42" s="8" t="str">
        <f>IFERROR(IF(ISBLANK([2]FoFsmonkeyCompl!U45),"",[2]FoFsmonkeyCompl!U45*FoFanalysis7[[#This Row],[EUR]]),"")</f>
        <v/>
      </c>
      <c r="S42" s="8" t="str">
        <f>IFERROR(IF(ISBLANK([2]FoFsmonkeyCompl!V45),"",[2]FoFsmonkeyCompl!V45*FoFanalysis7[[#This Row],[EUR]]),"")</f>
        <v/>
      </c>
      <c r="T42" s="8" t="str">
        <f>IFERROR(IF(ISBLANK([2]FoFsmonkeyCompl!W45),"",[2]FoFsmonkeyCompl!W45*FoFanalysis7[[#This Row],[EUR]]),"")</f>
        <v/>
      </c>
      <c r="U42" s="8" t="str">
        <f>IFERROR(IF(ISBLANK([2]FoFsmonkeyCompl!X45),"",[2]FoFsmonkeyCompl!X45*FoFanalysis7[[#This Row],[EUR]]),"")</f>
        <v/>
      </c>
      <c r="V42" s="8" t="str">
        <f>IFERROR(IF(ISBLANK([2]FoFsmonkeyCompl!Y45),"",[2]FoFsmonkeyCompl!Y45*FoFanalysis7[[#This Row],[EUR]]),"")</f>
        <v/>
      </c>
      <c r="W42" s="8" t="str">
        <f>IFERROR(IF(ISBLANK([2]FoFsmonkeyCompl!Z45),"",[2]FoFsmonkeyCompl!Z45*FoFanalysis7[[#This Row],[EUR]]),"")</f>
        <v/>
      </c>
      <c r="X42" s="8" t="str">
        <f>IFERROR(IF(ISBLANK([2]FoFsmonkeyCompl!AA45),"",[2]FoFsmonkeyCompl!AA45*FoFanalysis7[[#This Row],[EUR]]),"")</f>
        <v/>
      </c>
      <c r="Y42" s="8" t="str">
        <f>IFERROR(IF(ISBLANK([2]FoFsmonkeyCompl!AB45),"",[2]FoFsmonkeyCompl!AB45*FoFanalysis7[[#This Row],[EUR]]),"")</f>
        <v/>
      </c>
      <c r="Z42" s="8" t="str">
        <f>IFERROR(IF(ISBLANK([2]FoFsmonkeyCompl!AC45),"",[2]FoFsmonkeyCompl!AC45),"")</f>
        <v/>
      </c>
      <c r="AA42" s="8" t="str">
        <f>IFERROR(IF(ISBLANK([2]FoFsmonkeyCompl!AD45),"",[2]FoFsmonkeyCompl!AD45),"")</f>
        <v/>
      </c>
      <c r="AB42" s="8" t="str">
        <f>IFERROR(IF(ISBLANK([2]FoFsmonkeyCompl!AE45),"",[2]FoFsmonkeyCompl!AE45),"")</f>
        <v/>
      </c>
      <c r="AC42" s="8" t="str">
        <f>IFERROR(IF(ISBLANK([2]FoFsmonkeyCompl!AF45),"",[2]FoFsmonkeyCompl!AF45),"")</f>
        <v/>
      </c>
      <c r="AD42" s="8" t="str">
        <f>IFERROR(IF(ISBLANK([2]FoFsmonkeyCompl!AG45),"",[2]FoFsmonkeyCompl!AG45),"")</f>
        <v/>
      </c>
      <c r="AE42" s="8" t="str">
        <f>IFERROR(IF(ISBLANK([2]FoFsmonkeyCompl!AH45),"",[2]FoFsmonkeyCompl!AH45),"")</f>
        <v/>
      </c>
      <c r="AF42" s="40" t="str">
        <f>IFERROR(INDEX([2]FundOfFundsUniverse!$B$2:$EU$700,MATCH($C42,[2]FundOfFundsUniverse!$A$2:$A$700,0),MATCH($AF$1,[2]FundOfFundsUniverse!$B$1:$EU$1,0)),"")</f>
        <v/>
      </c>
    </row>
    <row r="43" spans="1:32" ht="14.25" thickTop="1" thickBot="1" x14ac:dyDescent="0.25">
      <c r="A43" s="5" t="str">
        <f>IF(OR(ISTEXT([2]FoFsmonkeyCompl!J46),ISNUMBER([2]FoFsmonkeyCompl!J46)),[2]FoFsmonkeyCompl!J46,"")</f>
        <v/>
      </c>
      <c r="B43" s="6" t="str">
        <f>IF(OR(ISTEXT([2]FoFsmonkeyCompl!K46),ISNUMBER([2]FoFsmonkeyCompl!K46)),[2]FoFsmonkeyCompl!K46,"")</f>
        <v/>
      </c>
      <c r="C43" s="7"/>
      <c r="D43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43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43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43" s="6" t="str">
        <f>IF(ISBLANK([2]FoFsmonkeyCompl!L46),"",[2]FoFsmonkeyCompl!L46)</f>
        <v/>
      </c>
      <c r="H43" s="6" t="str">
        <f>IF(ISBLANK([2]FoFsmonkeyCompl!M46),"",[2]FoFsmonkeyCompl!M46)</f>
        <v/>
      </c>
      <c r="I43" s="6" t="str">
        <f>IF(ISBLANK([2]FoFsmonkeyCompl!N46),"",[2]FoFsmonkeyCompl!N46)</f>
        <v/>
      </c>
      <c r="J43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43" s="11" t="str">
        <f>IFERROR(VLOOKUP(FoFanalysis7[[#This Row],[Currency of Reporting]],'[2]Xrate31.12.20'!$F$5:$H$28,3,0),"")</f>
        <v/>
      </c>
      <c r="L43" s="11" t="str">
        <f>IFERROR(IF(ISBLANK([2]FoFsmonkeyCompl!O46),"",[2]FoFsmonkeyCompl!O46*FoFanalysis7[[#This Row],[EUR]]),"")</f>
        <v/>
      </c>
      <c r="M43" s="8" t="str">
        <f>IFERROR(IF(ISBLANK([2]FoFsmonkeyCompl!P46),"",[2]FoFsmonkeyCompl!P46*FoFanalysis7[[#This Row],[EUR]]),"")</f>
        <v/>
      </c>
      <c r="N43" s="8" t="str">
        <f>IFERROR(IF(ISBLANK([2]FoFsmonkeyCompl!Q46),"",[2]FoFsmonkeyCompl!Q46*FoFanalysis7[[#This Row],[EUR]]),"")</f>
        <v/>
      </c>
      <c r="O43" s="8" t="str">
        <f>IFERROR(IF(ISBLANK([2]FoFsmonkeyCompl!R46),"",[2]FoFsmonkeyCompl!R46*FoFanalysis7[[#This Row],[EUR]]),"")</f>
        <v/>
      </c>
      <c r="P43" s="8" t="str">
        <f>IFERROR(IF(ISBLANK([2]FoFsmonkeyCompl!S46),"",[2]FoFsmonkeyCompl!S46*FoFanalysis7[[#This Row],[EUR]]),"")</f>
        <v/>
      </c>
      <c r="Q43" s="8" t="str">
        <f>IFERROR(IF(ISBLANK([2]FoFsmonkeyCompl!T46),"",[2]FoFsmonkeyCompl!T46*FoFanalysis7[[#This Row],[EUR]]),"")</f>
        <v/>
      </c>
      <c r="R43" s="8" t="str">
        <f>IFERROR(IF(ISBLANK([2]FoFsmonkeyCompl!U46),"",[2]FoFsmonkeyCompl!U46*FoFanalysis7[[#This Row],[EUR]]),"")</f>
        <v/>
      </c>
      <c r="S43" s="8" t="str">
        <f>IFERROR(IF(ISBLANK([2]FoFsmonkeyCompl!V46),"",[2]FoFsmonkeyCompl!V46*FoFanalysis7[[#This Row],[EUR]]),"")</f>
        <v/>
      </c>
      <c r="T43" s="8" t="str">
        <f>IFERROR(IF(ISBLANK([2]FoFsmonkeyCompl!W46),"",[2]FoFsmonkeyCompl!W46*FoFanalysis7[[#This Row],[EUR]]),"")</f>
        <v/>
      </c>
      <c r="U43" s="8" t="str">
        <f>IFERROR(IF(ISBLANK([2]FoFsmonkeyCompl!X46),"",[2]FoFsmonkeyCompl!X46*FoFanalysis7[[#This Row],[EUR]]),"")</f>
        <v/>
      </c>
      <c r="V43" s="8" t="str">
        <f>IFERROR(IF(ISBLANK([2]FoFsmonkeyCompl!Y46),"",[2]FoFsmonkeyCompl!Y46*FoFanalysis7[[#This Row],[EUR]]),"")</f>
        <v/>
      </c>
      <c r="W43" s="8" t="str">
        <f>IFERROR(IF(ISBLANK([2]FoFsmonkeyCompl!Z46),"",[2]FoFsmonkeyCompl!Z46*FoFanalysis7[[#This Row],[EUR]]),"")</f>
        <v/>
      </c>
      <c r="X43" s="8" t="str">
        <f>IFERROR(IF(ISBLANK([2]FoFsmonkeyCompl!AA46),"",[2]FoFsmonkeyCompl!AA46*FoFanalysis7[[#This Row],[EUR]]),"")</f>
        <v/>
      </c>
      <c r="Y43" s="8" t="str">
        <f>IFERROR(IF(ISBLANK([2]FoFsmonkeyCompl!AB46),"",[2]FoFsmonkeyCompl!AB46*FoFanalysis7[[#This Row],[EUR]]),"")</f>
        <v/>
      </c>
      <c r="Z43" s="8" t="str">
        <f>IFERROR(IF(ISBLANK([2]FoFsmonkeyCompl!AC46),"",[2]FoFsmonkeyCompl!AC46),"")</f>
        <v/>
      </c>
      <c r="AA43" s="8" t="str">
        <f>IFERROR(IF(ISBLANK([2]FoFsmonkeyCompl!AD46),"",[2]FoFsmonkeyCompl!AD46),"")</f>
        <v/>
      </c>
      <c r="AB43" s="8" t="str">
        <f>IFERROR(IF(ISBLANK([2]FoFsmonkeyCompl!AE46),"",[2]FoFsmonkeyCompl!AE46),"")</f>
        <v/>
      </c>
      <c r="AC43" s="8" t="str">
        <f>IFERROR(IF(ISBLANK([2]FoFsmonkeyCompl!AF46),"",[2]FoFsmonkeyCompl!AF46),"")</f>
        <v/>
      </c>
      <c r="AD43" s="8" t="str">
        <f>IFERROR(IF(ISBLANK([2]FoFsmonkeyCompl!AG46),"",[2]FoFsmonkeyCompl!AG46),"")</f>
        <v/>
      </c>
      <c r="AE43" s="8" t="str">
        <f>IFERROR(IF(ISBLANK([2]FoFsmonkeyCompl!AH46),"",[2]FoFsmonkeyCompl!AH46),"")</f>
        <v/>
      </c>
      <c r="AF43" s="40" t="str">
        <f>IFERROR(INDEX([2]FundOfFundsUniverse!$B$2:$EU$700,MATCH($C43,[2]FundOfFundsUniverse!$A$2:$A$700,0),MATCH($AF$1,[2]FundOfFundsUniverse!$B$1:$EU$1,0)),"")</f>
        <v/>
      </c>
    </row>
    <row r="44" spans="1:32" ht="14.25" thickTop="1" thickBot="1" x14ac:dyDescent="0.25">
      <c r="A44" s="9" t="str">
        <f>IF(OR(ISTEXT([2]FoFsmonkeyCompl!J47),ISNUMBER([2]FoFsmonkeyCompl!J47)),[2]FoFsmonkeyCompl!J47,"")</f>
        <v/>
      </c>
      <c r="B44" s="6" t="str">
        <f>IF(OR(ISTEXT([2]FoFsmonkeyCompl!K47),ISNUMBER([2]FoFsmonkeyCompl!K47)),[2]FoFsmonkeyCompl!K47,"")</f>
        <v/>
      </c>
      <c r="C44" s="7"/>
      <c r="D44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44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44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44" s="6" t="str">
        <f>IF(ISBLANK([2]FoFsmonkeyCompl!L47),"",[2]FoFsmonkeyCompl!L47)</f>
        <v/>
      </c>
      <c r="H44" s="6" t="str">
        <f>IF(ISBLANK([2]FoFsmonkeyCompl!M47),"",[2]FoFsmonkeyCompl!M47)</f>
        <v/>
      </c>
      <c r="I44" s="6" t="str">
        <f>IF(ISBLANK([2]FoFsmonkeyCompl!N47),"",[2]FoFsmonkeyCompl!N47)</f>
        <v/>
      </c>
      <c r="J44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44" s="11" t="str">
        <f>IFERROR(VLOOKUP(FoFanalysis7[[#This Row],[Currency of Reporting]],'[2]Xrate31.12.20'!$F$5:$H$28,3,0),"")</f>
        <v/>
      </c>
      <c r="L44" s="11" t="str">
        <f>IFERROR(IF(ISBLANK([2]FoFsmonkeyCompl!O47),"",[2]FoFsmonkeyCompl!O47*FoFanalysis7[[#This Row],[EUR]]),"")</f>
        <v/>
      </c>
      <c r="M44" s="8" t="str">
        <f>IFERROR(IF(ISBLANK([2]FoFsmonkeyCompl!P47),"",[2]FoFsmonkeyCompl!P47*FoFanalysis7[[#This Row],[EUR]]),"")</f>
        <v/>
      </c>
      <c r="N44" s="8" t="str">
        <f>IFERROR(IF(ISBLANK([2]FoFsmonkeyCompl!Q47),"",[2]FoFsmonkeyCompl!Q47*FoFanalysis7[[#This Row],[EUR]]),"")</f>
        <v/>
      </c>
      <c r="O44" s="8" t="str">
        <f>IFERROR(IF(ISBLANK([2]FoFsmonkeyCompl!R47),"",[2]FoFsmonkeyCompl!R47*FoFanalysis7[[#This Row],[EUR]]),"")</f>
        <v/>
      </c>
      <c r="P44" s="8" t="str">
        <f>IFERROR(IF(ISBLANK([2]FoFsmonkeyCompl!S47),"",[2]FoFsmonkeyCompl!S47*FoFanalysis7[[#This Row],[EUR]]),"")</f>
        <v/>
      </c>
      <c r="Q44" s="8" t="str">
        <f>IFERROR(IF(ISBLANK([2]FoFsmonkeyCompl!T47),"",[2]FoFsmonkeyCompl!T47*FoFanalysis7[[#This Row],[EUR]]),"")</f>
        <v/>
      </c>
      <c r="R44" s="8" t="str">
        <f>IFERROR(IF(ISBLANK([2]FoFsmonkeyCompl!U47),"",[2]FoFsmonkeyCompl!U47*FoFanalysis7[[#This Row],[EUR]]),"")</f>
        <v/>
      </c>
      <c r="S44" s="8" t="str">
        <f>IFERROR(IF(ISBLANK([2]FoFsmonkeyCompl!V47),"",[2]FoFsmonkeyCompl!V47*FoFanalysis7[[#This Row],[EUR]]),"")</f>
        <v/>
      </c>
      <c r="T44" s="8" t="str">
        <f>IFERROR(IF(ISBLANK([2]FoFsmonkeyCompl!W47),"",[2]FoFsmonkeyCompl!W47*FoFanalysis7[[#This Row],[EUR]]),"")</f>
        <v/>
      </c>
      <c r="U44" s="8" t="str">
        <f>IFERROR(IF(ISBLANK([2]FoFsmonkeyCompl!X47),"",[2]FoFsmonkeyCompl!X47*FoFanalysis7[[#This Row],[EUR]]),"")</f>
        <v/>
      </c>
      <c r="V44" s="8" t="str">
        <f>IFERROR(IF(ISBLANK([2]FoFsmonkeyCompl!Y47),"",[2]FoFsmonkeyCompl!Y47*FoFanalysis7[[#This Row],[EUR]]),"")</f>
        <v/>
      </c>
      <c r="W44" s="8" t="str">
        <f>IFERROR(IF(ISBLANK([2]FoFsmonkeyCompl!Z47),"",[2]FoFsmonkeyCompl!Z47*FoFanalysis7[[#This Row],[EUR]]),"")</f>
        <v/>
      </c>
      <c r="X44" s="8" t="str">
        <f>IFERROR(IF(ISBLANK([2]FoFsmonkeyCompl!AA47),"",[2]FoFsmonkeyCompl!AA47*FoFanalysis7[[#This Row],[EUR]]),"")</f>
        <v/>
      </c>
      <c r="Y44" s="8" t="str">
        <f>IFERROR(IF(ISBLANK([2]FoFsmonkeyCompl!AB47),"",[2]FoFsmonkeyCompl!AB47*FoFanalysis7[[#This Row],[EUR]]),"")</f>
        <v/>
      </c>
      <c r="Z44" s="8" t="str">
        <f>IFERROR(IF(ISBLANK([2]FoFsmonkeyCompl!AC47),"",[2]FoFsmonkeyCompl!AC47),"")</f>
        <v/>
      </c>
      <c r="AA44" s="8" t="str">
        <f>IFERROR(IF(ISBLANK([2]FoFsmonkeyCompl!AD47),"",[2]FoFsmonkeyCompl!AD47),"")</f>
        <v/>
      </c>
      <c r="AB44" s="8" t="str">
        <f>IFERROR(IF(ISBLANK([2]FoFsmonkeyCompl!AE47),"",[2]FoFsmonkeyCompl!AE47),"")</f>
        <v/>
      </c>
      <c r="AC44" s="8" t="str">
        <f>IFERROR(IF(ISBLANK([2]FoFsmonkeyCompl!AF47),"",[2]FoFsmonkeyCompl!AF47),"")</f>
        <v/>
      </c>
      <c r="AD44" s="8" t="str">
        <f>IFERROR(IF(ISBLANK([2]FoFsmonkeyCompl!AG47),"",[2]FoFsmonkeyCompl!AG47),"")</f>
        <v/>
      </c>
      <c r="AE44" s="8" t="str">
        <f>IFERROR(IF(ISBLANK([2]FoFsmonkeyCompl!AH47),"",[2]FoFsmonkeyCompl!AH47),"")</f>
        <v/>
      </c>
      <c r="AF44" s="40" t="str">
        <f>IFERROR(INDEX([2]FundOfFundsUniverse!$B$2:$EU$700,MATCH($C44,[2]FundOfFundsUniverse!$A$2:$A$700,0),MATCH($AF$1,[2]FundOfFundsUniverse!$B$1:$EU$1,0)),"")</f>
        <v/>
      </c>
    </row>
    <row r="45" spans="1:32" ht="14.25" thickTop="1" thickBot="1" x14ac:dyDescent="0.25">
      <c r="A45" s="5" t="str">
        <f>IF(OR(ISTEXT([2]FoFsmonkeyCompl!J48),ISNUMBER([2]FoFsmonkeyCompl!J48)),[2]FoFsmonkeyCompl!J48,"")</f>
        <v/>
      </c>
      <c r="B45" s="6" t="str">
        <f>IF(OR(ISTEXT([2]FoFsmonkeyCompl!K48),ISNUMBER([2]FoFsmonkeyCompl!K48)),[2]FoFsmonkeyCompl!K48,"")</f>
        <v/>
      </c>
      <c r="C45" s="7"/>
      <c r="D45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45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45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45" s="6" t="str">
        <f>IF(ISBLANK([2]FoFsmonkeyCompl!L48),"",[2]FoFsmonkeyCompl!L48)</f>
        <v/>
      </c>
      <c r="H45" s="6" t="str">
        <f>IF(ISBLANK([2]FoFsmonkeyCompl!M48),"",[2]FoFsmonkeyCompl!M48)</f>
        <v/>
      </c>
      <c r="I45" s="6" t="str">
        <f>IF(ISBLANK([2]FoFsmonkeyCompl!N48),"",[2]FoFsmonkeyCompl!N48)</f>
        <v/>
      </c>
      <c r="J45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45" s="11" t="str">
        <f>IFERROR(VLOOKUP(FoFanalysis7[[#This Row],[Currency of Reporting]],'[2]Xrate31.12.20'!$F$5:$H$28,3,0),"")</f>
        <v/>
      </c>
      <c r="L45" s="11" t="str">
        <f>IFERROR(IF(ISBLANK([2]FoFsmonkeyCompl!O48),"",[2]FoFsmonkeyCompl!O48*FoFanalysis7[[#This Row],[EUR]]),"")</f>
        <v/>
      </c>
      <c r="M45" s="8" t="str">
        <f>IFERROR(IF(ISBLANK([2]FoFsmonkeyCompl!P48),"",[2]FoFsmonkeyCompl!P48*FoFanalysis7[[#This Row],[EUR]]),"")</f>
        <v/>
      </c>
      <c r="N45" s="8" t="str">
        <f>IFERROR(IF(ISBLANK([2]FoFsmonkeyCompl!Q48),"",[2]FoFsmonkeyCompl!Q48*FoFanalysis7[[#This Row],[EUR]]),"")</f>
        <v/>
      </c>
      <c r="O45" s="8" t="str">
        <f>IFERROR(IF(ISBLANK([2]FoFsmonkeyCompl!R48),"",[2]FoFsmonkeyCompl!R48*FoFanalysis7[[#This Row],[EUR]]),"")</f>
        <v/>
      </c>
      <c r="P45" s="8" t="str">
        <f>IFERROR(IF(ISBLANK([2]FoFsmonkeyCompl!S48),"",[2]FoFsmonkeyCompl!S48*FoFanalysis7[[#This Row],[EUR]]),"")</f>
        <v/>
      </c>
      <c r="Q45" s="8" t="str">
        <f>IFERROR(IF(ISBLANK([2]FoFsmonkeyCompl!T48),"",[2]FoFsmonkeyCompl!T48*FoFanalysis7[[#This Row],[EUR]]),"")</f>
        <v/>
      </c>
      <c r="R45" s="8" t="str">
        <f>IFERROR(IF(ISBLANK([2]FoFsmonkeyCompl!U48),"",[2]FoFsmonkeyCompl!U48*FoFanalysis7[[#This Row],[EUR]]),"")</f>
        <v/>
      </c>
      <c r="S45" s="8" t="str">
        <f>IFERROR(IF(ISBLANK([2]FoFsmonkeyCompl!V48),"",[2]FoFsmonkeyCompl!V48*FoFanalysis7[[#This Row],[EUR]]),"")</f>
        <v/>
      </c>
      <c r="T45" s="8" t="str">
        <f>IFERROR(IF(ISBLANK([2]FoFsmonkeyCompl!W48),"",[2]FoFsmonkeyCompl!W48*FoFanalysis7[[#This Row],[EUR]]),"")</f>
        <v/>
      </c>
      <c r="U45" s="8" t="str">
        <f>IFERROR(IF(ISBLANK([2]FoFsmonkeyCompl!X48),"",[2]FoFsmonkeyCompl!X48*FoFanalysis7[[#This Row],[EUR]]),"")</f>
        <v/>
      </c>
      <c r="V45" s="8" t="str">
        <f>IFERROR(IF(ISBLANK([2]FoFsmonkeyCompl!Y48),"",[2]FoFsmonkeyCompl!Y48*FoFanalysis7[[#This Row],[EUR]]),"")</f>
        <v/>
      </c>
      <c r="W45" s="8" t="str">
        <f>IFERROR(IF(ISBLANK([2]FoFsmonkeyCompl!Z48),"",[2]FoFsmonkeyCompl!Z48*FoFanalysis7[[#This Row],[EUR]]),"")</f>
        <v/>
      </c>
      <c r="X45" s="8" t="str">
        <f>IFERROR(IF(ISBLANK([2]FoFsmonkeyCompl!AA48),"",[2]FoFsmonkeyCompl!AA48*FoFanalysis7[[#This Row],[EUR]]),"")</f>
        <v/>
      </c>
      <c r="Y45" s="8" t="str">
        <f>IFERROR(IF(ISBLANK([2]FoFsmonkeyCompl!AB48),"",[2]FoFsmonkeyCompl!AB48*FoFanalysis7[[#This Row],[EUR]]),"")</f>
        <v/>
      </c>
      <c r="Z45" s="8" t="str">
        <f>IFERROR(IF(ISBLANK([2]FoFsmonkeyCompl!AC48),"",[2]FoFsmonkeyCompl!AC48),"")</f>
        <v/>
      </c>
      <c r="AA45" s="8" t="str">
        <f>IFERROR(IF(ISBLANK([2]FoFsmonkeyCompl!AD48),"",[2]FoFsmonkeyCompl!AD48),"")</f>
        <v/>
      </c>
      <c r="AB45" s="8" t="str">
        <f>IFERROR(IF(ISBLANK([2]FoFsmonkeyCompl!AE48),"",[2]FoFsmonkeyCompl!AE48),"")</f>
        <v/>
      </c>
      <c r="AC45" s="8" t="str">
        <f>IFERROR(IF(ISBLANK([2]FoFsmonkeyCompl!AF48),"",[2]FoFsmonkeyCompl!AF48),"")</f>
        <v/>
      </c>
      <c r="AD45" s="8" t="str">
        <f>IFERROR(IF(ISBLANK([2]FoFsmonkeyCompl!AG48),"",[2]FoFsmonkeyCompl!AG48),"")</f>
        <v/>
      </c>
      <c r="AE45" s="8" t="str">
        <f>IFERROR(IF(ISBLANK([2]FoFsmonkeyCompl!AH48),"",[2]FoFsmonkeyCompl!AH48),"")</f>
        <v/>
      </c>
      <c r="AF45" s="40" t="str">
        <f>IFERROR(INDEX([2]FundOfFundsUniverse!$B$2:$EU$700,MATCH($C45,[2]FundOfFundsUniverse!$A$2:$A$700,0),MATCH($AF$1,[2]FundOfFundsUniverse!$B$1:$EU$1,0)),"")</f>
        <v/>
      </c>
    </row>
    <row r="46" spans="1:32" ht="14.25" thickTop="1" thickBot="1" x14ac:dyDescent="0.25">
      <c r="A46" s="9" t="str">
        <f>IF(OR(ISTEXT([2]FoFsmonkeyCompl!J49),ISNUMBER([2]FoFsmonkeyCompl!J49)),[2]FoFsmonkeyCompl!J49,"")</f>
        <v/>
      </c>
      <c r="B46" s="6" t="str">
        <f>IF(OR(ISTEXT([2]FoFsmonkeyCompl!K49),ISNUMBER([2]FoFsmonkeyCompl!K49)),[2]FoFsmonkeyCompl!K49,"")</f>
        <v/>
      </c>
      <c r="C46" s="7"/>
      <c r="D46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46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46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46" s="6" t="str">
        <f>IF(ISBLANK([2]FoFsmonkeyCompl!L49),"",[2]FoFsmonkeyCompl!L49)</f>
        <v/>
      </c>
      <c r="H46" s="6" t="str">
        <f>IF(ISBLANK([2]FoFsmonkeyCompl!M49),"",[2]FoFsmonkeyCompl!M49)</f>
        <v/>
      </c>
      <c r="I46" s="6" t="str">
        <f>IF(ISBLANK([2]FoFsmonkeyCompl!N49),"",[2]FoFsmonkeyCompl!N49)</f>
        <v/>
      </c>
      <c r="J46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46" s="11" t="str">
        <f>IFERROR(VLOOKUP(FoFanalysis7[[#This Row],[Currency of Reporting]],'[2]Xrate31.12.20'!$F$5:$H$28,3,0),"")</f>
        <v/>
      </c>
      <c r="L46" s="11" t="str">
        <f>IFERROR(IF(ISBLANK([2]FoFsmonkeyCompl!O49),"",[2]FoFsmonkeyCompl!O49*FoFanalysis7[[#This Row],[EUR]]),"")</f>
        <v/>
      </c>
      <c r="M46" s="8" t="str">
        <f>IFERROR(IF(ISBLANK([2]FoFsmonkeyCompl!P49),"",[2]FoFsmonkeyCompl!P49*FoFanalysis7[[#This Row],[EUR]]),"")</f>
        <v/>
      </c>
      <c r="N46" s="8" t="str">
        <f>IFERROR(IF(ISBLANK([2]FoFsmonkeyCompl!Q49),"",[2]FoFsmonkeyCompl!Q49*FoFanalysis7[[#This Row],[EUR]]),"")</f>
        <v/>
      </c>
      <c r="O46" s="8" t="str">
        <f>IFERROR(IF(ISBLANK([2]FoFsmonkeyCompl!R49),"",[2]FoFsmonkeyCompl!R49*FoFanalysis7[[#This Row],[EUR]]),"")</f>
        <v/>
      </c>
      <c r="P46" s="8" t="str">
        <f>IFERROR(IF(ISBLANK([2]FoFsmonkeyCompl!S49),"",[2]FoFsmonkeyCompl!S49*FoFanalysis7[[#This Row],[EUR]]),"")</f>
        <v/>
      </c>
      <c r="Q46" s="8" t="str">
        <f>IFERROR(IF(ISBLANK([2]FoFsmonkeyCompl!T49),"",[2]FoFsmonkeyCompl!T49*FoFanalysis7[[#This Row],[EUR]]),"")</f>
        <v/>
      </c>
      <c r="R46" s="8" t="str">
        <f>IFERROR(IF(ISBLANK([2]FoFsmonkeyCompl!U49),"",[2]FoFsmonkeyCompl!U49*FoFanalysis7[[#This Row],[EUR]]),"")</f>
        <v/>
      </c>
      <c r="S46" s="8" t="str">
        <f>IFERROR(IF(ISBLANK([2]FoFsmonkeyCompl!V49),"",[2]FoFsmonkeyCompl!V49*FoFanalysis7[[#This Row],[EUR]]),"")</f>
        <v/>
      </c>
      <c r="T46" s="8" t="str">
        <f>IFERROR(IF(ISBLANK([2]FoFsmonkeyCompl!W49),"",[2]FoFsmonkeyCompl!W49*FoFanalysis7[[#This Row],[EUR]]),"")</f>
        <v/>
      </c>
      <c r="U46" s="8" t="str">
        <f>IFERROR(IF(ISBLANK([2]FoFsmonkeyCompl!X49),"",[2]FoFsmonkeyCompl!X49*FoFanalysis7[[#This Row],[EUR]]),"")</f>
        <v/>
      </c>
      <c r="V46" s="8" t="str">
        <f>IFERROR(IF(ISBLANK([2]FoFsmonkeyCompl!Y49),"",[2]FoFsmonkeyCompl!Y49*FoFanalysis7[[#This Row],[EUR]]),"")</f>
        <v/>
      </c>
      <c r="W46" s="8" t="str">
        <f>IFERROR(IF(ISBLANK([2]FoFsmonkeyCompl!Z49),"",[2]FoFsmonkeyCompl!Z49*FoFanalysis7[[#This Row],[EUR]]),"")</f>
        <v/>
      </c>
      <c r="X46" s="8" t="str">
        <f>IFERROR(IF(ISBLANK([2]FoFsmonkeyCompl!AA49),"",[2]FoFsmonkeyCompl!AA49*FoFanalysis7[[#This Row],[EUR]]),"")</f>
        <v/>
      </c>
      <c r="Y46" s="8" t="str">
        <f>IFERROR(IF(ISBLANK([2]FoFsmonkeyCompl!AB49),"",[2]FoFsmonkeyCompl!AB49*FoFanalysis7[[#This Row],[EUR]]),"")</f>
        <v/>
      </c>
      <c r="Z46" s="8" t="str">
        <f>IFERROR(IF(ISBLANK([2]FoFsmonkeyCompl!AC49),"",[2]FoFsmonkeyCompl!AC49),"")</f>
        <v/>
      </c>
      <c r="AA46" s="8" t="str">
        <f>IFERROR(IF(ISBLANK([2]FoFsmonkeyCompl!AD49),"",[2]FoFsmonkeyCompl!AD49),"")</f>
        <v/>
      </c>
      <c r="AB46" s="8" t="str">
        <f>IFERROR(IF(ISBLANK([2]FoFsmonkeyCompl!AE49),"",[2]FoFsmonkeyCompl!AE49),"")</f>
        <v/>
      </c>
      <c r="AC46" s="8" t="str">
        <f>IFERROR(IF(ISBLANK([2]FoFsmonkeyCompl!AF49),"",[2]FoFsmonkeyCompl!AF49),"")</f>
        <v/>
      </c>
      <c r="AD46" s="8" t="str">
        <f>IFERROR(IF(ISBLANK([2]FoFsmonkeyCompl!AG49),"",[2]FoFsmonkeyCompl!AG49),"")</f>
        <v/>
      </c>
      <c r="AE46" s="8" t="str">
        <f>IFERROR(IF(ISBLANK([2]FoFsmonkeyCompl!AH49),"",[2]FoFsmonkeyCompl!AH49),"")</f>
        <v/>
      </c>
      <c r="AF46" s="40" t="str">
        <f>IFERROR(INDEX([2]FundOfFundsUniverse!$B$2:$EU$700,MATCH($C46,[2]FundOfFundsUniverse!$A$2:$A$700,0),MATCH($AF$1,[2]FundOfFundsUniverse!$B$1:$EU$1,0)),"")</f>
        <v/>
      </c>
    </row>
    <row r="47" spans="1:32" ht="14.25" thickTop="1" thickBot="1" x14ac:dyDescent="0.25">
      <c r="A47" s="5" t="str">
        <f>IF(OR(ISTEXT([2]FoFsmonkeyCompl!J50),ISNUMBER([2]FoFsmonkeyCompl!J50)),[2]FoFsmonkeyCompl!J50,"")</f>
        <v/>
      </c>
      <c r="B47" s="6" t="str">
        <f>IF(OR(ISTEXT([2]FoFsmonkeyCompl!K50),ISNUMBER([2]FoFsmonkeyCompl!K50)),[2]FoFsmonkeyCompl!K50,"")</f>
        <v/>
      </c>
      <c r="C47" s="7"/>
      <c r="D47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47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47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47" s="6" t="str">
        <f>IF(ISBLANK([2]FoFsmonkeyCompl!L50),"",[2]FoFsmonkeyCompl!L50)</f>
        <v/>
      </c>
      <c r="H47" s="6" t="str">
        <f>IF(ISBLANK([2]FoFsmonkeyCompl!M50),"",[2]FoFsmonkeyCompl!M50)</f>
        <v/>
      </c>
      <c r="I47" s="6" t="str">
        <f>IF(ISBLANK([2]FoFsmonkeyCompl!N50),"",[2]FoFsmonkeyCompl!N50)</f>
        <v/>
      </c>
      <c r="J47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47" s="11" t="str">
        <f>IFERROR(VLOOKUP(FoFanalysis7[[#This Row],[Currency of Reporting]],'[2]Xrate31.12.20'!$F$5:$H$28,3,0),"")</f>
        <v/>
      </c>
      <c r="L47" s="11" t="str">
        <f>IFERROR(IF(ISBLANK([2]FoFsmonkeyCompl!O50),"",[2]FoFsmonkeyCompl!O50*FoFanalysis7[[#This Row],[EUR]]),"")</f>
        <v/>
      </c>
      <c r="M47" s="8" t="str">
        <f>IFERROR(IF(ISBLANK([2]FoFsmonkeyCompl!P50),"",[2]FoFsmonkeyCompl!P50*FoFanalysis7[[#This Row],[EUR]]),"")</f>
        <v/>
      </c>
      <c r="N47" s="8" t="str">
        <f>IFERROR(IF(ISBLANK([2]FoFsmonkeyCompl!Q50),"",[2]FoFsmonkeyCompl!Q50*FoFanalysis7[[#This Row],[EUR]]),"")</f>
        <v/>
      </c>
      <c r="O47" s="8" t="str">
        <f>IFERROR(IF(ISBLANK([2]FoFsmonkeyCompl!R50),"",[2]FoFsmonkeyCompl!R50*FoFanalysis7[[#This Row],[EUR]]),"")</f>
        <v/>
      </c>
      <c r="P47" s="8" t="str">
        <f>IFERROR(IF(ISBLANK([2]FoFsmonkeyCompl!S50),"",[2]FoFsmonkeyCompl!S50*FoFanalysis7[[#This Row],[EUR]]),"")</f>
        <v/>
      </c>
      <c r="Q47" s="8" t="str">
        <f>IFERROR(IF(ISBLANK([2]FoFsmonkeyCompl!T50),"",[2]FoFsmonkeyCompl!T50*FoFanalysis7[[#This Row],[EUR]]),"")</f>
        <v/>
      </c>
      <c r="R47" s="8" t="str">
        <f>IFERROR(IF(ISBLANK([2]FoFsmonkeyCompl!U50),"",[2]FoFsmonkeyCompl!U50*FoFanalysis7[[#This Row],[EUR]]),"")</f>
        <v/>
      </c>
      <c r="S47" s="8" t="str">
        <f>IFERROR(IF(ISBLANK([2]FoFsmonkeyCompl!V50),"",[2]FoFsmonkeyCompl!V50*FoFanalysis7[[#This Row],[EUR]]),"")</f>
        <v/>
      </c>
      <c r="T47" s="8" t="str">
        <f>IFERROR(IF(ISBLANK([2]FoFsmonkeyCompl!W50),"",[2]FoFsmonkeyCompl!W50*FoFanalysis7[[#This Row],[EUR]]),"")</f>
        <v/>
      </c>
      <c r="U47" s="8" t="str">
        <f>IFERROR(IF(ISBLANK([2]FoFsmonkeyCompl!X50),"",[2]FoFsmonkeyCompl!X50*FoFanalysis7[[#This Row],[EUR]]),"")</f>
        <v/>
      </c>
      <c r="V47" s="8" t="str">
        <f>IFERROR(IF(ISBLANK([2]FoFsmonkeyCompl!Y50),"",[2]FoFsmonkeyCompl!Y50*FoFanalysis7[[#This Row],[EUR]]),"")</f>
        <v/>
      </c>
      <c r="W47" s="8" t="str">
        <f>IFERROR(IF(ISBLANK([2]FoFsmonkeyCompl!Z50),"",[2]FoFsmonkeyCompl!Z50*FoFanalysis7[[#This Row],[EUR]]),"")</f>
        <v/>
      </c>
      <c r="X47" s="8" t="str">
        <f>IFERROR(IF(ISBLANK([2]FoFsmonkeyCompl!AA50),"",[2]FoFsmonkeyCompl!AA50*FoFanalysis7[[#This Row],[EUR]]),"")</f>
        <v/>
      </c>
      <c r="Y47" s="8" t="str">
        <f>IFERROR(IF(ISBLANK([2]FoFsmonkeyCompl!AB50),"",[2]FoFsmonkeyCompl!AB50*FoFanalysis7[[#This Row],[EUR]]),"")</f>
        <v/>
      </c>
      <c r="Z47" s="8" t="str">
        <f>IFERROR(IF(ISBLANK([2]FoFsmonkeyCompl!AC50),"",[2]FoFsmonkeyCompl!AC50),"")</f>
        <v/>
      </c>
      <c r="AA47" s="8" t="str">
        <f>IFERROR(IF(ISBLANK([2]FoFsmonkeyCompl!AD50),"",[2]FoFsmonkeyCompl!AD50),"")</f>
        <v/>
      </c>
      <c r="AB47" s="8" t="str">
        <f>IFERROR(IF(ISBLANK([2]FoFsmonkeyCompl!AE50),"",[2]FoFsmonkeyCompl!AE50),"")</f>
        <v/>
      </c>
      <c r="AC47" s="8" t="str">
        <f>IFERROR(IF(ISBLANK([2]FoFsmonkeyCompl!AF50),"",[2]FoFsmonkeyCompl!AF50),"")</f>
        <v/>
      </c>
      <c r="AD47" s="8" t="str">
        <f>IFERROR(IF(ISBLANK([2]FoFsmonkeyCompl!AG50),"",[2]FoFsmonkeyCompl!AG50),"")</f>
        <v/>
      </c>
      <c r="AE47" s="8" t="str">
        <f>IFERROR(IF(ISBLANK([2]FoFsmonkeyCompl!AH50),"",[2]FoFsmonkeyCompl!AH50),"")</f>
        <v/>
      </c>
      <c r="AF47" s="40" t="str">
        <f>IFERROR(INDEX([2]FundOfFundsUniverse!$B$2:$EU$700,MATCH($C47,[2]FundOfFundsUniverse!$A$2:$A$700,0),MATCH($AF$1,[2]FundOfFundsUniverse!$B$1:$EU$1,0)),"")</f>
        <v/>
      </c>
    </row>
    <row r="48" spans="1:32" ht="14.25" thickTop="1" thickBot="1" x14ac:dyDescent="0.25">
      <c r="A48" s="9" t="str">
        <f>IF(OR(ISTEXT([2]FoFsmonkeyCompl!J51),ISNUMBER([2]FoFsmonkeyCompl!J51)),[2]FoFsmonkeyCompl!J51,"")</f>
        <v/>
      </c>
      <c r="B48" s="6" t="str">
        <f>IF(OR(ISTEXT([2]FoFsmonkeyCompl!K51),ISNUMBER([2]FoFsmonkeyCompl!K51)),[2]FoFsmonkeyCompl!K51,"")</f>
        <v/>
      </c>
      <c r="C48" s="7"/>
      <c r="D48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48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48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48" s="6" t="str">
        <f>IF(ISBLANK([2]FoFsmonkeyCompl!L51),"",[2]FoFsmonkeyCompl!L51)</f>
        <v/>
      </c>
      <c r="H48" s="6" t="str">
        <f>IF(ISBLANK([2]FoFsmonkeyCompl!M51),"",[2]FoFsmonkeyCompl!M51)</f>
        <v/>
      </c>
      <c r="I48" s="6" t="str">
        <f>IF(ISBLANK([2]FoFsmonkeyCompl!N51),"",[2]FoFsmonkeyCompl!N51)</f>
        <v/>
      </c>
      <c r="J48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48" s="11" t="str">
        <f>IFERROR(VLOOKUP(FoFanalysis7[[#This Row],[Currency of Reporting]],'[2]Xrate31.12.20'!$F$5:$H$28,3,0),"")</f>
        <v/>
      </c>
      <c r="L48" s="11" t="str">
        <f>IFERROR(IF(ISBLANK([2]FoFsmonkeyCompl!O51),"",[2]FoFsmonkeyCompl!O51*FoFanalysis7[[#This Row],[EUR]]),"")</f>
        <v/>
      </c>
      <c r="M48" s="8" t="str">
        <f>IFERROR(IF(ISBLANK([2]FoFsmonkeyCompl!P51),"",[2]FoFsmonkeyCompl!P51*FoFanalysis7[[#This Row],[EUR]]),"")</f>
        <v/>
      </c>
      <c r="N48" s="8" t="str">
        <f>IFERROR(IF(ISBLANK([2]FoFsmonkeyCompl!Q51),"",[2]FoFsmonkeyCompl!Q51*FoFanalysis7[[#This Row],[EUR]]),"")</f>
        <v/>
      </c>
      <c r="O48" s="8" t="str">
        <f>IFERROR(IF(ISBLANK([2]FoFsmonkeyCompl!R51),"",[2]FoFsmonkeyCompl!R51*FoFanalysis7[[#This Row],[EUR]]),"")</f>
        <v/>
      </c>
      <c r="P48" s="8" t="str">
        <f>IFERROR(IF(ISBLANK([2]FoFsmonkeyCompl!S51),"",[2]FoFsmonkeyCompl!S51*FoFanalysis7[[#This Row],[EUR]]),"")</f>
        <v/>
      </c>
      <c r="Q48" s="8" t="str">
        <f>IFERROR(IF(ISBLANK([2]FoFsmonkeyCompl!T51),"",[2]FoFsmonkeyCompl!T51*FoFanalysis7[[#This Row],[EUR]]),"")</f>
        <v/>
      </c>
      <c r="R48" s="8" t="str">
        <f>IFERROR(IF(ISBLANK([2]FoFsmonkeyCompl!U51),"",[2]FoFsmonkeyCompl!U51*FoFanalysis7[[#This Row],[EUR]]),"")</f>
        <v/>
      </c>
      <c r="S48" s="8" t="str">
        <f>IFERROR(IF(ISBLANK([2]FoFsmonkeyCompl!V51),"",[2]FoFsmonkeyCompl!V51*FoFanalysis7[[#This Row],[EUR]]),"")</f>
        <v/>
      </c>
      <c r="T48" s="8" t="str">
        <f>IFERROR(IF(ISBLANK([2]FoFsmonkeyCompl!W51),"",[2]FoFsmonkeyCompl!W51*FoFanalysis7[[#This Row],[EUR]]),"")</f>
        <v/>
      </c>
      <c r="U48" s="8" t="str">
        <f>IFERROR(IF(ISBLANK([2]FoFsmonkeyCompl!X51),"",[2]FoFsmonkeyCompl!X51*FoFanalysis7[[#This Row],[EUR]]),"")</f>
        <v/>
      </c>
      <c r="V48" s="8" t="str">
        <f>IFERROR(IF(ISBLANK([2]FoFsmonkeyCompl!Y51),"",[2]FoFsmonkeyCompl!Y51*FoFanalysis7[[#This Row],[EUR]]),"")</f>
        <v/>
      </c>
      <c r="W48" s="8" t="str">
        <f>IFERROR(IF(ISBLANK([2]FoFsmonkeyCompl!Z51),"",[2]FoFsmonkeyCompl!Z51*FoFanalysis7[[#This Row],[EUR]]),"")</f>
        <v/>
      </c>
      <c r="X48" s="8" t="str">
        <f>IFERROR(IF(ISBLANK([2]FoFsmonkeyCompl!AA51),"",[2]FoFsmonkeyCompl!AA51*FoFanalysis7[[#This Row],[EUR]]),"")</f>
        <v/>
      </c>
      <c r="Y48" s="8" t="str">
        <f>IFERROR(IF(ISBLANK([2]FoFsmonkeyCompl!AB51),"",[2]FoFsmonkeyCompl!AB51*FoFanalysis7[[#This Row],[EUR]]),"")</f>
        <v/>
      </c>
      <c r="Z48" s="8" t="str">
        <f>IFERROR(IF(ISBLANK([2]FoFsmonkeyCompl!AC51),"",[2]FoFsmonkeyCompl!AC51),"")</f>
        <v/>
      </c>
      <c r="AA48" s="8" t="str">
        <f>IFERROR(IF(ISBLANK([2]FoFsmonkeyCompl!AD51),"",[2]FoFsmonkeyCompl!AD51),"")</f>
        <v/>
      </c>
      <c r="AB48" s="8" t="str">
        <f>IFERROR(IF(ISBLANK([2]FoFsmonkeyCompl!AE51),"",[2]FoFsmonkeyCompl!AE51),"")</f>
        <v/>
      </c>
      <c r="AC48" s="8" t="str">
        <f>IFERROR(IF(ISBLANK([2]FoFsmonkeyCompl!AF51),"",[2]FoFsmonkeyCompl!AF51),"")</f>
        <v/>
      </c>
      <c r="AD48" s="8" t="str">
        <f>IFERROR(IF(ISBLANK([2]FoFsmonkeyCompl!AG51),"",[2]FoFsmonkeyCompl!AG51),"")</f>
        <v/>
      </c>
      <c r="AE48" s="8" t="str">
        <f>IFERROR(IF(ISBLANK([2]FoFsmonkeyCompl!AH51),"",[2]FoFsmonkeyCompl!AH51),"")</f>
        <v/>
      </c>
      <c r="AF48" s="40" t="str">
        <f>IFERROR(INDEX([2]FundOfFundsUniverse!$B$2:$EU$700,MATCH($C48,[2]FundOfFundsUniverse!$A$2:$A$700,0),MATCH($AF$1,[2]FundOfFundsUniverse!$B$1:$EU$1,0)),"")</f>
        <v/>
      </c>
    </row>
    <row r="49" spans="1:32" ht="14.25" thickTop="1" thickBot="1" x14ac:dyDescent="0.25">
      <c r="A49" s="5" t="str">
        <f>IF(OR(ISTEXT([2]FoFsmonkeyCompl!J52),ISNUMBER([2]FoFsmonkeyCompl!J52)),[2]FoFsmonkeyCompl!J52,"")</f>
        <v/>
      </c>
      <c r="B49" s="6" t="str">
        <f>IF(OR(ISTEXT([2]FoFsmonkeyCompl!K52),ISNUMBER([2]FoFsmonkeyCompl!K52)),[2]FoFsmonkeyCompl!K52,"")</f>
        <v/>
      </c>
      <c r="C49" s="7"/>
      <c r="D49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49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49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49" s="6" t="str">
        <f>IF(ISBLANK([2]FoFsmonkeyCompl!L52),"",[2]FoFsmonkeyCompl!L52)</f>
        <v/>
      </c>
      <c r="H49" s="6" t="str">
        <f>IF(ISBLANK([2]FoFsmonkeyCompl!M52),"",[2]FoFsmonkeyCompl!M52)</f>
        <v/>
      </c>
      <c r="I49" s="6" t="str">
        <f>IF(ISBLANK([2]FoFsmonkeyCompl!N52),"",[2]FoFsmonkeyCompl!N52)</f>
        <v/>
      </c>
      <c r="J49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49" s="11" t="str">
        <f>IFERROR(VLOOKUP(FoFanalysis7[[#This Row],[Currency of Reporting]],'[2]Xrate31.12.20'!$F$5:$H$28,3,0),"")</f>
        <v/>
      </c>
      <c r="L49" s="11" t="str">
        <f>IFERROR(IF(ISBLANK([2]FoFsmonkeyCompl!O52),"",[2]FoFsmonkeyCompl!O52*FoFanalysis7[[#This Row],[EUR]]),"")</f>
        <v/>
      </c>
      <c r="M49" s="8" t="str">
        <f>IFERROR(IF(ISBLANK([2]FoFsmonkeyCompl!P52),"",[2]FoFsmonkeyCompl!P52*FoFanalysis7[[#This Row],[EUR]]),"")</f>
        <v/>
      </c>
      <c r="N49" s="8" t="str">
        <f>IFERROR(IF(ISBLANK([2]FoFsmonkeyCompl!Q52),"",[2]FoFsmonkeyCompl!Q52*FoFanalysis7[[#This Row],[EUR]]),"")</f>
        <v/>
      </c>
      <c r="O49" s="8" t="str">
        <f>IFERROR(IF(ISBLANK([2]FoFsmonkeyCompl!R52),"",[2]FoFsmonkeyCompl!R52*FoFanalysis7[[#This Row],[EUR]]),"")</f>
        <v/>
      </c>
      <c r="P49" s="8" t="str">
        <f>IFERROR(IF(ISBLANK([2]FoFsmonkeyCompl!S52),"",[2]FoFsmonkeyCompl!S52*FoFanalysis7[[#This Row],[EUR]]),"")</f>
        <v/>
      </c>
      <c r="Q49" s="8" t="str">
        <f>IFERROR(IF(ISBLANK([2]FoFsmonkeyCompl!T52),"",[2]FoFsmonkeyCompl!T52*FoFanalysis7[[#This Row],[EUR]]),"")</f>
        <v/>
      </c>
      <c r="R49" s="8" t="str">
        <f>IFERROR(IF(ISBLANK([2]FoFsmonkeyCompl!U52),"",[2]FoFsmonkeyCompl!U52*FoFanalysis7[[#This Row],[EUR]]),"")</f>
        <v/>
      </c>
      <c r="S49" s="8" t="str">
        <f>IFERROR(IF(ISBLANK([2]FoFsmonkeyCompl!V52),"",[2]FoFsmonkeyCompl!V52*FoFanalysis7[[#This Row],[EUR]]),"")</f>
        <v/>
      </c>
      <c r="T49" s="8" t="str">
        <f>IFERROR(IF(ISBLANK([2]FoFsmonkeyCompl!W52),"",[2]FoFsmonkeyCompl!W52*FoFanalysis7[[#This Row],[EUR]]),"")</f>
        <v/>
      </c>
      <c r="U49" s="8" t="str">
        <f>IFERROR(IF(ISBLANK([2]FoFsmonkeyCompl!X52),"",[2]FoFsmonkeyCompl!X52*FoFanalysis7[[#This Row],[EUR]]),"")</f>
        <v/>
      </c>
      <c r="V49" s="8" t="str">
        <f>IFERROR(IF(ISBLANK([2]FoFsmonkeyCompl!Y52),"",[2]FoFsmonkeyCompl!Y52*FoFanalysis7[[#This Row],[EUR]]),"")</f>
        <v/>
      </c>
      <c r="W49" s="8" t="str">
        <f>IFERROR(IF(ISBLANK([2]FoFsmonkeyCompl!Z52),"",[2]FoFsmonkeyCompl!Z52*FoFanalysis7[[#This Row],[EUR]]),"")</f>
        <v/>
      </c>
      <c r="X49" s="8" t="str">
        <f>IFERROR(IF(ISBLANK([2]FoFsmonkeyCompl!AA52),"",[2]FoFsmonkeyCompl!AA52*FoFanalysis7[[#This Row],[EUR]]),"")</f>
        <v/>
      </c>
      <c r="Y49" s="8" t="str">
        <f>IFERROR(IF(ISBLANK([2]FoFsmonkeyCompl!AB52),"",[2]FoFsmonkeyCompl!AB52*FoFanalysis7[[#This Row],[EUR]]),"")</f>
        <v/>
      </c>
      <c r="Z49" s="8" t="str">
        <f>IFERROR(IF(ISBLANK([2]FoFsmonkeyCompl!AC52),"",[2]FoFsmonkeyCompl!AC52),"")</f>
        <v/>
      </c>
      <c r="AA49" s="8" t="str">
        <f>IFERROR(IF(ISBLANK([2]FoFsmonkeyCompl!AD52),"",[2]FoFsmonkeyCompl!AD52),"")</f>
        <v/>
      </c>
      <c r="AB49" s="8" t="str">
        <f>IFERROR(IF(ISBLANK([2]FoFsmonkeyCompl!AE52),"",[2]FoFsmonkeyCompl!AE52),"")</f>
        <v/>
      </c>
      <c r="AC49" s="8" t="str">
        <f>IFERROR(IF(ISBLANK([2]FoFsmonkeyCompl!AF52),"",[2]FoFsmonkeyCompl!AF52),"")</f>
        <v/>
      </c>
      <c r="AD49" s="8" t="str">
        <f>IFERROR(IF(ISBLANK([2]FoFsmonkeyCompl!AG52),"",[2]FoFsmonkeyCompl!AG52),"")</f>
        <v/>
      </c>
      <c r="AE49" s="8" t="str">
        <f>IFERROR(IF(ISBLANK([2]FoFsmonkeyCompl!AH52),"",[2]FoFsmonkeyCompl!AH52),"")</f>
        <v/>
      </c>
      <c r="AF49" s="40" t="str">
        <f>IFERROR(INDEX([2]FundOfFundsUniverse!$B$2:$EU$700,MATCH($C49,[2]FundOfFundsUniverse!$A$2:$A$700,0),MATCH($AF$1,[2]FundOfFundsUniverse!$B$1:$EU$1,0)),"")</f>
        <v/>
      </c>
    </row>
    <row r="50" spans="1:32" ht="14.25" thickTop="1" thickBot="1" x14ac:dyDescent="0.25">
      <c r="A50" s="9" t="str">
        <f>IF(OR(ISTEXT([2]FoFsmonkeyCompl!J53),ISNUMBER([2]FoFsmonkeyCompl!J53)),[2]FoFsmonkeyCompl!J53,"")</f>
        <v/>
      </c>
      <c r="B50" s="6" t="str">
        <f>IF(OR(ISTEXT([2]FoFsmonkeyCompl!K53),ISNUMBER([2]FoFsmonkeyCompl!K53)),[2]FoFsmonkeyCompl!K53,"")</f>
        <v/>
      </c>
      <c r="C50" s="7"/>
      <c r="D50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50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50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50" s="6" t="str">
        <f>IF(ISBLANK([2]FoFsmonkeyCompl!L53),"",[2]FoFsmonkeyCompl!L53)</f>
        <v/>
      </c>
      <c r="H50" s="6" t="str">
        <f>IF(ISBLANK([2]FoFsmonkeyCompl!M53),"",[2]FoFsmonkeyCompl!M53)</f>
        <v/>
      </c>
      <c r="I50" s="6" t="str">
        <f>IF(ISBLANK([2]FoFsmonkeyCompl!N53),"",[2]FoFsmonkeyCompl!N53)</f>
        <v/>
      </c>
      <c r="J50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50" s="11" t="str">
        <f>IFERROR(VLOOKUP(FoFanalysis7[[#This Row],[Currency of Reporting]],'[2]Xrate31.12.20'!$F$5:$H$28,3,0),"")</f>
        <v/>
      </c>
      <c r="L50" s="11" t="str">
        <f>IFERROR(IF(ISBLANK([2]FoFsmonkeyCompl!O53),"",[2]FoFsmonkeyCompl!O53*FoFanalysis7[[#This Row],[EUR]]),"")</f>
        <v/>
      </c>
      <c r="M50" s="8" t="str">
        <f>IFERROR(IF(ISBLANK([2]FoFsmonkeyCompl!P53),"",[2]FoFsmonkeyCompl!P53*FoFanalysis7[[#This Row],[EUR]]),"")</f>
        <v/>
      </c>
      <c r="N50" s="8" t="str">
        <f>IFERROR(IF(ISBLANK([2]FoFsmonkeyCompl!Q53),"",[2]FoFsmonkeyCompl!Q53*FoFanalysis7[[#This Row],[EUR]]),"")</f>
        <v/>
      </c>
      <c r="O50" s="8" t="str">
        <f>IFERROR(IF(ISBLANK([2]FoFsmonkeyCompl!R53),"",[2]FoFsmonkeyCompl!R53*FoFanalysis7[[#This Row],[EUR]]),"")</f>
        <v/>
      </c>
      <c r="P50" s="8" t="str">
        <f>IFERROR(IF(ISBLANK([2]FoFsmonkeyCompl!S53),"",[2]FoFsmonkeyCompl!S53*FoFanalysis7[[#This Row],[EUR]]),"")</f>
        <v/>
      </c>
      <c r="Q50" s="8" t="str">
        <f>IFERROR(IF(ISBLANK([2]FoFsmonkeyCompl!T53),"",[2]FoFsmonkeyCompl!T53*FoFanalysis7[[#This Row],[EUR]]),"")</f>
        <v/>
      </c>
      <c r="R50" s="8" t="str">
        <f>IFERROR(IF(ISBLANK([2]FoFsmonkeyCompl!U53),"",[2]FoFsmonkeyCompl!U53*FoFanalysis7[[#This Row],[EUR]]),"")</f>
        <v/>
      </c>
      <c r="S50" s="8" t="str">
        <f>IFERROR(IF(ISBLANK([2]FoFsmonkeyCompl!V53),"",[2]FoFsmonkeyCompl!V53*FoFanalysis7[[#This Row],[EUR]]),"")</f>
        <v/>
      </c>
      <c r="T50" s="8" t="str">
        <f>IFERROR(IF(ISBLANK([2]FoFsmonkeyCompl!W53),"",[2]FoFsmonkeyCompl!W53*FoFanalysis7[[#This Row],[EUR]]),"")</f>
        <v/>
      </c>
      <c r="U50" s="8" t="str">
        <f>IFERROR(IF(ISBLANK([2]FoFsmonkeyCompl!X53),"",[2]FoFsmonkeyCompl!X53*FoFanalysis7[[#This Row],[EUR]]),"")</f>
        <v/>
      </c>
      <c r="V50" s="8" t="str">
        <f>IFERROR(IF(ISBLANK([2]FoFsmonkeyCompl!Y53),"",[2]FoFsmonkeyCompl!Y53*FoFanalysis7[[#This Row],[EUR]]),"")</f>
        <v/>
      </c>
      <c r="W50" s="8" t="str">
        <f>IFERROR(IF(ISBLANK([2]FoFsmonkeyCompl!Z53),"",[2]FoFsmonkeyCompl!Z53*FoFanalysis7[[#This Row],[EUR]]),"")</f>
        <v/>
      </c>
      <c r="X50" s="8" t="str">
        <f>IFERROR(IF(ISBLANK([2]FoFsmonkeyCompl!AA53),"",[2]FoFsmonkeyCompl!AA53*FoFanalysis7[[#This Row],[EUR]]),"")</f>
        <v/>
      </c>
      <c r="Y50" s="8" t="str">
        <f>IFERROR(IF(ISBLANK([2]FoFsmonkeyCompl!AB53),"",[2]FoFsmonkeyCompl!AB53*FoFanalysis7[[#This Row],[EUR]]),"")</f>
        <v/>
      </c>
      <c r="Z50" s="8" t="str">
        <f>IFERROR(IF(ISBLANK([2]FoFsmonkeyCompl!AC53),"",[2]FoFsmonkeyCompl!AC53),"")</f>
        <v/>
      </c>
      <c r="AA50" s="8" t="str">
        <f>IFERROR(IF(ISBLANK([2]FoFsmonkeyCompl!AD53),"",[2]FoFsmonkeyCompl!AD53),"")</f>
        <v/>
      </c>
      <c r="AB50" s="8" t="str">
        <f>IFERROR(IF(ISBLANK([2]FoFsmonkeyCompl!AE53),"",[2]FoFsmonkeyCompl!AE53),"")</f>
        <v/>
      </c>
      <c r="AC50" s="8" t="str">
        <f>IFERROR(IF(ISBLANK([2]FoFsmonkeyCompl!AF53),"",[2]FoFsmonkeyCompl!AF53),"")</f>
        <v/>
      </c>
      <c r="AD50" s="8" t="str">
        <f>IFERROR(IF(ISBLANK([2]FoFsmonkeyCompl!AG53),"",[2]FoFsmonkeyCompl!AG53),"")</f>
        <v/>
      </c>
      <c r="AE50" s="8" t="str">
        <f>IFERROR(IF(ISBLANK([2]FoFsmonkeyCompl!AH53),"",[2]FoFsmonkeyCompl!AH53),"")</f>
        <v/>
      </c>
      <c r="AF50" s="40" t="str">
        <f>IFERROR(INDEX([2]FundOfFundsUniverse!$B$2:$EU$700,MATCH($C50,[2]FundOfFundsUniverse!$A$2:$A$700,0),MATCH($AF$1,[2]FundOfFundsUniverse!$B$1:$EU$1,0)),"")</f>
        <v/>
      </c>
    </row>
    <row r="51" spans="1:32" ht="14.25" thickTop="1" thickBot="1" x14ac:dyDescent="0.25">
      <c r="A51" s="5" t="str">
        <f>IF(OR(ISTEXT([2]FoFsmonkeyCompl!J54),ISNUMBER([2]FoFsmonkeyCompl!J54)),[2]FoFsmonkeyCompl!J54,"")</f>
        <v/>
      </c>
      <c r="B51" s="6" t="str">
        <f>IF(OR(ISTEXT([2]FoFsmonkeyCompl!K54),ISNUMBER([2]FoFsmonkeyCompl!K54)),[2]FoFsmonkeyCompl!K54,"")</f>
        <v/>
      </c>
      <c r="C51" s="7"/>
      <c r="D51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51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51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51" s="6" t="str">
        <f>IF(ISBLANK([2]FoFsmonkeyCompl!L54),"",[2]FoFsmonkeyCompl!L54)</f>
        <v/>
      </c>
      <c r="H51" s="6" t="str">
        <f>IF(ISBLANK([2]FoFsmonkeyCompl!M54),"",[2]FoFsmonkeyCompl!M54)</f>
        <v/>
      </c>
      <c r="I51" s="6" t="str">
        <f>IF(ISBLANK([2]FoFsmonkeyCompl!N54),"",[2]FoFsmonkeyCompl!N54)</f>
        <v/>
      </c>
      <c r="J51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51" s="11" t="str">
        <f>IFERROR(VLOOKUP(FoFanalysis7[[#This Row],[Currency of Reporting]],'[2]Xrate31.12.20'!$F$5:$H$28,3,0),"")</f>
        <v/>
      </c>
      <c r="L51" s="11" t="str">
        <f>IFERROR(IF(ISBLANK([2]FoFsmonkeyCompl!O54),"",[2]FoFsmonkeyCompl!O54*FoFanalysis7[[#This Row],[EUR]]),"")</f>
        <v/>
      </c>
      <c r="M51" s="8" t="str">
        <f>IFERROR(IF(ISBLANK([2]FoFsmonkeyCompl!P54),"",[2]FoFsmonkeyCompl!P54*FoFanalysis7[[#This Row],[EUR]]),"")</f>
        <v/>
      </c>
      <c r="N51" s="8" t="str">
        <f>IFERROR(IF(ISBLANK([2]FoFsmonkeyCompl!Q54),"",[2]FoFsmonkeyCompl!Q54*FoFanalysis7[[#This Row],[EUR]]),"")</f>
        <v/>
      </c>
      <c r="O51" s="8" t="str">
        <f>IFERROR(IF(ISBLANK([2]FoFsmonkeyCompl!R54),"",[2]FoFsmonkeyCompl!R54*FoFanalysis7[[#This Row],[EUR]]),"")</f>
        <v/>
      </c>
      <c r="P51" s="8" t="str">
        <f>IFERROR(IF(ISBLANK([2]FoFsmonkeyCompl!S54),"",[2]FoFsmonkeyCompl!S54*FoFanalysis7[[#This Row],[EUR]]),"")</f>
        <v/>
      </c>
      <c r="Q51" s="8" t="str">
        <f>IFERROR(IF(ISBLANK([2]FoFsmonkeyCompl!T54),"",[2]FoFsmonkeyCompl!T54*FoFanalysis7[[#This Row],[EUR]]),"")</f>
        <v/>
      </c>
      <c r="R51" s="8" t="str">
        <f>IFERROR(IF(ISBLANK([2]FoFsmonkeyCompl!U54),"",[2]FoFsmonkeyCompl!U54*FoFanalysis7[[#This Row],[EUR]]),"")</f>
        <v/>
      </c>
      <c r="S51" s="8" t="str">
        <f>IFERROR(IF(ISBLANK([2]FoFsmonkeyCompl!V54),"",[2]FoFsmonkeyCompl!V54*FoFanalysis7[[#This Row],[EUR]]),"")</f>
        <v/>
      </c>
      <c r="T51" s="8" t="str">
        <f>IFERROR(IF(ISBLANK([2]FoFsmonkeyCompl!W54),"",[2]FoFsmonkeyCompl!W54*FoFanalysis7[[#This Row],[EUR]]),"")</f>
        <v/>
      </c>
      <c r="U51" s="8" t="str">
        <f>IFERROR(IF(ISBLANK([2]FoFsmonkeyCompl!X54),"",[2]FoFsmonkeyCompl!X54*FoFanalysis7[[#This Row],[EUR]]),"")</f>
        <v/>
      </c>
      <c r="V51" s="8" t="str">
        <f>IFERROR(IF(ISBLANK([2]FoFsmonkeyCompl!Y54),"",[2]FoFsmonkeyCompl!Y54*FoFanalysis7[[#This Row],[EUR]]),"")</f>
        <v/>
      </c>
      <c r="W51" s="8" t="str">
        <f>IFERROR(IF(ISBLANK([2]FoFsmonkeyCompl!Z54),"",[2]FoFsmonkeyCompl!Z54*FoFanalysis7[[#This Row],[EUR]]),"")</f>
        <v/>
      </c>
      <c r="X51" s="8" t="str">
        <f>IFERROR(IF(ISBLANK([2]FoFsmonkeyCompl!AA54),"",[2]FoFsmonkeyCompl!AA54*FoFanalysis7[[#This Row],[EUR]]),"")</f>
        <v/>
      </c>
      <c r="Y51" s="8" t="str">
        <f>IFERROR(IF(ISBLANK([2]FoFsmonkeyCompl!AB54),"",[2]FoFsmonkeyCompl!AB54*FoFanalysis7[[#This Row],[EUR]]),"")</f>
        <v/>
      </c>
      <c r="Z51" s="8" t="str">
        <f>IFERROR(IF(ISBLANK([2]FoFsmonkeyCompl!AC54),"",[2]FoFsmonkeyCompl!AC54),"")</f>
        <v/>
      </c>
      <c r="AA51" s="8" t="str">
        <f>IFERROR(IF(ISBLANK([2]FoFsmonkeyCompl!AD54),"",[2]FoFsmonkeyCompl!AD54),"")</f>
        <v/>
      </c>
      <c r="AB51" s="8" t="str">
        <f>IFERROR(IF(ISBLANK([2]FoFsmonkeyCompl!AE54),"",[2]FoFsmonkeyCompl!AE54),"")</f>
        <v/>
      </c>
      <c r="AC51" s="8" t="str">
        <f>IFERROR(IF(ISBLANK([2]FoFsmonkeyCompl!AF54),"",[2]FoFsmonkeyCompl!AF54),"")</f>
        <v/>
      </c>
      <c r="AD51" s="8" t="str">
        <f>IFERROR(IF(ISBLANK([2]FoFsmonkeyCompl!AG54),"",[2]FoFsmonkeyCompl!AG54),"")</f>
        <v/>
      </c>
      <c r="AE51" s="8" t="str">
        <f>IFERROR(IF(ISBLANK([2]FoFsmonkeyCompl!AH54),"",[2]FoFsmonkeyCompl!AH54),"")</f>
        <v/>
      </c>
      <c r="AF51" s="40" t="str">
        <f>IFERROR(INDEX([2]FundOfFundsUniverse!$B$2:$EU$700,MATCH($C51,[2]FundOfFundsUniverse!$A$2:$A$700,0),MATCH($AF$1,[2]FundOfFundsUniverse!$B$1:$EU$1,0)),"")</f>
        <v/>
      </c>
    </row>
    <row r="52" spans="1:32" ht="14.25" thickTop="1" thickBot="1" x14ac:dyDescent="0.25">
      <c r="A52" s="9" t="str">
        <f>IF(OR(ISTEXT([2]FoFsmonkeyCompl!J55),ISNUMBER([2]FoFsmonkeyCompl!J55)),[2]FoFsmonkeyCompl!J55,"")</f>
        <v/>
      </c>
      <c r="B52" s="6" t="str">
        <f>IF(OR(ISTEXT([2]FoFsmonkeyCompl!K55),ISNUMBER([2]FoFsmonkeyCompl!K55)),[2]FoFsmonkeyCompl!K55,"")</f>
        <v/>
      </c>
      <c r="C52" s="7"/>
      <c r="D52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52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52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52" s="6" t="str">
        <f>IF(ISBLANK([2]FoFsmonkeyCompl!L55),"",[2]FoFsmonkeyCompl!L55)</f>
        <v/>
      </c>
      <c r="H52" s="6" t="str">
        <f>IF(ISBLANK([2]FoFsmonkeyCompl!M55),"",[2]FoFsmonkeyCompl!M55)</f>
        <v/>
      </c>
      <c r="I52" s="6" t="str">
        <f>IF(ISBLANK([2]FoFsmonkeyCompl!N55),"",[2]FoFsmonkeyCompl!N55)</f>
        <v/>
      </c>
      <c r="J52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52" s="11" t="str">
        <f>IFERROR(VLOOKUP(FoFanalysis7[[#This Row],[Currency of Reporting]],'[2]Xrate31.12.20'!$F$5:$H$28,3,0),"")</f>
        <v/>
      </c>
      <c r="L52" s="11" t="str">
        <f>IFERROR(IF(ISBLANK([2]FoFsmonkeyCompl!O55),"",[2]FoFsmonkeyCompl!O55*FoFanalysis7[[#This Row],[EUR]]),"")</f>
        <v/>
      </c>
      <c r="M52" s="8" t="str">
        <f>IFERROR(IF(ISBLANK([2]FoFsmonkeyCompl!P55),"",[2]FoFsmonkeyCompl!P55*FoFanalysis7[[#This Row],[EUR]]),"")</f>
        <v/>
      </c>
      <c r="N52" s="8" t="str">
        <f>IFERROR(IF(ISBLANK([2]FoFsmonkeyCompl!Q55),"",[2]FoFsmonkeyCompl!Q55*FoFanalysis7[[#This Row],[EUR]]),"")</f>
        <v/>
      </c>
      <c r="O52" s="8" t="str">
        <f>IFERROR(IF(ISBLANK([2]FoFsmonkeyCompl!R55),"",[2]FoFsmonkeyCompl!R55*FoFanalysis7[[#This Row],[EUR]]),"")</f>
        <v/>
      </c>
      <c r="P52" s="8" t="str">
        <f>IFERROR(IF(ISBLANK([2]FoFsmonkeyCompl!S55),"",[2]FoFsmonkeyCompl!S55*FoFanalysis7[[#This Row],[EUR]]),"")</f>
        <v/>
      </c>
      <c r="Q52" s="8" t="str">
        <f>IFERROR(IF(ISBLANK([2]FoFsmonkeyCompl!T55),"",[2]FoFsmonkeyCompl!T55*FoFanalysis7[[#This Row],[EUR]]),"")</f>
        <v/>
      </c>
      <c r="R52" s="8" t="str">
        <f>IFERROR(IF(ISBLANK([2]FoFsmonkeyCompl!U55),"",[2]FoFsmonkeyCompl!U55*FoFanalysis7[[#This Row],[EUR]]),"")</f>
        <v/>
      </c>
      <c r="S52" s="8" t="str">
        <f>IFERROR(IF(ISBLANK([2]FoFsmonkeyCompl!V55),"",[2]FoFsmonkeyCompl!V55*FoFanalysis7[[#This Row],[EUR]]),"")</f>
        <v/>
      </c>
      <c r="T52" s="8" t="str">
        <f>IFERROR(IF(ISBLANK([2]FoFsmonkeyCompl!W55),"",[2]FoFsmonkeyCompl!W55*FoFanalysis7[[#This Row],[EUR]]),"")</f>
        <v/>
      </c>
      <c r="U52" s="8" t="str">
        <f>IFERROR(IF(ISBLANK([2]FoFsmonkeyCompl!X55),"",[2]FoFsmonkeyCompl!X55*FoFanalysis7[[#This Row],[EUR]]),"")</f>
        <v/>
      </c>
      <c r="V52" s="8" t="str">
        <f>IFERROR(IF(ISBLANK([2]FoFsmonkeyCompl!Y55),"",[2]FoFsmonkeyCompl!Y55*FoFanalysis7[[#This Row],[EUR]]),"")</f>
        <v/>
      </c>
      <c r="W52" s="8" t="str">
        <f>IFERROR(IF(ISBLANK([2]FoFsmonkeyCompl!Z55),"",[2]FoFsmonkeyCompl!Z55*FoFanalysis7[[#This Row],[EUR]]),"")</f>
        <v/>
      </c>
      <c r="X52" s="8" t="str">
        <f>IFERROR(IF(ISBLANK([2]FoFsmonkeyCompl!AA55),"",[2]FoFsmonkeyCompl!AA55*FoFanalysis7[[#This Row],[EUR]]),"")</f>
        <v/>
      </c>
      <c r="Y52" s="8" t="str">
        <f>IFERROR(IF(ISBLANK([2]FoFsmonkeyCompl!AB55),"",[2]FoFsmonkeyCompl!AB55*FoFanalysis7[[#This Row],[EUR]]),"")</f>
        <v/>
      </c>
      <c r="Z52" s="8" t="str">
        <f>IFERROR(IF(ISBLANK([2]FoFsmonkeyCompl!AC55),"",[2]FoFsmonkeyCompl!AC55),"")</f>
        <v/>
      </c>
      <c r="AA52" s="8" t="str">
        <f>IFERROR(IF(ISBLANK([2]FoFsmonkeyCompl!AD55),"",[2]FoFsmonkeyCompl!AD55),"")</f>
        <v/>
      </c>
      <c r="AB52" s="8" t="str">
        <f>IFERROR(IF(ISBLANK([2]FoFsmonkeyCompl!AE55),"",[2]FoFsmonkeyCompl!AE55),"")</f>
        <v/>
      </c>
      <c r="AC52" s="8" t="str">
        <f>IFERROR(IF(ISBLANK([2]FoFsmonkeyCompl!AF55),"",[2]FoFsmonkeyCompl!AF55),"")</f>
        <v/>
      </c>
      <c r="AD52" s="8" t="str">
        <f>IFERROR(IF(ISBLANK([2]FoFsmonkeyCompl!AG55),"",[2]FoFsmonkeyCompl!AG55),"")</f>
        <v/>
      </c>
      <c r="AE52" s="8" t="str">
        <f>IFERROR(IF(ISBLANK([2]FoFsmonkeyCompl!AH55),"",[2]FoFsmonkeyCompl!AH55),"")</f>
        <v/>
      </c>
      <c r="AF52" s="40" t="str">
        <f>IFERROR(INDEX([2]FundOfFundsUniverse!$B$2:$EU$700,MATCH($C52,[2]FundOfFundsUniverse!$A$2:$A$700,0),MATCH($AF$1,[2]FundOfFundsUniverse!$B$1:$EU$1,0)),"")</f>
        <v/>
      </c>
    </row>
    <row r="53" spans="1:32" ht="14.25" thickTop="1" thickBot="1" x14ac:dyDescent="0.25">
      <c r="A53" s="5" t="str">
        <f>IF(OR(ISTEXT([2]FoFsmonkeyCompl!J56),ISNUMBER([2]FoFsmonkeyCompl!J56)),[2]FoFsmonkeyCompl!J56,"")</f>
        <v/>
      </c>
      <c r="B53" s="6" t="str">
        <f>IF(OR(ISTEXT([2]FoFsmonkeyCompl!K56),ISNUMBER([2]FoFsmonkeyCompl!K56)),[2]FoFsmonkeyCompl!K56,"")</f>
        <v/>
      </c>
      <c r="C53" s="7"/>
      <c r="D53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53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53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53" s="6" t="str">
        <f>IF(ISBLANK([2]FoFsmonkeyCompl!L56),"",[2]FoFsmonkeyCompl!L56)</f>
        <v/>
      </c>
      <c r="H53" s="6" t="str">
        <f>IF(ISBLANK([2]FoFsmonkeyCompl!M56),"",[2]FoFsmonkeyCompl!M56)</f>
        <v/>
      </c>
      <c r="I53" s="6" t="str">
        <f>IF(ISBLANK([2]FoFsmonkeyCompl!N56),"",[2]FoFsmonkeyCompl!N56)</f>
        <v/>
      </c>
      <c r="J53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53" s="11" t="str">
        <f>IFERROR(VLOOKUP(FoFanalysis7[[#This Row],[Currency of Reporting]],'[2]Xrate31.12.20'!$F$5:$H$28,3,0),"")</f>
        <v/>
      </c>
      <c r="L53" s="11" t="str">
        <f>IFERROR(IF(ISBLANK([2]FoFsmonkeyCompl!O56),"",[2]FoFsmonkeyCompl!O56*FoFanalysis7[[#This Row],[EUR]]),"")</f>
        <v/>
      </c>
      <c r="M53" s="8" t="str">
        <f>IFERROR(IF(ISBLANK([2]FoFsmonkeyCompl!P56),"",[2]FoFsmonkeyCompl!P56*FoFanalysis7[[#This Row],[EUR]]),"")</f>
        <v/>
      </c>
      <c r="N53" s="8" t="str">
        <f>IFERROR(IF(ISBLANK([2]FoFsmonkeyCompl!Q56),"",[2]FoFsmonkeyCompl!Q56*FoFanalysis7[[#This Row],[EUR]]),"")</f>
        <v/>
      </c>
      <c r="O53" s="8" t="str">
        <f>IFERROR(IF(ISBLANK([2]FoFsmonkeyCompl!R56),"",[2]FoFsmonkeyCompl!R56*FoFanalysis7[[#This Row],[EUR]]),"")</f>
        <v/>
      </c>
      <c r="P53" s="8" t="str">
        <f>IFERROR(IF(ISBLANK([2]FoFsmonkeyCompl!S56),"",[2]FoFsmonkeyCompl!S56*FoFanalysis7[[#This Row],[EUR]]),"")</f>
        <v/>
      </c>
      <c r="Q53" s="8" t="str">
        <f>IFERROR(IF(ISBLANK([2]FoFsmonkeyCompl!T56),"",[2]FoFsmonkeyCompl!T56*FoFanalysis7[[#This Row],[EUR]]),"")</f>
        <v/>
      </c>
      <c r="R53" s="8" t="str">
        <f>IFERROR(IF(ISBLANK([2]FoFsmonkeyCompl!U56),"",[2]FoFsmonkeyCompl!U56*FoFanalysis7[[#This Row],[EUR]]),"")</f>
        <v/>
      </c>
      <c r="S53" s="8" t="str">
        <f>IFERROR(IF(ISBLANK([2]FoFsmonkeyCompl!V56),"",[2]FoFsmonkeyCompl!V56*FoFanalysis7[[#This Row],[EUR]]),"")</f>
        <v/>
      </c>
      <c r="T53" s="8" t="str">
        <f>IFERROR(IF(ISBLANK([2]FoFsmonkeyCompl!W56),"",[2]FoFsmonkeyCompl!W56*FoFanalysis7[[#This Row],[EUR]]),"")</f>
        <v/>
      </c>
      <c r="U53" s="8" t="str">
        <f>IFERROR(IF(ISBLANK([2]FoFsmonkeyCompl!X56),"",[2]FoFsmonkeyCompl!X56*FoFanalysis7[[#This Row],[EUR]]),"")</f>
        <v/>
      </c>
      <c r="V53" s="8" t="str">
        <f>IFERROR(IF(ISBLANK([2]FoFsmonkeyCompl!Y56),"",[2]FoFsmonkeyCompl!Y56*FoFanalysis7[[#This Row],[EUR]]),"")</f>
        <v/>
      </c>
      <c r="W53" s="8" t="str">
        <f>IFERROR(IF(ISBLANK([2]FoFsmonkeyCompl!Z56),"",[2]FoFsmonkeyCompl!Z56*FoFanalysis7[[#This Row],[EUR]]),"")</f>
        <v/>
      </c>
      <c r="X53" s="8" t="str">
        <f>IFERROR(IF(ISBLANK([2]FoFsmonkeyCompl!AA56),"",[2]FoFsmonkeyCompl!AA56*FoFanalysis7[[#This Row],[EUR]]),"")</f>
        <v/>
      </c>
      <c r="Y53" s="8" t="str">
        <f>IFERROR(IF(ISBLANK([2]FoFsmonkeyCompl!AB56),"",[2]FoFsmonkeyCompl!AB56*FoFanalysis7[[#This Row],[EUR]]),"")</f>
        <v/>
      </c>
      <c r="Z53" s="8" t="str">
        <f>IFERROR(IF(ISBLANK([2]FoFsmonkeyCompl!AC56),"",[2]FoFsmonkeyCompl!AC56),"")</f>
        <v/>
      </c>
      <c r="AA53" s="8" t="str">
        <f>IFERROR(IF(ISBLANK([2]FoFsmonkeyCompl!AD56),"",[2]FoFsmonkeyCompl!AD56),"")</f>
        <v/>
      </c>
      <c r="AB53" s="8" t="str">
        <f>IFERROR(IF(ISBLANK([2]FoFsmonkeyCompl!AE56),"",[2]FoFsmonkeyCompl!AE56),"")</f>
        <v/>
      </c>
      <c r="AC53" s="8" t="str">
        <f>IFERROR(IF(ISBLANK([2]FoFsmonkeyCompl!AF56),"",[2]FoFsmonkeyCompl!AF56),"")</f>
        <v/>
      </c>
      <c r="AD53" s="8" t="str">
        <f>IFERROR(IF(ISBLANK([2]FoFsmonkeyCompl!AG56),"",[2]FoFsmonkeyCompl!AG56),"")</f>
        <v/>
      </c>
      <c r="AE53" s="8" t="str">
        <f>IFERROR(IF(ISBLANK([2]FoFsmonkeyCompl!AH56),"",[2]FoFsmonkeyCompl!AH56),"")</f>
        <v/>
      </c>
      <c r="AF53" s="40" t="str">
        <f>IFERROR(INDEX([2]FundOfFundsUniverse!$B$2:$EU$700,MATCH($C53,[2]FundOfFundsUniverse!$A$2:$A$700,0),MATCH($AF$1,[2]FundOfFundsUniverse!$B$1:$EU$1,0)),"")</f>
        <v/>
      </c>
    </row>
    <row r="54" spans="1:32" ht="14.25" thickTop="1" thickBot="1" x14ac:dyDescent="0.25">
      <c r="A54" s="9" t="str">
        <f>IF(OR(ISTEXT([2]FoFsmonkeyCompl!J57),ISNUMBER([2]FoFsmonkeyCompl!J57)),[2]FoFsmonkeyCompl!J57,"")</f>
        <v/>
      </c>
      <c r="B54" s="6" t="str">
        <f>IF(OR(ISTEXT([2]FoFsmonkeyCompl!K57),ISNUMBER([2]FoFsmonkeyCompl!K57)),[2]FoFsmonkeyCompl!K57,"")</f>
        <v/>
      </c>
      <c r="C54" s="7"/>
      <c r="D54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54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54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54" s="6" t="str">
        <f>IF(ISBLANK([2]FoFsmonkeyCompl!L57),"",[2]FoFsmonkeyCompl!L57)</f>
        <v/>
      </c>
      <c r="H54" s="6" t="str">
        <f>IF(ISBLANK([2]FoFsmonkeyCompl!M57),"",[2]FoFsmonkeyCompl!M57)</f>
        <v/>
      </c>
      <c r="I54" s="6" t="str">
        <f>IF(ISBLANK([2]FoFsmonkeyCompl!N57),"",[2]FoFsmonkeyCompl!N57)</f>
        <v/>
      </c>
      <c r="J54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54" s="11" t="str">
        <f>IFERROR(VLOOKUP(FoFanalysis7[[#This Row],[Currency of Reporting]],'[2]Xrate31.12.20'!$F$5:$H$28,3,0),"")</f>
        <v/>
      </c>
      <c r="L54" s="11" t="str">
        <f>IFERROR(IF(ISBLANK([2]FoFsmonkeyCompl!O57),"",[2]FoFsmonkeyCompl!O57*FoFanalysis7[[#This Row],[EUR]]),"")</f>
        <v/>
      </c>
      <c r="M54" s="8" t="str">
        <f>IFERROR(IF(ISBLANK([2]FoFsmonkeyCompl!P57),"",[2]FoFsmonkeyCompl!P57*FoFanalysis7[[#This Row],[EUR]]),"")</f>
        <v/>
      </c>
      <c r="N54" s="8" t="str">
        <f>IFERROR(IF(ISBLANK([2]FoFsmonkeyCompl!Q57),"",[2]FoFsmonkeyCompl!Q57*FoFanalysis7[[#This Row],[EUR]]),"")</f>
        <v/>
      </c>
      <c r="O54" s="8" t="str">
        <f>IFERROR(IF(ISBLANK([2]FoFsmonkeyCompl!R57),"",[2]FoFsmonkeyCompl!R57*FoFanalysis7[[#This Row],[EUR]]),"")</f>
        <v/>
      </c>
      <c r="P54" s="8" t="str">
        <f>IFERROR(IF(ISBLANK([2]FoFsmonkeyCompl!S57),"",[2]FoFsmonkeyCompl!S57*FoFanalysis7[[#This Row],[EUR]]),"")</f>
        <v/>
      </c>
      <c r="Q54" s="8" t="str">
        <f>IFERROR(IF(ISBLANK([2]FoFsmonkeyCompl!T57),"",[2]FoFsmonkeyCompl!T57*FoFanalysis7[[#This Row],[EUR]]),"")</f>
        <v/>
      </c>
      <c r="R54" s="8" t="str">
        <f>IFERROR(IF(ISBLANK([2]FoFsmonkeyCompl!U57),"",[2]FoFsmonkeyCompl!U57*FoFanalysis7[[#This Row],[EUR]]),"")</f>
        <v/>
      </c>
      <c r="S54" s="8" t="str">
        <f>IFERROR(IF(ISBLANK([2]FoFsmonkeyCompl!V57),"",[2]FoFsmonkeyCompl!V57*FoFanalysis7[[#This Row],[EUR]]),"")</f>
        <v/>
      </c>
      <c r="T54" s="8" t="str">
        <f>IFERROR(IF(ISBLANK([2]FoFsmonkeyCompl!W57),"",[2]FoFsmonkeyCompl!W57*FoFanalysis7[[#This Row],[EUR]]),"")</f>
        <v/>
      </c>
      <c r="U54" s="8" t="str">
        <f>IFERROR(IF(ISBLANK([2]FoFsmonkeyCompl!X57),"",[2]FoFsmonkeyCompl!X57*FoFanalysis7[[#This Row],[EUR]]),"")</f>
        <v/>
      </c>
      <c r="V54" s="8" t="str">
        <f>IFERROR(IF(ISBLANK([2]FoFsmonkeyCompl!Y57),"",[2]FoFsmonkeyCompl!Y57*FoFanalysis7[[#This Row],[EUR]]),"")</f>
        <v/>
      </c>
      <c r="W54" s="8" t="str">
        <f>IFERROR(IF(ISBLANK([2]FoFsmonkeyCompl!Z57),"",[2]FoFsmonkeyCompl!Z57*FoFanalysis7[[#This Row],[EUR]]),"")</f>
        <v/>
      </c>
      <c r="X54" s="8" t="str">
        <f>IFERROR(IF(ISBLANK([2]FoFsmonkeyCompl!AA57),"",[2]FoFsmonkeyCompl!AA57*FoFanalysis7[[#This Row],[EUR]]),"")</f>
        <v/>
      </c>
      <c r="Y54" s="8" t="str">
        <f>IFERROR(IF(ISBLANK([2]FoFsmonkeyCompl!AB57),"",[2]FoFsmonkeyCompl!AB57*FoFanalysis7[[#This Row],[EUR]]),"")</f>
        <v/>
      </c>
      <c r="Z54" s="8" t="str">
        <f>IFERROR(IF(ISBLANK([2]FoFsmonkeyCompl!AC57),"",[2]FoFsmonkeyCompl!AC57),"")</f>
        <v/>
      </c>
      <c r="AA54" s="8" t="str">
        <f>IFERROR(IF(ISBLANK([2]FoFsmonkeyCompl!AD57),"",[2]FoFsmonkeyCompl!AD57),"")</f>
        <v/>
      </c>
      <c r="AB54" s="8" t="str">
        <f>IFERROR(IF(ISBLANK([2]FoFsmonkeyCompl!AE57),"",[2]FoFsmonkeyCompl!AE57),"")</f>
        <v/>
      </c>
      <c r="AC54" s="8" t="str">
        <f>IFERROR(IF(ISBLANK([2]FoFsmonkeyCompl!AF57),"",[2]FoFsmonkeyCompl!AF57),"")</f>
        <v/>
      </c>
      <c r="AD54" s="8" t="str">
        <f>IFERROR(IF(ISBLANK([2]FoFsmonkeyCompl!AG57),"",[2]FoFsmonkeyCompl!AG57),"")</f>
        <v/>
      </c>
      <c r="AE54" s="8" t="str">
        <f>IFERROR(IF(ISBLANK([2]FoFsmonkeyCompl!AH57),"",[2]FoFsmonkeyCompl!AH57),"")</f>
        <v/>
      </c>
      <c r="AF54" s="40" t="str">
        <f>IFERROR(INDEX([2]FundOfFundsUniverse!$B$2:$EU$700,MATCH($C54,[2]FundOfFundsUniverse!$A$2:$A$700,0),MATCH($AF$1,[2]FundOfFundsUniverse!$B$1:$EU$1,0)),"")</f>
        <v/>
      </c>
    </row>
    <row r="55" spans="1:32" ht="14.25" thickTop="1" thickBot="1" x14ac:dyDescent="0.25">
      <c r="A55" s="5" t="str">
        <f>IF(OR(ISTEXT([2]FoFsmonkeyCompl!J58),ISNUMBER([2]FoFsmonkeyCompl!J58)),[2]FoFsmonkeyCompl!J58,"")</f>
        <v/>
      </c>
      <c r="B55" s="6" t="str">
        <f>IF(OR(ISTEXT([2]FoFsmonkeyCompl!K58),ISNUMBER([2]FoFsmonkeyCompl!K58)),[2]FoFsmonkeyCompl!K58,"")</f>
        <v/>
      </c>
      <c r="C55" s="7"/>
      <c r="D55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55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55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55" s="6" t="str">
        <f>IF(ISBLANK([2]FoFsmonkeyCompl!L58),"",[2]FoFsmonkeyCompl!L58)</f>
        <v/>
      </c>
      <c r="H55" s="6" t="str">
        <f>IF(ISBLANK([2]FoFsmonkeyCompl!M58),"",[2]FoFsmonkeyCompl!M58)</f>
        <v/>
      </c>
      <c r="I55" s="6" t="str">
        <f>IF(ISBLANK([2]FoFsmonkeyCompl!N58),"",[2]FoFsmonkeyCompl!N58)</f>
        <v/>
      </c>
      <c r="J55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55" s="11" t="str">
        <f>IFERROR(VLOOKUP(FoFanalysis7[[#This Row],[Currency of Reporting]],'[2]Xrate31.12.20'!$F$5:$H$28,3,0),"")</f>
        <v/>
      </c>
      <c r="L55" s="11" t="str">
        <f>IFERROR(IF(ISBLANK([2]FoFsmonkeyCompl!O58),"",[2]FoFsmonkeyCompl!O58*FoFanalysis7[[#This Row],[EUR]]),"")</f>
        <v/>
      </c>
      <c r="M55" s="8" t="str">
        <f>IFERROR(IF(ISBLANK([2]FoFsmonkeyCompl!P58),"",[2]FoFsmonkeyCompl!P58*FoFanalysis7[[#This Row],[EUR]]),"")</f>
        <v/>
      </c>
      <c r="N55" s="8" t="str">
        <f>IFERROR(IF(ISBLANK([2]FoFsmonkeyCompl!Q58),"",[2]FoFsmonkeyCompl!Q58*FoFanalysis7[[#This Row],[EUR]]),"")</f>
        <v/>
      </c>
      <c r="O55" s="8" t="str">
        <f>IFERROR(IF(ISBLANK([2]FoFsmonkeyCompl!R58),"",[2]FoFsmonkeyCompl!R58*FoFanalysis7[[#This Row],[EUR]]),"")</f>
        <v/>
      </c>
      <c r="P55" s="8" t="str">
        <f>IFERROR(IF(ISBLANK([2]FoFsmonkeyCompl!S58),"",[2]FoFsmonkeyCompl!S58*FoFanalysis7[[#This Row],[EUR]]),"")</f>
        <v/>
      </c>
      <c r="Q55" s="8" t="str">
        <f>IFERROR(IF(ISBLANK([2]FoFsmonkeyCompl!T58),"",[2]FoFsmonkeyCompl!T58*FoFanalysis7[[#This Row],[EUR]]),"")</f>
        <v/>
      </c>
      <c r="R55" s="8" t="str">
        <f>IFERROR(IF(ISBLANK([2]FoFsmonkeyCompl!U58),"",[2]FoFsmonkeyCompl!U58*FoFanalysis7[[#This Row],[EUR]]),"")</f>
        <v/>
      </c>
      <c r="S55" s="8" t="str">
        <f>IFERROR(IF(ISBLANK([2]FoFsmonkeyCompl!V58),"",[2]FoFsmonkeyCompl!V58*FoFanalysis7[[#This Row],[EUR]]),"")</f>
        <v/>
      </c>
      <c r="T55" s="8" t="str">
        <f>IFERROR(IF(ISBLANK([2]FoFsmonkeyCompl!W58),"",[2]FoFsmonkeyCompl!W58*FoFanalysis7[[#This Row],[EUR]]),"")</f>
        <v/>
      </c>
      <c r="U55" s="8" t="str">
        <f>IFERROR(IF(ISBLANK([2]FoFsmonkeyCompl!X58),"",[2]FoFsmonkeyCompl!X58*FoFanalysis7[[#This Row],[EUR]]),"")</f>
        <v/>
      </c>
      <c r="V55" s="8" t="str">
        <f>IFERROR(IF(ISBLANK([2]FoFsmonkeyCompl!Y58),"",[2]FoFsmonkeyCompl!Y58*FoFanalysis7[[#This Row],[EUR]]),"")</f>
        <v/>
      </c>
      <c r="W55" s="8" t="str">
        <f>IFERROR(IF(ISBLANK([2]FoFsmonkeyCompl!Z58),"",[2]FoFsmonkeyCompl!Z58*FoFanalysis7[[#This Row],[EUR]]),"")</f>
        <v/>
      </c>
      <c r="X55" s="8" t="str">
        <f>IFERROR(IF(ISBLANK([2]FoFsmonkeyCompl!AA58),"",[2]FoFsmonkeyCompl!AA58*FoFanalysis7[[#This Row],[EUR]]),"")</f>
        <v/>
      </c>
      <c r="Y55" s="8" t="str">
        <f>IFERROR(IF(ISBLANK([2]FoFsmonkeyCompl!AB58),"",[2]FoFsmonkeyCompl!AB58*FoFanalysis7[[#This Row],[EUR]]),"")</f>
        <v/>
      </c>
      <c r="Z55" s="8" t="str">
        <f>IFERROR(IF(ISBLANK([2]FoFsmonkeyCompl!AC58),"",[2]FoFsmonkeyCompl!AC58),"")</f>
        <v/>
      </c>
      <c r="AA55" s="8" t="str">
        <f>IFERROR(IF(ISBLANK([2]FoFsmonkeyCompl!AD58),"",[2]FoFsmonkeyCompl!AD58),"")</f>
        <v/>
      </c>
      <c r="AB55" s="8" t="str">
        <f>IFERROR(IF(ISBLANK([2]FoFsmonkeyCompl!AE58),"",[2]FoFsmonkeyCompl!AE58),"")</f>
        <v/>
      </c>
      <c r="AC55" s="8" t="str">
        <f>IFERROR(IF(ISBLANK([2]FoFsmonkeyCompl!AF58),"",[2]FoFsmonkeyCompl!AF58),"")</f>
        <v/>
      </c>
      <c r="AD55" s="8" t="str">
        <f>IFERROR(IF(ISBLANK([2]FoFsmonkeyCompl!AG58),"",[2]FoFsmonkeyCompl!AG58),"")</f>
        <v/>
      </c>
      <c r="AE55" s="8" t="str">
        <f>IFERROR(IF(ISBLANK([2]FoFsmonkeyCompl!AH58),"",[2]FoFsmonkeyCompl!AH58),"")</f>
        <v/>
      </c>
      <c r="AF55" s="40" t="str">
        <f>IFERROR(INDEX([2]FundOfFundsUniverse!$B$2:$EU$700,MATCH($C55,[2]FundOfFundsUniverse!$A$2:$A$700,0),MATCH($AF$1,[2]FundOfFundsUniverse!$B$1:$EU$1,0)),"")</f>
        <v/>
      </c>
    </row>
    <row r="56" spans="1:32" ht="14.25" thickTop="1" thickBot="1" x14ac:dyDescent="0.25">
      <c r="A56" s="9" t="str">
        <f>IF(OR(ISTEXT([2]FoFsmonkeyCompl!J59),ISNUMBER([2]FoFsmonkeyCompl!J59)),[2]FoFsmonkeyCompl!J59,"")</f>
        <v/>
      </c>
      <c r="B56" s="6" t="str">
        <f>IF(OR(ISTEXT([2]FoFsmonkeyCompl!K59),ISNUMBER([2]FoFsmonkeyCompl!K59)),[2]FoFsmonkeyCompl!K59,"")</f>
        <v/>
      </c>
      <c r="C56" s="7"/>
      <c r="D56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56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56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56" s="6" t="str">
        <f>IF(ISBLANK([2]FoFsmonkeyCompl!L59),"",[2]FoFsmonkeyCompl!L59)</f>
        <v/>
      </c>
      <c r="H56" s="6" t="str">
        <f>IF(ISBLANK([2]FoFsmonkeyCompl!M59),"",[2]FoFsmonkeyCompl!M59)</f>
        <v/>
      </c>
      <c r="I56" s="6" t="str">
        <f>IF(ISBLANK([2]FoFsmonkeyCompl!N59),"",[2]FoFsmonkeyCompl!N59)</f>
        <v/>
      </c>
      <c r="J56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56" s="11" t="str">
        <f>IFERROR(VLOOKUP(FoFanalysis7[[#This Row],[Currency of Reporting]],'[2]Xrate31.12.20'!$F$5:$H$28,3,0),"")</f>
        <v/>
      </c>
      <c r="L56" s="11" t="str">
        <f>IFERROR(IF(ISBLANK([2]FoFsmonkeyCompl!O59),"",[2]FoFsmonkeyCompl!O59*FoFanalysis7[[#This Row],[EUR]]),"")</f>
        <v/>
      </c>
      <c r="M56" s="8" t="str">
        <f>IFERROR(IF(ISBLANK([2]FoFsmonkeyCompl!P59),"",[2]FoFsmonkeyCompl!P59*FoFanalysis7[[#This Row],[EUR]]),"")</f>
        <v/>
      </c>
      <c r="N56" s="8" t="str">
        <f>IFERROR(IF(ISBLANK([2]FoFsmonkeyCompl!Q59),"",[2]FoFsmonkeyCompl!Q59*FoFanalysis7[[#This Row],[EUR]]),"")</f>
        <v/>
      </c>
      <c r="O56" s="8" t="str">
        <f>IFERROR(IF(ISBLANK([2]FoFsmonkeyCompl!R59),"",[2]FoFsmonkeyCompl!R59*FoFanalysis7[[#This Row],[EUR]]),"")</f>
        <v/>
      </c>
      <c r="P56" s="8" t="str">
        <f>IFERROR(IF(ISBLANK([2]FoFsmonkeyCompl!S59),"",[2]FoFsmonkeyCompl!S59*FoFanalysis7[[#This Row],[EUR]]),"")</f>
        <v/>
      </c>
      <c r="Q56" s="8" t="str">
        <f>IFERROR(IF(ISBLANK([2]FoFsmonkeyCompl!T59),"",[2]FoFsmonkeyCompl!T59*FoFanalysis7[[#This Row],[EUR]]),"")</f>
        <v/>
      </c>
      <c r="R56" s="8" t="str">
        <f>IFERROR(IF(ISBLANK([2]FoFsmonkeyCompl!U59),"",[2]FoFsmonkeyCompl!U59*FoFanalysis7[[#This Row],[EUR]]),"")</f>
        <v/>
      </c>
      <c r="S56" s="8" t="str">
        <f>IFERROR(IF(ISBLANK([2]FoFsmonkeyCompl!V59),"",[2]FoFsmonkeyCompl!V59*FoFanalysis7[[#This Row],[EUR]]),"")</f>
        <v/>
      </c>
      <c r="T56" s="8" t="str">
        <f>IFERROR(IF(ISBLANK([2]FoFsmonkeyCompl!W59),"",[2]FoFsmonkeyCompl!W59*FoFanalysis7[[#This Row],[EUR]]),"")</f>
        <v/>
      </c>
      <c r="U56" s="8" t="str">
        <f>IFERROR(IF(ISBLANK([2]FoFsmonkeyCompl!X59),"",[2]FoFsmonkeyCompl!X59*FoFanalysis7[[#This Row],[EUR]]),"")</f>
        <v/>
      </c>
      <c r="V56" s="8" t="str">
        <f>IFERROR(IF(ISBLANK([2]FoFsmonkeyCompl!Y59),"",[2]FoFsmonkeyCompl!Y59*FoFanalysis7[[#This Row],[EUR]]),"")</f>
        <v/>
      </c>
      <c r="W56" s="8" t="str">
        <f>IFERROR(IF(ISBLANK([2]FoFsmonkeyCompl!Z59),"",[2]FoFsmonkeyCompl!Z59*FoFanalysis7[[#This Row],[EUR]]),"")</f>
        <v/>
      </c>
      <c r="X56" s="8" t="str">
        <f>IFERROR(IF(ISBLANK([2]FoFsmonkeyCompl!AA59),"",[2]FoFsmonkeyCompl!AA59*FoFanalysis7[[#This Row],[EUR]]),"")</f>
        <v/>
      </c>
      <c r="Y56" s="8" t="str">
        <f>IFERROR(IF(ISBLANK([2]FoFsmonkeyCompl!AB59),"",[2]FoFsmonkeyCompl!AB59*FoFanalysis7[[#This Row],[EUR]]),"")</f>
        <v/>
      </c>
      <c r="Z56" s="8" t="str">
        <f>IFERROR(IF(ISBLANK([2]FoFsmonkeyCompl!AC59),"",[2]FoFsmonkeyCompl!AC59),"")</f>
        <v/>
      </c>
      <c r="AA56" s="8" t="str">
        <f>IFERROR(IF(ISBLANK([2]FoFsmonkeyCompl!AD59),"",[2]FoFsmonkeyCompl!AD59),"")</f>
        <v/>
      </c>
      <c r="AB56" s="8" t="str">
        <f>IFERROR(IF(ISBLANK([2]FoFsmonkeyCompl!AE59),"",[2]FoFsmonkeyCompl!AE59),"")</f>
        <v/>
      </c>
      <c r="AC56" s="8" t="str">
        <f>IFERROR(IF(ISBLANK([2]FoFsmonkeyCompl!AF59),"",[2]FoFsmonkeyCompl!AF59),"")</f>
        <v/>
      </c>
      <c r="AD56" s="8" t="str">
        <f>IFERROR(IF(ISBLANK([2]FoFsmonkeyCompl!AG59),"",[2]FoFsmonkeyCompl!AG59),"")</f>
        <v/>
      </c>
      <c r="AE56" s="8" t="str">
        <f>IFERROR(IF(ISBLANK([2]FoFsmonkeyCompl!AH59),"",[2]FoFsmonkeyCompl!AH59),"")</f>
        <v/>
      </c>
      <c r="AF56" s="40" t="str">
        <f>IFERROR(INDEX([2]FundOfFundsUniverse!$B$2:$EU$700,MATCH($C56,[2]FundOfFundsUniverse!$A$2:$A$700,0),MATCH($AF$1,[2]FundOfFundsUniverse!$B$1:$EU$1,0)),"")</f>
        <v/>
      </c>
    </row>
    <row r="57" spans="1:32" ht="13.5" thickTop="1" x14ac:dyDescent="0.2">
      <c r="A57" s="5" t="str">
        <f>IF(OR(ISTEXT([2]FoFsmonkeyCompl!J60),ISNUMBER([2]FoFsmonkeyCompl!J60)),[2]FoFsmonkeyCompl!J60,"")</f>
        <v/>
      </c>
      <c r="B57" s="6" t="str">
        <f>IF(OR(ISTEXT([2]FoFsmonkeyCompl!K60),ISNUMBER([2]FoFsmonkeyCompl!K60)),[2]FoFsmonkeyCompl!K60,"")</f>
        <v/>
      </c>
      <c r="C57" s="7"/>
      <c r="D57" s="6" t="str">
        <f>IFERROR(INDEX([2]FundOfFundsUniverse!$B$2:$EU$80,MATCH(FoFanalysis7[[#This Row],[ID]],[2]FundOfFundsUniverse!$A$2:$A$80,0),MATCH(FoFanalysis7[[#Headers],[Manager Defined Style]],[2]FundOfFundsUniverse!$B$1:$EU$1,0)),"")</f>
        <v/>
      </c>
      <c r="E57" s="6" t="str">
        <f>IFERROR(INDEX([2]FundOfFundsUniverse!$B$2:$EU$80,MATCH(FoFanalysis7[[#This Row],[ID]],[2]FundOfFundsUniverse!$A$2:$A$80,0),MATCH(FoFanalysis7[[#Headers],[Vehicle Structure]],[2]FundOfFundsUniverse!$B$1:$EU$1,0)),"")</f>
        <v/>
      </c>
      <c r="F57" s="6" t="str">
        <f>IFERROR(INDEX([2]FundOfFundsUniverse!$B$2:$EU$80,MATCH(FoFanalysis7[[#This Row],[ID]],[2]FundOfFundsUniverse!$A$2:$A$80,0),MATCH(FoFanalysis7[[#Headers],[Year of first closing]],[2]FundOfFundsUniverse!$B$1:$EU$1,0)),"")</f>
        <v/>
      </c>
      <c r="G57" s="6" t="str">
        <f>IF(ISBLANK([2]FoFsmonkeyCompl!L60),"",[2]FoFsmonkeyCompl!L60)</f>
        <v/>
      </c>
      <c r="H57" s="6" t="str">
        <f>IF(ISBLANK([2]FoFsmonkeyCompl!M60),"",[2]FoFsmonkeyCompl!M60)</f>
        <v/>
      </c>
      <c r="I57" s="6" t="str">
        <f>IF(ISBLANK([2]FoFsmonkeyCompl!N60),"",[2]FoFsmonkeyCompl!N60)</f>
        <v/>
      </c>
      <c r="J57" s="6" t="str">
        <f>IFERROR(INDEX([2]FundOfFundsUniverse!$B$2:$EU$80,MATCH(FoFanalysis7[[#This Row],[ID]],[2]FundOfFundsUniverse!$A$2:$A$80,0),MATCH(FoFanalysis7[[#Headers],[Currency of Reporting]],[2]FundOfFundsUniverse!$B$1:$EU$1,0)),"")</f>
        <v/>
      </c>
      <c r="K57" s="11" t="str">
        <f>IFERROR(VLOOKUP(FoFanalysis7[[#This Row],[Currency of Reporting]],'[2]Xrate31.12.20'!$F$5:$H$28,3,0),"")</f>
        <v/>
      </c>
      <c r="L57" s="11" t="str">
        <f>IFERROR(IF(ISBLANK([2]FoFsmonkeyCompl!O60),"",[2]FoFsmonkeyCompl!O60*FoFanalysis7[[#This Row],[EUR]]),"")</f>
        <v/>
      </c>
      <c r="M57" s="8" t="str">
        <f>IFERROR(IF(ISBLANK([2]FoFsmonkeyCompl!P60),"",[2]FoFsmonkeyCompl!P60*FoFanalysis7[[#This Row],[EUR]]),"")</f>
        <v/>
      </c>
      <c r="N57" s="8" t="str">
        <f>IFERROR(IF(ISBLANK([2]FoFsmonkeyCompl!Q60),"",[2]FoFsmonkeyCompl!Q60*FoFanalysis7[[#This Row],[EUR]]),"")</f>
        <v/>
      </c>
      <c r="O57" s="8" t="str">
        <f>IFERROR(IF(ISBLANK([2]FoFsmonkeyCompl!R60),"",[2]FoFsmonkeyCompl!R60*FoFanalysis7[[#This Row],[EUR]]),"")</f>
        <v/>
      </c>
      <c r="P57" s="8" t="str">
        <f>IFERROR(IF(ISBLANK([2]FoFsmonkeyCompl!S60),"",[2]FoFsmonkeyCompl!S60*FoFanalysis7[[#This Row],[EUR]]),"")</f>
        <v/>
      </c>
      <c r="Q57" s="8" t="str">
        <f>IFERROR(IF(ISBLANK([2]FoFsmonkeyCompl!T60),"",[2]FoFsmonkeyCompl!T60*FoFanalysis7[[#This Row],[EUR]]),"")</f>
        <v/>
      </c>
      <c r="R57" s="8" t="str">
        <f>IFERROR(IF(ISBLANK([2]FoFsmonkeyCompl!U60),"",[2]FoFsmonkeyCompl!U60*FoFanalysis7[[#This Row],[EUR]]),"")</f>
        <v/>
      </c>
      <c r="S57" s="8" t="str">
        <f>IFERROR(IF(ISBLANK([2]FoFsmonkeyCompl!V60),"",[2]FoFsmonkeyCompl!V60*FoFanalysis7[[#This Row],[EUR]]),"")</f>
        <v/>
      </c>
      <c r="T57" s="8" t="str">
        <f>IFERROR(IF(ISBLANK([2]FoFsmonkeyCompl!W60),"",[2]FoFsmonkeyCompl!W60*FoFanalysis7[[#This Row],[EUR]]),"")</f>
        <v/>
      </c>
      <c r="U57" s="8" t="str">
        <f>IFERROR(IF(ISBLANK([2]FoFsmonkeyCompl!X60),"",[2]FoFsmonkeyCompl!X60*FoFanalysis7[[#This Row],[EUR]]),"")</f>
        <v/>
      </c>
      <c r="V57" s="8" t="str">
        <f>IFERROR(IF(ISBLANK([2]FoFsmonkeyCompl!Y60),"",[2]FoFsmonkeyCompl!Y60*FoFanalysis7[[#This Row],[EUR]]),"")</f>
        <v/>
      </c>
      <c r="W57" s="8" t="str">
        <f>IFERROR(IF(ISBLANK([2]FoFsmonkeyCompl!Z60),"",[2]FoFsmonkeyCompl!Z60*FoFanalysis7[[#This Row],[EUR]]),"")</f>
        <v/>
      </c>
      <c r="X57" s="8" t="str">
        <f>IFERROR(IF(ISBLANK([2]FoFsmonkeyCompl!AA60),"",[2]FoFsmonkeyCompl!AA60*FoFanalysis7[[#This Row],[EUR]]),"")</f>
        <v/>
      </c>
      <c r="Y57" s="8" t="str">
        <f>IFERROR(IF(ISBLANK([2]FoFsmonkeyCompl!AB60),"",[2]FoFsmonkeyCompl!AB60*FoFanalysis7[[#This Row],[EUR]]),"")</f>
        <v/>
      </c>
      <c r="Z57" s="8" t="str">
        <f>IFERROR(IF(ISBLANK([2]FoFsmonkeyCompl!AC60),"",[2]FoFsmonkeyCompl!AC60),"")</f>
        <v/>
      </c>
      <c r="AA57" s="8" t="str">
        <f>IFERROR(IF(ISBLANK([2]FoFsmonkeyCompl!AD60),"",[2]FoFsmonkeyCompl!AD60),"")</f>
        <v/>
      </c>
      <c r="AB57" s="8" t="str">
        <f>IFERROR(IF(ISBLANK([2]FoFsmonkeyCompl!AE60),"",[2]FoFsmonkeyCompl!AE60),"")</f>
        <v/>
      </c>
      <c r="AC57" s="8" t="str">
        <f>IFERROR(IF(ISBLANK([2]FoFsmonkeyCompl!AF60),"",[2]FoFsmonkeyCompl!AF60),"")</f>
        <v/>
      </c>
      <c r="AD57" s="8" t="str">
        <f>IFERROR(IF(ISBLANK([2]FoFsmonkeyCompl!AG60),"",[2]FoFsmonkeyCompl!AG60),"")</f>
        <v/>
      </c>
      <c r="AE57" s="8" t="str">
        <f>IFERROR(IF(ISBLANK([2]FoFsmonkeyCompl!AH60),"",[2]FoFsmonkeyCompl!AH60),"")</f>
        <v/>
      </c>
      <c r="AF57" s="40" t="str">
        <f>IFERROR(INDEX([2]FundOfFundsUniverse!$B$2:$EU$700,MATCH($C57,[2]FundOfFundsUniverse!$A$2:$A$700,0),MATCH($AF$1,[2]FundOfFundsUniverse!$B$1:$EU$1,0)),"")</f>
        <v/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DB8C-C080-4F5C-8210-A8755EEB9339}">
  <sheetPr>
    <tabColor theme="5" tint="-0.249977111117893"/>
  </sheetPr>
  <dimension ref="A1:AH15"/>
  <sheetViews>
    <sheetView showGridLines="0" zoomScaleNormal="100" workbookViewId="0">
      <selection activeCell="A14" sqref="A14:XFD14"/>
    </sheetView>
  </sheetViews>
  <sheetFormatPr defaultRowHeight="12.75" x14ac:dyDescent="0.2"/>
  <cols>
    <col min="3" max="4" width="18.140625" bestFit="1" customWidth="1"/>
    <col min="5" max="5" width="20.140625" customWidth="1"/>
    <col min="10" max="10" width="36.42578125" customWidth="1"/>
    <col min="11" max="11" width="61.140625" bestFit="1" customWidth="1"/>
  </cols>
  <sheetData>
    <row r="1" spans="1:34" ht="14.25" x14ac:dyDescent="0.2">
      <c r="A1" s="37" t="s">
        <v>67</v>
      </c>
      <c r="B1" s="37" t="s">
        <v>70</v>
      </c>
      <c r="C1" s="37" t="s">
        <v>72</v>
      </c>
      <c r="D1" s="37" t="s">
        <v>74</v>
      </c>
      <c r="E1" s="37" t="s">
        <v>76</v>
      </c>
      <c r="F1" s="37" t="s">
        <v>78</v>
      </c>
      <c r="G1" s="37" t="s">
        <v>80</v>
      </c>
      <c r="H1" s="37" t="s">
        <v>82</v>
      </c>
      <c r="I1" s="37" t="s">
        <v>84</v>
      </c>
      <c r="J1" s="25" t="s">
        <v>32</v>
      </c>
      <c r="K1" s="37" t="s">
        <v>1</v>
      </c>
      <c r="L1" s="37" t="s">
        <v>146</v>
      </c>
      <c r="M1" s="37" t="s">
        <v>147</v>
      </c>
      <c r="N1" s="37"/>
      <c r="O1" s="37" t="s">
        <v>100</v>
      </c>
      <c r="P1" s="37" t="s">
        <v>214</v>
      </c>
      <c r="Q1" s="37"/>
      <c r="R1" s="37"/>
      <c r="S1" s="37"/>
      <c r="T1" s="37"/>
      <c r="U1" s="37"/>
      <c r="V1" s="37"/>
      <c r="W1" s="37"/>
      <c r="X1" s="37" t="s">
        <v>150</v>
      </c>
      <c r="Y1" s="37"/>
      <c r="Z1" s="37"/>
      <c r="AA1" s="37"/>
      <c r="AB1" s="37"/>
      <c r="AC1" s="37" t="s">
        <v>128</v>
      </c>
      <c r="AD1" s="37"/>
      <c r="AE1" s="37"/>
      <c r="AF1" s="37"/>
      <c r="AG1" s="37" t="s">
        <v>139</v>
      </c>
      <c r="AH1" s="37" t="s">
        <v>141</v>
      </c>
    </row>
    <row r="2" spans="1:34" ht="14.25" x14ac:dyDescent="0.2">
      <c r="A2" s="37"/>
      <c r="B2" s="37"/>
      <c r="C2" s="37"/>
      <c r="D2" s="37"/>
      <c r="E2" s="37"/>
      <c r="F2" s="37"/>
      <c r="G2" s="37"/>
      <c r="H2" s="37"/>
      <c r="I2" s="37"/>
      <c r="J2" s="25" t="s">
        <v>86</v>
      </c>
      <c r="K2" s="37" t="s">
        <v>86</v>
      </c>
      <c r="L2" s="37" t="s">
        <v>97</v>
      </c>
      <c r="M2" s="37" t="s">
        <v>97</v>
      </c>
      <c r="N2" s="37" t="s">
        <v>9</v>
      </c>
      <c r="O2" s="37" t="s">
        <v>86</v>
      </c>
      <c r="P2" s="37" t="s">
        <v>104</v>
      </c>
      <c r="Q2" s="37" t="s">
        <v>106</v>
      </c>
      <c r="R2" s="37" t="s">
        <v>148</v>
      </c>
      <c r="S2" s="37" t="s">
        <v>110</v>
      </c>
      <c r="T2" s="37" t="s">
        <v>112</v>
      </c>
      <c r="U2" s="37" t="s">
        <v>114</v>
      </c>
      <c r="V2" s="37" t="s">
        <v>149</v>
      </c>
      <c r="W2" s="37" t="s">
        <v>20</v>
      </c>
      <c r="X2" s="37" t="s">
        <v>21</v>
      </c>
      <c r="Y2" s="37" t="s">
        <v>121</v>
      </c>
      <c r="Z2" s="37" t="s">
        <v>123</v>
      </c>
      <c r="AA2" s="37" t="s">
        <v>125</v>
      </c>
      <c r="AB2" s="37" t="s">
        <v>25</v>
      </c>
      <c r="AC2" s="37" t="s">
        <v>130</v>
      </c>
      <c r="AD2" s="37" t="s">
        <v>133</v>
      </c>
      <c r="AE2" s="37" t="s">
        <v>135</v>
      </c>
      <c r="AF2" s="37" t="s">
        <v>137</v>
      </c>
      <c r="AG2" s="37" t="s">
        <v>97</v>
      </c>
      <c r="AH2" s="37" t="s">
        <v>97</v>
      </c>
    </row>
    <row r="3" spans="1:34" ht="15" x14ac:dyDescent="0.25">
      <c r="A3" s="38">
        <v>12442521524</v>
      </c>
      <c r="B3" s="38">
        <v>396432108</v>
      </c>
      <c r="C3" s="39">
        <v>44252.73746527778</v>
      </c>
      <c r="D3" s="39">
        <v>44252.742881944447</v>
      </c>
      <c r="E3" s="38" t="s">
        <v>201</v>
      </c>
      <c r="F3" s="38"/>
      <c r="G3" s="38"/>
      <c r="H3" s="38"/>
      <c r="I3" s="38"/>
      <c r="J3" s="38" t="s">
        <v>202</v>
      </c>
      <c r="K3" s="38" t="s">
        <v>215</v>
      </c>
      <c r="L3" s="38" t="s">
        <v>152</v>
      </c>
      <c r="M3" s="38"/>
      <c r="N3" s="38"/>
      <c r="O3" s="38">
        <v>410</v>
      </c>
      <c r="P3" s="38">
        <v>377</v>
      </c>
      <c r="Q3" s="38">
        <v>23</v>
      </c>
      <c r="R3" s="38"/>
      <c r="S3" s="38"/>
      <c r="T3" s="38"/>
      <c r="U3" s="38"/>
      <c r="V3" s="38"/>
      <c r="W3" s="38">
        <v>10</v>
      </c>
      <c r="X3" s="38">
        <v>214</v>
      </c>
      <c r="Y3" s="38">
        <v>25</v>
      </c>
      <c r="Z3" s="38">
        <v>57</v>
      </c>
      <c r="AA3" s="38"/>
      <c r="AB3" s="38"/>
      <c r="AC3" s="38"/>
      <c r="AD3" s="38"/>
      <c r="AE3" s="38">
        <v>100</v>
      </c>
      <c r="AF3" s="38"/>
      <c r="AG3" s="38" t="s">
        <v>151</v>
      </c>
      <c r="AH3" s="38" t="s">
        <v>152</v>
      </c>
    </row>
    <row r="4" spans="1:34" ht="15" x14ac:dyDescent="0.25">
      <c r="A4" s="38">
        <v>12430584227</v>
      </c>
      <c r="B4" s="38">
        <v>396432108</v>
      </c>
      <c r="C4" s="39">
        <v>44249.454768518517</v>
      </c>
      <c r="D4" s="39">
        <v>44249.456736111111</v>
      </c>
      <c r="E4" s="38" t="s">
        <v>216</v>
      </c>
      <c r="F4" s="38"/>
      <c r="G4" s="38"/>
      <c r="H4" s="38"/>
      <c r="I4" s="38"/>
      <c r="J4" s="38" t="s">
        <v>217</v>
      </c>
      <c r="K4" s="38" t="s">
        <v>218</v>
      </c>
      <c r="L4" s="38" t="s">
        <v>152</v>
      </c>
      <c r="M4" s="38"/>
      <c r="N4" s="38"/>
      <c r="O4" s="38">
        <v>112</v>
      </c>
      <c r="P4" s="38"/>
      <c r="Q4" s="38"/>
      <c r="R4" s="38"/>
      <c r="S4" s="38"/>
      <c r="T4" s="38"/>
      <c r="U4" s="38"/>
      <c r="V4" s="38">
        <v>112</v>
      </c>
      <c r="W4" s="38"/>
      <c r="X4" s="38"/>
      <c r="Y4" s="38"/>
      <c r="Z4" s="38">
        <v>112</v>
      </c>
      <c r="AA4" s="38"/>
      <c r="AB4" s="38"/>
      <c r="AC4" s="38"/>
      <c r="AD4" s="38"/>
      <c r="AE4" s="38">
        <v>100</v>
      </c>
      <c r="AF4" s="38"/>
      <c r="AG4" s="38" t="s">
        <v>151</v>
      </c>
      <c r="AH4" s="38" t="s">
        <v>152</v>
      </c>
    </row>
    <row r="5" spans="1:34" ht="15" x14ac:dyDescent="0.25">
      <c r="A5" s="38">
        <v>12430565314</v>
      </c>
      <c r="B5" s="38">
        <v>396432108</v>
      </c>
      <c r="C5" s="39">
        <v>44249.447847222225</v>
      </c>
      <c r="D5" s="39">
        <v>44249.453738425924</v>
      </c>
      <c r="E5" s="38" t="s">
        <v>216</v>
      </c>
      <c r="F5" s="38"/>
      <c r="G5" s="38"/>
      <c r="H5" s="38"/>
      <c r="I5" s="38"/>
      <c r="J5" s="38" t="s">
        <v>217</v>
      </c>
      <c r="K5" s="38" t="s">
        <v>219</v>
      </c>
      <c r="L5" s="38" t="s">
        <v>152</v>
      </c>
      <c r="M5" s="38"/>
      <c r="N5" s="38"/>
      <c r="O5" s="38">
        <v>184</v>
      </c>
      <c r="P5" s="38">
        <v>184</v>
      </c>
      <c r="Q5" s="38"/>
      <c r="R5" s="38"/>
      <c r="S5" s="38"/>
      <c r="T5" s="38"/>
      <c r="U5" s="38"/>
      <c r="V5" s="38"/>
      <c r="W5" s="38"/>
      <c r="X5" s="38">
        <v>184</v>
      </c>
      <c r="Y5" s="38"/>
      <c r="Z5" s="38"/>
      <c r="AA5" s="38"/>
      <c r="AB5" s="38"/>
      <c r="AC5" s="38"/>
      <c r="AD5" s="38"/>
      <c r="AE5" s="38">
        <v>100</v>
      </c>
      <c r="AF5" s="38"/>
      <c r="AG5" s="38" t="s">
        <v>151</v>
      </c>
      <c r="AH5" s="38" t="s">
        <v>152</v>
      </c>
    </row>
    <row r="6" spans="1:34" ht="15" x14ac:dyDescent="0.25">
      <c r="A6" s="38">
        <v>12430447731</v>
      </c>
      <c r="B6" s="38">
        <v>396432108</v>
      </c>
      <c r="C6" s="39">
        <v>44249.403634259259</v>
      </c>
      <c r="D6" s="39">
        <v>44249.410937499997</v>
      </c>
      <c r="E6" s="38" t="s">
        <v>220</v>
      </c>
      <c r="F6" s="38"/>
      <c r="G6" s="38"/>
      <c r="H6" s="38"/>
      <c r="I6" s="38"/>
      <c r="J6" s="38" t="s">
        <v>221</v>
      </c>
      <c r="K6" s="38" t="s">
        <v>222</v>
      </c>
      <c r="L6" s="38" t="s">
        <v>152</v>
      </c>
      <c r="M6" s="38"/>
      <c r="N6" s="38"/>
      <c r="O6" s="38">
        <v>225</v>
      </c>
      <c r="P6" s="38">
        <v>71</v>
      </c>
      <c r="Q6" s="38">
        <v>25</v>
      </c>
      <c r="R6" s="38"/>
      <c r="S6" s="38"/>
      <c r="T6" s="38">
        <v>2</v>
      </c>
      <c r="U6" s="38"/>
      <c r="V6" s="38"/>
      <c r="W6" s="38">
        <v>127</v>
      </c>
      <c r="X6" s="38">
        <v>225</v>
      </c>
      <c r="Y6" s="38"/>
      <c r="Z6" s="38"/>
      <c r="AA6" s="38"/>
      <c r="AB6" s="38"/>
      <c r="AC6" s="38"/>
      <c r="AD6" s="38"/>
      <c r="AE6" s="38">
        <v>100</v>
      </c>
      <c r="AF6" s="38"/>
      <c r="AG6" s="38" t="s">
        <v>169</v>
      </c>
      <c r="AH6" s="38" t="s">
        <v>152</v>
      </c>
    </row>
    <row r="7" spans="1:34" ht="15" x14ac:dyDescent="0.25">
      <c r="A7" s="38">
        <v>12430404159</v>
      </c>
      <c r="B7" s="38">
        <v>396432108</v>
      </c>
      <c r="C7" s="39">
        <v>44249.388078703705</v>
      </c>
      <c r="D7" s="39">
        <v>44249.390902777777</v>
      </c>
      <c r="E7" s="38" t="s">
        <v>223</v>
      </c>
      <c r="F7" s="38"/>
      <c r="G7" s="38"/>
      <c r="H7" s="38"/>
      <c r="I7" s="38"/>
      <c r="J7" s="38" t="s">
        <v>217</v>
      </c>
      <c r="K7" s="38" t="s">
        <v>224</v>
      </c>
      <c r="L7" s="38" t="s">
        <v>152</v>
      </c>
      <c r="M7" s="38"/>
      <c r="N7" s="38"/>
      <c r="O7" s="38">
        <v>857</v>
      </c>
      <c r="P7" s="38">
        <v>241</v>
      </c>
      <c r="Q7" s="38">
        <v>116</v>
      </c>
      <c r="R7" s="38"/>
      <c r="S7" s="38">
        <v>7</v>
      </c>
      <c r="T7" s="38">
        <v>41</v>
      </c>
      <c r="U7" s="38">
        <v>32</v>
      </c>
      <c r="V7" s="38">
        <v>263</v>
      </c>
      <c r="W7" s="38">
        <v>158</v>
      </c>
      <c r="X7" s="38">
        <v>465</v>
      </c>
      <c r="Y7" s="38">
        <v>297</v>
      </c>
      <c r="Z7" s="38">
        <v>63</v>
      </c>
      <c r="AA7" s="38">
        <v>28</v>
      </c>
      <c r="AB7" s="38">
        <v>4</v>
      </c>
      <c r="AC7" s="38"/>
      <c r="AD7" s="38"/>
      <c r="AE7" s="38">
        <v>100</v>
      </c>
      <c r="AF7" s="38"/>
      <c r="AG7" s="38" t="s">
        <v>151</v>
      </c>
      <c r="AH7" s="38" t="s">
        <v>152</v>
      </c>
    </row>
    <row r="8" spans="1:34" ht="15" x14ac:dyDescent="0.25">
      <c r="A8" s="38">
        <v>12430396008</v>
      </c>
      <c r="B8" s="38">
        <v>396432108</v>
      </c>
      <c r="C8" s="39">
        <v>44249.374363425923</v>
      </c>
      <c r="D8" s="39">
        <v>44249.38658564815</v>
      </c>
      <c r="E8" s="38" t="s">
        <v>223</v>
      </c>
      <c r="F8" s="38"/>
      <c r="G8" s="38"/>
      <c r="H8" s="38"/>
      <c r="I8" s="38"/>
      <c r="J8" s="38" t="s">
        <v>225</v>
      </c>
      <c r="K8" s="38" t="s">
        <v>226</v>
      </c>
      <c r="L8" s="38" t="s">
        <v>152</v>
      </c>
      <c r="M8" s="38"/>
      <c r="N8" s="38"/>
      <c r="O8" s="38">
        <v>147</v>
      </c>
      <c r="P8" s="38">
        <v>147</v>
      </c>
      <c r="Q8" s="38"/>
      <c r="R8" s="38"/>
      <c r="S8" s="38"/>
      <c r="T8" s="38"/>
      <c r="U8" s="38"/>
      <c r="V8" s="38"/>
      <c r="W8" s="38"/>
      <c r="X8" s="38"/>
      <c r="Y8" s="38"/>
      <c r="Z8" s="38">
        <v>147</v>
      </c>
      <c r="AA8" s="38"/>
      <c r="AB8" s="38"/>
      <c r="AC8" s="38"/>
      <c r="AD8" s="38"/>
      <c r="AE8" s="38">
        <v>100</v>
      </c>
      <c r="AF8" s="38"/>
      <c r="AG8" s="38" t="s">
        <v>151</v>
      </c>
      <c r="AH8" s="38" t="s">
        <v>152</v>
      </c>
    </row>
    <row r="9" spans="1:34" ht="15" x14ac:dyDescent="0.25">
      <c r="A9" s="38">
        <v>12430362065</v>
      </c>
      <c r="B9" s="38">
        <v>396432108</v>
      </c>
      <c r="C9" s="39">
        <v>44249.369398148148</v>
      </c>
      <c r="D9" s="39">
        <v>44249.373032407406</v>
      </c>
      <c r="E9" s="38" t="s">
        <v>223</v>
      </c>
      <c r="F9" s="38"/>
      <c r="G9" s="38"/>
      <c r="H9" s="38"/>
      <c r="I9" s="38"/>
      <c r="J9" s="38" t="s">
        <v>217</v>
      </c>
      <c r="K9" s="38" t="s">
        <v>227</v>
      </c>
      <c r="L9" s="38" t="s">
        <v>152</v>
      </c>
      <c r="M9" s="38"/>
      <c r="N9" s="38"/>
      <c r="O9" s="38">
        <v>86</v>
      </c>
      <c r="P9" s="38"/>
      <c r="Q9" s="38"/>
      <c r="R9" s="38"/>
      <c r="S9" s="38"/>
      <c r="T9" s="38"/>
      <c r="U9" s="38"/>
      <c r="V9" s="38"/>
      <c r="W9" s="38">
        <v>86</v>
      </c>
      <c r="X9" s="38"/>
      <c r="Y9" s="38">
        <v>86</v>
      </c>
      <c r="Z9" s="38"/>
      <c r="AA9" s="38"/>
      <c r="AB9" s="38"/>
      <c r="AC9" s="38"/>
      <c r="AD9" s="38"/>
      <c r="AE9" s="38">
        <v>100</v>
      </c>
      <c r="AF9" s="38"/>
      <c r="AG9" s="38" t="s">
        <v>151</v>
      </c>
      <c r="AH9" s="38" t="s">
        <v>152</v>
      </c>
    </row>
    <row r="10" spans="1:34" ht="15" x14ac:dyDescent="0.25">
      <c r="A10" s="38">
        <v>12425174742</v>
      </c>
      <c r="B10" s="38">
        <v>396432108</v>
      </c>
      <c r="C10" s="39">
        <v>44246.877395833333</v>
      </c>
      <c r="D10" s="39">
        <v>44246.880162037036</v>
      </c>
      <c r="E10" s="38" t="s">
        <v>228</v>
      </c>
      <c r="F10" s="38"/>
      <c r="G10" s="38"/>
      <c r="H10" s="38"/>
      <c r="I10" s="38"/>
      <c r="J10" s="38" t="s">
        <v>229</v>
      </c>
      <c r="K10" s="38" t="s">
        <v>230</v>
      </c>
      <c r="L10" s="38" t="s">
        <v>152</v>
      </c>
      <c r="M10" s="38"/>
      <c r="N10" s="38"/>
      <c r="O10" s="38">
        <v>320</v>
      </c>
      <c r="P10" s="38">
        <v>295</v>
      </c>
      <c r="Q10" s="38"/>
      <c r="R10" s="38"/>
      <c r="S10" s="38"/>
      <c r="T10" s="38"/>
      <c r="U10" s="38"/>
      <c r="V10" s="38"/>
      <c r="W10" s="38">
        <v>25</v>
      </c>
      <c r="X10" s="38">
        <v>295</v>
      </c>
      <c r="Y10" s="38"/>
      <c r="Z10" s="38">
        <v>25</v>
      </c>
      <c r="AA10" s="38"/>
      <c r="AB10" s="38"/>
      <c r="AC10" s="38"/>
      <c r="AD10" s="38"/>
      <c r="AE10" s="38">
        <v>100</v>
      </c>
      <c r="AF10" s="38"/>
      <c r="AG10" s="38" t="s">
        <v>151</v>
      </c>
      <c r="AH10" s="38" t="s">
        <v>152</v>
      </c>
    </row>
    <row r="11" spans="1:34" ht="15" x14ac:dyDescent="0.25">
      <c r="A11" s="38">
        <v>12424163694</v>
      </c>
      <c r="B11" s="38">
        <v>396432108</v>
      </c>
      <c r="C11" s="39">
        <v>44246.66306712963</v>
      </c>
      <c r="D11" s="39">
        <v>44246.667754629627</v>
      </c>
      <c r="E11" s="38" t="s">
        <v>231</v>
      </c>
      <c r="F11" s="38"/>
      <c r="G11" s="38"/>
      <c r="H11" s="38"/>
      <c r="I11" s="38"/>
      <c r="J11" s="38" t="s">
        <v>232</v>
      </c>
      <c r="K11" s="38" t="s">
        <v>233</v>
      </c>
      <c r="L11" s="38" t="s">
        <v>152</v>
      </c>
      <c r="M11" s="38"/>
      <c r="N11" s="38"/>
      <c r="O11" s="38">
        <v>20</v>
      </c>
      <c r="P11" s="38">
        <v>20</v>
      </c>
      <c r="Q11" s="38"/>
      <c r="R11" s="38"/>
      <c r="S11" s="38"/>
      <c r="T11" s="38"/>
      <c r="U11" s="38"/>
      <c r="V11" s="38"/>
      <c r="W11" s="38"/>
      <c r="X11" s="38">
        <v>20</v>
      </c>
      <c r="Y11" s="38"/>
      <c r="Z11" s="38"/>
      <c r="AA11" s="38"/>
      <c r="AB11" s="38"/>
      <c r="AC11" s="38"/>
      <c r="AD11" s="38"/>
      <c r="AE11" s="38">
        <v>100</v>
      </c>
      <c r="AF11" s="38"/>
      <c r="AG11" s="38" t="s">
        <v>151</v>
      </c>
      <c r="AH11" s="38" t="s">
        <v>152</v>
      </c>
    </row>
    <row r="12" spans="1:34" ht="15" x14ac:dyDescent="0.25">
      <c r="A12" s="38">
        <v>12358461622</v>
      </c>
      <c r="B12" s="38">
        <v>396432108</v>
      </c>
      <c r="C12" s="39">
        <v>44223.473263888889</v>
      </c>
      <c r="D12" s="39">
        <v>44223.478993055556</v>
      </c>
      <c r="E12" s="38" t="s">
        <v>234</v>
      </c>
      <c r="F12" s="38"/>
      <c r="G12" s="38"/>
      <c r="H12" s="38"/>
      <c r="I12" s="38"/>
      <c r="J12" s="38" t="s">
        <v>235</v>
      </c>
      <c r="K12" s="38" t="s">
        <v>236</v>
      </c>
      <c r="L12" s="38" t="s">
        <v>152</v>
      </c>
      <c r="M12" s="38"/>
      <c r="N12" s="38"/>
      <c r="O12" s="38">
        <v>10</v>
      </c>
      <c r="P12" s="38"/>
      <c r="Q12" s="38"/>
      <c r="R12" s="38"/>
      <c r="S12" s="38"/>
      <c r="T12" s="38">
        <v>10</v>
      </c>
      <c r="U12" s="38"/>
      <c r="V12" s="38"/>
      <c r="W12" s="38"/>
      <c r="X12" s="38">
        <v>10</v>
      </c>
      <c r="Y12" s="38"/>
      <c r="Z12" s="38"/>
      <c r="AA12" s="38"/>
      <c r="AB12" s="38"/>
      <c r="AC12" s="38"/>
      <c r="AD12" s="38">
        <v>100</v>
      </c>
      <c r="AE12" s="38"/>
      <c r="AF12" s="38"/>
      <c r="AG12" s="38" t="s">
        <v>151</v>
      </c>
      <c r="AH12" s="38" t="s">
        <v>152</v>
      </c>
    </row>
    <row r="13" spans="1:34" ht="15" x14ac:dyDescent="0.25">
      <c r="A13" s="38">
        <v>12351696423</v>
      </c>
      <c r="B13" s="38">
        <v>396432108</v>
      </c>
      <c r="C13" s="39">
        <v>44221.546898148146</v>
      </c>
      <c r="D13" s="39">
        <v>44221.548263888886</v>
      </c>
      <c r="E13" s="38" t="s">
        <v>237</v>
      </c>
      <c r="F13" s="38"/>
      <c r="G13" s="38"/>
      <c r="H13" s="38"/>
      <c r="I13" s="38"/>
      <c r="J13" s="38" t="s">
        <v>238</v>
      </c>
      <c r="K13" s="38" t="s">
        <v>239</v>
      </c>
      <c r="L13" s="38" t="s">
        <v>170</v>
      </c>
      <c r="M13" s="38" t="s">
        <v>9</v>
      </c>
      <c r="N13" s="38" t="s">
        <v>240</v>
      </c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 t="s">
        <v>188</v>
      </c>
      <c r="AH13" s="38" t="s">
        <v>152</v>
      </c>
    </row>
    <row r="14" spans="1:34" ht="15" x14ac:dyDescent="0.25">
      <c r="A14" s="38">
        <v>12351684281</v>
      </c>
      <c r="B14" s="38">
        <v>396432108</v>
      </c>
      <c r="C14" s="39">
        <v>44221.543090277781</v>
      </c>
      <c r="D14" s="39">
        <v>44221.543888888889</v>
      </c>
      <c r="E14" s="38" t="s">
        <v>237</v>
      </c>
      <c r="F14" s="38"/>
      <c r="G14" s="38"/>
      <c r="H14" s="38"/>
      <c r="I14" s="38"/>
      <c r="J14" s="38" t="s">
        <v>241</v>
      </c>
      <c r="K14" s="38" t="s">
        <v>239</v>
      </c>
      <c r="L14" s="38" t="s">
        <v>152</v>
      </c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</row>
    <row r="15" spans="1:34" ht="15" x14ac:dyDescent="0.25">
      <c r="A15" s="38">
        <v>12351414425</v>
      </c>
      <c r="B15" s="38">
        <v>396432108</v>
      </c>
      <c r="C15" s="39">
        <v>44221.447905092595</v>
      </c>
      <c r="D15" s="39">
        <v>44221.453032407408</v>
      </c>
      <c r="E15" s="38" t="s">
        <v>242</v>
      </c>
      <c r="F15" s="38"/>
      <c r="G15" s="38"/>
      <c r="H15" s="38"/>
      <c r="I15" s="38"/>
      <c r="J15" s="38" t="s">
        <v>243</v>
      </c>
      <c r="K15" s="38" t="s">
        <v>244</v>
      </c>
      <c r="L15" s="38" t="s">
        <v>152</v>
      </c>
      <c r="M15" s="38"/>
      <c r="N15" s="38"/>
      <c r="O15" s="38">
        <v>188</v>
      </c>
      <c r="P15" s="38"/>
      <c r="Q15" s="38"/>
      <c r="R15" s="38"/>
      <c r="S15" s="38"/>
      <c r="T15" s="38"/>
      <c r="U15" s="38"/>
      <c r="V15" s="38"/>
      <c r="W15" s="38">
        <v>188</v>
      </c>
      <c r="X15" s="38">
        <v>188</v>
      </c>
      <c r="Y15" s="38"/>
      <c r="Z15" s="38"/>
      <c r="AA15" s="38"/>
      <c r="AB15" s="38"/>
      <c r="AC15" s="38"/>
      <c r="AD15" s="38">
        <v>100</v>
      </c>
      <c r="AE15" s="38"/>
      <c r="AF15" s="38"/>
      <c r="AG15" s="38" t="s">
        <v>169</v>
      </c>
      <c r="AH15" s="38" t="s">
        <v>170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3DB74-F801-4CD1-A634-B12A0D17CFDF}">
  <sheetPr>
    <tabColor theme="5" tint="-0.249977111117893"/>
  </sheetPr>
  <dimension ref="A1:AE57"/>
  <sheetViews>
    <sheetView showGridLines="0" workbookViewId="0">
      <selection activeCell="B22" sqref="B22"/>
    </sheetView>
  </sheetViews>
  <sheetFormatPr defaultRowHeight="12.75" x14ac:dyDescent="0.2"/>
  <cols>
    <col min="1" max="1" width="22.140625" customWidth="1"/>
    <col min="2" max="2" width="72.140625" customWidth="1"/>
    <col min="3" max="3" width="8.140625" style="12" customWidth="1"/>
    <col min="4" max="6" width="22.140625" customWidth="1"/>
    <col min="7" max="7" width="15.7109375" customWidth="1"/>
    <col min="8" max="8" width="21.42578125" bestFit="1" customWidth="1"/>
    <col min="9" max="10" width="21.42578125" customWidth="1"/>
    <col min="11" max="11" width="8.85546875" customWidth="1"/>
    <col min="12" max="12" width="15.7109375" customWidth="1"/>
    <col min="13" max="13" width="15.85546875" customWidth="1"/>
    <col min="14" max="14" width="22.140625" customWidth="1"/>
    <col min="15" max="15" width="17.42578125" customWidth="1"/>
    <col min="16" max="16" width="14.28515625" customWidth="1"/>
    <col min="17" max="17" width="11.140625" customWidth="1"/>
    <col min="18" max="18" width="15.140625" customWidth="1"/>
    <col min="21" max="21" width="9.5703125" customWidth="1"/>
    <col min="23" max="23" width="15.5703125" customWidth="1"/>
    <col min="24" max="24" width="16" customWidth="1"/>
    <col min="26" max="26" width="18.140625" customWidth="1"/>
    <col min="27" max="27" width="20.85546875" customWidth="1"/>
    <col min="28" max="28" width="18.5703125" customWidth="1"/>
    <col min="30" max="30" width="14.7109375" customWidth="1"/>
    <col min="31" max="31" width="11" customWidth="1"/>
  </cols>
  <sheetData>
    <row r="1" spans="1:31" s="2" customFormat="1" ht="14.25" thickTop="1" thickBot="1" x14ac:dyDescent="0.25">
      <c r="A1" s="1" t="s">
        <v>32</v>
      </c>
      <c r="B1" s="2" t="s">
        <v>33</v>
      </c>
      <c r="C1" s="3" t="s">
        <v>2</v>
      </c>
      <c r="D1" s="2" t="s">
        <v>34</v>
      </c>
      <c r="E1" s="2" t="s">
        <v>5</v>
      </c>
      <c r="F1" s="2" t="s">
        <v>35</v>
      </c>
      <c r="G1" s="2" t="s">
        <v>7</v>
      </c>
      <c r="H1" s="2" t="s">
        <v>8</v>
      </c>
      <c r="I1" s="2" t="s">
        <v>20</v>
      </c>
      <c r="J1" s="2" t="s">
        <v>10</v>
      </c>
      <c r="K1" s="4" t="s">
        <v>11</v>
      </c>
      <c r="L1" s="2" t="s">
        <v>36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37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38</v>
      </c>
      <c r="AD1" s="2" t="s">
        <v>30</v>
      </c>
      <c r="AE1" s="2" t="s">
        <v>31</v>
      </c>
    </row>
    <row r="2" spans="1:31" ht="14.25" thickTop="1" thickBot="1" x14ac:dyDescent="0.25">
      <c r="A2" s="9" t="str">
        <f>IF(OR(ISTEXT([1]FoFsmonkeyCompl!J3),ISNUMBER([1]FoFsmonkeyCompl!J3)),[1]FoFsmonkeyCompl!J3,"")</f>
        <v>CBRE Global Investors</v>
      </c>
      <c r="B2" s="6" t="str">
        <f>IF(OR(ISTEXT([1]FoFsmonkeyCompl!K3),ISNUMBER([1]FoFsmonkeyCompl!K3)),[1]FoFsmonkeyCompl!K3,"")</f>
        <v>Global Alpha</v>
      </c>
      <c r="C2">
        <v>17454</v>
      </c>
      <c r="D2" s="6" t="str">
        <f>IFERROR(INDEX([1]FundOfFundsUniverse!$B$2:$EU$80,MATCH(FoFanalysis[[#This Row],[ID]],[1]FundOfFundsUniverse!$A$2:$A$80,0),MATCH(FoFanalysis[[#Headers],[Manager Defined Style]],[1]FundOfFundsUniverse!$B$1:$EU$1,0)),"")</f>
        <v>Core</v>
      </c>
      <c r="E2" s="6" t="str">
        <f>IFERROR(INDEX([1]FundOfFundsUniverse!$B$2:$EU$80,MATCH(FoFanalysis[[#This Row],[ID]],[1]FundOfFundsUniverse!$A$2:$A$80,0),MATCH(FoFanalysis[[#Headers],[Vehicle Structure]],[1]FundOfFundsUniverse!$B$1:$EU$1,0)),"")</f>
        <v>Open end</v>
      </c>
      <c r="F2" s="6">
        <f>IFERROR(INDEX([1]FundOfFundsUniverse!$B$2:$EU$80,MATCH(FoFanalysis[[#This Row],[ID]],[1]FundOfFundsUniverse!$A$2:$A$80,0),MATCH(FoFanalysis[[#Headers],[Year of first closing]],[1]FundOfFundsUniverse!$B$1:$EU$1,0)),"")</f>
        <v>2010</v>
      </c>
      <c r="G2" s="6" t="str">
        <f>IF(ISBLANK([1]FoFsmonkeyCompl!L3),"",[1]FoFsmonkeyCompl!L3)</f>
        <v>Yes</v>
      </c>
      <c r="H2" s="6" t="str">
        <f>IF(ISBLANK([1]FoFsmonkeyCompl!M3),"",[1]FoFsmonkeyCompl!M3)</f>
        <v/>
      </c>
      <c r="I2" s="6" t="str">
        <f>IF(ISBLANK([1]FoFsmonkeyCompl!N3),"",[1]FoFsmonkeyCompl!N3)</f>
        <v/>
      </c>
      <c r="J2" s="6" t="str">
        <f>IFERROR(INDEX([1]FundOfFundsUniverse!$B$2:$EU$80,MATCH(FoFanalysis[[#This Row],[ID]],[1]FundOfFundsUniverse!$A$2:$A$80,0),MATCH(FoFanalysis[[#Headers],[Currency of Reporting]],[1]FundOfFundsUniverse!$B$1:$EU$1,0)),"")</f>
        <v>USD</v>
      </c>
      <c r="K2" s="11">
        <f>VLOOKUP(FoFanalysis[[#This Row],[Currency of Reporting]],'[1]Xrate31.12.20'!$K$1:$M$25,3,0)</f>
        <v>0.81541286290000004</v>
      </c>
      <c r="L2" s="11">
        <f>IFERROR(IF(ISBLANK([1]FoFsmonkeyCompl!O3),"",[1]FoFsmonkeyCompl!O3*FoFanalysis[[#This Row],[EUR]]),"")</f>
        <v>334.31927378900002</v>
      </c>
      <c r="M2" s="8">
        <f>IFERROR(IF(ISBLANK([1]FoFsmonkeyCompl!P3),"",[1]FoFsmonkeyCompl!P3*FoFanalysis[[#This Row],[EUR]]),"")</f>
        <v>307.41064931330004</v>
      </c>
      <c r="N2" s="8">
        <f>IFERROR(IF(ISBLANK([1]FoFsmonkeyCompl!Q3),"",[1]FoFsmonkeyCompl!Q3*FoFanalysis[[#This Row],[EUR]]),"")</f>
        <v>18.754495846699999</v>
      </c>
      <c r="O2" s="8" t="str">
        <f>IFERROR(IF(ISBLANK([1]FoFsmonkeyCompl!R3),"",[1]FoFsmonkeyCompl!R3*FoFanalysis[[#This Row],[EUR]]),"")</f>
        <v/>
      </c>
      <c r="P2" s="8" t="str">
        <f>IFERROR(IF(ISBLANK([1]FoFsmonkeyCompl!S3),"",[1]FoFsmonkeyCompl!S3*FoFanalysis[[#This Row],[EUR]]),"")</f>
        <v/>
      </c>
      <c r="Q2" s="8" t="str">
        <f>IFERROR(IF(ISBLANK([1]FoFsmonkeyCompl!T3),"",[1]FoFsmonkeyCompl!T3*FoFanalysis[[#This Row],[EUR]]),"")</f>
        <v/>
      </c>
      <c r="R2" s="8" t="str">
        <f>IFERROR(IF(ISBLANK([1]FoFsmonkeyCompl!U3),"",[1]FoFsmonkeyCompl!U3*FoFanalysis[[#This Row],[EUR]]),"")</f>
        <v/>
      </c>
      <c r="S2" s="8" t="str">
        <f>IFERROR(IF(ISBLANK([1]FoFsmonkeyCompl!V3),"",[1]FoFsmonkeyCompl!V3*FoFanalysis[[#This Row],[EUR]]),"")</f>
        <v/>
      </c>
      <c r="T2" s="8">
        <f>IFERROR(IF(ISBLANK([1]FoFsmonkeyCompl!W3),"",[1]FoFsmonkeyCompl!W3*FoFanalysis[[#This Row],[EUR]]),"")</f>
        <v>8.1541286290000006</v>
      </c>
      <c r="U2" s="8">
        <f>IFERROR(IF(ISBLANK([1]FoFsmonkeyCompl!X3),"",[1]FoFsmonkeyCompl!X3*FoFanalysis[[#This Row],[EUR]]),"")</f>
        <v>174.49835266060001</v>
      </c>
      <c r="V2" s="8">
        <f>IFERROR(IF(ISBLANK([1]FoFsmonkeyCompl!Y3),"",[1]FoFsmonkeyCompl!Y3*FoFanalysis[[#This Row],[EUR]]),"")</f>
        <v>20.385321572500001</v>
      </c>
      <c r="W2" s="8">
        <f>IFERROR(IF(ISBLANK([1]FoFsmonkeyCompl!Z3),"",[1]FoFsmonkeyCompl!Z3*FoFanalysis[[#This Row],[EUR]]),"")</f>
        <v>46.478533185300002</v>
      </c>
      <c r="X2" s="8" t="str">
        <f>IFERROR(IF(ISBLANK([1]FoFsmonkeyCompl!AA3),"",[1]FoFsmonkeyCompl!AA3*FoFanalysis[[#This Row],[EUR]]),"")</f>
        <v/>
      </c>
      <c r="Y2" s="8" t="str">
        <f>IFERROR(IF(ISBLANK([1]FoFsmonkeyCompl!AB3),"",[1]FoFsmonkeyCompl!AB3*FoFanalysis[[#This Row],[EUR]]),"")</f>
        <v/>
      </c>
      <c r="Z2" s="8" t="str">
        <f>IFERROR(IF(ISBLANK([1]FoFsmonkeyCompl!AC3),"",[1]FoFsmonkeyCompl!AC3),"")</f>
        <v/>
      </c>
      <c r="AA2" s="8" t="str">
        <f>IFERROR(IF(ISBLANK([1]FoFsmonkeyCompl!AD3),"",[1]FoFsmonkeyCompl!AD3),"")</f>
        <v/>
      </c>
      <c r="AB2" s="8">
        <f>IFERROR(IF(ISBLANK([1]FoFsmonkeyCompl!AE3),"",[1]FoFsmonkeyCompl!AE3),"")</f>
        <v>100</v>
      </c>
      <c r="AC2" s="8" t="str">
        <f>IFERROR(IF(ISBLANK([1]FoFsmonkeyCompl!AF3),"",[1]FoFsmonkeyCompl!AF3),"")</f>
        <v/>
      </c>
      <c r="AD2" s="8" t="str">
        <f>IFERROR(IF(ISBLANK([1]FoFsmonkeyCompl!AG3),"",[1]FoFsmonkeyCompl!AG3),"")</f>
        <v>Increase</v>
      </c>
      <c r="AE2" s="8" t="str">
        <f>IFERROR(IF(ISBLANK([1]FoFsmonkeyCompl!AH3),"",[1]FoFsmonkeyCompl!AH3),"")</f>
        <v>Yes</v>
      </c>
    </row>
    <row r="3" spans="1:31" ht="14.25" thickTop="1" thickBot="1" x14ac:dyDescent="0.25">
      <c r="A3" s="5" t="str">
        <f>IF(OR(ISTEXT([1]FoFsmonkeyCompl!J4),ISNUMBER([1]FoFsmonkeyCompl!J4)),[1]FoFsmonkeyCompl!J4,"")</f>
        <v>UBS Asset Management</v>
      </c>
      <c r="B3" s="6" t="str">
        <f>IF(OR(ISTEXT([1]FoFsmonkeyCompl!K4),ISNUMBER([1]FoFsmonkeyCompl!K4)),[1]FoFsmonkeyCompl!K4,"")</f>
        <v>US Global Real Estate Funds Selection LP</v>
      </c>
      <c r="C3" s="7">
        <v>108365</v>
      </c>
      <c r="D3" s="6" t="str">
        <f>IFERROR(INDEX([1]FundOfFundsUniverse!$B$2:$EU$80,MATCH(FoFanalysis[[#This Row],[ID]],[1]FundOfFundsUniverse!$A$2:$A$80,0),MATCH(FoFanalysis[[#Headers],[Manager Defined Style]],[1]FundOfFundsUniverse!$B$1:$EU$1,0)),"")</f>
        <v>Core</v>
      </c>
      <c r="E3" s="6" t="str">
        <f>IFERROR(INDEX([1]FundOfFundsUniverse!$B$2:$EU$80,MATCH(FoFanalysis[[#This Row],[ID]],[1]FundOfFundsUniverse!$A$2:$A$80,0),MATCH(FoFanalysis[[#Headers],[Vehicle Structure]],[1]FundOfFundsUniverse!$B$1:$EU$1,0)),"")</f>
        <v>Closed end</v>
      </c>
      <c r="F3" s="6">
        <f>IFERROR(INDEX([1]FundOfFundsUniverse!$B$2:$EU$80,MATCH(FoFanalysis[[#This Row],[ID]],[1]FundOfFundsUniverse!$A$2:$A$80,0),MATCH(FoFanalysis[[#Headers],[Year of first closing]],[1]FundOfFundsUniverse!$B$1:$EU$1,0)),"")</f>
        <v>2020</v>
      </c>
      <c r="G3" s="6" t="str">
        <f>IF(ISBLANK([1]FoFsmonkeyCompl!L4),"",[1]FoFsmonkeyCompl!L4)</f>
        <v>Yes</v>
      </c>
      <c r="H3" s="6" t="str">
        <f>IF(ISBLANK([1]FoFsmonkeyCompl!M4),"",[1]FoFsmonkeyCompl!M4)</f>
        <v/>
      </c>
      <c r="I3" s="6" t="str">
        <f>IF(ISBLANK([1]FoFsmonkeyCompl!N4),"",[1]FoFsmonkeyCompl!N4)</f>
        <v/>
      </c>
      <c r="J3" s="6" t="str">
        <f>IFERROR(INDEX([1]FundOfFundsUniverse!$B$2:$EU$80,MATCH(FoFanalysis[[#This Row],[ID]],[1]FundOfFundsUniverse!$A$2:$A$80,0),MATCH(FoFanalysis[[#Headers],[Currency of Reporting]],[1]FundOfFundsUniverse!$B$1:$EU$1,0)),"")</f>
        <v>EUR</v>
      </c>
      <c r="K3" s="11">
        <f>VLOOKUP(FoFanalysis[[#This Row],[Currency of Reporting]],'[1]Xrate31.12.20'!$K$1:$M$25,3,0)</f>
        <v>1</v>
      </c>
      <c r="L3" s="11">
        <f>IFERROR(IF(ISBLANK([1]FoFsmonkeyCompl!O4),"",[1]FoFsmonkeyCompl!O4*FoFanalysis[[#This Row],[EUR]]),"")</f>
        <v>112</v>
      </c>
      <c r="M3" s="8" t="str">
        <f>IFERROR(IF(ISBLANK([1]FoFsmonkeyCompl!P4),"",[1]FoFsmonkeyCompl!P4*FoFanalysis[[#This Row],[EUR]]),"")</f>
        <v/>
      </c>
      <c r="N3" s="8" t="str">
        <f>IFERROR(IF(ISBLANK([1]FoFsmonkeyCompl!Q4),"",[1]FoFsmonkeyCompl!Q4*FoFanalysis[[#This Row],[EUR]]),"")</f>
        <v/>
      </c>
      <c r="O3" s="8" t="str">
        <f>IFERROR(IF(ISBLANK([1]FoFsmonkeyCompl!R4),"",[1]FoFsmonkeyCompl!R4*FoFanalysis[[#This Row],[EUR]]),"")</f>
        <v/>
      </c>
      <c r="P3" s="8" t="str">
        <f>IFERROR(IF(ISBLANK([1]FoFsmonkeyCompl!S4),"",[1]FoFsmonkeyCompl!S4*FoFanalysis[[#This Row],[EUR]]),"")</f>
        <v/>
      </c>
      <c r="Q3" s="8" t="str">
        <f>IFERROR(IF(ISBLANK([1]FoFsmonkeyCompl!T4),"",[1]FoFsmonkeyCompl!T4*FoFanalysis[[#This Row],[EUR]]),"")</f>
        <v/>
      </c>
      <c r="R3" s="8" t="str">
        <f>IFERROR(IF(ISBLANK([1]FoFsmonkeyCompl!U4),"",[1]FoFsmonkeyCompl!U4*FoFanalysis[[#This Row],[EUR]]),"")</f>
        <v/>
      </c>
      <c r="S3" s="8">
        <f>IFERROR(IF(ISBLANK([1]FoFsmonkeyCompl!V4),"",[1]FoFsmonkeyCompl!V4*FoFanalysis[[#This Row],[EUR]]),"")</f>
        <v>112</v>
      </c>
      <c r="T3" s="8" t="str">
        <f>IFERROR(IF(ISBLANK([1]FoFsmonkeyCompl!W4),"",[1]FoFsmonkeyCompl!W4*FoFanalysis[[#This Row],[EUR]]),"")</f>
        <v/>
      </c>
      <c r="U3" s="8" t="str">
        <f>IFERROR(IF(ISBLANK([1]FoFsmonkeyCompl!X4),"",[1]FoFsmonkeyCompl!X4*FoFanalysis[[#This Row],[EUR]]),"")</f>
        <v/>
      </c>
      <c r="V3" s="8" t="str">
        <f>IFERROR(IF(ISBLANK([1]FoFsmonkeyCompl!Y4),"",[1]FoFsmonkeyCompl!Y4*FoFanalysis[[#This Row],[EUR]]),"")</f>
        <v/>
      </c>
      <c r="W3" s="8">
        <f>IFERROR(IF(ISBLANK([1]FoFsmonkeyCompl!Z4),"",[1]FoFsmonkeyCompl!Z4*FoFanalysis[[#This Row],[EUR]]),"")</f>
        <v>112</v>
      </c>
      <c r="X3" s="8" t="str">
        <f>IFERROR(IF(ISBLANK([1]FoFsmonkeyCompl!AA4),"",[1]FoFsmonkeyCompl!AA4*FoFanalysis[[#This Row],[EUR]]),"")</f>
        <v/>
      </c>
      <c r="Y3" s="8" t="str">
        <f>IFERROR(IF(ISBLANK([1]FoFsmonkeyCompl!AB4),"",[1]FoFsmonkeyCompl!AB4*FoFanalysis[[#This Row],[EUR]]),"")</f>
        <v/>
      </c>
      <c r="Z3" s="8" t="str">
        <f>IFERROR(IF(ISBLANK([1]FoFsmonkeyCompl!AC4),"",[1]FoFsmonkeyCompl!AC4),"")</f>
        <v/>
      </c>
      <c r="AA3" s="8" t="str">
        <f>IFERROR(IF(ISBLANK([1]FoFsmonkeyCompl!AD4),"",[1]FoFsmonkeyCompl!AD4),"")</f>
        <v/>
      </c>
      <c r="AB3" s="8">
        <f>IFERROR(IF(ISBLANK([1]FoFsmonkeyCompl!AE4),"",[1]FoFsmonkeyCompl!AE4),"")</f>
        <v>100</v>
      </c>
      <c r="AC3" s="8" t="str">
        <f>IFERROR(IF(ISBLANK([1]FoFsmonkeyCompl!AF4),"",[1]FoFsmonkeyCompl!AF4),"")</f>
        <v/>
      </c>
      <c r="AD3" s="8" t="str">
        <f>IFERROR(IF(ISBLANK([1]FoFsmonkeyCompl!AG4),"",[1]FoFsmonkeyCompl!AG4),"")</f>
        <v>Increase</v>
      </c>
      <c r="AE3" s="8" t="str">
        <f>IFERROR(IF(ISBLANK([1]FoFsmonkeyCompl!AH4),"",[1]FoFsmonkeyCompl!AH4),"")</f>
        <v>Yes</v>
      </c>
    </row>
    <row r="4" spans="1:31" ht="14.25" thickTop="1" thickBot="1" x14ac:dyDescent="0.25">
      <c r="A4" s="9" t="str">
        <f>IF(OR(ISTEXT([1]FoFsmonkeyCompl!J5),ISNUMBER([1]FoFsmonkeyCompl!J5)),[1]FoFsmonkeyCompl!J5,"")</f>
        <v>UBS Asset Management</v>
      </c>
      <c r="B4" s="6" t="str">
        <f>IF(OR(ISTEXT([1]FoFsmonkeyCompl!K5),ISNUMBER([1]FoFsmonkeyCompl!K5)),[1]FoFsmonkeyCompl!K5,"")</f>
        <v>UBS AST 3 Global Real Estate (ex CH)</v>
      </c>
      <c r="C4">
        <v>17443</v>
      </c>
      <c r="D4" s="6" t="str">
        <f>IFERROR(INDEX([1]FundOfFundsUniverse!$B$2:$EU$80,MATCH(FoFanalysis[[#This Row],[ID]],[1]FundOfFundsUniverse!$A$2:$A$80,0),MATCH(FoFanalysis[[#Headers],[Manager Defined Style]],[1]FundOfFundsUniverse!$B$1:$EU$1,0)),"")</f>
        <v>Core</v>
      </c>
      <c r="E4" s="6" t="str">
        <f>IFERROR(INDEX([1]FundOfFundsUniverse!$B$2:$EU$80,MATCH(FoFanalysis[[#This Row],[ID]],[1]FundOfFundsUniverse!$A$2:$A$80,0),MATCH(FoFanalysis[[#Headers],[Vehicle Structure]],[1]FundOfFundsUniverse!$B$1:$EU$1,0)),"")</f>
        <v>Open end</v>
      </c>
      <c r="F4" s="6">
        <f>IFERROR(INDEX([1]FundOfFundsUniverse!$B$2:$EU$80,MATCH(FoFanalysis[[#This Row],[ID]],[1]FundOfFundsUniverse!$A$2:$A$80,0),MATCH(FoFanalysis[[#Headers],[Year of first closing]],[1]FundOfFundsUniverse!$B$1:$EU$1,0)),"")</f>
        <v>2011</v>
      </c>
      <c r="G4" s="6" t="str">
        <f>IF(ISBLANK([1]FoFsmonkeyCompl!L5),"",[1]FoFsmonkeyCompl!L5)</f>
        <v>Yes</v>
      </c>
      <c r="H4" s="6" t="str">
        <f>IF(ISBLANK([1]FoFsmonkeyCompl!M5),"",[1]FoFsmonkeyCompl!M5)</f>
        <v/>
      </c>
      <c r="I4" s="6" t="str">
        <f>IF(ISBLANK([1]FoFsmonkeyCompl!N5),"",[1]FoFsmonkeyCompl!N5)</f>
        <v/>
      </c>
      <c r="J4" s="6" t="str">
        <f>IFERROR(INDEX([1]FundOfFundsUniverse!$B$2:$EU$80,MATCH(FoFanalysis[[#This Row],[ID]],[1]FundOfFundsUniverse!$A$2:$A$80,0),MATCH(FoFanalysis[[#Headers],[Currency of Reporting]],[1]FundOfFundsUniverse!$B$1:$EU$1,0)),"")</f>
        <v>CHF</v>
      </c>
      <c r="K4" s="11">
        <f>VLOOKUP(FoFanalysis[[#This Row],[Currency of Reporting]],'[1]Xrate31.12.20'!$K$1:$M$25,3,0)</f>
        <v>0.92402414590000004</v>
      </c>
      <c r="L4" s="11">
        <f>IFERROR(IF(ISBLANK([1]FoFsmonkeyCompl!O5),"",[1]FoFsmonkeyCompl!O5*FoFanalysis[[#This Row],[EUR]]),"")</f>
        <v>170.0204428456</v>
      </c>
      <c r="M4" s="8">
        <f>IFERROR(IF(ISBLANK([1]FoFsmonkeyCompl!P5),"",[1]FoFsmonkeyCompl!P5*FoFanalysis[[#This Row],[EUR]]),"")</f>
        <v>170.0204428456</v>
      </c>
      <c r="N4" s="8" t="str">
        <f>IFERROR(IF(ISBLANK([1]FoFsmonkeyCompl!Q5),"",[1]FoFsmonkeyCompl!Q5*FoFanalysis[[#This Row],[EUR]]),"")</f>
        <v/>
      </c>
      <c r="O4" s="8" t="str">
        <f>IFERROR(IF(ISBLANK([1]FoFsmonkeyCompl!R5),"",[1]FoFsmonkeyCompl!R5*FoFanalysis[[#This Row],[EUR]]),"")</f>
        <v/>
      </c>
      <c r="P4" s="8" t="str">
        <f>IFERROR(IF(ISBLANK([1]FoFsmonkeyCompl!S5),"",[1]FoFsmonkeyCompl!S5*FoFanalysis[[#This Row],[EUR]]),"")</f>
        <v/>
      </c>
      <c r="Q4" s="8" t="str">
        <f>IFERROR(IF(ISBLANK([1]FoFsmonkeyCompl!T5),"",[1]FoFsmonkeyCompl!T5*FoFanalysis[[#This Row],[EUR]]),"")</f>
        <v/>
      </c>
      <c r="R4" s="8" t="str">
        <f>IFERROR(IF(ISBLANK([1]FoFsmonkeyCompl!U5),"",[1]FoFsmonkeyCompl!U5*FoFanalysis[[#This Row],[EUR]]),"")</f>
        <v/>
      </c>
      <c r="S4" s="8" t="str">
        <f>IFERROR(IF(ISBLANK([1]FoFsmonkeyCompl!V5),"",[1]FoFsmonkeyCompl!V5*FoFanalysis[[#This Row],[EUR]]),"")</f>
        <v/>
      </c>
      <c r="T4" s="8" t="str">
        <f>IFERROR(IF(ISBLANK([1]FoFsmonkeyCompl!W5),"",[1]FoFsmonkeyCompl!W5*FoFanalysis[[#This Row],[EUR]]),"")</f>
        <v/>
      </c>
      <c r="U4" s="8">
        <f>IFERROR(IF(ISBLANK([1]FoFsmonkeyCompl!X5),"",[1]FoFsmonkeyCompl!X5*FoFanalysis[[#This Row],[EUR]]),"")</f>
        <v>170.0204428456</v>
      </c>
      <c r="V4" s="8" t="str">
        <f>IFERROR(IF(ISBLANK([1]FoFsmonkeyCompl!Y5),"",[1]FoFsmonkeyCompl!Y5*FoFanalysis[[#This Row],[EUR]]),"")</f>
        <v/>
      </c>
      <c r="W4" s="8" t="str">
        <f>IFERROR(IF(ISBLANK([1]FoFsmonkeyCompl!Z5),"",[1]FoFsmonkeyCompl!Z5*FoFanalysis[[#This Row],[EUR]]),"")</f>
        <v/>
      </c>
      <c r="X4" s="8" t="str">
        <f>IFERROR(IF(ISBLANK([1]FoFsmonkeyCompl!AA5),"",[1]FoFsmonkeyCompl!AA5*FoFanalysis[[#This Row],[EUR]]),"")</f>
        <v/>
      </c>
      <c r="Y4" s="8" t="str">
        <f>IFERROR(IF(ISBLANK([1]FoFsmonkeyCompl!AB5),"",[1]FoFsmonkeyCompl!AB5*FoFanalysis[[#This Row],[EUR]]),"")</f>
        <v/>
      </c>
      <c r="Z4" s="8" t="str">
        <f>IFERROR(IF(ISBLANK([1]FoFsmonkeyCompl!AC5),"",[1]FoFsmonkeyCompl!AC5),"")</f>
        <v/>
      </c>
      <c r="AA4" s="8" t="str">
        <f>IFERROR(IF(ISBLANK([1]FoFsmonkeyCompl!AD5),"",[1]FoFsmonkeyCompl!AD5),"")</f>
        <v/>
      </c>
      <c r="AB4" s="8">
        <f>IFERROR(IF(ISBLANK([1]FoFsmonkeyCompl!AE5),"",[1]FoFsmonkeyCompl!AE5),"")</f>
        <v>100</v>
      </c>
      <c r="AC4" s="8" t="str">
        <f>IFERROR(IF(ISBLANK([1]FoFsmonkeyCompl!AF5),"",[1]FoFsmonkeyCompl!AF5),"")</f>
        <v/>
      </c>
      <c r="AD4" s="8" t="str">
        <f>IFERROR(IF(ISBLANK([1]FoFsmonkeyCompl!AG5),"",[1]FoFsmonkeyCompl!AG5),"")</f>
        <v>Increase</v>
      </c>
      <c r="AE4" s="8" t="str">
        <f>IFERROR(IF(ISBLANK([1]FoFsmonkeyCompl!AH5),"",[1]FoFsmonkeyCompl!AH5),"")</f>
        <v>Yes</v>
      </c>
    </row>
    <row r="5" spans="1:31" ht="14.25" thickTop="1" thickBot="1" x14ac:dyDescent="0.25">
      <c r="A5" s="5" t="str">
        <f>IF(OR(ISTEXT([1]FoFsmonkeyCompl!J6),ISNUMBER([1]FoFsmonkeyCompl!J6)),[1]FoFsmonkeyCompl!J6,"")</f>
        <v>Helaba Invest</v>
      </c>
      <c r="B5" s="6" t="str">
        <f>IF(OR(ISTEXT([1]FoFsmonkeyCompl!K6),ISNUMBER([1]FoFsmonkeyCompl!K6)),[1]FoFsmonkeyCompl!K6,"")</f>
        <v>HI-Immobilien-Multi Manager-Fonds IV</v>
      </c>
      <c r="C5" s="7">
        <v>114441</v>
      </c>
      <c r="D5" s="6" t="str">
        <f>IFERROR(INDEX([1]FundOfFundsUniverse!$B$2:$EU$80,MATCH(FoFanalysis[[#This Row],[ID]],[1]FundOfFundsUniverse!$A$2:$A$80,0),MATCH(FoFanalysis[[#Headers],[Manager Defined Style]],[1]FundOfFundsUniverse!$B$1:$EU$1,0)),"")</f>
        <v>Core</v>
      </c>
      <c r="E5" s="6" t="str">
        <f>IFERROR(INDEX([1]FundOfFundsUniverse!$B$2:$EU$80,MATCH(FoFanalysis[[#This Row],[ID]],[1]FundOfFundsUniverse!$A$2:$A$80,0),MATCH(FoFanalysis[[#Headers],[Vehicle Structure]],[1]FundOfFundsUniverse!$B$1:$EU$1,0)),"")</f>
        <v>Closed end</v>
      </c>
      <c r="F5" s="6">
        <f>IFERROR(INDEX([1]FundOfFundsUniverse!$B$2:$EU$80,MATCH(FoFanalysis[[#This Row],[ID]],[1]FundOfFundsUniverse!$A$2:$A$80,0),MATCH(FoFanalysis[[#Headers],[Year of first closing]],[1]FundOfFundsUniverse!$B$1:$EU$1,0)),"")</f>
        <v>2020</v>
      </c>
      <c r="G5" s="6" t="str">
        <f>IF(ISBLANK([1]FoFsmonkeyCompl!L6),"",[1]FoFsmonkeyCompl!L6)</f>
        <v>Yes</v>
      </c>
      <c r="H5" s="6" t="str">
        <f>IF(ISBLANK([1]FoFsmonkeyCompl!M6),"",[1]FoFsmonkeyCompl!M6)</f>
        <v/>
      </c>
      <c r="I5" s="6" t="str">
        <f>IF(ISBLANK([1]FoFsmonkeyCompl!N6),"",[1]FoFsmonkeyCompl!N6)</f>
        <v/>
      </c>
      <c r="J5" s="6" t="str">
        <f>IFERROR(INDEX([1]FundOfFundsUniverse!$B$2:$EU$80,MATCH(FoFanalysis[[#This Row],[ID]],[1]FundOfFundsUniverse!$A$2:$A$80,0),MATCH(FoFanalysis[[#Headers],[Currency of Reporting]],[1]FundOfFundsUniverse!$B$1:$EU$1,0)),"")</f>
        <v>EUR</v>
      </c>
      <c r="K5" s="11">
        <f>VLOOKUP(FoFanalysis[[#This Row],[Currency of Reporting]],'[1]Xrate31.12.20'!$K$1:$M$25,3,0)</f>
        <v>1</v>
      </c>
      <c r="L5" s="11">
        <f>IFERROR(IF(ISBLANK([1]FoFsmonkeyCompl!O6),"",[1]FoFsmonkeyCompl!O6*FoFanalysis[[#This Row],[EUR]]),"")</f>
        <v>225</v>
      </c>
      <c r="M5" s="8">
        <f>IFERROR(IF(ISBLANK([1]FoFsmonkeyCompl!P6),"",[1]FoFsmonkeyCompl!P6*FoFanalysis[[#This Row],[EUR]]),"")</f>
        <v>71</v>
      </c>
      <c r="N5" s="8">
        <f>IFERROR(IF(ISBLANK([1]FoFsmonkeyCompl!Q6),"",[1]FoFsmonkeyCompl!Q6*FoFanalysis[[#This Row],[EUR]]),"")</f>
        <v>25</v>
      </c>
      <c r="O5" s="8" t="str">
        <f>IFERROR(IF(ISBLANK([1]FoFsmonkeyCompl!R6),"",[1]FoFsmonkeyCompl!R6*FoFanalysis[[#This Row],[EUR]]),"")</f>
        <v/>
      </c>
      <c r="P5" s="8" t="str">
        <f>IFERROR(IF(ISBLANK([1]FoFsmonkeyCompl!S6),"",[1]FoFsmonkeyCompl!S6*FoFanalysis[[#This Row],[EUR]]),"")</f>
        <v/>
      </c>
      <c r="Q5" s="8">
        <f>IFERROR(IF(ISBLANK([1]FoFsmonkeyCompl!T6),"",[1]FoFsmonkeyCompl!T6*FoFanalysis[[#This Row],[EUR]]),"")</f>
        <v>2</v>
      </c>
      <c r="R5" s="8" t="str">
        <f>IFERROR(IF(ISBLANK([1]FoFsmonkeyCompl!U6),"",[1]FoFsmonkeyCompl!U6*FoFanalysis[[#This Row],[EUR]]),"")</f>
        <v/>
      </c>
      <c r="S5" s="8" t="str">
        <f>IFERROR(IF(ISBLANK([1]FoFsmonkeyCompl!V6),"",[1]FoFsmonkeyCompl!V6*FoFanalysis[[#This Row],[EUR]]),"")</f>
        <v/>
      </c>
      <c r="T5" s="8">
        <f>IFERROR(IF(ISBLANK([1]FoFsmonkeyCompl!W6),"",[1]FoFsmonkeyCompl!W6*FoFanalysis[[#This Row],[EUR]]),"")</f>
        <v>127</v>
      </c>
      <c r="U5" s="8">
        <f>IFERROR(IF(ISBLANK([1]FoFsmonkeyCompl!X6),"",[1]FoFsmonkeyCompl!X6*FoFanalysis[[#This Row],[EUR]]),"")</f>
        <v>225</v>
      </c>
      <c r="V5" s="8" t="str">
        <f>IFERROR(IF(ISBLANK([1]FoFsmonkeyCompl!Y6),"",[1]FoFsmonkeyCompl!Y6*FoFanalysis[[#This Row],[EUR]]),"")</f>
        <v/>
      </c>
      <c r="W5" s="8" t="str">
        <f>IFERROR(IF(ISBLANK([1]FoFsmonkeyCompl!Z6),"",[1]FoFsmonkeyCompl!Z6*FoFanalysis[[#This Row],[EUR]]),"")</f>
        <v/>
      </c>
      <c r="X5" s="8" t="str">
        <f>IFERROR(IF(ISBLANK([1]FoFsmonkeyCompl!AA6),"",[1]FoFsmonkeyCompl!AA6*FoFanalysis[[#This Row],[EUR]]),"")</f>
        <v/>
      </c>
      <c r="Y5" s="8" t="str">
        <f>IFERROR(IF(ISBLANK([1]FoFsmonkeyCompl!AB6),"",[1]FoFsmonkeyCompl!AB6*FoFanalysis[[#This Row],[EUR]]),"")</f>
        <v/>
      </c>
      <c r="Z5" s="8" t="str">
        <f>IFERROR(IF(ISBLANK([1]FoFsmonkeyCompl!AC6),"",[1]FoFsmonkeyCompl!AC6),"")</f>
        <v/>
      </c>
      <c r="AA5" s="8" t="str">
        <f>IFERROR(IF(ISBLANK([1]FoFsmonkeyCompl!AD6),"",[1]FoFsmonkeyCompl!AD6),"")</f>
        <v/>
      </c>
      <c r="AB5" s="8">
        <f>IFERROR(IF(ISBLANK([1]FoFsmonkeyCompl!AE6),"",[1]FoFsmonkeyCompl!AE6),"")</f>
        <v>100</v>
      </c>
      <c r="AC5" s="8" t="str">
        <f>IFERROR(IF(ISBLANK([1]FoFsmonkeyCompl!AF6),"",[1]FoFsmonkeyCompl!AF6),"")</f>
        <v/>
      </c>
      <c r="AD5" s="8" t="str">
        <f>IFERROR(IF(ISBLANK([1]FoFsmonkeyCompl!AG6),"",[1]FoFsmonkeyCompl!AG6),"")</f>
        <v>No change</v>
      </c>
      <c r="AE5" s="8" t="str">
        <f>IFERROR(IF(ISBLANK([1]FoFsmonkeyCompl!AH6),"",[1]FoFsmonkeyCompl!AH6),"")</f>
        <v>Yes</v>
      </c>
    </row>
    <row r="6" spans="1:31" ht="14.25" thickTop="1" thickBot="1" x14ac:dyDescent="0.25">
      <c r="A6" s="9" t="str">
        <f>IF(OR(ISTEXT([1]FoFsmonkeyCompl!J7),ISNUMBER([1]FoFsmonkeyCompl!J7)),[1]FoFsmonkeyCompl!J7,"")</f>
        <v>UBS Asset Management</v>
      </c>
      <c r="B6" s="6" t="str">
        <f>IF(OR(ISTEXT([1]FoFsmonkeyCompl!K7),ISNUMBER([1]FoFsmonkeyCompl!K7)),[1]FoFsmonkeyCompl!K7,"")</f>
        <v>UBS (Lux) Real Estate Funds Selection - Global</v>
      </c>
      <c r="C6">
        <v>17439</v>
      </c>
      <c r="D6" s="6" t="str">
        <f>IFERROR(INDEX([1]FundOfFundsUniverse!$B$2:$EU$80,MATCH(FoFanalysis[[#This Row],[ID]],[1]FundOfFundsUniverse!$A$2:$A$80,0),MATCH(FoFanalysis[[#Headers],[Manager Defined Style]],[1]FundOfFundsUniverse!$B$1:$EU$1,0)),"")</f>
        <v>Core</v>
      </c>
      <c r="E6" s="6" t="str">
        <f>IFERROR(INDEX([1]FundOfFundsUniverse!$B$2:$EU$80,MATCH(FoFanalysis[[#This Row],[ID]],[1]FundOfFundsUniverse!$A$2:$A$80,0),MATCH(FoFanalysis[[#Headers],[Vehicle Structure]],[1]FundOfFundsUniverse!$B$1:$EU$1,0)),"")</f>
        <v>Open end</v>
      </c>
      <c r="F6" s="6">
        <f>IFERROR(INDEX([1]FundOfFundsUniverse!$B$2:$EU$80,MATCH(FoFanalysis[[#This Row],[ID]],[1]FundOfFundsUniverse!$A$2:$A$80,0),MATCH(FoFanalysis[[#Headers],[Year of first closing]],[1]FundOfFundsUniverse!$B$1:$EU$1,0)),"")</f>
        <v>2008</v>
      </c>
      <c r="G6" s="6" t="str">
        <f>IF(ISBLANK([1]FoFsmonkeyCompl!L7),"",[1]FoFsmonkeyCompl!L7)</f>
        <v>Yes</v>
      </c>
      <c r="H6" s="6" t="str">
        <f>IF(ISBLANK([1]FoFsmonkeyCompl!M7),"",[1]FoFsmonkeyCompl!M7)</f>
        <v/>
      </c>
      <c r="I6" s="6" t="str">
        <f>IF(ISBLANK([1]FoFsmonkeyCompl!N7),"",[1]FoFsmonkeyCompl!N7)</f>
        <v/>
      </c>
      <c r="J6" s="6" t="str">
        <f>IFERROR(INDEX([1]FundOfFundsUniverse!$B$2:$EU$80,MATCH(FoFanalysis[[#This Row],[ID]],[1]FundOfFundsUniverse!$A$2:$A$80,0),MATCH(FoFanalysis[[#Headers],[Currency of Reporting]],[1]FundOfFundsUniverse!$B$1:$EU$1,0)),"")</f>
        <v>EUR</v>
      </c>
      <c r="K6" s="11">
        <f>VLOOKUP(FoFanalysis[[#This Row],[Currency of Reporting]],'[1]Xrate31.12.20'!$K$1:$M$25,3,0)</f>
        <v>1</v>
      </c>
      <c r="L6" s="11">
        <f>IFERROR(IF(ISBLANK([1]FoFsmonkeyCompl!O7),"",[1]FoFsmonkeyCompl!O7*FoFanalysis[[#This Row],[EUR]]),"")</f>
        <v>857</v>
      </c>
      <c r="M6" s="8">
        <f>IFERROR(IF(ISBLANK([1]FoFsmonkeyCompl!P7),"",[1]FoFsmonkeyCompl!P7*FoFanalysis[[#This Row],[EUR]]),"")</f>
        <v>241</v>
      </c>
      <c r="N6" s="8">
        <f>IFERROR(IF(ISBLANK([1]FoFsmonkeyCompl!Q7),"",[1]FoFsmonkeyCompl!Q7*FoFanalysis[[#This Row],[EUR]]),"")</f>
        <v>116</v>
      </c>
      <c r="O6" s="8" t="str">
        <f>IFERROR(IF(ISBLANK([1]FoFsmonkeyCompl!R7),"",[1]FoFsmonkeyCompl!R7*FoFanalysis[[#This Row],[EUR]]),"")</f>
        <v/>
      </c>
      <c r="P6" s="8">
        <f>IFERROR(IF(ISBLANK([1]FoFsmonkeyCompl!S7),"",[1]FoFsmonkeyCompl!S7*FoFanalysis[[#This Row],[EUR]]),"")</f>
        <v>7</v>
      </c>
      <c r="Q6" s="8">
        <f>IFERROR(IF(ISBLANK([1]FoFsmonkeyCompl!T7),"",[1]FoFsmonkeyCompl!T7*FoFanalysis[[#This Row],[EUR]]),"")</f>
        <v>41</v>
      </c>
      <c r="R6" s="8">
        <f>IFERROR(IF(ISBLANK([1]FoFsmonkeyCompl!U7),"",[1]FoFsmonkeyCompl!U7*FoFanalysis[[#This Row],[EUR]]),"")</f>
        <v>32</v>
      </c>
      <c r="S6" s="8">
        <f>IFERROR(IF(ISBLANK([1]FoFsmonkeyCompl!V7),"",[1]FoFsmonkeyCompl!V7*FoFanalysis[[#This Row],[EUR]]),"")</f>
        <v>263</v>
      </c>
      <c r="T6" s="8">
        <f>IFERROR(IF(ISBLANK([1]FoFsmonkeyCompl!W7),"",[1]FoFsmonkeyCompl!W7*FoFanalysis[[#This Row],[EUR]]),"")</f>
        <v>158</v>
      </c>
      <c r="U6" s="8">
        <f>IFERROR(IF(ISBLANK([1]FoFsmonkeyCompl!X7),"",[1]FoFsmonkeyCompl!X7*FoFanalysis[[#This Row],[EUR]]),"")</f>
        <v>465</v>
      </c>
      <c r="V6" s="8">
        <f>IFERROR(IF(ISBLANK([1]FoFsmonkeyCompl!Y7),"",[1]FoFsmonkeyCompl!Y7*FoFanalysis[[#This Row],[EUR]]),"")</f>
        <v>297</v>
      </c>
      <c r="W6" s="8">
        <f>IFERROR(IF(ISBLANK([1]FoFsmonkeyCompl!Z7),"",[1]FoFsmonkeyCompl!Z7*FoFanalysis[[#This Row],[EUR]]),"")</f>
        <v>63</v>
      </c>
      <c r="X6" s="8">
        <f>IFERROR(IF(ISBLANK([1]FoFsmonkeyCompl!AA7),"",[1]FoFsmonkeyCompl!AA7*FoFanalysis[[#This Row],[EUR]]),"")</f>
        <v>28</v>
      </c>
      <c r="Y6" s="8">
        <f>IFERROR(IF(ISBLANK([1]FoFsmonkeyCompl!AB7),"",[1]FoFsmonkeyCompl!AB7*FoFanalysis[[#This Row],[EUR]]),"")</f>
        <v>4</v>
      </c>
      <c r="Z6" s="8" t="str">
        <f>IFERROR(IF(ISBLANK([1]FoFsmonkeyCompl!AC7),"",[1]FoFsmonkeyCompl!AC7),"")</f>
        <v/>
      </c>
      <c r="AA6" s="8" t="str">
        <f>IFERROR(IF(ISBLANK([1]FoFsmonkeyCompl!AD7),"",[1]FoFsmonkeyCompl!AD7),"")</f>
        <v/>
      </c>
      <c r="AB6" s="8">
        <f>IFERROR(IF(ISBLANK([1]FoFsmonkeyCompl!AE7),"",[1]FoFsmonkeyCompl!AE7),"")</f>
        <v>100</v>
      </c>
      <c r="AC6" s="8" t="str">
        <f>IFERROR(IF(ISBLANK([1]FoFsmonkeyCompl!AF7),"",[1]FoFsmonkeyCompl!AF7),"")</f>
        <v/>
      </c>
      <c r="AD6" s="8" t="str">
        <f>IFERROR(IF(ISBLANK([1]FoFsmonkeyCompl!AG7),"",[1]FoFsmonkeyCompl!AG7),"")</f>
        <v>Increase</v>
      </c>
      <c r="AE6" s="8" t="str">
        <f>IFERROR(IF(ISBLANK([1]FoFsmonkeyCompl!AH7),"",[1]FoFsmonkeyCompl!AH7),"")</f>
        <v>Yes</v>
      </c>
    </row>
    <row r="7" spans="1:31" ht="13.5" thickTop="1" x14ac:dyDescent="0.2">
      <c r="A7" s="5" t="str">
        <f>IF(OR(ISTEXT([1]FoFsmonkeyCompl!J8),ISNUMBER([1]FoFsmonkeyCompl!J8)),[1]FoFsmonkeyCompl!J8,"")</f>
        <v>UBS</v>
      </c>
      <c r="B7" s="6" t="str">
        <f>IF(OR(ISTEXT([1]FoFsmonkeyCompl!K8),ISNUMBER([1]FoFsmonkeyCompl!K8)),[1]FoFsmonkeyCompl!K8,"")</f>
        <v>UBS (UK) Real Estate Funds Selection - Global ex Canada LP</v>
      </c>
      <c r="C7">
        <v>17456</v>
      </c>
      <c r="D7" s="6" t="str">
        <f>IFERROR(INDEX([1]FundOfFundsUniverse!$B$2:$EU$80,MATCH(FoFanalysis[[#This Row],[ID]],[1]FundOfFundsUniverse!$A$2:$A$80,0),MATCH(FoFanalysis[[#Headers],[Manager Defined Style]],[1]FundOfFundsUniverse!$B$1:$EU$1,0)),"")</f>
        <v>Core</v>
      </c>
      <c r="E7" s="6" t="str">
        <f>IFERROR(INDEX([1]FundOfFundsUniverse!$B$2:$EU$80,MATCH(FoFanalysis[[#This Row],[ID]],[1]FundOfFundsUniverse!$A$2:$A$80,0),MATCH(FoFanalysis[[#Headers],[Vehicle Structure]],[1]FundOfFundsUniverse!$B$1:$EU$1,0)),"")</f>
        <v>Open end</v>
      </c>
      <c r="F7" s="6">
        <f>IFERROR(INDEX([1]FundOfFundsUniverse!$B$2:$EU$80,MATCH(FoFanalysis[[#This Row],[ID]],[1]FundOfFundsUniverse!$A$2:$A$80,0),MATCH(FoFanalysis[[#Headers],[Year of first closing]],[1]FundOfFundsUniverse!$B$1:$EU$1,0)),"")</f>
        <v>2011</v>
      </c>
      <c r="G7" s="6" t="str">
        <f>IF(ISBLANK([1]FoFsmonkeyCompl!L8),"",[1]FoFsmonkeyCompl!L8)</f>
        <v>Yes</v>
      </c>
      <c r="H7" s="6" t="str">
        <f>IF(ISBLANK([1]FoFsmonkeyCompl!M8),"",[1]FoFsmonkeyCompl!M8)</f>
        <v/>
      </c>
      <c r="I7" s="6" t="str">
        <f>IF(ISBLANK([1]FoFsmonkeyCompl!N8),"",[1]FoFsmonkeyCompl!N8)</f>
        <v/>
      </c>
      <c r="J7" s="6" t="str">
        <f>IFERROR(INDEX([1]FundOfFundsUniverse!$B$2:$EU$80,MATCH(FoFanalysis[[#This Row],[ID]],[1]FundOfFundsUniverse!$A$2:$A$80,0),MATCH(FoFanalysis[[#Headers],[Currency of Reporting]],[1]FundOfFundsUniverse!$B$1:$EU$1,0)),"")</f>
        <v>CAD</v>
      </c>
      <c r="K7" s="11">
        <f>VLOOKUP(FoFanalysis[[#This Row],[Currency of Reporting]],'[1]Xrate31.12.20'!$K$1:$M$25,3,0)</f>
        <v>0.63999565120000002</v>
      </c>
      <c r="L7" s="11">
        <f>IFERROR(IF(ISBLANK([1]FoFsmonkeyCompl!O8),"",[1]FoFsmonkeyCompl!O8*FoFanalysis[[#This Row],[EUR]]),"")</f>
        <v>94.079360726399997</v>
      </c>
      <c r="M7" s="8">
        <f>IFERROR(IF(ISBLANK([1]FoFsmonkeyCompl!P8),"",[1]FoFsmonkeyCompl!P8*FoFanalysis[[#This Row],[EUR]]),"")</f>
        <v>94.079360726399997</v>
      </c>
      <c r="N7" s="8" t="str">
        <f>IFERROR(IF(ISBLANK([1]FoFsmonkeyCompl!Q8),"",[1]FoFsmonkeyCompl!Q8*FoFanalysis[[#This Row],[EUR]]),"")</f>
        <v/>
      </c>
      <c r="O7" s="8" t="str">
        <f>IFERROR(IF(ISBLANK([1]FoFsmonkeyCompl!R8),"",[1]FoFsmonkeyCompl!R8*FoFanalysis[[#This Row],[EUR]]),"")</f>
        <v/>
      </c>
      <c r="P7" s="8" t="str">
        <f>IFERROR(IF(ISBLANK([1]FoFsmonkeyCompl!S8),"",[1]FoFsmonkeyCompl!S8*FoFanalysis[[#This Row],[EUR]]),"")</f>
        <v/>
      </c>
      <c r="Q7" s="8" t="str">
        <f>IFERROR(IF(ISBLANK([1]FoFsmonkeyCompl!T8),"",[1]FoFsmonkeyCompl!T8*FoFanalysis[[#This Row],[EUR]]),"")</f>
        <v/>
      </c>
      <c r="R7" s="8" t="str">
        <f>IFERROR(IF(ISBLANK([1]FoFsmonkeyCompl!U8),"",[1]FoFsmonkeyCompl!U8*FoFanalysis[[#This Row],[EUR]]),"")</f>
        <v/>
      </c>
      <c r="S7" s="8" t="str">
        <f>IFERROR(IF(ISBLANK([1]FoFsmonkeyCompl!V8),"",[1]FoFsmonkeyCompl!V8*FoFanalysis[[#This Row],[EUR]]),"")</f>
        <v/>
      </c>
      <c r="T7" s="8" t="str">
        <f>IFERROR(IF(ISBLANK([1]FoFsmonkeyCompl!W8),"",[1]FoFsmonkeyCompl!W8*FoFanalysis[[#This Row],[EUR]]),"")</f>
        <v/>
      </c>
      <c r="U7" s="8" t="str">
        <f>IFERROR(IF(ISBLANK([1]FoFsmonkeyCompl!X8),"",[1]FoFsmonkeyCompl!X8*FoFanalysis[[#This Row],[EUR]]),"")</f>
        <v/>
      </c>
      <c r="V7" s="8" t="str">
        <f>IFERROR(IF(ISBLANK([1]FoFsmonkeyCompl!Y8),"",[1]FoFsmonkeyCompl!Y8*FoFanalysis[[#This Row],[EUR]]),"")</f>
        <v/>
      </c>
      <c r="W7" s="8">
        <f>IFERROR(IF(ISBLANK([1]FoFsmonkeyCompl!Z8),"",[1]FoFsmonkeyCompl!Z8*FoFanalysis[[#This Row],[EUR]]),"")</f>
        <v>94.079360726399997</v>
      </c>
      <c r="X7" s="8" t="str">
        <f>IFERROR(IF(ISBLANK([1]FoFsmonkeyCompl!AA8),"",[1]FoFsmonkeyCompl!AA8*FoFanalysis[[#This Row],[EUR]]),"")</f>
        <v/>
      </c>
      <c r="Y7" s="8" t="str">
        <f>IFERROR(IF(ISBLANK([1]FoFsmonkeyCompl!AB8),"",[1]FoFsmonkeyCompl!AB8*FoFanalysis[[#This Row],[EUR]]),"")</f>
        <v/>
      </c>
      <c r="Z7" s="8" t="str">
        <f>IFERROR(IF(ISBLANK([1]FoFsmonkeyCompl!AC8),"",[1]FoFsmonkeyCompl!AC8),"")</f>
        <v/>
      </c>
      <c r="AA7" s="8" t="str">
        <f>IFERROR(IF(ISBLANK([1]FoFsmonkeyCompl!AD8),"",[1]FoFsmonkeyCompl!AD8),"")</f>
        <v/>
      </c>
      <c r="AB7" s="8">
        <f>IFERROR(IF(ISBLANK([1]FoFsmonkeyCompl!AE8),"",[1]FoFsmonkeyCompl!AE8),"")</f>
        <v>100</v>
      </c>
      <c r="AC7" s="8" t="str">
        <f>IFERROR(IF(ISBLANK([1]FoFsmonkeyCompl!AF8),"",[1]FoFsmonkeyCompl!AF8),"")</f>
        <v/>
      </c>
      <c r="AD7" s="8" t="str">
        <f>IFERROR(IF(ISBLANK([1]FoFsmonkeyCompl!AG8),"",[1]FoFsmonkeyCompl!AG8),"")</f>
        <v>Increase</v>
      </c>
      <c r="AE7" s="8" t="str">
        <f>IFERROR(IF(ISBLANK([1]FoFsmonkeyCompl!AH8),"",[1]FoFsmonkeyCompl!AH8),"")</f>
        <v>Yes</v>
      </c>
    </row>
    <row r="8" spans="1:31" ht="15.75" thickBot="1" x14ac:dyDescent="0.3">
      <c r="A8" s="5" t="str">
        <f>IF(OR(ISTEXT([1]FoFsmonkeyCompl!J10),ISNUMBER([1]FoFsmonkeyCompl!J10)),[1]FoFsmonkeyCompl!J10,"")</f>
        <v>LaSalle</v>
      </c>
      <c r="B8" s="6" t="str">
        <f>IF(OR(ISTEXT([1]FoFsmonkeyCompl!K10),ISNUMBER([1]FoFsmonkeyCompl!K10)),[1]FoFsmonkeyCompl!K10,"")</f>
        <v>LaSalle Global Navigator Fund</v>
      </c>
      <c r="C8" s="13">
        <v>10000001</v>
      </c>
      <c r="D8" s="6" t="str">
        <f>IFERROR(INDEX([1]FundOfFundsUniverse!$B$2:$EU$80,MATCH(FoFanalysis[[#This Row],[ID]],[1]FundOfFundsUniverse!$A$2:$A$80,0),MATCH(FoFanalysis[[#Headers],[Manager Defined Style]],[1]FundOfFundsUniverse!$B$1:$EU$1,0)),"")</f>
        <v>Core</v>
      </c>
      <c r="E8" s="6" t="str">
        <f>IFERROR(INDEX([1]FundOfFundsUniverse!$B$2:$EU$80,MATCH(FoFanalysis[[#This Row],[ID]],[1]FundOfFundsUniverse!$A$2:$A$80,0),MATCH(FoFanalysis[[#Headers],[Vehicle Structure]],[1]FundOfFundsUniverse!$B$1:$EU$1,0)),"")</f>
        <v>Open end</v>
      </c>
      <c r="F8" s="6">
        <f>IFERROR(INDEX([1]FundOfFundsUniverse!$B$2:$EU$80,MATCH(FoFanalysis[[#This Row],[ID]],[1]FundOfFundsUniverse!$A$2:$A$80,0),MATCH(FoFanalysis[[#Headers],[Year of first closing]],[1]FundOfFundsUniverse!$B$1:$EU$1,0)),"")</f>
        <v>2020</v>
      </c>
      <c r="G8" s="6" t="str">
        <f>IF(ISBLANK([1]FoFsmonkeyCompl!L10),"",[1]FoFsmonkeyCompl!L10)</f>
        <v>Yes</v>
      </c>
      <c r="H8" s="6" t="str">
        <f>IF(ISBLANK([1]FoFsmonkeyCompl!M10),"",[1]FoFsmonkeyCompl!M10)</f>
        <v/>
      </c>
      <c r="I8" s="6" t="str">
        <f>IF(ISBLANK([1]FoFsmonkeyCompl!N10),"",[1]FoFsmonkeyCompl!N10)</f>
        <v/>
      </c>
      <c r="J8" s="6" t="str">
        <f>IFERROR(INDEX([1]FundOfFundsUniverse!$B$2:$EU$80,MATCH(FoFanalysis[[#This Row],[ID]],[1]FundOfFundsUniverse!$A$2:$A$80,0),MATCH(FoFanalysis[[#Headers],[Currency of Reporting]],[1]FundOfFundsUniverse!$B$1:$EU$1,0)),"")</f>
        <v>GBP</v>
      </c>
      <c r="K8" s="11">
        <f>VLOOKUP(FoFanalysis[[#This Row],[Currency of Reporting]],'[1]Xrate31.12.20'!$K$1:$M$25,3,0)</f>
        <v>1.1130927885999999</v>
      </c>
      <c r="L8" s="11">
        <f>IFERROR(IF(ISBLANK([1]FoFsmonkeyCompl!O10),"",[1]FoFsmonkeyCompl!O10*FoFanalysis[[#This Row],[EUR]]),"")</f>
        <v>356.18969235199995</v>
      </c>
      <c r="M8" s="8">
        <f>IFERROR(IF(ISBLANK([1]FoFsmonkeyCompl!P10),"",[1]FoFsmonkeyCompl!P10*FoFanalysis[[#This Row],[EUR]]),"")</f>
        <v>328.36237263699996</v>
      </c>
      <c r="N8" s="8" t="str">
        <f>IFERROR(IF(ISBLANK([1]FoFsmonkeyCompl!Q10),"",[1]FoFsmonkeyCompl!Q10*FoFanalysis[[#This Row],[EUR]]),"")</f>
        <v/>
      </c>
      <c r="O8" s="8" t="str">
        <f>IFERROR(IF(ISBLANK([1]FoFsmonkeyCompl!R10),"",[1]FoFsmonkeyCompl!R10*FoFanalysis[[#This Row],[EUR]]),"")</f>
        <v/>
      </c>
      <c r="P8" s="8" t="str">
        <f>IFERROR(IF(ISBLANK([1]FoFsmonkeyCompl!S10),"",[1]FoFsmonkeyCompl!S10*FoFanalysis[[#This Row],[EUR]]),"")</f>
        <v/>
      </c>
      <c r="Q8" s="8" t="str">
        <f>IFERROR(IF(ISBLANK([1]FoFsmonkeyCompl!T10),"",[1]FoFsmonkeyCompl!T10*FoFanalysis[[#This Row],[EUR]]),"")</f>
        <v/>
      </c>
      <c r="R8" s="8" t="str">
        <f>IFERROR(IF(ISBLANK([1]FoFsmonkeyCompl!U10),"",[1]FoFsmonkeyCompl!U10*FoFanalysis[[#This Row],[EUR]]),"")</f>
        <v/>
      </c>
      <c r="S8" s="8" t="str">
        <f>IFERROR(IF(ISBLANK([1]FoFsmonkeyCompl!V10),"",[1]FoFsmonkeyCompl!V10*FoFanalysis[[#This Row],[EUR]]),"")</f>
        <v/>
      </c>
      <c r="T8" s="8">
        <f>IFERROR(IF(ISBLANK([1]FoFsmonkeyCompl!W10),"",[1]FoFsmonkeyCompl!W10*FoFanalysis[[#This Row],[EUR]]),"")</f>
        <v>27.827319714999998</v>
      </c>
      <c r="U8" s="8">
        <f>IFERROR(IF(ISBLANK([1]FoFsmonkeyCompl!X10),"",[1]FoFsmonkeyCompl!X10*FoFanalysis[[#This Row],[EUR]]),"")</f>
        <v>328.36237263699996</v>
      </c>
      <c r="V8" s="8" t="str">
        <f>IFERROR(IF(ISBLANK([1]FoFsmonkeyCompl!Y10),"",[1]FoFsmonkeyCompl!Y10*FoFanalysis[[#This Row],[EUR]]),"")</f>
        <v/>
      </c>
      <c r="W8" s="8">
        <f>IFERROR(IF(ISBLANK([1]FoFsmonkeyCompl!Z10),"",[1]FoFsmonkeyCompl!Z10*FoFanalysis[[#This Row],[EUR]]),"")</f>
        <v>27.827319714999998</v>
      </c>
      <c r="X8" s="8" t="str">
        <f>IFERROR(IF(ISBLANK([1]FoFsmonkeyCompl!AA10),"",[1]FoFsmonkeyCompl!AA10*FoFanalysis[[#This Row],[EUR]]),"")</f>
        <v/>
      </c>
      <c r="Y8" s="8" t="str">
        <f>IFERROR(IF(ISBLANK([1]FoFsmonkeyCompl!AB10),"",[1]FoFsmonkeyCompl!AB10*FoFanalysis[[#This Row],[EUR]]),"")</f>
        <v/>
      </c>
      <c r="Z8" s="8" t="str">
        <f>IFERROR(IF(ISBLANK([1]FoFsmonkeyCompl!AC10),"",[1]FoFsmonkeyCompl!AC10),"")</f>
        <v/>
      </c>
      <c r="AA8" s="8" t="str">
        <f>IFERROR(IF(ISBLANK([1]FoFsmonkeyCompl!AD10),"",[1]FoFsmonkeyCompl!AD10),"")</f>
        <v/>
      </c>
      <c r="AB8" s="8">
        <f>IFERROR(IF(ISBLANK([1]FoFsmonkeyCompl!AE10),"",[1]FoFsmonkeyCompl!AE10),"")</f>
        <v>100</v>
      </c>
      <c r="AC8" s="8" t="str">
        <f>IFERROR(IF(ISBLANK([1]FoFsmonkeyCompl!AF10),"",[1]FoFsmonkeyCompl!AF10),"")</f>
        <v/>
      </c>
      <c r="AD8" s="8" t="str">
        <f>IFERROR(IF(ISBLANK([1]FoFsmonkeyCompl!AG10),"",[1]FoFsmonkeyCompl!AG10),"")</f>
        <v>Increase</v>
      </c>
      <c r="AE8" s="8" t="str">
        <f>IFERROR(IF(ISBLANK([1]FoFsmonkeyCompl!AH10),"",[1]FoFsmonkeyCompl!AH10),"")</f>
        <v>Yes</v>
      </c>
    </row>
    <row r="9" spans="1:31" ht="14.25" thickTop="1" thickBot="1" x14ac:dyDescent="0.25">
      <c r="A9" s="9" t="str">
        <f>IF(OR(ISTEXT([1]FoFsmonkeyCompl!J11),ISNUMBER([1]FoFsmonkeyCompl!J11)),[1]FoFsmonkeyCompl!J11,"")</f>
        <v>Swiss Finance &amp; Property</v>
      </c>
      <c r="B9" s="6" t="str">
        <f>IF(OR(ISTEXT([1]FoFsmonkeyCompl!K11),ISNUMBER([1]FoFsmonkeyCompl!K11)),[1]FoFsmonkeyCompl!K11,"")</f>
        <v>SFP AST Global Core Property</v>
      </c>
      <c r="C9">
        <v>19261</v>
      </c>
      <c r="D9" s="6" t="str">
        <f>IFERROR(INDEX([1]FundOfFundsUniverse!$B$2:$EU$80,MATCH(FoFanalysis[[#This Row],[ID]],[1]FundOfFundsUniverse!$A$2:$A$80,0),MATCH(FoFanalysis[[#Headers],[Manager Defined Style]],[1]FundOfFundsUniverse!$B$1:$EU$1,0)),"")</f>
        <v>Core</v>
      </c>
      <c r="E9" s="6" t="str">
        <f>IFERROR(INDEX([1]FundOfFundsUniverse!$B$2:$EU$80,MATCH(FoFanalysis[[#This Row],[ID]],[1]FundOfFundsUniverse!$A$2:$A$80,0),MATCH(FoFanalysis[[#Headers],[Vehicle Structure]],[1]FundOfFundsUniverse!$B$1:$EU$1,0)),"")</f>
        <v>Open end</v>
      </c>
      <c r="F9" s="6">
        <f>IFERROR(INDEX([1]FundOfFundsUniverse!$B$2:$EU$80,MATCH(FoFanalysis[[#This Row],[ID]],[1]FundOfFundsUniverse!$A$2:$A$80,0),MATCH(FoFanalysis[[#Headers],[Year of first closing]],[1]FundOfFundsUniverse!$B$1:$EU$1,0)),"")</f>
        <v>2017</v>
      </c>
      <c r="G9" s="6" t="str">
        <f>IF(ISBLANK([1]FoFsmonkeyCompl!L11),"",[1]FoFsmonkeyCompl!L11)</f>
        <v>Yes</v>
      </c>
      <c r="H9" s="6" t="str">
        <f>IF(ISBLANK([1]FoFsmonkeyCompl!M11),"",[1]FoFsmonkeyCompl!M11)</f>
        <v/>
      </c>
      <c r="I9" s="6" t="str">
        <f>IF(ISBLANK([1]FoFsmonkeyCompl!N11),"",[1]FoFsmonkeyCompl!N11)</f>
        <v/>
      </c>
      <c r="J9" s="6" t="str">
        <f>IFERROR(INDEX([1]FundOfFundsUniverse!$B$2:$EU$80,MATCH(FoFanalysis[[#This Row],[ID]],[1]FundOfFundsUniverse!$A$2:$A$80,0),MATCH(FoFanalysis[[#Headers],[Currency of Reporting]],[1]FundOfFundsUniverse!$B$1:$EU$1,0)),"")</f>
        <v>CHF</v>
      </c>
      <c r="K9" s="11">
        <f>VLOOKUP(FoFanalysis[[#This Row],[Currency of Reporting]],'[1]Xrate31.12.20'!$K$1:$M$25,3,0)</f>
        <v>0.92402414590000004</v>
      </c>
      <c r="L9" s="11">
        <f>IFERROR(IF(ISBLANK([1]FoFsmonkeyCompl!O11),"",[1]FoFsmonkeyCompl!O11*FoFanalysis[[#This Row],[EUR]]),"")</f>
        <v>18.480482918</v>
      </c>
      <c r="M9" s="8">
        <f>IFERROR(IF(ISBLANK([1]FoFsmonkeyCompl!P11),"",[1]FoFsmonkeyCompl!P11*FoFanalysis[[#This Row],[EUR]]),"")</f>
        <v>18.480482918</v>
      </c>
      <c r="N9" s="8" t="str">
        <f>IFERROR(IF(ISBLANK([1]FoFsmonkeyCompl!Q11),"",[1]FoFsmonkeyCompl!Q11*FoFanalysis[[#This Row],[EUR]]),"")</f>
        <v/>
      </c>
      <c r="O9" s="8" t="str">
        <f>IFERROR(IF(ISBLANK([1]FoFsmonkeyCompl!R11),"",[1]FoFsmonkeyCompl!R11*FoFanalysis[[#This Row],[EUR]]),"")</f>
        <v/>
      </c>
      <c r="P9" s="8" t="str">
        <f>IFERROR(IF(ISBLANK([1]FoFsmonkeyCompl!S11),"",[1]FoFsmonkeyCompl!S11*FoFanalysis[[#This Row],[EUR]]),"")</f>
        <v/>
      </c>
      <c r="Q9" s="8" t="str">
        <f>IFERROR(IF(ISBLANK([1]FoFsmonkeyCompl!T11),"",[1]FoFsmonkeyCompl!T11*FoFanalysis[[#This Row],[EUR]]),"")</f>
        <v/>
      </c>
      <c r="R9" s="8" t="str">
        <f>IFERROR(IF(ISBLANK([1]FoFsmonkeyCompl!U11),"",[1]FoFsmonkeyCompl!U11*FoFanalysis[[#This Row],[EUR]]),"")</f>
        <v/>
      </c>
      <c r="S9" s="8" t="str">
        <f>IFERROR(IF(ISBLANK([1]FoFsmonkeyCompl!V11),"",[1]FoFsmonkeyCompl!V11*FoFanalysis[[#This Row],[EUR]]),"")</f>
        <v/>
      </c>
      <c r="T9" s="8" t="str">
        <f>IFERROR(IF(ISBLANK([1]FoFsmonkeyCompl!W11),"",[1]FoFsmonkeyCompl!W11*FoFanalysis[[#This Row],[EUR]]),"")</f>
        <v/>
      </c>
      <c r="U9" s="8">
        <f>IFERROR(IF(ISBLANK([1]FoFsmonkeyCompl!X11),"",[1]FoFsmonkeyCompl!X11*FoFanalysis[[#This Row],[EUR]]),"")</f>
        <v>18.480482918</v>
      </c>
      <c r="V9" s="8" t="str">
        <f>IFERROR(IF(ISBLANK([1]FoFsmonkeyCompl!Y11),"",[1]FoFsmonkeyCompl!Y11*FoFanalysis[[#This Row],[EUR]]),"")</f>
        <v/>
      </c>
      <c r="W9" s="8" t="str">
        <f>IFERROR(IF(ISBLANK([1]FoFsmonkeyCompl!Z11),"",[1]FoFsmonkeyCompl!Z11*FoFanalysis[[#This Row],[EUR]]),"")</f>
        <v/>
      </c>
      <c r="X9" s="8" t="str">
        <f>IFERROR(IF(ISBLANK([1]FoFsmonkeyCompl!AA11),"",[1]FoFsmonkeyCompl!AA11*FoFanalysis[[#This Row],[EUR]]),"")</f>
        <v/>
      </c>
      <c r="Y9" s="8" t="str">
        <f>IFERROR(IF(ISBLANK([1]FoFsmonkeyCompl!AB11),"",[1]FoFsmonkeyCompl!AB11*FoFanalysis[[#This Row],[EUR]]),"")</f>
        <v/>
      </c>
      <c r="Z9" s="8" t="str">
        <f>IFERROR(IF(ISBLANK([1]FoFsmonkeyCompl!AC11),"",[1]FoFsmonkeyCompl!AC11),"")</f>
        <v/>
      </c>
      <c r="AA9" s="8" t="str">
        <f>IFERROR(IF(ISBLANK([1]FoFsmonkeyCompl!AD11),"",[1]FoFsmonkeyCompl!AD11),"")</f>
        <v/>
      </c>
      <c r="AB9" s="8">
        <f>IFERROR(IF(ISBLANK([1]FoFsmonkeyCompl!AE11),"",[1]FoFsmonkeyCompl!AE11),"")</f>
        <v>100</v>
      </c>
      <c r="AC9" s="8" t="str">
        <f>IFERROR(IF(ISBLANK([1]FoFsmonkeyCompl!AF11),"",[1]FoFsmonkeyCompl!AF11),"")</f>
        <v/>
      </c>
      <c r="AD9" s="8" t="str">
        <f>IFERROR(IF(ISBLANK([1]FoFsmonkeyCompl!AG11),"",[1]FoFsmonkeyCompl!AG11),"")</f>
        <v>Increase</v>
      </c>
      <c r="AE9" s="8" t="str">
        <f>IFERROR(IF(ISBLANK([1]FoFsmonkeyCompl!AH11),"",[1]FoFsmonkeyCompl!AH11),"")</f>
        <v>Yes</v>
      </c>
    </row>
    <row r="10" spans="1:31" ht="16.5" thickTop="1" thickBot="1" x14ac:dyDescent="0.3">
      <c r="A10" s="5" t="str">
        <f>IF(OR(ISTEXT([1]FoFsmonkeyCompl!J12),ISNUMBER([1]FoFsmonkeyCompl!J12)),[1]FoFsmonkeyCompl!J12,"")</f>
        <v>PATRIZIA Global Partners</v>
      </c>
      <c r="B10" s="6" t="str">
        <f>IF(OR(ISTEXT([1]FoFsmonkeyCompl!K12),ISNUMBER([1]FoFsmonkeyCompl!K12)),[1]FoFsmonkeyCompl!K12,"")</f>
        <v>PMM Global V</v>
      </c>
      <c r="C10" s="14">
        <v>65040</v>
      </c>
      <c r="D10" s="6" t="str">
        <f>IFERROR(INDEX([1]FundOfFundsUniverse!$B$2:$EU$80,MATCH(FoFanalysis[[#This Row],[ID]],[1]FundOfFundsUniverse!$A$2:$A$80,0),MATCH(FoFanalysis[[#Headers],[Manager Defined Style]],[1]FundOfFundsUniverse!$B$1:$EU$1,0)),"")</f>
        <v>Opportunity</v>
      </c>
      <c r="E10" s="6" t="str">
        <f>IFERROR(INDEX([1]FundOfFundsUniverse!$B$2:$EU$80,MATCH(FoFanalysis[[#This Row],[ID]],[1]FundOfFundsUniverse!$A$2:$A$80,0),MATCH(FoFanalysis[[#Headers],[Vehicle Structure]],[1]FundOfFundsUniverse!$B$1:$EU$1,0)),"")</f>
        <v>Closed end</v>
      </c>
      <c r="F10" s="6">
        <f>IFERROR(INDEX([1]FundOfFundsUniverse!$B$2:$EU$80,MATCH(FoFanalysis[[#This Row],[ID]],[1]FundOfFundsUniverse!$A$2:$A$80,0),MATCH(FoFanalysis[[#Headers],[Year of first closing]],[1]FundOfFundsUniverse!$B$1:$EU$1,0)),"")</f>
        <v>2019</v>
      </c>
      <c r="G10" s="6" t="str">
        <f>IF(ISBLANK([1]FoFsmonkeyCompl!L12),"",[1]FoFsmonkeyCompl!L12)</f>
        <v>Yes</v>
      </c>
      <c r="H10" s="6" t="str">
        <f>IF(ISBLANK([1]FoFsmonkeyCompl!M12),"",[1]FoFsmonkeyCompl!M12)</f>
        <v/>
      </c>
      <c r="I10" s="6" t="str">
        <f>IF(ISBLANK([1]FoFsmonkeyCompl!N12),"",[1]FoFsmonkeyCompl!N12)</f>
        <v/>
      </c>
      <c r="J10" s="6" t="str">
        <f>IFERROR(INDEX([1]FundOfFundsUniverse!$B$2:$EU$80,MATCH(FoFanalysis[[#This Row],[ID]],[1]FundOfFundsUniverse!$A$2:$A$80,0),MATCH(FoFanalysis[[#Headers],[Currency of Reporting]],[1]FundOfFundsUniverse!$B$1:$EU$1,0)),"")</f>
        <v>EUR</v>
      </c>
      <c r="K10" s="11">
        <f>VLOOKUP(FoFanalysis[[#This Row],[Currency of Reporting]],'[1]Xrate31.12.20'!$K$1:$M$25,3,0)</f>
        <v>1</v>
      </c>
      <c r="L10" s="11">
        <f>IFERROR(IF(ISBLANK([1]FoFsmonkeyCompl!O12),"",[1]FoFsmonkeyCompl!O12*FoFanalysis[[#This Row],[EUR]]),"")</f>
        <v>10</v>
      </c>
      <c r="M10" s="8" t="str">
        <f>IFERROR(IF(ISBLANK([1]FoFsmonkeyCompl!P12),"",[1]FoFsmonkeyCompl!P12*FoFanalysis[[#This Row],[EUR]]),"")</f>
        <v/>
      </c>
      <c r="N10" s="8" t="str">
        <f>IFERROR(IF(ISBLANK([1]FoFsmonkeyCompl!Q12),"",[1]FoFsmonkeyCompl!Q12*FoFanalysis[[#This Row],[EUR]]),"")</f>
        <v/>
      </c>
      <c r="O10" s="8" t="str">
        <f>IFERROR(IF(ISBLANK([1]FoFsmonkeyCompl!R12),"",[1]FoFsmonkeyCompl!R12*FoFanalysis[[#This Row],[EUR]]),"")</f>
        <v/>
      </c>
      <c r="P10" s="8" t="str">
        <f>IFERROR(IF(ISBLANK([1]FoFsmonkeyCompl!S12),"",[1]FoFsmonkeyCompl!S12*FoFanalysis[[#This Row],[EUR]]),"")</f>
        <v/>
      </c>
      <c r="Q10" s="8">
        <f>IFERROR(IF(ISBLANK([1]FoFsmonkeyCompl!T12),"",[1]FoFsmonkeyCompl!T12*FoFanalysis[[#This Row],[EUR]]),"")</f>
        <v>10</v>
      </c>
      <c r="R10" s="8" t="str">
        <f>IFERROR(IF(ISBLANK([1]FoFsmonkeyCompl!U12),"",[1]FoFsmonkeyCompl!U12*FoFanalysis[[#This Row],[EUR]]),"")</f>
        <v/>
      </c>
      <c r="S10" s="8" t="str">
        <f>IFERROR(IF(ISBLANK([1]FoFsmonkeyCompl!V12),"",[1]FoFsmonkeyCompl!V12*FoFanalysis[[#This Row],[EUR]]),"")</f>
        <v/>
      </c>
      <c r="T10" s="8" t="str">
        <f>IFERROR(IF(ISBLANK([1]FoFsmonkeyCompl!W12),"",[1]FoFsmonkeyCompl!W12*FoFanalysis[[#This Row],[EUR]]),"")</f>
        <v/>
      </c>
      <c r="U10" s="8">
        <f>IFERROR(IF(ISBLANK([1]FoFsmonkeyCompl!X12),"",[1]FoFsmonkeyCompl!X12*FoFanalysis[[#This Row],[EUR]]),"")</f>
        <v>10</v>
      </c>
      <c r="V10" s="8" t="str">
        <f>IFERROR(IF(ISBLANK([1]FoFsmonkeyCompl!Y12),"",[1]FoFsmonkeyCompl!Y12*FoFanalysis[[#This Row],[EUR]]),"")</f>
        <v/>
      </c>
      <c r="W10" s="8" t="str">
        <f>IFERROR(IF(ISBLANK([1]FoFsmonkeyCompl!Z12),"",[1]FoFsmonkeyCompl!Z12*FoFanalysis[[#This Row],[EUR]]),"")</f>
        <v/>
      </c>
      <c r="X10" s="8" t="str">
        <f>IFERROR(IF(ISBLANK([1]FoFsmonkeyCompl!AA12),"",[1]FoFsmonkeyCompl!AA12*FoFanalysis[[#This Row],[EUR]]),"")</f>
        <v/>
      </c>
      <c r="Y10" s="8" t="str">
        <f>IFERROR(IF(ISBLANK([1]FoFsmonkeyCompl!AB12),"",[1]FoFsmonkeyCompl!AB12*FoFanalysis[[#This Row],[EUR]]),"")</f>
        <v/>
      </c>
      <c r="Z10" s="8" t="str">
        <f>IFERROR(IF(ISBLANK([1]FoFsmonkeyCompl!AC12),"",[1]FoFsmonkeyCompl!AC12),"")</f>
        <v/>
      </c>
      <c r="AA10" s="8">
        <f>IFERROR(IF(ISBLANK([1]FoFsmonkeyCompl!AD12),"",[1]FoFsmonkeyCompl!AD12),"")</f>
        <v>100</v>
      </c>
      <c r="AB10" s="8" t="str">
        <f>IFERROR(IF(ISBLANK([1]FoFsmonkeyCompl!AE12),"",[1]FoFsmonkeyCompl!AE12),"")</f>
        <v/>
      </c>
      <c r="AC10" s="8" t="str">
        <f>IFERROR(IF(ISBLANK([1]FoFsmonkeyCompl!AF12),"",[1]FoFsmonkeyCompl!AF12),"")</f>
        <v/>
      </c>
      <c r="AD10" s="8" t="str">
        <f>IFERROR(IF(ISBLANK([1]FoFsmonkeyCompl!AG12),"",[1]FoFsmonkeyCompl!AG12),"")</f>
        <v>Increase</v>
      </c>
      <c r="AE10" s="8" t="str">
        <f>IFERROR(IF(ISBLANK([1]FoFsmonkeyCompl!AH12),"",[1]FoFsmonkeyCompl!AH12),"")</f>
        <v>Yes</v>
      </c>
    </row>
    <row r="11" spans="1:31" ht="16.5" thickTop="1" thickBot="1" x14ac:dyDescent="0.3">
      <c r="A11" s="9" t="str">
        <f>IF(OR(ISTEXT([1]FoFsmonkeyCompl!J13),ISNUMBER([1]FoFsmonkeyCompl!J13)),[1]FoFsmonkeyCompl!J13,"")</f>
        <v>Altan Capital</v>
      </c>
      <c r="B11" s="6" t="str">
        <f>IF(OR(ISTEXT([1]FoFsmonkeyCompl!K13),ISNUMBER([1]FoFsmonkeyCompl!K13)),[1]FoFsmonkeyCompl!K13,"")</f>
        <v>Altan IV</v>
      </c>
      <c r="C11" s="15">
        <v>105127</v>
      </c>
      <c r="D11" s="6" t="str">
        <f>IFERROR(INDEX([1]FundOfFundsUniverse!$B$2:$EU$80,MATCH(FoFanalysis[[#This Row],[ID]],[1]FundOfFundsUniverse!$A$2:$A$80,0),MATCH(FoFanalysis[[#Headers],[Manager Defined Style]],[1]FundOfFundsUniverse!$B$1:$EU$1,0)),"")</f>
        <v>Opportunity</v>
      </c>
      <c r="E11" s="6" t="str">
        <f>IFERROR(INDEX([1]FundOfFundsUniverse!$B$2:$EU$80,MATCH(FoFanalysis[[#This Row],[ID]],[1]FundOfFundsUniverse!$A$2:$A$80,0),MATCH(FoFanalysis[[#Headers],[Vehicle Structure]],[1]FundOfFundsUniverse!$B$1:$EU$1,0)),"")</f>
        <v>Closed end</v>
      </c>
      <c r="F11" s="6">
        <f>IFERROR(INDEX([1]FundOfFundsUniverse!$B$2:$EU$80,MATCH(FoFanalysis[[#This Row],[ID]],[1]FundOfFundsUniverse!$A$2:$A$80,0),MATCH(FoFanalysis[[#Headers],[Year of first closing]],[1]FundOfFundsUniverse!$B$1:$EU$1,0)),"")</f>
        <v>2018</v>
      </c>
      <c r="G11" s="6" t="str">
        <f>IF(ISBLANK([1]FoFsmonkeyCompl!L13),"",[1]FoFsmonkeyCompl!L13)</f>
        <v>No</v>
      </c>
      <c r="H11" s="6" t="str">
        <f>IF(ISBLANK([1]FoFsmonkeyCompl!M13),"",[1]FoFsmonkeyCompl!M13)</f>
        <v>Other (please specify)</v>
      </c>
      <c r="I11" s="6" t="str">
        <f>IF(ISBLANK([1]FoFsmonkeyCompl!N13),"",[1]FoFsmonkeyCompl!N13)</f>
        <v>Fund already raised and in investment period</v>
      </c>
      <c r="J11" s="6" t="str">
        <f>IFERROR(INDEX([1]FundOfFundsUniverse!$B$2:$EU$80,MATCH(FoFanalysis[[#This Row],[ID]],[1]FundOfFundsUniverse!$A$2:$A$80,0),MATCH(FoFanalysis[[#Headers],[Currency of Reporting]],[1]FundOfFundsUniverse!$B$1:$EU$1,0)),"")</f>
        <v>EUR</v>
      </c>
      <c r="K11" s="11">
        <f>VLOOKUP(FoFanalysis[[#This Row],[Currency of Reporting]],'[1]Xrate31.12.20'!$K$1:$M$25,3,0)</f>
        <v>1</v>
      </c>
      <c r="L11" s="11" t="str">
        <f>IFERROR(IF(ISBLANK([1]FoFsmonkeyCompl!O13),"",[1]FoFsmonkeyCompl!O13*FoFanalysis[[#This Row],[EUR]]),"")</f>
        <v/>
      </c>
      <c r="M11" s="8" t="str">
        <f>IFERROR(IF(ISBLANK([1]FoFsmonkeyCompl!P13),"",[1]FoFsmonkeyCompl!P13*FoFanalysis[[#This Row],[EUR]]),"")</f>
        <v/>
      </c>
      <c r="N11" s="8" t="str">
        <f>IFERROR(IF(ISBLANK([1]FoFsmonkeyCompl!Q13),"",[1]FoFsmonkeyCompl!Q13*FoFanalysis[[#This Row],[EUR]]),"")</f>
        <v/>
      </c>
      <c r="O11" s="8" t="str">
        <f>IFERROR(IF(ISBLANK([1]FoFsmonkeyCompl!R13),"",[1]FoFsmonkeyCompl!R13*FoFanalysis[[#This Row],[EUR]]),"")</f>
        <v/>
      </c>
      <c r="P11" s="8" t="str">
        <f>IFERROR(IF(ISBLANK([1]FoFsmonkeyCompl!S13),"",[1]FoFsmonkeyCompl!S13*FoFanalysis[[#This Row],[EUR]]),"")</f>
        <v/>
      </c>
      <c r="Q11" s="8" t="str">
        <f>IFERROR(IF(ISBLANK([1]FoFsmonkeyCompl!T13),"",[1]FoFsmonkeyCompl!T13*FoFanalysis[[#This Row],[EUR]]),"")</f>
        <v/>
      </c>
      <c r="R11" s="8" t="str">
        <f>IFERROR(IF(ISBLANK([1]FoFsmonkeyCompl!U13),"",[1]FoFsmonkeyCompl!U13*FoFanalysis[[#This Row],[EUR]]),"")</f>
        <v/>
      </c>
      <c r="S11" s="8" t="str">
        <f>IFERROR(IF(ISBLANK([1]FoFsmonkeyCompl!V13),"",[1]FoFsmonkeyCompl!V13*FoFanalysis[[#This Row],[EUR]]),"")</f>
        <v/>
      </c>
      <c r="T11" s="8" t="str">
        <f>IFERROR(IF(ISBLANK([1]FoFsmonkeyCompl!W13),"",[1]FoFsmonkeyCompl!W13*FoFanalysis[[#This Row],[EUR]]),"")</f>
        <v/>
      </c>
      <c r="U11" s="8" t="str">
        <f>IFERROR(IF(ISBLANK([1]FoFsmonkeyCompl!X13),"",[1]FoFsmonkeyCompl!X13*FoFanalysis[[#This Row],[EUR]]),"")</f>
        <v/>
      </c>
      <c r="V11" s="8" t="str">
        <f>IFERROR(IF(ISBLANK([1]FoFsmonkeyCompl!Y13),"",[1]FoFsmonkeyCompl!Y13*FoFanalysis[[#This Row],[EUR]]),"")</f>
        <v/>
      </c>
      <c r="W11" s="8" t="str">
        <f>IFERROR(IF(ISBLANK([1]FoFsmonkeyCompl!Z13),"",[1]FoFsmonkeyCompl!Z13*FoFanalysis[[#This Row],[EUR]]),"")</f>
        <v/>
      </c>
      <c r="X11" s="8" t="str">
        <f>IFERROR(IF(ISBLANK([1]FoFsmonkeyCompl!AA13),"",[1]FoFsmonkeyCompl!AA13*FoFanalysis[[#This Row],[EUR]]),"")</f>
        <v/>
      </c>
      <c r="Y11" s="8" t="str">
        <f>IFERROR(IF(ISBLANK([1]FoFsmonkeyCompl!AB13),"",[1]FoFsmonkeyCompl!AB13*FoFanalysis[[#This Row],[EUR]]),"")</f>
        <v/>
      </c>
      <c r="Z11" s="8" t="str">
        <f>IFERROR(IF(ISBLANK([1]FoFsmonkeyCompl!AC13),"",[1]FoFsmonkeyCompl!AC13),"")</f>
        <v/>
      </c>
      <c r="AA11" s="8" t="str">
        <f>IFERROR(IF(ISBLANK([1]FoFsmonkeyCompl!AD13),"",[1]FoFsmonkeyCompl!AD13),"")</f>
        <v/>
      </c>
      <c r="AB11" s="8" t="str">
        <f>IFERROR(IF(ISBLANK([1]FoFsmonkeyCompl!AE13),"",[1]FoFsmonkeyCompl!AE13),"")</f>
        <v/>
      </c>
      <c r="AC11" s="8" t="str">
        <f>IFERROR(IF(ISBLANK([1]FoFsmonkeyCompl!AF13),"",[1]FoFsmonkeyCompl!AF13),"")</f>
        <v/>
      </c>
      <c r="AD11" s="8" t="str">
        <f>IFERROR(IF(ISBLANK([1]FoFsmonkeyCompl!AG13),"",[1]FoFsmonkeyCompl!AG13),"")</f>
        <v>Decrease</v>
      </c>
      <c r="AE11" s="8" t="str">
        <f>IFERROR(IF(ISBLANK([1]FoFsmonkeyCompl!AH13),"",[1]FoFsmonkeyCompl!AH13),"")</f>
        <v>Yes</v>
      </c>
    </row>
    <row r="12" spans="1:31" ht="14.25" thickTop="1" thickBot="1" x14ac:dyDescent="0.25">
      <c r="A12" s="9" t="str">
        <f>IF(OR(ISTEXT([1]FoFsmonkeyCompl!J15),ISNUMBER([1]FoFsmonkeyCompl!J15)),[1]FoFsmonkeyCompl!J15,"")</f>
        <v>Deka Immobilien Investment GmbH</v>
      </c>
      <c r="B12" s="6" t="str">
        <f>IF(OR(ISTEXT([1]FoFsmonkeyCompl!K15),ISNUMBER([1]FoFsmonkeyCompl!K15)),[1]FoFsmonkeyCompl!K15,"")</f>
        <v>Deka-Immobilien StrategieInstitutionell</v>
      </c>
      <c r="C12">
        <v>17629</v>
      </c>
      <c r="D12" s="6" t="str">
        <f>IFERROR(INDEX([1]FundOfFundsUniverse!$B$2:$EU$80,MATCH(FoFanalysis[[#This Row],[ID]],[1]FundOfFundsUniverse!$A$2:$A$80,0),MATCH(FoFanalysis[[#Headers],[Manager Defined Style]],[1]FundOfFundsUniverse!$B$1:$EU$1,0)),"")</f>
        <v>Core</v>
      </c>
      <c r="E12" s="6" t="str">
        <f>IFERROR(INDEX([1]FundOfFundsUniverse!$B$2:$EU$80,MATCH(FoFanalysis[[#This Row],[ID]],[1]FundOfFundsUniverse!$A$2:$A$80,0),MATCH(FoFanalysis[[#Headers],[Vehicle Structure]],[1]FundOfFundsUniverse!$B$1:$EU$1,0)),"")</f>
        <v>Open end</v>
      </c>
      <c r="F12" s="6">
        <f>IFERROR(INDEX([1]FundOfFundsUniverse!$B$2:$EU$80,MATCH(FoFanalysis[[#This Row],[ID]],[1]FundOfFundsUniverse!$A$2:$A$80,0),MATCH(FoFanalysis[[#Headers],[Year of first closing]],[1]FundOfFundsUniverse!$B$1:$EU$1,0)),"")</f>
        <v>2012</v>
      </c>
      <c r="G12" s="6" t="str">
        <f>IF(ISBLANK([1]FoFsmonkeyCompl!L15),"",[1]FoFsmonkeyCompl!L15)</f>
        <v>Yes</v>
      </c>
      <c r="H12" s="6" t="str">
        <f>IF(ISBLANK([1]FoFsmonkeyCompl!M15),"",[1]FoFsmonkeyCompl!M15)</f>
        <v/>
      </c>
      <c r="I12" s="6" t="str">
        <f>IF(ISBLANK([1]FoFsmonkeyCompl!N15),"",[1]FoFsmonkeyCompl!N15)</f>
        <v/>
      </c>
      <c r="J12" s="6" t="str">
        <f>IFERROR(INDEX([1]FundOfFundsUniverse!$B$2:$EU$80,MATCH(FoFanalysis[[#This Row],[ID]],[1]FundOfFundsUniverse!$A$2:$A$80,0),MATCH(FoFanalysis[[#Headers],[Currency of Reporting]],[1]FundOfFundsUniverse!$B$1:$EU$1,0)),"")</f>
        <v>EUR</v>
      </c>
      <c r="K12" s="11">
        <f>VLOOKUP(FoFanalysis[[#This Row],[Currency of Reporting]],'[1]Xrate31.12.20'!$K$1:$M$25,3,0)</f>
        <v>1</v>
      </c>
      <c r="L12" s="11">
        <f>IFERROR(IF(ISBLANK([1]FoFsmonkeyCompl!O15),"",[1]FoFsmonkeyCompl!O15*FoFanalysis[[#This Row],[EUR]]),"")</f>
        <v>188</v>
      </c>
      <c r="M12" s="8" t="str">
        <f>IFERROR(IF(ISBLANK([1]FoFsmonkeyCompl!P15),"",[1]FoFsmonkeyCompl!P15*FoFanalysis[[#This Row],[EUR]]),"")</f>
        <v/>
      </c>
      <c r="N12" s="8" t="str">
        <f>IFERROR(IF(ISBLANK([1]FoFsmonkeyCompl!Q15),"",[1]FoFsmonkeyCompl!Q15*FoFanalysis[[#This Row],[EUR]]),"")</f>
        <v/>
      </c>
      <c r="O12" s="8" t="str">
        <f>IFERROR(IF(ISBLANK([1]FoFsmonkeyCompl!R15),"",[1]FoFsmonkeyCompl!R15*FoFanalysis[[#This Row],[EUR]]),"")</f>
        <v/>
      </c>
      <c r="P12" s="8" t="str">
        <f>IFERROR(IF(ISBLANK([1]FoFsmonkeyCompl!S15),"",[1]FoFsmonkeyCompl!S15*FoFanalysis[[#This Row],[EUR]]),"")</f>
        <v/>
      </c>
      <c r="Q12" s="8" t="str">
        <f>IFERROR(IF(ISBLANK([1]FoFsmonkeyCompl!T15),"",[1]FoFsmonkeyCompl!T15*FoFanalysis[[#This Row],[EUR]]),"")</f>
        <v/>
      </c>
      <c r="R12" s="8" t="str">
        <f>IFERROR(IF(ISBLANK([1]FoFsmonkeyCompl!U15),"",[1]FoFsmonkeyCompl!U15*FoFanalysis[[#This Row],[EUR]]),"")</f>
        <v/>
      </c>
      <c r="S12" s="8" t="str">
        <f>IFERROR(IF(ISBLANK([1]FoFsmonkeyCompl!V15),"",[1]FoFsmonkeyCompl!V15*FoFanalysis[[#This Row],[EUR]]),"")</f>
        <v/>
      </c>
      <c r="T12" s="8">
        <f>IFERROR(IF(ISBLANK([1]FoFsmonkeyCompl!W15),"",[1]FoFsmonkeyCompl!W15*FoFanalysis[[#This Row],[EUR]]),"")</f>
        <v>188</v>
      </c>
      <c r="U12" s="8">
        <f>IFERROR(IF(ISBLANK([1]FoFsmonkeyCompl!X15),"",[1]FoFsmonkeyCompl!X15*FoFanalysis[[#This Row],[EUR]]),"")</f>
        <v>188</v>
      </c>
      <c r="V12" s="8" t="str">
        <f>IFERROR(IF(ISBLANK([1]FoFsmonkeyCompl!Y15),"",[1]FoFsmonkeyCompl!Y15*FoFanalysis[[#This Row],[EUR]]),"")</f>
        <v/>
      </c>
      <c r="W12" s="8" t="str">
        <f>IFERROR(IF(ISBLANK([1]FoFsmonkeyCompl!Z15),"",[1]FoFsmonkeyCompl!Z15*FoFanalysis[[#This Row],[EUR]]),"")</f>
        <v/>
      </c>
      <c r="X12" s="8" t="str">
        <f>IFERROR(IF(ISBLANK([1]FoFsmonkeyCompl!AA15),"",[1]FoFsmonkeyCompl!AA15*FoFanalysis[[#This Row],[EUR]]),"")</f>
        <v/>
      </c>
      <c r="Y12" s="8" t="str">
        <f>IFERROR(IF(ISBLANK([1]FoFsmonkeyCompl!AB15),"",[1]FoFsmonkeyCompl!AB15*FoFanalysis[[#This Row],[EUR]]),"")</f>
        <v/>
      </c>
      <c r="Z12" s="8" t="str">
        <f>IFERROR(IF(ISBLANK([1]FoFsmonkeyCompl!AC15),"",[1]FoFsmonkeyCompl!AC15),"")</f>
        <v/>
      </c>
      <c r="AA12" s="8">
        <f>IFERROR(IF(ISBLANK([1]FoFsmonkeyCompl!AD15),"",[1]FoFsmonkeyCompl!AD15),"")</f>
        <v>100</v>
      </c>
      <c r="AB12" s="8" t="str">
        <f>IFERROR(IF(ISBLANK([1]FoFsmonkeyCompl!AE15),"",[1]FoFsmonkeyCompl!AE15),"")</f>
        <v/>
      </c>
      <c r="AC12" s="8" t="str">
        <f>IFERROR(IF(ISBLANK([1]FoFsmonkeyCompl!AF15),"",[1]FoFsmonkeyCompl!AF15),"")</f>
        <v/>
      </c>
      <c r="AD12" s="8" t="str">
        <f>IFERROR(IF(ISBLANK([1]FoFsmonkeyCompl!AG15),"",[1]FoFsmonkeyCompl!AG15),"")</f>
        <v>No change</v>
      </c>
      <c r="AE12" s="8" t="str">
        <f>IFERROR(IF(ISBLANK([1]FoFsmonkeyCompl!AH15),"",[1]FoFsmonkeyCompl!AH15),"")</f>
        <v>No</v>
      </c>
    </row>
    <row r="13" spans="1:31" ht="14.25" thickTop="1" thickBot="1" x14ac:dyDescent="0.25">
      <c r="A13" s="5" t="str">
        <f>IF(OR(ISTEXT([1]FoFsmonkeyCompl!J16),ISNUMBER([1]FoFsmonkeyCompl!J16)),[1]FoFsmonkeyCompl!J16,"")</f>
        <v/>
      </c>
      <c r="B13" s="6" t="str">
        <f>IF(OR(ISTEXT([1]FoFsmonkeyCompl!K16),ISNUMBER([1]FoFsmonkeyCompl!K16)),[1]FoFsmonkeyCompl!K16,"")</f>
        <v/>
      </c>
      <c r="C13" s="7"/>
      <c r="D13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13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13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13" s="6" t="str">
        <f>IF(ISBLANK([1]FoFsmonkeyCompl!L16),"",[1]FoFsmonkeyCompl!L16)</f>
        <v/>
      </c>
      <c r="H13" s="6" t="str">
        <f>IF(ISBLANK([1]FoFsmonkeyCompl!M16),"",[1]FoFsmonkeyCompl!M16)</f>
        <v/>
      </c>
      <c r="I13" s="6" t="str">
        <f>IF(ISBLANK([1]FoFsmonkeyCompl!N16),"",[1]FoFsmonkeyCompl!N16)</f>
        <v/>
      </c>
      <c r="J13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13" s="11" t="str">
        <f>IFERROR(VLOOKUP(FoFanalysis[[#This Row],[Currency of Reporting]],'[1]Xrate31.12.20'!$F$5:$H$28,3,0),"")</f>
        <v/>
      </c>
      <c r="L13" s="11" t="str">
        <f>IFERROR(IF(ISBLANK([1]FoFsmonkeyCompl!O16),"",[1]FoFsmonkeyCompl!O16*FoFanalysis[[#This Row],[EUR]]),"")</f>
        <v/>
      </c>
      <c r="M13" s="8" t="str">
        <f>IFERROR(IF(ISBLANK([1]FoFsmonkeyCompl!P16),"",[1]FoFsmonkeyCompl!P16*FoFanalysis[[#This Row],[EUR]]),"")</f>
        <v/>
      </c>
      <c r="N13" s="8" t="str">
        <f>IFERROR(IF(ISBLANK([1]FoFsmonkeyCompl!Q16),"",[1]FoFsmonkeyCompl!Q16*FoFanalysis[[#This Row],[EUR]]),"")</f>
        <v/>
      </c>
      <c r="O13" s="8" t="str">
        <f>IFERROR(IF(ISBLANK([1]FoFsmonkeyCompl!R16),"",[1]FoFsmonkeyCompl!R16*FoFanalysis[[#This Row],[EUR]]),"")</f>
        <v/>
      </c>
      <c r="P13" s="8" t="str">
        <f>IFERROR(IF(ISBLANK([1]FoFsmonkeyCompl!S16),"",[1]FoFsmonkeyCompl!S16*FoFanalysis[[#This Row],[EUR]]),"")</f>
        <v/>
      </c>
      <c r="Q13" s="8" t="str">
        <f>IFERROR(IF(ISBLANK([1]FoFsmonkeyCompl!T16),"",[1]FoFsmonkeyCompl!T16*FoFanalysis[[#This Row],[EUR]]),"")</f>
        <v/>
      </c>
      <c r="R13" s="8" t="str">
        <f>IFERROR(IF(ISBLANK([1]FoFsmonkeyCompl!U16),"",[1]FoFsmonkeyCompl!U16*FoFanalysis[[#This Row],[EUR]]),"")</f>
        <v/>
      </c>
      <c r="S13" s="8" t="str">
        <f>IFERROR(IF(ISBLANK([1]FoFsmonkeyCompl!V16),"",[1]FoFsmonkeyCompl!V16*FoFanalysis[[#This Row],[EUR]]),"")</f>
        <v/>
      </c>
      <c r="T13" s="8" t="str">
        <f>IFERROR(IF(ISBLANK([1]FoFsmonkeyCompl!W16),"",[1]FoFsmonkeyCompl!W16*FoFanalysis[[#This Row],[EUR]]),"")</f>
        <v/>
      </c>
      <c r="U13" s="8" t="str">
        <f>IFERROR(IF(ISBLANK([1]FoFsmonkeyCompl!X16),"",[1]FoFsmonkeyCompl!X16*FoFanalysis[[#This Row],[EUR]]),"")</f>
        <v/>
      </c>
      <c r="V13" s="8" t="str">
        <f>IFERROR(IF(ISBLANK([1]FoFsmonkeyCompl!Y16),"",[1]FoFsmonkeyCompl!Y16*FoFanalysis[[#This Row],[EUR]]),"")</f>
        <v/>
      </c>
      <c r="W13" s="8" t="str">
        <f>IFERROR(IF(ISBLANK([1]FoFsmonkeyCompl!Z16),"",[1]FoFsmonkeyCompl!Z16*FoFanalysis[[#This Row],[EUR]]),"")</f>
        <v/>
      </c>
      <c r="X13" s="8" t="str">
        <f>IFERROR(IF(ISBLANK([1]FoFsmonkeyCompl!AA16),"",[1]FoFsmonkeyCompl!AA16*FoFanalysis[[#This Row],[EUR]]),"")</f>
        <v/>
      </c>
      <c r="Y13" s="8" t="str">
        <f>IFERROR(IF(ISBLANK([1]FoFsmonkeyCompl!AB16),"",[1]FoFsmonkeyCompl!AB16*FoFanalysis[[#This Row],[EUR]]),"")</f>
        <v/>
      </c>
      <c r="Z13" s="8" t="str">
        <f>IFERROR(IF(ISBLANK([1]FoFsmonkeyCompl!AC16),"",[1]FoFsmonkeyCompl!AC16),"")</f>
        <v/>
      </c>
      <c r="AA13" s="8" t="str">
        <f>IFERROR(IF(ISBLANK([1]FoFsmonkeyCompl!AD16),"",[1]FoFsmonkeyCompl!AD16),"")</f>
        <v/>
      </c>
      <c r="AB13" s="8" t="str">
        <f>IFERROR(IF(ISBLANK([1]FoFsmonkeyCompl!AE16),"",[1]FoFsmonkeyCompl!AE16),"")</f>
        <v/>
      </c>
      <c r="AC13" s="8" t="str">
        <f>IFERROR(IF(ISBLANK([1]FoFsmonkeyCompl!AF16),"",[1]FoFsmonkeyCompl!AF16),"")</f>
        <v/>
      </c>
      <c r="AD13" s="8" t="str">
        <f>IFERROR(IF(ISBLANK([1]FoFsmonkeyCompl!AG16),"",[1]FoFsmonkeyCompl!AG16),"")</f>
        <v/>
      </c>
      <c r="AE13" s="8" t="str">
        <f>IFERROR(IF(ISBLANK([1]FoFsmonkeyCompl!AH16),"",[1]FoFsmonkeyCompl!AH16),"")</f>
        <v/>
      </c>
    </row>
    <row r="14" spans="1:31" ht="14.25" thickTop="1" thickBot="1" x14ac:dyDescent="0.25">
      <c r="A14" s="9" t="str">
        <f>IF(OR(ISTEXT([1]FoFsmonkeyCompl!J17),ISNUMBER([1]FoFsmonkeyCompl!J17)),[1]FoFsmonkeyCompl!J17,"")</f>
        <v/>
      </c>
      <c r="B14" s="6" t="str">
        <f>IF(OR(ISTEXT([1]FoFsmonkeyCompl!K17),ISNUMBER([1]FoFsmonkeyCompl!K17)),[1]FoFsmonkeyCompl!K17,"")</f>
        <v/>
      </c>
      <c r="C14" s="7"/>
      <c r="D14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14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14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14" s="6" t="str">
        <f>IF(ISBLANK([1]FoFsmonkeyCompl!L17),"",[1]FoFsmonkeyCompl!L17)</f>
        <v/>
      </c>
      <c r="H14" s="6" t="str">
        <f>IF(ISBLANK([1]FoFsmonkeyCompl!M17),"",[1]FoFsmonkeyCompl!M17)</f>
        <v/>
      </c>
      <c r="I14" s="6" t="str">
        <f>IF(ISBLANK([1]FoFsmonkeyCompl!N17),"",[1]FoFsmonkeyCompl!N17)</f>
        <v/>
      </c>
      <c r="J14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14" s="11" t="str">
        <f>IFERROR(VLOOKUP(FoFanalysis[[#This Row],[Currency of Reporting]],'[1]Xrate31.12.20'!$F$5:$H$28,3,0),"")</f>
        <v/>
      </c>
      <c r="L14" s="11" t="str">
        <f>IFERROR(IF(ISBLANK([1]FoFsmonkeyCompl!O17),"",[1]FoFsmonkeyCompl!O17*FoFanalysis[[#This Row],[EUR]]),"")</f>
        <v/>
      </c>
      <c r="M14" s="8" t="str">
        <f>IFERROR(IF(ISBLANK([1]FoFsmonkeyCompl!P17),"",[1]FoFsmonkeyCompl!P17*FoFanalysis[[#This Row],[EUR]]),"")</f>
        <v/>
      </c>
      <c r="N14" s="8" t="str">
        <f>IFERROR(IF(ISBLANK([1]FoFsmonkeyCompl!Q17),"",[1]FoFsmonkeyCompl!Q17*FoFanalysis[[#This Row],[EUR]]),"")</f>
        <v/>
      </c>
      <c r="O14" s="8" t="str">
        <f>IFERROR(IF(ISBLANK([1]FoFsmonkeyCompl!R17),"",[1]FoFsmonkeyCompl!R17*FoFanalysis[[#This Row],[EUR]]),"")</f>
        <v/>
      </c>
      <c r="P14" s="8" t="str">
        <f>IFERROR(IF(ISBLANK([1]FoFsmonkeyCompl!S17),"",[1]FoFsmonkeyCompl!S17*FoFanalysis[[#This Row],[EUR]]),"")</f>
        <v/>
      </c>
      <c r="Q14" s="8" t="str">
        <f>IFERROR(IF(ISBLANK([1]FoFsmonkeyCompl!T17),"",[1]FoFsmonkeyCompl!T17*FoFanalysis[[#This Row],[EUR]]),"")</f>
        <v/>
      </c>
      <c r="R14" s="8" t="str">
        <f>IFERROR(IF(ISBLANK([1]FoFsmonkeyCompl!U17),"",[1]FoFsmonkeyCompl!U17*FoFanalysis[[#This Row],[EUR]]),"")</f>
        <v/>
      </c>
      <c r="S14" s="8" t="str">
        <f>IFERROR(IF(ISBLANK([1]FoFsmonkeyCompl!V17),"",[1]FoFsmonkeyCompl!V17*FoFanalysis[[#This Row],[EUR]]),"")</f>
        <v/>
      </c>
      <c r="T14" s="8" t="str">
        <f>IFERROR(IF(ISBLANK([1]FoFsmonkeyCompl!W17),"",[1]FoFsmonkeyCompl!W17*FoFanalysis[[#This Row],[EUR]]),"")</f>
        <v/>
      </c>
      <c r="U14" s="8" t="str">
        <f>IFERROR(IF(ISBLANK([1]FoFsmonkeyCompl!X17),"",[1]FoFsmonkeyCompl!X17*FoFanalysis[[#This Row],[EUR]]),"")</f>
        <v/>
      </c>
      <c r="V14" s="8" t="str">
        <f>IFERROR(IF(ISBLANK([1]FoFsmonkeyCompl!Y17),"",[1]FoFsmonkeyCompl!Y17*FoFanalysis[[#This Row],[EUR]]),"")</f>
        <v/>
      </c>
      <c r="W14" s="8" t="str">
        <f>IFERROR(IF(ISBLANK([1]FoFsmonkeyCompl!Z17),"",[1]FoFsmonkeyCompl!Z17*FoFanalysis[[#This Row],[EUR]]),"")</f>
        <v/>
      </c>
      <c r="X14" s="8" t="str">
        <f>IFERROR(IF(ISBLANK([1]FoFsmonkeyCompl!AA17),"",[1]FoFsmonkeyCompl!AA17*FoFanalysis[[#This Row],[EUR]]),"")</f>
        <v/>
      </c>
      <c r="Y14" s="8" t="str">
        <f>IFERROR(IF(ISBLANK([1]FoFsmonkeyCompl!AB17),"",[1]FoFsmonkeyCompl!AB17*FoFanalysis[[#This Row],[EUR]]),"")</f>
        <v/>
      </c>
      <c r="Z14" s="8" t="str">
        <f>IFERROR(IF(ISBLANK([1]FoFsmonkeyCompl!AC17),"",[1]FoFsmonkeyCompl!AC17),"")</f>
        <v/>
      </c>
      <c r="AA14" s="8" t="str">
        <f>IFERROR(IF(ISBLANK([1]FoFsmonkeyCompl!AD17),"",[1]FoFsmonkeyCompl!AD17),"")</f>
        <v/>
      </c>
      <c r="AB14" s="8" t="str">
        <f>IFERROR(IF(ISBLANK([1]FoFsmonkeyCompl!AE17),"",[1]FoFsmonkeyCompl!AE17),"")</f>
        <v/>
      </c>
      <c r="AC14" s="8" t="str">
        <f>IFERROR(IF(ISBLANK([1]FoFsmonkeyCompl!AF17),"",[1]FoFsmonkeyCompl!AF17),"")</f>
        <v/>
      </c>
      <c r="AD14" s="8" t="str">
        <f>IFERROR(IF(ISBLANK([1]FoFsmonkeyCompl!AG17),"",[1]FoFsmonkeyCompl!AG17),"")</f>
        <v/>
      </c>
      <c r="AE14" s="8" t="str">
        <f>IFERROR(IF(ISBLANK([1]FoFsmonkeyCompl!AH17),"",[1]FoFsmonkeyCompl!AH17),"")</f>
        <v/>
      </c>
    </row>
    <row r="15" spans="1:31" ht="14.25" thickTop="1" thickBot="1" x14ac:dyDescent="0.25">
      <c r="A15" s="5" t="str">
        <f>IF(OR(ISTEXT([1]FoFsmonkeyCompl!J18),ISNUMBER([1]FoFsmonkeyCompl!J18)),[1]FoFsmonkeyCompl!J18,"")</f>
        <v/>
      </c>
      <c r="B15" s="6" t="str">
        <f>IF(OR(ISTEXT([1]FoFsmonkeyCompl!K18),ISNUMBER([1]FoFsmonkeyCompl!K18)),[1]FoFsmonkeyCompl!K18,"")</f>
        <v/>
      </c>
      <c r="C15" s="7"/>
      <c r="D15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15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15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15" s="6" t="str">
        <f>IF(ISBLANK([1]FoFsmonkeyCompl!L18),"",[1]FoFsmonkeyCompl!L18)</f>
        <v/>
      </c>
      <c r="H15" s="6" t="str">
        <f>IF(ISBLANK([1]FoFsmonkeyCompl!M18),"",[1]FoFsmonkeyCompl!M18)</f>
        <v/>
      </c>
      <c r="I15" s="6" t="str">
        <f>IF(ISBLANK([1]FoFsmonkeyCompl!N18),"",[1]FoFsmonkeyCompl!N18)</f>
        <v/>
      </c>
      <c r="J15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15" s="11" t="str">
        <f>IFERROR(VLOOKUP(FoFanalysis[[#This Row],[Currency of Reporting]],'[1]Xrate31.12.20'!$F$5:$H$28,3,0),"")</f>
        <v/>
      </c>
      <c r="L15" s="11" t="str">
        <f>IFERROR(IF(ISBLANK([1]FoFsmonkeyCompl!O18),"",[1]FoFsmonkeyCompl!O18*FoFanalysis[[#This Row],[EUR]]),"")</f>
        <v/>
      </c>
      <c r="M15" s="8" t="str">
        <f>IFERROR(IF(ISBLANK([1]FoFsmonkeyCompl!P18),"",[1]FoFsmonkeyCompl!P18*FoFanalysis[[#This Row],[EUR]]),"")</f>
        <v/>
      </c>
      <c r="N15" s="8" t="str">
        <f>IFERROR(IF(ISBLANK([1]FoFsmonkeyCompl!Q18),"",[1]FoFsmonkeyCompl!Q18*FoFanalysis[[#This Row],[EUR]]),"")</f>
        <v/>
      </c>
      <c r="O15" s="8" t="str">
        <f>IFERROR(IF(ISBLANK([1]FoFsmonkeyCompl!R18),"",[1]FoFsmonkeyCompl!R18*FoFanalysis[[#This Row],[EUR]]),"")</f>
        <v/>
      </c>
      <c r="P15" s="8" t="str">
        <f>IFERROR(IF(ISBLANK([1]FoFsmonkeyCompl!S18),"",[1]FoFsmonkeyCompl!S18*FoFanalysis[[#This Row],[EUR]]),"")</f>
        <v/>
      </c>
      <c r="Q15" s="8" t="str">
        <f>IFERROR(IF(ISBLANK([1]FoFsmonkeyCompl!T18),"",[1]FoFsmonkeyCompl!T18*FoFanalysis[[#This Row],[EUR]]),"")</f>
        <v/>
      </c>
      <c r="R15" s="8" t="str">
        <f>IFERROR(IF(ISBLANK([1]FoFsmonkeyCompl!U18),"",[1]FoFsmonkeyCompl!U18*FoFanalysis[[#This Row],[EUR]]),"")</f>
        <v/>
      </c>
      <c r="S15" s="8" t="str">
        <f>IFERROR(IF(ISBLANK([1]FoFsmonkeyCompl!V18),"",[1]FoFsmonkeyCompl!V18*FoFanalysis[[#This Row],[EUR]]),"")</f>
        <v/>
      </c>
      <c r="T15" s="8" t="str">
        <f>IFERROR(IF(ISBLANK([1]FoFsmonkeyCompl!W18),"",[1]FoFsmonkeyCompl!W18*FoFanalysis[[#This Row],[EUR]]),"")</f>
        <v/>
      </c>
      <c r="U15" s="8" t="str">
        <f>IFERROR(IF(ISBLANK([1]FoFsmonkeyCompl!X18),"",[1]FoFsmonkeyCompl!X18*FoFanalysis[[#This Row],[EUR]]),"")</f>
        <v/>
      </c>
      <c r="V15" s="8" t="str">
        <f>IFERROR(IF(ISBLANK([1]FoFsmonkeyCompl!Y18),"",[1]FoFsmonkeyCompl!Y18*FoFanalysis[[#This Row],[EUR]]),"")</f>
        <v/>
      </c>
      <c r="W15" s="8" t="str">
        <f>IFERROR(IF(ISBLANK([1]FoFsmonkeyCompl!Z18),"",[1]FoFsmonkeyCompl!Z18*FoFanalysis[[#This Row],[EUR]]),"")</f>
        <v/>
      </c>
      <c r="X15" s="8" t="str">
        <f>IFERROR(IF(ISBLANK([1]FoFsmonkeyCompl!AA18),"",[1]FoFsmonkeyCompl!AA18*FoFanalysis[[#This Row],[EUR]]),"")</f>
        <v/>
      </c>
      <c r="Y15" s="8" t="str">
        <f>IFERROR(IF(ISBLANK([1]FoFsmonkeyCompl!AB18),"",[1]FoFsmonkeyCompl!AB18*FoFanalysis[[#This Row],[EUR]]),"")</f>
        <v/>
      </c>
      <c r="Z15" s="8" t="str">
        <f>IFERROR(IF(ISBLANK([1]FoFsmonkeyCompl!AC18),"",[1]FoFsmonkeyCompl!AC18),"")</f>
        <v/>
      </c>
      <c r="AA15" s="8" t="str">
        <f>IFERROR(IF(ISBLANK([1]FoFsmonkeyCompl!AD18),"",[1]FoFsmonkeyCompl!AD18),"")</f>
        <v/>
      </c>
      <c r="AB15" s="8" t="str">
        <f>IFERROR(IF(ISBLANK([1]FoFsmonkeyCompl!AE18),"",[1]FoFsmonkeyCompl!AE18),"")</f>
        <v/>
      </c>
      <c r="AC15" s="8" t="str">
        <f>IFERROR(IF(ISBLANK([1]FoFsmonkeyCompl!AF18),"",[1]FoFsmonkeyCompl!AF18),"")</f>
        <v/>
      </c>
      <c r="AD15" s="8" t="str">
        <f>IFERROR(IF(ISBLANK([1]FoFsmonkeyCompl!AG18),"",[1]FoFsmonkeyCompl!AG18),"")</f>
        <v/>
      </c>
      <c r="AE15" s="8" t="str">
        <f>IFERROR(IF(ISBLANK([1]FoFsmonkeyCompl!AH18),"",[1]FoFsmonkeyCompl!AH18),"")</f>
        <v/>
      </c>
    </row>
    <row r="16" spans="1:31" ht="16.5" thickTop="1" thickBot="1" x14ac:dyDescent="0.3">
      <c r="A16" s="9" t="str">
        <f>IF(OR(ISTEXT([1]FoFsmonkeyCompl!J19),ISNUMBER([1]FoFsmonkeyCompl!J19)),[1]FoFsmonkeyCompl!J19,"")</f>
        <v/>
      </c>
      <c r="B16" s="31"/>
      <c r="C16" s="7"/>
      <c r="D16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16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16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16" s="6" t="str">
        <f>IF(ISBLANK([1]FoFsmonkeyCompl!L19),"",[1]FoFsmonkeyCompl!L19)</f>
        <v/>
      </c>
      <c r="H16" s="6" t="str">
        <f>IF(ISBLANK([1]FoFsmonkeyCompl!M19),"",[1]FoFsmonkeyCompl!M19)</f>
        <v/>
      </c>
      <c r="I16" s="6" t="str">
        <f>IF(ISBLANK([1]FoFsmonkeyCompl!N19),"",[1]FoFsmonkeyCompl!N19)</f>
        <v/>
      </c>
      <c r="J16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16" s="11" t="str">
        <f>IFERROR(VLOOKUP(FoFanalysis[[#This Row],[Currency of Reporting]],'[1]Xrate31.12.20'!$F$5:$H$28,3,0),"")</f>
        <v/>
      </c>
      <c r="L16" s="11" t="str">
        <f>IFERROR(IF(ISBLANK([1]FoFsmonkeyCompl!O19),"",[1]FoFsmonkeyCompl!O19*FoFanalysis[[#This Row],[EUR]]),"")</f>
        <v/>
      </c>
      <c r="M16" s="8" t="str">
        <f>IFERROR(IF(ISBLANK([1]FoFsmonkeyCompl!P19),"",[1]FoFsmonkeyCompl!P19*FoFanalysis[[#This Row],[EUR]]),"")</f>
        <v/>
      </c>
      <c r="N16" s="8" t="str">
        <f>IFERROR(IF(ISBLANK([1]FoFsmonkeyCompl!Q19),"",[1]FoFsmonkeyCompl!Q19*FoFanalysis[[#This Row],[EUR]]),"")</f>
        <v/>
      </c>
      <c r="O16" s="8" t="str">
        <f>IFERROR(IF(ISBLANK([1]FoFsmonkeyCompl!R19),"",[1]FoFsmonkeyCompl!R19*FoFanalysis[[#This Row],[EUR]]),"")</f>
        <v/>
      </c>
      <c r="P16" s="8" t="str">
        <f>IFERROR(IF(ISBLANK([1]FoFsmonkeyCompl!S19),"",[1]FoFsmonkeyCompl!S19*FoFanalysis[[#This Row],[EUR]]),"")</f>
        <v/>
      </c>
      <c r="Q16" s="8" t="str">
        <f>IFERROR(IF(ISBLANK([1]FoFsmonkeyCompl!T19),"",[1]FoFsmonkeyCompl!T19*FoFanalysis[[#This Row],[EUR]]),"")</f>
        <v/>
      </c>
      <c r="R16" s="8" t="str">
        <f>IFERROR(IF(ISBLANK([1]FoFsmonkeyCompl!U19),"",[1]FoFsmonkeyCompl!U19*FoFanalysis[[#This Row],[EUR]]),"")</f>
        <v/>
      </c>
      <c r="S16" s="8" t="str">
        <f>IFERROR(IF(ISBLANK([1]FoFsmonkeyCompl!V19),"",[1]FoFsmonkeyCompl!V19*FoFanalysis[[#This Row],[EUR]]),"")</f>
        <v/>
      </c>
      <c r="T16" s="8" t="str">
        <f>IFERROR(IF(ISBLANK([1]FoFsmonkeyCompl!W19),"",[1]FoFsmonkeyCompl!W19*FoFanalysis[[#This Row],[EUR]]),"")</f>
        <v/>
      </c>
      <c r="U16" s="8" t="str">
        <f>IFERROR(IF(ISBLANK([1]FoFsmonkeyCompl!X19),"",[1]FoFsmonkeyCompl!X19*FoFanalysis[[#This Row],[EUR]]),"")</f>
        <v/>
      </c>
      <c r="V16" s="8" t="str">
        <f>IFERROR(IF(ISBLANK([1]FoFsmonkeyCompl!Y19),"",[1]FoFsmonkeyCompl!Y19*FoFanalysis[[#This Row],[EUR]]),"")</f>
        <v/>
      </c>
      <c r="W16" s="8" t="str">
        <f>IFERROR(IF(ISBLANK([1]FoFsmonkeyCompl!Z19),"",[1]FoFsmonkeyCompl!Z19*FoFanalysis[[#This Row],[EUR]]),"")</f>
        <v/>
      </c>
      <c r="X16" s="8" t="str">
        <f>IFERROR(IF(ISBLANK([1]FoFsmonkeyCompl!AA19),"",[1]FoFsmonkeyCompl!AA19*FoFanalysis[[#This Row],[EUR]]),"")</f>
        <v/>
      </c>
      <c r="Y16" s="8" t="str">
        <f>IFERROR(IF(ISBLANK([1]FoFsmonkeyCompl!AB19),"",[1]FoFsmonkeyCompl!AB19*FoFanalysis[[#This Row],[EUR]]),"")</f>
        <v/>
      </c>
      <c r="Z16" s="8" t="str">
        <f>IFERROR(IF(ISBLANK([1]FoFsmonkeyCompl!AC19),"",[1]FoFsmonkeyCompl!AC19),"")</f>
        <v/>
      </c>
      <c r="AA16" s="8" t="str">
        <f>IFERROR(IF(ISBLANK([1]FoFsmonkeyCompl!AD19),"",[1]FoFsmonkeyCompl!AD19),"")</f>
        <v/>
      </c>
      <c r="AB16" s="8" t="str">
        <f>IFERROR(IF(ISBLANK([1]FoFsmonkeyCompl!AE19),"",[1]FoFsmonkeyCompl!AE19),"")</f>
        <v/>
      </c>
      <c r="AC16" s="8" t="str">
        <f>IFERROR(IF(ISBLANK([1]FoFsmonkeyCompl!AF19),"",[1]FoFsmonkeyCompl!AF19),"")</f>
        <v/>
      </c>
      <c r="AD16" s="8" t="str">
        <f>IFERROR(IF(ISBLANK([1]FoFsmonkeyCompl!AG19),"",[1]FoFsmonkeyCompl!AG19),"")</f>
        <v/>
      </c>
      <c r="AE16" s="8" t="str">
        <f>IFERROR(IF(ISBLANK([1]FoFsmonkeyCompl!AH19),"",[1]FoFsmonkeyCompl!AH19),"")</f>
        <v/>
      </c>
    </row>
    <row r="17" spans="1:31" ht="16.5" thickTop="1" thickBot="1" x14ac:dyDescent="0.3">
      <c r="A17" s="5" t="str">
        <f>IF(OR(ISTEXT([1]FoFsmonkeyCompl!J20),ISNUMBER([1]FoFsmonkeyCompl!J20)),[1]FoFsmonkeyCompl!J20,"")</f>
        <v/>
      </c>
      <c r="B17" s="31"/>
      <c r="C17" s="7"/>
      <c r="D17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17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17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17" s="6" t="str">
        <f>IF(ISBLANK([1]FoFsmonkeyCompl!L20),"",[1]FoFsmonkeyCompl!L20)</f>
        <v/>
      </c>
      <c r="H17" s="6" t="str">
        <f>IF(ISBLANK([1]FoFsmonkeyCompl!M20),"",[1]FoFsmonkeyCompl!M20)</f>
        <v/>
      </c>
      <c r="I17" s="6" t="str">
        <f>IF(ISBLANK([1]FoFsmonkeyCompl!N20),"",[1]FoFsmonkeyCompl!N20)</f>
        <v/>
      </c>
      <c r="J17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17" s="11" t="str">
        <f>IFERROR(VLOOKUP(FoFanalysis[[#This Row],[Currency of Reporting]],'[1]Xrate31.12.20'!$F$5:$H$28,3,0),"")</f>
        <v/>
      </c>
      <c r="L17" s="11" t="str">
        <f>IFERROR(IF(ISBLANK([1]FoFsmonkeyCompl!O20),"",[1]FoFsmonkeyCompl!O20*FoFanalysis[[#This Row],[EUR]]),"")</f>
        <v/>
      </c>
      <c r="M17" s="8" t="str">
        <f>IFERROR(IF(ISBLANK([1]FoFsmonkeyCompl!P20),"",[1]FoFsmonkeyCompl!P20*FoFanalysis[[#This Row],[EUR]]),"")</f>
        <v/>
      </c>
      <c r="N17" s="8" t="str">
        <f>IFERROR(IF(ISBLANK([1]FoFsmonkeyCompl!Q20),"",[1]FoFsmonkeyCompl!Q20*FoFanalysis[[#This Row],[EUR]]),"")</f>
        <v/>
      </c>
      <c r="O17" s="8" t="str">
        <f>IFERROR(IF(ISBLANK([1]FoFsmonkeyCompl!R20),"",[1]FoFsmonkeyCompl!R20*FoFanalysis[[#This Row],[EUR]]),"")</f>
        <v/>
      </c>
      <c r="P17" s="8" t="str">
        <f>IFERROR(IF(ISBLANK([1]FoFsmonkeyCompl!S20),"",[1]FoFsmonkeyCompl!S20*FoFanalysis[[#This Row],[EUR]]),"")</f>
        <v/>
      </c>
      <c r="Q17" s="8" t="str">
        <f>IFERROR(IF(ISBLANK([1]FoFsmonkeyCompl!T20),"",[1]FoFsmonkeyCompl!T20*FoFanalysis[[#This Row],[EUR]]),"")</f>
        <v/>
      </c>
      <c r="R17" s="8" t="str">
        <f>IFERROR(IF(ISBLANK([1]FoFsmonkeyCompl!U20),"",[1]FoFsmonkeyCompl!U20*FoFanalysis[[#This Row],[EUR]]),"")</f>
        <v/>
      </c>
      <c r="S17" s="8" t="str">
        <f>IFERROR(IF(ISBLANK([1]FoFsmonkeyCompl!V20),"",[1]FoFsmonkeyCompl!V20*FoFanalysis[[#This Row],[EUR]]),"")</f>
        <v/>
      </c>
      <c r="T17" s="8" t="str">
        <f>IFERROR(IF(ISBLANK([1]FoFsmonkeyCompl!W20),"",[1]FoFsmonkeyCompl!W20*FoFanalysis[[#This Row],[EUR]]),"")</f>
        <v/>
      </c>
      <c r="U17" s="8" t="str">
        <f>IFERROR(IF(ISBLANK([1]FoFsmonkeyCompl!X20),"",[1]FoFsmonkeyCompl!X20*FoFanalysis[[#This Row],[EUR]]),"")</f>
        <v/>
      </c>
      <c r="V17" s="8" t="str">
        <f>IFERROR(IF(ISBLANK([1]FoFsmonkeyCompl!Y20),"",[1]FoFsmonkeyCompl!Y20*FoFanalysis[[#This Row],[EUR]]),"")</f>
        <v/>
      </c>
      <c r="W17" s="8" t="str">
        <f>IFERROR(IF(ISBLANK([1]FoFsmonkeyCompl!Z20),"",[1]FoFsmonkeyCompl!Z20*FoFanalysis[[#This Row],[EUR]]),"")</f>
        <v/>
      </c>
      <c r="X17" s="8" t="str">
        <f>IFERROR(IF(ISBLANK([1]FoFsmonkeyCompl!AA20),"",[1]FoFsmonkeyCompl!AA20*FoFanalysis[[#This Row],[EUR]]),"")</f>
        <v/>
      </c>
      <c r="Y17" s="8" t="str">
        <f>IFERROR(IF(ISBLANK([1]FoFsmonkeyCompl!AB20),"",[1]FoFsmonkeyCompl!AB20*FoFanalysis[[#This Row],[EUR]]),"")</f>
        <v/>
      </c>
      <c r="Z17" s="8" t="str">
        <f>IFERROR(IF(ISBLANK([1]FoFsmonkeyCompl!AC20),"",[1]FoFsmonkeyCompl!AC20),"")</f>
        <v/>
      </c>
      <c r="AA17" s="8" t="str">
        <f>IFERROR(IF(ISBLANK([1]FoFsmonkeyCompl!AD20),"",[1]FoFsmonkeyCompl!AD20),"")</f>
        <v/>
      </c>
      <c r="AB17" s="8" t="str">
        <f>IFERROR(IF(ISBLANK([1]FoFsmonkeyCompl!AE20),"",[1]FoFsmonkeyCompl!AE20),"")</f>
        <v/>
      </c>
      <c r="AC17" s="8" t="str">
        <f>IFERROR(IF(ISBLANK([1]FoFsmonkeyCompl!AF20),"",[1]FoFsmonkeyCompl!AF20),"")</f>
        <v/>
      </c>
      <c r="AD17" s="8" t="str">
        <f>IFERROR(IF(ISBLANK([1]FoFsmonkeyCompl!AG20),"",[1]FoFsmonkeyCompl!AG20),"")</f>
        <v/>
      </c>
      <c r="AE17" s="8" t="str">
        <f>IFERROR(IF(ISBLANK([1]FoFsmonkeyCompl!AH20),"",[1]FoFsmonkeyCompl!AH20),"")</f>
        <v/>
      </c>
    </row>
    <row r="18" spans="1:31" ht="16.5" thickTop="1" thickBot="1" x14ac:dyDescent="0.3">
      <c r="A18" s="9" t="str">
        <f>IF(OR(ISTEXT([1]FoFsmonkeyCompl!J21),ISNUMBER([1]FoFsmonkeyCompl!J21)),[1]FoFsmonkeyCompl!J21,"")</f>
        <v/>
      </c>
      <c r="B18" s="31"/>
      <c r="C18" s="7"/>
      <c r="D18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18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18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18" s="6" t="str">
        <f>IF(ISBLANK([1]FoFsmonkeyCompl!L21),"",[1]FoFsmonkeyCompl!L21)</f>
        <v/>
      </c>
      <c r="H18" s="6" t="str">
        <f>IF(ISBLANK([1]FoFsmonkeyCompl!M21),"",[1]FoFsmonkeyCompl!M21)</f>
        <v/>
      </c>
      <c r="I18" s="6" t="str">
        <f>IF(ISBLANK([1]FoFsmonkeyCompl!N21),"",[1]FoFsmonkeyCompl!N21)</f>
        <v/>
      </c>
      <c r="J18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18" s="11" t="str">
        <f>IFERROR(VLOOKUP(FoFanalysis[[#This Row],[Currency of Reporting]],'[1]Xrate31.12.20'!$F$5:$H$28,3,0),"")</f>
        <v/>
      </c>
      <c r="L18" s="11" t="str">
        <f>IFERROR(IF(ISBLANK([1]FoFsmonkeyCompl!O21),"",[1]FoFsmonkeyCompl!O21*FoFanalysis[[#This Row],[EUR]]),"")</f>
        <v/>
      </c>
      <c r="M18" s="8" t="str">
        <f>IFERROR(IF(ISBLANK([1]FoFsmonkeyCompl!P21),"",[1]FoFsmonkeyCompl!P21*FoFanalysis[[#This Row],[EUR]]),"")</f>
        <v/>
      </c>
      <c r="N18" s="8" t="str">
        <f>IFERROR(IF(ISBLANK([1]FoFsmonkeyCompl!Q21),"",[1]FoFsmonkeyCompl!Q21*FoFanalysis[[#This Row],[EUR]]),"")</f>
        <v/>
      </c>
      <c r="O18" s="8" t="str">
        <f>IFERROR(IF(ISBLANK([1]FoFsmonkeyCompl!R21),"",[1]FoFsmonkeyCompl!R21*FoFanalysis[[#This Row],[EUR]]),"")</f>
        <v/>
      </c>
      <c r="P18" s="8" t="str">
        <f>IFERROR(IF(ISBLANK([1]FoFsmonkeyCompl!S21),"",[1]FoFsmonkeyCompl!S21*FoFanalysis[[#This Row],[EUR]]),"")</f>
        <v/>
      </c>
      <c r="Q18" s="8" t="str">
        <f>IFERROR(IF(ISBLANK([1]FoFsmonkeyCompl!T21),"",[1]FoFsmonkeyCompl!T21*FoFanalysis[[#This Row],[EUR]]),"")</f>
        <v/>
      </c>
      <c r="R18" s="8" t="str">
        <f>IFERROR(IF(ISBLANK([1]FoFsmonkeyCompl!U21),"",[1]FoFsmonkeyCompl!U21*FoFanalysis[[#This Row],[EUR]]),"")</f>
        <v/>
      </c>
      <c r="S18" s="8" t="str">
        <f>IFERROR(IF(ISBLANK([1]FoFsmonkeyCompl!V21),"",[1]FoFsmonkeyCompl!V21*FoFanalysis[[#This Row],[EUR]]),"")</f>
        <v/>
      </c>
      <c r="T18" s="8" t="str">
        <f>IFERROR(IF(ISBLANK([1]FoFsmonkeyCompl!W21),"",[1]FoFsmonkeyCompl!W21*FoFanalysis[[#This Row],[EUR]]),"")</f>
        <v/>
      </c>
      <c r="U18" s="8" t="str">
        <f>IFERROR(IF(ISBLANK([1]FoFsmonkeyCompl!X21),"",[1]FoFsmonkeyCompl!X21*FoFanalysis[[#This Row],[EUR]]),"")</f>
        <v/>
      </c>
      <c r="V18" s="8" t="str">
        <f>IFERROR(IF(ISBLANK([1]FoFsmonkeyCompl!Y21),"",[1]FoFsmonkeyCompl!Y21*FoFanalysis[[#This Row],[EUR]]),"")</f>
        <v/>
      </c>
      <c r="W18" s="8" t="str">
        <f>IFERROR(IF(ISBLANK([1]FoFsmonkeyCompl!Z21),"",[1]FoFsmonkeyCompl!Z21*FoFanalysis[[#This Row],[EUR]]),"")</f>
        <v/>
      </c>
      <c r="X18" s="8" t="str">
        <f>IFERROR(IF(ISBLANK([1]FoFsmonkeyCompl!AA21),"",[1]FoFsmonkeyCompl!AA21*FoFanalysis[[#This Row],[EUR]]),"")</f>
        <v/>
      </c>
      <c r="Y18" s="8" t="str">
        <f>IFERROR(IF(ISBLANK([1]FoFsmonkeyCompl!AB21),"",[1]FoFsmonkeyCompl!AB21*FoFanalysis[[#This Row],[EUR]]),"")</f>
        <v/>
      </c>
      <c r="Z18" s="8" t="str">
        <f>IFERROR(IF(ISBLANK([1]FoFsmonkeyCompl!AC21),"",[1]FoFsmonkeyCompl!AC21),"")</f>
        <v/>
      </c>
      <c r="AA18" s="8" t="str">
        <f>IFERROR(IF(ISBLANK([1]FoFsmonkeyCompl!AD21),"",[1]FoFsmonkeyCompl!AD21),"")</f>
        <v/>
      </c>
      <c r="AB18" s="8" t="str">
        <f>IFERROR(IF(ISBLANK([1]FoFsmonkeyCompl!AE21),"",[1]FoFsmonkeyCompl!AE21),"")</f>
        <v/>
      </c>
      <c r="AC18" s="8" t="str">
        <f>IFERROR(IF(ISBLANK([1]FoFsmonkeyCompl!AF21),"",[1]FoFsmonkeyCompl!AF21),"")</f>
        <v/>
      </c>
      <c r="AD18" s="8" t="str">
        <f>IFERROR(IF(ISBLANK([1]FoFsmonkeyCompl!AG21),"",[1]FoFsmonkeyCompl!AG21),"")</f>
        <v/>
      </c>
      <c r="AE18" s="8" t="str">
        <f>IFERROR(IF(ISBLANK([1]FoFsmonkeyCompl!AH21),"",[1]FoFsmonkeyCompl!AH21),"")</f>
        <v/>
      </c>
    </row>
    <row r="19" spans="1:31" ht="16.5" thickTop="1" thickBot="1" x14ac:dyDescent="0.3">
      <c r="A19" s="5" t="str">
        <f>IF(OR(ISTEXT([1]FoFsmonkeyCompl!J22),ISNUMBER([1]FoFsmonkeyCompl!J22)),[1]FoFsmonkeyCompl!J22,"")</f>
        <v/>
      </c>
      <c r="B19" s="31"/>
      <c r="C19" s="7"/>
      <c r="D19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19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19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19" s="6" t="str">
        <f>IF(ISBLANK([1]FoFsmonkeyCompl!L22),"",[1]FoFsmonkeyCompl!L22)</f>
        <v/>
      </c>
      <c r="H19" s="6" t="str">
        <f>IF(ISBLANK([1]FoFsmonkeyCompl!M22),"",[1]FoFsmonkeyCompl!M22)</f>
        <v/>
      </c>
      <c r="I19" s="6" t="str">
        <f>IF(ISBLANK([1]FoFsmonkeyCompl!N22),"",[1]FoFsmonkeyCompl!N22)</f>
        <v/>
      </c>
      <c r="J19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19" s="11" t="str">
        <f>IFERROR(VLOOKUP(FoFanalysis[[#This Row],[Currency of Reporting]],'[1]Xrate31.12.20'!$F$5:$H$28,3,0),"")</f>
        <v/>
      </c>
      <c r="L19" s="11" t="str">
        <f>IFERROR(IF(ISBLANK([1]FoFsmonkeyCompl!O22),"",[1]FoFsmonkeyCompl!O22*FoFanalysis[[#This Row],[EUR]]),"")</f>
        <v/>
      </c>
      <c r="M19" s="8" t="str">
        <f>IFERROR(IF(ISBLANK([1]FoFsmonkeyCompl!P22),"",[1]FoFsmonkeyCompl!P22*FoFanalysis[[#This Row],[EUR]]),"")</f>
        <v/>
      </c>
      <c r="N19" s="8" t="str">
        <f>IFERROR(IF(ISBLANK([1]FoFsmonkeyCompl!Q22),"",[1]FoFsmonkeyCompl!Q22*FoFanalysis[[#This Row],[EUR]]),"")</f>
        <v/>
      </c>
      <c r="O19" s="8" t="str">
        <f>IFERROR(IF(ISBLANK([1]FoFsmonkeyCompl!R22),"",[1]FoFsmonkeyCompl!R22*FoFanalysis[[#This Row],[EUR]]),"")</f>
        <v/>
      </c>
      <c r="P19" s="8" t="str">
        <f>IFERROR(IF(ISBLANK([1]FoFsmonkeyCompl!S22),"",[1]FoFsmonkeyCompl!S22*FoFanalysis[[#This Row],[EUR]]),"")</f>
        <v/>
      </c>
      <c r="Q19" s="8" t="str">
        <f>IFERROR(IF(ISBLANK([1]FoFsmonkeyCompl!T22),"",[1]FoFsmonkeyCompl!T22*FoFanalysis[[#This Row],[EUR]]),"")</f>
        <v/>
      </c>
      <c r="R19" s="8" t="str">
        <f>IFERROR(IF(ISBLANK([1]FoFsmonkeyCompl!U22),"",[1]FoFsmonkeyCompl!U22*FoFanalysis[[#This Row],[EUR]]),"")</f>
        <v/>
      </c>
      <c r="S19" s="8" t="str">
        <f>IFERROR(IF(ISBLANK([1]FoFsmonkeyCompl!V22),"",[1]FoFsmonkeyCompl!V22*FoFanalysis[[#This Row],[EUR]]),"")</f>
        <v/>
      </c>
      <c r="T19" s="8" t="str">
        <f>IFERROR(IF(ISBLANK([1]FoFsmonkeyCompl!W22),"",[1]FoFsmonkeyCompl!W22*FoFanalysis[[#This Row],[EUR]]),"")</f>
        <v/>
      </c>
      <c r="U19" s="8" t="str">
        <f>IFERROR(IF(ISBLANK([1]FoFsmonkeyCompl!X22),"",[1]FoFsmonkeyCompl!X22*FoFanalysis[[#This Row],[EUR]]),"")</f>
        <v/>
      </c>
      <c r="V19" s="8" t="str">
        <f>IFERROR(IF(ISBLANK([1]FoFsmonkeyCompl!Y22),"",[1]FoFsmonkeyCompl!Y22*FoFanalysis[[#This Row],[EUR]]),"")</f>
        <v/>
      </c>
      <c r="W19" s="8" t="str">
        <f>IFERROR(IF(ISBLANK([1]FoFsmonkeyCompl!Z22),"",[1]FoFsmonkeyCompl!Z22*FoFanalysis[[#This Row],[EUR]]),"")</f>
        <v/>
      </c>
      <c r="X19" s="8" t="str">
        <f>IFERROR(IF(ISBLANK([1]FoFsmonkeyCompl!AA22),"",[1]FoFsmonkeyCompl!AA22*FoFanalysis[[#This Row],[EUR]]),"")</f>
        <v/>
      </c>
      <c r="Y19" s="8" t="str">
        <f>IFERROR(IF(ISBLANK([1]FoFsmonkeyCompl!AB22),"",[1]FoFsmonkeyCompl!AB22*FoFanalysis[[#This Row],[EUR]]),"")</f>
        <v/>
      </c>
      <c r="Z19" s="8" t="str">
        <f>IFERROR(IF(ISBLANK([1]FoFsmonkeyCompl!AC22),"",[1]FoFsmonkeyCompl!AC22),"")</f>
        <v/>
      </c>
      <c r="AA19" s="8" t="str">
        <f>IFERROR(IF(ISBLANK([1]FoFsmonkeyCompl!AD22),"",[1]FoFsmonkeyCompl!AD22),"")</f>
        <v/>
      </c>
      <c r="AB19" s="8" t="str">
        <f>IFERROR(IF(ISBLANK([1]FoFsmonkeyCompl!AE22),"",[1]FoFsmonkeyCompl!AE22),"")</f>
        <v/>
      </c>
      <c r="AC19" s="8" t="str">
        <f>IFERROR(IF(ISBLANK([1]FoFsmonkeyCompl!AF22),"",[1]FoFsmonkeyCompl!AF22),"")</f>
        <v/>
      </c>
      <c r="AD19" s="8" t="str">
        <f>IFERROR(IF(ISBLANK([1]FoFsmonkeyCompl!AG22),"",[1]FoFsmonkeyCompl!AG22),"")</f>
        <v/>
      </c>
      <c r="AE19" s="8" t="str">
        <f>IFERROR(IF(ISBLANK([1]FoFsmonkeyCompl!AH22),"",[1]FoFsmonkeyCompl!AH22),"")</f>
        <v/>
      </c>
    </row>
    <row r="20" spans="1:31" ht="16.5" thickTop="1" thickBot="1" x14ac:dyDescent="0.3">
      <c r="A20" s="9" t="str">
        <f>IF(OR(ISTEXT([1]FoFsmonkeyCompl!J23),ISNUMBER([1]FoFsmonkeyCompl!J23)),[1]FoFsmonkeyCompl!J23,"")</f>
        <v/>
      </c>
      <c r="B20" s="31"/>
      <c r="C20" s="7"/>
      <c r="D20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20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20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20" s="6" t="str">
        <f>IF(ISBLANK([1]FoFsmonkeyCompl!L23),"",[1]FoFsmonkeyCompl!L23)</f>
        <v/>
      </c>
      <c r="H20" s="6" t="str">
        <f>IF(ISBLANK([1]FoFsmonkeyCompl!M23),"",[1]FoFsmonkeyCompl!M23)</f>
        <v/>
      </c>
      <c r="I20" s="6" t="str">
        <f>IF(ISBLANK([1]FoFsmonkeyCompl!N23),"",[1]FoFsmonkeyCompl!N23)</f>
        <v/>
      </c>
      <c r="J20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20" s="11" t="str">
        <f>IFERROR(VLOOKUP(FoFanalysis[[#This Row],[Currency of Reporting]],'[1]Xrate31.12.20'!$F$5:$H$28,3,0),"")</f>
        <v/>
      </c>
      <c r="L20" s="11" t="str">
        <f>IFERROR(IF(ISBLANK([1]FoFsmonkeyCompl!O23),"",[1]FoFsmonkeyCompl!O23*FoFanalysis[[#This Row],[EUR]]),"")</f>
        <v/>
      </c>
      <c r="M20" s="8" t="str">
        <f>IFERROR(IF(ISBLANK([1]FoFsmonkeyCompl!P23),"",[1]FoFsmonkeyCompl!P23*FoFanalysis[[#This Row],[EUR]]),"")</f>
        <v/>
      </c>
      <c r="N20" s="8" t="str">
        <f>IFERROR(IF(ISBLANK([1]FoFsmonkeyCompl!Q23),"",[1]FoFsmonkeyCompl!Q23*FoFanalysis[[#This Row],[EUR]]),"")</f>
        <v/>
      </c>
      <c r="O20" s="8" t="str">
        <f>IFERROR(IF(ISBLANK([1]FoFsmonkeyCompl!R23),"",[1]FoFsmonkeyCompl!R23*FoFanalysis[[#This Row],[EUR]]),"")</f>
        <v/>
      </c>
      <c r="P20" s="8" t="str">
        <f>IFERROR(IF(ISBLANK([1]FoFsmonkeyCompl!S23),"",[1]FoFsmonkeyCompl!S23*FoFanalysis[[#This Row],[EUR]]),"")</f>
        <v/>
      </c>
      <c r="Q20" s="8" t="str">
        <f>IFERROR(IF(ISBLANK([1]FoFsmonkeyCompl!T23),"",[1]FoFsmonkeyCompl!T23*FoFanalysis[[#This Row],[EUR]]),"")</f>
        <v/>
      </c>
      <c r="R20" s="8" t="str">
        <f>IFERROR(IF(ISBLANK([1]FoFsmonkeyCompl!U23),"",[1]FoFsmonkeyCompl!U23*FoFanalysis[[#This Row],[EUR]]),"")</f>
        <v/>
      </c>
      <c r="S20" s="8" t="str">
        <f>IFERROR(IF(ISBLANK([1]FoFsmonkeyCompl!V23),"",[1]FoFsmonkeyCompl!V23*FoFanalysis[[#This Row],[EUR]]),"")</f>
        <v/>
      </c>
      <c r="T20" s="8" t="str">
        <f>IFERROR(IF(ISBLANK([1]FoFsmonkeyCompl!W23),"",[1]FoFsmonkeyCompl!W23*FoFanalysis[[#This Row],[EUR]]),"")</f>
        <v/>
      </c>
      <c r="U20" s="8" t="str">
        <f>IFERROR(IF(ISBLANK([1]FoFsmonkeyCompl!X23),"",[1]FoFsmonkeyCompl!X23*FoFanalysis[[#This Row],[EUR]]),"")</f>
        <v/>
      </c>
      <c r="V20" s="8" t="str">
        <f>IFERROR(IF(ISBLANK([1]FoFsmonkeyCompl!Y23),"",[1]FoFsmonkeyCompl!Y23*FoFanalysis[[#This Row],[EUR]]),"")</f>
        <v/>
      </c>
      <c r="W20" s="8" t="str">
        <f>IFERROR(IF(ISBLANK([1]FoFsmonkeyCompl!Z23),"",[1]FoFsmonkeyCompl!Z23*FoFanalysis[[#This Row],[EUR]]),"")</f>
        <v/>
      </c>
      <c r="X20" s="8" t="str">
        <f>IFERROR(IF(ISBLANK([1]FoFsmonkeyCompl!AA23),"",[1]FoFsmonkeyCompl!AA23*FoFanalysis[[#This Row],[EUR]]),"")</f>
        <v/>
      </c>
      <c r="Y20" s="8" t="str">
        <f>IFERROR(IF(ISBLANK([1]FoFsmonkeyCompl!AB23),"",[1]FoFsmonkeyCompl!AB23*FoFanalysis[[#This Row],[EUR]]),"")</f>
        <v/>
      </c>
      <c r="Z20" s="8" t="str">
        <f>IFERROR(IF(ISBLANK([1]FoFsmonkeyCompl!AC23),"",[1]FoFsmonkeyCompl!AC23),"")</f>
        <v/>
      </c>
      <c r="AA20" s="8" t="str">
        <f>IFERROR(IF(ISBLANK([1]FoFsmonkeyCompl!AD23),"",[1]FoFsmonkeyCompl!AD23),"")</f>
        <v/>
      </c>
      <c r="AB20" s="8" t="str">
        <f>IFERROR(IF(ISBLANK([1]FoFsmonkeyCompl!AE23),"",[1]FoFsmonkeyCompl!AE23),"")</f>
        <v/>
      </c>
      <c r="AC20" s="8" t="str">
        <f>IFERROR(IF(ISBLANK([1]FoFsmonkeyCompl!AF23),"",[1]FoFsmonkeyCompl!AF23),"")</f>
        <v/>
      </c>
      <c r="AD20" s="8" t="str">
        <f>IFERROR(IF(ISBLANK([1]FoFsmonkeyCompl!AG23),"",[1]FoFsmonkeyCompl!AG23),"")</f>
        <v/>
      </c>
      <c r="AE20" s="8" t="str">
        <f>IFERROR(IF(ISBLANK([1]FoFsmonkeyCompl!AH23),"",[1]FoFsmonkeyCompl!AH23),"")</f>
        <v/>
      </c>
    </row>
    <row r="21" spans="1:31" ht="16.5" thickTop="1" thickBot="1" x14ac:dyDescent="0.3">
      <c r="A21" s="5" t="str">
        <f>IF(OR(ISTEXT([1]FoFsmonkeyCompl!J24),ISNUMBER([1]FoFsmonkeyCompl!J24)),[1]FoFsmonkeyCompl!J24,"")</f>
        <v/>
      </c>
      <c r="B21" s="31"/>
      <c r="C21" s="7"/>
      <c r="D21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21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21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21" s="6" t="str">
        <f>IF(ISBLANK([1]FoFsmonkeyCompl!L24),"",[1]FoFsmonkeyCompl!L24)</f>
        <v/>
      </c>
      <c r="H21" s="6" t="str">
        <f>IF(ISBLANK([1]FoFsmonkeyCompl!M24),"",[1]FoFsmonkeyCompl!M24)</f>
        <v/>
      </c>
      <c r="I21" s="6" t="str">
        <f>IF(ISBLANK([1]FoFsmonkeyCompl!N24),"",[1]FoFsmonkeyCompl!N24)</f>
        <v/>
      </c>
      <c r="J21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21" s="11" t="str">
        <f>IFERROR(VLOOKUP(FoFanalysis[[#This Row],[Currency of Reporting]],'[1]Xrate31.12.20'!$F$5:$H$28,3,0),"")</f>
        <v/>
      </c>
      <c r="L21" s="11" t="str">
        <f>IFERROR(IF(ISBLANK([1]FoFsmonkeyCompl!O24),"",[1]FoFsmonkeyCompl!O24*FoFanalysis[[#This Row],[EUR]]),"")</f>
        <v/>
      </c>
      <c r="M21" s="8" t="str">
        <f>IFERROR(IF(ISBLANK([1]FoFsmonkeyCompl!P24),"",[1]FoFsmonkeyCompl!P24*FoFanalysis[[#This Row],[EUR]]),"")</f>
        <v/>
      </c>
      <c r="N21" s="8" t="str">
        <f>IFERROR(IF(ISBLANK([1]FoFsmonkeyCompl!Q24),"",[1]FoFsmonkeyCompl!Q24*FoFanalysis[[#This Row],[EUR]]),"")</f>
        <v/>
      </c>
      <c r="O21" s="8" t="str">
        <f>IFERROR(IF(ISBLANK([1]FoFsmonkeyCompl!R24),"",[1]FoFsmonkeyCompl!R24*FoFanalysis[[#This Row],[EUR]]),"")</f>
        <v/>
      </c>
      <c r="P21" s="8" t="str">
        <f>IFERROR(IF(ISBLANK([1]FoFsmonkeyCompl!S24),"",[1]FoFsmonkeyCompl!S24*FoFanalysis[[#This Row],[EUR]]),"")</f>
        <v/>
      </c>
      <c r="Q21" s="8" t="str">
        <f>IFERROR(IF(ISBLANK([1]FoFsmonkeyCompl!T24),"",[1]FoFsmonkeyCompl!T24*FoFanalysis[[#This Row],[EUR]]),"")</f>
        <v/>
      </c>
      <c r="R21" s="8" t="str">
        <f>IFERROR(IF(ISBLANK([1]FoFsmonkeyCompl!U24),"",[1]FoFsmonkeyCompl!U24*FoFanalysis[[#This Row],[EUR]]),"")</f>
        <v/>
      </c>
      <c r="S21" s="8" t="str">
        <f>IFERROR(IF(ISBLANK([1]FoFsmonkeyCompl!V24),"",[1]FoFsmonkeyCompl!V24*FoFanalysis[[#This Row],[EUR]]),"")</f>
        <v/>
      </c>
      <c r="T21" s="8" t="str">
        <f>IFERROR(IF(ISBLANK([1]FoFsmonkeyCompl!W24),"",[1]FoFsmonkeyCompl!W24*FoFanalysis[[#This Row],[EUR]]),"")</f>
        <v/>
      </c>
      <c r="U21" s="8" t="str">
        <f>IFERROR(IF(ISBLANK([1]FoFsmonkeyCompl!X24),"",[1]FoFsmonkeyCompl!X24*FoFanalysis[[#This Row],[EUR]]),"")</f>
        <v/>
      </c>
      <c r="V21" s="8" t="str">
        <f>IFERROR(IF(ISBLANK([1]FoFsmonkeyCompl!Y24),"",[1]FoFsmonkeyCompl!Y24*FoFanalysis[[#This Row],[EUR]]),"")</f>
        <v/>
      </c>
      <c r="W21" s="8" t="str">
        <f>IFERROR(IF(ISBLANK([1]FoFsmonkeyCompl!Z24),"",[1]FoFsmonkeyCompl!Z24*FoFanalysis[[#This Row],[EUR]]),"")</f>
        <v/>
      </c>
      <c r="X21" s="8" t="str">
        <f>IFERROR(IF(ISBLANK([1]FoFsmonkeyCompl!AA24),"",[1]FoFsmonkeyCompl!AA24*FoFanalysis[[#This Row],[EUR]]),"")</f>
        <v/>
      </c>
      <c r="Y21" s="8" t="str">
        <f>IFERROR(IF(ISBLANK([1]FoFsmonkeyCompl!AB24),"",[1]FoFsmonkeyCompl!AB24*FoFanalysis[[#This Row],[EUR]]),"")</f>
        <v/>
      </c>
      <c r="Z21" s="8" t="str">
        <f>IFERROR(IF(ISBLANK([1]FoFsmonkeyCompl!AC24),"",[1]FoFsmonkeyCompl!AC24),"")</f>
        <v/>
      </c>
      <c r="AA21" s="8" t="str">
        <f>IFERROR(IF(ISBLANK([1]FoFsmonkeyCompl!AD24),"",[1]FoFsmonkeyCompl!AD24),"")</f>
        <v/>
      </c>
      <c r="AB21" s="8" t="str">
        <f>IFERROR(IF(ISBLANK([1]FoFsmonkeyCompl!AE24),"",[1]FoFsmonkeyCompl!AE24),"")</f>
        <v/>
      </c>
      <c r="AC21" s="8" t="str">
        <f>IFERROR(IF(ISBLANK([1]FoFsmonkeyCompl!AF24),"",[1]FoFsmonkeyCompl!AF24),"")</f>
        <v/>
      </c>
      <c r="AD21" s="8" t="str">
        <f>IFERROR(IF(ISBLANK([1]FoFsmonkeyCompl!AG24),"",[1]FoFsmonkeyCompl!AG24),"")</f>
        <v/>
      </c>
      <c r="AE21" s="8" t="str">
        <f>IFERROR(IF(ISBLANK([1]FoFsmonkeyCompl!AH24),"",[1]FoFsmonkeyCompl!AH24),"")</f>
        <v/>
      </c>
    </row>
    <row r="22" spans="1:31" ht="16.5" thickTop="1" thickBot="1" x14ac:dyDescent="0.3">
      <c r="A22" s="9" t="str">
        <f>IF(OR(ISTEXT([1]FoFsmonkeyCompl!J25),ISNUMBER([1]FoFsmonkeyCompl!J25)),[1]FoFsmonkeyCompl!J25,"")</f>
        <v/>
      </c>
      <c r="B22" s="31"/>
      <c r="C22" s="7"/>
      <c r="D22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22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22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22" s="6" t="str">
        <f>IF(ISBLANK([1]FoFsmonkeyCompl!L25),"",[1]FoFsmonkeyCompl!L25)</f>
        <v/>
      </c>
      <c r="H22" s="6" t="str">
        <f>IF(ISBLANK([1]FoFsmonkeyCompl!M25),"",[1]FoFsmonkeyCompl!M25)</f>
        <v/>
      </c>
      <c r="I22" s="6" t="str">
        <f>IF(ISBLANK([1]FoFsmonkeyCompl!N25),"",[1]FoFsmonkeyCompl!N25)</f>
        <v/>
      </c>
      <c r="J22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22" s="11" t="str">
        <f>IFERROR(VLOOKUP(FoFanalysis[[#This Row],[Currency of Reporting]],'[1]Xrate31.12.20'!$F$5:$H$28,3,0),"")</f>
        <v/>
      </c>
      <c r="L22" s="11" t="str">
        <f>IFERROR(IF(ISBLANK([1]FoFsmonkeyCompl!O25),"",[1]FoFsmonkeyCompl!O25*FoFanalysis[[#This Row],[EUR]]),"")</f>
        <v/>
      </c>
      <c r="M22" s="8" t="str">
        <f>IFERROR(IF(ISBLANK([1]FoFsmonkeyCompl!P25),"",[1]FoFsmonkeyCompl!P25*FoFanalysis[[#This Row],[EUR]]),"")</f>
        <v/>
      </c>
      <c r="N22" s="8" t="str">
        <f>IFERROR(IF(ISBLANK([1]FoFsmonkeyCompl!Q25),"",[1]FoFsmonkeyCompl!Q25*FoFanalysis[[#This Row],[EUR]]),"")</f>
        <v/>
      </c>
      <c r="O22" s="8" t="str">
        <f>IFERROR(IF(ISBLANK([1]FoFsmonkeyCompl!R25),"",[1]FoFsmonkeyCompl!R25*FoFanalysis[[#This Row],[EUR]]),"")</f>
        <v/>
      </c>
      <c r="P22" s="8" t="str">
        <f>IFERROR(IF(ISBLANK([1]FoFsmonkeyCompl!S25),"",[1]FoFsmonkeyCompl!S25*FoFanalysis[[#This Row],[EUR]]),"")</f>
        <v/>
      </c>
      <c r="Q22" s="8" t="str">
        <f>IFERROR(IF(ISBLANK([1]FoFsmonkeyCompl!T25),"",[1]FoFsmonkeyCompl!T25*FoFanalysis[[#This Row],[EUR]]),"")</f>
        <v/>
      </c>
      <c r="R22" s="8" t="str">
        <f>IFERROR(IF(ISBLANK([1]FoFsmonkeyCompl!U25),"",[1]FoFsmonkeyCompl!U25*FoFanalysis[[#This Row],[EUR]]),"")</f>
        <v/>
      </c>
      <c r="S22" s="8" t="str">
        <f>IFERROR(IF(ISBLANK([1]FoFsmonkeyCompl!V25),"",[1]FoFsmonkeyCompl!V25*FoFanalysis[[#This Row],[EUR]]),"")</f>
        <v/>
      </c>
      <c r="T22" s="8" t="str">
        <f>IFERROR(IF(ISBLANK([1]FoFsmonkeyCompl!W25),"",[1]FoFsmonkeyCompl!W25*FoFanalysis[[#This Row],[EUR]]),"")</f>
        <v/>
      </c>
      <c r="U22" s="8" t="str">
        <f>IFERROR(IF(ISBLANK([1]FoFsmonkeyCompl!X25),"",[1]FoFsmonkeyCompl!X25*FoFanalysis[[#This Row],[EUR]]),"")</f>
        <v/>
      </c>
      <c r="V22" s="8" t="str">
        <f>IFERROR(IF(ISBLANK([1]FoFsmonkeyCompl!Y25),"",[1]FoFsmonkeyCompl!Y25*FoFanalysis[[#This Row],[EUR]]),"")</f>
        <v/>
      </c>
      <c r="W22" s="8" t="str">
        <f>IFERROR(IF(ISBLANK([1]FoFsmonkeyCompl!Z25),"",[1]FoFsmonkeyCompl!Z25*FoFanalysis[[#This Row],[EUR]]),"")</f>
        <v/>
      </c>
      <c r="X22" s="8" t="str">
        <f>IFERROR(IF(ISBLANK([1]FoFsmonkeyCompl!AA25),"",[1]FoFsmonkeyCompl!AA25*FoFanalysis[[#This Row],[EUR]]),"")</f>
        <v/>
      </c>
      <c r="Y22" s="8" t="str">
        <f>IFERROR(IF(ISBLANK([1]FoFsmonkeyCompl!AB25),"",[1]FoFsmonkeyCompl!AB25*FoFanalysis[[#This Row],[EUR]]),"")</f>
        <v/>
      </c>
      <c r="Z22" s="8" t="str">
        <f>IFERROR(IF(ISBLANK([1]FoFsmonkeyCompl!AC25),"",[1]FoFsmonkeyCompl!AC25),"")</f>
        <v/>
      </c>
      <c r="AA22" s="8" t="str">
        <f>IFERROR(IF(ISBLANK([1]FoFsmonkeyCompl!AD25),"",[1]FoFsmonkeyCompl!AD25),"")</f>
        <v/>
      </c>
      <c r="AB22" s="8" t="str">
        <f>IFERROR(IF(ISBLANK([1]FoFsmonkeyCompl!AE25),"",[1]FoFsmonkeyCompl!AE25),"")</f>
        <v/>
      </c>
      <c r="AC22" s="8" t="str">
        <f>IFERROR(IF(ISBLANK([1]FoFsmonkeyCompl!AF25),"",[1]FoFsmonkeyCompl!AF25),"")</f>
        <v/>
      </c>
      <c r="AD22" s="8" t="str">
        <f>IFERROR(IF(ISBLANK([1]FoFsmonkeyCompl!AG25),"",[1]FoFsmonkeyCompl!AG25),"")</f>
        <v/>
      </c>
      <c r="AE22" s="8" t="str">
        <f>IFERROR(IF(ISBLANK([1]FoFsmonkeyCompl!AH25),"",[1]FoFsmonkeyCompl!AH25),"")</f>
        <v/>
      </c>
    </row>
    <row r="23" spans="1:31" ht="16.5" thickTop="1" thickBot="1" x14ac:dyDescent="0.3">
      <c r="A23" s="5" t="str">
        <f>IF(OR(ISTEXT([1]FoFsmonkeyCompl!J26),ISNUMBER([1]FoFsmonkeyCompl!J26)),[1]FoFsmonkeyCompl!J26,"")</f>
        <v/>
      </c>
      <c r="B23" s="31"/>
      <c r="C23" s="7"/>
      <c r="D23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23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23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23" s="6" t="str">
        <f>IF(ISBLANK([1]FoFsmonkeyCompl!L26),"",[1]FoFsmonkeyCompl!L26)</f>
        <v/>
      </c>
      <c r="H23" s="6" t="str">
        <f>IF(ISBLANK([1]FoFsmonkeyCompl!M26),"",[1]FoFsmonkeyCompl!M26)</f>
        <v/>
      </c>
      <c r="I23" s="6" t="str">
        <f>IF(ISBLANK([1]FoFsmonkeyCompl!N26),"",[1]FoFsmonkeyCompl!N26)</f>
        <v/>
      </c>
      <c r="J23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23" s="11" t="str">
        <f>IFERROR(VLOOKUP(FoFanalysis[[#This Row],[Currency of Reporting]],'[1]Xrate31.12.20'!$F$5:$H$28,3,0),"")</f>
        <v/>
      </c>
      <c r="L23" s="11" t="str">
        <f>IFERROR(IF(ISBLANK([1]FoFsmonkeyCompl!O26),"",[1]FoFsmonkeyCompl!O26*FoFanalysis[[#This Row],[EUR]]),"")</f>
        <v/>
      </c>
      <c r="M23" s="8" t="str">
        <f>IFERROR(IF(ISBLANK([1]FoFsmonkeyCompl!P26),"",[1]FoFsmonkeyCompl!P26*FoFanalysis[[#This Row],[EUR]]),"")</f>
        <v/>
      </c>
      <c r="N23" s="8" t="str">
        <f>IFERROR(IF(ISBLANK([1]FoFsmonkeyCompl!Q26),"",[1]FoFsmonkeyCompl!Q26*FoFanalysis[[#This Row],[EUR]]),"")</f>
        <v/>
      </c>
      <c r="O23" s="8" t="str">
        <f>IFERROR(IF(ISBLANK([1]FoFsmonkeyCompl!R26),"",[1]FoFsmonkeyCompl!R26*FoFanalysis[[#This Row],[EUR]]),"")</f>
        <v/>
      </c>
      <c r="P23" s="8" t="str">
        <f>IFERROR(IF(ISBLANK([1]FoFsmonkeyCompl!S26),"",[1]FoFsmonkeyCompl!S26*FoFanalysis[[#This Row],[EUR]]),"")</f>
        <v/>
      </c>
      <c r="Q23" s="8" t="str">
        <f>IFERROR(IF(ISBLANK([1]FoFsmonkeyCompl!T26),"",[1]FoFsmonkeyCompl!T26*FoFanalysis[[#This Row],[EUR]]),"")</f>
        <v/>
      </c>
      <c r="R23" s="8" t="str">
        <f>IFERROR(IF(ISBLANK([1]FoFsmonkeyCompl!U26),"",[1]FoFsmonkeyCompl!U26*FoFanalysis[[#This Row],[EUR]]),"")</f>
        <v/>
      </c>
      <c r="S23" s="8" t="str">
        <f>IFERROR(IF(ISBLANK([1]FoFsmonkeyCompl!V26),"",[1]FoFsmonkeyCompl!V26*FoFanalysis[[#This Row],[EUR]]),"")</f>
        <v/>
      </c>
      <c r="T23" s="8" t="str">
        <f>IFERROR(IF(ISBLANK([1]FoFsmonkeyCompl!W26),"",[1]FoFsmonkeyCompl!W26*FoFanalysis[[#This Row],[EUR]]),"")</f>
        <v/>
      </c>
      <c r="U23" s="8" t="str">
        <f>IFERROR(IF(ISBLANK([1]FoFsmonkeyCompl!X26),"",[1]FoFsmonkeyCompl!X26*FoFanalysis[[#This Row],[EUR]]),"")</f>
        <v/>
      </c>
      <c r="V23" s="8" t="str">
        <f>IFERROR(IF(ISBLANK([1]FoFsmonkeyCompl!Y26),"",[1]FoFsmonkeyCompl!Y26*FoFanalysis[[#This Row],[EUR]]),"")</f>
        <v/>
      </c>
      <c r="W23" s="8" t="str">
        <f>IFERROR(IF(ISBLANK([1]FoFsmonkeyCompl!Z26),"",[1]FoFsmonkeyCompl!Z26*FoFanalysis[[#This Row],[EUR]]),"")</f>
        <v/>
      </c>
      <c r="X23" s="8" t="str">
        <f>IFERROR(IF(ISBLANK([1]FoFsmonkeyCompl!AA26),"",[1]FoFsmonkeyCompl!AA26*FoFanalysis[[#This Row],[EUR]]),"")</f>
        <v/>
      </c>
      <c r="Y23" s="8" t="str">
        <f>IFERROR(IF(ISBLANK([1]FoFsmonkeyCompl!AB26),"",[1]FoFsmonkeyCompl!AB26*FoFanalysis[[#This Row],[EUR]]),"")</f>
        <v/>
      </c>
      <c r="Z23" s="8" t="str">
        <f>IFERROR(IF(ISBLANK([1]FoFsmonkeyCompl!AC26),"",[1]FoFsmonkeyCompl!AC26),"")</f>
        <v/>
      </c>
      <c r="AA23" s="8" t="str">
        <f>IFERROR(IF(ISBLANK([1]FoFsmonkeyCompl!AD26),"",[1]FoFsmonkeyCompl!AD26),"")</f>
        <v/>
      </c>
      <c r="AB23" s="8" t="str">
        <f>IFERROR(IF(ISBLANK([1]FoFsmonkeyCompl!AE26),"",[1]FoFsmonkeyCompl!AE26),"")</f>
        <v/>
      </c>
      <c r="AC23" s="8" t="str">
        <f>IFERROR(IF(ISBLANK([1]FoFsmonkeyCompl!AF26),"",[1]FoFsmonkeyCompl!AF26),"")</f>
        <v/>
      </c>
      <c r="AD23" s="8" t="str">
        <f>IFERROR(IF(ISBLANK([1]FoFsmonkeyCompl!AG26),"",[1]FoFsmonkeyCompl!AG26),"")</f>
        <v/>
      </c>
      <c r="AE23" s="8" t="str">
        <f>IFERROR(IF(ISBLANK([1]FoFsmonkeyCompl!AH26),"",[1]FoFsmonkeyCompl!AH26),"")</f>
        <v/>
      </c>
    </row>
    <row r="24" spans="1:31" ht="16.5" thickTop="1" thickBot="1" x14ac:dyDescent="0.3">
      <c r="A24" s="9" t="str">
        <f>IF(OR(ISTEXT([1]FoFsmonkeyCompl!J27),ISNUMBER([1]FoFsmonkeyCompl!J27)),[1]FoFsmonkeyCompl!J27,"")</f>
        <v/>
      </c>
      <c r="B24" s="31"/>
      <c r="C24" s="7"/>
      <c r="D24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24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24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24" s="6" t="str">
        <f>IF(ISBLANK([1]FoFsmonkeyCompl!L27),"",[1]FoFsmonkeyCompl!L27)</f>
        <v/>
      </c>
      <c r="H24" s="6" t="str">
        <f>IF(ISBLANK([1]FoFsmonkeyCompl!M27),"",[1]FoFsmonkeyCompl!M27)</f>
        <v/>
      </c>
      <c r="I24" s="6" t="str">
        <f>IF(ISBLANK([1]FoFsmonkeyCompl!N27),"",[1]FoFsmonkeyCompl!N27)</f>
        <v/>
      </c>
      <c r="J24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24" s="11" t="str">
        <f>IFERROR(VLOOKUP(FoFanalysis[[#This Row],[Currency of Reporting]],'[1]Xrate31.12.20'!$F$5:$H$28,3,0),"")</f>
        <v/>
      </c>
      <c r="L24" s="11" t="str">
        <f>IFERROR(IF(ISBLANK([1]FoFsmonkeyCompl!O27),"",[1]FoFsmonkeyCompl!O27*FoFanalysis[[#This Row],[EUR]]),"")</f>
        <v/>
      </c>
      <c r="M24" s="8" t="str">
        <f>IFERROR(IF(ISBLANK([1]FoFsmonkeyCompl!P27),"",[1]FoFsmonkeyCompl!P27*FoFanalysis[[#This Row],[EUR]]),"")</f>
        <v/>
      </c>
      <c r="N24" s="8" t="str">
        <f>IFERROR(IF(ISBLANK([1]FoFsmonkeyCompl!Q27),"",[1]FoFsmonkeyCompl!Q27*FoFanalysis[[#This Row],[EUR]]),"")</f>
        <v/>
      </c>
      <c r="O24" s="8" t="str">
        <f>IFERROR(IF(ISBLANK([1]FoFsmonkeyCompl!R27),"",[1]FoFsmonkeyCompl!R27*FoFanalysis[[#This Row],[EUR]]),"")</f>
        <v/>
      </c>
      <c r="P24" s="8" t="str">
        <f>IFERROR(IF(ISBLANK([1]FoFsmonkeyCompl!S27),"",[1]FoFsmonkeyCompl!S27*FoFanalysis[[#This Row],[EUR]]),"")</f>
        <v/>
      </c>
      <c r="Q24" s="8" t="str">
        <f>IFERROR(IF(ISBLANK([1]FoFsmonkeyCompl!T27),"",[1]FoFsmonkeyCompl!T27*FoFanalysis[[#This Row],[EUR]]),"")</f>
        <v/>
      </c>
      <c r="R24" s="8" t="str">
        <f>IFERROR(IF(ISBLANK([1]FoFsmonkeyCompl!U27),"",[1]FoFsmonkeyCompl!U27*FoFanalysis[[#This Row],[EUR]]),"")</f>
        <v/>
      </c>
      <c r="S24" s="8" t="str">
        <f>IFERROR(IF(ISBLANK([1]FoFsmonkeyCompl!V27),"",[1]FoFsmonkeyCompl!V27*FoFanalysis[[#This Row],[EUR]]),"")</f>
        <v/>
      </c>
      <c r="T24" s="8" t="str">
        <f>IFERROR(IF(ISBLANK([1]FoFsmonkeyCompl!W27),"",[1]FoFsmonkeyCompl!W27*FoFanalysis[[#This Row],[EUR]]),"")</f>
        <v/>
      </c>
      <c r="U24" s="8" t="str">
        <f>IFERROR(IF(ISBLANK([1]FoFsmonkeyCompl!X27),"",[1]FoFsmonkeyCompl!X27*FoFanalysis[[#This Row],[EUR]]),"")</f>
        <v/>
      </c>
      <c r="V24" s="8" t="str">
        <f>IFERROR(IF(ISBLANK([1]FoFsmonkeyCompl!Y27),"",[1]FoFsmonkeyCompl!Y27*FoFanalysis[[#This Row],[EUR]]),"")</f>
        <v/>
      </c>
      <c r="W24" s="8" t="str">
        <f>IFERROR(IF(ISBLANK([1]FoFsmonkeyCompl!Z27),"",[1]FoFsmonkeyCompl!Z27*FoFanalysis[[#This Row],[EUR]]),"")</f>
        <v/>
      </c>
      <c r="X24" s="8" t="str">
        <f>IFERROR(IF(ISBLANK([1]FoFsmonkeyCompl!AA27),"",[1]FoFsmonkeyCompl!AA27*FoFanalysis[[#This Row],[EUR]]),"")</f>
        <v/>
      </c>
      <c r="Y24" s="8" t="str">
        <f>IFERROR(IF(ISBLANK([1]FoFsmonkeyCompl!AB27),"",[1]FoFsmonkeyCompl!AB27*FoFanalysis[[#This Row],[EUR]]),"")</f>
        <v/>
      </c>
      <c r="Z24" s="8" t="str">
        <f>IFERROR(IF(ISBLANK([1]FoFsmonkeyCompl!AC27),"",[1]FoFsmonkeyCompl!AC27),"")</f>
        <v/>
      </c>
      <c r="AA24" s="8" t="str">
        <f>IFERROR(IF(ISBLANK([1]FoFsmonkeyCompl!AD27),"",[1]FoFsmonkeyCompl!AD27),"")</f>
        <v/>
      </c>
      <c r="AB24" s="8" t="str">
        <f>IFERROR(IF(ISBLANK([1]FoFsmonkeyCompl!AE27),"",[1]FoFsmonkeyCompl!AE27),"")</f>
        <v/>
      </c>
      <c r="AC24" s="8" t="str">
        <f>IFERROR(IF(ISBLANK([1]FoFsmonkeyCompl!AF27),"",[1]FoFsmonkeyCompl!AF27),"")</f>
        <v/>
      </c>
      <c r="AD24" s="8" t="str">
        <f>IFERROR(IF(ISBLANK([1]FoFsmonkeyCompl!AG27),"",[1]FoFsmonkeyCompl!AG27),"")</f>
        <v/>
      </c>
      <c r="AE24" s="8" t="str">
        <f>IFERROR(IF(ISBLANK([1]FoFsmonkeyCompl!AH27),"",[1]FoFsmonkeyCompl!AH27),"")</f>
        <v/>
      </c>
    </row>
    <row r="25" spans="1:31" ht="16.5" thickTop="1" thickBot="1" x14ac:dyDescent="0.3">
      <c r="A25" s="5" t="str">
        <f>IF(OR(ISTEXT([1]FoFsmonkeyCompl!J28),ISNUMBER([1]FoFsmonkeyCompl!J28)),[1]FoFsmonkeyCompl!J28,"")</f>
        <v/>
      </c>
      <c r="B25" s="31"/>
      <c r="C25" s="7"/>
      <c r="D25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25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25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25" s="6" t="str">
        <f>IF(ISBLANK([1]FoFsmonkeyCompl!L28),"",[1]FoFsmonkeyCompl!L28)</f>
        <v/>
      </c>
      <c r="H25" s="6" t="str">
        <f>IF(ISBLANK([1]FoFsmonkeyCompl!M28),"",[1]FoFsmonkeyCompl!M28)</f>
        <v/>
      </c>
      <c r="I25" s="6" t="str">
        <f>IF(ISBLANK([1]FoFsmonkeyCompl!N28),"",[1]FoFsmonkeyCompl!N28)</f>
        <v/>
      </c>
      <c r="J25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25" s="11" t="str">
        <f>IFERROR(VLOOKUP(FoFanalysis[[#This Row],[Currency of Reporting]],'[1]Xrate31.12.20'!$F$5:$H$28,3,0),"")</f>
        <v/>
      </c>
      <c r="L25" s="11" t="str">
        <f>IFERROR(IF(ISBLANK([1]FoFsmonkeyCompl!O28),"",[1]FoFsmonkeyCompl!O28*FoFanalysis[[#This Row],[EUR]]),"")</f>
        <v/>
      </c>
      <c r="M25" s="8" t="str">
        <f>IFERROR(IF(ISBLANK([1]FoFsmonkeyCompl!P28),"",[1]FoFsmonkeyCompl!P28*FoFanalysis[[#This Row],[EUR]]),"")</f>
        <v/>
      </c>
      <c r="N25" s="8" t="str">
        <f>IFERROR(IF(ISBLANK([1]FoFsmonkeyCompl!Q28),"",[1]FoFsmonkeyCompl!Q28*FoFanalysis[[#This Row],[EUR]]),"")</f>
        <v/>
      </c>
      <c r="O25" s="8" t="str">
        <f>IFERROR(IF(ISBLANK([1]FoFsmonkeyCompl!R28),"",[1]FoFsmonkeyCompl!R28*FoFanalysis[[#This Row],[EUR]]),"")</f>
        <v/>
      </c>
      <c r="P25" s="8" t="str">
        <f>IFERROR(IF(ISBLANK([1]FoFsmonkeyCompl!S28),"",[1]FoFsmonkeyCompl!S28*FoFanalysis[[#This Row],[EUR]]),"")</f>
        <v/>
      </c>
      <c r="Q25" s="8" t="str">
        <f>IFERROR(IF(ISBLANK([1]FoFsmonkeyCompl!T28),"",[1]FoFsmonkeyCompl!T28*FoFanalysis[[#This Row],[EUR]]),"")</f>
        <v/>
      </c>
      <c r="R25" s="8" t="str">
        <f>IFERROR(IF(ISBLANK([1]FoFsmonkeyCompl!U28),"",[1]FoFsmonkeyCompl!U28*FoFanalysis[[#This Row],[EUR]]),"")</f>
        <v/>
      </c>
      <c r="S25" s="8" t="str">
        <f>IFERROR(IF(ISBLANK([1]FoFsmonkeyCompl!V28),"",[1]FoFsmonkeyCompl!V28*FoFanalysis[[#This Row],[EUR]]),"")</f>
        <v/>
      </c>
      <c r="T25" s="8" t="str">
        <f>IFERROR(IF(ISBLANK([1]FoFsmonkeyCompl!W28),"",[1]FoFsmonkeyCompl!W28*FoFanalysis[[#This Row],[EUR]]),"")</f>
        <v/>
      </c>
      <c r="U25" s="8" t="str">
        <f>IFERROR(IF(ISBLANK([1]FoFsmonkeyCompl!X28),"",[1]FoFsmonkeyCompl!X28*FoFanalysis[[#This Row],[EUR]]),"")</f>
        <v/>
      </c>
      <c r="V25" s="8" t="str">
        <f>IFERROR(IF(ISBLANK([1]FoFsmonkeyCompl!Y28),"",[1]FoFsmonkeyCompl!Y28*FoFanalysis[[#This Row],[EUR]]),"")</f>
        <v/>
      </c>
      <c r="W25" s="8" t="str">
        <f>IFERROR(IF(ISBLANK([1]FoFsmonkeyCompl!Z28),"",[1]FoFsmonkeyCompl!Z28*FoFanalysis[[#This Row],[EUR]]),"")</f>
        <v/>
      </c>
      <c r="X25" s="8" t="str">
        <f>IFERROR(IF(ISBLANK([1]FoFsmonkeyCompl!AA28),"",[1]FoFsmonkeyCompl!AA28*FoFanalysis[[#This Row],[EUR]]),"")</f>
        <v/>
      </c>
      <c r="Y25" s="8" t="str">
        <f>IFERROR(IF(ISBLANK([1]FoFsmonkeyCompl!AB28),"",[1]FoFsmonkeyCompl!AB28*FoFanalysis[[#This Row],[EUR]]),"")</f>
        <v/>
      </c>
      <c r="Z25" s="8" t="str">
        <f>IFERROR(IF(ISBLANK([1]FoFsmonkeyCompl!AC28),"",[1]FoFsmonkeyCompl!AC28),"")</f>
        <v/>
      </c>
      <c r="AA25" s="8" t="str">
        <f>IFERROR(IF(ISBLANK([1]FoFsmonkeyCompl!AD28),"",[1]FoFsmonkeyCompl!AD28),"")</f>
        <v/>
      </c>
      <c r="AB25" s="8" t="str">
        <f>IFERROR(IF(ISBLANK([1]FoFsmonkeyCompl!AE28),"",[1]FoFsmonkeyCompl!AE28),"")</f>
        <v/>
      </c>
      <c r="AC25" s="8" t="str">
        <f>IFERROR(IF(ISBLANK([1]FoFsmonkeyCompl!AF28),"",[1]FoFsmonkeyCompl!AF28),"")</f>
        <v/>
      </c>
      <c r="AD25" s="8" t="str">
        <f>IFERROR(IF(ISBLANK([1]FoFsmonkeyCompl!AG28),"",[1]FoFsmonkeyCompl!AG28),"")</f>
        <v/>
      </c>
      <c r="AE25" s="8" t="str">
        <f>IFERROR(IF(ISBLANK([1]FoFsmonkeyCompl!AH28),"",[1]FoFsmonkeyCompl!AH28),"")</f>
        <v/>
      </c>
    </row>
    <row r="26" spans="1:31" ht="16.5" thickTop="1" thickBot="1" x14ac:dyDescent="0.3">
      <c r="A26" s="9" t="str">
        <f>IF(OR(ISTEXT([1]FoFsmonkeyCompl!J29),ISNUMBER([1]FoFsmonkeyCompl!J29)),[1]FoFsmonkeyCompl!J29,"")</f>
        <v/>
      </c>
      <c r="B26" s="31"/>
      <c r="C26" s="7"/>
      <c r="D26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26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26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26" s="6" t="str">
        <f>IF(ISBLANK([1]FoFsmonkeyCompl!L29),"",[1]FoFsmonkeyCompl!L29)</f>
        <v/>
      </c>
      <c r="H26" s="6" t="str">
        <f>IF(ISBLANK([1]FoFsmonkeyCompl!M29),"",[1]FoFsmonkeyCompl!M29)</f>
        <v/>
      </c>
      <c r="I26" s="6" t="str">
        <f>IF(ISBLANK([1]FoFsmonkeyCompl!N29),"",[1]FoFsmonkeyCompl!N29)</f>
        <v/>
      </c>
      <c r="J26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26" s="11" t="str">
        <f>IFERROR(VLOOKUP(FoFanalysis[[#This Row],[Currency of Reporting]],'[1]Xrate31.12.20'!$F$5:$H$28,3,0),"")</f>
        <v/>
      </c>
      <c r="L26" s="11" t="str">
        <f>IFERROR(IF(ISBLANK([1]FoFsmonkeyCompl!O29),"",[1]FoFsmonkeyCompl!O29*FoFanalysis[[#This Row],[EUR]]),"")</f>
        <v/>
      </c>
      <c r="M26" s="8" t="str">
        <f>IFERROR(IF(ISBLANK([1]FoFsmonkeyCompl!P29),"",[1]FoFsmonkeyCompl!P29*FoFanalysis[[#This Row],[EUR]]),"")</f>
        <v/>
      </c>
      <c r="N26" s="8" t="str">
        <f>IFERROR(IF(ISBLANK([1]FoFsmonkeyCompl!Q29),"",[1]FoFsmonkeyCompl!Q29*FoFanalysis[[#This Row],[EUR]]),"")</f>
        <v/>
      </c>
      <c r="O26" s="8" t="str">
        <f>IFERROR(IF(ISBLANK([1]FoFsmonkeyCompl!R29),"",[1]FoFsmonkeyCompl!R29*FoFanalysis[[#This Row],[EUR]]),"")</f>
        <v/>
      </c>
      <c r="P26" s="8" t="str">
        <f>IFERROR(IF(ISBLANK([1]FoFsmonkeyCompl!S29),"",[1]FoFsmonkeyCompl!S29*FoFanalysis[[#This Row],[EUR]]),"")</f>
        <v/>
      </c>
      <c r="Q26" s="8" t="str">
        <f>IFERROR(IF(ISBLANK([1]FoFsmonkeyCompl!T29),"",[1]FoFsmonkeyCompl!T29*FoFanalysis[[#This Row],[EUR]]),"")</f>
        <v/>
      </c>
      <c r="R26" s="8" t="str">
        <f>IFERROR(IF(ISBLANK([1]FoFsmonkeyCompl!U29),"",[1]FoFsmonkeyCompl!U29*FoFanalysis[[#This Row],[EUR]]),"")</f>
        <v/>
      </c>
      <c r="S26" s="8" t="str">
        <f>IFERROR(IF(ISBLANK([1]FoFsmonkeyCompl!V29),"",[1]FoFsmonkeyCompl!V29*FoFanalysis[[#This Row],[EUR]]),"")</f>
        <v/>
      </c>
      <c r="T26" s="8" t="str">
        <f>IFERROR(IF(ISBLANK([1]FoFsmonkeyCompl!W29),"",[1]FoFsmonkeyCompl!W29*FoFanalysis[[#This Row],[EUR]]),"")</f>
        <v/>
      </c>
      <c r="U26" s="8" t="str">
        <f>IFERROR(IF(ISBLANK([1]FoFsmonkeyCompl!X29),"",[1]FoFsmonkeyCompl!X29*FoFanalysis[[#This Row],[EUR]]),"")</f>
        <v/>
      </c>
      <c r="V26" s="8" t="str">
        <f>IFERROR(IF(ISBLANK([1]FoFsmonkeyCompl!Y29),"",[1]FoFsmonkeyCompl!Y29*FoFanalysis[[#This Row],[EUR]]),"")</f>
        <v/>
      </c>
      <c r="W26" s="8" t="str">
        <f>IFERROR(IF(ISBLANK([1]FoFsmonkeyCompl!Z29),"",[1]FoFsmonkeyCompl!Z29*FoFanalysis[[#This Row],[EUR]]),"")</f>
        <v/>
      </c>
      <c r="X26" s="8" t="str">
        <f>IFERROR(IF(ISBLANK([1]FoFsmonkeyCompl!AA29),"",[1]FoFsmonkeyCompl!AA29*FoFanalysis[[#This Row],[EUR]]),"")</f>
        <v/>
      </c>
      <c r="Y26" s="8" t="str">
        <f>IFERROR(IF(ISBLANK([1]FoFsmonkeyCompl!AB29),"",[1]FoFsmonkeyCompl!AB29*FoFanalysis[[#This Row],[EUR]]),"")</f>
        <v/>
      </c>
      <c r="Z26" s="8" t="str">
        <f>IFERROR(IF(ISBLANK([1]FoFsmonkeyCompl!AC29),"",[1]FoFsmonkeyCompl!AC29),"")</f>
        <v/>
      </c>
      <c r="AA26" s="8" t="str">
        <f>IFERROR(IF(ISBLANK([1]FoFsmonkeyCompl!AD29),"",[1]FoFsmonkeyCompl!AD29),"")</f>
        <v/>
      </c>
      <c r="AB26" s="8" t="str">
        <f>IFERROR(IF(ISBLANK([1]FoFsmonkeyCompl!AE29),"",[1]FoFsmonkeyCompl!AE29),"")</f>
        <v/>
      </c>
      <c r="AC26" s="8" t="str">
        <f>IFERROR(IF(ISBLANK([1]FoFsmonkeyCompl!AF29),"",[1]FoFsmonkeyCompl!AF29),"")</f>
        <v/>
      </c>
      <c r="AD26" s="8" t="str">
        <f>IFERROR(IF(ISBLANK([1]FoFsmonkeyCompl!AG29),"",[1]FoFsmonkeyCompl!AG29),"")</f>
        <v/>
      </c>
      <c r="AE26" s="8" t="str">
        <f>IFERROR(IF(ISBLANK([1]FoFsmonkeyCompl!AH29),"",[1]FoFsmonkeyCompl!AH29),"")</f>
        <v/>
      </c>
    </row>
    <row r="27" spans="1:31" ht="16.5" thickTop="1" thickBot="1" x14ac:dyDescent="0.3">
      <c r="A27" s="5" t="str">
        <f>IF(OR(ISTEXT([1]FoFsmonkeyCompl!J30),ISNUMBER([1]FoFsmonkeyCompl!J30)),[1]FoFsmonkeyCompl!J30,"")</f>
        <v/>
      </c>
      <c r="B27" s="31"/>
      <c r="C27" s="7"/>
      <c r="D27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27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27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27" s="6" t="str">
        <f>IF(ISBLANK([1]FoFsmonkeyCompl!L30),"",[1]FoFsmonkeyCompl!L30)</f>
        <v/>
      </c>
      <c r="H27" s="6" t="str">
        <f>IF(ISBLANK([1]FoFsmonkeyCompl!M30),"",[1]FoFsmonkeyCompl!M30)</f>
        <v/>
      </c>
      <c r="I27" s="6" t="str">
        <f>IF(ISBLANK([1]FoFsmonkeyCompl!N30),"",[1]FoFsmonkeyCompl!N30)</f>
        <v/>
      </c>
      <c r="J27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27" s="11" t="str">
        <f>IFERROR(VLOOKUP(FoFanalysis[[#This Row],[Currency of Reporting]],'[1]Xrate31.12.20'!$F$5:$H$28,3,0),"")</f>
        <v/>
      </c>
      <c r="L27" s="11" t="str">
        <f>IFERROR(IF(ISBLANK([1]FoFsmonkeyCompl!O30),"",[1]FoFsmonkeyCompl!O30*FoFanalysis[[#This Row],[EUR]]),"")</f>
        <v/>
      </c>
      <c r="M27" s="8" t="str">
        <f>IFERROR(IF(ISBLANK([1]FoFsmonkeyCompl!P30),"",[1]FoFsmonkeyCompl!P30*FoFanalysis[[#This Row],[EUR]]),"")</f>
        <v/>
      </c>
      <c r="N27" s="8" t="str">
        <f>IFERROR(IF(ISBLANK([1]FoFsmonkeyCompl!Q30),"",[1]FoFsmonkeyCompl!Q30*FoFanalysis[[#This Row],[EUR]]),"")</f>
        <v/>
      </c>
      <c r="O27" s="8" t="str">
        <f>IFERROR(IF(ISBLANK([1]FoFsmonkeyCompl!R30),"",[1]FoFsmonkeyCompl!R30*FoFanalysis[[#This Row],[EUR]]),"")</f>
        <v/>
      </c>
      <c r="P27" s="8" t="str">
        <f>IFERROR(IF(ISBLANK([1]FoFsmonkeyCompl!S30),"",[1]FoFsmonkeyCompl!S30*FoFanalysis[[#This Row],[EUR]]),"")</f>
        <v/>
      </c>
      <c r="Q27" s="8" t="str">
        <f>IFERROR(IF(ISBLANK([1]FoFsmonkeyCompl!T30),"",[1]FoFsmonkeyCompl!T30*FoFanalysis[[#This Row],[EUR]]),"")</f>
        <v/>
      </c>
      <c r="R27" s="8" t="str">
        <f>IFERROR(IF(ISBLANK([1]FoFsmonkeyCompl!U30),"",[1]FoFsmonkeyCompl!U30*FoFanalysis[[#This Row],[EUR]]),"")</f>
        <v/>
      </c>
      <c r="S27" s="8" t="str">
        <f>IFERROR(IF(ISBLANK([1]FoFsmonkeyCompl!V30),"",[1]FoFsmonkeyCompl!V30*FoFanalysis[[#This Row],[EUR]]),"")</f>
        <v/>
      </c>
      <c r="T27" s="8" t="str">
        <f>IFERROR(IF(ISBLANK([1]FoFsmonkeyCompl!W30),"",[1]FoFsmonkeyCompl!W30*FoFanalysis[[#This Row],[EUR]]),"")</f>
        <v/>
      </c>
      <c r="U27" s="8" t="str">
        <f>IFERROR(IF(ISBLANK([1]FoFsmonkeyCompl!X30),"",[1]FoFsmonkeyCompl!X30*FoFanalysis[[#This Row],[EUR]]),"")</f>
        <v/>
      </c>
      <c r="V27" s="8" t="str">
        <f>IFERROR(IF(ISBLANK([1]FoFsmonkeyCompl!Y30),"",[1]FoFsmonkeyCompl!Y30*FoFanalysis[[#This Row],[EUR]]),"")</f>
        <v/>
      </c>
      <c r="W27" s="8" t="str">
        <f>IFERROR(IF(ISBLANK([1]FoFsmonkeyCompl!Z30),"",[1]FoFsmonkeyCompl!Z30*FoFanalysis[[#This Row],[EUR]]),"")</f>
        <v/>
      </c>
      <c r="X27" s="8" t="str">
        <f>IFERROR(IF(ISBLANK([1]FoFsmonkeyCompl!AA30),"",[1]FoFsmonkeyCompl!AA30*FoFanalysis[[#This Row],[EUR]]),"")</f>
        <v/>
      </c>
      <c r="Y27" s="8" t="str">
        <f>IFERROR(IF(ISBLANK([1]FoFsmonkeyCompl!AB30),"",[1]FoFsmonkeyCompl!AB30*FoFanalysis[[#This Row],[EUR]]),"")</f>
        <v/>
      </c>
      <c r="Z27" s="8" t="str">
        <f>IFERROR(IF(ISBLANK([1]FoFsmonkeyCompl!AC30),"",[1]FoFsmonkeyCompl!AC30),"")</f>
        <v/>
      </c>
      <c r="AA27" s="8" t="str">
        <f>IFERROR(IF(ISBLANK([1]FoFsmonkeyCompl!AD30),"",[1]FoFsmonkeyCompl!AD30),"")</f>
        <v/>
      </c>
      <c r="AB27" s="8" t="str">
        <f>IFERROR(IF(ISBLANK([1]FoFsmonkeyCompl!AE30),"",[1]FoFsmonkeyCompl!AE30),"")</f>
        <v/>
      </c>
      <c r="AC27" s="8" t="str">
        <f>IFERROR(IF(ISBLANK([1]FoFsmonkeyCompl!AF30),"",[1]FoFsmonkeyCompl!AF30),"")</f>
        <v/>
      </c>
      <c r="AD27" s="8" t="str">
        <f>IFERROR(IF(ISBLANK([1]FoFsmonkeyCompl!AG30),"",[1]FoFsmonkeyCompl!AG30),"")</f>
        <v/>
      </c>
      <c r="AE27" s="8" t="str">
        <f>IFERROR(IF(ISBLANK([1]FoFsmonkeyCompl!AH30),"",[1]FoFsmonkeyCompl!AH30),"")</f>
        <v/>
      </c>
    </row>
    <row r="28" spans="1:31" ht="16.5" thickTop="1" thickBot="1" x14ac:dyDescent="0.3">
      <c r="A28" s="9" t="str">
        <f>IF(OR(ISTEXT([1]FoFsmonkeyCompl!J31),ISNUMBER([1]FoFsmonkeyCompl!J31)),[1]FoFsmonkeyCompl!J31,"")</f>
        <v/>
      </c>
      <c r="B28" s="31"/>
      <c r="C28" s="7"/>
      <c r="D28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28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28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28" s="6" t="str">
        <f>IF(ISBLANK([1]FoFsmonkeyCompl!L31),"",[1]FoFsmonkeyCompl!L31)</f>
        <v/>
      </c>
      <c r="H28" s="6" t="str">
        <f>IF(ISBLANK([1]FoFsmonkeyCompl!M31),"",[1]FoFsmonkeyCompl!M31)</f>
        <v/>
      </c>
      <c r="I28" s="6" t="str">
        <f>IF(ISBLANK([1]FoFsmonkeyCompl!N31),"",[1]FoFsmonkeyCompl!N31)</f>
        <v/>
      </c>
      <c r="J28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28" s="11" t="str">
        <f>IFERROR(VLOOKUP(FoFanalysis[[#This Row],[Currency of Reporting]],'[1]Xrate31.12.20'!$F$5:$H$28,3,0),"")</f>
        <v/>
      </c>
      <c r="L28" s="11" t="str">
        <f>IFERROR(IF(ISBLANK([1]FoFsmonkeyCompl!O31),"",[1]FoFsmonkeyCompl!O31*FoFanalysis[[#This Row],[EUR]]),"")</f>
        <v/>
      </c>
      <c r="M28" s="8" t="str">
        <f>IFERROR(IF(ISBLANK([1]FoFsmonkeyCompl!P31),"",[1]FoFsmonkeyCompl!P31*FoFanalysis[[#This Row],[EUR]]),"")</f>
        <v/>
      </c>
      <c r="N28" s="8" t="str">
        <f>IFERROR(IF(ISBLANK([1]FoFsmonkeyCompl!Q31),"",[1]FoFsmonkeyCompl!Q31*FoFanalysis[[#This Row],[EUR]]),"")</f>
        <v/>
      </c>
      <c r="O28" s="8" t="str">
        <f>IFERROR(IF(ISBLANK([1]FoFsmonkeyCompl!R31),"",[1]FoFsmonkeyCompl!R31*FoFanalysis[[#This Row],[EUR]]),"")</f>
        <v/>
      </c>
      <c r="P28" s="8" t="str">
        <f>IFERROR(IF(ISBLANK([1]FoFsmonkeyCompl!S31),"",[1]FoFsmonkeyCompl!S31*FoFanalysis[[#This Row],[EUR]]),"")</f>
        <v/>
      </c>
      <c r="Q28" s="8" t="str">
        <f>IFERROR(IF(ISBLANK([1]FoFsmonkeyCompl!T31),"",[1]FoFsmonkeyCompl!T31*FoFanalysis[[#This Row],[EUR]]),"")</f>
        <v/>
      </c>
      <c r="R28" s="8" t="str">
        <f>IFERROR(IF(ISBLANK([1]FoFsmonkeyCompl!U31),"",[1]FoFsmonkeyCompl!U31*FoFanalysis[[#This Row],[EUR]]),"")</f>
        <v/>
      </c>
      <c r="S28" s="8" t="str">
        <f>IFERROR(IF(ISBLANK([1]FoFsmonkeyCompl!V31),"",[1]FoFsmonkeyCompl!V31*FoFanalysis[[#This Row],[EUR]]),"")</f>
        <v/>
      </c>
      <c r="T28" s="8" t="str">
        <f>IFERROR(IF(ISBLANK([1]FoFsmonkeyCompl!W31),"",[1]FoFsmonkeyCompl!W31*FoFanalysis[[#This Row],[EUR]]),"")</f>
        <v/>
      </c>
      <c r="U28" s="8" t="str">
        <f>IFERROR(IF(ISBLANK([1]FoFsmonkeyCompl!X31),"",[1]FoFsmonkeyCompl!X31*FoFanalysis[[#This Row],[EUR]]),"")</f>
        <v/>
      </c>
      <c r="V28" s="8" t="str">
        <f>IFERROR(IF(ISBLANK([1]FoFsmonkeyCompl!Y31),"",[1]FoFsmonkeyCompl!Y31*FoFanalysis[[#This Row],[EUR]]),"")</f>
        <v/>
      </c>
      <c r="W28" s="8" t="str">
        <f>IFERROR(IF(ISBLANK([1]FoFsmonkeyCompl!Z31),"",[1]FoFsmonkeyCompl!Z31*FoFanalysis[[#This Row],[EUR]]),"")</f>
        <v/>
      </c>
      <c r="X28" s="8" t="str">
        <f>IFERROR(IF(ISBLANK([1]FoFsmonkeyCompl!AA31),"",[1]FoFsmonkeyCompl!AA31*FoFanalysis[[#This Row],[EUR]]),"")</f>
        <v/>
      </c>
      <c r="Y28" s="8" t="str">
        <f>IFERROR(IF(ISBLANK([1]FoFsmonkeyCompl!AB31),"",[1]FoFsmonkeyCompl!AB31*FoFanalysis[[#This Row],[EUR]]),"")</f>
        <v/>
      </c>
      <c r="Z28" s="8" t="str">
        <f>IFERROR(IF(ISBLANK([1]FoFsmonkeyCompl!AC31),"",[1]FoFsmonkeyCompl!AC31),"")</f>
        <v/>
      </c>
      <c r="AA28" s="8" t="str">
        <f>IFERROR(IF(ISBLANK([1]FoFsmonkeyCompl!AD31),"",[1]FoFsmonkeyCompl!AD31),"")</f>
        <v/>
      </c>
      <c r="AB28" s="8" t="str">
        <f>IFERROR(IF(ISBLANK([1]FoFsmonkeyCompl!AE31),"",[1]FoFsmonkeyCompl!AE31),"")</f>
        <v/>
      </c>
      <c r="AC28" s="8" t="str">
        <f>IFERROR(IF(ISBLANK([1]FoFsmonkeyCompl!AF31),"",[1]FoFsmonkeyCompl!AF31),"")</f>
        <v/>
      </c>
      <c r="AD28" s="8" t="str">
        <f>IFERROR(IF(ISBLANK([1]FoFsmonkeyCompl!AG31),"",[1]FoFsmonkeyCompl!AG31),"")</f>
        <v/>
      </c>
      <c r="AE28" s="8" t="str">
        <f>IFERROR(IF(ISBLANK([1]FoFsmonkeyCompl!AH31),"",[1]FoFsmonkeyCompl!AH31),"")</f>
        <v/>
      </c>
    </row>
    <row r="29" spans="1:31" ht="14.25" thickTop="1" thickBot="1" x14ac:dyDescent="0.25">
      <c r="A29" s="5" t="str">
        <f>IF(OR(ISTEXT([1]FoFsmonkeyCompl!J32),ISNUMBER([1]FoFsmonkeyCompl!J32)),[1]FoFsmonkeyCompl!J32,"")</f>
        <v/>
      </c>
      <c r="B29" s="6" t="str">
        <f>IF(OR(ISTEXT([1]FoFsmonkeyCompl!K32),ISNUMBER([1]FoFsmonkeyCompl!K32)),[1]FoFsmonkeyCompl!K32,"")</f>
        <v/>
      </c>
      <c r="C29" s="7"/>
      <c r="D29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29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29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29" s="6" t="str">
        <f>IF(ISBLANK([1]FoFsmonkeyCompl!L32),"",[1]FoFsmonkeyCompl!L32)</f>
        <v/>
      </c>
      <c r="H29" s="6" t="str">
        <f>IF(ISBLANK([1]FoFsmonkeyCompl!M32),"",[1]FoFsmonkeyCompl!M32)</f>
        <v/>
      </c>
      <c r="I29" s="6" t="str">
        <f>IF(ISBLANK([1]FoFsmonkeyCompl!N32),"",[1]FoFsmonkeyCompl!N32)</f>
        <v/>
      </c>
      <c r="J29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29" s="11" t="str">
        <f>IFERROR(VLOOKUP(FoFanalysis[[#This Row],[Currency of Reporting]],'[1]Xrate31.12.20'!$F$5:$H$28,3,0),"")</f>
        <v/>
      </c>
      <c r="L29" s="11" t="str">
        <f>IFERROR(IF(ISBLANK([1]FoFsmonkeyCompl!O32),"",[1]FoFsmonkeyCompl!O32*FoFanalysis[[#This Row],[EUR]]),"")</f>
        <v/>
      </c>
      <c r="M29" s="8" t="str">
        <f>IFERROR(IF(ISBLANK([1]FoFsmonkeyCompl!P32),"",[1]FoFsmonkeyCompl!P32*FoFanalysis[[#This Row],[EUR]]),"")</f>
        <v/>
      </c>
      <c r="N29" s="8" t="str">
        <f>IFERROR(IF(ISBLANK([1]FoFsmonkeyCompl!Q32),"",[1]FoFsmonkeyCompl!Q32*FoFanalysis[[#This Row],[EUR]]),"")</f>
        <v/>
      </c>
      <c r="O29" s="8" t="str">
        <f>IFERROR(IF(ISBLANK([1]FoFsmonkeyCompl!R32),"",[1]FoFsmonkeyCompl!R32*FoFanalysis[[#This Row],[EUR]]),"")</f>
        <v/>
      </c>
      <c r="P29" s="8" t="str">
        <f>IFERROR(IF(ISBLANK([1]FoFsmonkeyCompl!S32),"",[1]FoFsmonkeyCompl!S32*FoFanalysis[[#This Row],[EUR]]),"")</f>
        <v/>
      </c>
      <c r="Q29" s="8" t="str">
        <f>IFERROR(IF(ISBLANK([1]FoFsmonkeyCompl!T32),"",[1]FoFsmonkeyCompl!T32*FoFanalysis[[#This Row],[EUR]]),"")</f>
        <v/>
      </c>
      <c r="R29" s="8" t="str">
        <f>IFERROR(IF(ISBLANK([1]FoFsmonkeyCompl!U32),"",[1]FoFsmonkeyCompl!U32*FoFanalysis[[#This Row],[EUR]]),"")</f>
        <v/>
      </c>
      <c r="S29" s="8" t="str">
        <f>IFERROR(IF(ISBLANK([1]FoFsmonkeyCompl!V32),"",[1]FoFsmonkeyCompl!V32*FoFanalysis[[#This Row],[EUR]]),"")</f>
        <v/>
      </c>
      <c r="T29" s="8" t="str">
        <f>IFERROR(IF(ISBLANK([1]FoFsmonkeyCompl!W32),"",[1]FoFsmonkeyCompl!W32*FoFanalysis[[#This Row],[EUR]]),"")</f>
        <v/>
      </c>
      <c r="U29" s="8" t="str">
        <f>IFERROR(IF(ISBLANK([1]FoFsmonkeyCompl!X32),"",[1]FoFsmonkeyCompl!X32*FoFanalysis[[#This Row],[EUR]]),"")</f>
        <v/>
      </c>
      <c r="V29" s="8" t="str">
        <f>IFERROR(IF(ISBLANK([1]FoFsmonkeyCompl!Y32),"",[1]FoFsmonkeyCompl!Y32*FoFanalysis[[#This Row],[EUR]]),"")</f>
        <v/>
      </c>
      <c r="W29" s="8" t="str">
        <f>IFERROR(IF(ISBLANK([1]FoFsmonkeyCompl!Z32),"",[1]FoFsmonkeyCompl!Z32*FoFanalysis[[#This Row],[EUR]]),"")</f>
        <v/>
      </c>
      <c r="X29" s="8" t="str">
        <f>IFERROR(IF(ISBLANK([1]FoFsmonkeyCompl!AA32),"",[1]FoFsmonkeyCompl!AA32*FoFanalysis[[#This Row],[EUR]]),"")</f>
        <v/>
      </c>
      <c r="Y29" s="8" t="str">
        <f>IFERROR(IF(ISBLANK([1]FoFsmonkeyCompl!AB32),"",[1]FoFsmonkeyCompl!AB32*FoFanalysis[[#This Row],[EUR]]),"")</f>
        <v/>
      </c>
      <c r="Z29" s="8" t="str">
        <f>IFERROR(IF(ISBLANK([1]FoFsmonkeyCompl!AC32),"",[1]FoFsmonkeyCompl!AC32),"")</f>
        <v/>
      </c>
      <c r="AA29" s="8" t="str">
        <f>IFERROR(IF(ISBLANK([1]FoFsmonkeyCompl!AD32),"",[1]FoFsmonkeyCompl!AD32),"")</f>
        <v/>
      </c>
      <c r="AB29" s="8" t="str">
        <f>IFERROR(IF(ISBLANK([1]FoFsmonkeyCompl!AE32),"",[1]FoFsmonkeyCompl!AE32),"")</f>
        <v/>
      </c>
      <c r="AC29" s="8" t="str">
        <f>IFERROR(IF(ISBLANK([1]FoFsmonkeyCompl!AF32),"",[1]FoFsmonkeyCompl!AF32),"")</f>
        <v/>
      </c>
      <c r="AD29" s="8" t="str">
        <f>IFERROR(IF(ISBLANK([1]FoFsmonkeyCompl!AG32),"",[1]FoFsmonkeyCompl!AG32),"")</f>
        <v/>
      </c>
      <c r="AE29" s="8" t="str">
        <f>IFERROR(IF(ISBLANK([1]FoFsmonkeyCompl!AH32),"",[1]FoFsmonkeyCompl!AH32),"")</f>
        <v/>
      </c>
    </row>
    <row r="30" spans="1:31" ht="14.25" thickTop="1" thickBot="1" x14ac:dyDescent="0.25">
      <c r="A30" s="9" t="str">
        <f>IF(OR(ISTEXT([1]FoFsmonkeyCompl!J33),ISNUMBER([1]FoFsmonkeyCompl!J33)),[1]FoFsmonkeyCompl!J33,"")</f>
        <v/>
      </c>
      <c r="B30" s="6" t="str">
        <f>IF(OR(ISTEXT([1]FoFsmonkeyCompl!K33),ISNUMBER([1]FoFsmonkeyCompl!K33)),[1]FoFsmonkeyCompl!K33,"")</f>
        <v/>
      </c>
      <c r="C30" s="7"/>
      <c r="D30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30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30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30" s="6" t="str">
        <f>IF(ISBLANK([1]FoFsmonkeyCompl!L33),"",[1]FoFsmonkeyCompl!L33)</f>
        <v/>
      </c>
      <c r="H30" s="6" t="str">
        <f>IF(ISBLANK([1]FoFsmonkeyCompl!M33),"",[1]FoFsmonkeyCompl!M33)</f>
        <v/>
      </c>
      <c r="I30" s="6" t="str">
        <f>IF(ISBLANK([1]FoFsmonkeyCompl!N33),"",[1]FoFsmonkeyCompl!N33)</f>
        <v/>
      </c>
      <c r="J30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30" s="11" t="str">
        <f>IFERROR(VLOOKUP(FoFanalysis[[#This Row],[Currency of Reporting]],'[1]Xrate31.12.20'!$F$5:$H$28,3,0),"")</f>
        <v/>
      </c>
      <c r="L30" s="11" t="str">
        <f>IFERROR(IF(ISBLANK([1]FoFsmonkeyCompl!O33),"",[1]FoFsmonkeyCompl!O33*FoFanalysis[[#This Row],[EUR]]),"")</f>
        <v/>
      </c>
      <c r="M30" s="8" t="str">
        <f>IFERROR(IF(ISBLANK([1]FoFsmonkeyCompl!P33),"",[1]FoFsmonkeyCompl!P33*FoFanalysis[[#This Row],[EUR]]),"")</f>
        <v/>
      </c>
      <c r="N30" s="8" t="str">
        <f>IFERROR(IF(ISBLANK([1]FoFsmonkeyCompl!Q33),"",[1]FoFsmonkeyCompl!Q33*FoFanalysis[[#This Row],[EUR]]),"")</f>
        <v/>
      </c>
      <c r="O30" s="8" t="str">
        <f>IFERROR(IF(ISBLANK([1]FoFsmonkeyCompl!R33),"",[1]FoFsmonkeyCompl!R33*FoFanalysis[[#This Row],[EUR]]),"")</f>
        <v/>
      </c>
      <c r="P30" s="8" t="str">
        <f>IFERROR(IF(ISBLANK([1]FoFsmonkeyCompl!S33),"",[1]FoFsmonkeyCompl!S33*FoFanalysis[[#This Row],[EUR]]),"")</f>
        <v/>
      </c>
      <c r="Q30" s="8" t="str">
        <f>IFERROR(IF(ISBLANK([1]FoFsmonkeyCompl!T33),"",[1]FoFsmonkeyCompl!T33*FoFanalysis[[#This Row],[EUR]]),"")</f>
        <v/>
      </c>
      <c r="R30" s="8" t="str">
        <f>IFERROR(IF(ISBLANK([1]FoFsmonkeyCompl!U33),"",[1]FoFsmonkeyCompl!U33*FoFanalysis[[#This Row],[EUR]]),"")</f>
        <v/>
      </c>
      <c r="S30" s="8" t="str">
        <f>IFERROR(IF(ISBLANK([1]FoFsmonkeyCompl!V33),"",[1]FoFsmonkeyCompl!V33*FoFanalysis[[#This Row],[EUR]]),"")</f>
        <v/>
      </c>
      <c r="T30" s="8" t="str">
        <f>IFERROR(IF(ISBLANK([1]FoFsmonkeyCompl!W33),"",[1]FoFsmonkeyCompl!W33*FoFanalysis[[#This Row],[EUR]]),"")</f>
        <v/>
      </c>
      <c r="U30" s="8" t="str">
        <f>IFERROR(IF(ISBLANK([1]FoFsmonkeyCompl!X33),"",[1]FoFsmonkeyCompl!X33*FoFanalysis[[#This Row],[EUR]]),"")</f>
        <v/>
      </c>
      <c r="V30" s="8" t="str">
        <f>IFERROR(IF(ISBLANK([1]FoFsmonkeyCompl!Y33),"",[1]FoFsmonkeyCompl!Y33*FoFanalysis[[#This Row],[EUR]]),"")</f>
        <v/>
      </c>
      <c r="W30" s="8" t="str">
        <f>IFERROR(IF(ISBLANK([1]FoFsmonkeyCompl!Z33),"",[1]FoFsmonkeyCompl!Z33*FoFanalysis[[#This Row],[EUR]]),"")</f>
        <v/>
      </c>
      <c r="X30" s="8" t="str">
        <f>IFERROR(IF(ISBLANK([1]FoFsmonkeyCompl!AA33),"",[1]FoFsmonkeyCompl!AA33*FoFanalysis[[#This Row],[EUR]]),"")</f>
        <v/>
      </c>
      <c r="Y30" s="8" t="str">
        <f>IFERROR(IF(ISBLANK([1]FoFsmonkeyCompl!AB33),"",[1]FoFsmonkeyCompl!AB33*FoFanalysis[[#This Row],[EUR]]),"")</f>
        <v/>
      </c>
      <c r="Z30" s="8" t="str">
        <f>IFERROR(IF(ISBLANK([1]FoFsmonkeyCompl!AC33),"",[1]FoFsmonkeyCompl!AC33),"")</f>
        <v/>
      </c>
      <c r="AA30" s="8" t="str">
        <f>IFERROR(IF(ISBLANK([1]FoFsmonkeyCompl!AD33),"",[1]FoFsmonkeyCompl!AD33),"")</f>
        <v/>
      </c>
      <c r="AB30" s="8" t="str">
        <f>IFERROR(IF(ISBLANK([1]FoFsmonkeyCompl!AE33),"",[1]FoFsmonkeyCompl!AE33),"")</f>
        <v/>
      </c>
      <c r="AC30" s="8" t="str">
        <f>IFERROR(IF(ISBLANK([1]FoFsmonkeyCompl!AF33),"",[1]FoFsmonkeyCompl!AF33),"")</f>
        <v/>
      </c>
      <c r="AD30" s="8" t="str">
        <f>IFERROR(IF(ISBLANK([1]FoFsmonkeyCompl!AG33),"",[1]FoFsmonkeyCompl!AG33),"")</f>
        <v/>
      </c>
      <c r="AE30" s="8" t="str">
        <f>IFERROR(IF(ISBLANK([1]FoFsmonkeyCompl!AH33),"",[1]FoFsmonkeyCompl!AH33),"")</f>
        <v/>
      </c>
    </row>
    <row r="31" spans="1:31" ht="14.25" thickTop="1" thickBot="1" x14ac:dyDescent="0.25">
      <c r="A31" s="5" t="str">
        <f>IF(OR(ISTEXT([1]FoFsmonkeyCompl!J34),ISNUMBER([1]FoFsmonkeyCompl!J34)),[1]FoFsmonkeyCompl!J34,"")</f>
        <v/>
      </c>
      <c r="B31" s="6" t="str">
        <f>IF(OR(ISTEXT([1]FoFsmonkeyCompl!K34),ISNUMBER([1]FoFsmonkeyCompl!K34)),[1]FoFsmonkeyCompl!K34,"")</f>
        <v/>
      </c>
      <c r="C31" s="7"/>
      <c r="D31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31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31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31" s="6" t="str">
        <f>IF(ISBLANK([1]FoFsmonkeyCompl!L34),"",[1]FoFsmonkeyCompl!L34)</f>
        <v/>
      </c>
      <c r="H31" s="6" t="str">
        <f>IF(ISBLANK([1]FoFsmonkeyCompl!M34),"",[1]FoFsmonkeyCompl!M34)</f>
        <v/>
      </c>
      <c r="I31" s="6" t="str">
        <f>IF(ISBLANK([1]FoFsmonkeyCompl!N34),"",[1]FoFsmonkeyCompl!N34)</f>
        <v/>
      </c>
      <c r="J31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31" s="11" t="str">
        <f>IFERROR(VLOOKUP(FoFanalysis[[#This Row],[Currency of Reporting]],'[1]Xrate31.12.20'!$F$5:$H$28,3,0),"")</f>
        <v/>
      </c>
      <c r="L31" s="11" t="str">
        <f>IFERROR(IF(ISBLANK([1]FoFsmonkeyCompl!O34),"",[1]FoFsmonkeyCompl!O34*FoFanalysis[[#This Row],[EUR]]),"")</f>
        <v/>
      </c>
      <c r="M31" s="8" t="str">
        <f>IFERROR(IF(ISBLANK([1]FoFsmonkeyCompl!P34),"",[1]FoFsmonkeyCompl!P34*FoFanalysis[[#This Row],[EUR]]),"")</f>
        <v/>
      </c>
      <c r="N31" s="8" t="str">
        <f>IFERROR(IF(ISBLANK([1]FoFsmonkeyCompl!Q34),"",[1]FoFsmonkeyCompl!Q34*FoFanalysis[[#This Row],[EUR]]),"")</f>
        <v/>
      </c>
      <c r="O31" s="8" t="str">
        <f>IFERROR(IF(ISBLANK([1]FoFsmonkeyCompl!R34),"",[1]FoFsmonkeyCompl!R34*FoFanalysis[[#This Row],[EUR]]),"")</f>
        <v/>
      </c>
      <c r="P31" s="8" t="str">
        <f>IFERROR(IF(ISBLANK([1]FoFsmonkeyCompl!S34),"",[1]FoFsmonkeyCompl!S34*FoFanalysis[[#This Row],[EUR]]),"")</f>
        <v/>
      </c>
      <c r="Q31" s="8" t="str">
        <f>IFERROR(IF(ISBLANK([1]FoFsmonkeyCompl!T34),"",[1]FoFsmonkeyCompl!T34*FoFanalysis[[#This Row],[EUR]]),"")</f>
        <v/>
      </c>
      <c r="R31" s="8" t="str">
        <f>IFERROR(IF(ISBLANK([1]FoFsmonkeyCompl!U34),"",[1]FoFsmonkeyCompl!U34*FoFanalysis[[#This Row],[EUR]]),"")</f>
        <v/>
      </c>
      <c r="S31" s="8" t="str">
        <f>IFERROR(IF(ISBLANK([1]FoFsmonkeyCompl!V34),"",[1]FoFsmonkeyCompl!V34*FoFanalysis[[#This Row],[EUR]]),"")</f>
        <v/>
      </c>
      <c r="T31" s="8" t="str">
        <f>IFERROR(IF(ISBLANK([1]FoFsmonkeyCompl!W34),"",[1]FoFsmonkeyCompl!W34*FoFanalysis[[#This Row],[EUR]]),"")</f>
        <v/>
      </c>
      <c r="U31" s="8" t="str">
        <f>IFERROR(IF(ISBLANK([1]FoFsmonkeyCompl!X34),"",[1]FoFsmonkeyCompl!X34*FoFanalysis[[#This Row],[EUR]]),"")</f>
        <v/>
      </c>
      <c r="V31" s="8" t="str">
        <f>IFERROR(IF(ISBLANK([1]FoFsmonkeyCompl!Y34),"",[1]FoFsmonkeyCompl!Y34*FoFanalysis[[#This Row],[EUR]]),"")</f>
        <v/>
      </c>
      <c r="W31" s="8" t="str">
        <f>IFERROR(IF(ISBLANK([1]FoFsmonkeyCompl!Z34),"",[1]FoFsmonkeyCompl!Z34*FoFanalysis[[#This Row],[EUR]]),"")</f>
        <v/>
      </c>
      <c r="X31" s="8" t="str">
        <f>IFERROR(IF(ISBLANK([1]FoFsmonkeyCompl!AA34),"",[1]FoFsmonkeyCompl!AA34*FoFanalysis[[#This Row],[EUR]]),"")</f>
        <v/>
      </c>
      <c r="Y31" s="8" t="str">
        <f>IFERROR(IF(ISBLANK([1]FoFsmonkeyCompl!AB34),"",[1]FoFsmonkeyCompl!AB34*FoFanalysis[[#This Row],[EUR]]),"")</f>
        <v/>
      </c>
      <c r="Z31" s="8" t="str">
        <f>IFERROR(IF(ISBLANK([1]FoFsmonkeyCompl!AC34),"",[1]FoFsmonkeyCompl!AC34),"")</f>
        <v/>
      </c>
      <c r="AA31" s="8" t="str">
        <f>IFERROR(IF(ISBLANK([1]FoFsmonkeyCompl!AD34),"",[1]FoFsmonkeyCompl!AD34),"")</f>
        <v/>
      </c>
      <c r="AB31" s="8" t="str">
        <f>IFERROR(IF(ISBLANK([1]FoFsmonkeyCompl!AE34),"",[1]FoFsmonkeyCompl!AE34),"")</f>
        <v/>
      </c>
      <c r="AC31" s="8" t="str">
        <f>IFERROR(IF(ISBLANK([1]FoFsmonkeyCompl!AF34),"",[1]FoFsmonkeyCompl!AF34),"")</f>
        <v/>
      </c>
      <c r="AD31" s="8" t="str">
        <f>IFERROR(IF(ISBLANK([1]FoFsmonkeyCompl!AG34),"",[1]FoFsmonkeyCompl!AG34),"")</f>
        <v/>
      </c>
      <c r="AE31" s="8" t="str">
        <f>IFERROR(IF(ISBLANK([1]FoFsmonkeyCompl!AH34),"",[1]FoFsmonkeyCompl!AH34),"")</f>
        <v/>
      </c>
    </row>
    <row r="32" spans="1:31" ht="14.25" thickTop="1" thickBot="1" x14ac:dyDescent="0.25">
      <c r="A32" s="9" t="str">
        <f>IF(OR(ISTEXT([1]FoFsmonkeyCompl!J35),ISNUMBER([1]FoFsmonkeyCompl!J35)),[1]FoFsmonkeyCompl!J35,"")</f>
        <v/>
      </c>
      <c r="B32" s="6" t="str">
        <f>IF(OR(ISTEXT([1]FoFsmonkeyCompl!K35),ISNUMBER([1]FoFsmonkeyCompl!K35)),[1]FoFsmonkeyCompl!K35,"")</f>
        <v/>
      </c>
      <c r="C32" s="7"/>
      <c r="D32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32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32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32" s="6" t="str">
        <f>IF(ISBLANK([1]FoFsmonkeyCompl!L35),"",[1]FoFsmonkeyCompl!L35)</f>
        <v/>
      </c>
      <c r="H32" s="6" t="str">
        <f>IF(ISBLANK([1]FoFsmonkeyCompl!M35),"",[1]FoFsmonkeyCompl!M35)</f>
        <v/>
      </c>
      <c r="I32" s="6" t="str">
        <f>IF(ISBLANK([1]FoFsmonkeyCompl!N35),"",[1]FoFsmonkeyCompl!N35)</f>
        <v/>
      </c>
      <c r="J32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32" s="11" t="str">
        <f>IFERROR(VLOOKUP(FoFanalysis[[#This Row],[Currency of Reporting]],'[1]Xrate31.12.20'!$F$5:$H$28,3,0),"")</f>
        <v/>
      </c>
      <c r="L32" s="11" t="str">
        <f>IFERROR(IF(ISBLANK([1]FoFsmonkeyCompl!O35),"",[1]FoFsmonkeyCompl!O35*FoFanalysis[[#This Row],[EUR]]),"")</f>
        <v/>
      </c>
      <c r="M32" s="8" t="str">
        <f>IFERROR(IF(ISBLANK([1]FoFsmonkeyCompl!P35),"",[1]FoFsmonkeyCompl!P35*FoFanalysis[[#This Row],[EUR]]),"")</f>
        <v/>
      </c>
      <c r="N32" s="8" t="str">
        <f>IFERROR(IF(ISBLANK([1]FoFsmonkeyCompl!Q35),"",[1]FoFsmonkeyCompl!Q35*FoFanalysis[[#This Row],[EUR]]),"")</f>
        <v/>
      </c>
      <c r="O32" s="8" t="str">
        <f>IFERROR(IF(ISBLANK([1]FoFsmonkeyCompl!R35),"",[1]FoFsmonkeyCompl!R35*FoFanalysis[[#This Row],[EUR]]),"")</f>
        <v/>
      </c>
      <c r="P32" s="8" t="str">
        <f>IFERROR(IF(ISBLANK([1]FoFsmonkeyCompl!S35),"",[1]FoFsmonkeyCompl!S35*FoFanalysis[[#This Row],[EUR]]),"")</f>
        <v/>
      </c>
      <c r="Q32" s="8" t="str">
        <f>IFERROR(IF(ISBLANK([1]FoFsmonkeyCompl!T35),"",[1]FoFsmonkeyCompl!T35*FoFanalysis[[#This Row],[EUR]]),"")</f>
        <v/>
      </c>
      <c r="R32" s="8" t="str">
        <f>IFERROR(IF(ISBLANK([1]FoFsmonkeyCompl!U35),"",[1]FoFsmonkeyCompl!U35*FoFanalysis[[#This Row],[EUR]]),"")</f>
        <v/>
      </c>
      <c r="S32" s="8" t="str">
        <f>IFERROR(IF(ISBLANK([1]FoFsmonkeyCompl!V35),"",[1]FoFsmonkeyCompl!V35*FoFanalysis[[#This Row],[EUR]]),"")</f>
        <v/>
      </c>
      <c r="T32" s="8" t="str">
        <f>IFERROR(IF(ISBLANK([1]FoFsmonkeyCompl!W35),"",[1]FoFsmonkeyCompl!W35*FoFanalysis[[#This Row],[EUR]]),"")</f>
        <v/>
      </c>
      <c r="U32" s="8" t="str">
        <f>IFERROR(IF(ISBLANK([1]FoFsmonkeyCompl!X35),"",[1]FoFsmonkeyCompl!X35*FoFanalysis[[#This Row],[EUR]]),"")</f>
        <v/>
      </c>
      <c r="V32" s="8" t="str">
        <f>IFERROR(IF(ISBLANK([1]FoFsmonkeyCompl!Y35),"",[1]FoFsmonkeyCompl!Y35*FoFanalysis[[#This Row],[EUR]]),"")</f>
        <v/>
      </c>
      <c r="W32" s="8" t="str">
        <f>IFERROR(IF(ISBLANK([1]FoFsmonkeyCompl!Z35),"",[1]FoFsmonkeyCompl!Z35*FoFanalysis[[#This Row],[EUR]]),"")</f>
        <v/>
      </c>
      <c r="X32" s="8" t="str">
        <f>IFERROR(IF(ISBLANK([1]FoFsmonkeyCompl!AA35),"",[1]FoFsmonkeyCompl!AA35*FoFanalysis[[#This Row],[EUR]]),"")</f>
        <v/>
      </c>
      <c r="Y32" s="8" t="str">
        <f>IFERROR(IF(ISBLANK([1]FoFsmonkeyCompl!AB35),"",[1]FoFsmonkeyCompl!AB35*FoFanalysis[[#This Row],[EUR]]),"")</f>
        <v/>
      </c>
      <c r="Z32" s="8" t="str">
        <f>IFERROR(IF(ISBLANK([1]FoFsmonkeyCompl!AC35),"",[1]FoFsmonkeyCompl!AC35),"")</f>
        <v/>
      </c>
      <c r="AA32" s="8" t="str">
        <f>IFERROR(IF(ISBLANK([1]FoFsmonkeyCompl!AD35),"",[1]FoFsmonkeyCompl!AD35),"")</f>
        <v/>
      </c>
      <c r="AB32" s="8" t="str">
        <f>IFERROR(IF(ISBLANK([1]FoFsmonkeyCompl!AE35),"",[1]FoFsmonkeyCompl!AE35),"")</f>
        <v/>
      </c>
      <c r="AC32" s="8" t="str">
        <f>IFERROR(IF(ISBLANK([1]FoFsmonkeyCompl!AF35),"",[1]FoFsmonkeyCompl!AF35),"")</f>
        <v/>
      </c>
      <c r="AD32" s="8" t="str">
        <f>IFERROR(IF(ISBLANK([1]FoFsmonkeyCompl!AG35),"",[1]FoFsmonkeyCompl!AG35),"")</f>
        <v/>
      </c>
      <c r="AE32" s="8" t="str">
        <f>IFERROR(IF(ISBLANK([1]FoFsmonkeyCompl!AH35),"",[1]FoFsmonkeyCompl!AH35),"")</f>
        <v/>
      </c>
    </row>
    <row r="33" spans="1:31" ht="14.25" thickTop="1" thickBot="1" x14ac:dyDescent="0.25">
      <c r="A33" s="5" t="str">
        <f>IF(OR(ISTEXT([1]FoFsmonkeyCompl!J36),ISNUMBER([1]FoFsmonkeyCompl!J36)),[1]FoFsmonkeyCompl!J36,"")</f>
        <v/>
      </c>
      <c r="B33" s="6" t="str">
        <f>IF(OR(ISTEXT([1]FoFsmonkeyCompl!K36),ISNUMBER([1]FoFsmonkeyCompl!K36)),[1]FoFsmonkeyCompl!K36,"")</f>
        <v/>
      </c>
      <c r="C33" s="7"/>
      <c r="D33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33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33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33" s="6" t="str">
        <f>IF(ISBLANK([1]FoFsmonkeyCompl!L36),"",[1]FoFsmonkeyCompl!L36)</f>
        <v/>
      </c>
      <c r="H33" s="6" t="str">
        <f>IF(ISBLANK([1]FoFsmonkeyCompl!M36),"",[1]FoFsmonkeyCompl!M36)</f>
        <v/>
      </c>
      <c r="I33" s="6" t="str">
        <f>IF(ISBLANK([1]FoFsmonkeyCompl!N36),"",[1]FoFsmonkeyCompl!N36)</f>
        <v/>
      </c>
      <c r="J33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33" s="11" t="str">
        <f>IFERROR(VLOOKUP(FoFanalysis[[#This Row],[Currency of Reporting]],'[1]Xrate31.12.20'!$F$5:$H$28,3,0),"")</f>
        <v/>
      </c>
      <c r="L33" s="11" t="str">
        <f>IFERROR(IF(ISBLANK([1]FoFsmonkeyCompl!O36),"",[1]FoFsmonkeyCompl!O36*FoFanalysis[[#This Row],[EUR]]),"")</f>
        <v/>
      </c>
      <c r="M33" s="8" t="str">
        <f>IFERROR(IF(ISBLANK([1]FoFsmonkeyCompl!P36),"",[1]FoFsmonkeyCompl!P36*FoFanalysis[[#This Row],[EUR]]),"")</f>
        <v/>
      </c>
      <c r="N33" s="8" t="str">
        <f>IFERROR(IF(ISBLANK([1]FoFsmonkeyCompl!Q36),"",[1]FoFsmonkeyCompl!Q36*FoFanalysis[[#This Row],[EUR]]),"")</f>
        <v/>
      </c>
      <c r="O33" s="8" t="str">
        <f>IFERROR(IF(ISBLANK([1]FoFsmonkeyCompl!R36),"",[1]FoFsmonkeyCompl!R36*FoFanalysis[[#This Row],[EUR]]),"")</f>
        <v/>
      </c>
      <c r="P33" s="8" t="str">
        <f>IFERROR(IF(ISBLANK([1]FoFsmonkeyCompl!S36),"",[1]FoFsmonkeyCompl!S36*FoFanalysis[[#This Row],[EUR]]),"")</f>
        <v/>
      </c>
      <c r="Q33" s="8" t="str">
        <f>IFERROR(IF(ISBLANK([1]FoFsmonkeyCompl!T36),"",[1]FoFsmonkeyCompl!T36*FoFanalysis[[#This Row],[EUR]]),"")</f>
        <v/>
      </c>
      <c r="R33" s="8" t="str">
        <f>IFERROR(IF(ISBLANK([1]FoFsmonkeyCompl!U36),"",[1]FoFsmonkeyCompl!U36*FoFanalysis[[#This Row],[EUR]]),"")</f>
        <v/>
      </c>
      <c r="S33" s="8" t="str">
        <f>IFERROR(IF(ISBLANK([1]FoFsmonkeyCompl!V36),"",[1]FoFsmonkeyCompl!V36*FoFanalysis[[#This Row],[EUR]]),"")</f>
        <v/>
      </c>
      <c r="T33" s="8" t="str">
        <f>IFERROR(IF(ISBLANK([1]FoFsmonkeyCompl!W36),"",[1]FoFsmonkeyCompl!W36*FoFanalysis[[#This Row],[EUR]]),"")</f>
        <v/>
      </c>
      <c r="U33" s="8" t="str">
        <f>IFERROR(IF(ISBLANK([1]FoFsmonkeyCompl!X36),"",[1]FoFsmonkeyCompl!X36*FoFanalysis[[#This Row],[EUR]]),"")</f>
        <v/>
      </c>
      <c r="V33" s="8" t="str">
        <f>IFERROR(IF(ISBLANK([1]FoFsmonkeyCompl!Y36),"",[1]FoFsmonkeyCompl!Y36*FoFanalysis[[#This Row],[EUR]]),"")</f>
        <v/>
      </c>
      <c r="W33" s="8" t="str">
        <f>IFERROR(IF(ISBLANK([1]FoFsmonkeyCompl!Z36),"",[1]FoFsmonkeyCompl!Z36*FoFanalysis[[#This Row],[EUR]]),"")</f>
        <v/>
      </c>
      <c r="X33" s="8" t="str">
        <f>IFERROR(IF(ISBLANK([1]FoFsmonkeyCompl!AA36),"",[1]FoFsmonkeyCompl!AA36*FoFanalysis[[#This Row],[EUR]]),"")</f>
        <v/>
      </c>
      <c r="Y33" s="8" t="str">
        <f>IFERROR(IF(ISBLANK([1]FoFsmonkeyCompl!AB36),"",[1]FoFsmonkeyCompl!AB36*FoFanalysis[[#This Row],[EUR]]),"")</f>
        <v/>
      </c>
      <c r="Z33" s="8" t="str">
        <f>IFERROR(IF(ISBLANK([1]FoFsmonkeyCompl!AC36),"",[1]FoFsmonkeyCompl!AC36),"")</f>
        <v/>
      </c>
      <c r="AA33" s="8" t="str">
        <f>IFERROR(IF(ISBLANK([1]FoFsmonkeyCompl!AD36),"",[1]FoFsmonkeyCompl!AD36),"")</f>
        <v/>
      </c>
      <c r="AB33" s="8" t="str">
        <f>IFERROR(IF(ISBLANK([1]FoFsmonkeyCompl!AE36),"",[1]FoFsmonkeyCompl!AE36),"")</f>
        <v/>
      </c>
      <c r="AC33" s="8" t="str">
        <f>IFERROR(IF(ISBLANK([1]FoFsmonkeyCompl!AF36),"",[1]FoFsmonkeyCompl!AF36),"")</f>
        <v/>
      </c>
      <c r="AD33" s="8" t="str">
        <f>IFERROR(IF(ISBLANK([1]FoFsmonkeyCompl!AG36),"",[1]FoFsmonkeyCompl!AG36),"")</f>
        <v/>
      </c>
      <c r="AE33" s="8" t="str">
        <f>IFERROR(IF(ISBLANK([1]FoFsmonkeyCompl!AH36),"",[1]FoFsmonkeyCompl!AH36),"")</f>
        <v/>
      </c>
    </row>
    <row r="34" spans="1:31" ht="14.25" thickTop="1" thickBot="1" x14ac:dyDescent="0.25">
      <c r="A34" s="9" t="str">
        <f>IF(OR(ISTEXT([1]FoFsmonkeyCompl!J37),ISNUMBER([1]FoFsmonkeyCompl!J37)),[1]FoFsmonkeyCompl!J37,"")</f>
        <v/>
      </c>
      <c r="B34" s="6" t="str">
        <f>IF(OR(ISTEXT([1]FoFsmonkeyCompl!K37),ISNUMBER([1]FoFsmonkeyCompl!K37)),[1]FoFsmonkeyCompl!K37,"")</f>
        <v/>
      </c>
      <c r="C34" s="7"/>
      <c r="D34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34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34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34" s="6" t="str">
        <f>IF(ISBLANK([1]FoFsmonkeyCompl!L37),"",[1]FoFsmonkeyCompl!L37)</f>
        <v/>
      </c>
      <c r="H34" s="6" t="str">
        <f>IF(ISBLANK([1]FoFsmonkeyCompl!M37),"",[1]FoFsmonkeyCompl!M37)</f>
        <v/>
      </c>
      <c r="I34" s="6" t="str">
        <f>IF(ISBLANK([1]FoFsmonkeyCompl!N37),"",[1]FoFsmonkeyCompl!N37)</f>
        <v/>
      </c>
      <c r="J34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34" s="11" t="str">
        <f>IFERROR(VLOOKUP(FoFanalysis[[#This Row],[Currency of Reporting]],'[1]Xrate31.12.20'!$F$5:$H$28,3,0),"")</f>
        <v/>
      </c>
      <c r="L34" s="11" t="str">
        <f>IFERROR(IF(ISBLANK([1]FoFsmonkeyCompl!O37),"",[1]FoFsmonkeyCompl!O37*FoFanalysis[[#This Row],[EUR]]),"")</f>
        <v/>
      </c>
      <c r="M34" s="8" t="str">
        <f>IFERROR(IF(ISBLANK([1]FoFsmonkeyCompl!P37),"",[1]FoFsmonkeyCompl!P37*FoFanalysis[[#This Row],[EUR]]),"")</f>
        <v/>
      </c>
      <c r="N34" s="8" t="str">
        <f>IFERROR(IF(ISBLANK([1]FoFsmonkeyCompl!Q37),"",[1]FoFsmonkeyCompl!Q37*FoFanalysis[[#This Row],[EUR]]),"")</f>
        <v/>
      </c>
      <c r="O34" s="8" t="str">
        <f>IFERROR(IF(ISBLANK([1]FoFsmonkeyCompl!R37),"",[1]FoFsmonkeyCompl!R37*FoFanalysis[[#This Row],[EUR]]),"")</f>
        <v/>
      </c>
      <c r="P34" s="8" t="str">
        <f>IFERROR(IF(ISBLANK([1]FoFsmonkeyCompl!S37),"",[1]FoFsmonkeyCompl!S37*FoFanalysis[[#This Row],[EUR]]),"")</f>
        <v/>
      </c>
      <c r="Q34" s="8" t="str">
        <f>IFERROR(IF(ISBLANK([1]FoFsmonkeyCompl!T37),"",[1]FoFsmonkeyCompl!T37*FoFanalysis[[#This Row],[EUR]]),"")</f>
        <v/>
      </c>
      <c r="R34" s="8" t="str">
        <f>IFERROR(IF(ISBLANK([1]FoFsmonkeyCompl!U37),"",[1]FoFsmonkeyCompl!U37*FoFanalysis[[#This Row],[EUR]]),"")</f>
        <v/>
      </c>
      <c r="S34" s="8" t="str">
        <f>IFERROR(IF(ISBLANK([1]FoFsmonkeyCompl!V37),"",[1]FoFsmonkeyCompl!V37*FoFanalysis[[#This Row],[EUR]]),"")</f>
        <v/>
      </c>
      <c r="T34" s="8" t="str">
        <f>IFERROR(IF(ISBLANK([1]FoFsmonkeyCompl!W37),"",[1]FoFsmonkeyCompl!W37*FoFanalysis[[#This Row],[EUR]]),"")</f>
        <v/>
      </c>
      <c r="U34" s="8" t="str">
        <f>IFERROR(IF(ISBLANK([1]FoFsmonkeyCompl!X37),"",[1]FoFsmonkeyCompl!X37*FoFanalysis[[#This Row],[EUR]]),"")</f>
        <v/>
      </c>
      <c r="V34" s="8" t="str">
        <f>IFERROR(IF(ISBLANK([1]FoFsmonkeyCompl!Y37),"",[1]FoFsmonkeyCompl!Y37*FoFanalysis[[#This Row],[EUR]]),"")</f>
        <v/>
      </c>
      <c r="W34" s="8" t="str">
        <f>IFERROR(IF(ISBLANK([1]FoFsmonkeyCompl!Z37),"",[1]FoFsmonkeyCompl!Z37*FoFanalysis[[#This Row],[EUR]]),"")</f>
        <v/>
      </c>
      <c r="X34" s="8" t="str">
        <f>IFERROR(IF(ISBLANK([1]FoFsmonkeyCompl!AA37),"",[1]FoFsmonkeyCompl!AA37*FoFanalysis[[#This Row],[EUR]]),"")</f>
        <v/>
      </c>
      <c r="Y34" s="8" t="str">
        <f>IFERROR(IF(ISBLANK([1]FoFsmonkeyCompl!AB37),"",[1]FoFsmonkeyCompl!AB37*FoFanalysis[[#This Row],[EUR]]),"")</f>
        <v/>
      </c>
      <c r="Z34" s="8" t="str">
        <f>IFERROR(IF(ISBLANK([1]FoFsmonkeyCompl!AC37),"",[1]FoFsmonkeyCompl!AC37),"")</f>
        <v/>
      </c>
      <c r="AA34" s="8" t="str">
        <f>IFERROR(IF(ISBLANK([1]FoFsmonkeyCompl!AD37),"",[1]FoFsmonkeyCompl!AD37),"")</f>
        <v/>
      </c>
      <c r="AB34" s="8" t="str">
        <f>IFERROR(IF(ISBLANK([1]FoFsmonkeyCompl!AE37),"",[1]FoFsmonkeyCompl!AE37),"")</f>
        <v/>
      </c>
      <c r="AC34" s="8" t="str">
        <f>IFERROR(IF(ISBLANK([1]FoFsmonkeyCompl!AF37),"",[1]FoFsmonkeyCompl!AF37),"")</f>
        <v/>
      </c>
      <c r="AD34" s="8" t="str">
        <f>IFERROR(IF(ISBLANK([1]FoFsmonkeyCompl!AG37),"",[1]FoFsmonkeyCompl!AG37),"")</f>
        <v/>
      </c>
      <c r="AE34" s="8" t="str">
        <f>IFERROR(IF(ISBLANK([1]FoFsmonkeyCompl!AH37),"",[1]FoFsmonkeyCompl!AH37),"")</f>
        <v/>
      </c>
    </row>
    <row r="35" spans="1:31" ht="14.25" thickTop="1" thickBot="1" x14ac:dyDescent="0.25">
      <c r="A35" s="5" t="str">
        <f>IF(OR(ISTEXT([1]FoFsmonkeyCompl!J38),ISNUMBER([1]FoFsmonkeyCompl!J38)),[1]FoFsmonkeyCompl!J38,"")</f>
        <v/>
      </c>
      <c r="B35" s="6" t="str">
        <f>IF(OR(ISTEXT([1]FoFsmonkeyCompl!K38),ISNUMBER([1]FoFsmonkeyCompl!K38)),[1]FoFsmonkeyCompl!K38,"")</f>
        <v/>
      </c>
      <c r="C35" s="7"/>
      <c r="D35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35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35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35" s="6" t="str">
        <f>IF(ISBLANK([1]FoFsmonkeyCompl!L38),"",[1]FoFsmonkeyCompl!L38)</f>
        <v/>
      </c>
      <c r="H35" s="6" t="str">
        <f>IF(ISBLANK([1]FoFsmonkeyCompl!M38),"",[1]FoFsmonkeyCompl!M38)</f>
        <v/>
      </c>
      <c r="I35" s="6" t="str">
        <f>IF(ISBLANK([1]FoFsmonkeyCompl!N38),"",[1]FoFsmonkeyCompl!N38)</f>
        <v/>
      </c>
      <c r="J35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35" s="11" t="str">
        <f>IFERROR(VLOOKUP(FoFanalysis[[#This Row],[Currency of Reporting]],'[1]Xrate31.12.20'!$F$5:$H$28,3,0),"")</f>
        <v/>
      </c>
      <c r="L35" s="11" t="str">
        <f>IFERROR(IF(ISBLANK([1]FoFsmonkeyCompl!O38),"",[1]FoFsmonkeyCompl!O38*FoFanalysis[[#This Row],[EUR]]),"")</f>
        <v/>
      </c>
      <c r="M35" s="8" t="str">
        <f>IFERROR(IF(ISBLANK([1]FoFsmonkeyCompl!P38),"",[1]FoFsmonkeyCompl!P38*FoFanalysis[[#This Row],[EUR]]),"")</f>
        <v/>
      </c>
      <c r="N35" s="8" t="str">
        <f>IFERROR(IF(ISBLANK([1]FoFsmonkeyCompl!Q38),"",[1]FoFsmonkeyCompl!Q38*FoFanalysis[[#This Row],[EUR]]),"")</f>
        <v/>
      </c>
      <c r="O35" s="8" t="str">
        <f>IFERROR(IF(ISBLANK([1]FoFsmonkeyCompl!R38),"",[1]FoFsmonkeyCompl!R38*FoFanalysis[[#This Row],[EUR]]),"")</f>
        <v/>
      </c>
      <c r="P35" s="8" t="str">
        <f>IFERROR(IF(ISBLANK([1]FoFsmonkeyCompl!S38),"",[1]FoFsmonkeyCompl!S38*FoFanalysis[[#This Row],[EUR]]),"")</f>
        <v/>
      </c>
      <c r="Q35" s="8" t="str">
        <f>IFERROR(IF(ISBLANK([1]FoFsmonkeyCompl!T38),"",[1]FoFsmonkeyCompl!T38*FoFanalysis[[#This Row],[EUR]]),"")</f>
        <v/>
      </c>
      <c r="R35" s="8" t="str">
        <f>IFERROR(IF(ISBLANK([1]FoFsmonkeyCompl!U38),"",[1]FoFsmonkeyCompl!U38*FoFanalysis[[#This Row],[EUR]]),"")</f>
        <v/>
      </c>
      <c r="S35" s="8" t="str">
        <f>IFERROR(IF(ISBLANK([1]FoFsmonkeyCompl!V38),"",[1]FoFsmonkeyCompl!V38*FoFanalysis[[#This Row],[EUR]]),"")</f>
        <v/>
      </c>
      <c r="T35" s="8" t="str">
        <f>IFERROR(IF(ISBLANK([1]FoFsmonkeyCompl!W38),"",[1]FoFsmonkeyCompl!W38*FoFanalysis[[#This Row],[EUR]]),"")</f>
        <v/>
      </c>
      <c r="U35" s="8" t="str">
        <f>IFERROR(IF(ISBLANK([1]FoFsmonkeyCompl!X38),"",[1]FoFsmonkeyCompl!X38*FoFanalysis[[#This Row],[EUR]]),"")</f>
        <v/>
      </c>
      <c r="V35" s="8" t="str">
        <f>IFERROR(IF(ISBLANK([1]FoFsmonkeyCompl!Y38),"",[1]FoFsmonkeyCompl!Y38*FoFanalysis[[#This Row],[EUR]]),"")</f>
        <v/>
      </c>
      <c r="W35" s="8" t="str">
        <f>IFERROR(IF(ISBLANK([1]FoFsmonkeyCompl!Z38),"",[1]FoFsmonkeyCompl!Z38*FoFanalysis[[#This Row],[EUR]]),"")</f>
        <v/>
      </c>
      <c r="X35" s="8" t="str">
        <f>IFERROR(IF(ISBLANK([1]FoFsmonkeyCompl!AA38),"",[1]FoFsmonkeyCompl!AA38*FoFanalysis[[#This Row],[EUR]]),"")</f>
        <v/>
      </c>
      <c r="Y35" s="8" t="str">
        <f>IFERROR(IF(ISBLANK([1]FoFsmonkeyCompl!AB38),"",[1]FoFsmonkeyCompl!AB38*FoFanalysis[[#This Row],[EUR]]),"")</f>
        <v/>
      </c>
      <c r="Z35" s="8" t="str">
        <f>IFERROR(IF(ISBLANK([1]FoFsmonkeyCompl!AC38),"",[1]FoFsmonkeyCompl!AC38),"")</f>
        <v/>
      </c>
      <c r="AA35" s="8" t="str">
        <f>IFERROR(IF(ISBLANK([1]FoFsmonkeyCompl!AD38),"",[1]FoFsmonkeyCompl!AD38),"")</f>
        <v/>
      </c>
      <c r="AB35" s="8" t="str">
        <f>IFERROR(IF(ISBLANK([1]FoFsmonkeyCompl!AE38),"",[1]FoFsmonkeyCompl!AE38),"")</f>
        <v/>
      </c>
      <c r="AC35" s="8" t="str">
        <f>IFERROR(IF(ISBLANK([1]FoFsmonkeyCompl!AF38),"",[1]FoFsmonkeyCompl!AF38),"")</f>
        <v/>
      </c>
      <c r="AD35" s="8" t="str">
        <f>IFERROR(IF(ISBLANK([1]FoFsmonkeyCompl!AG38),"",[1]FoFsmonkeyCompl!AG38),"")</f>
        <v/>
      </c>
      <c r="AE35" s="8" t="str">
        <f>IFERROR(IF(ISBLANK([1]FoFsmonkeyCompl!AH38),"",[1]FoFsmonkeyCompl!AH38),"")</f>
        <v/>
      </c>
    </row>
    <row r="36" spans="1:31" ht="14.25" thickTop="1" thickBot="1" x14ac:dyDescent="0.25">
      <c r="A36" s="9" t="str">
        <f>IF(OR(ISTEXT([1]FoFsmonkeyCompl!J39),ISNUMBER([1]FoFsmonkeyCompl!J39)),[1]FoFsmonkeyCompl!J39,"")</f>
        <v/>
      </c>
      <c r="B36" s="6" t="str">
        <f>IF(OR(ISTEXT([1]FoFsmonkeyCompl!K39),ISNUMBER([1]FoFsmonkeyCompl!K39)),[1]FoFsmonkeyCompl!K39,"")</f>
        <v/>
      </c>
      <c r="C36" s="7"/>
      <c r="D36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36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36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36" s="6" t="str">
        <f>IF(ISBLANK([1]FoFsmonkeyCompl!L39),"",[1]FoFsmonkeyCompl!L39)</f>
        <v/>
      </c>
      <c r="H36" s="6" t="str">
        <f>IF(ISBLANK([1]FoFsmonkeyCompl!M39),"",[1]FoFsmonkeyCompl!M39)</f>
        <v/>
      </c>
      <c r="I36" s="6" t="str">
        <f>IF(ISBLANK([1]FoFsmonkeyCompl!N39),"",[1]FoFsmonkeyCompl!N39)</f>
        <v/>
      </c>
      <c r="J36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36" s="11" t="str">
        <f>IFERROR(VLOOKUP(FoFanalysis[[#This Row],[Currency of Reporting]],'[1]Xrate31.12.20'!$F$5:$H$28,3,0),"")</f>
        <v/>
      </c>
      <c r="L36" s="11" t="str">
        <f>IFERROR(IF(ISBLANK([1]FoFsmonkeyCompl!O39),"",[1]FoFsmonkeyCompl!O39*FoFanalysis[[#This Row],[EUR]]),"")</f>
        <v/>
      </c>
      <c r="M36" s="8" t="str">
        <f>IFERROR(IF(ISBLANK([1]FoFsmonkeyCompl!P39),"",[1]FoFsmonkeyCompl!P39*FoFanalysis[[#This Row],[EUR]]),"")</f>
        <v/>
      </c>
      <c r="N36" s="8" t="str">
        <f>IFERROR(IF(ISBLANK([1]FoFsmonkeyCompl!Q39),"",[1]FoFsmonkeyCompl!Q39*FoFanalysis[[#This Row],[EUR]]),"")</f>
        <v/>
      </c>
      <c r="O36" s="8" t="str">
        <f>IFERROR(IF(ISBLANK([1]FoFsmonkeyCompl!R39),"",[1]FoFsmonkeyCompl!R39*FoFanalysis[[#This Row],[EUR]]),"")</f>
        <v/>
      </c>
      <c r="P36" s="8" t="str">
        <f>IFERROR(IF(ISBLANK([1]FoFsmonkeyCompl!S39),"",[1]FoFsmonkeyCompl!S39*FoFanalysis[[#This Row],[EUR]]),"")</f>
        <v/>
      </c>
      <c r="Q36" s="8" t="str">
        <f>IFERROR(IF(ISBLANK([1]FoFsmonkeyCompl!T39),"",[1]FoFsmonkeyCompl!T39*FoFanalysis[[#This Row],[EUR]]),"")</f>
        <v/>
      </c>
      <c r="R36" s="8" t="str">
        <f>IFERROR(IF(ISBLANK([1]FoFsmonkeyCompl!U39),"",[1]FoFsmonkeyCompl!U39*FoFanalysis[[#This Row],[EUR]]),"")</f>
        <v/>
      </c>
      <c r="S36" s="8" t="str">
        <f>IFERROR(IF(ISBLANK([1]FoFsmonkeyCompl!V39),"",[1]FoFsmonkeyCompl!V39*FoFanalysis[[#This Row],[EUR]]),"")</f>
        <v/>
      </c>
      <c r="T36" s="8" t="str">
        <f>IFERROR(IF(ISBLANK([1]FoFsmonkeyCompl!W39),"",[1]FoFsmonkeyCompl!W39*FoFanalysis[[#This Row],[EUR]]),"")</f>
        <v/>
      </c>
      <c r="U36" s="8" t="str">
        <f>IFERROR(IF(ISBLANK([1]FoFsmonkeyCompl!X39),"",[1]FoFsmonkeyCompl!X39*FoFanalysis[[#This Row],[EUR]]),"")</f>
        <v/>
      </c>
      <c r="V36" s="8" t="str">
        <f>IFERROR(IF(ISBLANK([1]FoFsmonkeyCompl!Y39),"",[1]FoFsmonkeyCompl!Y39*FoFanalysis[[#This Row],[EUR]]),"")</f>
        <v/>
      </c>
      <c r="W36" s="8" t="str">
        <f>IFERROR(IF(ISBLANK([1]FoFsmonkeyCompl!Z39),"",[1]FoFsmonkeyCompl!Z39*FoFanalysis[[#This Row],[EUR]]),"")</f>
        <v/>
      </c>
      <c r="X36" s="8" t="str">
        <f>IFERROR(IF(ISBLANK([1]FoFsmonkeyCompl!AA39),"",[1]FoFsmonkeyCompl!AA39*FoFanalysis[[#This Row],[EUR]]),"")</f>
        <v/>
      </c>
      <c r="Y36" s="8" t="str">
        <f>IFERROR(IF(ISBLANK([1]FoFsmonkeyCompl!AB39),"",[1]FoFsmonkeyCompl!AB39*FoFanalysis[[#This Row],[EUR]]),"")</f>
        <v/>
      </c>
      <c r="Z36" s="8" t="str">
        <f>IFERROR(IF(ISBLANK([1]FoFsmonkeyCompl!AC39),"",[1]FoFsmonkeyCompl!AC39),"")</f>
        <v/>
      </c>
      <c r="AA36" s="8" t="str">
        <f>IFERROR(IF(ISBLANK([1]FoFsmonkeyCompl!AD39),"",[1]FoFsmonkeyCompl!AD39),"")</f>
        <v/>
      </c>
      <c r="AB36" s="8" t="str">
        <f>IFERROR(IF(ISBLANK([1]FoFsmonkeyCompl!AE39),"",[1]FoFsmonkeyCompl!AE39),"")</f>
        <v/>
      </c>
      <c r="AC36" s="8" t="str">
        <f>IFERROR(IF(ISBLANK([1]FoFsmonkeyCompl!AF39),"",[1]FoFsmonkeyCompl!AF39),"")</f>
        <v/>
      </c>
      <c r="AD36" s="8" t="str">
        <f>IFERROR(IF(ISBLANK([1]FoFsmonkeyCompl!AG39),"",[1]FoFsmonkeyCompl!AG39),"")</f>
        <v/>
      </c>
      <c r="AE36" s="8" t="str">
        <f>IFERROR(IF(ISBLANK([1]FoFsmonkeyCompl!AH39),"",[1]FoFsmonkeyCompl!AH39),"")</f>
        <v/>
      </c>
    </row>
    <row r="37" spans="1:31" ht="14.25" thickTop="1" thickBot="1" x14ac:dyDescent="0.25">
      <c r="A37" s="5" t="str">
        <f>IF(OR(ISTEXT([1]FoFsmonkeyCompl!J40),ISNUMBER([1]FoFsmonkeyCompl!J40)),[1]FoFsmonkeyCompl!J40,"")</f>
        <v/>
      </c>
      <c r="B37" s="6" t="str">
        <f>IF(OR(ISTEXT([1]FoFsmonkeyCompl!K40),ISNUMBER([1]FoFsmonkeyCompl!K40)),[1]FoFsmonkeyCompl!K40,"")</f>
        <v/>
      </c>
      <c r="C37" s="7"/>
      <c r="D37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37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37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37" s="6" t="str">
        <f>IF(ISBLANK([1]FoFsmonkeyCompl!L40),"",[1]FoFsmonkeyCompl!L40)</f>
        <v/>
      </c>
      <c r="H37" s="6" t="str">
        <f>IF(ISBLANK([1]FoFsmonkeyCompl!M40),"",[1]FoFsmonkeyCompl!M40)</f>
        <v/>
      </c>
      <c r="I37" s="6" t="str">
        <f>IF(ISBLANK([1]FoFsmonkeyCompl!N40),"",[1]FoFsmonkeyCompl!N40)</f>
        <v/>
      </c>
      <c r="J37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37" s="11" t="str">
        <f>IFERROR(VLOOKUP(FoFanalysis[[#This Row],[Currency of Reporting]],'[1]Xrate31.12.20'!$F$5:$H$28,3,0),"")</f>
        <v/>
      </c>
      <c r="L37" s="11" t="str">
        <f>IFERROR(IF(ISBLANK([1]FoFsmonkeyCompl!O40),"",[1]FoFsmonkeyCompl!O40*FoFanalysis[[#This Row],[EUR]]),"")</f>
        <v/>
      </c>
      <c r="M37" s="8" t="str">
        <f>IFERROR(IF(ISBLANK([1]FoFsmonkeyCompl!P40),"",[1]FoFsmonkeyCompl!P40*FoFanalysis[[#This Row],[EUR]]),"")</f>
        <v/>
      </c>
      <c r="N37" s="8" t="str">
        <f>IFERROR(IF(ISBLANK([1]FoFsmonkeyCompl!Q40),"",[1]FoFsmonkeyCompl!Q40*FoFanalysis[[#This Row],[EUR]]),"")</f>
        <v/>
      </c>
      <c r="O37" s="8" t="str">
        <f>IFERROR(IF(ISBLANK([1]FoFsmonkeyCompl!R40),"",[1]FoFsmonkeyCompl!R40*FoFanalysis[[#This Row],[EUR]]),"")</f>
        <v/>
      </c>
      <c r="P37" s="8" t="str">
        <f>IFERROR(IF(ISBLANK([1]FoFsmonkeyCompl!S40),"",[1]FoFsmonkeyCompl!S40*FoFanalysis[[#This Row],[EUR]]),"")</f>
        <v/>
      </c>
      <c r="Q37" s="8" t="str">
        <f>IFERROR(IF(ISBLANK([1]FoFsmonkeyCompl!T40),"",[1]FoFsmonkeyCompl!T40*FoFanalysis[[#This Row],[EUR]]),"")</f>
        <v/>
      </c>
      <c r="R37" s="8" t="str">
        <f>IFERROR(IF(ISBLANK([1]FoFsmonkeyCompl!U40),"",[1]FoFsmonkeyCompl!U40*FoFanalysis[[#This Row],[EUR]]),"")</f>
        <v/>
      </c>
      <c r="S37" s="8" t="str">
        <f>IFERROR(IF(ISBLANK([1]FoFsmonkeyCompl!V40),"",[1]FoFsmonkeyCompl!V40*FoFanalysis[[#This Row],[EUR]]),"")</f>
        <v/>
      </c>
      <c r="T37" s="8" t="str">
        <f>IFERROR(IF(ISBLANK([1]FoFsmonkeyCompl!W40),"",[1]FoFsmonkeyCompl!W40*FoFanalysis[[#This Row],[EUR]]),"")</f>
        <v/>
      </c>
      <c r="U37" s="8" t="str">
        <f>IFERROR(IF(ISBLANK([1]FoFsmonkeyCompl!X40),"",[1]FoFsmonkeyCompl!X40*FoFanalysis[[#This Row],[EUR]]),"")</f>
        <v/>
      </c>
      <c r="V37" s="8" t="str">
        <f>IFERROR(IF(ISBLANK([1]FoFsmonkeyCompl!Y40),"",[1]FoFsmonkeyCompl!Y40*FoFanalysis[[#This Row],[EUR]]),"")</f>
        <v/>
      </c>
      <c r="W37" s="8" t="str">
        <f>IFERROR(IF(ISBLANK([1]FoFsmonkeyCompl!Z40),"",[1]FoFsmonkeyCompl!Z40*FoFanalysis[[#This Row],[EUR]]),"")</f>
        <v/>
      </c>
      <c r="X37" s="8" t="str">
        <f>IFERROR(IF(ISBLANK([1]FoFsmonkeyCompl!AA40),"",[1]FoFsmonkeyCompl!AA40*FoFanalysis[[#This Row],[EUR]]),"")</f>
        <v/>
      </c>
      <c r="Y37" s="8" t="str">
        <f>IFERROR(IF(ISBLANK([1]FoFsmonkeyCompl!AB40),"",[1]FoFsmonkeyCompl!AB40*FoFanalysis[[#This Row],[EUR]]),"")</f>
        <v/>
      </c>
      <c r="Z37" s="8" t="str">
        <f>IFERROR(IF(ISBLANK([1]FoFsmonkeyCompl!AC40),"",[1]FoFsmonkeyCompl!AC40),"")</f>
        <v/>
      </c>
      <c r="AA37" s="8" t="str">
        <f>IFERROR(IF(ISBLANK([1]FoFsmonkeyCompl!AD40),"",[1]FoFsmonkeyCompl!AD40),"")</f>
        <v/>
      </c>
      <c r="AB37" s="8" t="str">
        <f>IFERROR(IF(ISBLANK([1]FoFsmonkeyCompl!AE40),"",[1]FoFsmonkeyCompl!AE40),"")</f>
        <v/>
      </c>
      <c r="AC37" s="8" t="str">
        <f>IFERROR(IF(ISBLANK([1]FoFsmonkeyCompl!AF40),"",[1]FoFsmonkeyCompl!AF40),"")</f>
        <v/>
      </c>
      <c r="AD37" s="8" t="str">
        <f>IFERROR(IF(ISBLANK([1]FoFsmonkeyCompl!AG40),"",[1]FoFsmonkeyCompl!AG40),"")</f>
        <v/>
      </c>
      <c r="AE37" s="8" t="str">
        <f>IFERROR(IF(ISBLANK([1]FoFsmonkeyCompl!AH40),"",[1]FoFsmonkeyCompl!AH40),"")</f>
        <v/>
      </c>
    </row>
    <row r="38" spans="1:31" ht="14.25" thickTop="1" thickBot="1" x14ac:dyDescent="0.25">
      <c r="A38" s="9" t="str">
        <f>IF(OR(ISTEXT([1]FoFsmonkeyCompl!J41),ISNUMBER([1]FoFsmonkeyCompl!J41)),[1]FoFsmonkeyCompl!J41,"")</f>
        <v/>
      </c>
      <c r="B38" s="6" t="str">
        <f>IF(OR(ISTEXT([1]FoFsmonkeyCompl!K41),ISNUMBER([1]FoFsmonkeyCompl!K41)),[1]FoFsmonkeyCompl!K41,"")</f>
        <v/>
      </c>
      <c r="C38" s="7"/>
      <c r="D38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38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38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38" s="6" t="str">
        <f>IF(ISBLANK([1]FoFsmonkeyCompl!L41),"",[1]FoFsmonkeyCompl!L41)</f>
        <v/>
      </c>
      <c r="H38" s="6" t="str">
        <f>IF(ISBLANK([1]FoFsmonkeyCompl!M41),"",[1]FoFsmonkeyCompl!M41)</f>
        <v/>
      </c>
      <c r="I38" s="6" t="str">
        <f>IF(ISBLANK([1]FoFsmonkeyCompl!N41),"",[1]FoFsmonkeyCompl!N41)</f>
        <v/>
      </c>
      <c r="J38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38" s="11" t="str">
        <f>IFERROR(VLOOKUP(FoFanalysis[[#This Row],[Currency of Reporting]],'[1]Xrate31.12.20'!$F$5:$H$28,3,0),"")</f>
        <v/>
      </c>
      <c r="L38" s="11" t="str">
        <f>IFERROR(IF(ISBLANK([1]FoFsmonkeyCompl!O41),"",[1]FoFsmonkeyCompl!O41*FoFanalysis[[#This Row],[EUR]]),"")</f>
        <v/>
      </c>
      <c r="M38" s="8" t="str">
        <f>IFERROR(IF(ISBLANK([1]FoFsmonkeyCompl!P41),"",[1]FoFsmonkeyCompl!P41*FoFanalysis[[#This Row],[EUR]]),"")</f>
        <v/>
      </c>
      <c r="N38" s="8" t="str">
        <f>IFERROR(IF(ISBLANK([1]FoFsmonkeyCompl!Q41),"",[1]FoFsmonkeyCompl!Q41*FoFanalysis[[#This Row],[EUR]]),"")</f>
        <v/>
      </c>
      <c r="O38" s="8" t="str">
        <f>IFERROR(IF(ISBLANK([1]FoFsmonkeyCompl!R41),"",[1]FoFsmonkeyCompl!R41*FoFanalysis[[#This Row],[EUR]]),"")</f>
        <v/>
      </c>
      <c r="P38" s="8" t="str">
        <f>IFERROR(IF(ISBLANK([1]FoFsmonkeyCompl!S41),"",[1]FoFsmonkeyCompl!S41*FoFanalysis[[#This Row],[EUR]]),"")</f>
        <v/>
      </c>
      <c r="Q38" s="8" t="str">
        <f>IFERROR(IF(ISBLANK([1]FoFsmonkeyCompl!T41),"",[1]FoFsmonkeyCompl!T41*FoFanalysis[[#This Row],[EUR]]),"")</f>
        <v/>
      </c>
      <c r="R38" s="8" t="str">
        <f>IFERROR(IF(ISBLANK([1]FoFsmonkeyCompl!U41),"",[1]FoFsmonkeyCompl!U41*FoFanalysis[[#This Row],[EUR]]),"")</f>
        <v/>
      </c>
      <c r="S38" s="8" t="str">
        <f>IFERROR(IF(ISBLANK([1]FoFsmonkeyCompl!V41),"",[1]FoFsmonkeyCompl!V41*FoFanalysis[[#This Row],[EUR]]),"")</f>
        <v/>
      </c>
      <c r="T38" s="8" t="str">
        <f>IFERROR(IF(ISBLANK([1]FoFsmonkeyCompl!W41),"",[1]FoFsmonkeyCompl!W41*FoFanalysis[[#This Row],[EUR]]),"")</f>
        <v/>
      </c>
      <c r="U38" s="8" t="str">
        <f>IFERROR(IF(ISBLANK([1]FoFsmonkeyCompl!X41),"",[1]FoFsmonkeyCompl!X41*FoFanalysis[[#This Row],[EUR]]),"")</f>
        <v/>
      </c>
      <c r="V38" s="8" t="str">
        <f>IFERROR(IF(ISBLANK([1]FoFsmonkeyCompl!Y41),"",[1]FoFsmonkeyCompl!Y41*FoFanalysis[[#This Row],[EUR]]),"")</f>
        <v/>
      </c>
      <c r="W38" s="8" t="str">
        <f>IFERROR(IF(ISBLANK([1]FoFsmonkeyCompl!Z41),"",[1]FoFsmonkeyCompl!Z41*FoFanalysis[[#This Row],[EUR]]),"")</f>
        <v/>
      </c>
      <c r="X38" s="8" t="str">
        <f>IFERROR(IF(ISBLANK([1]FoFsmonkeyCompl!AA41),"",[1]FoFsmonkeyCompl!AA41*FoFanalysis[[#This Row],[EUR]]),"")</f>
        <v/>
      </c>
      <c r="Y38" s="8" t="str">
        <f>IFERROR(IF(ISBLANK([1]FoFsmonkeyCompl!AB41),"",[1]FoFsmonkeyCompl!AB41*FoFanalysis[[#This Row],[EUR]]),"")</f>
        <v/>
      </c>
      <c r="Z38" s="8" t="str">
        <f>IFERROR(IF(ISBLANK([1]FoFsmonkeyCompl!AC41),"",[1]FoFsmonkeyCompl!AC41),"")</f>
        <v/>
      </c>
      <c r="AA38" s="8" t="str">
        <f>IFERROR(IF(ISBLANK([1]FoFsmonkeyCompl!AD41),"",[1]FoFsmonkeyCompl!AD41),"")</f>
        <v/>
      </c>
      <c r="AB38" s="8" t="str">
        <f>IFERROR(IF(ISBLANK([1]FoFsmonkeyCompl!AE41),"",[1]FoFsmonkeyCompl!AE41),"")</f>
        <v/>
      </c>
      <c r="AC38" s="8" t="str">
        <f>IFERROR(IF(ISBLANK([1]FoFsmonkeyCompl!AF41),"",[1]FoFsmonkeyCompl!AF41),"")</f>
        <v/>
      </c>
      <c r="AD38" s="8" t="str">
        <f>IFERROR(IF(ISBLANK([1]FoFsmonkeyCompl!AG41),"",[1]FoFsmonkeyCompl!AG41),"")</f>
        <v/>
      </c>
      <c r="AE38" s="8" t="str">
        <f>IFERROR(IF(ISBLANK([1]FoFsmonkeyCompl!AH41),"",[1]FoFsmonkeyCompl!AH41),"")</f>
        <v/>
      </c>
    </row>
    <row r="39" spans="1:31" ht="14.25" thickTop="1" thickBot="1" x14ac:dyDescent="0.25">
      <c r="A39" s="5" t="str">
        <f>IF(OR(ISTEXT([1]FoFsmonkeyCompl!J42),ISNUMBER([1]FoFsmonkeyCompl!J42)),[1]FoFsmonkeyCompl!J42,"")</f>
        <v/>
      </c>
      <c r="B39" s="6" t="str">
        <f>IF(OR(ISTEXT([1]FoFsmonkeyCompl!K42),ISNUMBER([1]FoFsmonkeyCompl!K42)),[1]FoFsmonkeyCompl!K42,"")</f>
        <v/>
      </c>
      <c r="C39" s="7"/>
      <c r="D39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39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39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39" s="6" t="str">
        <f>IF(ISBLANK([1]FoFsmonkeyCompl!L42),"",[1]FoFsmonkeyCompl!L42)</f>
        <v/>
      </c>
      <c r="H39" s="6" t="str">
        <f>IF(ISBLANK([1]FoFsmonkeyCompl!M42),"",[1]FoFsmonkeyCompl!M42)</f>
        <v/>
      </c>
      <c r="I39" s="6" t="str">
        <f>IF(ISBLANK([1]FoFsmonkeyCompl!N42),"",[1]FoFsmonkeyCompl!N42)</f>
        <v/>
      </c>
      <c r="J39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39" s="11" t="str">
        <f>IFERROR(VLOOKUP(FoFanalysis[[#This Row],[Currency of Reporting]],'[1]Xrate31.12.20'!$F$5:$H$28,3,0),"")</f>
        <v/>
      </c>
      <c r="L39" s="11" t="str">
        <f>IFERROR(IF(ISBLANK([1]FoFsmonkeyCompl!O42),"",[1]FoFsmonkeyCompl!O42*FoFanalysis[[#This Row],[EUR]]),"")</f>
        <v/>
      </c>
      <c r="M39" s="8" t="str">
        <f>IFERROR(IF(ISBLANK([1]FoFsmonkeyCompl!P42),"",[1]FoFsmonkeyCompl!P42*FoFanalysis[[#This Row],[EUR]]),"")</f>
        <v/>
      </c>
      <c r="N39" s="8" t="str">
        <f>IFERROR(IF(ISBLANK([1]FoFsmonkeyCompl!Q42),"",[1]FoFsmonkeyCompl!Q42*FoFanalysis[[#This Row],[EUR]]),"")</f>
        <v/>
      </c>
      <c r="O39" s="8" t="str">
        <f>IFERROR(IF(ISBLANK([1]FoFsmonkeyCompl!R42),"",[1]FoFsmonkeyCompl!R42*FoFanalysis[[#This Row],[EUR]]),"")</f>
        <v/>
      </c>
      <c r="P39" s="8" t="str">
        <f>IFERROR(IF(ISBLANK([1]FoFsmonkeyCompl!S42),"",[1]FoFsmonkeyCompl!S42*FoFanalysis[[#This Row],[EUR]]),"")</f>
        <v/>
      </c>
      <c r="Q39" s="8" t="str">
        <f>IFERROR(IF(ISBLANK([1]FoFsmonkeyCompl!T42),"",[1]FoFsmonkeyCompl!T42*FoFanalysis[[#This Row],[EUR]]),"")</f>
        <v/>
      </c>
      <c r="R39" s="8" t="str">
        <f>IFERROR(IF(ISBLANK([1]FoFsmonkeyCompl!U42),"",[1]FoFsmonkeyCompl!U42*FoFanalysis[[#This Row],[EUR]]),"")</f>
        <v/>
      </c>
      <c r="S39" s="8" t="str">
        <f>IFERROR(IF(ISBLANK([1]FoFsmonkeyCompl!V42),"",[1]FoFsmonkeyCompl!V42*FoFanalysis[[#This Row],[EUR]]),"")</f>
        <v/>
      </c>
      <c r="T39" s="8" t="str">
        <f>IFERROR(IF(ISBLANK([1]FoFsmonkeyCompl!W42),"",[1]FoFsmonkeyCompl!W42*FoFanalysis[[#This Row],[EUR]]),"")</f>
        <v/>
      </c>
      <c r="U39" s="8" t="str">
        <f>IFERROR(IF(ISBLANK([1]FoFsmonkeyCompl!X42),"",[1]FoFsmonkeyCompl!X42*FoFanalysis[[#This Row],[EUR]]),"")</f>
        <v/>
      </c>
      <c r="V39" s="8" t="str">
        <f>IFERROR(IF(ISBLANK([1]FoFsmonkeyCompl!Y42),"",[1]FoFsmonkeyCompl!Y42*FoFanalysis[[#This Row],[EUR]]),"")</f>
        <v/>
      </c>
      <c r="W39" s="8" t="str">
        <f>IFERROR(IF(ISBLANK([1]FoFsmonkeyCompl!Z42),"",[1]FoFsmonkeyCompl!Z42*FoFanalysis[[#This Row],[EUR]]),"")</f>
        <v/>
      </c>
      <c r="X39" s="8" t="str">
        <f>IFERROR(IF(ISBLANK([1]FoFsmonkeyCompl!AA42),"",[1]FoFsmonkeyCompl!AA42*FoFanalysis[[#This Row],[EUR]]),"")</f>
        <v/>
      </c>
      <c r="Y39" s="8" t="str">
        <f>IFERROR(IF(ISBLANK([1]FoFsmonkeyCompl!AB42),"",[1]FoFsmonkeyCompl!AB42*FoFanalysis[[#This Row],[EUR]]),"")</f>
        <v/>
      </c>
      <c r="Z39" s="8" t="str">
        <f>IFERROR(IF(ISBLANK([1]FoFsmonkeyCompl!AC42),"",[1]FoFsmonkeyCompl!AC42),"")</f>
        <v/>
      </c>
      <c r="AA39" s="8" t="str">
        <f>IFERROR(IF(ISBLANK([1]FoFsmonkeyCompl!AD42),"",[1]FoFsmonkeyCompl!AD42),"")</f>
        <v/>
      </c>
      <c r="AB39" s="8" t="str">
        <f>IFERROR(IF(ISBLANK([1]FoFsmonkeyCompl!AE42),"",[1]FoFsmonkeyCompl!AE42),"")</f>
        <v/>
      </c>
      <c r="AC39" s="8" t="str">
        <f>IFERROR(IF(ISBLANK([1]FoFsmonkeyCompl!AF42),"",[1]FoFsmonkeyCompl!AF42),"")</f>
        <v/>
      </c>
      <c r="AD39" s="8" t="str">
        <f>IFERROR(IF(ISBLANK([1]FoFsmonkeyCompl!AG42),"",[1]FoFsmonkeyCompl!AG42),"")</f>
        <v/>
      </c>
      <c r="AE39" s="8" t="str">
        <f>IFERROR(IF(ISBLANK([1]FoFsmonkeyCompl!AH42),"",[1]FoFsmonkeyCompl!AH42),"")</f>
        <v/>
      </c>
    </row>
    <row r="40" spans="1:31" ht="14.25" thickTop="1" thickBot="1" x14ac:dyDescent="0.25">
      <c r="A40" s="9" t="str">
        <f>IF(OR(ISTEXT([1]FoFsmonkeyCompl!J43),ISNUMBER([1]FoFsmonkeyCompl!J43)),[1]FoFsmonkeyCompl!J43,"")</f>
        <v/>
      </c>
      <c r="B40" s="6" t="str">
        <f>IF(OR(ISTEXT([1]FoFsmonkeyCompl!K43),ISNUMBER([1]FoFsmonkeyCompl!K43)),[1]FoFsmonkeyCompl!K43,"")</f>
        <v/>
      </c>
      <c r="C40" s="7"/>
      <c r="D40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40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40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40" s="6" t="str">
        <f>IF(ISBLANK([1]FoFsmonkeyCompl!L43),"",[1]FoFsmonkeyCompl!L43)</f>
        <v/>
      </c>
      <c r="H40" s="6" t="str">
        <f>IF(ISBLANK([1]FoFsmonkeyCompl!M43),"",[1]FoFsmonkeyCompl!M43)</f>
        <v/>
      </c>
      <c r="I40" s="6" t="str">
        <f>IF(ISBLANK([1]FoFsmonkeyCompl!N43),"",[1]FoFsmonkeyCompl!N43)</f>
        <v/>
      </c>
      <c r="J40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40" s="11" t="str">
        <f>IFERROR(VLOOKUP(FoFanalysis[[#This Row],[Currency of Reporting]],'[1]Xrate31.12.20'!$F$5:$H$28,3,0),"")</f>
        <v/>
      </c>
      <c r="L40" s="11" t="str">
        <f>IFERROR(IF(ISBLANK([1]FoFsmonkeyCompl!O43),"",[1]FoFsmonkeyCompl!O43*FoFanalysis[[#This Row],[EUR]]),"")</f>
        <v/>
      </c>
      <c r="M40" s="8" t="str">
        <f>IFERROR(IF(ISBLANK([1]FoFsmonkeyCompl!P43),"",[1]FoFsmonkeyCompl!P43*FoFanalysis[[#This Row],[EUR]]),"")</f>
        <v/>
      </c>
      <c r="N40" s="8" t="str">
        <f>IFERROR(IF(ISBLANK([1]FoFsmonkeyCompl!Q43),"",[1]FoFsmonkeyCompl!Q43*FoFanalysis[[#This Row],[EUR]]),"")</f>
        <v/>
      </c>
      <c r="O40" s="8" t="str">
        <f>IFERROR(IF(ISBLANK([1]FoFsmonkeyCompl!R43),"",[1]FoFsmonkeyCompl!R43*FoFanalysis[[#This Row],[EUR]]),"")</f>
        <v/>
      </c>
      <c r="P40" s="8" t="str">
        <f>IFERROR(IF(ISBLANK([1]FoFsmonkeyCompl!S43),"",[1]FoFsmonkeyCompl!S43*FoFanalysis[[#This Row],[EUR]]),"")</f>
        <v/>
      </c>
      <c r="Q40" s="8" t="str">
        <f>IFERROR(IF(ISBLANK([1]FoFsmonkeyCompl!T43),"",[1]FoFsmonkeyCompl!T43*FoFanalysis[[#This Row],[EUR]]),"")</f>
        <v/>
      </c>
      <c r="R40" s="8" t="str">
        <f>IFERROR(IF(ISBLANK([1]FoFsmonkeyCompl!U43),"",[1]FoFsmonkeyCompl!U43*FoFanalysis[[#This Row],[EUR]]),"")</f>
        <v/>
      </c>
      <c r="S40" s="8" t="str">
        <f>IFERROR(IF(ISBLANK([1]FoFsmonkeyCompl!V43),"",[1]FoFsmonkeyCompl!V43*FoFanalysis[[#This Row],[EUR]]),"")</f>
        <v/>
      </c>
      <c r="T40" s="8" t="str">
        <f>IFERROR(IF(ISBLANK([1]FoFsmonkeyCompl!W43),"",[1]FoFsmonkeyCompl!W43*FoFanalysis[[#This Row],[EUR]]),"")</f>
        <v/>
      </c>
      <c r="U40" s="8" t="str">
        <f>IFERROR(IF(ISBLANK([1]FoFsmonkeyCompl!X43),"",[1]FoFsmonkeyCompl!X43*FoFanalysis[[#This Row],[EUR]]),"")</f>
        <v/>
      </c>
      <c r="V40" s="8" t="str">
        <f>IFERROR(IF(ISBLANK([1]FoFsmonkeyCompl!Y43),"",[1]FoFsmonkeyCompl!Y43*FoFanalysis[[#This Row],[EUR]]),"")</f>
        <v/>
      </c>
      <c r="W40" s="8" t="str">
        <f>IFERROR(IF(ISBLANK([1]FoFsmonkeyCompl!Z43),"",[1]FoFsmonkeyCompl!Z43*FoFanalysis[[#This Row],[EUR]]),"")</f>
        <v/>
      </c>
      <c r="X40" s="8" t="str">
        <f>IFERROR(IF(ISBLANK([1]FoFsmonkeyCompl!AA43),"",[1]FoFsmonkeyCompl!AA43*FoFanalysis[[#This Row],[EUR]]),"")</f>
        <v/>
      </c>
      <c r="Y40" s="8" t="str">
        <f>IFERROR(IF(ISBLANK([1]FoFsmonkeyCompl!AB43),"",[1]FoFsmonkeyCompl!AB43*FoFanalysis[[#This Row],[EUR]]),"")</f>
        <v/>
      </c>
      <c r="Z40" s="8" t="str">
        <f>IFERROR(IF(ISBLANK([1]FoFsmonkeyCompl!AC43),"",[1]FoFsmonkeyCompl!AC43),"")</f>
        <v/>
      </c>
      <c r="AA40" s="8" t="str">
        <f>IFERROR(IF(ISBLANK([1]FoFsmonkeyCompl!AD43),"",[1]FoFsmonkeyCompl!AD43),"")</f>
        <v/>
      </c>
      <c r="AB40" s="8" t="str">
        <f>IFERROR(IF(ISBLANK([1]FoFsmonkeyCompl!AE43),"",[1]FoFsmonkeyCompl!AE43),"")</f>
        <v/>
      </c>
      <c r="AC40" s="8" t="str">
        <f>IFERROR(IF(ISBLANK([1]FoFsmonkeyCompl!AF43),"",[1]FoFsmonkeyCompl!AF43),"")</f>
        <v/>
      </c>
      <c r="AD40" s="8" t="str">
        <f>IFERROR(IF(ISBLANK([1]FoFsmonkeyCompl!AG43),"",[1]FoFsmonkeyCompl!AG43),"")</f>
        <v/>
      </c>
      <c r="AE40" s="8" t="str">
        <f>IFERROR(IF(ISBLANK([1]FoFsmonkeyCompl!AH43),"",[1]FoFsmonkeyCompl!AH43),"")</f>
        <v/>
      </c>
    </row>
    <row r="41" spans="1:31" ht="14.25" thickTop="1" thickBot="1" x14ac:dyDescent="0.25">
      <c r="A41" s="5" t="str">
        <f>IF(OR(ISTEXT([1]FoFsmonkeyCompl!J44),ISNUMBER([1]FoFsmonkeyCompl!J44)),[1]FoFsmonkeyCompl!J44,"")</f>
        <v/>
      </c>
      <c r="B41" s="6" t="str">
        <f>IF(OR(ISTEXT([1]FoFsmonkeyCompl!K44),ISNUMBER([1]FoFsmonkeyCompl!K44)),[1]FoFsmonkeyCompl!K44,"")</f>
        <v/>
      </c>
      <c r="C41" s="7"/>
      <c r="D41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41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41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41" s="6" t="str">
        <f>IF(ISBLANK([1]FoFsmonkeyCompl!L44),"",[1]FoFsmonkeyCompl!L44)</f>
        <v/>
      </c>
      <c r="H41" s="6" t="str">
        <f>IF(ISBLANK([1]FoFsmonkeyCompl!M44),"",[1]FoFsmonkeyCompl!M44)</f>
        <v/>
      </c>
      <c r="I41" s="6" t="str">
        <f>IF(ISBLANK([1]FoFsmonkeyCompl!N44),"",[1]FoFsmonkeyCompl!N44)</f>
        <v/>
      </c>
      <c r="J41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41" s="11" t="str">
        <f>IFERROR(VLOOKUP(FoFanalysis[[#This Row],[Currency of Reporting]],'[1]Xrate31.12.20'!$F$5:$H$28,3,0),"")</f>
        <v/>
      </c>
      <c r="L41" s="11" t="str">
        <f>IFERROR(IF(ISBLANK([1]FoFsmonkeyCompl!O44),"",[1]FoFsmonkeyCompl!O44*FoFanalysis[[#This Row],[EUR]]),"")</f>
        <v/>
      </c>
      <c r="M41" s="8" t="str">
        <f>IFERROR(IF(ISBLANK([1]FoFsmonkeyCompl!P44),"",[1]FoFsmonkeyCompl!P44*FoFanalysis[[#This Row],[EUR]]),"")</f>
        <v/>
      </c>
      <c r="N41" s="8" t="str">
        <f>IFERROR(IF(ISBLANK([1]FoFsmonkeyCompl!Q44),"",[1]FoFsmonkeyCompl!Q44*FoFanalysis[[#This Row],[EUR]]),"")</f>
        <v/>
      </c>
      <c r="O41" s="8" t="str">
        <f>IFERROR(IF(ISBLANK([1]FoFsmonkeyCompl!R44),"",[1]FoFsmonkeyCompl!R44*FoFanalysis[[#This Row],[EUR]]),"")</f>
        <v/>
      </c>
      <c r="P41" s="8" t="str">
        <f>IFERROR(IF(ISBLANK([1]FoFsmonkeyCompl!S44),"",[1]FoFsmonkeyCompl!S44*FoFanalysis[[#This Row],[EUR]]),"")</f>
        <v/>
      </c>
      <c r="Q41" s="8" t="str">
        <f>IFERROR(IF(ISBLANK([1]FoFsmonkeyCompl!T44),"",[1]FoFsmonkeyCompl!T44*FoFanalysis[[#This Row],[EUR]]),"")</f>
        <v/>
      </c>
      <c r="R41" s="8" t="str">
        <f>IFERROR(IF(ISBLANK([1]FoFsmonkeyCompl!U44),"",[1]FoFsmonkeyCompl!U44*FoFanalysis[[#This Row],[EUR]]),"")</f>
        <v/>
      </c>
      <c r="S41" s="8" t="str">
        <f>IFERROR(IF(ISBLANK([1]FoFsmonkeyCompl!V44),"",[1]FoFsmonkeyCompl!V44*FoFanalysis[[#This Row],[EUR]]),"")</f>
        <v/>
      </c>
      <c r="T41" s="8" t="str">
        <f>IFERROR(IF(ISBLANK([1]FoFsmonkeyCompl!W44),"",[1]FoFsmonkeyCompl!W44*FoFanalysis[[#This Row],[EUR]]),"")</f>
        <v/>
      </c>
      <c r="U41" s="8" t="str">
        <f>IFERROR(IF(ISBLANK([1]FoFsmonkeyCompl!X44),"",[1]FoFsmonkeyCompl!X44*FoFanalysis[[#This Row],[EUR]]),"")</f>
        <v/>
      </c>
      <c r="V41" s="8" t="str">
        <f>IFERROR(IF(ISBLANK([1]FoFsmonkeyCompl!Y44),"",[1]FoFsmonkeyCompl!Y44*FoFanalysis[[#This Row],[EUR]]),"")</f>
        <v/>
      </c>
      <c r="W41" s="8" t="str">
        <f>IFERROR(IF(ISBLANK([1]FoFsmonkeyCompl!Z44),"",[1]FoFsmonkeyCompl!Z44*FoFanalysis[[#This Row],[EUR]]),"")</f>
        <v/>
      </c>
      <c r="X41" s="8" t="str">
        <f>IFERROR(IF(ISBLANK([1]FoFsmonkeyCompl!AA44),"",[1]FoFsmonkeyCompl!AA44*FoFanalysis[[#This Row],[EUR]]),"")</f>
        <v/>
      </c>
      <c r="Y41" s="8" t="str">
        <f>IFERROR(IF(ISBLANK([1]FoFsmonkeyCompl!AB44),"",[1]FoFsmonkeyCompl!AB44*FoFanalysis[[#This Row],[EUR]]),"")</f>
        <v/>
      </c>
      <c r="Z41" s="8" t="str">
        <f>IFERROR(IF(ISBLANK([1]FoFsmonkeyCompl!AC44),"",[1]FoFsmonkeyCompl!AC44),"")</f>
        <v/>
      </c>
      <c r="AA41" s="8" t="str">
        <f>IFERROR(IF(ISBLANK([1]FoFsmonkeyCompl!AD44),"",[1]FoFsmonkeyCompl!AD44),"")</f>
        <v/>
      </c>
      <c r="AB41" s="8" t="str">
        <f>IFERROR(IF(ISBLANK([1]FoFsmonkeyCompl!AE44),"",[1]FoFsmonkeyCompl!AE44),"")</f>
        <v/>
      </c>
      <c r="AC41" s="8" t="str">
        <f>IFERROR(IF(ISBLANK([1]FoFsmonkeyCompl!AF44),"",[1]FoFsmonkeyCompl!AF44),"")</f>
        <v/>
      </c>
      <c r="AD41" s="8" t="str">
        <f>IFERROR(IF(ISBLANK([1]FoFsmonkeyCompl!AG44),"",[1]FoFsmonkeyCompl!AG44),"")</f>
        <v/>
      </c>
      <c r="AE41" s="8" t="str">
        <f>IFERROR(IF(ISBLANK([1]FoFsmonkeyCompl!AH44),"",[1]FoFsmonkeyCompl!AH44),"")</f>
        <v/>
      </c>
    </row>
    <row r="42" spans="1:31" ht="14.25" thickTop="1" thickBot="1" x14ac:dyDescent="0.25">
      <c r="A42" s="9" t="str">
        <f>IF(OR(ISTEXT([1]FoFsmonkeyCompl!J45),ISNUMBER([1]FoFsmonkeyCompl!J45)),[1]FoFsmonkeyCompl!J45,"")</f>
        <v/>
      </c>
      <c r="B42" s="6" t="str">
        <f>IF(OR(ISTEXT([1]FoFsmonkeyCompl!K45),ISNUMBER([1]FoFsmonkeyCompl!K45)),[1]FoFsmonkeyCompl!K45,"")</f>
        <v/>
      </c>
      <c r="C42" s="7"/>
      <c r="D42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42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42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42" s="6" t="str">
        <f>IF(ISBLANK([1]FoFsmonkeyCompl!L45),"",[1]FoFsmonkeyCompl!L45)</f>
        <v/>
      </c>
      <c r="H42" s="6" t="str">
        <f>IF(ISBLANK([1]FoFsmonkeyCompl!M45),"",[1]FoFsmonkeyCompl!M45)</f>
        <v/>
      </c>
      <c r="I42" s="6" t="str">
        <f>IF(ISBLANK([1]FoFsmonkeyCompl!N45),"",[1]FoFsmonkeyCompl!N45)</f>
        <v/>
      </c>
      <c r="J42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42" s="11" t="str">
        <f>IFERROR(VLOOKUP(FoFanalysis[[#This Row],[Currency of Reporting]],'[1]Xrate31.12.20'!$F$5:$H$28,3,0),"")</f>
        <v/>
      </c>
      <c r="L42" s="11" t="str">
        <f>IFERROR(IF(ISBLANK([1]FoFsmonkeyCompl!O45),"",[1]FoFsmonkeyCompl!O45*FoFanalysis[[#This Row],[EUR]]),"")</f>
        <v/>
      </c>
      <c r="M42" s="8" t="str">
        <f>IFERROR(IF(ISBLANK([1]FoFsmonkeyCompl!P45),"",[1]FoFsmonkeyCompl!P45*FoFanalysis[[#This Row],[EUR]]),"")</f>
        <v/>
      </c>
      <c r="N42" s="8" t="str">
        <f>IFERROR(IF(ISBLANK([1]FoFsmonkeyCompl!Q45),"",[1]FoFsmonkeyCompl!Q45*FoFanalysis[[#This Row],[EUR]]),"")</f>
        <v/>
      </c>
      <c r="O42" s="8" t="str">
        <f>IFERROR(IF(ISBLANK([1]FoFsmonkeyCompl!R45),"",[1]FoFsmonkeyCompl!R45*FoFanalysis[[#This Row],[EUR]]),"")</f>
        <v/>
      </c>
      <c r="P42" s="8" t="str">
        <f>IFERROR(IF(ISBLANK([1]FoFsmonkeyCompl!S45),"",[1]FoFsmonkeyCompl!S45*FoFanalysis[[#This Row],[EUR]]),"")</f>
        <v/>
      </c>
      <c r="Q42" s="8" t="str">
        <f>IFERROR(IF(ISBLANK([1]FoFsmonkeyCompl!T45),"",[1]FoFsmonkeyCompl!T45*FoFanalysis[[#This Row],[EUR]]),"")</f>
        <v/>
      </c>
      <c r="R42" s="8" t="str">
        <f>IFERROR(IF(ISBLANK([1]FoFsmonkeyCompl!U45),"",[1]FoFsmonkeyCompl!U45*FoFanalysis[[#This Row],[EUR]]),"")</f>
        <v/>
      </c>
      <c r="S42" s="8" t="str">
        <f>IFERROR(IF(ISBLANK([1]FoFsmonkeyCompl!V45),"",[1]FoFsmonkeyCompl!V45*FoFanalysis[[#This Row],[EUR]]),"")</f>
        <v/>
      </c>
      <c r="T42" s="8" t="str">
        <f>IFERROR(IF(ISBLANK([1]FoFsmonkeyCompl!W45),"",[1]FoFsmonkeyCompl!W45*FoFanalysis[[#This Row],[EUR]]),"")</f>
        <v/>
      </c>
      <c r="U42" s="8" t="str">
        <f>IFERROR(IF(ISBLANK([1]FoFsmonkeyCompl!X45),"",[1]FoFsmonkeyCompl!X45*FoFanalysis[[#This Row],[EUR]]),"")</f>
        <v/>
      </c>
      <c r="V42" s="8" t="str">
        <f>IFERROR(IF(ISBLANK([1]FoFsmonkeyCompl!Y45),"",[1]FoFsmonkeyCompl!Y45*FoFanalysis[[#This Row],[EUR]]),"")</f>
        <v/>
      </c>
      <c r="W42" s="8" t="str">
        <f>IFERROR(IF(ISBLANK([1]FoFsmonkeyCompl!Z45),"",[1]FoFsmonkeyCompl!Z45*FoFanalysis[[#This Row],[EUR]]),"")</f>
        <v/>
      </c>
      <c r="X42" s="8" t="str">
        <f>IFERROR(IF(ISBLANK([1]FoFsmonkeyCompl!AA45),"",[1]FoFsmonkeyCompl!AA45*FoFanalysis[[#This Row],[EUR]]),"")</f>
        <v/>
      </c>
      <c r="Y42" s="8" t="str">
        <f>IFERROR(IF(ISBLANK([1]FoFsmonkeyCompl!AB45),"",[1]FoFsmonkeyCompl!AB45*FoFanalysis[[#This Row],[EUR]]),"")</f>
        <v/>
      </c>
      <c r="Z42" s="8" t="str">
        <f>IFERROR(IF(ISBLANK([1]FoFsmonkeyCompl!AC45),"",[1]FoFsmonkeyCompl!AC45),"")</f>
        <v/>
      </c>
      <c r="AA42" s="8" t="str">
        <f>IFERROR(IF(ISBLANK([1]FoFsmonkeyCompl!AD45),"",[1]FoFsmonkeyCompl!AD45),"")</f>
        <v/>
      </c>
      <c r="AB42" s="8" t="str">
        <f>IFERROR(IF(ISBLANK([1]FoFsmonkeyCompl!AE45),"",[1]FoFsmonkeyCompl!AE45),"")</f>
        <v/>
      </c>
      <c r="AC42" s="8" t="str">
        <f>IFERROR(IF(ISBLANK([1]FoFsmonkeyCompl!AF45),"",[1]FoFsmonkeyCompl!AF45),"")</f>
        <v/>
      </c>
      <c r="AD42" s="8" t="str">
        <f>IFERROR(IF(ISBLANK([1]FoFsmonkeyCompl!AG45),"",[1]FoFsmonkeyCompl!AG45),"")</f>
        <v/>
      </c>
      <c r="AE42" s="8" t="str">
        <f>IFERROR(IF(ISBLANK([1]FoFsmonkeyCompl!AH45),"",[1]FoFsmonkeyCompl!AH45),"")</f>
        <v/>
      </c>
    </row>
    <row r="43" spans="1:31" ht="14.25" thickTop="1" thickBot="1" x14ac:dyDescent="0.25">
      <c r="A43" s="5" t="str">
        <f>IF(OR(ISTEXT([1]FoFsmonkeyCompl!J46),ISNUMBER([1]FoFsmonkeyCompl!J46)),[1]FoFsmonkeyCompl!J46,"")</f>
        <v/>
      </c>
      <c r="B43" s="6" t="str">
        <f>IF(OR(ISTEXT([1]FoFsmonkeyCompl!K46),ISNUMBER([1]FoFsmonkeyCompl!K46)),[1]FoFsmonkeyCompl!K46,"")</f>
        <v/>
      </c>
      <c r="C43" s="7"/>
      <c r="D43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43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43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43" s="6" t="str">
        <f>IF(ISBLANK([1]FoFsmonkeyCompl!L46),"",[1]FoFsmonkeyCompl!L46)</f>
        <v/>
      </c>
      <c r="H43" s="6" t="str">
        <f>IF(ISBLANK([1]FoFsmonkeyCompl!M46),"",[1]FoFsmonkeyCompl!M46)</f>
        <v/>
      </c>
      <c r="I43" s="6" t="str">
        <f>IF(ISBLANK([1]FoFsmonkeyCompl!N46),"",[1]FoFsmonkeyCompl!N46)</f>
        <v/>
      </c>
      <c r="J43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43" s="11" t="str">
        <f>IFERROR(VLOOKUP(FoFanalysis[[#This Row],[Currency of Reporting]],'[1]Xrate31.12.20'!$F$5:$H$28,3,0),"")</f>
        <v/>
      </c>
      <c r="L43" s="11" t="str">
        <f>IFERROR(IF(ISBLANK([1]FoFsmonkeyCompl!O46),"",[1]FoFsmonkeyCompl!O46*FoFanalysis[[#This Row],[EUR]]),"")</f>
        <v/>
      </c>
      <c r="M43" s="8" t="str">
        <f>IFERROR(IF(ISBLANK([1]FoFsmonkeyCompl!P46),"",[1]FoFsmonkeyCompl!P46*FoFanalysis[[#This Row],[EUR]]),"")</f>
        <v/>
      </c>
      <c r="N43" s="8" t="str">
        <f>IFERROR(IF(ISBLANK([1]FoFsmonkeyCompl!Q46),"",[1]FoFsmonkeyCompl!Q46*FoFanalysis[[#This Row],[EUR]]),"")</f>
        <v/>
      </c>
      <c r="O43" s="8" t="str">
        <f>IFERROR(IF(ISBLANK([1]FoFsmonkeyCompl!R46),"",[1]FoFsmonkeyCompl!R46*FoFanalysis[[#This Row],[EUR]]),"")</f>
        <v/>
      </c>
      <c r="P43" s="8" t="str">
        <f>IFERROR(IF(ISBLANK([1]FoFsmonkeyCompl!S46),"",[1]FoFsmonkeyCompl!S46*FoFanalysis[[#This Row],[EUR]]),"")</f>
        <v/>
      </c>
      <c r="Q43" s="8" t="str">
        <f>IFERROR(IF(ISBLANK([1]FoFsmonkeyCompl!T46),"",[1]FoFsmonkeyCompl!T46*FoFanalysis[[#This Row],[EUR]]),"")</f>
        <v/>
      </c>
      <c r="R43" s="8" t="str">
        <f>IFERROR(IF(ISBLANK([1]FoFsmonkeyCompl!U46),"",[1]FoFsmonkeyCompl!U46*FoFanalysis[[#This Row],[EUR]]),"")</f>
        <v/>
      </c>
      <c r="S43" s="8" t="str">
        <f>IFERROR(IF(ISBLANK([1]FoFsmonkeyCompl!V46),"",[1]FoFsmonkeyCompl!V46*FoFanalysis[[#This Row],[EUR]]),"")</f>
        <v/>
      </c>
      <c r="T43" s="8" t="str">
        <f>IFERROR(IF(ISBLANK([1]FoFsmonkeyCompl!W46),"",[1]FoFsmonkeyCompl!W46*FoFanalysis[[#This Row],[EUR]]),"")</f>
        <v/>
      </c>
      <c r="U43" s="8" t="str">
        <f>IFERROR(IF(ISBLANK([1]FoFsmonkeyCompl!X46),"",[1]FoFsmonkeyCompl!X46*FoFanalysis[[#This Row],[EUR]]),"")</f>
        <v/>
      </c>
      <c r="V43" s="8" t="str">
        <f>IFERROR(IF(ISBLANK([1]FoFsmonkeyCompl!Y46),"",[1]FoFsmonkeyCompl!Y46*FoFanalysis[[#This Row],[EUR]]),"")</f>
        <v/>
      </c>
      <c r="W43" s="8" t="str">
        <f>IFERROR(IF(ISBLANK([1]FoFsmonkeyCompl!Z46),"",[1]FoFsmonkeyCompl!Z46*FoFanalysis[[#This Row],[EUR]]),"")</f>
        <v/>
      </c>
      <c r="X43" s="8" t="str">
        <f>IFERROR(IF(ISBLANK([1]FoFsmonkeyCompl!AA46),"",[1]FoFsmonkeyCompl!AA46*FoFanalysis[[#This Row],[EUR]]),"")</f>
        <v/>
      </c>
      <c r="Y43" s="8" t="str">
        <f>IFERROR(IF(ISBLANK([1]FoFsmonkeyCompl!AB46),"",[1]FoFsmonkeyCompl!AB46*FoFanalysis[[#This Row],[EUR]]),"")</f>
        <v/>
      </c>
      <c r="Z43" s="8" t="str">
        <f>IFERROR(IF(ISBLANK([1]FoFsmonkeyCompl!AC46),"",[1]FoFsmonkeyCompl!AC46),"")</f>
        <v/>
      </c>
      <c r="AA43" s="8" t="str">
        <f>IFERROR(IF(ISBLANK([1]FoFsmonkeyCompl!AD46),"",[1]FoFsmonkeyCompl!AD46),"")</f>
        <v/>
      </c>
      <c r="AB43" s="8" t="str">
        <f>IFERROR(IF(ISBLANK([1]FoFsmonkeyCompl!AE46),"",[1]FoFsmonkeyCompl!AE46),"")</f>
        <v/>
      </c>
      <c r="AC43" s="8" t="str">
        <f>IFERROR(IF(ISBLANK([1]FoFsmonkeyCompl!AF46),"",[1]FoFsmonkeyCompl!AF46),"")</f>
        <v/>
      </c>
      <c r="AD43" s="8" t="str">
        <f>IFERROR(IF(ISBLANK([1]FoFsmonkeyCompl!AG46),"",[1]FoFsmonkeyCompl!AG46),"")</f>
        <v/>
      </c>
      <c r="AE43" s="8" t="str">
        <f>IFERROR(IF(ISBLANK([1]FoFsmonkeyCompl!AH46),"",[1]FoFsmonkeyCompl!AH46),"")</f>
        <v/>
      </c>
    </row>
    <row r="44" spans="1:31" ht="14.25" thickTop="1" thickBot="1" x14ac:dyDescent="0.25">
      <c r="A44" s="9" t="str">
        <f>IF(OR(ISTEXT([1]FoFsmonkeyCompl!J47),ISNUMBER([1]FoFsmonkeyCompl!J47)),[1]FoFsmonkeyCompl!J47,"")</f>
        <v/>
      </c>
      <c r="B44" s="6" t="str">
        <f>IF(OR(ISTEXT([1]FoFsmonkeyCompl!K47),ISNUMBER([1]FoFsmonkeyCompl!K47)),[1]FoFsmonkeyCompl!K47,"")</f>
        <v/>
      </c>
      <c r="C44" s="7"/>
      <c r="D44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44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44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44" s="6" t="str">
        <f>IF(ISBLANK([1]FoFsmonkeyCompl!L47),"",[1]FoFsmonkeyCompl!L47)</f>
        <v/>
      </c>
      <c r="H44" s="6" t="str">
        <f>IF(ISBLANK([1]FoFsmonkeyCompl!M47),"",[1]FoFsmonkeyCompl!M47)</f>
        <v/>
      </c>
      <c r="I44" s="6" t="str">
        <f>IF(ISBLANK([1]FoFsmonkeyCompl!N47),"",[1]FoFsmonkeyCompl!N47)</f>
        <v/>
      </c>
      <c r="J44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44" s="11" t="str">
        <f>IFERROR(VLOOKUP(FoFanalysis[[#This Row],[Currency of Reporting]],'[1]Xrate31.12.20'!$F$5:$H$28,3,0),"")</f>
        <v/>
      </c>
      <c r="L44" s="11" t="str">
        <f>IFERROR(IF(ISBLANK([1]FoFsmonkeyCompl!O47),"",[1]FoFsmonkeyCompl!O47*FoFanalysis[[#This Row],[EUR]]),"")</f>
        <v/>
      </c>
      <c r="M44" s="8" t="str">
        <f>IFERROR(IF(ISBLANK([1]FoFsmonkeyCompl!P47),"",[1]FoFsmonkeyCompl!P47*FoFanalysis[[#This Row],[EUR]]),"")</f>
        <v/>
      </c>
      <c r="N44" s="8" t="str">
        <f>IFERROR(IF(ISBLANK([1]FoFsmonkeyCompl!Q47),"",[1]FoFsmonkeyCompl!Q47*FoFanalysis[[#This Row],[EUR]]),"")</f>
        <v/>
      </c>
      <c r="O44" s="8" t="str">
        <f>IFERROR(IF(ISBLANK([1]FoFsmonkeyCompl!R47),"",[1]FoFsmonkeyCompl!R47*FoFanalysis[[#This Row],[EUR]]),"")</f>
        <v/>
      </c>
      <c r="P44" s="8" t="str">
        <f>IFERROR(IF(ISBLANK([1]FoFsmonkeyCompl!S47),"",[1]FoFsmonkeyCompl!S47*FoFanalysis[[#This Row],[EUR]]),"")</f>
        <v/>
      </c>
      <c r="Q44" s="8" t="str">
        <f>IFERROR(IF(ISBLANK([1]FoFsmonkeyCompl!T47),"",[1]FoFsmonkeyCompl!T47*FoFanalysis[[#This Row],[EUR]]),"")</f>
        <v/>
      </c>
      <c r="R44" s="8" t="str">
        <f>IFERROR(IF(ISBLANK([1]FoFsmonkeyCompl!U47),"",[1]FoFsmonkeyCompl!U47*FoFanalysis[[#This Row],[EUR]]),"")</f>
        <v/>
      </c>
      <c r="S44" s="8" t="str">
        <f>IFERROR(IF(ISBLANK([1]FoFsmonkeyCompl!V47),"",[1]FoFsmonkeyCompl!V47*FoFanalysis[[#This Row],[EUR]]),"")</f>
        <v/>
      </c>
      <c r="T44" s="8" t="str">
        <f>IFERROR(IF(ISBLANK([1]FoFsmonkeyCompl!W47),"",[1]FoFsmonkeyCompl!W47*FoFanalysis[[#This Row],[EUR]]),"")</f>
        <v/>
      </c>
      <c r="U44" s="8" t="str">
        <f>IFERROR(IF(ISBLANK([1]FoFsmonkeyCompl!X47),"",[1]FoFsmonkeyCompl!X47*FoFanalysis[[#This Row],[EUR]]),"")</f>
        <v/>
      </c>
      <c r="V44" s="8" t="str">
        <f>IFERROR(IF(ISBLANK([1]FoFsmonkeyCompl!Y47),"",[1]FoFsmonkeyCompl!Y47*FoFanalysis[[#This Row],[EUR]]),"")</f>
        <v/>
      </c>
      <c r="W44" s="8" t="str">
        <f>IFERROR(IF(ISBLANK([1]FoFsmonkeyCompl!Z47),"",[1]FoFsmonkeyCompl!Z47*FoFanalysis[[#This Row],[EUR]]),"")</f>
        <v/>
      </c>
      <c r="X44" s="8" t="str">
        <f>IFERROR(IF(ISBLANK([1]FoFsmonkeyCompl!AA47),"",[1]FoFsmonkeyCompl!AA47*FoFanalysis[[#This Row],[EUR]]),"")</f>
        <v/>
      </c>
      <c r="Y44" s="8" t="str">
        <f>IFERROR(IF(ISBLANK([1]FoFsmonkeyCompl!AB47),"",[1]FoFsmonkeyCompl!AB47*FoFanalysis[[#This Row],[EUR]]),"")</f>
        <v/>
      </c>
      <c r="Z44" s="8" t="str">
        <f>IFERROR(IF(ISBLANK([1]FoFsmonkeyCompl!AC47),"",[1]FoFsmonkeyCompl!AC47),"")</f>
        <v/>
      </c>
      <c r="AA44" s="8" t="str">
        <f>IFERROR(IF(ISBLANK([1]FoFsmonkeyCompl!AD47),"",[1]FoFsmonkeyCompl!AD47),"")</f>
        <v/>
      </c>
      <c r="AB44" s="8" t="str">
        <f>IFERROR(IF(ISBLANK([1]FoFsmonkeyCompl!AE47),"",[1]FoFsmonkeyCompl!AE47),"")</f>
        <v/>
      </c>
      <c r="AC44" s="8" t="str">
        <f>IFERROR(IF(ISBLANK([1]FoFsmonkeyCompl!AF47),"",[1]FoFsmonkeyCompl!AF47),"")</f>
        <v/>
      </c>
      <c r="AD44" s="8" t="str">
        <f>IFERROR(IF(ISBLANK([1]FoFsmonkeyCompl!AG47),"",[1]FoFsmonkeyCompl!AG47),"")</f>
        <v/>
      </c>
      <c r="AE44" s="8" t="str">
        <f>IFERROR(IF(ISBLANK([1]FoFsmonkeyCompl!AH47),"",[1]FoFsmonkeyCompl!AH47),"")</f>
        <v/>
      </c>
    </row>
    <row r="45" spans="1:31" ht="14.25" thickTop="1" thickBot="1" x14ac:dyDescent="0.25">
      <c r="A45" s="5" t="str">
        <f>IF(OR(ISTEXT([1]FoFsmonkeyCompl!J48),ISNUMBER([1]FoFsmonkeyCompl!J48)),[1]FoFsmonkeyCompl!J48,"")</f>
        <v/>
      </c>
      <c r="B45" s="6" t="str">
        <f>IF(OR(ISTEXT([1]FoFsmonkeyCompl!K48),ISNUMBER([1]FoFsmonkeyCompl!K48)),[1]FoFsmonkeyCompl!K48,"")</f>
        <v/>
      </c>
      <c r="C45" s="7"/>
      <c r="D45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45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45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45" s="6" t="str">
        <f>IF(ISBLANK([1]FoFsmonkeyCompl!L48),"",[1]FoFsmonkeyCompl!L48)</f>
        <v/>
      </c>
      <c r="H45" s="6" t="str">
        <f>IF(ISBLANK([1]FoFsmonkeyCompl!M48),"",[1]FoFsmonkeyCompl!M48)</f>
        <v/>
      </c>
      <c r="I45" s="6" t="str">
        <f>IF(ISBLANK([1]FoFsmonkeyCompl!N48),"",[1]FoFsmonkeyCompl!N48)</f>
        <v/>
      </c>
      <c r="J45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45" s="11" t="str">
        <f>IFERROR(VLOOKUP(FoFanalysis[[#This Row],[Currency of Reporting]],'[1]Xrate31.12.20'!$F$5:$H$28,3,0),"")</f>
        <v/>
      </c>
      <c r="L45" s="11" t="str">
        <f>IFERROR(IF(ISBLANK([1]FoFsmonkeyCompl!O48),"",[1]FoFsmonkeyCompl!O48*FoFanalysis[[#This Row],[EUR]]),"")</f>
        <v/>
      </c>
      <c r="M45" s="8" t="str">
        <f>IFERROR(IF(ISBLANK([1]FoFsmonkeyCompl!P48),"",[1]FoFsmonkeyCompl!P48*FoFanalysis[[#This Row],[EUR]]),"")</f>
        <v/>
      </c>
      <c r="N45" s="8" t="str">
        <f>IFERROR(IF(ISBLANK([1]FoFsmonkeyCompl!Q48),"",[1]FoFsmonkeyCompl!Q48*FoFanalysis[[#This Row],[EUR]]),"")</f>
        <v/>
      </c>
      <c r="O45" s="8" t="str">
        <f>IFERROR(IF(ISBLANK([1]FoFsmonkeyCompl!R48),"",[1]FoFsmonkeyCompl!R48*FoFanalysis[[#This Row],[EUR]]),"")</f>
        <v/>
      </c>
      <c r="P45" s="8" t="str">
        <f>IFERROR(IF(ISBLANK([1]FoFsmonkeyCompl!S48),"",[1]FoFsmonkeyCompl!S48*FoFanalysis[[#This Row],[EUR]]),"")</f>
        <v/>
      </c>
      <c r="Q45" s="8" t="str">
        <f>IFERROR(IF(ISBLANK([1]FoFsmonkeyCompl!T48),"",[1]FoFsmonkeyCompl!T48*FoFanalysis[[#This Row],[EUR]]),"")</f>
        <v/>
      </c>
      <c r="R45" s="8" t="str">
        <f>IFERROR(IF(ISBLANK([1]FoFsmonkeyCompl!U48),"",[1]FoFsmonkeyCompl!U48*FoFanalysis[[#This Row],[EUR]]),"")</f>
        <v/>
      </c>
      <c r="S45" s="8" t="str">
        <f>IFERROR(IF(ISBLANK([1]FoFsmonkeyCompl!V48),"",[1]FoFsmonkeyCompl!V48*FoFanalysis[[#This Row],[EUR]]),"")</f>
        <v/>
      </c>
      <c r="T45" s="8" t="str">
        <f>IFERROR(IF(ISBLANK([1]FoFsmonkeyCompl!W48),"",[1]FoFsmonkeyCompl!W48*FoFanalysis[[#This Row],[EUR]]),"")</f>
        <v/>
      </c>
      <c r="U45" s="8" t="str">
        <f>IFERROR(IF(ISBLANK([1]FoFsmonkeyCompl!X48),"",[1]FoFsmonkeyCompl!X48*FoFanalysis[[#This Row],[EUR]]),"")</f>
        <v/>
      </c>
      <c r="V45" s="8" t="str">
        <f>IFERROR(IF(ISBLANK([1]FoFsmonkeyCompl!Y48),"",[1]FoFsmonkeyCompl!Y48*FoFanalysis[[#This Row],[EUR]]),"")</f>
        <v/>
      </c>
      <c r="W45" s="8" t="str">
        <f>IFERROR(IF(ISBLANK([1]FoFsmonkeyCompl!Z48),"",[1]FoFsmonkeyCompl!Z48*FoFanalysis[[#This Row],[EUR]]),"")</f>
        <v/>
      </c>
      <c r="X45" s="8" t="str">
        <f>IFERROR(IF(ISBLANK([1]FoFsmonkeyCompl!AA48),"",[1]FoFsmonkeyCompl!AA48*FoFanalysis[[#This Row],[EUR]]),"")</f>
        <v/>
      </c>
      <c r="Y45" s="8" t="str">
        <f>IFERROR(IF(ISBLANK([1]FoFsmonkeyCompl!AB48),"",[1]FoFsmonkeyCompl!AB48*FoFanalysis[[#This Row],[EUR]]),"")</f>
        <v/>
      </c>
      <c r="Z45" s="8" t="str">
        <f>IFERROR(IF(ISBLANK([1]FoFsmonkeyCompl!AC48),"",[1]FoFsmonkeyCompl!AC48),"")</f>
        <v/>
      </c>
      <c r="AA45" s="8" t="str">
        <f>IFERROR(IF(ISBLANK([1]FoFsmonkeyCompl!AD48),"",[1]FoFsmonkeyCompl!AD48),"")</f>
        <v/>
      </c>
      <c r="AB45" s="8" t="str">
        <f>IFERROR(IF(ISBLANK([1]FoFsmonkeyCompl!AE48),"",[1]FoFsmonkeyCompl!AE48),"")</f>
        <v/>
      </c>
      <c r="AC45" s="8" t="str">
        <f>IFERROR(IF(ISBLANK([1]FoFsmonkeyCompl!AF48),"",[1]FoFsmonkeyCompl!AF48),"")</f>
        <v/>
      </c>
      <c r="AD45" s="8" t="str">
        <f>IFERROR(IF(ISBLANK([1]FoFsmonkeyCompl!AG48),"",[1]FoFsmonkeyCompl!AG48),"")</f>
        <v/>
      </c>
      <c r="AE45" s="8" t="str">
        <f>IFERROR(IF(ISBLANK([1]FoFsmonkeyCompl!AH48),"",[1]FoFsmonkeyCompl!AH48),"")</f>
        <v/>
      </c>
    </row>
    <row r="46" spans="1:31" ht="14.25" thickTop="1" thickBot="1" x14ac:dyDescent="0.25">
      <c r="A46" s="9" t="str">
        <f>IF(OR(ISTEXT([1]FoFsmonkeyCompl!J49),ISNUMBER([1]FoFsmonkeyCompl!J49)),[1]FoFsmonkeyCompl!J49,"")</f>
        <v/>
      </c>
      <c r="B46" s="6" t="str">
        <f>IF(OR(ISTEXT([1]FoFsmonkeyCompl!K49),ISNUMBER([1]FoFsmonkeyCompl!K49)),[1]FoFsmonkeyCompl!K49,"")</f>
        <v/>
      </c>
      <c r="C46" s="7"/>
      <c r="D46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46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46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46" s="6" t="str">
        <f>IF(ISBLANK([1]FoFsmonkeyCompl!L49),"",[1]FoFsmonkeyCompl!L49)</f>
        <v/>
      </c>
      <c r="H46" s="6" t="str">
        <f>IF(ISBLANK([1]FoFsmonkeyCompl!M49),"",[1]FoFsmonkeyCompl!M49)</f>
        <v/>
      </c>
      <c r="I46" s="6" t="str">
        <f>IF(ISBLANK([1]FoFsmonkeyCompl!N49),"",[1]FoFsmonkeyCompl!N49)</f>
        <v/>
      </c>
      <c r="J46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46" s="11" t="str">
        <f>IFERROR(VLOOKUP(FoFanalysis[[#This Row],[Currency of Reporting]],'[1]Xrate31.12.20'!$F$5:$H$28,3,0),"")</f>
        <v/>
      </c>
      <c r="L46" s="11" t="str">
        <f>IFERROR(IF(ISBLANK([1]FoFsmonkeyCompl!O49),"",[1]FoFsmonkeyCompl!O49*FoFanalysis[[#This Row],[EUR]]),"")</f>
        <v/>
      </c>
      <c r="M46" s="8" t="str">
        <f>IFERROR(IF(ISBLANK([1]FoFsmonkeyCompl!P49),"",[1]FoFsmonkeyCompl!P49*FoFanalysis[[#This Row],[EUR]]),"")</f>
        <v/>
      </c>
      <c r="N46" s="8" t="str">
        <f>IFERROR(IF(ISBLANK([1]FoFsmonkeyCompl!Q49),"",[1]FoFsmonkeyCompl!Q49*FoFanalysis[[#This Row],[EUR]]),"")</f>
        <v/>
      </c>
      <c r="O46" s="8" t="str">
        <f>IFERROR(IF(ISBLANK([1]FoFsmonkeyCompl!R49),"",[1]FoFsmonkeyCompl!R49*FoFanalysis[[#This Row],[EUR]]),"")</f>
        <v/>
      </c>
      <c r="P46" s="8" t="str">
        <f>IFERROR(IF(ISBLANK([1]FoFsmonkeyCompl!S49),"",[1]FoFsmonkeyCompl!S49*FoFanalysis[[#This Row],[EUR]]),"")</f>
        <v/>
      </c>
      <c r="Q46" s="8" t="str">
        <f>IFERROR(IF(ISBLANK([1]FoFsmonkeyCompl!T49),"",[1]FoFsmonkeyCompl!T49*FoFanalysis[[#This Row],[EUR]]),"")</f>
        <v/>
      </c>
      <c r="R46" s="8" t="str">
        <f>IFERROR(IF(ISBLANK([1]FoFsmonkeyCompl!U49),"",[1]FoFsmonkeyCompl!U49*FoFanalysis[[#This Row],[EUR]]),"")</f>
        <v/>
      </c>
      <c r="S46" s="8" t="str">
        <f>IFERROR(IF(ISBLANK([1]FoFsmonkeyCompl!V49),"",[1]FoFsmonkeyCompl!V49*FoFanalysis[[#This Row],[EUR]]),"")</f>
        <v/>
      </c>
      <c r="T46" s="8" t="str">
        <f>IFERROR(IF(ISBLANK([1]FoFsmonkeyCompl!W49),"",[1]FoFsmonkeyCompl!W49*FoFanalysis[[#This Row],[EUR]]),"")</f>
        <v/>
      </c>
      <c r="U46" s="8" t="str">
        <f>IFERROR(IF(ISBLANK([1]FoFsmonkeyCompl!X49),"",[1]FoFsmonkeyCompl!X49*FoFanalysis[[#This Row],[EUR]]),"")</f>
        <v/>
      </c>
      <c r="V46" s="8" t="str">
        <f>IFERROR(IF(ISBLANK([1]FoFsmonkeyCompl!Y49),"",[1]FoFsmonkeyCompl!Y49*FoFanalysis[[#This Row],[EUR]]),"")</f>
        <v/>
      </c>
      <c r="W46" s="8" t="str">
        <f>IFERROR(IF(ISBLANK([1]FoFsmonkeyCompl!Z49),"",[1]FoFsmonkeyCompl!Z49*FoFanalysis[[#This Row],[EUR]]),"")</f>
        <v/>
      </c>
      <c r="X46" s="8" t="str">
        <f>IFERROR(IF(ISBLANK([1]FoFsmonkeyCompl!AA49),"",[1]FoFsmonkeyCompl!AA49*FoFanalysis[[#This Row],[EUR]]),"")</f>
        <v/>
      </c>
      <c r="Y46" s="8" t="str">
        <f>IFERROR(IF(ISBLANK([1]FoFsmonkeyCompl!AB49),"",[1]FoFsmonkeyCompl!AB49*FoFanalysis[[#This Row],[EUR]]),"")</f>
        <v/>
      </c>
      <c r="Z46" s="8" t="str">
        <f>IFERROR(IF(ISBLANK([1]FoFsmonkeyCompl!AC49),"",[1]FoFsmonkeyCompl!AC49),"")</f>
        <v/>
      </c>
      <c r="AA46" s="8" t="str">
        <f>IFERROR(IF(ISBLANK([1]FoFsmonkeyCompl!AD49),"",[1]FoFsmonkeyCompl!AD49),"")</f>
        <v/>
      </c>
      <c r="AB46" s="8" t="str">
        <f>IFERROR(IF(ISBLANK([1]FoFsmonkeyCompl!AE49),"",[1]FoFsmonkeyCompl!AE49),"")</f>
        <v/>
      </c>
      <c r="AC46" s="8" t="str">
        <f>IFERROR(IF(ISBLANK([1]FoFsmonkeyCompl!AF49),"",[1]FoFsmonkeyCompl!AF49),"")</f>
        <v/>
      </c>
      <c r="AD46" s="8" t="str">
        <f>IFERROR(IF(ISBLANK([1]FoFsmonkeyCompl!AG49),"",[1]FoFsmonkeyCompl!AG49),"")</f>
        <v/>
      </c>
      <c r="AE46" s="8" t="str">
        <f>IFERROR(IF(ISBLANK([1]FoFsmonkeyCompl!AH49),"",[1]FoFsmonkeyCompl!AH49),"")</f>
        <v/>
      </c>
    </row>
    <row r="47" spans="1:31" ht="14.25" thickTop="1" thickBot="1" x14ac:dyDescent="0.25">
      <c r="A47" s="5" t="str">
        <f>IF(OR(ISTEXT([1]FoFsmonkeyCompl!J50),ISNUMBER([1]FoFsmonkeyCompl!J50)),[1]FoFsmonkeyCompl!J50,"")</f>
        <v/>
      </c>
      <c r="B47" s="6" t="str">
        <f>IF(OR(ISTEXT([1]FoFsmonkeyCompl!K50),ISNUMBER([1]FoFsmonkeyCompl!K50)),[1]FoFsmonkeyCompl!K50,"")</f>
        <v/>
      </c>
      <c r="C47" s="7"/>
      <c r="D47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47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47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47" s="6" t="str">
        <f>IF(ISBLANK([1]FoFsmonkeyCompl!L50),"",[1]FoFsmonkeyCompl!L50)</f>
        <v/>
      </c>
      <c r="H47" s="6" t="str">
        <f>IF(ISBLANK([1]FoFsmonkeyCompl!M50),"",[1]FoFsmonkeyCompl!M50)</f>
        <v/>
      </c>
      <c r="I47" s="6" t="str">
        <f>IF(ISBLANK([1]FoFsmonkeyCompl!N50),"",[1]FoFsmonkeyCompl!N50)</f>
        <v/>
      </c>
      <c r="J47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47" s="11" t="str">
        <f>IFERROR(VLOOKUP(FoFanalysis[[#This Row],[Currency of Reporting]],'[1]Xrate31.12.20'!$F$5:$H$28,3,0),"")</f>
        <v/>
      </c>
      <c r="L47" s="11" t="str">
        <f>IFERROR(IF(ISBLANK([1]FoFsmonkeyCompl!O50),"",[1]FoFsmonkeyCompl!O50*FoFanalysis[[#This Row],[EUR]]),"")</f>
        <v/>
      </c>
      <c r="M47" s="8" t="str">
        <f>IFERROR(IF(ISBLANK([1]FoFsmonkeyCompl!P50),"",[1]FoFsmonkeyCompl!P50*FoFanalysis[[#This Row],[EUR]]),"")</f>
        <v/>
      </c>
      <c r="N47" s="8" t="str">
        <f>IFERROR(IF(ISBLANK([1]FoFsmonkeyCompl!Q50),"",[1]FoFsmonkeyCompl!Q50*FoFanalysis[[#This Row],[EUR]]),"")</f>
        <v/>
      </c>
      <c r="O47" s="8" t="str">
        <f>IFERROR(IF(ISBLANK([1]FoFsmonkeyCompl!R50),"",[1]FoFsmonkeyCompl!R50*FoFanalysis[[#This Row],[EUR]]),"")</f>
        <v/>
      </c>
      <c r="P47" s="8" t="str">
        <f>IFERROR(IF(ISBLANK([1]FoFsmonkeyCompl!S50),"",[1]FoFsmonkeyCompl!S50*FoFanalysis[[#This Row],[EUR]]),"")</f>
        <v/>
      </c>
      <c r="Q47" s="8" t="str">
        <f>IFERROR(IF(ISBLANK([1]FoFsmonkeyCompl!T50),"",[1]FoFsmonkeyCompl!T50*FoFanalysis[[#This Row],[EUR]]),"")</f>
        <v/>
      </c>
      <c r="R47" s="8" t="str">
        <f>IFERROR(IF(ISBLANK([1]FoFsmonkeyCompl!U50),"",[1]FoFsmonkeyCompl!U50*FoFanalysis[[#This Row],[EUR]]),"")</f>
        <v/>
      </c>
      <c r="S47" s="8" t="str">
        <f>IFERROR(IF(ISBLANK([1]FoFsmonkeyCompl!V50),"",[1]FoFsmonkeyCompl!V50*FoFanalysis[[#This Row],[EUR]]),"")</f>
        <v/>
      </c>
      <c r="T47" s="8" t="str">
        <f>IFERROR(IF(ISBLANK([1]FoFsmonkeyCompl!W50),"",[1]FoFsmonkeyCompl!W50*FoFanalysis[[#This Row],[EUR]]),"")</f>
        <v/>
      </c>
      <c r="U47" s="8" t="str">
        <f>IFERROR(IF(ISBLANK([1]FoFsmonkeyCompl!X50),"",[1]FoFsmonkeyCompl!X50*FoFanalysis[[#This Row],[EUR]]),"")</f>
        <v/>
      </c>
      <c r="V47" s="8" t="str">
        <f>IFERROR(IF(ISBLANK([1]FoFsmonkeyCompl!Y50),"",[1]FoFsmonkeyCompl!Y50*FoFanalysis[[#This Row],[EUR]]),"")</f>
        <v/>
      </c>
      <c r="W47" s="8" t="str">
        <f>IFERROR(IF(ISBLANK([1]FoFsmonkeyCompl!Z50),"",[1]FoFsmonkeyCompl!Z50*FoFanalysis[[#This Row],[EUR]]),"")</f>
        <v/>
      </c>
      <c r="X47" s="8" t="str">
        <f>IFERROR(IF(ISBLANK([1]FoFsmonkeyCompl!AA50),"",[1]FoFsmonkeyCompl!AA50*FoFanalysis[[#This Row],[EUR]]),"")</f>
        <v/>
      </c>
      <c r="Y47" s="8" t="str">
        <f>IFERROR(IF(ISBLANK([1]FoFsmonkeyCompl!AB50),"",[1]FoFsmonkeyCompl!AB50*FoFanalysis[[#This Row],[EUR]]),"")</f>
        <v/>
      </c>
      <c r="Z47" s="8" t="str">
        <f>IFERROR(IF(ISBLANK([1]FoFsmonkeyCompl!AC50),"",[1]FoFsmonkeyCompl!AC50),"")</f>
        <v/>
      </c>
      <c r="AA47" s="8" t="str">
        <f>IFERROR(IF(ISBLANK([1]FoFsmonkeyCompl!AD50),"",[1]FoFsmonkeyCompl!AD50),"")</f>
        <v/>
      </c>
      <c r="AB47" s="8" t="str">
        <f>IFERROR(IF(ISBLANK([1]FoFsmonkeyCompl!AE50),"",[1]FoFsmonkeyCompl!AE50),"")</f>
        <v/>
      </c>
      <c r="AC47" s="8" t="str">
        <f>IFERROR(IF(ISBLANK([1]FoFsmonkeyCompl!AF50),"",[1]FoFsmonkeyCompl!AF50),"")</f>
        <v/>
      </c>
      <c r="AD47" s="8" t="str">
        <f>IFERROR(IF(ISBLANK([1]FoFsmonkeyCompl!AG50),"",[1]FoFsmonkeyCompl!AG50),"")</f>
        <v/>
      </c>
      <c r="AE47" s="8" t="str">
        <f>IFERROR(IF(ISBLANK([1]FoFsmonkeyCompl!AH50),"",[1]FoFsmonkeyCompl!AH50),"")</f>
        <v/>
      </c>
    </row>
    <row r="48" spans="1:31" ht="14.25" thickTop="1" thickBot="1" x14ac:dyDescent="0.25">
      <c r="A48" s="9" t="str">
        <f>IF(OR(ISTEXT([1]FoFsmonkeyCompl!J51),ISNUMBER([1]FoFsmonkeyCompl!J51)),[1]FoFsmonkeyCompl!J51,"")</f>
        <v/>
      </c>
      <c r="B48" s="6" t="str">
        <f>IF(OR(ISTEXT([1]FoFsmonkeyCompl!K51),ISNUMBER([1]FoFsmonkeyCompl!K51)),[1]FoFsmonkeyCompl!K51,"")</f>
        <v/>
      </c>
      <c r="C48" s="7"/>
      <c r="D48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48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48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48" s="6" t="str">
        <f>IF(ISBLANK([1]FoFsmonkeyCompl!L51),"",[1]FoFsmonkeyCompl!L51)</f>
        <v/>
      </c>
      <c r="H48" s="6" t="str">
        <f>IF(ISBLANK([1]FoFsmonkeyCompl!M51),"",[1]FoFsmonkeyCompl!M51)</f>
        <v/>
      </c>
      <c r="I48" s="6" t="str">
        <f>IF(ISBLANK([1]FoFsmonkeyCompl!N51),"",[1]FoFsmonkeyCompl!N51)</f>
        <v/>
      </c>
      <c r="J48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48" s="11" t="str">
        <f>IFERROR(VLOOKUP(FoFanalysis[[#This Row],[Currency of Reporting]],'[1]Xrate31.12.20'!$F$5:$H$28,3,0),"")</f>
        <v/>
      </c>
      <c r="L48" s="11" t="str">
        <f>IFERROR(IF(ISBLANK([1]FoFsmonkeyCompl!O51),"",[1]FoFsmonkeyCompl!O51*FoFanalysis[[#This Row],[EUR]]),"")</f>
        <v/>
      </c>
      <c r="M48" s="8" t="str">
        <f>IFERROR(IF(ISBLANK([1]FoFsmonkeyCompl!P51),"",[1]FoFsmonkeyCompl!P51*FoFanalysis[[#This Row],[EUR]]),"")</f>
        <v/>
      </c>
      <c r="N48" s="8" t="str">
        <f>IFERROR(IF(ISBLANK([1]FoFsmonkeyCompl!Q51),"",[1]FoFsmonkeyCompl!Q51*FoFanalysis[[#This Row],[EUR]]),"")</f>
        <v/>
      </c>
      <c r="O48" s="8" t="str">
        <f>IFERROR(IF(ISBLANK([1]FoFsmonkeyCompl!R51),"",[1]FoFsmonkeyCompl!R51*FoFanalysis[[#This Row],[EUR]]),"")</f>
        <v/>
      </c>
      <c r="P48" s="8" t="str">
        <f>IFERROR(IF(ISBLANK([1]FoFsmonkeyCompl!S51),"",[1]FoFsmonkeyCompl!S51*FoFanalysis[[#This Row],[EUR]]),"")</f>
        <v/>
      </c>
      <c r="Q48" s="8" t="str">
        <f>IFERROR(IF(ISBLANK([1]FoFsmonkeyCompl!T51),"",[1]FoFsmonkeyCompl!T51*FoFanalysis[[#This Row],[EUR]]),"")</f>
        <v/>
      </c>
      <c r="R48" s="8" t="str">
        <f>IFERROR(IF(ISBLANK([1]FoFsmonkeyCompl!U51),"",[1]FoFsmonkeyCompl!U51*FoFanalysis[[#This Row],[EUR]]),"")</f>
        <v/>
      </c>
      <c r="S48" s="8" t="str">
        <f>IFERROR(IF(ISBLANK([1]FoFsmonkeyCompl!V51),"",[1]FoFsmonkeyCompl!V51*FoFanalysis[[#This Row],[EUR]]),"")</f>
        <v/>
      </c>
      <c r="T48" s="8" t="str">
        <f>IFERROR(IF(ISBLANK([1]FoFsmonkeyCompl!W51),"",[1]FoFsmonkeyCompl!W51*FoFanalysis[[#This Row],[EUR]]),"")</f>
        <v/>
      </c>
      <c r="U48" s="8" t="str">
        <f>IFERROR(IF(ISBLANK([1]FoFsmonkeyCompl!X51),"",[1]FoFsmonkeyCompl!X51*FoFanalysis[[#This Row],[EUR]]),"")</f>
        <v/>
      </c>
      <c r="V48" s="8" t="str">
        <f>IFERROR(IF(ISBLANK([1]FoFsmonkeyCompl!Y51),"",[1]FoFsmonkeyCompl!Y51*FoFanalysis[[#This Row],[EUR]]),"")</f>
        <v/>
      </c>
      <c r="W48" s="8" t="str">
        <f>IFERROR(IF(ISBLANK([1]FoFsmonkeyCompl!Z51),"",[1]FoFsmonkeyCompl!Z51*FoFanalysis[[#This Row],[EUR]]),"")</f>
        <v/>
      </c>
      <c r="X48" s="8" t="str">
        <f>IFERROR(IF(ISBLANK([1]FoFsmonkeyCompl!AA51),"",[1]FoFsmonkeyCompl!AA51*FoFanalysis[[#This Row],[EUR]]),"")</f>
        <v/>
      </c>
      <c r="Y48" s="8" t="str">
        <f>IFERROR(IF(ISBLANK([1]FoFsmonkeyCompl!AB51),"",[1]FoFsmonkeyCompl!AB51*FoFanalysis[[#This Row],[EUR]]),"")</f>
        <v/>
      </c>
      <c r="Z48" s="8" t="str">
        <f>IFERROR(IF(ISBLANK([1]FoFsmonkeyCompl!AC51),"",[1]FoFsmonkeyCompl!AC51),"")</f>
        <v/>
      </c>
      <c r="AA48" s="8" t="str">
        <f>IFERROR(IF(ISBLANK([1]FoFsmonkeyCompl!AD51),"",[1]FoFsmonkeyCompl!AD51),"")</f>
        <v/>
      </c>
      <c r="AB48" s="8" t="str">
        <f>IFERROR(IF(ISBLANK([1]FoFsmonkeyCompl!AE51),"",[1]FoFsmonkeyCompl!AE51),"")</f>
        <v/>
      </c>
      <c r="AC48" s="8" t="str">
        <f>IFERROR(IF(ISBLANK([1]FoFsmonkeyCompl!AF51),"",[1]FoFsmonkeyCompl!AF51),"")</f>
        <v/>
      </c>
      <c r="AD48" s="8" t="str">
        <f>IFERROR(IF(ISBLANK([1]FoFsmonkeyCompl!AG51),"",[1]FoFsmonkeyCompl!AG51),"")</f>
        <v/>
      </c>
      <c r="AE48" s="8" t="str">
        <f>IFERROR(IF(ISBLANK([1]FoFsmonkeyCompl!AH51),"",[1]FoFsmonkeyCompl!AH51),"")</f>
        <v/>
      </c>
    </row>
    <row r="49" spans="1:31" ht="14.25" thickTop="1" thickBot="1" x14ac:dyDescent="0.25">
      <c r="A49" s="5" t="str">
        <f>IF(OR(ISTEXT([1]FoFsmonkeyCompl!J52),ISNUMBER([1]FoFsmonkeyCompl!J52)),[1]FoFsmonkeyCompl!J52,"")</f>
        <v/>
      </c>
      <c r="B49" s="6" t="str">
        <f>IF(OR(ISTEXT([1]FoFsmonkeyCompl!K52),ISNUMBER([1]FoFsmonkeyCompl!K52)),[1]FoFsmonkeyCompl!K52,"")</f>
        <v/>
      </c>
      <c r="C49" s="7"/>
      <c r="D49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49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49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49" s="6" t="str">
        <f>IF(ISBLANK([1]FoFsmonkeyCompl!L52),"",[1]FoFsmonkeyCompl!L52)</f>
        <v/>
      </c>
      <c r="H49" s="6" t="str">
        <f>IF(ISBLANK([1]FoFsmonkeyCompl!M52),"",[1]FoFsmonkeyCompl!M52)</f>
        <v/>
      </c>
      <c r="I49" s="6" t="str">
        <f>IF(ISBLANK([1]FoFsmonkeyCompl!N52),"",[1]FoFsmonkeyCompl!N52)</f>
        <v/>
      </c>
      <c r="J49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49" s="11" t="str">
        <f>IFERROR(VLOOKUP(FoFanalysis[[#This Row],[Currency of Reporting]],'[1]Xrate31.12.20'!$F$5:$H$28,3,0),"")</f>
        <v/>
      </c>
      <c r="L49" s="11" t="str">
        <f>IFERROR(IF(ISBLANK([1]FoFsmonkeyCompl!O52),"",[1]FoFsmonkeyCompl!O52*FoFanalysis[[#This Row],[EUR]]),"")</f>
        <v/>
      </c>
      <c r="M49" s="8" t="str">
        <f>IFERROR(IF(ISBLANK([1]FoFsmonkeyCompl!P52),"",[1]FoFsmonkeyCompl!P52*FoFanalysis[[#This Row],[EUR]]),"")</f>
        <v/>
      </c>
      <c r="N49" s="8" t="str">
        <f>IFERROR(IF(ISBLANK([1]FoFsmonkeyCompl!Q52),"",[1]FoFsmonkeyCompl!Q52*FoFanalysis[[#This Row],[EUR]]),"")</f>
        <v/>
      </c>
      <c r="O49" s="8" t="str">
        <f>IFERROR(IF(ISBLANK([1]FoFsmonkeyCompl!R52),"",[1]FoFsmonkeyCompl!R52*FoFanalysis[[#This Row],[EUR]]),"")</f>
        <v/>
      </c>
      <c r="P49" s="8" t="str">
        <f>IFERROR(IF(ISBLANK([1]FoFsmonkeyCompl!S52),"",[1]FoFsmonkeyCompl!S52*FoFanalysis[[#This Row],[EUR]]),"")</f>
        <v/>
      </c>
      <c r="Q49" s="8" t="str">
        <f>IFERROR(IF(ISBLANK([1]FoFsmonkeyCompl!T52),"",[1]FoFsmonkeyCompl!T52*FoFanalysis[[#This Row],[EUR]]),"")</f>
        <v/>
      </c>
      <c r="R49" s="8" t="str">
        <f>IFERROR(IF(ISBLANK([1]FoFsmonkeyCompl!U52),"",[1]FoFsmonkeyCompl!U52*FoFanalysis[[#This Row],[EUR]]),"")</f>
        <v/>
      </c>
      <c r="S49" s="8" t="str">
        <f>IFERROR(IF(ISBLANK([1]FoFsmonkeyCompl!V52),"",[1]FoFsmonkeyCompl!V52*FoFanalysis[[#This Row],[EUR]]),"")</f>
        <v/>
      </c>
      <c r="T49" s="8" t="str">
        <f>IFERROR(IF(ISBLANK([1]FoFsmonkeyCompl!W52),"",[1]FoFsmonkeyCompl!W52*FoFanalysis[[#This Row],[EUR]]),"")</f>
        <v/>
      </c>
      <c r="U49" s="8" t="str">
        <f>IFERROR(IF(ISBLANK([1]FoFsmonkeyCompl!X52),"",[1]FoFsmonkeyCompl!X52*FoFanalysis[[#This Row],[EUR]]),"")</f>
        <v/>
      </c>
      <c r="V49" s="8" t="str">
        <f>IFERROR(IF(ISBLANK([1]FoFsmonkeyCompl!Y52),"",[1]FoFsmonkeyCompl!Y52*FoFanalysis[[#This Row],[EUR]]),"")</f>
        <v/>
      </c>
      <c r="W49" s="8" t="str">
        <f>IFERROR(IF(ISBLANK([1]FoFsmonkeyCompl!Z52),"",[1]FoFsmonkeyCompl!Z52*FoFanalysis[[#This Row],[EUR]]),"")</f>
        <v/>
      </c>
      <c r="X49" s="8" t="str">
        <f>IFERROR(IF(ISBLANK([1]FoFsmonkeyCompl!AA52),"",[1]FoFsmonkeyCompl!AA52*FoFanalysis[[#This Row],[EUR]]),"")</f>
        <v/>
      </c>
      <c r="Y49" s="8" t="str">
        <f>IFERROR(IF(ISBLANK([1]FoFsmonkeyCompl!AB52),"",[1]FoFsmonkeyCompl!AB52*FoFanalysis[[#This Row],[EUR]]),"")</f>
        <v/>
      </c>
      <c r="Z49" s="8" t="str">
        <f>IFERROR(IF(ISBLANK([1]FoFsmonkeyCompl!AC52),"",[1]FoFsmonkeyCompl!AC52),"")</f>
        <v/>
      </c>
      <c r="AA49" s="8" t="str">
        <f>IFERROR(IF(ISBLANK([1]FoFsmonkeyCompl!AD52),"",[1]FoFsmonkeyCompl!AD52),"")</f>
        <v/>
      </c>
      <c r="AB49" s="8" t="str">
        <f>IFERROR(IF(ISBLANK([1]FoFsmonkeyCompl!AE52),"",[1]FoFsmonkeyCompl!AE52),"")</f>
        <v/>
      </c>
      <c r="AC49" s="8" t="str">
        <f>IFERROR(IF(ISBLANK([1]FoFsmonkeyCompl!AF52),"",[1]FoFsmonkeyCompl!AF52),"")</f>
        <v/>
      </c>
      <c r="AD49" s="8" t="str">
        <f>IFERROR(IF(ISBLANK([1]FoFsmonkeyCompl!AG52),"",[1]FoFsmonkeyCompl!AG52),"")</f>
        <v/>
      </c>
      <c r="AE49" s="8" t="str">
        <f>IFERROR(IF(ISBLANK([1]FoFsmonkeyCompl!AH52),"",[1]FoFsmonkeyCompl!AH52),"")</f>
        <v/>
      </c>
    </row>
    <row r="50" spans="1:31" ht="14.25" thickTop="1" thickBot="1" x14ac:dyDescent="0.25">
      <c r="A50" s="9" t="str">
        <f>IF(OR(ISTEXT([1]FoFsmonkeyCompl!J53),ISNUMBER([1]FoFsmonkeyCompl!J53)),[1]FoFsmonkeyCompl!J53,"")</f>
        <v/>
      </c>
      <c r="B50" s="6" t="str">
        <f>IF(OR(ISTEXT([1]FoFsmonkeyCompl!K53),ISNUMBER([1]FoFsmonkeyCompl!K53)),[1]FoFsmonkeyCompl!K53,"")</f>
        <v/>
      </c>
      <c r="C50" s="7"/>
      <c r="D50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50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50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50" s="6" t="str">
        <f>IF(ISBLANK([1]FoFsmonkeyCompl!L53),"",[1]FoFsmonkeyCompl!L53)</f>
        <v/>
      </c>
      <c r="H50" s="6" t="str">
        <f>IF(ISBLANK([1]FoFsmonkeyCompl!M53),"",[1]FoFsmonkeyCompl!M53)</f>
        <v/>
      </c>
      <c r="I50" s="6" t="str">
        <f>IF(ISBLANK([1]FoFsmonkeyCompl!N53),"",[1]FoFsmonkeyCompl!N53)</f>
        <v/>
      </c>
      <c r="J50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50" s="11" t="str">
        <f>IFERROR(VLOOKUP(FoFanalysis[[#This Row],[Currency of Reporting]],'[1]Xrate31.12.20'!$F$5:$H$28,3,0),"")</f>
        <v/>
      </c>
      <c r="L50" s="11" t="str">
        <f>IFERROR(IF(ISBLANK([1]FoFsmonkeyCompl!O53),"",[1]FoFsmonkeyCompl!O53*FoFanalysis[[#This Row],[EUR]]),"")</f>
        <v/>
      </c>
      <c r="M50" s="8" t="str">
        <f>IFERROR(IF(ISBLANK([1]FoFsmonkeyCompl!P53),"",[1]FoFsmonkeyCompl!P53*FoFanalysis[[#This Row],[EUR]]),"")</f>
        <v/>
      </c>
      <c r="N50" s="8" t="str">
        <f>IFERROR(IF(ISBLANK([1]FoFsmonkeyCompl!Q53),"",[1]FoFsmonkeyCompl!Q53*FoFanalysis[[#This Row],[EUR]]),"")</f>
        <v/>
      </c>
      <c r="O50" s="8" t="str">
        <f>IFERROR(IF(ISBLANK([1]FoFsmonkeyCompl!R53),"",[1]FoFsmonkeyCompl!R53*FoFanalysis[[#This Row],[EUR]]),"")</f>
        <v/>
      </c>
      <c r="P50" s="8" t="str">
        <f>IFERROR(IF(ISBLANK([1]FoFsmonkeyCompl!S53),"",[1]FoFsmonkeyCompl!S53*FoFanalysis[[#This Row],[EUR]]),"")</f>
        <v/>
      </c>
      <c r="Q50" s="8" t="str">
        <f>IFERROR(IF(ISBLANK([1]FoFsmonkeyCompl!T53),"",[1]FoFsmonkeyCompl!T53*FoFanalysis[[#This Row],[EUR]]),"")</f>
        <v/>
      </c>
      <c r="R50" s="8" t="str">
        <f>IFERROR(IF(ISBLANK([1]FoFsmonkeyCompl!U53),"",[1]FoFsmonkeyCompl!U53*FoFanalysis[[#This Row],[EUR]]),"")</f>
        <v/>
      </c>
      <c r="S50" s="8" t="str">
        <f>IFERROR(IF(ISBLANK([1]FoFsmonkeyCompl!V53),"",[1]FoFsmonkeyCompl!V53*FoFanalysis[[#This Row],[EUR]]),"")</f>
        <v/>
      </c>
      <c r="T50" s="8" t="str">
        <f>IFERROR(IF(ISBLANK([1]FoFsmonkeyCompl!W53),"",[1]FoFsmonkeyCompl!W53*FoFanalysis[[#This Row],[EUR]]),"")</f>
        <v/>
      </c>
      <c r="U50" s="8" t="str">
        <f>IFERROR(IF(ISBLANK([1]FoFsmonkeyCompl!X53),"",[1]FoFsmonkeyCompl!X53*FoFanalysis[[#This Row],[EUR]]),"")</f>
        <v/>
      </c>
      <c r="V50" s="8" t="str">
        <f>IFERROR(IF(ISBLANK([1]FoFsmonkeyCompl!Y53),"",[1]FoFsmonkeyCompl!Y53*FoFanalysis[[#This Row],[EUR]]),"")</f>
        <v/>
      </c>
      <c r="W50" s="8" t="str">
        <f>IFERROR(IF(ISBLANK([1]FoFsmonkeyCompl!Z53),"",[1]FoFsmonkeyCompl!Z53*FoFanalysis[[#This Row],[EUR]]),"")</f>
        <v/>
      </c>
      <c r="X50" s="8" t="str">
        <f>IFERROR(IF(ISBLANK([1]FoFsmonkeyCompl!AA53),"",[1]FoFsmonkeyCompl!AA53*FoFanalysis[[#This Row],[EUR]]),"")</f>
        <v/>
      </c>
      <c r="Y50" s="8" t="str">
        <f>IFERROR(IF(ISBLANK([1]FoFsmonkeyCompl!AB53),"",[1]FoFsmonkeyCompl!AB53*FoFanalysis[[#This Row],[EUR]]),"")</f>
        <v/>
      </c>
      <c r="Z50" s="8" t="str">
        <f>IFERROR(IF(ISBLANK([1]FoFsmonkeyCompl!AC53),"",[1]FoFsmonkeyCompl!AC53),"")</f>
        <v/>
      </c>
      <c r="AA50" s="8" t="str">
        <f>IFERROR(IF(ISBLANK([1]FoFsmonkeyCompl!AD53),"",[1]FoFsmonkeyCompl!AD53),"")</f>
        <v/>
      </c>
      <c r="AB50" s="8" t="str">
        <f>IFERROR(IF(ISBLANK([1]FoFsmonkeyCompl!AE53),"",[1]FoFsmonkeyCompl!AE53),"")</f>
        <v/>
      </c>
      <c r="AC50" s="8" t="str">
        <f>IFERROR(IF(ISBLANK([1]FoFsmonkeyCompl!AF53),"",[1]FoFsmonkeyCompl!AF53),"")</f>
        <v/>
      </c>
      <c r="AD50" s="8" t="str">
        <f>IFERROR(IF(ISBLANK([1]FoFsmonkeyCompl!AG53),"",[1]FoFsmonkeyCompl!AG53),"")</f>
        <v/>
      </c>
      <c r="AE50" s="8" t="str">
        <f>IFERROR(IF(ISBLANK([1]FoFsmonkeyCompl!AH53),"",[1]FoFsmonkeyCompl!AH53),"")</f>
        <v/>
      </c>
    </row>
    <row r="51" spans="1:31" ht="14.25" thickTop="1" thickBot="1" x14ac:dyDescent="0.25">
      <c r="A51" s="5" t="str">
        <f>IF(OR(ISTEXT([1]FoFsmonkeyCompl!J54),ISNUMBER([1]FoFsmonkeyCompl!J54)),[1]FoFsmonkeyCompl!J54,"")</f>
        <v/>
      </c>
      <c r="B51" s="6" t="str">
        <f>IF(OR(ISTEXT([1]FoFsmonkeyCompl!K54),ISNUMBER([1]FoFsmonkeyCompl!K54)),[1]FoFsmonkeyCompl!K54,"")</f>
        <v/>
      </c>
      <c r="C51" s="7"/>
      <c r="D51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51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51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51" s="6" t="str">
        <f>IF(ISBLANK([1]FoFsmonkeyCompl!L54),"",[1]FoFsmonkeyCompl!L54)</f>
        <v/>
      </c>
      <c r="H51" s="6" t="str">
        <f>IF(ISBLANK([1]FoFsmonkeyCompl!M54),"",[1]FoFsmonkeyCompl!M54)</f>
        <v/>
      </c>
      <c r="I51" s="6" t="str">
        <f>IF(ISBLANK([1]FoFsmonkeyCompl!N54),"",[1]FoFsmonkeyCompl!N54)</f>
        <v/>
      </c>
      <c r="J51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51" s="11" t="str">
        <f>IFERROR(VLOOKUP(FoFanalysis[[#This Row],[Currency of Reporting]],'[1]Xrate31.12.20'!$F$5:$H$28,3,0),"")</f>
        <v/>
      </c>
      <c r="L51" s="11" t="str">
        <f>IFERROR(IF(ISBLANK([1]FoFsmonkeyCompl!O54),"",[1]FoFsmonkeyCompl!O54*FoFanalysis[[#This Row],[EUR]]),"")</f>
        <v/>
      </c>
      <c r="M51" s="8" t="str">
        <f>IFERROR(IF(ISBLANK([1]FoFsmonkeyCompl!P54),"",[1]FoFsmonkeyCompl!P54*FoFanalysis[[#This Row],[EUR]]),"")</f>
        <v/>
      </c>
      <c r="N51" s="8" t="str">
        <f>IFERROR(IF(ISBLANK([1]FoFsmonkeyCompl!Q54),"",[1]FoFsmonkeyCompl!Q54*FoFanalysis[[#This Row],[EUR]]),"")</f>
        <v/>
      </c>
      <c r="O51" s="8" t="str">
        <f>IFERROR(IF(ISBLANK([1]FoFsmonkeyCompl!R54),"",[1]FoFsmonkeyCompl!R54*FoFanalysis[[#This Row],[EUR]]),"")</f>
        <v/>
      </c>
      <c r="P51" s="8" t="str">
        <f>IFERROR(IF(ISBLANK([1]FoFsmonkeyCompl!S54),"",[1]FoFsmonkeyCompl!S54*FoFanalysis[[#This Row],[EUR]]),"")</f>
        <v/>
      </c>
      <c r="Q51" s="8" t="str">
        <f>IFERROR(IF(ISBLANK([1]FoFsmonkeyCompl!T54),"",[1]FoFsmonkeyCompl!T54*FoFanalysis[[#This Row],[EUR]]),"")</f>
        <v/>
      </c>
      <c r="R51" s="8" t="str">
        <f>IFERROR(IF(ISBLANK([1]FoFsmonkeyCompl!U54),"",[1]FoFsmonkeyCompl!U54*FoFanalysis[[#This Row],[EUR]]),"")</f>
        <v/>
      </c>
      <c r="S51" s="8" t="str">
        <f>IFERROR(IF(ISBLANK([1]FoFsmonkeyCompl!V54),"",[1]FoFsmonkeyCompl!V54*FoFanalysis[[#This Row],[EUR]]),"")</f>
        <v/>
      </c>
      <c r="T51" s="8" t="str">
        <f>IFERROR(IF(ISBLANK([1]FoFsmonkeyCompl!W54),"",[1]FoFsmonkeyCompl!W54*FoFanalysis[[#This Row],[EUR]]),"")</f>
        <v/>
      </c>
      <c r="U51" s="8" t="str">
        <f>IFERROR(IF(ISBLANK([1]FoFsmonkeyCompl!X54),"",[1]FoFsmonkeyCompl!X54*FoFanalysis[[#This Row],[EUR]]),"")</f>
        <v/>
      </c>
      <c r="V51" s="8" t="str">
        <f>IFERROR(IF(ISBLANK([1]FoFsmonkeyCompl!Y54),"",[1]FoFsmonkeyCompl!Y54*FoFanalysis[[#This Row],[EUR]]),"")</f>
        <v/>
      </c>
      <c r="W51" s="8" t="str">
        <f>IFERROR(IF(ISBLANK([1]FoFsmonkeyCompl!Z54),"",[1]FoFsmonkeyCompl!Z54*FoFanalysis[[#This Row],[EUR]]),"")</f>
        <v/>
      </c>
      <c r="X51" s="8" t="str">
        <f>IFERROR(IF(ISBLANK([1]FoFsmonkeyCompl!AA54),"",[1]FoFsmonkeyCompl!AA54*FoFanalysis[[#This Row],[EUR]]),"")</f>
        <v/>
      </c>
      <c r="Y51" s="8" t="str">
        <f>IFERROR(IF(ISBLANK([1]FoFsmonkeyCompl!AB54),"",[1]FoFsmonkeyCompl!AB54*FoFanalysis[[#This Row],[EUR]]),"")</f>
        <v/>
      </c>
      <c r="Z51" s="8" t="str">
        <f>IFERROR(IF(ISBLANK([1]FoFsmonkeyCompl!AC54),"",[1]FoFsmonkeyCompl!AC54),"")</f>
        <v/>
      </c>
      <c r="AA51" s="8" t="str">
        <f>IFERROR(IF(ISBLANK([1]FoFsmonkeyCompl!AD54),"",[1]FoFsmonkeyCompl!AD54),"")</f>
        <v/>
      </c>
      <c r="AB51" s="8" t="str">
        <f>IFERROR(IF(ISBLANK([1]FoFsmonkeyCompl!AE54),"",[1]FoFsmonkeyCompl!AE54),"")</f>
        <v/>
      </c>
      <c r="AC51" s="8" t="str">
        <f>IFERROR(IF(ISBLANK([1]FoFsmonkeyCompl!AF54),"",[1]FoFsmonkeyCompl!AF54),"")</f>
        <v/>
      </c>
      <c r="AD51" s="8" t="str">
        <f>IFERROR(IF(ISBLANK([1]FoFsmonkeyCompl!AG54),"",[1]FoFsmonkeyCompl!AG54),"")</f>
        <v/>
      </c>
      <c r="AE51" s="8" t="str">
        <f>IFERROR(IF(ISBLANK([1]FoFsmonkeyCompl!AH54),"",[1]FoFsmonkeyCompl!AH54),"")</f>
        <v/>
      </c>
    </row>
    <row r="52" spans="1:31" ht="14.25" thickTop="1" thickBot="1" x14ac:dyDescent="0.25">
      <c r="A52" s="9" t="str">
        <f>IF(OR(ISTEXT([1]FoFsmonkeyCompl!J55),ISNUMBER([1]FoFsmonkeyCompl!J55)),[1]FoFsmonkeyCompl!J55,"")</f>
        <v/>
      </c>
      <c r="B52" s="6" t="str">
        <f>IF(OR(ISTEXT([1]FoFsmonkeyCompl!K55),ISNUMBER([1]FoFsmonkeyCompl!K55)),[1]FoFsmonkeyCompl!K55,"")</f>
        <v/>
      </c>
      <c r="C52" s="7"/>
      <c r="D52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52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52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52" s="6" t="str">
        <f>IF(ISBLANK([1]FoFsmonkeyCompl!L55),"",[1]FoFsmonkeyCompl!L55)</f>
        <v/>
      </c>
      <c r="H52" s="6" t="str">
        <f>IF(ISBLANK([1]FoFsmonkeyCompl!M55),"",[1]FoFsmonkeyCompl!M55)</f>
        <v/>
      </c>
      <c r="I52" s="6" t="str">
        <f>IF(ISBLANK([1]FoFsmonkeyCompl!N55),"",[1]FoFsmonkeyCompl!N55)</f>
        <v/>
      </c>
      <c r="J52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52" s="11" t="str">
        <f>IFERROR(VLOOKUP(FoFanalysis[[#This Row],[Currency of Reporting]],'[1]Xrate31.12.20'!$F$5:$H$28,3,0),"")</f>
        <v/>
      </c>
      <c r="L52" s="11" t="str">
        <f>IFERROR(IF(ISBLANK([1]FoFsmonkeyCompl!O55),"",[1]FoFsmonkeyCompl!O55*FoFanalysis[[#This Row],[EUR]]),"")</f>
        <v/>
      </c>
      <c r="M52" s="8" t="str">
        <f>IFERROR(IF(ISBLANK([1]FoFsmonkeyCompl!P55),"",[1]FoFsmonkeyCompl!P55*FoFanalysis[[#This Row],[EUR]]),"")</f>
        <v/>
      </c>
      <c r="N52" s="8" t="str">
        <f>IFERROR(IF(ISBLANK([1]FoFsmonkeyCompl!Q55),"",[1]FoFsmonkeyCompl!Q55*FoFanalysis[[#This Row],[EUR]]),"")</f>
        <v/>
      </c>
      <c r="O52" s="8" t="str">
        <f>IFERROR(IF(ISBLANK([1]FoFsmonkeyCompl!R55),"",[1]FoFsmonkeyCompl!R55*FoFanalysis[[#This Row],[EUR]]),"")</f>
        <v/>
      </c>
      <c r="P52" s="8" t="str">
        <f>IFERROR(IF(ISBLANK([1]FoFsmonkeyCompl!S55),"",[1]FoFsmonkeyCompl!S55*FoFanalysis[[#This Row],[EUR]]),"")</f>
        <v/>
      </c>
      <c r="Q52" s="8" t="str">
        <f>IFERROR(IF(ISBLANK([1]FoFsmonkeyCompl!T55),"",[1]FoFsmonkeyCompl!T55*FoFanalysis[[#This Row],[EUR]]),"")</f>
        <v/>
      </c>
      <c r="R52" s="8" t="str">
        <f>IFERROR(IF(ISBLANK([1]FoFsmonkeyCompl!U55),"",[1]FoFsmonkeyCompl!U55*FoFanalysis[[#This Row],[EUR]]),"")</f>
        <v/>
      </c>
      <c r="S52" s="8" t="str">
        <f>IFERROR(IF(ISBLANK([1]FoFsmonkeyCompl!V55),"",[1]FoFsmonkeyCompl!V55*FoFanalysis[[#This Row],[EUR]]),"")</f>
        <v/>
      </c>
      <c r="T52" s="8" t="str">
        <f>IFERROR(IF(ISBLANK([1]FoFsmonkeyCompl!W55),"",[1]FoFsmonkeyCompl!W55*FoFanalysis[[#This Row],[EUR]]),"")</f>
        <v/>
      </c>
      <c r="U52" s="8" t="str">
        <f>IFERROR(IF(ISBLANK([1]FoFsmonkeyCompl!X55),"",[1]FoFsmonkeyCompl!X55*FoFanalysis[[#This Row],[EUR]]),"")</f>
        <v/>
      </c>
      <c r="V52" s="8" t="str">
        <f>IFERROR(IF(ISBLANK([1]FoFsmonkeyCompl!Y55),"",[1]FoFsmonkeyCompl!Y55*FoFanalysis[[#This Row],[EUR]]),"")</f>
        <v/>
      </c>
      <c r="W52" s="8" t="str">
        <f>IFERROR(IF(ISBLANK([1]FoFsmonkeyCompl!Z55),"",[1]FoFsmonkeyCompl!Z55*FoFanalysis[[#This Row],[EUR]]),"")</f>
        <v/>
      </c>
      <c r="X52" s="8" t="str">
        <f>IFERROR(IF(ISBLANK([1]FoFsmonkeyCompl!AA55),"",[1]FoFsmonkeyCompl!AA55*FoFanalysis[[#This Row],[EUR]]),"")</f>
        <v/>
      </c>
      <c r="Y52" s="8" t="str">
        <f>IFERROR(IF(ISBLANK([1]FoFsmonkeyCompl!AB55),"",[1]FoFsmonkeyCompl!AB55*FoFanalysis[[#This Row],[EUR]]),"")</f>
        <v/>
      </c>
      <c r="Z52" s="8" t="str">
        <f>IFERROR(IF(ISBLANK([1]FoFsmonkeyCompl!AC55),"",[1]FoFsmonkeyCompl!AC55),"")</f>
        <v/>
      </c>
      <c r="AA52" s="8" t="str">
        <f>IFERROR(IF(ISBLANK([1]FoFsmonkeyCompl!AD55),"",[1]FoFsmonkeyCompl!AD55),"")</f>
        <v/>
      </c>
      <c r="AB52" s="8" t="str">
        <f>IFERROR(IF(ISBLANK([1]FoFsmonkeyCompl!AE55),"",[1]FoFsmonkeyCompl!AE55),"")</f>
        <v/>
      </c>
      <c r="AC52" s="8" t="str">
        <f>IFERROR(IF(ISBLANK([1]FoFsmonkeyCompl!AF55),"",[1]FoFsmonkeyCompl!AF55),"")</f>
        <v/>
      </c>
      <c r="AD52" s="8" t="str">
        <f>IFERROR(IF(ISBLANK([1]FoFsmonkeyCompl!AG55),"",[1]FoFsmonkeyCompl!AG55),"")</f>
        <v/>
      </c>
      <c r="AE52" s="8" t="str">
        <f>IFERROR(IF(ISBLANK([1]FoFsmonkeyCompl!AH55),"",[1]FoFsmonkeyCompl!AH55),"")</f>
        <v/>
      </c>
    </row>
    <row r="53" spans="1:31" ht="14.25" thickTop="1" thickBot="1" x14ac:dyDescent="0.25">
      <c r="A53" s="5" t="str">
        <f>IF(OR(ISTEXT([1]FoFsmonkeyCompl!J56),ISNUMBER([1]FoFsmonkeyCompl!J56)),[1]FoFsmonkeyCompl!J56,"")</f>
        <v/>
      </c>
      <c r="B53" s="6" t="str">
        <f>IF(OR(ISTEXT([1]FoFsmonkeyCompl!K56),ISNUMBER([1]FoFsmonkeyCompl!K56)),[1]FoFsmonkeyCompl!K56,"")</f>
        <v/>
      </c>
      <c r="C53" s="7"/>
      <c r="D53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53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53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53" s="6" t="str">
        <f>IF(ISBLANK([1]FoFsmonkeyCompl!L56),"",[1]FoFsmonkeyCompl!L56)</f>
        <v/>
      </c>
      <c r="H53" s="6" t="str">
        <f>IF(ISBLANK([1]FoFsmonkeyCompl!M56),"",[1]FoFsmonkeyCompl!M56)</f>
        <v/>
      </c>
      <c r="I53" s="6" t="str">
        <f>IF(ISBLANK([1]FoFsmonkeyCompl!N56),"",[1]FoFsmonkeyCompl!N56)</f>
        <v/>
      </c>
      <c r="J53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53" s="11" t="str">
        <f>IFERROR(VLOOKUP(FoFanalysis[[#This Row],[Currency of Reporting]],'[1]Xrate31.12.20'!$F$5:$H$28,3,0),"")</f>
        <v/>
      </c>
      <c r="L53" s="11" t="str">
        <f>IFERROR(IF(ISBLANK([1]FoFsmonkeyCompl!O56),"",[1]FoFsmonkeyCompl!O56*FoFanalysis[[#This Row],[EUR]]),"")</f>
        <v/>
      </c>
      <c r="M53" s="8" t="str">
        <f>IFERROR(IF(ISBLANK([1]FoFsmonkeyCompl!P56),"",[1]FoFsmonkeyCompl!P56*FoFanalysis[[#This Row],[EUR]]),"")</f>
        <v/>
      </c>
      <c r="N53" s="8" t="str">
        <f>IFERROR(IF(ISBLANK([1]FoFsmonkeyCompl!Q56),"",[1]FoFsmonkeyCompl!Q56*FoFanalysis[[#This Row],[EUR]]),"")</f>
        <v/>
      </c>
      <c r="O53" s="8" t="str">
        <f>IFERROR(IF(ISBLANK([1]FoFsmonkeyCompl!R56),"",[1]FoFsmonkeyCompl!R56*FoFanalysis[[#This Row],[EUR]]),"")</f>
        <v/>
      </c>
      <c r="P53" s="8" t="str">
        <f>IFERROR(IF(ISBLANK([1]FoFsmonkeyCompl!S56),"",[1]FoFsmonkeyCompl!S56*FoFanalysis[[#This Row],[EUR]]),"")</f>
        <v/>
      </c>
      <c r="Q53" s="8" t="str">
        <f>IFERROR(IF(ISBLANK([1]FoFsmonkeyCompl!T56),"",[1]FoFsmonkeyCompl!T56*FoFanalysis[[#This Row],[EUR]]),"")</f>
        <v/>
      </c>
      <c r="R53" s="8" t="str">
        <f>IFERROR(IF(ISBLANK([1]FoFsmonkeyCompl!U56),"",[1]FoFsmonkeyCompl!U56*FoFanalysis[[#This Row],[EUR]]),"")</f>
        <v/>
      </c>
      <c r="S53" s="8" t="str">
        <f>IFERROR(IF(ISBLANK([1]FoFsmonkeyCompl!V56),"",[1]FoFsmonkeyCompl!V56*FoFanalysis[[#This Row],[EUR]]),"")</f>
        <v/>
      </c>
      <c r="T53" s="8" t="str">
        <f>IFERROR(IF(ISBLANK([1]FoFsmonkeyCompl!W56),"",[1]FoFsmonkeyCompl!W56*FoFanalysis[[#This Row],[EUR]]),"")</f>
        <v/>
      </c>
      <c r="U53" s="8" t="str">
        <f>IFERROR(IF(ISBLANK([1]FoFsmonkeyCompl!X56),"",[1]FoFsmonkeyCompl!X56*FoFanalysis[[#This Row],[EUR]]),"")</f>
        <v/>
      </c>
      <c r="V53" s="8" t="str">
        <f>IFERROR(IF(ISBLANK([1]FoFsmonkeyCompl!Y56),"",[1]FoFsmonkeyCompl!Y56*FoFanalysis[[#This Row],[EUR]]),"")</f>
        <v/>
      </c>
      <c r="W53" s="8" t="str">
        <f>IFERROR(IF(ISBLANK([1]FoFsmonkeyCompl!Z56),"",[1]FoFsmonkeyCompl!Z56*FoFanalysis[[#This Row],[EUR]]),"")</f>
        <v/>
      </c>
      <c r="X53" s="8" t="str">
        <f>IFERROR(IF(ISBLANK([1]FoFsmonkeyCompl!AA56),"",[1]FoFsmonkeyCompl!AA56*FoFanalysis[[#This Row],[EUR]]),"")</f>
        <v/>
      </c>
      <c r="Y53" s="8" t="str">
        <f>IFERROR(IF(ISBLANK([1]FoFsmonkeyCompl!AB56),"",[1]FoFsmonkeyCompl!AB56*FoFanalysis[[#This Row],[EUR]]),"")</f>
        <v/>
      </c>
      <c r="Z53" s="8" t="str">
        <f>IFERROR(IF(ISBLANK([1]FoFsmonkeyCompl!AC56),"",[1]FoFsmonkeyCompl!AC56),"")</f>
        <v/>
      </c>
      <c r="AA53" s="8" t="str">
        <f>IFERROR(IF(ISBLANK([1]FoFsmonkeyCompl!AD56),"",[1]FoFsmonkeyCompl!AD56),"")</f>
        <v/>
      </c>
      <c r="AB53" s="8" t="str">
        <f>IFERROR(IF(ISBLANK([1]FoFsmonkeyCompl!AE56),"",[1]FoFsmonkeyCompl!AE56),"")</f>
        <v/>
      </c>
      <c r="AC53" s="8" t="str">
        <f>IFERROR(IF(ISBLANK([1]FoFsmonkeyCompl!AF56),"",[1]FoFsmonkeyCompl!AF56),"")</f>
        <v/>
      </c>
      <c r="AD53" s="8" t="str">
        <f>IFERROR(IF(ISBLANK([1]FoFsmonkeyCompl!AG56),"",[1]FoFsmonkeyCompl!AG56),"")</f>
        <v/>
      </c>
      <c r="AE53" s="8" t="str">
        <f>IFERROR(IF(ISBLANK([1]FoFsmonkeyCompl!AH56),"",[1]FoFsmonkeyCompl!AH56),"")</f>
        <v/>
      </c>
    </row>
    <row r="54" spans="1:31" ht="14.25" thickTop="1" thickBot="1" x14ac:dyDescent="0.25">
      <c r="A54" s="9" t="str">
        <f>IF(OR(ISTEXT([1]FoFsmonkeyCompl!J57),ISNUMBER([1]FoFsmonkeyCompl!J57)),[1]FoFsmonkeyCompl!J57,"")</f>
        <v/>
      </c>
      <c r="B54" s="6" t="str">
        <f>IF(OR(ISTEXT([1]FoFsmonkeyCompl!K57),ISNUMBER([1]FoFsmonkeyCompl!K57)),[1]FoFsmonkeyCompl!K57,"")</f>
        <v/>
      </c>
      <c r="C54" s="7"/>
      <c r="D54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54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54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54" s="6" t="str">
        <f>IF(ISBLANK([1]FoFsmonkeyCompl!L57),"",[1]FoFsmonkeyCompl!L57)</f>
        <v/>
      </c>
      <c r="H54" s="6" t="str">
        <f>IF(ISBLANK([1]FoFsmonkeyCompl!M57),"",[1]FoFsmonkeyCompl!M57)</f>
        <v/>
      </c>
      <c r="I54" s="6" t="str">
        <f>IF(ISBLANK([1]FoFsmonkeyCompl!N57),"",[1]FoFsmonkeyCompl!N57)</f>
        <v/>
      </c>
      <c r="J54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54" s="11" t="str">
        <f>IFERROR(VLOOKUP(FoFanalysis[[#This Row],[Currency of Reporting]],'[1]Xrate31.12.20'!$F$5:$H$28,3,0),"")</f>
        <v/>
      </c>
      <c r="L54" s="11" t="str">
        <f>IFERROR(IF(ISBLANK([1]FoFsmonkeyCompl!O57),"",[1]FoFsmonkeyCompl!O57*FoFanalysis[[#This Row],[EUR]]),"")</f>
        <v/>
      </c>
      <c r="M54" s="8" t="str">
        <f>IFERROR(IF(ISBLANK([1]FoFsmonkeyCompl!P57),"",[1]FoFsmonkeyCompl!P57*FoFanalysis[[#This Row],[EUR]]),"")</f>
        <v/>
      </c>
      <c r="N54" s="8" t="str">
        <f>IFERROR(IF(ISBLANK([1]FoFsmonkeyCompl!Q57),"",[1]FoFsmonkeyCompl!Q57*FoFanalysis[[#This Row],[EUR]]),"")</f>
        <v/>
      </c>
      <c r="O54" s="8" t="str">
        <f>IFERROR(IF(ISBLANK([1]FoFsmonkeyCompl!R57),"",[1]FoFsmonkeyCompl!R57*FoFanalysis[[#This Row],[EUR]]),"")</f>
        <v/>
      </c>
      <c r="P54" s="8" t="str">
        <f>IFERROR(IF(ISBLANK([1]FoFsmonkeyCompl!S57),"",[1]FoFsmonkeyCompl!S57*FoFanalysis[[#This Row],[EUR]]),"")</f>
        <v/>
      </c>
      <c r="Q54" s="8" t="str">
        <f>IFERROR(IF(ISBLANK([1]FoFsmonkeyCompl!T57),"",[1]FoFsmonkeyCompl!T57*FoFanalysis[[#This Row],[EUR]]),"")</f>
        <v/>
      </c>
      <c r="R54" s="8" t="str">
        <f>IFERROR(IF(ISBLANK([1]FoFsmonkeyCompl!U57),"",[1]FoFsmonkeyCompl!U57*FoFanalysis[[#This Row],[EUR]]),"")</f>
        <v/>
      </c>
      <c r="S54" s="8" t="str">
        <f>IFERROR(IF(ISBLANK([1]FoFsmonkeyCompl!V57),"",[1]FoFsmonkeyCompl!V57*FoFanalysis[[#This Row],[EUR]]),"")</f>
        <v/>
      </c>
      <c r="T54" s="8" t="str">
        <f>IFERROR(IF(ISBLANK([1]FoFsmonkeyCompl!W57),"",[1]FoFsmonkeyCompl!W57*FoFanalysis[[#This Row],[EUR]]),"")</f>
        <v/>
      </c>
      <c r="U54" s="8" t="str">
        <f>IFERROR(IF(ISBLANK([1]FoFsmonkeyCompl!X57),"",[1]FoFsmonkeyCompl!X57*FoFanalysis[[#This Row],[EUR]]),"")</f>
        <v/>
      </c>
      <c r="V54" s="8" t="str">
        <f>IFERROR(IF(ISBLANK([1]FoFsmonkeyCompl!Y57),"",[1]FoFsmonkeyCompl!Y57*FoFanalysis[[#This Row],[EUR]]),"")</f>
        <v/>
      </c>
      <c r="W54" s="8" t="str">
        <f>IFERROR(IF(ISBLANK([1]FoFsmonkeyCompl!Z57),"",[1]FoFsmonkeyCompl!Z57*FoFanalysis[[#This Row],[EUR]]),"")</f>
        <v/>
      </c>
      <c r="X54" s="8" t="str">
        <f>IFERROR(IF(ISBLANK([1]FoFsmonkeyCompl!AA57),"",[1]FoFsmonkeyCompl!AA57*FoFanalysis[[#This Row],[EUR]]),"")</f>
        <v/>
      </c>
      <c r="Y54" s="8" t="str">
        <f>IFERROR(IF(ISBLANK([1]FoFsmonkeyCompl!AB57),"",[1]FoFsmonkeyCompl!AB57*FoFanalysis[[#This Row],[EUR]]),"")</f>
        <v/>
      </c>
      <c r="Z54" s="8" t="str">
        <f>IFERROR(IF(ISBLANK([1]FoFsmonkeyCompl!AC57),"",[1]FoFsmonkeyCompl!AC57),"")</f>
        <v/>
      </c>
      <c r="AA54" s="8" t="str">
        <f>IFERROR(IF(ISBLANK([1]FoFsmonkeyCompl!AD57),"",[1]FoFsmonkeyCompl!AD57),"")</f>
        <v/>
      </c>
      <c r="AB54" s="8" t="str">
        <f>IFERROR(IF(ISBLANK([1]FoFsmonkeyCompl!AE57),"",[1]FoFsmonkeyCompl!AE57),"")</f>
        <v/>
      </c>
      <c r="AC54" s="8" t="str">
        <f>IFERROR(IF(ISBLANK([1]FoFsmonkeyCompl!AF57),"",[1]FoFsmonkeyCompl!AF57),"")</f>
        <v/>
      </c>
      <c r="AD54" s="8" t="str">
        <f>IFERROR(IF(ISBLANK([1]FoFsmonkeyCompl!AG57),"",[1]FoFsmonkeyCompl!AG57),"")</f>
        <v/>
      </c>
      <c r="AE54" s="8" t="str">
        <f>IFERROR(IF(ISBLANK([1]FoFsmonkeyCompl!AH57),"",[1]FoFsmonkeyCompl!AH57),"")</f>
        <v/>
      </c>
    </row>
    <row r="55" spans="1:31" ht="14.25" thickTop="1" thickBot="1" x14ac:dyDescent="0.25">
      <c r="A55" s="5" t="str">
        <f>IF(OR(ISTEXT([1]FoFsmonkeyCompl!J58),ISNUMBER([1]FoFsmonkeyCompl!J58)),[1]FoFsmonkeyCompl!J58,"")</f>
        <v/>
      </c>
      <c r="B55" s="6" t="str">
        <f>IF(OR(ISTEXT([1]FoFsmonkeyCompl!K58),ISNUMBER([1]FoFsmonkeyCompl!K58)),[1]FoFsmonkeyCompl!K58,"")</f>
        <v/>
      </c>
      <c r="C55" s="7"/>
      <c r="D55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55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55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55" s="6" t="str">
        <f>IF(ISBLANK([1]FoFsmonkeyCompl!L58),"",[1]FoFsmonkeyCompl!L58)</f>
        <v/>
      </c>
      <c r="H55" s="6" t="str">
        <f>IF(ISBLANK([1]FoFsmonkeyCompl!M58),"",[1]FoFsmonkeyCompl!M58)</f>
        <v/>
      </c>
      <c r="I55" s="6" t="str">
        <f>IF(ISBLANK([1]FoFsmonkeyCompl!N58),"",[1]FoFsmonkeyCompl!N58)</f>
        <v/>
      </c>
      <c r="J55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55" s="11" t="str">
        <f>IFERROR(VLOOKUP(FoFanalysis[[#This Row],[Currency of Reporting]],'[1]Xrate31.12.20'!$F$5:$H$28,3,0),"")</f>
        <v/>
      </c>
      <c r="L55" s="11" t="str">
        <f>IFERROR(IF(ISBLANK([1]FoFsmonkeyCompl!O58),"",[1]FoFsmonkeyCompl!O58*FoFanalysis[[#This Row],[EUR]]),"")</f>
        <v/>
      </c>
      <c r="M55" s="8" t="str">
        <f>IFERROR(IF(ISBLANK([1]FoFsmonkeyCompl!P58),"",[1]FoFsmonkeyCompl!P58*FoFanalysis[[#This Row],[EUR]]),"")</f>
        <v/>
      </c>
      <c r="N55" s="8" t="str">
        <f>IFERROR(IF(ISBLANK([1]FoFsmonkeyCompl!Q58),"",[1]FoFsmonkeyCompl!Q58*FoFanalysis[[#This Row],[EUR]]),"")</f>
        <v/>
      </c>
      <c r="O55" s="8" t="str">
        <f>IFERROR(IF(ISBLANK([1]FoFsmonkeyCompl!R58),"",[1]FoFsmonkeyCompl!R58*FoFanalysis[[#This Row],[EUR]]),"")</f>
        <v/>
      </c>
      <c r="P55" s="8" t="str">
        <f>IFERROR(IF(ISBLANK([1]FoFsmonkeyCompl!S58),"",[1]FoFsmonkeyCompl!S58*FoFanalysis[[#This Row],[EUR]]),"")</f>
        <v/>
      </c>
      <c r="Q55" s="8" t="str">
        <f>IFERROR(IF(ISBLANK([1]FoFsmonkeyCompl!T58),"",[1]FoFsmonkeyCompl!T58*FoFanalysis[[#This Row],[EUR]]),"")</f>
        <v/>
      </c>
      <c r="R55" s="8" t="str">
        <f>IFERROR(IF(ISBLANK([1]FoFsmonkeyCompl!U58),"",[1]FoFsmonkeyCompl!U58*FoFanalysis[[#This Row],[EUR]]),"")</f>
        <v/>
      </c>
      <c r="S55" s="8" t="str">
        <f>IFERROR(IF(ISBLANK([1]FoFsmonkeyCompl!V58),"",[1]FoFsmonkeyCompl!V58*FoFanalysis[[#This Row],[EUR]]),"")</f>
        <v/>
      </c>
      <c r="T55" s="8" t="str">
        <f>IFERROR(IF(ISBLANK([1]FoFsmonkeyCompl!W58),"",[1]FoFsmonkeyCompl!W58*FoFanalysis[[#This Row],[EUR]]),"")</f>
        <v/>
      </c>
      <c r="U55" s="8" t="str">
        <f>IFERROR(IF(ISBLANK([1]FoFsmonkeyCompl!X58),"",[1]FoFsmonkeyCompl!X58*FoFanalysis[[#This Row],[EUR]]),"")</f>
        <v/>
      </c>
      <c r="V55" s="8" t="str">
        <f>IFERROR(IF(ISBLANK([1]FoFsmonkeyCompl!Y58),"",[1]FoFsmonkeyCompl!Y58*FoFanalysis[[#This Row],[EUR]]),"")</f>
        <v/>
      </c>
      <c r="W55" s="8" t="str">
        <f>IFERROR(IF(ISBLANK([1]FoFsmonkeyCompl!Z58),"",[1]FoFsmonkeyCompl!Z58*FoFanalysis[[#This Row],[EUR]]),"")</f>
        <v/>
      </c>
      <c r="X55" s="8" t="str">
        <f>IFERROR(IF(ISBLANK([1]FoFsmonkeyCompl!AA58),"",[1]FoFsmonkeyCompl!AA58*FoFanalysis[[#This Row],[EUR]]),"")</f>
        <v/>
      </c>
      <c r="Y55" s="8" t="str">
        <f>IFERROR(IF(ISBLANK([1]FoFsmonkeyCompl!AB58),"",[1]FoFsmonkeyCompl!AB58*FoFanalysis[[#This Row],[EUR]]),"")</f>
        <v/>
      </c>
      <c r="Z55" s="8" t="str">
        <f>IFERROR(IF(ISBLANK([1]FoFsmonkeyCompl!AC58),"",[1]FoFsmonkeyCompl!AC58),"")</f>
        <v/>
      </c>
      <c r="AA55" s="8" t="str">
        <f>IFERROR(IF(ISBLANK([1]FoFsmonkeyCompl!AD58),"",[1]FoFsmonkeyCompl!AD58),"")</f>
        <v/>
      </c>
      <c r="AB55" s="8" t="str">
        <f>IFERROR(IF(ISBLANK([1]FoFsmonkeyCompl!AE58),"",[1]FoFsmonkeyCompl!AE58),"")</f>
        <v/>
      </c>
      <c r="AC55" s="8" t="str">
        <f>IFERROR(IF(ISBLANK([1]FoFsmonkeyCompl!AF58),"",[1]FoFsmonkeyCompl!AF58),"")</f>
        <v/>
      </c>
      <c r="AD55" s="8" t="str">
        <f>IFERROR(IF(ISBLANK([1]FoFsmonkeyCompl!AG58),"",[1]FoFsmonkeyCompl!AG58),"")</f>
        <v/>
      </c>
      <c r="AE55" s="8" t="str">
        <f>IFERROR(IF(ISBLANK([1]FoFsmonkeyCompl!AH58),"",[1]FoFsmonkeyCompl!AH58),"")</f>
        <v/>
      </c>
    </row>
    <row r="56" spans="1:31" ht="14.25" thickTop="1" thickBot="1" x14ac:dyDescent="0.25">
      <c r="A56" s="9" t="str">
        <f>IF(OR(ISTEXT([1]FoFsmonkeyCompl!J59),ISNUMBER([1]FoFsmonkeyCompl!J59)),[1]FoFsmonkeyCompl!J59,"")</f>
        <v/>
      </c>
      <c r="B56" s="6" t="str">
        <f>IF(OR(ISTEXT([1]FoFsmonkeyCompl!K59),ISNUMBER([1]FoFsmonkeyCompl!K59)),[1]FoFsmonkeyCompl!K59,"")</f>
        <v/>
      </c>
      <c r="C56" s="7"/>
      <c r="D56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56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56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56" s="6" t="str">
        <f>IF(ISBLANK([1]FoFsmonkeyCompl!L59),"",[1]FoFsmonkeyCompl!L59)</f>
        <v/>
      </c>
      <c r="H56" s="6" t="str">
        <f>IF(ISBLANK([1]FoFsmonkeyCompl!M59),"",[1]FoFsmonkeyCompl!M59)</f>
        <v/>
      </c>
      <c r="I56" s="6" t="str">
        <f>IF(ISBLANK([1]FoFsmonkeyCompl!N59),"",[1]FoFsmonkeyCompl!N59)</f>
        <v/>
      </c>
      <c r="J56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56" s="11" t="str">
        <f>IFERROR(VLOOKUP(FoFanalysis[[#This Row],[Currency of Reporting]],'[1]Xrate31.12.20'!$F$5:$H$28,3,0),"")</f>
        <v/>
      </c>
      <c r="L56" s="11" t="str">
        <f>IFERROR(IF(ISBLANK([1]FoFsmonkeyCompl!O59),"",[1]FoFsmonkeyCompl!O59*FoFanalysis[[#This Row],[EUR]]),"")</f>
        <v/>
      </c>
      <c r="M56" s="8" t="str">
        <f>IFERROR(IF(ISBLANK([1]FoFsmonkeyCompl!P59),"",[1]FoFsmonkeyCompl!P59*FoFanalysis[[#This Row],[EUR]]),"")</f>
        <v/>
      </c>
      <c r="N56" s="8" t="str">
        <f>IFERROR(IF(ISBLANK([1]FoFsmonkeyCompl!Q59),"",[1]FoFsmonkeyCompl!Q59*FoFanalysis[[#This Row],[EUR]]),"")</f>
        <v/>
      </c>
      <c r="O56" s="8" t="str">
        <f>IFERROR(IF(ISBLANK([1]FoFsmonkeyCompl!R59),"",[1]FoFsmonkeyCompl!R59*FoFanalysis[[#This Row],[EUR]]),"")</f>
        <v/>
      </c>
      <c r="P56" s="8" t="str">
        <f>IFERROR(IF(ISBLANK([1]FoFsmonkeyCompl!S59),"",[1]FoFsmonkeyCompl!S59*FoFanalysis[[#This Row],[EUR]]),"")</f>
        <v/>
      </c>
      <c r="Q56" s="8" t="str">
        <f>IFERROR(IF(ISBLANK([1]FoFsmonkeyCompl!T59),"",[1]FoFsmonkeyCompl!T59*FoFanalysis[[#This Row],[EUR]]),"")</f>
        <v/>
      </c>
      <c r="R56" s="8" t="str">
        <f>IFERROR(IF(ISBLANK([1]FoFsmonkeyCompl!U59),"",[1]FoFsmonkeyCompl!U59*FoFanalysis[[#This Row],[EUR]]),"")</f>
        <v/>
      </c>
      <c r="S56" s="8" t="str">
        <f>IFERROR(IF(ISBLANK([1]FoFsmonkeyCompl!V59),"",[1]FoFsmonkeyCompl!V59*FoFanalysis[[#This Row],[EUR]]),"")</f>
        <v/>
      </c>
      <c r="T56" s="8" t="str">
        <f>IFERROR(IF(ISBLANK([1]FoFsmonkeyCompl!W59),"",[1]FoFsmonkeyCompl!W59*FoFanalysis[[#This Row],[EUR]]),"")</f>
        <v/>
      </c>
      <c r="U56" s="8" t="str">
        <f>IFERROR(IF(ISBLANK([1]FoFsmonkeyCompl!X59),"",[1]FoFsmonkeyCompl!X59*FoFanalysis[[#This Row],[EUR]]),"")</f>
        <v/>
      </c>
      <c r="V56" s="8" t="str">
        <f>IFERROR(IF(ISBLANK([1]FoFsmonkeyCompl!Y59),"",[1]FoFsmonkeyCompl!Y59*FoFanalysis[[#This Row],[EUR]]),"")</f>
        <v/>
      </c>
      <c r="W56" s="8" t="str">
        <f>IFERROR(IF(ISBLANK([1]FoFsmonkeyCompl!Z59),"",[1]FoFsmonkeyCompl!Z59*FoFanalysis[[#This Row],[EUR]]),"")</f>
        <v/>
      </c>
      <c r="X56" s="8" t="str">
        <f>IFERROR(IF(ISBLANK([1]FoFsmonkeyCompl!AA59),"",[1]FoFsmonkeyCompl!AA59*FoFanalysis[[#This Row],[EUR]]),"")</f>
        <v/>
      </c>
      <c r="Y56" s="8" t="str">
        <f>IFERROR(IF(ISBLANK([1]FoFsmonkeyCompl!AB59),"",[1]FoFsmonkeyCompl!AB59*FoFanalysis[[#This Row],[EUR]]),"")</f>
        <v/>
      </c>
      <c r="Z56" s="8" t="str">
        <f>IFERROR(IF(ISBLANK([1]FoFsmonkeyCompl!AC59),"",[1]FoFsmonkeyCompl!AC59),"")</f>
        <v/>
      </c>
      <c r="AA56" s="8" t="str">
        <f>IFERROR(IF(ISBLANK([1]FoFsmonkeyCompl!AD59),"",[1]FoFsmonkeyCompl!AD59),"")</f>
        <v/>
      </c>
      <c r="AB56" s="8" t="str">
        <f>IFERROR(IF(ISBLANK([1]FoFsmonkeyCompl!AE59),"",[1]FoFsmonkeyCompl!AE59),"")</f>
        <v/>
      </c>
      <c r="AC56" s="8" t="str">
        <f>IFERROR(IF(ISBLANK([1]FoFsmonkeyCompl!AF59),"",[1]FoFsmonkeyCompl!AF59),"")</f>
        <v/>
      </c>
      <c r="AD56" s="8" t="str">
        <f>IFERROR(IF(ISBLANK([1]FoFsmonkeyCompl!AG59),"",[1]FoFsmonkeyCompl!AG59),"")</f>
        <v/>
      </c>
      <c r="AE56" s="8" t="str">
        <f>IFERROR(IF(ISBLANK([1]FoFsmonkeyCompl!AH59),"",[1]FoFsmonkeyCompl!AH59),"")</f>
        <v/>
      </c>
    </row>
    <row r="57" spans="1:31" ht="13.5" thickTop="1" x14ac:dyDescent="0.2">
      <c r="A57" s="5" t="str">
        <f>IF(OR(ISTEXT([1]FoFsmonkeyCompl!J60),ISNUMBER([1]FoFsmonkeyCompl!J60)),[1]FoFsmonkeyCompl!J60,"")</f>
        <v/>
      </c>
      <c r="B57" s="6" t="str">
        <f>IF(OR(ISTEXT([1]FoFsmonkeyCompl!K60),ISNUMBER([1]FoFsmonkeyCompl!K60)),[1]FoFsmonkeyCompl!K60,"")</f>
        <v/>
      </c>
      <c r="C57" s="7"/>
      <c r="D57" s="6" t="str">
        <f>IFERROR(INDEX([1]FundOfFundsUniverse!$B$2:$EU$80,MATCH(FoFanalysis[[#This Row],[ID]],[1]FundOfFundsUniverse!$A$2:$A$80,0),MATCH(FoFanalysis[[#Headers],[Manager Defined Style]],[1]FundOfFundsUniverse!$B$1:$EU$1,0)),"")</f>
        <v/>
      </c>
      <c r="E57" s="6" t="str">
        <f>IFERROR(INDEX([1]FundOfFundsUniverse!$B$2:$EU$80,MATCH(FoFanalysis[[#This Row],[ID]],[1]FundOfFundsUniverse!$A$2:$A$80,0),MATCH(FoFanalysis[[#Headers],[Vehicle Structure]],[1]FundOfFundsUniverse!$B$1:$EU$1,0)),"")</f>
        <v/>
      </c>
      <c r="F57" s="6" t="str">
        <f>IFERROR(INDEX([1]FundOfFundsUniverse!$B$2:$EU$80,MATCH(FoFanalysis[[#This Row],[ID]],[1]FundOfFundsUniverse!$A$2:$A$80,0),MATCH(FoFanalysis[[#Headers],[Year of first closing]],[1]FundOfFundsUniverse!$B$1:$EU$1,0)),"")</f>
        <v/>
      </c>
      <c r="G57" s="6" t="str">
        <f>IF(ISBLANK([1]FoFsmonkeyCompl!L60),"",[1]FoFsmonkeyCompl!L60)</f>
        <v/>
      </c>
      <c r="H57" s="6" t="str">
        <f>IF(ISBLANK([1]FoFsmonkeyCompl!M60),"",[1]FoFsmonkeyCompl!M60)</f>
        <v/>
      </c>
      <c r="I57" s="6" t="str">
        <f>IF(ISBLANK([1]FoFsmonkeyCompl!N60),"",[1]FoFsmonkeyCompl!N60)</f>
        <v/>
      </c>
      <c r="J57" s="6" t="str">
        <f>IFERROR(INDEX([1]FundOfFundsUniverse!$B$2:$EU$80,MATCH(FoFanalysis[[#This Row],[ID]],[1]FundOfFundsUniverse!$A$2:$A$80,0),MATCH(FoFanalysis[[#Headers],[Currency of Reporting]],[1]FundOfFundsUniverse!$B$1:$EU$1,0)),"")</f>
        <v/>
      </c>
      <c r="K57" s="11" t="str">
        <f>IFERROR(VLOOKUP(FoFanalysis[[#This Row],[Currency of Reporting]],'[1]Xrate31.12.20'!$F$5:$H$28,3,0),"")</f>
        <v/>
      </c>
      <c r="L57" s="11" t="str">
        <f>IFERROR(IF(ISBLANK([1]FoFsmonkeyCompl!O60),"",[1]FoFsmonkeyCompl!O60*FoFanalysis[[#This Row],[EUR]]),"")</f>
        <v/>
      </c>
      <c r="M57" s="8" t="str">
        <f>IFERROR(IF(ISBLANK([1]FoFsmonkeyCompl!P60),"",[1]FoFsmonkeyCompl!P60*FoFanalysis[[#This Row],[EUR]]),"")</f>
        <v/>
      </c>
      <c r="N57" s="8" t="str">
        <f>IFERROR(IF(ISBLANK([1]FoFsmonkeyCompl!Q60),"",[1]FoFsmonkeyCompl!Q60*FoFanalysis[[#This Row],[EUR]]),"")</f>
        <v/>
      </c>
      <c r="O57" s="8" t="str">
        <f>IFERROR(IF(ISBLANK([1]FoFsmonkeyCompl!R60),"",[1]FoFsmonkeyCompl!R60*FoFanalysis[[#This Row],[EUR]]),"")</f>
        <v/>
      </c>
      <c r="P57" s="8" t="str">
        <f>IFERROR(IF(ISBLANK([1]FoFsmonkeyCompl!S60),"",[1]FoFsmonkeyCompl!S60*FoFanalysis[[#This Row],[EUR]]),"")</f>
        <v/>
      </c>
      <c r="Q57" s="8" t="str">
        <f>IFERROR(IF(ISBLANK([1]FoFsmonkeyCompl!T60),"",[1]FoFsmonkeyCompl!T60*FoFanalysis[[#This Row],[EUR]]),"")</f>
        <v/>
      </c>
      <c r="R57" s="8" t="str">
        <f>IFERROR(IF(ISBLANK([1]FoFsmonkeyCompl!U60),"",[1]FoFsmonkeyCompl!U60*FoFanalysis[[#This Row],[EUR]]),"")</f>
        <v/>
      </c>
      <c r="S57" s="8" t="str">
        <f>IFERROR(IF(ISBLANK([1]FoFsmonkeyCompl!V60),"",[1]FoFsmonkeyCompl!V60*FoFanalysis[[#This Row],[EUR]]),"")</f>
        <v/>
      </c>
      <c r="T57" s="8" t="str">
        <f>IFERROR(IF(ISBLANK([1]FoFsmonkeyCompl!W60),"",[1]FoFsmonkeyCompl!W60*FoFanalysis[[#This Row],[EUR]]),"")</f>
        <v/>
      </c>
      <c r="U57" s="8" t="str">
        <f>IFERROR(IF(ISBLANK([1]FoFsmonkeyCompl!X60),"",[1]FoFsmonkeyCompl!X60*FoFanalysis[[#This Row],[EUR]]),"")</f>
        <v/>
      </c>
      <c r="V57" s="8" t="str">
        <f>IFERROR(IF(ISBLANK([1]FoFsmonkeyCompl!Y60),"",[1]FoFsmonkeyCompl!Y60*FoFanalysis[[#This Row],[EUR]]),"")</f>
        <v/>
      </c>
      <c r="W57" s="8" t="str">
        <f>IFERROR(IF(ISBLANK([1]FoFsmonkeyCompl!Z60),"",[1]FoFsmonkeyCompl!Z60*FoFanalysis[[#This Row],[EUR]]),"")</f>
        <v/>
      </c>
      <c r="X57" s="8" t="str">
        <f>IFERROR(IF(ISBLANK([1]FoFsmonkeyCompl!AA60),"",[1]FoFsmonkeyCompl!AA60*FoFanalysis[[#This Row],[EUR]]),"")</f>
        <v/>
      </c>
      <c r="Y57" s="8" t="str">
        <f>IFERROR(IF(ISBLANK([1]FoFsmonkeyCompl!AB60),"",[1]FoFsmonkeyCompl!AB60*FoFanalysis[[#This Row],[EUR]]),"")</f>
        <v/>
      </c>
      <c r="Z57" s="8" t="str">
        <f>IFERROR(IF(ISBLANK([1]FoFsmonkeyCompl!AC60),"",[1]FoFsmonkeyCompl!AC60),"")</f>
        <v/>
      </c>
      <c r="AA57" s="8" t="str">
        <f>IFERROR(IF(ISBLANK([1]FoFsmonkeyCompl!AD60),"",[1]FoFsmonkeyCompl!AD60),"")</f>
        <v/>
      </c>
      <c r="AB57" s="8" t="str">
        <f>IFERROR(IF(ISBLANK([1]FoFsmonkeyCompl!AE60),"",[1]FoFsmonkeyCompl!AE60),"")</f>
        <v/>
      </c>
      <c r="AC57" s="8" t="str">
        <f>IFERROR(IF(ISBLANK([1]FoFsmonkeyCompl!AF60),"",[1]FoFsmonkeyCompl!AF60),"")</f>
        <v/>
      </c>
      <c r="AD57" s="8" t="str">
        <f>IFERROR(IF(ISBLANK([1]FoFsmonkeyCompl!AG60),"",[1]FoFsmonkeyCompl!AG60),"")</f>
        <v/>
      </c>
      <c r="AE57" s="8" t="str">
        <f>IFERROR(IF(ISBLANK([1]FoFsmonkeyCompl!AH60),"",[1]FoFsmonkeyCompl!AH60),"")</f>
        <v/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9907E-59CF-4783-B445-7CB5D00704F9}">
  <dimension ref="A1:E41"/>
  <sheetViews>
    <sheetView topLeftCell="A27" workbookViewId="0">
      <selection activeCell="A19" sqref="A19:E41"/>
    </sheetView>
  </sheetViews>
  <sheetFormatPr defaultRowHeight="12.75" x14ac:dyDescent="0.2"/>
  <cols>
    <col min="1" max="1" width="25.85546875" customWidth="1"/>
    <col min="2" max="2" width="20.28515625" customWidth="1"/>
    <col min="3" max="3" width="24.5703125" customWidth="1"/>
    <col min="4" max="4" width="25.42578125" customWidth="1"/>
  </cols>
  <sheetData>
    <row r="1" spans="1:5" s="20" customFormat="1" ht="15" x14ac:dyDescent="0.25">
      <c r="A1" s="20" t="s">
        <v>62</v>
      </c>
      <c r="B1" s="20" t="s">
        <v>63</v>
      </c>
      <c r="C1" s="20" t="s">
        <v>64</v>
      </c>
      <c r="D1" s="20" t="s">
        <v>65</v>
      </c>
      <c r="E1" s="20" t="s">
        <v>66</v>
      </c>
    </row>
    <row r="2" spans="1:5" s="20" customFormat="1" ht="15" x14ac:dyDescent="0.25">
      <c r="A2" s="34" t="s">
        <v>483</v>
      </c>
      <c r="D2" s="34" t="s">
        <v>211</v>
      </c>
      <c r="E2" s="22" t="s">
        <v>69</v>
      </c>
    </row>
    <row r="3" spans="1:5" ht="15" x14ac:dyDescent="0.25">
      <c r="A3" s="30" t="s">
        <v>67</v>
      </c>
      <c r="B3" s="21"/>
      <c r="C3" s="30"/>
      <c r="D3" s="20" t="s">
        <v>68</v>
      </c>
      <c r="E3" s="22" t="s">
        <v>69</v>
      </c>
    </row>
    <row r="4" spans="1:5" ht="15" x14ac:dyDescent="0.25">
      <c r="A4" s="30" t="s">
        <v>70</v>
      </c>
      <c r="B4" s="21"/>
      <c r="C4" s="30"/>
      <c r="D4" s="20" t="s">
        <v>71</v>
      </c>
      <c r="E4" s="22" t="s">
        <v>69</v>
      </c>
    </row>
    <row r="5" spans="1:5" ht="15" x14ac:dyDescent="0.25">
      <c r="A5" s="30" t="s">
        <v>72</v>
      </c>
      <c r="B5" s="21"/>
      <c r="C5" s="30"/>
      <c r="D5" s="20" t="s">
        <v>73</v>
      </c>
      <c r="E5" s="22" t="s">
        <v>69</v>
      </c>
    </row>
    <row r="6" spans="1:5" ht="15" x14ac:dyDescent="0.25">
      <c r="A6" s="30" t="s">
        <v>74</v>
      </c>
      <c r="B6" s="21"/>
      <c r="C6" s="30"/>
      <c r="D6" s="20" t="s">
        <v>75</v>
      </c>
      <c r="E6" s="22" t="s">
        <v>69</v>
      </c>
    </row>
    <row r="7" spans="1:5" ht="15" x14ac:dyDescent="0.25">
      <c r="A7" s="30" t="s">
        <v>76</v>
      </c>
      <c r="B7" s="21"/>
      <c r="C7" s="30"/>
      <c r="D7" s="20" t="s">
        <v>77</v>
      </c>
      <c r="E7" s="22" t="s">
        <v>69</v>
      </c>
    </row>
    <row r="8" spans="1:5" ht="15" x14ac:dyDescent="0.25">
      <c r="A8" s="30" t="s">
        <v>78</v>
      </c>
      <c r="B8" s="21"/>
      <c r="C8" s="30"/>
      <c r="D8" s="20" t="s">
        <v>79</v>
      </c>
      <c r="E8" s="22" t="s">
        <v>69</v>
      </c>
    </row>
    <row r="9" spans="1:5" ht="15" x14ac:dyDescent="0.25">
      <c r="A9" s="30" t="s">
        <v>80</v>
      </c>
      <c r="B9" s="21"/>
      <c r="C9" s="30"/>
      <c r="D9" s="20" t="s">
        <v>81</v>
      </c>
      <c r="E9" s="22" t="s">
        <v>69</v>
      </c>
    </row>
    <row r="10" spans="1:5" ht="15" x14ac:dyDescent="0.25">
      <c r="A10" s="30" t="s">
        <v>82</v>
      </c>
      <c r="B10" s="21"/>
      <c r="C10" s="30"/>
      <c r="D10" s="20" t="s">
        <v>83</v>
      </c>
      <c r="E10" s="22" t="s">
        <v>69</v>
      </c>
    </row>
    <row r="11" spans="1:5" ht="15" x14ac:dyDescent="0.25">
      <c r="A11" s="30" t="s">
        <v>84</v>
      </c>
      <c r="B11" s="21"/>
      <c r="C11" s="30"/>
      <c r="D11" s="20" t="s">
        <v>85</v>
      </c>
      <c r="E11" s="22" t="s">
        <v>69</v>
      </c>
    </row>
    <row r="12" spans="1:5" ht="15" x14ac:dyDescent="0.25">
      <c r="A12" s="25" t="s">
        <v>32</v>
      </c>
      <c r="B12" s="21"/>
      <c r="C12" s="25" t="s">
        <v>86</v>
      </c>
      <c r="D12" s="20" t="s">
        <v>210</v>
      </c>
      <c r="E12" s="22" t="s">
        <v>69</v>
      </c>
    </row>
    <row r="13" spans="1:5" ht="15" x14ac:dyDescent="0.25">
      <c r="A13" s="30" t="s">
        <v>1</v>
      </c>
      <c r="B13" s="21"/>
      <c r="C13" s="30" t="s">
        <v>86</v>
      </c>
      <c r="D13" s="20" t="s">
        <v>87</v>
      </c>
      <c r="E13" s="22" t="s">
        <v>69</v>
      </c>
    </row>
    <row r="14" spans="1:5" s="20" customFormat="1" ht="15" x14ac:dyDescent="0.25">
      <c r="A14" s="21" t="s">
        <v>88</v>
      </c>
      <c r="B14" s="21"/>
      <c r="C14" s="21"/>
      <c r="D14" s="20" t="s">
        <v>89</v>
      </c>
      <c r="E14" s="22" t="s">
        <v>69</v>
      </c>
    </row>
    <row r="15" spans="1:5" s="20" customFormat="1" ht="15" x14ac:dyDescent="0.25">
      <c r="A15" s="21" t="s">
        <v>90</v>
      </c>
      <c r="B15" s="21"/>
      <c r="C15" s="21"/>
      <c r="D15" s="20" t="s">
        <v>91</v>
      </c>
      <c r="E15" s="22" t="s">
        <v>69</v>
      </c>
    </row>
    <row r="16" spans="1:5" s="20" customFormat="1" ht="15" x14ac:dyDescent="0.25">
      <c r="A16" s="21" t="s">
        <v>143</v>
      </c>
      <c r="B16" s="21"/>
      <c r="C16" s="21"/>
      <c r="D16" s="20" t="s">
        <v>144</v>
      </c>
      <c r="E16" s="22" t="s">
        <v>69</v>
      </c>
    </row>
    <row r="17" spans="1:5" s="20" customFormat="1" ht="15" x14ac:dyDescent="0.25">
      <c r="A17" s="21" t="s">
        <v>5</v>
      </c>
      <c r="B17" s="21"/>
      <c r="C17" s="21"/>
      <c r="D17" s="20" t="s">
        <v>94</v>
      </c>
      <c r="E17" s="22" t="s">
        <v>69</v>
      </c>
    </row>
    <row r="18" spans="1:5" s="20" customFormat="1" ht="15" x14ac:dyDescent="0.25">
      <c r="A18" s="21" t="s">
        <v>145</v>
      </c>
      <c r="B18" s="21"/>
      <c r="C18" s="21"/>
      <c r="D18" s="20" t="s">
        <v>95</v>
      </c>
      <c r="E18" s="22" t="s">
        <v>69</v>
      </c>
    </row>
    <row r="19" spans="1:5" ht="15" x14ac:dyDescent="0.25">
      <c r="A19" s="30" t="s">
        <v>146</v>
      </c>
      <c r="B19" s="21" t="s">
        <v>96</v>
      </c>
      <c r="C19" s="30" t="s">
        <v>97</v>
      </c>
      <c r="D19" s="23" t="s">
        <v>96</v>
      </c>
      <c r="E19" s="22" t="s">
        <v>69</v>
      </c>
    </row>
    <row r="20" spans="1:5" ht="15" x14ac:dyDescent="0.25">
      <c r="A20" s="30" t="s">
        <v>147</v>
      </c>
      <c r="B20" s="21" t="s">
        <v>98</v>
      </c>
      <c r="C20" s="30" t="s">
        <v>97</v>
      </c>
      <c r="D20" s="23" t="s">
        <v>98</v>
      </c>
      <c r="E20" s="22" t="s">
        <v>69</v>
      </c>
    </row>
    <row r="21" spans="1:5" ht="15" x14ac:dyDescent="0.25">
      <c r="A21" s="30"/>
      <c r="B21" s="21"/>
      <c r="C21" s="30" t="s">
        <v>9</v>
      </c>
      <c r="D21" s="20" t="s">
        <v>99</v>
      </c>
      <c r="E21" s="22" t="s">
        <v>69</v>
      </c>
    </row>
    <row r="22" spans="1:5" ht="15" x14ac:dyDescent="0.25">
      <c r="A22" s="30" t="s">
        <v>100</v>
      </c>
      <c r="B22" s="21" t="s">
        <v>101</v>
      </c>
      <c r="C22" s="30" t="s">
        <v>86</v>
      </c>
      <c r="D22" s="23" t="s">
        <v>101</v>
      </c>
      <c r="E22" s="22" t="s">
        <v>102</v>
      </c>
    </row>
    <row r="23" spans="1:5" ht="15" x14ac:dyDescent="0.25">
      <c r="A23" s="30" t="s">
        <v>214</v>
      </c>
      <c r="B23" s="21" t="s">
        <v>103</v>
      </c>
      <c r="C23" s="30" t="s">
        <v>104</v>
      </c>
      <c r="D23" s="24" t="s">
        <v>105</v>
      </c>
      <c r="E23" s="22" t="s">
        <v>102</v>
      </c>
    </row>
    <row r="24" spans="1:5" ht="15" x14ac:dyDescent="0.25">
      <c r="A24" s="30"/>
      <c r="B24" s="21" t="str">
        <f t="shared" ref="B24:B30" si="0">B23</f>
        <v>q4</v>
      </c>
      <c r="C24" s="30" t="s">
        <v>106</v>
      </c>
      <c r="D24" s="24" t="s">
        <v>107</v>
      </c>
      <c r="E24" s="22" t="s">
        <v>102</v>
      </c>
    </row>
    <row r="25" spans="1:5" ht="15" x14ac:dyDescent="0.25">
      <c r="A25" s="30"/>
      <c r="B25" s="21" t="str">
        <f t="shared" si="0"/>
        <v>q4</v>
      </c>
      <c r="C25" s="30" t="s">
        <v>148</v>
      </c>
      <c r="D25" s="24" t="s">
        <v>109</v>
      </c>
      <c r="E25" s="22" t="s">
        <v>102</v>
      </c>
    </row>
    <row r="26" spans="1:5" ht="15" x14ac:dyDescent="0.25">
      <c r="A26" s="30"/>
      <c r="B26" s="21" t="str">
        <f t="shared" si="0"/>
        <v>q4</v>
      </c>
      <c r="C26" s="30" t="s">
        <v>110</v>
      </c>
      <c r="D26" s="24" t="s">
        <v>111</v>
      </c>
      <c r="E26" s="22" t="s">
        <v>102</v>
      </c>
    </row>
    <row r="27" spans="1:5" ht="15" x14ac:dyDescent="0.25">
      <c r="A27" s="30"/>
      <c r="B27" s="21" t="str">
        <f t="shared" si="0"/>
        <v>q4</v>
      </c>
      <c r="C27" s="30" t="s">
        <v>112</v>
      </c>
      <c r="D27" s="24" t="s">
        <v>113</v>
      </c>
      <c r="E27" s="22" t="s">
        <v>102</v>
      </c>
    </row>
    <row r="28" spans="1:5" ht="15" x14ac:dyDescent="0.25">
      <c r="A28" s="30"/>
      <c r="B28" s="21" t="str">
        <f t="shared" si="0"/>
        <v>q4</v>
      </c>
      <c r="C28" s="30" t="s">
        <v>114</v>
      </c>
      <c r="D28" s="24" t="s">
        <v>115</v>
      </c>
      <c r="E28" s="22" t="s">
        <v>102</v>
      </c>
    </row>
    <row r="29" spans="1:5" ht="15" x14ac:dyDescent="0.25">
      <c r="A29" s="30"/>
      <c r="B29" s="21" t="str">
        <f t="shared" si="0"/>
        <v>q4</v>
      </c>
      <c r="C29" s="30" t="s">
        <v>149</v>
      </c>
      <c r="D29" s="24" t="s">
        <v>117</v>
      </c>
      <c r="E29" s="22" t="s">
        <v>102</v>
      </c>
    </row>
    <row r="30" spans="1:5" ht="15" x14ac:dyDescent="0.25">
      <c r="A30" s="30"/>
      <c r="B30" s="21" t="str">
        <f t="shared" si="0"/>
        <v>q4</v>
      </c>
      <c r="C30" s="30" t="s">
        <v>20</v>
      </c>
      <c r="D30" s="24" t="s">
        <v>118</v>
      </c>
      <c r="E30" s="22" t="s">
        <v>102</v>
      </c>
    </row>
    <row r="31" spans="1:5" ht="15" x14ac:dyDescent="0.25">
      <c r="A31" s="30" t="s">
        <v>150</v>
      </c>
      <c r="B31" s="21" t="s">
        <v>119</v>
      </c>
      <c r="C31" s="30" t="s">
        <v>21</v>
      </c>
      <c r="D31" s="24" t="s">
        <v>120</v>
      </c>
      <c r="E31" s="22" t="s">
        <v>102</v>
      </c>
    </row>
    <row r="32" spans="1:5" ht="15" x14ac:dyDescent="0.25">
      <c r="A32" s="30"/>
      <c r="B32" s="21" t="str">
        <f t="shared" ref="B32:B35" si="1">B31</f>
        <v>q5</v>
      </c>
      <c r="C32" s="30" t="s">
        <v>121</v>
      </c>
      <c r="D32" s="24" t="s">
        <v>122</v>
      </c>
      <c r="E32" s="22" t="s">
        <v>102</v>
      </c>
    </row>
    <row r="33" spans="1:5" ht="15" x14ac:dyDescent="0.25">
      <c r="A33" s="30"/>
      <c r="B33" s="21" t="str">
        <f t="shared" si="1"/>
        <v>q5</v>
      </c>
      <c r="C33" s="30" t="s">
        <v>123</v>
      </c>
      <c r="D33" s="24" t="s">
        <v>124</v>
      </c>
      <c r="E33" s="22" t="s">
        <v>102</v>
      </c>
    </row>
    <row r="34" spans="1:5" ht="15" x14ac:dyDescent="0.25">
      <c r="A34" s="30"/>
      <c r="B34" s="21" t="str">
        <f t="shared" si="1"/>
        <v>q5</v>
      </c>
      <c r="C34" s="30" t="s">
        <v>125</v>
      </c>
      <c r="D34" s="24" t="s">
        <v>126</v>
      </c>
      <c r="E34" s="22" t="s">
        <v>102</v>
      </c>
    </row>
    <row r="35" spans="1:5" ht="15" x14ac:dyDescent="0.25">
      <c r="A35" s="30"/>
      <c r="B35" s="21" t="str">
        <f t="shared" si="1"/>
        <v>q5</v>
      </c>
      <c r="C35" s="30" t="s">
        <v>25</v>
      </c>
      <c r="D35" s="24" t="s">
        <v>127</v>
      </c>
      <c r="E35" s="22" t="s">
        <v>102</v>
      </c>
    </row>
    <row r="36" spans="1:5" ht="15" x14ac:dyDescent="0.25">
      <c r="A36" s="30" t="s">
        <v>128</v>
      </c>
      <c r="B36" s="21" t="s">
        <v>129</v>
      </c>
      <c r="C36" s="30" t="s">
        <v>130</v>
      </c>
      <c r="D36" s="24" t="s">
        <v>131</v>
      </c>
      <c r="E36" s="22" t="s">
        <v>132</v>
      </c>
    </row>
    <row r="37" spans="1:5" ht="15" x14ac:dyDescent="0.25">
      <c r="A37" s="30"/>
      <c r="B37" s="21" t="str">
        <f t="shared" ref="B37:B39" si="2">B36</f>
        <v>q6</v>
      </c>
      <c r="C37" s="30" t="s">
        <v>133</v>
      </c>
      <c r="D37" s="24" t="s">
        <v>134</v>
      </c>
      <c r="E37" s="22" t="s">
        <v>132</v>
      </c>
    </row>
    <row r="38" spans="1:5" ht="15" x14ac:dyDescent="0.25">
      <c r="A38" s="30"/>
      <c r="B38" s="21" t="str">
        <f t="shared" si="2"/>
        <v>q6</v>
      </c>
      <c r="C38" s="30" t="s">
        <v>135</v>
      </c>
      <c r="D38" s="24" t="s">
        <v>136</v>
      </c>
      <c r="E38" s="22" t="s">
        <v>132</v>
      </c>
    </row>
    <row r="39" spans="1:5" ht="15" x14ac:dyDescent="0.25">
      <c r="A39" s="30"/>
      <c r="B39" s="21" t="str">
        <f t="shared" si="2"/>
        <v>q6</v>
      </c>
      <c r="C39" s="30" t="s">
        <v>137</v>
      </c>
      <c r="D39" s="24" t="s">
        <v>138</v>
      </c>
      <c r="E39" s="22" t="s">
        <v>132</v>
      </c>
    </row>
    <row r="40" spans="1:5" ht="15" x14ac:dyDescent="0.25">
      <c r="A40" s="30" t="s">
        <v>139</v>
      </c>
      <c r="B40" s="21" t="s">
        <v>140</v>
      </c>
      <c r="C40" s="30" t="s">
        <v>97</v>
      </c>
      <c r="D40" s="24" t="s">
        <v>140</v>
      </c>
      <c r="E40" s="33" t="s">
        <v>69</v>
      </c>
    </row>
    <row r="41" spans="1:5" ht="15" x14ac:dyDescent="0.25">
      <c r="A41" s="30" t="s">
        <v>141</v>
      </c>
      <c r="B41" s="21" t="s">
        <v>142</v>
      </c>
      <c r="C41" s="30" t="s">
        <v>97</v>
      </c>
      <c r="D41" s="24" t="s">
        <v>142</v>
      </c>
      <c r="E41" s="33" t="s">
        <v>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A322-D3F8-4796-8F51-CF74693CB625}">
  <sheetPr>
    <tabColor theme="5" tint="-0.249977111117893"/>
  </sheetPr>
  <dimension ref="A1:AN17"/>
  <sheetViews>
    <sheetView showGridLines="0" tabSelected="1" workbookViewId="0">
      <selection activeCell="K27" sqref="K27"/>
    </sheetView>
  </sheetViews>
  <sheetFormatPr defaultRowHeight="12.75" x14ac:dyDescent="0.2"/>
  <cols>
    <col min="2" max="2" width="14.85546875" customWidth="1"/>
    <col min="3" max="3" width="11.85546875" customWidth="1"/>
    <col min="4" max="5" width="18.140625" bestFit="1" customWidth="1"/>
    <col min="6" max="6" width="20.28515625" customWidth="1"/>
    <col min="11" max="11" width="36.42578125" customWidth="1"/>
    <col min="12" max="12" width="61.140625" bestFit="1" customWidth="1"/>
    <col min="13" max="13" width="14.5703125" customWidth="1"/>
    <col min="14" max="14" width="14" customWidth="1"/>
    <col min="15" max="15" width="13.85546875" customWidth="1"/>
    <col min="16" max="16" width="12.7109375" customWidth="1"/>
    <col min="17" max="17" width="12.140625" customWidth="1"/>
    <col min="19" max="19" width="13.7109375" customWidth="1"/>
  </cols>
  <sheetData>
    <row r="1" spans="1:40" ht="14.25" x14ac:dyDescent="0.2">
      <c r="B1" s="30" t="s">
        <v>67</v>
      </c>
      <c r="C1" s="30" t="s">
        <v>70</v>
      </c>
      <c r="D1" s="30" t="s">
        <v>72</v>
      </c>
      <c r="E1" s="30" t="s">
        <v>74</v>
      </c>
      <c r="F1" s="30" t="s">
        <v>76</v>
      </c>
      <c r="G1" s="30" t="s">
        <v>78</v>
      </c>
      <c r="H1" s="30" t="s">
        <v>80</v>
      </c>
      <c r="I1" s="30" t="s">
        <v>82</v>
      </c>
      <c r="J1" s="30" t="s">
        <v>84</v>
      </c>
      <c r="K1" s="25" t="s">
        <v>32</v>
      </c>
      <c r="L1" s="30" t="s">
        <v>1</v>
      </c>
      <c r="M1" s="30"/>
      <c r="N1" s="30"/>
      <c r="O1" s="30"/>
      <c r="P1" s="30"/>
      <c r="Q1" s="30"/>
      <c r="R1" s="30" t="s">
        <v>146</v>
      </c>
      <c r="S1" s="30" t="s">
        <v>147</v>
      </c>
      <c r="T1" s="30"/>
      <c r="U1" s="30" t="s">
        <v>100</v>
      </c>
      <c r="V1" s="30" t="s">
        <v>214</v>
      </c>
      <c r="W1" s="30"/>
      <c r="X1" s="30"/>
      <c r="Y1" s="30"/>
      <c r="Z1" s="30"/>
      <c r="AA1" s="30"/>
      <c r="AB1" s="30"/>
      <c r="AC1" s="30"/>
      <c r="AD1" s="30" t="s">
        <v>150</v>
      </c>
      <c r="AE1" s="30"/>
      <c r="AF1" s="30"/>
      <c r="AG1" s="30"/>
      <c r="AH1" s="30"/>
      <c r="AI1" s="30" t="s">
        <v>128</v>
      </c>
      <c r="AJ1" s="30"/>
      <c r="AK1" s="30"/>
      <c r="AL1" s="30"/>
      <c r="AM1" s="30" t="s">
        <v>139</v>
      </c>
      <c r="AN1" s="30" t="s">
        <v>141</v>
      </c>
    </row>
    <row r="2" spans="1:40" ht="14.25" x14ac:dyDescent="0.2">
      <c r="B2" s="30"/>
      <c r="C2" s="30"/>
      <c r="D2" s="30"/>
      <c r="E2" s="30"/>
      <c r="F2" s="30"/>
      <c r="G2" s="30"/>
      <c r="H2" s="30"/>
      <c r="I2" s="30"/>
      <c r="J2" s="30"/>
      <c r="K2" s="25" t="s">
        <v>86</v>
      </c>
      <c r="L2" s="30" t="s">
        <v>86</v>
      </c>
      <c r="M2" s="30"/>
      <c r="N2" s="30"/>
      <c r="O2" s="30"/>
      <c r="P2" s="30"/>
      <c r="Q2" s="30"/>
      <c r="R2" s="30" t="s">
        <v>97</v>
      </c>
      <c r="S2" s="30" t="s">
        <v>97</v>
      </c>
      <c r="T2" s="30" t="s">
        <v>9</v>
      </c>
      <c r="U2" s="30" t="s">
        <v>86</v>
      </c>
      <c r="V2" s="30" t="s">
        <v>104</v>
      </c>
      <c r="W2" s="30" t="s">
        <v>106</v>
      </c>
      <c r="X2" s="30" t="s">
        <v>148</v>
      </c>
      <c r="Y2" s="30" t="s">
        <v>110</v>
      </c>
      <c r="Z2" s="30" t="s">
        <v>112</v>
      </c>
      <c r="AA2" s="30" t="s">
        <v>114</v>
      </c>
      <c r="AB2" s="30" t="s">
        <v>149</v>
      </c>
      <c r="AC2" s="30" t="s">
        <v>20</v>
      </c>
      <c r="AD2" s="30" t="s">
        <v>21</v>
      </c>
      <c r="AE2" s="30" t="s">
        <v>121</v>
      </c>
      <c r="AF2" s="30" t="s">
        <v>123</v>
      </c>
      <c r="AG2" s="30" t="s">
        <v>125</v>
      </c>
      <c r="AH2" s="30" t="s">
        <v>25</v>
      </c>
      <c r="AI2" s="30" t="s">
        <v>130</v>
      </c>
      <c r="AJ2" s="30" t="s">
        <v>133</v>
      </c>
      <c r="AK2" s="30" t="s">
        <v>135</v>
      </c>
      <c r="AL2" s="30" t="s">
        <v>137</v>
      </c>
      <c r="AM2" s="30" t="s">
        <v>97</v>
      </c>
      <c r="AN2" s="30" t="s">
        <v>97</v>
      </c>
    </row>
    <row r="3" spans="1:40" ht="15" x14ac:dyDescent="0.25">
      <c r="A3" t="s">
        <v>211</v>
      </c>
      <c r="B3" s="20" t="s">
        <v>68</v>
      </c>
      <c r="C3" s="20" t="s">
        <v>71</v>
      </c>
      <c r="D3" s="20" t="s">
        <v>73</v>
      </c>
      <c r="E3" s="20" t="s">
        <v>75</v>
      </c>
      <c r="F3" s="20" t="s">
        <v>77</v>
      </c>
      <c r="G3" s="20" t="s">
        <v>79</v>
      </c>
      <c r="H3" s="20" t="s">
        <v>81</v>
      </c>
      <c r="I3" s="20" t="s">
        <v>83</v>
      </c>
      <c r="J3" s="20" t="s">
        <v>85</v>
      </c>
      <c r="K3" s="20" t="s">
        <v>210</v>
      </c>
      <c r="L3" s="20" t="s">
        <v>87</v>
      </c>
      <c r="M3" s="20" t="s">
        <v>89</v>
      </c>
      <c r="N3" s="20" t="s">
        <v>91</v>
      </c>
      <c r="O3" s="20" t="s">
        <v>144</v>
      </c>
      <c r="P3" s="20" t="s">
        <v>94</v>
      </c>
      <c r="Q3" s="20" t="s">
        <v>95</v>
      </c>
      <c r="R3" s="23" t="s">
        <v>96</v>
      </c>
      <c r="S3" s="23" t="s">
        <v>98</v>
      </c>
      <c r="T3" s="20" t="s">
        <v>99</v>
      </c>
      <c r="U3" s="23" t="s">
        <v>101</v>
      </c>
      <c r="V3" s="24" t="s">
        <v>105</v>
      </c>
      <c r="W3" s="24" t="s">
        <v>107</v>
      </c>
      <c r="X3" s="24" t="s">
        <v>109</v>
      </c>
      <c r="Y3" s="24" t="s">
        <v>111</v>
      </c>
      <c r="Z3" s="24" t="s">
        <v>113</v>
      </c>
      <c r="AA3" s="24" t="s">
        <v>115</v>
      </c>
      <c r="AB3" s="24" t="s">
        <v>117</v>
      </c>
      <c r="AC3" s="24" t="s">
        <v>118</v>
      </c>
      <c r="AD3" s="24" t="s">
        <v>120</v>
      </c>
      <c r="AE3" s="24" t="s">
        <v>122</v>
      </c>
      <c r="AF3" s="24" t="s">
        <v>124</v>
      </c>
      <c r="AG3" s="24" t="s">
        <v>126</v>
      </c>
      <c r="AH3" s="24" t="s">
        <v>127</v>
      </c>
      <c r="AI3" s="24" t="s">
        <v>131</v>
      </c>
      <c r="AJ3" s="24" t="s">
        <v>134</v>
      </c>
      <c r="AK3" s="24" t="s">
        <v>136</v>
      </c>
      <c r="AL3" s="24" t="s">
        <v>138</v>
      </c>
      <c r="AM3" s="24" t="s">
        <v>140</v>
      </c>
      <c r="AN3" s="24" t="s">
        <v>142</v>
      </c>
    </row>
    <row r="4" spans="1:40" ht="15" x14ac:dyDescent="0.25">
      <c r="A4" t="s">
        <v>212</v>
      </c>
      <c r="B4" s="38">
        <v>12442521524</v>
      </c>
      <c r="C4" s="38">
        <v>396432108</v>
      </c>
      <c r="D4" s="39">
        <v>44252.73746527778</v>
      </c>
      <c r="E4" s="39">
        <v>44252.742881944447</v>
      </c>
      <c r="F4" s="38" t="s">
        <v>201</v>
      </c>
      <c r="G4" s="38"/>
      <c r="H4" s="38"/>
      <c r="I4" s="38"/>
      <c r="J4" s="38"/>
      <c r="K4" s="38" t="s">
        <v>202</v>
      </c>
      <c r="L4" s="38" t="s">
        <v>215</v>
      </c>
      <c r="M4" s="31">
        <f>VLOOKUP(L4,FoFsanalysis_new!B:J,2,FALSE)</f>
        <v>17454</v>
      </c>
      <c r="N4" s="31" t="str">
        <f>VLOOKUP(L4,FoFsanalysis_new!B:J,9,FALSE)</f>
        <v>USD</v>
      </c>
      <c r="O4" s="31" t="str">
        <f>VLOOKUP(L4,FoFsanalysis_new!B:J,3,FALSE)</f>
        <v>Core</v>
      </c>
      <c r="P4" s="31" t="str">
        <f>VLOOKUP(L4,FoFsanalysis_new!B:J,4,FALSE)</f>
        <v>Open end</v>
      </c>
      <c r="Q4" s="31">
        <f>VLOOKUP(L4,FoFsanalysis_new!B:J,5,FALSE)</f>
        <v>2010</v>
      </c>
      <c r="R4" s="38" t="s">
        <v>152</v>
      </c>
      <c r="S4" s="38"/>
      <c r="T4" s="38"/>
      <c r="U4" s="38">
        <v>410</v>
      </c>
      <c r="V4" s="38">
        <v>377</v>
      </c>
      <c r="W4" s="38">
        <v>23</v>
      </c>
      <c r="X4" s="38"/>
      <c r="Y4" s="38"/>
      <c r="Z4" s="38"/>
      <c r="AA4" s="38"/>
      <c r="AB4" s="38"/>
      <c r="AC4" s="38">
        <v>10</v>
      </c>
      <c r="AD4" s="38">
        <v>214</v>
      </c>
      <c r="AE4" s="38">
        <v>25</v>
      </c>
      <c r="AF4" s="38">
        <v>57</v>
      </c>
      <c r="AG4" s="38"/>
      <c r="AH4" s="38"/>
      <c r="AI4" s="38"/>
      <c r="AJ4" s="38"/>
      <c r="AK4" s="38">
        <v>100</v>
      </c>
      <c r="AL4" s="38"/>
      <c r="AM4" s="38" t="s">
        <v>151</v>
      </c>
      <c r="AN4" s="38" t="s">
        <v>152</v>
      </c>
    </row>
    <row r="5" spans="1:40" ht="15" x14ac:dyDescent="0.25">
      <c r="A5" t="s">
        <v>212</v>
      </c>
      <c r="B5" s="38">
        <v>12430584227</v>
      </c>
      <c r="C5" s="38">
        <v>396432108</v>
      </c>
      <c r="D5" s="39">
        <v>44249.454768518517</v>
      </c>
      <c r="E5" s="39">
        <v>44249.456736111111</v>
      </c>
      <c r="F5" s="38" t="s">
        <v>216</v>
      </c>
      <c r="G5" s="38"/>
      <c r="H5" s="38"/>
      <c r="I5" s="38"/>
      <c r="J5" s="38"/>
      <c r="K5" s="38" t="s">
        <v>217</v>
      </c>
      <c r="L5" s="38" t="s">
        <v>218</v>
      </c>
      <c r="M5" s="31">
        <f>VLOOKUP(L5,FoFsanalysis_new!B:J,2,FALSE)</f>
        <v>108365</v>
      </c>
      <c r="N5" s="31" t="str">
        <f>VLOOKUP(L5,FoFsanalysis_new!B:J,9,FALSE)</f>
        <v>EUR</v>
      </c>
      <c r="O5" s="31" t="str">
        <f>VLOOKUP(L5,FoFsanalysis_new!B:J,3,FALSE)</f>
        <v>Core</v>
      </c>
      <c r="P5" s="31" t="str">
        <f>VLOOKUP(L5,FoFsanalysis_new!B:J,4,FALSE)</f>
        <v>Closed end</v>
      </c>
      <c r="Q5" s="31">
        <f>VLOOKUP(L5,FoFsanalysis_new!B:J,5,FALSE)</f>
        <v>2020</v>
      </c>
      <c r="R5" s="38" t="s">
        <v>152</v>
      </c>
      <c r="S5" s="38"/>
      <c r="T5" s="38"/>
      <c r="U5" s="38">
        <v>112</v>
      </c>
      <c r="V5" s="38"/>
      <c r="W5" s="38"/>
      <c r="X5" s="38"/>
      <c r="Y5" s="38"/>
      <c r="Z5" s="38"/>
      <c r="AA5" s="38"/>
      <c r="AB5" s="38">
        <v>112</v>
      </c>
      <c r="AC5" s="38"/>
      <c r="AD5" s="38"/>
      <c r="AE5" s="38"/>
      <c r="AF5" s="38">
        <v>112</v>
      </c>
      <c r="AG5" s="38"/>
      <c r="AH5" s="38"/>
      <c r="AI5" s="38"/>
      <c r="AJ5" s="38"/>
      <c r="AK5" s="38">
        <v>100</v>
      </c>
      <c r="AL5" s="38"/>
      <c r="AM5" s="38" t="s">
        <v>151</v>
      </c>
      <c r="AN5" s="38" t="s">
        <v>152</v>
      </c>
    </row>
    <row r="6" spans="1:40" ht="15" x14ac:dyDescent="0.25">
      <c r="A6" t="s">
        <v>212</v>
      </c>
      <c r="B6" s="38">
        <v>12430565314</v>
      </c>
      <c r="C6" s="38">
        <v>396432108</v>
      </c>
      <c r="D6" s="39">
        <v>44249.447847222225</v>
      </c>
      <c r="E6" s="39">
        <v>44249.453738425924</v>
      </c>
      <c r="F6" s="38" t="s">
        <v>216</v>
      </c>
      <c r="G6" s="38"/>
      <c r="H6" s="38"/>
      <c r="I6" s="38"/>
      <c r="J6" s="38"/>
      <c r="K6" s="38" t="s">
        <v>217</v>
      </c>
      <c r="L6" s="38" t="s">
        <v>219</v>
      </c>
      <c r="M6" s="31">
        <f>VLOOKUP(L6,FoFsanalysis_new!B:J,2,FALSE)</f>
        <v>17443</v>
      </c>
      <c r="N6" s="31" t="str">
        <f>VLOOKUP(L6,FoFsanalysis_new!B:J,9,FALSE)</f>
        <v>CHF</v>
      </c>
      <c r="O6" s="31" t="str">
        <f>VLOOKUP(L6,FoFsanalysis_new!B:J,3,FALSE)</f>
        <v>Core</v>
      </c>
      <c r="P6" s="31" t="str">
        <f>VLOOKUP(L6,FoFsanalysis_new!B:J,4,FALSE)</f>
        <v>Open end</v>
      </c>
      <c r="Q6" s="31">
        <f>VLOOKUP(L6,FoFsanalysis_new!B:J,5,FALSE)</f>
        <v>2011</v>
      </c>
      <c r="R6" s="38" t="s">
        <v>152</v>
      </c>
      <c r="S6" s="38"/>
      <c r="T6" s="38"/>
      <c r="U6" s="38">
        <v>184</v>
      </c>
      <c r="V6" s="38">
        <v>184</v>
      </c>
      <c r="W6" s="38"/>
      <c r="X6" s="38"/>
      <c r="Y6" s="38"/>
      <c r="Z6" s="38"/>
      <c r="AA6" s="38"/>
      <c r="AB6" s="38"/>
      <c r="AC6" s="38"/>
      <c r="AD6" s="38">
        <v>184</v>
      </c>
      <c r="AE6" s="38"/>
      <c r="AF6" s="38"/>
      <c r="AG6" s="38"/>
      <c r="AH6" s="38"/>
      <c r="AI6" s="38"/>
      <c r="AJ6" s="38"/>
      <c r="AK6" s="38">
        <v>100</v>
      </c>
      <c r="AL6" s="38"/>
      <c r="AM6" s="38" t="s">
        <v>151</v>
      </c>
      <c r="AN6" s="38" t="s">
        <v>152</v>
      </c>
    </row>
    <row r="7" spans="1:40" ht="15" x14ac:dyDescent="0.25">
      <c r="A7" t="s">
        <v>212</v>
      </c>
      <c r="B7" s="38">
        <v>12430447731</v>
      </c>
      <c r="C7" s="38">
        <v>396432108</v>
      </c>
      <c r="D7" s="39">
        <v>44249.403634259259</v>
      </c>
      <c r="E7" s="39">
        <v>44249.410937499997</v>
      </c>
      <c r="F7" s="38" t="s">
        <v>220</v>
      </c>
      <c r="G7" s="38"/>
      <c r="H7" s="38"/>
      <c r="I7" s="38"/>
      <c r="J7" s="38"/>
      <c r="K7" s="38" t="s">
        <v>221</v>
      </c>
      <c r="L7" s="38" t="s">
        <v>222</v>
      </c>
      <c r="M7" s="31">
        <f>VLOOKUP(L7,FoFsanalysis_new!B:J,2,FALSE)</f>
        <v>114441</v>
      </c>
      <c r="N7" s="31" t="str">
        <f>VLOOKUP(L7,FoFsanalysis_new!B:J,9,FALSE)</f>
        <v>EUR</v>
      </c>
      <c r="O7" s="31" t="str">
        <f>VLOOKUP(L7,FoFsanalysis_new!B:J,3,FALSE)</f>
        <v>Core</v>
      </c>
      <c r="P7" s="31" t="str">
        <f>VLOOKUP(L7,FoFsanalysis_new!B:J,4,FALSE)</f>
        <v>Closed end</v>
      </c>
      <c r="Q7" s="31">
        <f>VLOOKUP(L7,FoFsanalysis_new!B:J,5,FALSE)</f>
        <v>2020</v>
      </c>
      <c r="R7" s="38" t="s">
        <v>152</v>
      </c>
      <c r="S7" s="38"/>
      <c r="T7" s="38"/>
      <c r="U7" s="38">
        <v>225</v>
      </c>
      <c r="V7" s="38">
        <v>71</v>
      </c>
      <c r="W7" s="38">
        <v>25</v>
      </c>
      <c r="X7" s="38"/>
      <c r="Y7" s="38"/>
      <c r="Z7" s="38">
        <v>2</v>
      </c>
      <c r="AA7" s="38"/>
      <c r="AB7" s="38"/>
      <c r="AC7" s="38">
        <v>127</v>
      </c>
      <c r="AD7" s="38">
        <v>225</v>
      </c>
      <c r="AE7" s="38"/>
      <c r="AF7" s="38"/>
      <c r="AG7" s="38"/>
      <c r="AH7" s="38"/>
      <c r="AI7" s="38"/>
      <c r="AJ7" s="38"/>
      <c r="AK7" s="38">
        <v>100</v>
      </c>
      <c r="AL7" s="38"/>
      <c r="AM7" s="38" t="s">
        <v>169</v>
      </c>
      <c r="AN7" s="38" t="s">
        <v>152</v>
      </c>
    </row>
    <row r="8" spans="1:40" ht="15" x14ac:dyDescent="0.25">
      <c r="A8" t="s">
        <v>212</v>
      </c>
      <c r="B8" s="38">
        <v>12430404159</v>
      </c>
      <c r="C8" s="38">
        <v>396432108</v>
      </c>
      <c r="D8" s="39">
        <v>44249.388078703705</v>
      </c>
      <c r="E8" s="39">
        <v>44249.390902777777</v>
      </c>
      <c r="F8" s="38" t="s">
        <v>223</v>
      </c>
      <c r="G8" s="38"/>
      <c r="H8" s="38"/>
      <c r="I8" s="38"/>
      <c r="J8" s="38"/>
      <c r="K8" s="38" t="s">
        <v>217</v>
      </c>
      <c r="L8" s="38" t="s">
        <v>224</v>
      </c>
      <c r="M8" s="31">
        <f>VLOOKUP(L8,FoFsanalysis_new!B:J,2,FALSE)</f>
        <v>17439</v>
      </c>
      <c r="N8" s="31" t="str">
        <f>VLOOKUP(L8,FoFsanalysis_new!B:J,9,FALSE)</f>
        <v>EUR</v>
      </c>
      <c r="O8" s="31" t="str">
        <f>VLOOKUP(L8,FoFsanalysis_new!B:J,3,FALSE)</f>
        <v>Core</v>
      </c>
      <c r="P8" s="31" t="str">
        <f>VLOOKUP(L8,FoFsanalysis_new!B:J,4,FALSE)</f>
        <v>Open end</v>
      </c>
      <c r="Q8" s="31">
        <f>VLOOKUP(L8,FoFsanalysis_new!B:J,5,FALSE)</f>
        <v>2008</v>
      </c>
      <c r="R8" s="38" t="s">
        <v>152</v>
      </c>
      <c r="S8" s="38"/>
      <c r="T8" s="38"/>
      <c r="U8" s="38">
        <v>857</v>
      </c>
      <c r="V8" s="38">
        <v>241</v>
      </c>
      <c r="W8" s="38">
        <v>116</v>
      </c>
      <c r="X8" s="38"/>
      <c r="Y8" s="38">
        <v>7</v>
      </c>
      <c r="Z8" s="38">
        <v>41</v>
      </c>
      <c r="AA8" s="38">
        <v>32</v>
      </c>
      <c r="AB8" s="38">
        <v>263</v>
      </c>
      <c r="AC8" s="38">
        <v>158</v>
      </c>
      <c r="AD8" s="38">
        <v>465</v>
      </c>
      <c r="AE8" s="38">
        <v>297</v>
      </c>
      <c r="AF8" s="38">
        <v>63</v>
      </c>
      <c r="AG8" s="38">
        <v>28</v>
      </c>
      <c r="AH8" s="38">
        <v>4</v>
      </c>
      <c r="AI8" s="38"/>
      <c r="AJ8" s="38"/>
      <c r="AK8" s="38">
        <v>100</v>
      </c>
      <c r="AL8" s="38"/>
      <c r="AM8" s="38" t="s">
        <v>151</v>
      </c>
      <c r="AN8" s="38" t="s">
        <v>152</v>
      </c>
    </row>
    <row r="9" spans="1:40" ht="15" x14ac:dyDescent="0.25">
      <c r="A9" t="s">
        <v>212</v>
      </c>
      <c r="B9" s="38">
        <v>12430396008</v>
      </c>
      <c r="C9" s="38">
        <v>396432108</v>
      </c>
      <c r="D9" s="39">
        <v>44249.374363425923</v>
      </c>
      <c r="E9" s="39">
        <v>44249.38658564815</v>
      </c>
      <c r="F9" s="38" t="s">
        <v>223</v>
      </c>
      <c r="G9" s="38"/>
      <c r="H9" s="38"/>
      <c r="I9" s="38"/>
      <c r="J9" s="38"/>
      <c r="K9" s="38" t="s">
        <v>225</v>
      </c>
      <c r="L9" s="38" t="s">
        <v>226</v>
      </c>
      <c r="M9" s="31">
        <f>VLOOKUP(L9,FoFsanalysis_new!B:J,2,FALSE)</f>
        <v>17456</v>
      </c>
      <c r="N9" s="31" t="str">
        <f>VLOOKUP(L9,FoFsanalysis_new!B:J,9,FALSE)</f>
        <v>CAD</v>
      </c>
      <c r="O9" s="31" t="str">
        <f>VLOOKUP(L9,FoFsanalysis_new!B:J,3,FALSE)</f>
        <v>Core</v>
      </c>
      <c r="P9" s="31" t="str">
        <f>VLOOKUP(L9,FoFsanalysis_new!B:J,4,FALSE)</f>
        <v>Open end</v>
      </c>
      <c r="Q9" s="31">
        <f>VLOOKUP(L9,FoFsanalysis_new!B:J,5,FALSE)</f>
        <v>2011</v>
      </c>
      <c r="R9" s="38" t="s">
        <v>152</v>
      </c>
      <c r="S9" s="38"/>
      <c r="T9" s="38"/>
      <c r="U9" s="38">
        <v>147</v>
      </c>
      <c r="V9" s="38">
        <v>147</v>
      </c>
      <c r="W9" s="38"/>
      <c r="X9" s="38"/>
      <c r="Y9" s="38"/>
      <c r="Z9" s="38"/>
      <c r="AA9" s="38"/>
      <c r="AB9" s="38"/>
      <c r="AC9" s="38"/>
      <c r="AD9" s="38"/>
      <c r="AE9" s="38"/>
      <c r="AF9" s="38">
        <v>147</v>
      </c>
      <c r="AG9" s="38"/>
      <c r="AH9" s="38"/>
      <c r="AI9" s="38"/>
      <c r="AJ9" s="38"/>
      <c r="AK9" s="38">
        <v>100</v>
      </c>
      <c r="AL9" s="38"/>
      <c r="AM9" s="38" t="s">
        <v>151</v>
      </c>
      <c r="AN9" s="38" t="s">
        <v>152</v>
      </c>
    </row>
    <row r="10" spans="1:40" ht="15" x14ac:dyDescent="0.25">
      <c r="A10" t="s">
        <v>213</v>
      </c>
      <c r="B10" s="38">
        <v>12430362065</v>
      </c>
      <c r="C10" s="38">
        <v>396432108</v>
      </c>
      <c r="D10" s="39">
        <v>44249.369398148148</v>
      </c>
      <c r="E10" s="39">
        <v>44249.373032407406</v>
      </c>
      <c r="F10" s="38" t="s">
        <v>223</v>
      </c>
      <c r="G10" s="38"/>
      <c r="H10" s="38"/>
      <c r="I10" s="38"/>
      <c r="J10" s="38"/>
      <c r="K10" s="38" t="s">
        <v>217</v>
      </c>
      <c r="L10" s="38" t="s">
        <v>227</v>
      </c>
      <c r="M10" s="31" t="e">
        <f>VLOOKUP(L10,FoFsanalysis_new!B:J,2,FALSE)</f>
        <v>#N/A</v>
      </c>
      <c r="N10" s="31" t="e">
        <f>VLOOKUP(L10,FoFsanalysis_new!B:J,9,FALSE)</f>
        <v>#N/A</v>
      </c>
      <c r="O10" s="31" t="e">
        <f>VLOOKUP(L10,FoFsanalysis_new!B:J,3,FALSE)</f>
        <v>#N/A</v>
      </c>
      <c r="P10" s="31" t="e">
        <f>VLOOKUP(L10,FoFsanalysis_new!B:J,4,FALSE)</f>
        <v>#N/A</v>
      </c>
      <c r="Q10" s="31" t="e">
        <f>VLOOKUP(L10,FoFsanalysis_new!B:J,5,FALSE)</f>
        <v>#N/A</v>
      </c>
      <c r="R10" s="38" t="s">
        <v>152</v>
      </c>
      <c r="S10" s="38"/>
      <c r="T10" s="38"/>
      <c r="U10" s="38">
        <v>86</v>
      </c>
      <c r="V10" s="38"/>
      <c r="W10" s="38"/>
      <c r="X10" s="38"/>
      <c r="Y10" s="38"/>
      <c r="Z10" s="38"/>
      <c r="AA10" s="38"/>
      <c r="AB10" s="38"/>
      <c r="AC10" s="38">
        <v>86</v>
      </c>
      <c r="AD10" s="38"/>
      <c r="AE10" s="38">
        <v>86</v>
      </c>
      <c r="AF10" s="38"/>
      <c r="AG10" s="38"/>
      <c r="AH10" s="38"/>
      <c r="AI10" s="38"/>
      <c r="AJ10" s="38"/>
      <c r="AK10" s="38">
        <v>100</v>
      </c>
      <c r="AL10" s="38"/>
      <c r="AM10" s="38" t="s">
        <v>151</v>
      </c>
      <c r="AN10" s="38" t="s">
        <v>152</v>
      </c>
    </row>
    <row r="11" spans="1:40" ht="15" x14ac:dyDescent="0.25">
      <c r="A11" t="s">
        <v>212</v>
      </c>
      <c r="B11" s="38">
        <v>12425174742</v>
      </c>
      <c r="C11" s="38">
        <v>396432108</v>
      </c>
      <c r="D11" s="39">
        <v>44246.877395833333</v>
      </c>
      <c r="E11" s="39">
        <v>44246.880162037036</v>
      </c>
      <c r="F11" s="38" t="s">
        <v>228</v>
      </c>
      <c r="G11" s="38"/>
      <c r="H11" s="38"/>
      <c r="I11" s="38"/>
      <c r="J11" s="38"/>
      <c r="K11" s="38" t="s">
        <v>229</v>
      </c>
      <c r="L11" s="38" t="s">
        <v>230</v>
      </c>
      <c r="M11" s="31">
        <f>VLOOKUP(L11,FoFsanalysis_new!B:J,2,FALSE)</f>
        <v>10000001</v>
      </c>
      <c r="N11" s="31" t="str">
        <f>VLOOKUP(L11,FoFsanalysis_new!B:J,9,FALSE)</f>
        <v>GBP</v>
      </c>
      <c r="O11" s="31" t="str">
        <f>VLOOKUP(L11,FoFsanalysis_new!B:J,3,FALSE)</f>
        <v>Core</v>
      </c>
      <c r="P11" s="31" t="str">
        <f>VLOOKUP(L11,FoFsanalysis_new!B:J,4,FALSE)</f>
        <v>Open end</v>
      </c>
      <c r="Q11" s="31">
        <f>VLOOKUP(L11,FoFsanalysis_new!B:J,5,FALSE)</f>
        <v>2020</v>
      </c>
      <c r="R11" s="38" t="s">
        <v>152</v>
      </c>
      <c r="S11" s="38"/>
      <c r="T11" s="38"/>
      <c r="U11" s="38">
        <v>320</v>
      </c>
      <c r="V11" s="38">
        <v>295</v>
      </c>
      <c r="W11" s="38"/>
      <c r="X11" s="38"/>
      <c r="Y11" s="38"/>
      <c r="Z11" s="38"/>
      <c r="AA11" s="38"/>
      <c r="AB11" s="38"/>
      <c r="AC11" s="38">
        <v>25</v>
      </c>
      <c r="AD11" s="38">
        <v>295</v>
      </c>
      <c r="AE11" s="38"/>
      <c r="AF11" s="38">
        <v>25</v>
      </c>
      <c r="AG11" s="38"/>
      <c r="AH11" s="38"/>
      <c r="AI11" s="38"/>
      <c r="AJ11" s="38"/>
      <c r="AK11" s="38">
        <v>100</v>
      </c>
      <c r="AL11" s="38"/>
      <c r="AM11" s="38" t="s">
        <v>151</v>
      </c>
      <c r="AN11" s="38" t="s">
        <v>152</v>
      </c>
    </row>
    <row r="12" spans="1:40" ht="15" x14ac:dyDescent="0.25">
      <c r="A12" t="s">
        <v>212</v>
      </c>
      <c r="B12" s="38">
        <v>12424163694</v>
      </c>
      <c r="C12" s="38">
        <v>396432108</v>
      </c>
      <c r="D12" s="39">
        <v>44246.66306712963</v>
      </c>
      <c r="E12" s="39">
        <v>44246.667754629627</v>
      </c>
      <c r="F12" s="38" t="s">
        <v>231</v>
      </c>
      <c r="G12" s="38"/>
      <c r="H12" s="38"/>
      <c r="I12" s="38"/>
      <c r="J12" s="38"/>
      <c r="K12" s="38" t="s">
        <v>232</v>
      </c>
      <c r="L12" s="38" t="s">
        <v>233</v>
      </c>
      <c r="M12" s="31">
        <f>VLOOKUP(L12,FoFsanalysis_new!B:J,2,FALSE)</f>
        <v>19261</v>
      </c>
      <c r="N12" s="31" t="str">
        <f>VLOOKUP(L12,FoFsanalysis_new!B:J,9,FALSE)</f>
        <v>CHF</v>
      </c>
      <c r="O12" s="31" t="str">
        <f>VLOOKUP(L12,FoFsanalysis_new!B:J,3,FALSE)</f>
        <v>Core</v>
      </c>
      <c r="P12" s="31" t="str">
        <f>VLOOKUP(L12,FoFsanalysis_new!B:J,4,FALSE)</f>
        <v>Open end</v>
      </c>
      <c r="Q12" s="31">
        <f>VLOOKUP(L12,FoFsanalysis_new!B:J,5,FALSE)</f>
        <v>2017</v>
      </c>
      <c r="R12" s="38" t="s">
        <v>152</v>
      </c>
      <c r="S12" s="38"/>
      <c r="T12" s="38"/>
      <c r="U12" s="38">
        <v>20</v>
      </c>
      <c r="V12" s="38">
        <v>20</v>
      </c>
      <c r="W12" s="38"/>
      <c r="X12" s="38"/>
      <c r="Y12" s="38"/>
      <c r="Z12" s="38"/>
      <c r="AA12" s="38"/>
      <c r="AB12" s="38"/>
      <c r="AC12" s="38"/>
      <c r="AD12" s="38">
        <v>20</v>
      </c>
      <c r="AE12" s="38"/>
      <c r="AF12" s="38"/>
      <c r="AG12" s="38"/>
      <c r="AH12" s="38"/>
      <c r="AI12" s="38"/>
      <c r="AJ12" s="38"/>
      <c r="AK12" s="38">
        <v>100</v>
      </c>
      <c r="AL12" s="38"/>
      <c r="AM12" s="38" t="s">
        <v>151</v>
      </c>
      <c r="AN12" s="38" t="s">
        <v>152</v>
      </c>
    </row>
    <row r="13" spans="1:40" ht="15" x14ac:dyDescent="0.25">
      <c r="A13" t="s">
        <v>212</v>
      </c>
      <c r="B13" s="38">
        <v>12358461622</v>
      </c>
      <c r="C13" s="38">
        <v>396432108</v>
      </c>
      <c r="D13" s="39">
        <v>44223.473263888889</v>
      </c>
      <c r="E13" s="39">
        <v>44223.478993055556</v>
      </c>
      <c r="F13" s="38" t="s">
        <v>234</v>
      </c>
      <c r="G13" s="38"/>
      <c r="H13" s="38"/>
      <c r="I13" s="38"/>
      <c r="J13" s="38"/>
      <c r="K13" s="38" t="s">
        <v>235</v>
      </c>
      <c r="L13" s="38" t="s">
        <v>236</v>
      </c>
      <c r="M13" s="31">
        <f>VLOOKUP(L13,FoFsanalysis_new!B:J,2,FALSE)</f>
        <v>65040</v>
      </c>
      <c r="N13" s="31" t="str">
        <f>VLOOKUP(L13,FoFsanalysis_new!B:J,9,FALSE)</f>
        <v>EUR</v>
      </c>
      <c r="O13" s="31" t="str">
        <f>VLOOKUP(L13,FoFsanalysis_new!B:J,3,FALSE)</f>
        <v>Opportunity</v>
      </c>
      <c r="P13" s="31" t="str">
        <f>VLOOKUP(L13,FoFsanalysis_new!B:J,4,FALSE)</f>
        <v>Closed end</v>
      </c>
      <c r="Q13" s="31">
        <f>VLOOKUP(L13,FoFsanalysis_new!B:J,5,FALSE)</f>
        <v>2019</v>
      </c>
      <c r="R13" s="38" t="s">
        <v>152</v>
      </c>
      <c r="S13" s="38"/>
      <c r="T13" s="38"/>
      <c r="U13" s="38">
        <v>10</v>
      </c>
      <c r="V13" s="38"/>
      <c r="W13" s="38"/>
      <c r="X13" s="38"/>
      <c r="Y13" s="38"/>
      <c r="Z13" s="38">
        <v>10</v>
      </c>
      <c r="AA13" s="38"/>
      <c r="AB13" s="38"/>
      <c r="AC13" s="38"/>
      <c r="AD13" s="38">
        <v>10</v>
      </c>
      <c r="AE13" s="38"/>
      <c r="AF13" s="38"/>
      <c r="AG13" s="38"/>
      <c r="AH13" s="38"/>
      <c r="AI13" s="38"/>
      <c r="AJ13" s="38">
        <v>100</v>
      </c>
      <c r="AK13" s="38"/>
      <c r="AL13" s="38"/>
      <c r="AM13" s="38" t="s">
        <v>151</v>
      </c>
      <c r="AN13" s="38" t="s">
        <v>152</v>
      </c>
    </row>
    <row r="14" spans="1:40" ht="15" x14ac:dyDescent="0.25">
      <c r="A14" t="s">
        <v>212</v>
      </c>
      <c r="B14" s="38">
        <v>12351696423</v>
      </c>
      <c r="C14" s="38">
        <v>396432108</v>
      </c>
      <c r="D14" s="39">
        <v>44221.546898148146</v>
      </c>
      <c r="E14" s="39">
        <v>44221.548263888886</v>
      </c>
      <c r="F14" s="38" t="s">
        <v>237</v>
      </c>
      <c r="G14" s="38"/>
      <c r="H14" s="38"/>
      <c r="I14" s="38"/>
      <c r="J14" s="38"/>
      <c r="K14" s="38" t="s">
        <v>238</v>
      </c>
      <c r="L14" s="38" t="s">
        <v>239</v>
      </c>
      <c r="M14" s="31">
        <f>VLOOKUP(L14,FoFsanalysis_new!B:J,2,FALSE)</f>
        <v>105127</v>
      </c>
      <c r="N14" s="31" t="str">
        <f>VLOOKUP(L14,FoFsanalysis_new!B:J,9,FALSE)</f>
        <v>EUR</v>
      </c>
      <c r="O14" s="31" t="str">
        <f>VLOOKUP(L14,FoFsanalysis_new!B:J,3,FALSE)</f>
        <v>Opportunity</v>
      </c>
      <c r="P14" s="31" t="str">
        <f>VLOOKUP(L14,FoFsanalysis_new!B:J,4,FALSE)</f>
        <v>Closed end</v>
      </c>
      <c r="Q14" s="31">
        <f>VLOOKUP(L14,FoFsanalysis_new!B:J,5,FALSE)</f>
        <v>2018</v>
      </c>
      <c r="R14" s="38" t="s">
        <v>170</v>
      </c>
      <c r="S14" s="38" t="s">
        <v>9</v>
      </c>
      <c r="T14" s="38" t="s">
        <v>240</v>
      </c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 t="s">
        <v>188</v>
      </c>
      <c r="AN14" s="38" t="s">
        <v>152</v>
      </c>
    </row>
    <row r="15" spans="1:40" ht="15" x14ac:dyDescent="0.25">
      <c r="A15" t="s">
        <v>213</v>
      </c>
      <c r="B15" s="38">
        <v>12351684281</v>
      </c>
      <c r="C15" s="38">
        <v>396432108</v>
      </c>
      <c r="D15" s="39">
        <v>44221.543090277781</v>
      </c>
      <c r="E15" s="39">
        <v>44221.543888888889</v>
      </c>
      <c r="F15" s="38" t="s">
        <v>237</v>
      </c>
      <c r="G15" s="38"/>
      <c r="H15" s="38"/>
      <c r="I15" s="38"/>
      <c r="J15" s="38"/>
      <c r="K15" s="38" t="s">
        <v>241</v>
      </c>
      <c r="L15" s="38" t="s">
        <v>239</v>
      </c>
      <c r="M15" s="31">
        <f>VLOOKUP(L15,FoFsanalysis_new!B:J,2,FALSE)</f>
        <v>105127</v>
      </c>
      <c r="N15" s="31" t="str">
        <f>VLOOKUP(L15,FoFsanalysis_new!B:J,9,FALSE)</f>
        <v>EUR</v>
      </c>
      <c r="O15" s="31" t="str">
        <f>VLOOKUP(L15,FoFsanalysis_new!B:J,3,FALSE)</f>
        <v>Opportunity</v>
      </c>
      <c r="P15" s="31" t="str">
        <f>VLOOKUP(L15,FoFsanalysis_new!B:J,4,FALSE)</f>
        <v>Closed end</v>
      </c>
      <c r="Q15" s="31">
        <f>VLOOKUP(L15,FoFsanalysis_new!B:J,5,FALSE)</f>
        <v>2018</v>
      </c>
      <c r="R15" s="38" t="s">
        <v>152</v>
      </c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</row>
    <row r="16" spans="1:40" ht="15" x14ac:dyDescent="0.25">
      <c r="A16" t="s">
        <v>212</v>
      </c>
      <c r="B16" s="38">
        <v>12351414425</v>
      </c>
      <c r="C16" s="38">
        <v>396432108</v>
      </c>
      <c r="D16" s="39">
        <v>44221.447905092595</v>
      </c>
      <c r="E16" s="39">
        <v>44221.453032407408</v>
      </c>
      <c r="F16" s="38" t="s">
        <v>242</v>
      </c>
      <c r="G16" s="38"/>
      <c r="H16" s="38"/>
      <c r="I16" s="38"/>
      <c r="J16" s="38"/>
      <c r="K16" s="38" t="s">
        <v>243</v>
      </c>
      <c r="L16" s="38" t="s">
        <v>244</v>
      </c>
      <c r="M16" s="31">
        <f>VLOOKUP(L16,FoFsanalysis_new!B:J,2,FALSE)</f>
        <v>17629</v>
      </c>
      <c r="N16" s="31" t="str">
        <f>VLOOKUP(L16,FoFsanalysis_new!B:J,9,FALSE)</f>
        <v>EUR</v>
      </c>
      <c r="O16" s="31" t="str">
        <f>VLOOKUP(L16,FoFsanalysis_new!B:J,3,FALSE)</f>
        <v>Core</v>
      </c>
      <c r="P16" s="31" t="str">
        <f>VLOOKUP(L16,FoFsanalysis_new!B:J,4,FALSE)</f>
        <v>Open end</v>
      </c>
      <c r="Q16" s="31">
        <f>VLOOKUP(L16,FoFsanalysis_new!B:J,5,FALSE)</f>
        <v>2012</v>
      </c>
      <c r="R16" s="38" t="s">
        <v>152</v>
      </c>
      <c r="S16" s="38"/>
      <c r="T16" s="38"/>
      <c r="U16" s="38">
        <v>188</v>
      </c>
      <c r="V16" s="38"/>
      <c r="W16" s="38"/>
      <c r="X16" s="38"/>
      <c r="Y16" s="38"/>
      <c r="Z16" s="38"/>
      <c r="AA16" s="38"/>
      <c r="AB16" s="38"/>
      <c r="AC16" s="38">
        <v>188</v>
      </c>
      <c r="AD16" s="38">
        <v>188</v>
      </c>
      <c r="AE16" s="38"/>
      <c r="AF16" s="38"/>
      <c r="AG16" s="38"/>
      <c r="AH16" s="38"/>
      <c r="AI16" s="38"/>
      <c r="AJ16" s="38">
        <v>100</v>
      </c>
      <c r="AK16" s="38"/>
      <c r="AL16" s="38"/>
      <c r="AM16" s="38" t="s">
        <v>169</v>
      </c>
      <c r="AN16" s="38" t="s">
        <v>170</v>
      </c>
    </row>
    <row r="17" spans="13:13" ht="15" x14ac:dyDescent="0.25">
      <c r="M17" s="31"/>
    </row>
  </sheetData>
  <autoFilter ref="A3:AN16" xr:uid="{AEAE422D-8B19-46B6-9883-B2B276D742A2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8BD7-5911-4586-AA54-3D2B2A31D90F}">
  <sheetPr>
    <tabColor rgb="FFC6A1CF"/>
  </sheetPr>
  <dimension ref="A1:AI122"/>
  <sheetViews>
    <sheetView topLeftCell="L1" workbookViewId="0">
      <selection activeCell="N14" sqref="N14"/>
    </sheetView>
  </sheetViews>
  <sheetFormatPr defaultRowHeight="12.75" x14ac:dyDescent="0.2"/>
  <cols>
    <col min="10" max="10" width="42.85546875" bestFit="1" customWidth="1"/>
    <col min="14" max="14" width="29" bestFit="1" customWidth="1"/>
  </cols>
  <sheetData>
    <row r="1" spans="1:35" ht="14.25" x14ac:dyDescent="0.2">
      <c r="A1" s="25" t="s">
        <v>67</v>
      </c>
      <c r="B1" s="25" t="s">
        <v>70</v>
      </c>
      <c r="C1" s="25" t="s">
        <v>72</v>
      </c>
      <c r="D1" s="25" t="s">
        <v>74</v>
      </c>
      <c r="E1" s="25" t="s">
        <v>76</v>
      </c>
      <c r="F1" s="25" t="s">
        <v>78</v>
      </c>
      <c r="G1" s="25" t="s">
        <v>80</v>
      </c>
      <c r="H1" s="25" t="s">
        <v>82</v>
      </c>
      <c r="I1" s="25" t="s">
        <v>84</v>
      </c>
      <c r="J1" s="25" t="s">
        <v>32</v>
      </c>
      <c r="K1" s="25" t="s">
        <v>153</v>
      </c>
      <c r="L1" s="25" t="s">
        <v>245</v>
      </c>
      <c r="M1" s="25" t="s">
        <v>154</v>
      </c>
      <c r="N1" s="25" t="s">
        <v>147</v>
      </c>
      <c r="O1" s="25"/>
      <c r="P1" s="25" t="s">
        <v>156</v>
      </c>
      <c r="Q1" s="25" t="s">
        <v>246</v>
      </c>
      <c r="R1" s="25"/>
      <c r="S1" s="25"/>
      <c r="T1" s="25"/>
      <c r="U1" s="25"/>
      <c r="V1" s="25"/>
      <c r="W1" s="25"/>
      <c r="X1" s="25"/>
      <c r="Y1" s="25" t="s">
        <v>247</v>
      </c>
      <c r="Z1" s="25"/>
      <c r="AA1" s="25"/>
      <c r="AB1" s="25"/>
      <c r="AC1" s="25"/>
      <c r="AD1" s="25" t="s">
        <v>128</v>
      </c>
      <c r="AE1" s="25"/>
      <c r="AF1" s="25"/>
      <c r="AG1" s="25"/>
      <c r="AH1" s="25" t="s">
        <v>139</v>
      </c>
      <c r="AI1" s="25" t="s">
        <v>141</v>
      </c>
    </row>
    <row r="2" spans="1:35" ht="14.25" x14ac:dyDescent="0.2">
      <c r="A2" s="25"/>
      <c r="B2" s="25"/>
      <c r="C2" s="25"/>
      <c r="D2" s="25"/>
      <c r="E2" s="25"/>
      <c r="F2" s="25"/>
      <c r="G2" s="25"/>
      <c r="H2" s="25"/>
      <c r="I2" s="25"/>
      <c r="J2" s="25" t="s">
        <v>86</v>
      </c>
      <c r="K2" s="25" t="s">
        <v>86</v>
      </c>
      <c r="L2" s="25" t="s">
        <v>97</v>
      </c>
      <c r="M2" s="25" t="s">
        <v>97</v>
      </c>
      <c r="N2" s="25" t="s">
        <v>97</v>
      </c>
      <c r="O2" s="25" t="s">
        <v>9</v>
      </c>
      <c r="P2" s="25" t="s">
        <v>86</v>
      </c>
      <c r="Q2" s="25" t="s">
        <v>104</v>
      </c>
      <c r="R2" s="25" t="s">
        <v>106</v>
      </c>
      <c r="S2" s="25" t="s">
        <v>148</v>
      </c>
      <c r="T2" s="25" t="s">
        <v>110</v>
      </c>
      <c r="U2" s="25" t="s">
        <v>112</v>
      </c>
      <c r="V2" s="25" t="s">
        <v>114</v>
      </c>
      <c r="W2" s="25" t="s">
        <v>149</v>
      </c>
      <c r="X2" s="25" t="s">
        <v>20</v>
      </c>
      <c r="Y2" s="25" t="s">
        <v>21</v>
      </c>
      <c r="Z2" s="25" t="s">
        <v>121</v>
      </c>
      <c r="AA2" s="25" t="s">
        <v>123</v>
      </c>
      <c r="AB2" s="25" t="s">
        <v>125</v>
      </c>
      <c r="AC2" s="25" t="s">
        <v>25</v>
      </c>
      <c r="AD2" s="25" t="s">
        <v>130</v>
      </c>
      <c r="AE2" s="25" t="s">
        <v>133</v>
      </c>
      <c r="AF2" s="25" t="s">
        <v>135</v>
      </c>
      <c r="AG2" s="25" t="s">
        <v>137</v>
      </c>
      <c r="AH2" s="25" t="s">
        <v>97</v>
      </c>
      <c r="AI2" s="25" t="s">
        <v>97</v>
      </c>
    </row>
    <row r="3" spans="1:35" x14ac:dyDescent="0.2">
      <c r="A3">
        <v>12446803914</v>
      </c>
      <c r="B3">
        <v>396431383</v>
      </c>
      <c r="C3" s="28">
        <v>44253.952233796299</v>
      </c>
      <c r="D3" s="28">
        <v>44253.953043981484</v>
      </c>
      <c r="E3" t="s">
        <v>159</v>
      </c>
      <c r="J3" t="s">
        <v>160</v>
      </c>
      <c r="K3" t="s">
        <v>248</v>
      </c>
      <c r="L3" t="s">
        <v>249</v>
      </c>
      <c r="M3" t="s">
        <v>152</v>
      </c>
      <c r="P3">
        <v>63</v>
      </c>
      <c r="Q3">
        <v>11</v>
      </c>
      <c r="R3">
        <v>52</v>
      </c>
      <c r="Y3">
        <v>63</v>
      </c>
      <c r="AD3">
        <v>72</v>
      </c>
      <c r="AF3">
        <v>28</v>
      </c>
      <c r="AH3" t="s">
        <v>151</v>
      </c>
      <c r="AI3" t="s">
        <v>152</v>
      </c>
    </row>
    <row r="4" spans="1:35" x14ac:dyDescent="0.2">
      <c r="A4">
        <v>12446799231</v>
      </c>
      <c r="B4">
        <v>396431383</v>
      </c>
      <c r="C4" s="28">
        <v>44253.951041666667</v>
      </c>
      <c r="D4" s="28">
        <v>44253.95208333333</v>
      </c>
      <c r="E4" t="s">
        <v>159</v>
      </c>
      <c r="J4" t="s">
        <v>160</v>
      </c>
      <c r="K4" t="s">
        <v>250</v>
      </c>
      <c r="L4" t="s">
        <v>249</v>
      </c>
      <c r="M4" t="s">
        <v>152</v>
      </c>
      <c r="P4">
        <v>133</v>
      </c>
      <c r="Q4">
        <v>28</v>
      </c>
      <c r="R4">
        <v>98</v>
      </c>
      <c r="W4">
        <v>6</v>
      </c>
      <c r="X4">
        <v>1</v>
      </c>
      <c r="Y4">
        <v>49</v>
      </c>
      <c r="AA4">
        <v>78</v>
      </c>
      <c r="AB4">
        <v>6</v>
      </c>
      <c r="AD4">
        <v>16</v>
      </c>
      <c r="AF4">
        <v>84</v>
      </c>
      <c r="AH4" t="s">
        <v>151</v>
      </c>
      <c r="AI4" t="s">
        <v>152</v>
      </c>
    </row>
    <row r="5" spans="1:35" x14ac:dyDescent="0.2">
      <c r="A5">
        <v>12446796582</v>
      </c>
      <c r="B5">
        <v>396431383</v>
      </c>
      <c r="C5" s="28">
        <v>44253.950300925928</v>
      </c>
      <c r="D5" s="28">
        <v>44253.950775462959</v>
      </c>
      <c r="E5" t="s">
        <v>159</v>
      </c>
      <c r="J5" t="s">
        <v>160</v>
      </c>
      <c r="K5" t="s">
        <v>251</v>
      </c>
      <c r="L5" t="s">
        <v>249</v>
      </c>
      <c r="M5" t="s">
        <v>152</v>
      </c>
      <c r="P5">
        <v>185</v>
      </c>
      <c r="Q5">
        <v>185</v>
      </c>
      <c r="Y5">
        <v>185</v>
      </c>
      <c r="AF5">
        <v>100</v>
      </c>
      <c r="AH5" t="s">
        <v>151</v>
      </c>
      <c r="AI5" t="s">
        <v>152</v>
      </c>
    </row>
    <row r="6" spans="1:35" x14ac:dyDescent="0.2">
      <c r="A6">
        <v>12446790894</v>
      </c>
      <c r="B6">
        <v>396431383</v>
      </c>
      <c r="C6" s="28">
        <v>44253.948657407411</v>
      </c>
      <c r="D6" s="28">
        <v>44253.949953703705</v>
      </c>
      <c r="E6" t="s">
        <v>159</v>
      </c>
      <c r="J6" t="s">
        <v>160</v>
      </c>
      <c r="K6" t="s">
        <v>252</v>
      </c>
      <c r="L6" t="s">
        <v>249</v>
      </c>
      <c r="M6" t="s">
        <v>152</v>
      </c>
      <c r="P6">
        <v>319</v>
      </c>
      <c r="Q6">
        <v>274</v>
      </c>
      <c r="R6">
        <v>11</v>
      </c>
      <c r="X6">
        <v>34</v>
      </c>
      <c r="Y6">
        <v>319</v>
      </c>
      <c r="AF6">
        <v>100</v>
      </c>
      <c r="AH6" t="s">
        <v>151</v>
      </c>
      <c r="AI6" t="s">
        <v>152</v>
      </c>
    </row>
    <row r="7" spans="1:35" x14ac:dyDescent="0.2">
      <c r="A7">
        <v>12441747726</v>
      </c>
      <c r="B7">
        <v>396431383</v>
      </c>
      <c r="C7" s="28">
        <v>44252.56559027778</v>
      </c>
      <c r="D7" s="28">
        <v>44252.566342592596</v>
      </c>
      <c r="E7" t="s">
        <v>223</v>
      </c>
      <c r="J7" t="s">
        <v>253</v>
      </c>
      <c r="K7" t="s">
        <v>254</v>
      </c>
      <c r="L7" t="s">
        <v>255</v>
      </c>
      <c r="M7" t="s">
        <v>152</v>
      </c>
      <c r="P7">
        <v>530</v>
      </c>
      <c r="Q7">
        <v>368</v>
      </c>
      <c r="S7">
        <v>150</v>
      </c>
      <c r="X7">
        <v>13</v>
      </c>
      <c r="Y7">
        <v>150</v>
      </c>
      <c r="AA7">
        <v>380</v>
      </c>
      <c r="AF7">
        <v>100</v>
      </c>
      <c r="AH7" t="s">
        <v>151</v>
      </c>
      <c r="AI7" t="s">
        <v>152</v>
      </c>
    </row>
    <row r="8" spans="1:35" x14ac:dyDescent="0.2">
      <c r="A8">
        <v>12441742020</v>
      </c>
      <c r="B8">
        <v>396431383</v>
      </c>
      <c r="C8" s="28">
        <v>44252.562118055554</v>
      </c>
      <c r="D8" s="28">
        <v>44252.565023148149</v>
      </c>
      <c r="E8" t="s">
        <v>223</v>
      </c>
      <c r="J8" t="s">
        <v>253</v>
      </c>
      <c r="K8" t="s">
        <v>256</v>
      </c>
      <c r="L8" t="s">
        <v>249</v>
      </c>
      <c r="M8" t="s">
        <v>152</v>
      </c>
      <c r="P8">
        <v>838</v>
      </c>
      <c r="Q8">
        <v>365</v>
      </c>
      <c r="R8">
        <v>298</v>
      </c>
      <c r="S8">
        <v>70</v>
      </c>
      <c r="U8">
        <v>2</v>
      </c>
      <c r="V8">
        <v>77</v>
      </c>
      <c r="X8">
        <v>26</v>
      </c>
      <c r="Y8">
        <v>532</v>
      </c>
      <c r="Z8">
        <v>90</v>
      </c>
      <c r="AA8">
        <v>216</v>
      </c>
      <c r="AF8">
        <v>100</v>
      </c>
      <c r="AH8" t="s">
        <v>151</v>
      </c>
      <c r="AI8" t="s">
        <v>152</v>
      </c>
    </row>
    <row r="9" spans="1:35" x14ac:dyDescent="0.2">
      <c r="A9">
        <v>12441730305</v>
      </c>
      <c r="B9">
        <v>396431383</v>
      </c>
      <c r="C9" s="28">
        <v>44252.560555555552</v>
      </c>
      <c r="D9" s="28">
        <v>44252.561493055553</v>
      </c>
      <c r="E9" t="s">
        <v>223</v>
      </c>
      <c r="J9" t="s">
        <v>253</v>
      </c>
      <c r="K9" t="s">
        <v>257</v>
      </c>
      <c r="L9" t="s">
        <v>255</v>
      </c>
      <c r="M9" t="s">
        <v>152</v>
      </c>
      <c r="P9">
        <v>136</v>
      </c>
      <c r="Q9">
        <v>30</v>
      </c>
      <c r="R9">
        <v>81</v>
      </c>
      <c r="X9">
        <v>25</v>
      </c>
      <c r="Y9">
        <v>106</v>
      </c>
      <c r="AC9">
        <v>30</v>
      </c>
      <c r="AF9">
        <v>100</v>
      </c>
      <c r="AH9" t="s">
        <v>151</v>
      </c>
      <c r="AI9" t="s">
        <v>152</v>
      </c>
    </row>
    <row r="10" spans="1:35" x14ac:dyDescent="0.2">
      <c r="A10">
        <v>12441726369</v>
      </c>
      <c r="B10">
        <v>396431383</v>
      </c>
      <c r="C10" s="28">
        <v>44252.559386574074</v>
      </c>
      <c r="D10" s="28">
        <v>44252.560023148151</v>
      </c>
      <c r="E10" t="s">
        <v>223</v>
      </c>
      <c r="J10" t="s">
        <v>253</v>
      </c>
      <c r="K10" t="s">
        <v>258</v>
      </c>
      <c r="L10" t="s">
        <v>249</v>
      </c>
      <c r="M10" t="s">
        <v>152</v>
      </c>
      <c r="P10">
        <v>602</v>
      </c>
      <c r="Q10">
        <v>602</v>
      </c>
      <c r="Y10">
        <v>602</v>
      </c>
      <c r="AF10">
        <v>100</v>
      </c>
      <c r="AH10" t="s">
        <v>151</v>
      </c>
      <c r="AI10" t="s">
        <v>152</v>
      </c>
    </row>
    <row r="11" spans="1:35" x14ac:dyDescent="0.2">
      <c r="A11">
        <v>12441723618</v>
      </c>
      <c r="B11">
        <v>396431383</v>
      </c>
      <c r="C11" s="28">
        <v>44252.558472222219</v>
      </c>
      <c r="D11" s="28">
        <v>44252.559305555558</v>
      </c>
      <c r="E11" t="s">
        <v>223</v>
      </c>
      <c r="J11" t="s">
        <v>253</v>
      </c>
      <c r="K11" t="s">
        <v>259</v>
      </c>
      <c r="L11" t="s">
        <v>255</v>
      </c>
      <c r="M11" t="s">
        <v>152</v>
      </c>
      <c r="P11">
        <v>4</v>
      </c>
      <c r="Q11">
        <v>2</v>
      </c>
      <c r="R11">
        <v>2</v>
      </c>
      <c r="Z11">
        <v>3</v>
      </c>
      <c r="AA11">
        <v>1</v>
      </c>
      <c r="AF11">
        <v>100</v>
      </c>
      <c r="AH11" t="s">
        <v>151</v>
      </c>
      <c r="AI11" t="s">
        <v>152</v>
      </c>
    </row>
    <row r="12" spans="1:35" x14ac:dyDescent="0.2">
      <c r="A12">
        <v>12441720272</v>
      </c>
      <c r="B12">
        <v>396431383</v>
      </c>
      <c r="C12" s="28">
        <v>44252.557581018518</v>
      </c>
      <c r="D12" s="28">
        <v>44252.558217592596</v>
      </c>
      <c r="E12" t="s">
        <v>223</v>
      </c>
      <c r="J12" t="s">
        <v>253</v>
      </c>
      <c r="K12" t="s">
        <v>260</v>
      </c>
      <c r="L12" t="s">
        <v>249</v>
      </c>
      <c r="M12" t="s">
        <v>152</v>
      </c>
      <c r="P12">
        <v>122</v>
      </c>
      <c r="Q12">
        <v>32</v>
      </c>
      <c r="R12">
        <v>90</v>
      </c>
      <c r="Y12">
        <v>122</v>
      </c>
      <c r="AF12">
        <v>100</v>
      </c>
      <c r="AH12" t="s">
        <v>151</v>
      </c>
      <c r="AI12" t="s">
        <v>152</v>
      </c>
    </row>
    <row r="13" spans="1:35" x14ac:dyDescent="0.2">
      <c r="A13">
        <v>12441716348</v>
      </c>
      <c r="B13">
        <v>396431383</v>
      </c>
      <c r="C13" s="28">
        <v>44252.556481481479</v>
      </c>
      <c r="D13" s="28">
        <v>44252.557442129626</v>
      </c>
      <c r="E13" t="s">
        <v>223</v>
      </c>
      <c r="J13" t="s">
        <v>253</v>
      </c>
      <c r="K13" t="s">
        <v>261</v>
      </c>
      <c r="L13" t="s">
        <v>249</v>
      </c>
      <c r="M13" t="s">
        <v>152</v>
      </c>
      <c r="P13">
        <v>417</v>
      </c>
      <c r="Q13">
        <v>404</v>
      </c>
      <c r="R13">
        <v>13</v>
      </c>
      <c r="Y13">
        <v>384</v>
      </c>
      <c r="Z13">
        <v>33</v>
      </c>
      <c r="AF13">
        <v>100</v>
      </c>
      <c r="AH13" t="s">
        <v>151</v>
      </c>
      <c r="AI13" t="s">
        <v>152</v>
      </c>
    </row>
    <row r="14" spans="1:35" x14ac:dyDescent="0.2">
      <c r="A14">
        <v>12441713674</v>
      </c>
      <c r="B14">
        <v>396431383</v>
      </c>
      <c r="C14" s="28">
        <v>44252.555555555555</v>
      </c>
      <c r="D14" s="28">
        <v>44252.556331018517</v>
      </c>
      <c r="E14" t="s">
        <v>223</v>
      </c>
      <c r="J14" t="s">
        <v>253</v>
      </c>
      <c r="K14" t="s">
        <v>262</v>
      </c>
      <c r="L14" t="s">
        <v>249</v>
      </c>
      <c r="M14" t="s">
        <v>152</v>
      </c>
      <c r="P14">
        <v>82</v>
      </c>
      <c r="Q14">
        <v>82</v>
      </c>
      <c r="Y14">
        <v>82</v>
      </c>
      <c r="AF14">
        <v>100</v>
      </c>
      <c r="AH14" t="s">
        <v>151</v>
      </c>
      <c r="AI14" t="s">
        <v>152</v>
      </c>
    </row>
    <row r="15" spans="1:35" x14ac:dyDescent="0.2">
      <c r="A15">
        <v>12441708366</v>
      </c>
      <c r="B15">
        <v>396431383</v>
      </c>
      <c r="C15" s="28">
        <v>44252.552800925929</v>
      </c>
      <c r="D15" s="28">
        <v>44252.555277777778</v>
      </c>
      <c r="E15" t="s">
        <v>223</v>
      </c>
      <c r="J15" t="s">
        <v>253</v>
      </c>
      <c r="K15" t="s">
        <v>263</v>
      </c>
      <c r="L15" t="s">
        <v>249</v>
      </c>
      <c r="M15" t="s">
        <v>152</v>
      </c>
      <c r="P15">
        <v>78</v>
      </c>
      <c r="Q15">
        <v>60</v>
      </c>
      <c r="X15">
        <v>18</v>
      </c>
      <c r="Y15">
        <v>5</v>
      </c>
      <c r="Z15">
        <v>7</v>
      </c>
      <c r="AA15">
        <v>66</v>
      </c>
      <c r="AF15">
        <v>100</v>
      </c>
      <c r="AH15" t="s">
        <v>151</v>
      </c>
      <c r="AI15" t="s">
        <v>152</v>
      </c>
    </row>
    <row r="16" spans="1:35" x14ac:dyDescent="0.2">
      <c r="A16">
        <v>12430920755</v>
      </c>
      <c r="B16">
        <v>396431383</v>
      </c>
      <c r="C16" s="28">
        <v>44249.536111111112</v>
      </c>
      <c r="D16" s="28">
        <v>44249.53738425926</v>
      </c>
      <c r="E16" t="s">
        <v>264</v>
      </c>
      <c r="J16" t="s">
        <v>265</v>
      </c>
      <c r="K16" t="s">
        <v>266</v>
      </c>
      <c r="L16" t="s">
        <v>249</v>
      </c>
      <c r="M16" t="s">
        <v>152</v>
      </c>
      <c r="P16">
        <v>250</v>
      </c>
      <c r="R16">
        <v>250</v>
      </c>
      <c r="Y16">
        <v>250</v>
      </c>
      <c r="AF16">
        <v>100</v>
      </c>
      <c r="AH16" t="s">
        <v>151</v>
      </c>
      <c r="AI16" t="s">
        <v>170</v>
      </c>
    </row>
    <row r="17" spans="1:35" x14ac:dyDescent="0.2">
      <c r="A17">
        <v>12430499005</v>
      </c>
      <c r="B17">
        <v>396431383</v>
      </c>
      <c r="C17" s="28">
        <v>44249.418912037036</v>
      </c>
      <c r="D17" s="28">
        <v>44249.430335648147</v>
      </c>
      <c r="E17" t="s">
        <v>267</v>
      </c>
      <c r="J17" t="s">
        <v>268</v>
      </c>
      <c r="K17" t="s">
        <v>269</v>
      </c>
      <c r="L17" t="s">
        <v>255</v>
      </c>
      <c r="M17" t="s">
        <v>152</v>
      </c>
      <c r="P17">
        <v>132</v>
      </c>
      <c r="Q17">
        <v>125</v>
      </c>
      <c r="U17">
        <v>5</v>
      </c>
      <c r="X17">
        <v>2</v>
      </c>
      <c r="Y17">
        <v>132</v>
      </c>
      <c r="AF17">
        <v>100</v>
      </c>
      <c r="AH17" t="s">
        <v>169</v>
      </c>
      <c r="AI17" t="s">
        <v>152</v>
      </c>
    </row>
    <row r="18" spans="1:35" x14ac:dyDescent="0.2">
      <c r="A18">
        <v>12430434717</v>
      </c>
      <c r="B18">
        <v>396431383</v>
      </c>
      <c r="C18" s="28">
        <v>44249.400868055556</v>
      </c>
      <c r="D18" s="28">
        <v>44249.402048611111</v>
      </c>
      <c r="E18" t="s">
        <v>270</v>
      </c>
      <c r="J18" t="s">
        <v>271</v>
      </c>
      <c r="K18" t="s">
        <v>272</v>
      </c>
      <c r="L18" t="s">
        <v>255</v>
      </c>
      <c r="M18" t="s">
        <v>152</v>
      </c>
      <c r="P18">
        <v>97</v>
      </c>
      <c r="Q18">
        <v>97</v>
      </c>
      <c r="Y18">
        <v>97</v>
      </c>
      <c r="AF18">
        <v>100</v>
      </c>
      <c r="AH18" t="s">
        <v>151</v>
      </c>
      <c r="AI18" t="s">
        <v>152</v>
      </c>
    </row>
    <row r="19" spans="1:35" x14ac:dyDescent="0.2">
      <c r="A19">
        <v>12429357130</v>
      </c>
      <c r="B19">
        <v>396431383</v>
      </c>
      <c r="C19" s="28">
        <v>44248.833668981482</v>
      </c>
      <c r="D19" s="28">
        <v>44248.834583333337</v>
      </c>
      <c r="E19" t="s">
        <v>273</v>
      </c>
      <c r="J19" t="s">
        <v>274</v>
      </c>
      <c r="K19" t="s">
        <v>275</v>
      </c>
      <c r="L19" t="s">
        <v>255</v>
      </c>
      <c r="M19" t="s">
        <v>170</v>
      </c>
      <c r="N19" t="s">
        <v>9</v>
      </c>
      <c r="O19" t="s">
        <v>276</v>
      </c>
      <c r="AH19" t="s">
        <v>188</v>
      </c>
      <c r="AI19" t="s">
        <v>152</v>
      </c>
    </row>
    <row r="20" spans="1:35" x14ac:dyDescent="0.2">
      <c r="A20">
        <v>12429355841</v>
      </c>
      <c r="B20">
        <v>396431383</v>
      </c>
      <c r="C20" s="28">
        <v>44248.830300925925</v>
      </c>
      <c r="D20" s="28">
        <v>44248.834282407406</v>
      </c>
      <c r="E20" t="s">
        <v>273</v>
      </c>
      <c r="J20" t="s">
        <v>274</v>
      </c>
      <c r="K20" t="s">
        <v>277</v>
      </c>
      <c r="L20" t="s">
        <v>255</v>
      </c>
      <c r="M20" t="s">
        <v>170</v>
      </c>
      <c r="N20" t="s">
        <v>9</v>
      </c>
      <c r="O20" t="s">
        <v>278</v>
      </c>
      <c r="AH20" t="s">
        <v>151</v>
      </c>
      <c r="AI20" t="s">
        <v>152</v>
      </c>
    </row>
    <row r="21" spans="1:35" x14ac:dyDescent="0.2">
      <c r="A21">
        <v>12429353192</v>
      </c>
      <c r="B21">
        <v>396431383</v>
      </c>
      <c r="C21" s="28">
        <v>44248.830289351848</v>
      </c>
      <c r="D21" s="28">
        <v>44248.833587962959</v>
      </c>
      <c r="E21" t="s">
        <v>273</v>
      </c>
      <c r="J21" t="s">
        <v>274</v>
      </c>
      <c r="K21" t="s">
        <v>279</v>
      </c>
      <c r="L21" t="s">
        <v>249</v>
      </c>
      <c r="M21" t="s">
        <v>152</v>
      </c>
      <c r="P21">
        <v>47</v>
      </c>
      <c r="Q21">
        <v>45</v>
      </c>
      <c r="R21">
        <v>2</v>
      </c>
      <c r="Y21">
        <v>47</v>
      </c>
      <c r="AF21">
        <v>100</v>
      </c>
      <c r="AH21" t="s">
        <v>151</v>
      </c>
      <c r="AI21" t="s">
        <v>152</v>
      </c>
    </row>
    <row r="22" spans="1:35" x14ac:dyDescent="0.2">
      <c r="A22">
        <v>12429351135</v>
      </c>
      <c r="B22">
        <v>396431383</v>
      </c>
      <c r="C22" s="28">
        <v>44248.830266203702</v>
      </c>
      <c r="D22" s="28">
        <v>44248.832476851851</v>
      </c>
      <c r="E22" t="s">
        <v>273</v>
      </c>
      <c r="J22" t="s">
        <v>274</v>
      </c>
      <c r="K22" t="s">
        <v>280</v>
      </c>
      <c r="L22" t="s">
        <v>249</v>
      </c>
      <c r="M22" t="s">
        <v>152</v>
      </c>
      <c r="P22">
        <v>78</v>
      </c>
      <c r="Q22">
        <v>78</v>
      </c>
      <c r="Y22">
        <v>78</v>
      </c>
      <c r="AF22">
        <v>100</v>
      </c>
      <c r="AH22" t="s">
        <v>188</v>
      </c>
      <c r="AI22" t="s">
        <v>152</v>
      </c>
    </row>
    <row r="23" spans="1:35" x14ac:dyDescent="0.2">
      <c r="A23">
        <v>12429348092</v>
      </c>
      <c r="B23">
        <v>396431383</v>
      </c>
      <c r="C23" s="28">
        <v>44248.827581018515</v>
      </c>
      <c r="D23" s="28">
        <v>44248.830983796295</v>
      </c>
      <c r="E23" t="s">
        <v>273</v>
      </c>
      <c r="J23" t="s">
        <v>274</v>
      </c>
      <c r="K23" t="s">
        <v>281</v>
      </c>
      <c r="L23" t="s">
        <v>249</v>
      </c>
      <c r="M23" t="s">
        <v>152</v>
      </c>
      <c r="P23">
        <v>100</v>
      </c>
      <c r="Q23">
        <v>100</v>
      </c>
      <c r="Y23">
        <v>100</v>
      </c>
      <c r="AF23">
        <v>100</v>
      </c>
      <c r="AH23" t="s">
        <v>151</v>
      </c>
      <c r="AI23" t="s">
        <v>152</v>
      </c>
    </row>
    <row r="24" spans="1:35" x14ac:dyDescent="0.2">
      <c r="A24">
        <v>12429342997</v>
      </c>
      <c r="B24">
        <v>396431383</v>
      </c>
      <c r="C24" s="28">
        <v>44248.827557870369</v>
      </c>
      <c r="D24" s="28">
        <v>44248.828472222223</v>
      </c>
      <c r="E24" t="s">
        <v>273</v>
      </c>
      <c r="J24" t="s">
        <v>274</v>
      </c>
      <c r="K24" t="s">
        <v>21</v>
      </c>
      <c r="L24" t="s">
        <v>249</v>
      </c>
      <c r="M24" t="s">
        <v>152</v>
      </c>
      <c r="P24">
        <v>120</v>
      </c>
      <c r="Q24">
        <v>120</v>
      </c>
      <c r="Y24">
        <v>120</v>
      </c>
      <c r="AF24">
        <v>100</v>
      </c>
      <c r="AH24" t="s">
        <v>151</v>
      </c>
      <c r="AI24" t="s">
        <v>152</v>
      </c>
    </row>
    <row r="25" spans="1:35" x14ac:dyDescent="0.2">
      <c r="A25">
        <v>12429341987</v>
      </c>
      <c r="B25">
        <v>396431383</v>
      </c>
      <c r="C25" s="28">
        <v>44248.827534722222</v>
      </c>
      <c r="D25" s="28">
        <v>44248.828009259261</v>
      </c>
      <c r="E25" t="s">
        <v>273</v>
      </c>
      <c r="J25" t="s">
        <v>274</v>
      </c>
      <c r="K25" t="s">
        <v>22</v>
      </c>
      <c r="L25" t="s">
        <v>249</v>
      </c>
      <c r="M25" t="s">
        <v>152</v>
      </c>
      <c r="P25">
        <v>257</v>
      </c>
      <c r="Q25">
        <v>257</v>
      </c>
      <c r="Y25">
        <v>257</v>
      </c>
      <c r="AF25">
        <v>100</v>
      </c>
      <c r="AH25" t="s">
        <v>151</v>
      </c>
      <c r="AI25" t="s">
        <v>152</v>
      </c>
    </row>
    <row r="26" spans="1:35" x14ac:dyDescent="0.2">
      <c r="A26">
        <v>12429336902</v>
      </c>
      <c r="B26">
        <v>396431383</v>
      </c>
      <c r="C26" s="28">
        <v>44248.821342592593</v>
      </c>
      <c r="D26" s="28">
        <v>44248.827326388891</v>
      </c>
      <c r="E26" t="s">
        <v>273</v>
      </c>
      <c r="J26" t="s">
        <v>274</v>
      </c>
      <c r="K26" t="s">
        <v>123</v>
      </c>
      <c r="L26" t="s">
        <v>249</v>
      </c>
      <c r="M26" t="s">
        <v>152</v>
      </c>
      <c r="P26">
        <v>268</v>
      </c>
      <c r="Q26">
        <v>268</v>
      </c>
      <c r="Y26">
        <v>268</v>
      </c>
      <c r="AF26">
        <v>100</v>
      </c>
      <c r="AH26" t="s">
        <v>151</v>
      </c>
      <c r="AI26" t="s">
        <v>152</v>
      </c>
    </row>
    <row r="27" spans="1:35" x14ac:dyDescent="0.2">
      <c r="A27">
        <v>12424253586</v>
      </c>
      <c r="B27">
        <v>396431383</v>
      </c>
      <c r="C27" s="28">
        <v>44246.681631944448</v>
      </c>
      <c r="D27" s="28">
        <v>44246.682627314818</v>
      </c>
      <c r="E27" t="s">
        <v>282</v>
      </c>
      <c r="J27" t="s">
        <v>283</v>
      </c>
      <c r="K27" t="s">
        <v>284</v>
      </c>
      <c r="L27" t="s">
        <v>255</v>
      </c>
      <c r="M27" t="s">
        <v>170</v>
      </c>
      <c r="N27" t="s">
        <v>9</v>
      </c>
      <c r="O27" t="s">
        <v>285</v>
      </c>
      <c r="AH27" t="s">
        <v>151</v>
      </c>
      <c r="AI27" t="s">
        <v>170</v>
      </c>
    </row>
    <row r="28" spans="1:35" x14ac:dyDescent="0.2">
      <c r="A28">
        <v>12423371755</v>
      </c>
      <c r="B28">
        <v>396431383</v>
      </c>
      <c r="C28" s="28">
        <v>44246.483020833337</v>
      </c>
      <c r="D28" s="28">
        <v>44246.48337962963</v>
      </c>
      <c r="E28" t="s">
        <v>286</v>
      </c>
      <c r="J28" t="s">
        <v>287</v>
      </c>
      <c r="K28" t="s">
        <v>287</v>
      </c>
      <c r="L28" t="s">
        <v>255</v>
      </c>
      <c r="M28" t="s">
        <v>170</v>
      </c>
      <c r="N28" t="s">
        <v>9</v>
      </c>
      <c r="O28" t="s">
        <v>288</v>
      </c>
      <c r="AH28" t="s">
        <v>151</v>
      </c>
      <c r="AI28" t="s">
        <v>170</v>
      </c>
    </row>
    <row r="29" spans="1:35" x14ac:dyDescent="0.2">
      <c r="A29">
        <v>12423366934</v>
      </c>
      <c r="B29">
        <v>396431383</v>
      </c>
      <c r="C29" s="28">
        <v>44246.481122685182</v>
      </c>
      <c r="D29" s="28">
        <v>44246.48228009259</v>
      </c>
      <c r="E29" t="s">
        <v>286</v>
      </c>
      <c r="J29" t="s">
        <v>287</v>
      </c>
      <c r="K29" t="s">
        <v>287</v>
      </c>
      <c r="L29" t="s">
        <v>255</v>
      </c>
      <c r="M29" t="s">
        <v>170</v>
      </c>
      <c r="N29" t="s">
        <v>9</v>
      </c>
      <c r="O29" t="s">
        <v>289</v>
      </c>
      <c r="AH29" t="s">
        <v>151</v>
      </c>
      <c r="AI29" t="s">
        <v>170</v>
      </c>
    </row>
    <row r="30" spans="1:35" x14ac:dyDescent="0.2">
      <c r="A30">
        <v>12423295579</v>
      </c>
      <c r="B30">
        <v>396431383</v>
      </c>
      <c r="C30" s="28">
        <v>44246.460787037038</v>
      </c>
      <c r="D30" s="28">
        <v>44246.462534722225</v>
      </c>
      <c r="E30" t="s">
        <v>270</v>
      </c>
      <c r="J30" t="s">
        <v>290</v>
      </c>
      <c r="K30" t="s">
        <v>272</v>
      </c>
      <c r="L30" t="s">
        <v>255</v>
      </c>
      <c r="M30" t="s">
        <v>152</v>
      </c>
      <c r="P30">
        <v>97</v>
      </c>
      <c r="Q30">
        <v>97</v>
      </c>
      <c r="Y30">
        <v>97</v>
      </c>
      <c r="AF30">
        <v>100</v>
      </c>
      <c r="AH30" t="s">
        <v>151</v>
      </c>
      <c r="AI30" t="s">
        <v>152</v>
      </c>
    </row>
    <row r="31" spans="1:35" x14ac:dyDescent="0.2">
      <c r="A31">
        <v>12421772543</v>
      </c>
      <c r="B31">
        <v>396431383</v>
      </c>
      <c r="C31" s="28">
        <v>44245.940104166664</v>
      </c>
      <c r="D31" s="28">
        <v>44245.941817129627</v>
      </c>
      <c r="E31" t="s">
        <v>291</v>
      </c>
      <c r="J31" t="s">
        <v>292</v>
      </c>
      <c r="K31" t="s">
        <v>293</v>
      </c>
      <c r="L31" t="s">
        <v>249</v>
      </c>
      <c r="M31" t="s">
        <v>152</v>
      </c>
      <c r="P31">
        <v>896</v>
      </c>
      <c r="Q31">
        <v>393</v>
      </c>
      <c r="R31">
        <v>171</v>
      </c>
      <c r="U31">
        <v>138</v>
      </c>
      <c r="V31">
        <v>48</v>
      </c>
      <c r="X31">
        <v>146</v>
      </c>
      <c r="Y31">
        <v>248</v>
      </c>
      <c r="Z31">
        <v>173</v>
      </c>
      <c r="AA31">
        <v>475</v>
      </c>
      <c r="AF31">
        <v>100</v>
      </c>
      <c r="AH31" t="s">
        <v>151</v>
      </c>
      <c r="AI31" t="s">
        <v>152</v>
      </c>
    </row>
    <row r="32" spans="1:35" x14ac:dyDescent="0.2">
      <c r="A32">
        <v>12421765094</v>
      </c>
      <c r="B32">
        <v>396431383</v>
      </c>
      <c r="C32" s="28">
        <v>44245.938055555554</v>
      </c>
      <c r="D32" s="28">
        <v>44245.939675925925</v>
      </c>
      <c r="E32" t="s">
        <v>291</v>
      </c>
      <c r="J32" t="s">
        <v>292</v>
      </c>
      <c r="K32" t="s">
        <v>294</v>
      </c>
      <c r="L32" t="s">
        <v>249</v>
      </c>
      <c r="M32" t="s">
        <v>152</v>
      </c>
      <c r="P32">
        <v>81</v>
      </c>
      <c r="Q32">
        <v>21</v>
      </c>
      <c r="R32">
        <v>60</v>
      </c>
      <c r="Y32">
        <v>21</v>
      </c>
      <c r="Z32">
        <v>60</v>
      </c>
      <c r="AF32">
        <v>100</v>
      </c>
      <c r="AH32" t="s">
        <v>151</v>
      </c>
      <c r="AI32" t="s">
        <v>152</v>
      </c>
    </row>
    <row r="33" spans="1:35" x14ac:dyDescent="0.2">
      <c r="A33">
        <v>12421616781</v>
      </c>
      <c r="B33">
        <v>396431383</v>
      </c>
      <c r="C33" s="28">
        <v>44245.908518518518</v>
      </c>
      <c r="D33" s="28">
        <v>44245.91128472222</v>
      </c>
      <c r="E33" t="s">
        <v>291</v>
      </c>
      <c r="J33" t="s">
        <v>292</v>
      </c>
      <c r="K33" t="s">
        <v>295</v>
      </c>
      <c r="L33" t="s">
        <v>249</v>
      </c>
      <c r="M33" t="s">
        <v>152</v>
      </c>
      <c r="P33">
        <v>1151</v>
      </c>
      <c r="Q33">
        <v>196</v>
      </c>
      <c r="R33">
        <v>185</v>
      </c>
      <c r="S33">
        <v>3</v>
      </c>
      <c r="U33">
        <v>279</v>
      </c>
      <c r="V33">
        <v>200</v>
      </c>
      <c r="X33">
        <v>288</v>
      </c>
      <c r="Y33">
        <v>822</v>
      </c>
      <c r="Z33">
        <v>329</v>
      </c>
      <c r="AF33">
        <v>100</v>
      </c>
      <c r="AH33" t="s">
        <v>151</v>
      </c>
      <c r="AI33" t="s">
        <v>152</v>
      </c>
    </row>
    <row r="34" spans="1:35" x14ac:dyDescent="0.2">
      <c r="A34">
        <v>12421109988</v>
      </c>
      <c r="B34">
        <v>396431383</v>
      </c>
      <c r="C34" s="28">
        <v>44245.815462962964</v>
      </c>
      <c r="D34" s="28">
        <v>44245.815659722219</v>
      </c>
      <c r="E34" t="s">
        <v>296</v>
      </c>
      <c r="J34" t="s">
        <v>297</v>
      </c>
      <c r="K34" t="s">
        <v>297</v>
      </c>
      <c r="L34" t="s">
        <v>249</v>
      </c>
      <c r="M34" t="s">
        <v>152</v>
      </c>
    </row>
    <row r="35" spans="1:35" x14ac:dyDescent="0.2">
      <c r="A35">
        <v>12421073568</v>
      </c>
      <c r="B35">
        <v>396431383</v>
      </c>
      <c r="C35" s="28">
        <v>44245.808645833335</v>
      </c>
      <c r="D35" s="28">
        <v>44245.809351851851</v>
      </c>
      <c r="E35" t="s">
        <v>298</v>
      </c>
      <c r="J35" t="s">
        <v>299</v>
      </c>
      <c r="K35" t="s">
        <v>300</v>
      </c>
      <c r="L35" t="s">
        <v>255</v>
      </c>
      <c r="M35" t="s">
        <v>152</v>
      </c>
    </row>
    <row r="36" spans="1:35" x14ac:dyDescent="0.2">
      <c r="A36">
        <v>12420661861</v>
      </c>
      <c r="B36">
        <v>396431383</v>
      </c>
      <c r="C36" s="28">
        <v>44245.735555555555</v>
      </c>
      <c r="D36" s="28">
        <v>44245.745069444441</v>
      </c>
      <c r="E36" t="s">
        <v>301</v>
      </c>
      <c r="J36" t="s">
        <v>268</v>
      </c>
      <c r="K36" t="s">
        <v>302</v>
      </c>
      <c r="L36" t="s">
        <v>249</v>
      </c>
      <c r="M36" t="s">
        <v>152</v>
      </c>
      <c r="P36">
        <v>127</v>
      </c>
      <c r="Q36">
        <v>42</v>
      </c>
      <c r="R36">
        <v>51</v>
      </c>
      <c r="X36">
        <v>33</v>
      </c>
      <c r="Y36">
        <v>110</v>
      </c>
      <c r="Z36">
        <v>17</v>
      </c>
      <c r="AF36">
        <v>100</v>
      </c>
      <c r="AH36" t="s">
        <v>169</v>
      </c>
      <c r="AI36" t="s">
        <v>152</v>
      </c>
    </row>
    <row r="37" spans="1:35" x14ac:dyDescent="0.2">
      <c r="A37">
        <v>12420575219</v>
      </c>
      <c r="B37">
        <v>396431383</v>
      </c>
      <c r="C37" s="28">
        <v>44245.72488425926</v>
      </c>
      <c r="D37" s="28">
        <v>44245.727303240739</v>
      </c>
      <c r="E37" t="s">
        <v>204</v>
      </c>
      <c r="J37" t="s">
        <v>205</v>
      </c>
      <c r="K37" t="s">
        <v>303</v>
      </c>
      <c r="L37" t="s">
        <v>249</v>
      </c>
      <c r="M37" t="s">
        <v>152</v>
      </c>
      <c r="P37">
        <v>193</v>
      </c>
      <c r="S37">
        <v>80</v>
      </c>
      <c r="T37">
        <v>113</v>
      </c>
      <c r="Z37">
        <v>140</v>
      </c>
      <c r="AA37">
        <v>53</v>
      </c>
      <c r="AD37">
        <v>75</v>
      </c>
      <c r="AF37">
        <v>25</v>
      </c>
      <c r="AH37" t="s">
        <v>151</v>
      </c>
      <c r="AI37" t="s">
        <v>152</v>
      </c>
    </row>
    <row r="38" spans="1:35" x14ac:dyDescent="0.2">
      <c r="A38">
        <v>12420559399</v>
      </c>
      <c r="B38">
        <v>396431383</v>
      </c>
      <c r="C38" s="28">
        <v>44245.722534722219</v>
      </c>
      <c r="D38" s="28">
        <v>44245.724780092591</v>
      </c>
      <c r="E38" t="s">
        <v>204</v>
      </c>
      <c r="J38" t="s">
        <v>205</v>
      </c>
      <c r="K38" t="s">
        <v>206</v>
      </c>
      <c r="L38" t="s">
        <v>255</v>
      </c>
      <c r="M38" t="s">
        <v>152</v>
      </c>
      <c r="P38">
        <v>300</v>
      </c>
      <c r="T38">
        <v>300</v>
      </c>
      <c r="Z38">
        <v>200</v>
      </c>
      <c r="AA38">
        <v>100</v>
      </c>
      <c r="AF38">
        <v>100</v>
      </c>
      <c r="AH38" t="s">
        <v>151</v>
      </c>
      <c r="AI38" t="s">
        <v>152</v>
      </c>
    </row>
    <row r="39" spans="1:35" x14ac:dyDescent="0.2">
      <c r="A39">
        <v>12420473315</v>
      </c>
      <c r="B39">
        <v>396431383</v>
      </c>
      <c r="C39" s="28">
        <v>44245.707777777781</v>
      </c>
      <c r="D39" s="28">
        <v>44245.708078703705</v>
      </c>
      <c r="E39" t="s">
        <v>301</v>
      </c>
      <c r="J39" t="s">
        <v>304</v>
      </c>
      <c r="K39" t="s">
        <v>302</v>
      </c>
      <c r="L39" t="s">
        <v>249</v>
      </c>
      <c r="M39" t="s">
        <v>152</v>
      </c>
    </row>
    <row r="40" spans="1:35" x14ac:dyDescent="0.2">
      <c r="A40">
        <v>12419910978</v>
      </c>
      <c r="B40">
        <v>396431383</v>
      </c>
      <c r="C40" s="28">
        <v>44245.600358796299</v>
      </c>
      <c r="D40" s="28">
        <v>44245.606747685182</v>
      </c>
      <c r="E40" t="s">
        <v>171</v>
      </c>
      <c r="J40" t="s">
        <v>179</v>
      </c>
      <c r="K40" t="s">
        <v>305</v>
      </c>
      <c r="L40" t="s">
        <v>249</v>
      </c>
      <c r="M40" t="s">
        <v>152</v>
      </c>
      <c r="P40">
        <v>836</v>
      </c>
      <c r="Q40">
        <v>316</v>
      </c>
      <c r="R40">
        <v>370</v>
      </c>
      <c r="V40">
        <v>65</v>
      </c>
      <c r="X40">
        <v>85</v>
      </c>
      <c r="Y40">
        <v>720</v>
      </c>
      <c r="Z40">
        <v>116</v>
      </c>
      <c r="AF40">
        <v>100</v>
      </c>
      <c r="AH40" t="s">
        <v>169</v>
      </c>
      <c r="AI40" t="s">
        <v>152</v>
      </c>
    </row>
    <row r="41" spans="1:35" x14ac:dyDescent="0.2">
      <c r="A41">
        <v>12419865898</v>
      </c>
      <c r="B41">
        <v>396431383</v>
      </c>
      <c r="C41" s="28">
        <v>44245.591562499998</v>
      </c>
      <c r="D41" s="28">
        <v>44245.5934837963</v>
      </c>
      <c r="E41" t="s">
        <v>306</v>
      </c>
      <c r="J41" t="s">
        <v>268</v>
      </c>
      <c r="K41" t="s">
        <v>307</v>
      </c>
      <c r="L41" t="s">
        <v>249</v>
      </c>
      <c r="M41" t="s">
        <v>152</v>
      </c>
      <c r="P41">
        <v>138</v>
      </c>
      <c r="Q41">
        <v>98</v>
      </c>
      <c r="X41">
        <v>40</v>
      </c>
      <c r="Y41">
        <v>138</v>
      </c>
      <c r="AF41">
        <v>100</v>
      </c>
      <c r="AH41" t="s">
        <v>169</v>
      </c>
      <c r="AI41" t="s">
        <v>152</v>
      </c>
    </row>
    <row r="42" spans="1:35" x14ac:dyDescent="0.2">
      <c r="A42">
        <v>12419829994</v>
      </c>
      <c r="B42">
        <v>396431383</v>
      </c>
      <c r="C42" s="28">
        <v>44245.583506944444</v>
      </c>
      <c r="D42" s="28">
        <v>44245.591331018521</v>
      </c>
      <c r="E42" t="s">
        <v>306</v>
      </c>
      <c r="J42" t="s">
        <v>268</v>
      </c>
      <c r="K42" t="s">
        <v>308</v>
      </c>
      <c r="L42" t="s">
        <v>249</v>
      </c>
      <c r="M42" t="s">
        <v>170</v>
      </c>
      <c r="N42" t="s">
        <v>9</v>
      </c>
      <c r="O42" t="s">
        <v>309</v>
      </c>
      <c r="AH42" t="s">
        <v>169</v>
      </c>
      <c r="AI42" t="s">
        <v>152</v>
      </c>
    </row>
    <row r="43" spans="1:35" x14ac:dyDescent="0.2">
      <c r="A43">
        <v>12419575851</v>
      </c>
      <c r="B43">
        <v>396431383</v>
      </c>
      <c r="C43" s="28">
        <v>44245.525347222225</v>
      </c>
      <c r="D43" s="28">
        <v>44245.527696759258</v>
      </c>
      <c r="E43" t="s">
        <v>310</v>
      </c>
      <c r="J43" t="s">
        <v>311</v>
      </c>
      <c r="K43" t="s">
        <v>312</v>
      </c>
      <c r="L43" t="s">
        <v>255</v>
      </c>
      <c r="M43" t="s">
        <v>152</v>
      </c>
      <c r="P43">
        <v>97</v>
      </c>
      <c r="Q43">
        <v>95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</v>
      </c>
      <c r="Y43">
        <v>97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100</v>
      </c>
      <c r="AG43">
        <v>0</v>
      </c>
      <c r="AH43" t="s">
        <v>151</v>
      </c>
      <c r="AI43" t="s">
        <v>152</v>
      </c>
    </row>
    <row r="44" spans="1:35" x14ac:dyDescent="0.2">
      <c r="A44">
        <v>12419568357</v>
      </c>
      <c r="B44">
        <v>396431383</v>
      </c>
      <c r="C44" s="28">
        <v>44245.524317129632</v>
      </c>
      <c r="D44" s="28">
        <v>44245.525219907409</v>
      </c>
      <c r="E44" t="s">
        <v>310</v>
      </c>
      <c r="J44" t="s">
        <v>311</v>
      </c>
      <c r="K44" t="s">
        <v>313</v>
      </c>
      <c r="L44" t="s">
        <v>249</v>
      </c>
      <c r="M44" t="s">
        <v>152</v>
      </c>
      <c r="P44">
        <v>35</v>
      </c>
      <c r="Q44">
        <v>0</v>
      </c>
      <c r="R44">
        <v>35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100</v>
      </c>
      <c r="AG44">
        <v>0</v>
      </c>
      <c r="AH44" t="s">
        <v>151</v>
      </c>
      <c r="AI44" t="s">
        <v>152</v>
      </c>
    </row>
    <row r="45" spans="1:35" x14ac:dyDescent="0.2">
      <c r="A45">
        <v>12419500482</v>
      </c>
      <c r="B45">
        <v>396431383</v>
      </c>
      <c r="C45" s="28">
        <v>44245.508194444446</v>
      </c>
      <c r="D45" s="28">
        <v>44245.524085648147</v>
      </c>
      <c r="E45" t="s">
        <v>310</v>
      </c>
      <c r="J45" t="s">
        <v>311</v>
      </c>
      <c r="K45" t="s">
        <v>314</v>
      </c>
      <c r="L45" t="s">
        <v>249</v>
      </c>
      <c r="M45" t="s">
        <v>152</v>
      </c>
      <c r="P45">
        <v>224</v>
      </c>
      <c r="Q45">
        <v>18</v>
      </c>
      <c r="R45">
        <v>160</v>
      </c>
      <c r="S45">
        <v>0</v>
      </c>
      <c r="T45">
        <v>0</v>
      </c>
      <c r="U45">
        <v>0</v>
      </c>
      <c r="V45">
        <v>10</v>
      </c>
      <c r="W45">
        <v>0</v>
      </c>
      <c r="X45">
        <v>36</v>
      </c>
      <c r="Y45">
        <v>224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100</v>
      </c>
      <c r="AG45">
        <v>0</v>
      </c>
      <c r="AH45" t="s">
        <v>151</v>
      </c>
      <c r="AI45" t="s">
        <v>152</v>
      </c>
    </row>
    <row r="46" spans="1:35" x14ac:dyDescent="0.2">
      <c r="A46">
        <v>12419457209</v>
      </c>
      <c r="B46">
        <v>396431383</v>
      </c>
      <c r="C46" s="28">
        <v>44245.497939814813</v>
      </c>
      <c r="D46" s="28">
        <v>44245.498460648145</v>
      </c>
      <c r="E46" t="s">
        <v>315</v>
      </c>
      <c r="J46" t="s">
        <v>316</v>
      </c>
      <c r="K46" t="s">
        <v>317</v>
      </c>
      <c r="L46" t="s">
        <v>249</v>
      </c>
      <c r="M46" t="s">
        <v>170</v>
      </c>
      <c r="N46" t="s">
        <v>9</v>
      </c>
      <c r="O46" t="s">
        <v>318</v>
      </c>
      <c r="AH46" t="s">
        <v>151</v>
      </c>
      <c r="AI46" t="s">
        <v>170</v>
      </c>
    </row>
    <row r="47" spans="1:35" x14ac:dyDescent="0.2">
      <c r="A47">
        <v>12419440548</v>
      </c>
      <c r="B47">
        <v>396431383</v>
      </c>
      <c r="C47" s="28">
        <v>44245.49324074074</v>
      </c>
      <c r="D47" s="28">
        <v>44245.49417824074</v>
      </c>
      <c r="E47" t="s">
        <v>319</v>
      </c>
      <c r="J47" t="s">
        <v>320</v>
      </c>
      <c r="K47" t="s">
        <v>321</v>
      </c>
      <c r="L47" t="s">
        <v>255</v>
      </c>
      <c r="M47" t="s">
        <v>170</v>
      </c>
      <c r="N47" t="s">
        <v>9</v>
      </c>
      <c r="O47" t="s">
        <v>322</v>
      </c>
      <c r="AH47" t="s">
        <v>151</v>
      </c>
      <c r="AI47" t="s">
        <v>170</v>
      </c>
    </row>
    <row r="48" spans="1:35" x14ac:dyDescent="0.2">
      <c r="A48">
        <v>12419393304</v>
      </c>
      <c r="B48">
        <v>396431383</v>
      </c>
      <c r="C48" s="28">
        <v>44245.479108796295</v>
      </c>
      <c r="D48" s="28">
        <v>44245.497685185182</v>
      </c>
      <c r="E48" t="s">
        <v>315</v>
      </c>
      <c r="J48" t="s">
        <v>323</v>
      </c>
      <c r="K48" t="s">
        <v>324</v>
      </c>
      <c r="L48" t="s">
        <v>249</v>
      </c>
      <c r="M48" t="s">
        <v>170</v>
      </c>
      <c r="N48" t="s">
        <v>9</v>
      </c>
      <c r="O48" t="s">
        <v>325</v>
      </c>
      <c r="AH48" t="s">
        <v>151</v>
      </c>
      <c r="AI48" t="s">
        <v>170</v>
      </c>
    </row>
    <row r="49" spans="1:35" x14ac:dyDescent="0.2">
      <c r="A49">
        <v>12418297158</v>
      </c>
      <c r="B49">
        <v>396431383</v>
      </c>
      <c r="C49" s="28">
        <v>44245.080995370372</v>
      </c>
      <c r="D49" s="28">
        <v>44245.081793981481</v>
      </c>
      <c r="E49" t="s">
        <v>326</v>
      </c>
      <c r="J49" t="s">
        <v>327</v>
      </c>
      <c r="K49" t="s">
        <v>328</v>
      </c>
      <c r="L49" t="s">
        <v>249</v>
      </c>
      <c r="M49" t="s">
        <v>170</v>
      </c>
      <c r="N49" t="s">
        <v>9</v>
      </c>
      <c r="O49" t="s">
        <v>329</v>
      </c>
      <c r="AH49" t="s">
        <v>169</v>
      </c>
      <c r="AI49" t="s">
        <v>170</v>
      </c>
    </row>
    <row r="50" spans="1:35" x14ac:dyDescent="0.2">
      <c r="A50">
        <v>12418294451</v>
      </c>
      <c r="B50">
        <v>396431383</v>
      </c>
      <c r="C50" s="28">
        <v>44245.080196759256</v>
      </c>
      <c r="D50" s="28">
        <v>44245.080682870372</v>
      </c>
      <c r="E50" t="s">
        <v>326</v>
      </c>
      <c r="J50" t="s">
        <v>327</v>
      </c>
      <c r="K50" t="s">
        <v>330</v>
      </c>
      <c r="L50" t="s">
        <v>249</v>
      </c>
      <c r="M50" t="s">
        <v>170</v>
      </c>
      <c r="N50" t="s">
        <v>9</v>
      </c>
      <c r="O50" t="s">
        <v>329</v>
      </c>
      <c r="AH50" t="s">
        <v>169</v>
      </c>
      <c r="AI50" t="s">
        <v>170</v>
      </c>
    </row>
    <row r="51" spans="1:35" x14ac:dyDescent="0.2">
      <c r="A51">
        <v>12418285956</v>
      </c>
      <c r="B51">
        <v>396431383</v>
      </c>
      <c r="C51" s="28">
        <v>44245.056875000002</v>
      </c>
      <c r="D51" s="28">
        <v>44245.079837962963</v>
      </c>
      <c r="E51" t="s">
        <v>331</v>
      </c>
      <c r="J51" t="s">
        <v>327</v>
      </c>
      <c r="K51" t="s">
        <v>332</v>
      </c>
      <c r="L51" t="s">
        <v>249</v>
      </c>
      <c r="M51" t="s">
        <v>170</v>
      </c>
      <c r="N51" t="s">
        <v>9</v>
      </c>
      <c r="O51" t="s">
        <v>329</v>
      </c>
      <c r="AH51" t="s">
        <v>169</v>
      </c>
      <c r="AI51" t="s">
        <v>170</v>
      </c>
    </row>
    <row r="52" spans="1:35" x14ac:dyDescent="0.2">
      <c r="A52">
        <v>12417635130</v>
      </c>
      <c r="B52">
        <v>396431383</v>
      </c>
      <c r="C52" s="28">
        <v>44244.898842592593</v>
      </c>
      <c r="D52" s="28">
        <v>44245.664490740739</v>
      </c>
      <c r="E52" t="s">
        <v>333</v>
      </c>
      <c r="J52" t="s">
        <v>205</v>
      </c>
      <c r="K52" t="s">
        <v>334</v>
      </c>
      <c r="L52" t="s">
        <v>255</v>
      </c>
      <c r="M52" t="s">
        <v>152</v>
      </c>
      <c r="P52">
        <v>577</v>
      </c>
      <c r="Q52">
        <v>372</v>
      </c>
      <c r="U52">
        <v>5</v>
      </c>
      <c r="V52">
        <v>200</v>
      </c>
      <c r="Z52">
        <v>300</v>
      </c>
      <c r="AA52">
        <v>277</v>
      </c>
      <c r="AD52">
        <v>75</v>
      </c>
      <c r="AF52">
        <v>25</v>
      </c>
      <c r="AH52" t="s">
        <v>151</v>
      </c>
      <c r="AI52" t="s">
        <v>152</v>
      </c>
    </row>
    <row r="53" spans="1:35" x14ac:dyDescent="0.2">
      <c r="A53">
        <v>12417590214</v>
      </c>
      <c r="B53">
        <v>396431383</v>
      </c>
      <c r="C53" s="28">
        <v>44244.887291666666</v>
      </c>
      <c r="D53" s="28">
        <v>44244.898634259262</v>
      </c>
      <c r="E53" t="s">
        <v>335</v>
      </c>
      <c r="J53" t="s">
        <v>205</v>
      </c>
      <c r="K53" t="s">
        <v>336</v>
      </c>
      <c r="L53" t="s">
        <v>249</v>
      </c>
      <c r="M53" t="s">
        <v>152</v>
      </c>
      <c r="P53">
        <v>262</v>
      </c>
      <c r="V53">
        <v>262</v>
      </c>
      <c r="Z53">
        <v>262</v>
      </c>
      <c r="AF53">
        <v>100</v>
      </c>
      <c r="AH53" t="s">
        <v>151</v>
      </c>
      <c r="AI53" t="s">
        <v>152</v>
      </c>
    </row>
    <row r="54" spans="1:35" x14ac:dyDescent="0.2">
      <c r="A54">
        <v>12416514460</v>
      </c>
      <c r="B54">
        <v>396431383</v>
      </c>
      <c r="C54" s="28">
        <v>44244.660092592596</v>
      </c>
      <c r="D54" s="28">
        <v>44244.667488425926</v>
      </c>
      <c r="E54" t="s">
        <v>171</v>
      </c>
      <c r="J54" t="s">
        <v>179</v>
      </c>
      <c r="K54" t="s">
        <v>305</v>
      </c>
      <c r="L54" t="s">
        <v>249</v>
      </c>
      <c r="M54" t="s">
        <v>152</v>
      </c>
      <c r="P54">
        <v>836</v>
      </c>
      <c r="Q54">
        <v>315</v>
      </c>
      <c r="R54">
        <v>371</v>
      </c>
      <c r="V54">
        <v>65</v>
      </c>
      <c r="X54">
        <v>85</v>
      </c>
      <c r="Y54">
        <v>720</v>
      </c>
      <c r="Z54">
        <v>116</v>
      </c>
      <c r="AF54">
        <v>100</v>
      </c>
    </row>
    <row r="55" spans="1:35" x14ac:dyDescent="0.2">
      <c r="A55">
        <v>12413841161</v>
      </c>
      <c r="B55">
        <v>396431383</v>
      </c>
      <c r="C55" s="28">
        <v>44243.818506944444</v>
      </c>
      <c r="D55" s="28">
        <v>44243.819675925923</v>
      </c>
      <c r="E55" t="s">
        <v>337</v>
      </c>
      <c r="J55" t="s">
        <v>338</v>
      </c>
      <c r="K55" t="s">
        <v>339</v>
      </c>
      <c r="L55" t="s">
        <v>249</v>
      </c>
      <c r="M55" t="s">
        <v>170</v>
      </c>
      <c r="N55" t="s">
        <v>9</v>
      </c>
      <c r="O55" t="s">
        <v>340</v>
      </c>
      <c r="AH55" t="s">
        <v>169</v>
      </c>
      <c r="AI55" t="s">
        <v>152</v>
      </c>
    </row>
    <row r="56" spans="1:35" x14ac:dyDescent="0.2">
      <c r="A56">
        <v>12413268384</v>
      </c>
      <c r="B56">
        <v>396431383</v>
      </c>
      <c r="C56" s="28">
        <v>44243.684513888889</v>
      </c>
      <c r="D56" s="28">
        <v>44243.685636574075</v>
      </c>
      <c r="E56" t="s">
        <v>341</v>
      </c>
      <c r="J56" t="s">
        <v>342</v>
      </c>
      <c r="K56" t="s">
        <v>343</v>
      </c>
      <c r="L56" t="s">
        <v>249</v>
      </c>
      <c r="M56" t="s">
        <v>152</v>
      </c>
      <c r="P56">
        <v>33</v>
      </c>
      <c r="Q56">
        <v>33</v>
      </c>
      <c r="Y56">
        <v>33</v>
      </c>
      <c r="AG56">
        <v>100</v>
      </c>
      <c r="AH56" t="s">
        <v>151</v>
      </c>
      <c r="AI56" t="s">
        <v>170</v>
      </c>
    </row>
    <row r="57" spans="1:35" x14ac:dyDescent="0.2">
      <c r="A57">
        <v>12413258077</v>
      </c>
      <c r="B57">
        <v>396431383</v>
      </c>
      <c r="C57" s="28">
        <v>44243.682222222225</v>
      </c>
      <c r="D57" s="28">
        <v>44243.684386574074</v>
      </c>
      <c r="E57" t="s">
        <v>344</v>
      </c>
      <c r="J57" t="s">
        <v>342</v>
      </c>
      <c r="K57" t="s">
        <v>345</v>
      </c>
      <c r="L57" t="s">
        <v>249</v>
      </c>
      <c r="M57" t="s">
        <v>152</v>
      </c>
      <c r="P57">
        <v>90</v>
      </c>
      <c r="Q57">
        <v>90</v>
      </c>
      <c r="Y57">
        <v>90</v>
      </c>
      <c r="AG57">
        <v>100</v>
      </c>
      <c r="AH57" t="s">
        <v>151</v>
      </c>
      <c r="AI57" t="s">
        <v>170</v>
      </c>
    </row>
    <row r="58" spans="1:35" x14ac:dyDescent="0.2">
      <c r="A58">
        <v>12413179133</v>
      </c>
      <c r="B58">
        <v>396431383</v>
      </c>
      <c r="C58" s="28">
        <v>44243.665196759262</v>
      </c>
      <c r="D58" s="28">
        <v>44243.670266203706</v>
      </c>
      <c r="E58" t="s">
        <v>344</v>
      </c>
      <c r="J58" t="s">
        <v>342</v>
      </c>
      <c r="K58" t="s">
        <v>346</v>
      </c>
      <c r="L58" t="s">
        <v>249</v>
      </c>
      <c r="M58" t="s">
        <v>152</v>
      </c>
      <c r="P58">
        <v>15</v>
      </c>
      <c r="Q58">
        <v>15</v>
      </c>
      <c r="Y58">
        <v>15</v>
      </c>
      <c r="AG58">
        <v>100</v>
      </c>
      <c r="AH58" t="s">
        <v>151</v>
      </c>
      <c r="AI58" t="s">
        <v>170</v>
      </c>
    </row>
    <row r="59" spans="1:35" x14ac:dyDescent="0.2">
      <c r="A59">
        <v>12412320947</v>
      </c>
      <c r="B59">
        <v>396431383</v>
      </c>
      <c r="C59" s="28">
        <v>44243.417951388888</v>
      </c>
      <c r="D59" s="28">
        <v>44243.42114583333</v>
      </c>
      <c r="E59" t="s">
        <v>347</v>
      </c>
      <c r="J59" t="s">
        <v>202</v>
      </c>
      <c r="K59" t="s">
        <v>348</v>
      </c>
      <c r="L59" t="s">
        <v>249</v>
      </c>
      <c r="M59" t="s">
        <v>170</v>
      </c>
      <c r="N59" t="s">
        <v>9</v>
      </c>
      <c r="O59" t="s">
        <v>349</v>
      </c>
      <c r="AH59" t="s">
        <v>169</v>
      </c>
      <c r="AI59" t="s">
        <v>170</v>
      </c>
    </row>
    <row r="60" spans="1:35" x14ac:dyDescent="0.2">
      <c r="A60">
        <v>12412300814</v>
      </c>
      <c r="B60">
        <v>396431383</v>
      </c>
      <c r="C60" s="28">
        <v>44243.406053240738</v>
      </c>
      <c r="D60" s="28">
        <v>44243.412083333336</v>
      </c>
      <c r="E60" t="s">
        <v>350</v>
      </c>
      <c r="J60" t="s">
        <v>202</v>
      </c>
      <c r="K60" t="s">
        <v>351</v>
      </c>
      <c r="L60" t="s">
        <v>249</v>
      </c>
      <c r="M60" t="s">
        <v>152</v>
      </c>
      <c r="P60">
        <v>80</v>
      </c>
      <c r="Q60">
        <v>80</v>
      </c>
      <c r="Y60">
        <v>80</v>
      </c>
      <c r="AD60">
        <v>100</v>
      </c>
    </row>
    <row r="61" spans="1:35" x14ac:dyDescent="0.2">
      <c r="A61">
        <v>12409586102</v>
      </c>
      <c r="B61">
        <v>396431383</v>
      </c>
      <c r="C61" s="28">
        <v>44242.389664351853</v>
      </c>
      <c r="D61" s="28">
        <v>44242.390011574076</v>
      </c>
      <c r="E61" t="s">
        <v>352</v>
      </c>
      <c r="J61" t="s">
        <v>353</v>
      </c>
      <c r="K61" t="s">
        <v>354</v>
      </c>
      <c r="L61" t="s">
        <v>255</v>
      </c>
      <c r="M61" t="s">
        <v>170</v>
      </c>
      <c r="N61" t="s">
        <v>9</v>
      </c>
      <c r="O61" t="s">
        <v>355</v>
      </c>
      <c r="AH61" t="s">
        <v>151</v>
      </c>
      <c r="AI61" t="s">
        <v>152</v>
      </c>
    </row>
    <row r="62" spans="1:35" x14ac:dyDescent="0.2">
      <c r="A62">
        <v>12409561070</v>
      </c>
      <c r="B62">
        <v>396431383</v>
      </c>
      <c r="C62" s="28">
        <v>44242.379201388889</v>
      </c>
      <c r="D62" s="28">
        <v>44242.389293981483</v>
      </c>
      <c r="E62" t="s">
        <v>352</v>
      </c>
      <c r="J62" t="s">
        <v>353</v>
      </c>
      <c r="K62" t="s">
        <v>356</v>
      </c>
      <c r="L62" t="s">
        <v>255</v>
      </c>
      <c r="M62" t="s">
        <v>170</v>
      </c>
      <c r="N62" t="s">
        <v>9</v>
      </c>
      <c r="O62" t="s">
        <v>355</v>
      </c>
      <c r="AH62" t="s">
        <v>151</v>
      </c>
      <c r="AI62" t="s">
        <v>152</v>
      </c>
    </row>
    <row r="63" spans="1:35" x14ac:dyDescent="0.2">
      <c r="A63">
        <v>12404714986</v>
      </c>
      <c r="B63">
        <v>396431383</v>
      </c>
      <c r="C63" s="28">
        <v>44239.461111111108</v>
      </c>
      <c r="D63" s="28">
        <v>44239.646851851852</v>
      </c>
      <c r="E63" t="s">
        <v>357</v>
      </c>
      <c r="J63" t="s">
        <v>268</v>
      </c>
      <c r="K63" t="s">
        <v>358</v>
      </c>
      <c r="L63" t="s">
        <v>249</v>
      </c>
      <c r="M63" t="s">
        <v>152</v>
      </c>
      <c r="N63" t="s">
        <v>9</v>
      </c>
      <c r="O63" t="s">
        <v>359</v>
      </c>
    </row>
    <row r="64" spans="1:35" x14ac:dyDescent="0.2">
      <c r="A64">
        <v>12404557351</v>
      </c>
      <c r="B64">
        <v>396431383</v>
      </c>
      <c r="C64" s="28">
        <v>44235.455543981479</v>
      </c>
      <c r="D64" s="28">
        <v>44242.490254629629</v>
      </c>
      <c r="E64" t="s">
        <v>360</v>
      </c>
      <c r="J64" t="s">
        <v>361</v>
      </c>
      <c r="K64" t="s">
        <v>362</v>
      </c>
      <c r="L64" t="s">
        <v>249</v>
      </c>
      <c r="M64" t="s">
        <v>152</v>
      </c>
      <c r="P64">
        <v>783</v>
      </c>
      <c r="Q64">
        <v>9</v>
      </c>
      <c r="R64">
        <v>43</v>
      </c>
      <c r="S64">
        <v>0</v>
      </c>
      <c r="T64">
        <v>0</v>
      </c>
      <c r="U64">
        <v>1</v>
      </c>
      <c r="V64">
        <v>316</v>
      </c>
      <c r="W64">
        <v>0</v>
      </c>
      <c r="X64">
        <v>408</v>
      </c>
      <c r="Y64">
        <v>777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100</v>
      </c>
      <c r="AG64">
        <v>0</v>
      </c>
      <c r="AH64" t="s">
        <v>151</v>
      </c>
      <c r="AI64" t="s">
        <v>152</v>
      </c>
    </row>
    <row r="65" spans="1:35" x14ac:dyDescent="0.2">
      <c r="A65">
        <v>12403830202</v>
      </c>
      <c r="B65">
        <v>396431383</v>
      </c>
      <c r="C65" s="28">
        <v>44239.337013888886</v>
      </c>
      <c r="D65" s="28">
        <v>44239.338067129633</v>
      </c>
      <c r="E65" t="s">
        <v>363</v>
      </c>
      <c r="J65" t="s">
        <v>364</v>
      </c>
      <c r="K65" t="s">
        <v>365</v>
      </c>
      <c r="L65" t="s">
        <v>249</v>
      </c>
      <c r="M65" t="s">
        <v>170</v>
      </c>
    </row>
    <row r="66" spans="1:35" x14ac:dyDescent="0.2">
      <c r="A66">
        <v>12401970848</v>
      </c>
      <c r="B66">
        <v>396431383</v>
      </c>
      <c r="C66" s="28">
        <v>44238.715810185182</v>
      </c>
      <c r="D66" s="28">
        <v>44238.716747685183</v>
      </c>
      <c r="E66" t="s">
        <v>207</v>
      </c>
      <c r="J66" t="s">
        <v>366</v>
      </c>
      <c r="K66" t="s">
        <v>367</v>
      </c>
      <c r="L66" t="s">
        <v>255</v>
      </c>
      <c r="M66" t="s">
        <v>170</v>
      </c>
      <c r="N66" t="s">
        <v>9</v>
      </c>
      <c r="O66" t="s">
        <v>368</v>
      </c>
      <c r="AH66" t="s">
        <v>151</v>
      </c>
      <c r="AI66" t="s">
        <v>170</v>
      </c>
    </row>
    <row r="67" spans="1:35" x14ac:dyDescent="0.2">
      <c r="A67">
        <v>12401964538</v>
      </c>
      <c r="B67">
        <v>396431383</v>
      </c>
      <c r="C67" s="28">
        <v>44238.70244212963</v>
      </c>
      <c r="D67" s="28">
        <v>44238.71533564815</v>
      </c>
      <c r="E67" t="s">
        <v>207</v>
      </c>
      <c r="J67" t="s">
        <v>366</v>
      </c>
      <c r="K67" t="s">
        <v>369</v>
      </c>
      <c r="L67" t="s">
        <v>249</v>
      </c>
      <c r="M67" t="s">
        <v>152</v>
      </c>
      <c r="P67">
        <v>10</v>
      </c>
      <c r="Q67">
        <v>10</v>
      </c>
      <c r="Y67">
        <v>10</v>
      </c>
      <c r="AF67">
        <v>100</v>
      </c>
      <c r="AH67" t="s">
        <v>151</v>
      </c>
      <c r="AI67" t="s">
        <v>170</v>
      </c>
    </row>
    <row r="68" spans="1:35" x14ac:dyDescent="0.2">
      <c r="A68">
        <v>12401919395</v>
      </c>
      <c r="B68">
        <v>396431383</v>
      </c>
      <c r="C68" s="28">
        <v>44238.703865740739</v>
      </c>
      <c r="D68" s="28">
        <v>44238.712939814817</v>
      </c>
      <c r="E68" t="s">
        <v>207</v>
      </c>
      <c r="J68" t="s">
        <v>366</v>
      </c>
      <c r="K68" t="s">
        <v>370</v>
      </c>
      <c r="L68" t="s">
        <v>249</v>
      </c>
      <c r="M68" t="s">
        <v>152</v>
      </c>
      <c r="P68">
        <v>5</v>
      </c>
      <c r="Q68">
        <v>5</v>
      </c>
      <c r="Y68">
        <v>5</v>
      </c>
      <c r="AF68">
        <v>100</v>
      </c>
      <c r="AH68" t="s">
        <v>151</v>
      </c>
      <c r="AI68" t="s">
        <v>170</v>
      </c>
    </row>
    <row r="69" spans="1:35" x14ac:dyDescent="0.2">
      <c r="A69">
        <v>12399332344</v>
      </c>
      <c r="B69">
        <v>396431383</v>
      </c>
      <c r="C69" s="28">
        <v>44237.843055555553</v>
      </c>
      <c r="D69" s="28">
        <v>44237.8434375</v>
      </c>
      <c r="E69" t="s">
        <v>371</v>
      </c>
      <c r="J69" t="s">
        <v>372</v>
      </c>
      <c r="K69" t="s">
        <v>373</v>
      </c>
      <c r="L69" t="s">
        <v>249</v>
      </c>
      <c r="M69" t="s">
        <v>170</v>
      </c>
      <c r="N69" t="s">
        <v>9</v>
      </c>
      <c r="O69" t="s">
        <v>374</v>
      </c>
      <c r="AH69" t="s">
        <v>151</v>
      </c>
      <c r="AI69" t="s">
        <v>152</v>
      </c>
    </row>
    <row r="70" spans="1:35" x14ac:dyDescent="0.2">
      <c r="A70">
        <v>12399329650</v>
      </c>
      <c r="B70">
        <v>396431383</v>
      </c>
      <c r="C70" s="28">
        <v>44237.842407407406</v>
      </c>
      <c r="D70" s="28">
        <v>44237.842812499999</v>
      </c>
      <c r="E70" t="s">
        <v>371</v>
      </c>
      <c r="J70" t="s">
        <v>372</v>
      </c>
      <c r="K70" t="s">
        <v>373</v>
      </c>
      <c r="L70" t="s">
        <v>249</v>
      </c>
      <c r="M70" t="s">
        <v>170</v>
      </c>
      <c r="N70" t="s">
        <v>9</v>
      </c>
      <c r="O70" t="s">
        <v>374</v>
      </c>
      <c r="AH70" t="s">
        <v>151</v>
      </c>
      <c r="AI70" t="s">
        <v>170</v>
      </c>
    </row>
    <row r="71" spans="1:35" x14ac:dyDescent="0.2">
      <c r="A71">
        <v>12399324038</v>
      </c>
      <c r="B71">
        <v>396431383</v>
      </c>
      <c r="C71" s="28">
        <v>44237.840949074074</v>
      </c>
      <c r="D71" s="28">
        <v>44237.841585648152</v>
      </c>
      <c r="E71" t="s">
        <v>375</v>
      </c>
      <c r="J71" t="s">
        <v>372</v>
      </c>
      <c r="K71" t="s">
        <v>376</v>
      </c>
      <c r="L71" t="s">
        <v>249</v>
      </c>
      <c r="M71" t="s">
        <v>170</v>
      </c>
      <c r="N71" t="s">
        <v>9</v>
      </c>
      <c r="O71" t="s">
        <v>377</v>
      </c>
      <c r="AH71" t="s">
        <v>151</v>
      </c>
      <c r="AI71" t="s">
        <v>152</v>
      </c>
    </row>
    <row r="72" spans="1:35" x14ac:dyDescent="0.2">
      <c r="A72">
        <v>12398521067</v>
      </c>
      <c r="B72">
        <v>396431383</v>
      </c>
      <c r="C72" s="28">
        <v>44237.673784722225</v>
      </c>
      <c r="D72" s="28">
        <v>44237.679224537038</v>
      </c>
      <c r="E72" t="s">
        <v>378</v>
      </c>
      <c r="J72" t="s">
        <v>379</v>
      </c>
      <c r="K72" t="s">
        <v>380</v>
      </c>
      <c r="L72" t="s">
        <v>255</v>
      </c>
      <c r="M72" t="s">
        <v>152</v>
      </c>
      <c r="P72">
        <v>63</v>
      </c>
      <c r="Q72">
        <v>23</v>
      </c>
      <c r="R72">
        <v>40</v>
      </c>
      <c r="Y72">
        <v>100</v>
      </c>
      <c r="AF72">
        <v>100</v>
      </c>
      <c r="AH72" t="s">
        <v>169</v>
      </c>
      <c r="AI72" t="s">
        <v>152</v>
      </c>
    </row>
    <row r="73" spans="1:35" x14ac:dyDescent="0.2">
      <c r="A73">
        <v>12398513838</v>
      </c>
      <c r="B73">
        <v>396431383</v>
      </c>
      <c r="C73" s="28">
        <v>44237.672673611109</v>
      </c>
      <c r="D73" s="28">
        <v>44237.673657407409</v>
      </c>
      <c r="E73" t="s">
        <v>378</v>
      </c>
      <c r="J73" t="s">
        <v>379</v>
      </c>
      <c r="K73" t="s">
        <v>381</v>
      </c>
      <c r="L73" t="s">
        <v>249</v>
      </c>
      <c r="M73" t="s">
        <v>152</v>
      </c>
      <c r="P73">
        <v>100</v>
      </c>
      <c r="Q73">
        <v>100</v>
      </c>
      <c r="Y73">
        <v>100</v>
      </c>
      <c r="AF73">
        <v>100</v>
      </c>
      <c r="AH73" t="s">
        <v>169</v>
      </c>
      <c r="AI73" t="s">
        <v>152</v>
      </c>
    </row>
    <row r="74" spans="1:35" x14ac:dyDescent="0.2">
      <c r="A74">
        <v>12398506922</v>
      </c>
      <c r="B74">
        <v>396431383</v>
      </c>
      <c r="C74" s="28">
        <v>44237.669872685183</v>
      </c>
      <c r="D74" s="28">
        <v>44237.672106481485</v>
      </c>
      <c r="E74" t="s">
        <v>378</v>
      </c>
      <c r="J74" t="s">
        <v>379</v>
      </c>
      <c r="K74" t="s">
        <v>382</v>
      </c>
      <c r="L74" t="s">
        <v>249</v>
      </c>
      <c r="M74" t="s">
        <v>152</v>
      </c>
      <c r="P74">
        <v>8</v>
      </c>
      <c r="Q74">
        <v>8</v>
      </c>
      <c r="Y74">
        <v>100</v>
      </c>
      <c r="AE74">
        <v>100</v>
      </c>
      <c r="AH74" t="s">
        <v>169</v>
      </c>
      <c r="AI74" t="s">
        <v>152</v>
      </c>
    </row>
    <row r="75" spans="1:35" x14ac:dyDescent="0.2">
      <c r="A75">
        <v>12398490317</v>
      </c>
      <c r="B75">
        <v>396431383</v>
      </c>
      <c r="C75" s="28">
        <v>44237.668020833335</v>
      </c>
      <c r="D75" s="28">
        <v>44237.669386574074</v>
      </c>
      <c r="E75" t="s">
        <v>378</v>
      </c>
      <c r="J75" t="s">
        <v>379</v>
      </c>
      <c r="K75" t="s">
        <v>383</v>
      </c>
      <c r="L75" t="s">
        <v>249</v>
      </c>
      <c r="M75" t="s">
        <v>152</v>
      </c>
      <c r="P75">
        <v>200</v>
      </c>
      <c r="R75">
        <v>200</v>
      </c>
      <c r="Y75">
        <v>200</v>
      </c>
      <c r="AF75">
        <v>100</v>
      </c>
      <c r="AH75" t="s">
        <v>169</v>
      </c>
      <c r="AI75" t="s">
        <v>152</v>
      </c>
    </row>
    <row r="76" spans="1:35" x14ac:dyDescent="0.2">
      <c r="A76">
        <v>12398167688</v>
      </c>
      <c r="B76">
        <v>396431383</v>
      </c>
      <c r="C76" s="28">
        <v>44237.602384259262</v>
      </c>
      <c r="D76" s="28">
        <v>44237.603587962964</v>
      </c>
      <c r="E76" t="s">
        <v>384</v>
      </c>
      <c r="J76" t="s">
        <v>385</v>
      </c>
      <c r="K76" t="s">
        <v>386</v>
      </c>
      <c r="L76" t="s">
        <v>255</v>
      </c>
      <c r="M76" t="s">
        <v>170</v>
      </c>
      <c r="N76" t="s">
        <v>9</v>
      </c>
      <c r="O76" t="s">
        <v>387</v>
      </c>
      <c r="AH76" t="s">
        <v>151</v>
      </c>
      <c r="AI76" t="s">
        <v>152</v>
      </c>
    </row>
    <row r="77" spans="1:35" x14ac:dyDescent="0.2">
      <c r="A77">
        <v>12397725727</v>
      </c>
      <c r="B77">
        <v>396431383</v>
      </c>
      <c r="C77" s="28">
        <v>44237.470196759263</v>
      </c>
      <c r="D77" s="28">
        <v>44237.471655092595</v>
      </c>
      <c r="E77" t="s">
        <v>388</v>
      </c>
      <c r="J77" t="s">
        <v>311</v>
      </c>
      <c r="K77" t="s">
        <v>389</v>
      </c>
      <c r="L77" t="s">
        <v>249</v>
      </c>
      <c r="M77" t="s">
        <v>152</v>
      </c>
      <c r="P77">
        <v>109</v>
      </c>
      <c r="Q77">
        <v>30</v>
      </c>
      <c r="R77">
        <v>62</v>
      </c>
      <c r="X77">
        <v>17</v>
      </c>
      <c r="Y77">
        <v>109</v>
      </c>
      <c r="AF77">
        <v>100</v>
      </c>
      <c r="AH77" t="s">
        <v>151</v>
      </c>
      <c r="AI77" t="s">
        <v>152</v>
      </c>
    </row>
    <row r="78" spans="1:35" x14ac:dyDescent="0.2">
      <c r="A78">
        <v>12397724611</v>
      </c>
      <c r="B78">
        <v>396431383</v>
      </c>
      <c r="C78" s="28">
        <v>44237.46974537037</v>
      </c>
      <c r="D78" s="28">
        <v>44237.470104166663</v>
      </c>
      <c r="E78" t="s">
        <v>388</v>
      </c>
      <c r="J78" t="s">
        <v>311</v>
      </c>
      <c r="K78" t="s">
        <v>390</v>
      </c>
      <c r="L78" t="s">
        <v>255</v>
      </c>
      <c r="M78" t="s">
        <v>170</v>
      </c>
      <c r="N78" t="s">
        <v>9</v>
      </c>
      <c r="O78" t="s">
        <v>391</v>
      </c>
      <c r="AH78" t="s">
        <v>151</v>
      </c>
      <c r="AI78" t="s">
        <v>152</v>
      </c>
    </row>
    <row r="79" spans="1:35" x14ac:dyDescent="0.2">
      <c r="A79">
        <v>12397723091</v>
      </c>
      <c r="B79">
        <v>396431383</v>
      </c>
      <c r="C79" s="28">
        <v>44237.468819444446</v>
      </c>
      <c r="D79" s="28">
        <v>44237.469583333332</v>
      </c>
      <c r="E79" t="s">
        <v>388</v>
      </c>
      <c r="J79" t="s">
        <v>311</v>
      </c>
      <c r="K79" t="s">
        <v>392</v>
      </c>
      <c r="L79" t="s">
        <v>249</v>
      </c>
      <c r="M79" t="s">
        <v>170</v>
      </c>
      <c r="N79" t="s">
        <v>9</v>
      </c>
      <c r="O79" t="s">
        <v>391</v>
      </c>
      <c r="AH79" t="s">
        <v>151</v>
      </c>
      <c r="AI79" t="s">
        <v>152</v>
      </c>
    </row>
    <row r="80" spans="1:35" x14ac:dyDescent="0.2">
      <c r="A80">
        <v>12396228154</v>
      </c>
      <c r="B80">
        <v>396431383</v>
      </c>
      <c r="C80" s="28">
        <v>44236.911886574075</v>
      </c>
      <c r="D80" s="28">
        <v>44236.914756944447</v>
      </c>
      <c r="E80" t="s">
        <v>393</v>
      </c>
      <c r="J80" t="s">
        <v>394</v>
      </c>
      <c r="K80" t="s">
        <v>395</v>
      </c>
      <c r="L80" t="s">
        <v>255</v>
      </c>
      <c r="M80" t="s">
        <v>152</v>
      </c>
      <c r="P80">
        <v>129</v>
      </c>
      <c r="R80">
        <v>15</v>
      </c>
      <c r="S80">
        <v>110</v>
      </c>
      <c r="W80">
        <v>4</v>
      </c>
      <c r="Y80">
        <v>19</v>
      </c>
      <c r="Z80">
        <v>110</v>
      </c>
      <c r="AF80">
        <v>100</v>
      </c>
      <c r="AH80" t="s">
        <v>151</v>
      </c>
      <c r="AI80" t="s">
        <v>152</v>
      </c>
    </row>
    <row r="81" spans="1:35" x14ac:dyDescent="0.2">
      <c r="A81">
        <v>12395085990</v>
      </c>
      <c r="B81">
        <v>396431383</v>
      </c>
      <c r="C81" s="28">
        <v>44236.669722222221</v>
      </c>
      <c r="D81" s="28">
        <v>44236.682789351849</v>
      </c>
      <c r="E81" t="s">
        <v>207</v>
      </c>
      <c r="J81" t="s">
        <v>208</v>
      </c>
      <c r="K81" t="s">
        <v>209</v>
      </c>
      <c r="L81" t="s">
        <v>255</v>
      </c>
      <c r="M81" t="s">
        <v>152</v>
      </c>
      <c r="P81">
        <v>75</v>
      </c>
      <c r="R81">
        <v>10</v>
      </c>
      <c r="S81">
        <v>65</v>
      </c>
      <c r="Y81">
        <v>75</v>
      </c>
      <c r="AF81">
        <v>100</v>
      </c>
      <c r="AH81" t="s">
        <v>151</v>
      </c>
      <c r="AI81" t="s">
        <v>152</v>
      </c>
    </row>
    <row r="82" spans="1:35" x14ac:dyDescent="0.2">
      <c r="A82">
        <v>12395071192</v>
      </c>
      <c r="B82">
        <v>396431383</v>
      </c>
      <c r="C82" s="28">
        <v>44236.667638888888</v>
      </c>
      <c r="D82" s="28">
        <v>44236.669479166667</v>
      </c>
      <c r="E82" t="s">
        <v>207</v>
      </c>
      <c r="J82" t="s">
        <v>208</v>
      </c>
      <c r="K82" t="s">
        <v>396</v>
      </c>
      <c r="L82" t="s">
        <v>249</v>
      </c>
      <c r="M82" t="s">
        <v>152</v>
      </c>
      <c r="P82">
        <v>410</v>
      </c>
      <c r="Q82">
        <v>350</v>
      </c>
      <c r="R82">
        <v>5</v>
      </c>
      <c r="X82">
        <v>55</v>
      </c>
      <c r="Y82">
        <v>405</v>
      </c>
      <c r="Z82">
        <v>5</v>
      </c>
      <c r="AF82">
        <v>93</v>
      </c>
      <c r="AG82">
        <v>7</v>
      </c>
      <c r="AH82" t="s">
        <v>151</v>
      </c>
      <c r="AI82" t="s">
        <v>152</v>
      </c>
    </row>
    <row r="83" spans="1:35" x14ac:dyDescent="0.2">
      <c r="A83">
        <v>12395028124</v>
      </c>
      <c r="B83">
        <v>396431383</v>
      </c>
      <c r="C83" s="28">
        <v>44236.659756944442</v>
      </c>
      <c r="D83" s="28">
        <v>44236.661481481482</v>
      </c>
      <c r="E83" t="s">
        <v>286</v>
      </c>
      <c r="J83" t="s">
        <v>397</v>
      </c>
      <c r="K83" t="s">
        <v>287</v>
      </c>
      <c r="L83" t="s">
        <v>255</v>
      </c>
      <c r="M83" t="s">
        <v>170</v>
      </c>
    </row>
    <row r="84" spans="1:35" x14ac:dyDescent="0.2">
      <c r="A84">
        <v>12394350710</v>
      </c>
      <c r="B84">
        <v>396431383</v>
      </c>
      <c r="C84" s="28">
        <v>44236.484027777777</v>
      </c>
      <c r="D84" s="28">
        <v>44236.489537037036</v>
      </c>
      <c r="E84" t="s">
        <v>398</v>
      </c>
      <c r="J84" t="s">
        <v>399</v>
      </c>
      <c r="K84" t="s">
        <v>400</v>
      </c>
      <c r="L84" t="s">
        <v>255</v>
      </c>
      <c r="M84" t="s">
        <v>152</v>
      </c>
      <c r="P84">
        <v>50</v>
      </c>
      <c r="Q84">
        <v>10</v>
      </c>
      <c r="V84">
        <v>40</v>
      </c>
      <c r="Y84">
        <v>50</v>
      </c>
      <c r="AF84">
        <v>100</v>
      </c>
      <c r="AH84" t="s">
        <v>151</v>
      </c>
      <c r="AI84" t="s">
        <v>152</v>
      </c>
    </row>
    <row r="85" spans="1:35" x14ac:dyDescent="0.2">
      <c r="A85">
        <v>12394349771</v>
      </c>
      <c r="B85">
        <v>396431383</v>
      </c>
      <c r="C85" s="28">
        <v>44236.483773148146</v>
      </c>
      <c r="D85" s="28">
        <v>44236.483969907407</v>
      </c>
      <c r="E85" t="s">
        <v>398</v>
      </c>
      <c r="J85" t="s">
        <v>399</v>
      </c>
      <c r="K85" t="s">
        <v>401</v>
      </c>
      <c r="L85" t="s">
        <v>255</v>
      </c>
      <c r="M85" t="s">
        <v>170</v>
      </c>
      <c r="N85" t="s">
        <v>402</v>
      </c>
      <c r="AH85" t="s">
        <v>151</v>
      </c>
      <c r="AI85" t="s">
        <v>152</v>
      </c>
    </row>
    <row r="86" spans="1:35" x14ac:dyDescent="0.2">
      <c r="A86">
        <v>12394347654</v>
      </c>
      <c r="B86">
        <v>396431383</v>
      </c>
      <c r="C86" s="28">
        <v>44236.48201388889</v>
      </c>
      <c r="D86" s="28">
        <v>44236.483506944445</v>
      </c>
      <c r="E86" t="s">
        <v>398</v>
      </c>
      <c r="J86" t="s">
        <v>399</v>
      </c>
      <c r="K86" t="s">
        <v>403</v>
      </c>
      <c r="L86" t="s">
        <v>255</v>
      </c>
      <c r="M86" t="s">
        <v>170</v>
      </c>
      <c r="N86" t="s">
        <v>402</v>
      </c>
      <c r="AH86" t="s">
        <v>151</v>
      </c>
      <c r="AI86" t="s">
        <v>152</v>
      </c>
    </row>
    <row r="87" spans="1:35" x14ac:dyDescent="0.2">
      <c r="A87">
        <v>12394148316</v>
      </c>
      <c r="B87">
        <v>396431383</v>
      </c>
      <c r="C87" s="28">
        <v>44236.406377314815</v>
      </c>
      <c r="D87" s="28">
        <v>44236.437303240738</v>
      </c>
      <c r="E87" t="s">
        <v>404</v>
      </c>
      <c r="J87" t="s">
        <v>353</v>
      </c>
      <c r="K87" t="s">
        <v>405</v>
      </c>
      <c r="L87" t="s">
        <v>255</v>
      </c>
      <c r="M87" t="s">
        <v>152</v>
      </c>
      <c r="P87">
        <v>4</v>
      </c>
      <c r="Q87">
        <v>1</v>
      </c>
      <c r="R87">
        <v>1</v>
      </c>
      <c r="T87">
        <v>2</v>
      </c>
      <c r="Y87">
        <v>3</v>
      </c>
      <c r="Z87">
        <v>1</v>
      </c>
      <c r="AF87">
        <v>100</v>
      </c>
      <c r="AH87" t="s">
        <v>151</v>
      </c>
      <c r="AI87" t="s">
        <v>170</v>
      </c>
    </row>
    <row r="88" spans="1:35" x14ac:dyDescent="0.2">
      <c r="A88">
        <v>12391608939</v>
      </c>
      <c r="B88">
        <v>396431383</v>
      </c>
      <c r="C88" s="28">
        <v>44235.626250000001</v>
      </c>
      <c r="D88" s="28">
        <v>44235.627013888887</v>
      </c>
      <c r="E88" t="s">
        <v>301</v>
      </c>
      <c r="J88" t="s">
        <v>304</v>
      </c>
      <c r="K88" t="s">
        <v>302</v>
      </c>
      <c r="L88" t="s">
        <v>249</v>
      </c>
      <c r="M88" t="s">
        <v>152</v>
      </c>
    </row>
    <row r="89" spans="1:35" x14ac:dyDescent="0.2">
      <c r="A89">
        <v>12386450134</v>
      </c>
      <c r="B89">
        <v>396431383</v>
      </c>
      <c r="C89" s="28">
        <v>44232.800092592595</v>
      </c>
      <c r="D89" s="28">
        <v>44232.805891203701</v>
      </c>
      <c r="E89" t="s">
        <v>406</v>
      </c>
      <c r="J89" t="s">
        <v>407</v>
      </c>
      <c r="K89" t="s">
        <v>408</v>
      </c>
      <c r="L89" t="s">
        <v>255</v>
      </c>
      <c r="M89" t="s">
        <v>152</v>
      </c>
      <c r="P89">
        <v>415</v>
      </c>
      <c r="Q89">
        <v>361</v>
      </c>
      <c r="R89">
        <v>54</v>
      </c>
      <c r="Y89">
        <v>128</v>
      </c>
      <c r="AA89">
        <v>287</v>
      </c>
      <c r="AF89">
        <v>100</v>
      </c>
      <c r="AH89" t="s">
        <v>151</v>
      </c>
      <c r="AI89" t="s">
        <v>152</v>
      </c>
    </row>
    <row r="90" spans="1:35" x14ac:dyDescent="0.2">
      <c r="A90">
        <v>12385088736</v>
      </c>
      <c r="B90">
        <v>396431383</v>
      </c>
      <c r="C90" s="28">
        <v>44232.455995370372</v>
      </c>
      <c r="D90" s="28">
        <v>44232.456747685188</v>
      </c>
      <c r="E90" t="s">
        <v>409</v>
      </c>
      <c r="J90" t="s">
        <v>410</v>
      </c>
      <c r="K90" t="s">
        <v>411</v>
      </c>
      <c r="L90" t="s">
        <v>249</v>
      </c>
      <c r="M90" t="s">
        <v>170</v>
      </c>
      <c r="N90" t="s">
        <v>9</v>
      </c>
      <c r="O90" t="s">
        <v>412</v>
      </c>
      <c r="AH90" t="s">
        <v>151</v>
      </c>
      <c r="AI90" t="s">
        <v>152</v>
      </c>
    </row>
    <row r="91" spans="1:35" x14ac:dyDescent="0.2">
      <c r="A91">
        <v>12385087627</v>
      </c>
      <c r="B91">
        <v>396431383</v>
      </c>
      <c r="C91" s="28">
        <v>44232.455254629633</v>
      </c>
      <c r="D91" s="28">
        <v>44232.45584490741</v>
      </c>
      <c r="E91" t="s">
        <v>409</v>
      </c>
      <c r="J91" t="s">
        <v>410</v>
      </c>
      <c r="K91" t="s">
        <v>411</v>
      </c>
      <c r="L91" t="s">
        <v>249</v>
      </c>
      <c r="M91" t="s">
        <v>152</v>
      </c>
    </row>
    <row r="92" spans="1:35" x14ac:dyDescent="0.2">
      <c r="A92">
        <v>12383203508</v>
      </c>
      <c r="B92">
        <v>396431383</v>
      </c>
      <c r="C92" s="28">
        <v>44231.821921296294</v>
      </c>
      <c r="D92" s="28">
        <v>44231.82267361111</v>
      </c>
      <c r="E92" t="s">
        <v>298</v>
      </c>
      <c r="J92" t="s">
        <v>299</v>
      </c>
      <c r="K92" t="s">
        <v>413</v>
      </c>
      <c r="L92" t="s">
        <v>255</v>
      </c>
      <c r="M92" t="s">
        <v>170</v>
      </c>
      <c r="N92" t="s">
        <v>9</v>
      </c>
      <c r="O92" t="s">
        <v>414</v>
      </c>
    </row>
    <row r="93" spans="1:35" x14ac:dyDescent="0.2">
      <c r="A93">
        <v>12382623162</v>
      </c>
      <c r="B93">
        <v>396431383</v>
      </c>
      <c r="C93" s="28">
        <v>44231.692870370367</v>
      </c>
      <c r="D93" s="28">
        <v>44231.703125</v>
      </c>
      <c r="E93" t="s">
        <v>415</v>
      </c>
      <c r="J93" t="s">
        <v>416</v>
      </c>
      <c r="K93" t="s">
        <v>417</v>
      </c>
      <c r="L93" t="s">
        <v>255</v>
      </c>
      <c r="M93" t="s">
        <v>152</v>
      </c>
      <c r="P93">
        <v>1382</v>
      </c>
      <c r="Q93">
        <v>961</v>
      </c>
      <c r="R93">
        <v>171</v>
      </c>
      <c r="S93">
        <v>250</v>
      </c>
      <c r="Y93">
        <v>478</v>
      </c>
      <c r="Z93">
        <v>904</v>
      </c>
      <c r="AD93">
        <v>27</v>
      </c>
      <c r="AF93">
        <v>73</v>
      </c>
      <c r="AH93" t="s">
        <v>151</v>
      </c>
      <c r="AI93" t="s">
        <v>152</v>
      </c>
    </row>
    <row r="94" spans="1:35" x14ac:dyDescent="0.2">
      <c r="A94">
        <v>12382489487</v>
      </c>
      <c r="B94">
        <v>396431383</v>
      </c>
      <c r="C94" s="28">
        <v>44231.664826388886</v>
      </c>
      <c r="D94" s="28">
        <v>44231.665752314817</v>
      </c>
      <c r="E94" t="s">
        <v>298</v>
      </c>
      <c r="J94" t="s">
        <v>299</v>
      </c>
      <c r="K94" t="s">
        <v>413</v>
      </c>
      <c r="L94" t="s">
        <v>255</v>
      </c>
      <c r="M94" t="s">
        <v>170</v>
      </c>
    </row>
    <row r="95" spans="1:35" x14ac:dyDescent="0.2">
      <c r="A95">
        <v>12382442676</v>
      </c>
      <c r="B95">
        <v>396431383</v>
      </c>
      <c r="C95" s="28">
        <v>44231.654895833337</v>
      </c>
      <c r="D95" s="28">
        <v>44231.656053240738</v>
      </c>
      <c r="E95" t="s">
        <v>418</v>
      </c>
      <c r="J95" t="s">
        <v>399</v>
      </c>
      <c r="K95" t="s">
        <v>403</v>
      </c>
      <c r="L95" t="s">
        <v>255</v>
      </c>
      <c r="M95" t="s">
        <v>170</v>
      </c>
      <c r="N95" t="s">
        <v>402</v>
      </c>
    </row>
    <row r="96" spans="1:35" x14ac:dyDescent="0.2">
      <c r="A96">
        <v>12379512943</v>
      </c>
      <c r="B96">
        <v>396431383</v>
      </c>
      <c r="C96" s="28">
        <v>44230.748738425929</v>
      </c>
      <c r="D96" s="28">
        <v>44230.772476851853</v>
      </c>
      <c r="E96" t="s">
        <v>267</v>
      </c>
      <c r="J96" t="s">
        <v>268</v>
      </c>
      <c r="K96" t="s">
        <v>419</v>
      </c>
      <c r="L96" t="s">
        <v>249</v>
      </c>
      <c r="M96" t="s">
        <v>152</v>
      </c>
      <c r="P96">
        <v>30</v>
      </c>
      <c r="V96">
        <v>30</v>
      </c>
      <c r="Y96">
        <v>30</v>
      </c>
      <c r="AG96">
        <v>100</v>
      </c>
      <c r="AH96" t="s">
        <v>151</v>
      </c>
      <c r="AI96" t="s">
        <v>152</v>
      </c>
    </row>
    <row r="97" spans="1:35" x14ac:dyDescent="0.2">
      <c r="A97">
        <v>12379481996</v>
      </c>
      <c r="B97">
        <v>396431383</v>
      </c>
      <c r="C97" s="28">
        <v>44230.745428240742</v>
      </c>
      <c r="D97" s="28">
        <v>44230.748599537037</v>
      </c>
      <c r="E97" t="s">
        <v>267</v>
      </c>
      <c r="J97" t="s">
        <v>268</v>
      </c>
      <c r="K97" t="s">
        <v>420</v>
      </c>
      <c r="L97" t="s">
        <v>249</v>
      </c>
      <c r="M97" t="s">
        <v>152</v>
      </c>
      <c r="P97">
        <v>6150000</v>
      </c>
      <c r="Q97">
        <v>4500000</v>
      </c>
      <c r="V97">
        <v>1650000</v>
      </c>
      <c r="Y97">
        <v>6150000</v>
      </c>
      <c r="AF97">
        <v>100</v>
      </c>
      <c r="AH97" t="s">
        <v>151</v>
      </c>
      <c r="AI97" t="s">
        <v>152</v>
      </c>
    </row>
    <row r="98" spans="1:35" x14ac:dyDescent="0.2">
      <c r="A98">
        <v>12378281166</v>
      </c>
      <c r="B98">
        <v>396431383</v>
      </c>
      <c r="C98" s="28">
        <v>44230.497847222221</v>
      </c>
      <c r="D98" s="28">
        <v>44230.498657407406</v>
      </c>
      <c r="E98" t="s">
        <v>421</v>
      </c>
      <c r="J98" t="s">
        <v>422</v>
      </c>
      <c r="K98" t="s">
        <v>423</v>
      </c>
      <c r="L98" t="s">
        <v>255</v>
      </c>
      <c r="M98" t="s">
        <v>152</v>
      </c>
      <c r="P98">
        <v>10</v>
      </c>
      <c r="U98">
        <v>10</v>
      </c>
      <c r="AA98">
        <v>10</v>
      </c>
      <c r="AF98">
        <v>100</v>
      </c>
      <c r="AH98" t="s">
        <v>151</v>
      </c>
      <c r="AI98" t="s">
        <v>152</v>
      </c>
    </row>
    <row r="99" spans="1:35" x14ac:dyDescent="0.2">
      <c r="A99">
        <v>12378275082</v>
      </c>
      <c r="B99">
        <v>396431383</v>
      </c>
      <c r="C99" s="28">
        <v>44230.495011574072</v>
      </c>
      <c r="D99" s="28">
        <v>44230.496342592596</v>
      </c>
      <c r="E99" t="s">
        <v>421</v>
      </c>
      <c r="J99" t="s">
        <v>422</v>
      </c>
      <c r="K99" t="s">
        <v>423</v>
      </c>
      <c r="L99" t="s">
        <v>255</v>
      </c>
      <c r="M99" t="s">
        <v>152</v>
      </c>
    </row>
    <row r="100" spans="1:35" x14ac:dyDescent="0.2">
      <c r="A100">
        <v>12378164773</v>
      </c>
      <c r="B100">
        <v>396431383</v>
      </c>
      <c r="C100" s="28">
        <v>44230.464629629627</v>
      </c>
      <c r="D100" s="28">
        <v>44230.46533564815</v>
      </c>
      <c r="E100" t="s">
        <v>424</v>
      </c>
      <c r="J100" t="s">
        <v>425</v>
      </c>
      <c r="K100" t="s">
        <v>426</v>
      </c>
      <c r="L100" t="s">
        <v>249</v>
      </c>
      <c r="M100" t="s">
        <v>152</v>
      </c>
      <c r="P100">
        <v>38</v>
      </c>
      <c r="Q100">
        <v>3</v>
      </c>
      <c r="V100">
        <v>35</v>
      </c>
      <c r="AD100">
        <v>90</v>
      </c>
      <c r="AF100">
        <v>10</v>
      </c>
      <c r="AH100" t="s">
        <v>151</v>
      </c>
      <c r="AI100" t="s">
        <v>152</v>
      </c>
    </row>
    <row r="101" spans="1:35" x14ac:dyDescent="0.2">
      <c r="A101">
        <v>12378156762</v>
      </c>
      <c r="B101">
        <v>396431383</v>
      </c>
      <c r="C101" s="28">
        <v>44230.462442129632</v>
      </c>
      <c r="D101" s="28">
        <v>44230.464432870373</v>
      </c>
      <c r="E101" t="s">
        <v>424</v>
      </c>
      <c r="J101" t="s">
        <v>425</v>
      </c>
      <c r="K101" t="s">
        <v>427</v>
      </c>
      <c r="L101" t="s">
        <v>249</v>
      </c>
      <c r="M101" t="s">
        <v>152</v>
      </c>
      <c r="P101">
        <v>209</v>
      </c>
      <c r="Q101">
        <v>186810000</v>
      </c>
      <c r="R101">
        <v>970000</v>
      </c>
      <c r="S101">
        <v>1300000</v>
      </c>
      <c r="V101">
        <v>20000000</v>
      </c>
      <c r="Y101">
        <v>209080000</v>
      </c>
      <c r="AF101">
        <v>100</v>
      </c>
      <c r="AH101" t="s">
        <v>151</v>
      </c>
      <c r="AI101" t="s">
        <v>152</v>
      </c>
    </row>
    <row r="102" spans="1:35" x14ac:dyDescent="0.2">
      <c r="A102">
        <v>12372012155</v>
      </c>
      <c r="B102">
        <v>396431383</v>
      </c>
      <c r="C102" s="28">
        <v>44228.576608796298</v>
      </c>
      <c r="D102" s="28">
        <v>44228.618506944447</v>
      </c>
      <c r="E102" t="s">
        <v>360</v>
      </c>
      <c r="J102" t="s">
        <v>361</v>
      </c>
      <c r="K102" t="s">
        <v>362</v>
      </c>
      <c r="L102" t="s">
        <v>249</v>
      </c>
      <c r="M102" t="s">
        <v>152</v>
      </c>
    </row>
    <row r="103" spans="1:35" x14ac:dyDescent="0.2">
      <c r="A103">
        <v>12365341529</v>
      </c>
      <c r="B103">
        <v>396431383</v>
      </c>
      <c r="C103" s="28">
        <v>44225.403587962966</v>
      </c>
      <c r="D103" s="28">
        <v>44225.412037037036</v>
      </c>
      <c r="E103" t="s">
        <v>428</v>
      </c>
      <c r="J103" t="s">
        <v>429</v>
      </c>
      <c r="K103" t="s">
        <v>430</v>
      </c>
      <c r="L103" t="s">
        <v>255</v>
      </c>
      <c r="M103" t="s">
        <v>152</v>
      </c>
      <c r="P103">
        <v>550</v>
      </c>
      <c r="Q103">
        <v>327</v>
      </c>
      <c r="R103">
        <v>50</v>
      </c>
      <c r="S103">
        <v>0</v>
      </c>
      <c r="T103">
        <v>0</v>
      </c>
      <c r="U103">
        <v>60</v>
      </c>
      <c r="V103">
        <v>41</v>
      </c>
      <c r="W103">
        <v>10</v>
      </c>
      <c r="X103">
        <v>62</v>
      </c>
      <c r="Y103">
        <v>204</v>
      </c>
      <c r="Z103">
        <v>51</v>
      </c>
      <c r="AA103">
        <v>295</v>
      </c>
      <c r="AD103">
        <v>15</v>
      </c>
      <c r="AF103">
        <v>85</v>
      </c>
      <c r="AH103" t="s">
        <v>151</v>
      </c>
      <c r="AI103" t="s">
        <v>152</v>
      </c>
    </row>
    <row r="104" spans="1:35" x14ac:dyDescent="0.2">
      <c r="A104">
        <v>12363460975</v>
      </c>
      <c r="B104">
        <v>396431383</v>
      </c>
      <c r="C104" s="28">
        <v>44224.786527777775</v>
      </c>
      <c r="D104" s="28">
        <v>44224.786828703705</v>
      </c>
      <c r="E104" t="s">
        <v>431</v>
      </c>
      <c r="J104" t="s">
        <v>432</v>
      </c>
      <c r="K104" t="s">
        <v>433</v>
      </c>
      <c r="L104" t="s">
        <v>255</v>
      </c>
      <c r="M104" t="s">
        <v>170</v>
      </c>
      <c r="N104" t="s">
        <v>9</v>
      </c>
      <c r="O104" t="s">
        <v>434</v>
      </c>
      <c r="AH104" t="s">
        <v>188</v>
      </c>
      <c r="AI104" t="s">
        <v>152</v>
      </c>
    </row>
    <row r="105" spans="1:35" x14ac:dyDescent="0.2">
      <c r="A105">
        <v>12363458858</v>
      </c>
      <c r="B105">
        <v>396431383</v>
      </c>
      <c r="C105" s="28">
        <v>44224.786111111112</v>
      </c>
      <c r="D105" s="28">
        <v>44224.786458333336</v>
      </c>
      <c r="E105" t="s">
        <v>431</v>
      </c>
      <c r="J105" t="s">
        <v>432</v>
      </c>
      <c r="K105" t="s">
        <v>435</v>
      </c>
      <c r="L105" t="s">
        <v>255</v>
      </c>
      <c r="M105" t="s">
        <v>170</v>
      </c>
      <c r="N105" t="s">
        <v>9</v>
      </c>
      <c r="O105" t="s">
        <v>436</v>
      </c>
      <c r="AH105" t="s">
        <v>188</v>
      </c>
      <c r="AI105" t="s">
        <v>152</v>
      </c>
    </row>
    <row r="106" spans="1:35" x14ac:dyDescent="0.2">
      <c r="A106">
        <v>12363455099</v>
      </c>
      <c r="B106">
        <v>396431383</v>
      </c>
      <c r="C106" s="28">
        <v>44224.785185185188</v>
      </c>
      <c r="D106" s="28">
        <v>44224.786030092589</v>
      </c>
      <c r="E106" t="s">
        <v>431</v>
      </c>
      <c r="J106" t="s">
        <v>432</v>
      </c>
      <c r="K106" t="s">
        <v>437</v>
      </c>
      <c r="L106" t="s">
        <v>255</v>
      </c>
      <c r="M106" t="s">
        <v>170</v>
      </c>
      <c r="N106" t="s">
        <v>9</v>
      </c>
      <c r="O106" t="s">
        <v>434</v>
      </c>
      <c r="AH106" t="s">
        <v>188</v>
      </c>
      <c r="AI106" t="s">
        <v>152</v>
      </c>
    </row>
    <row r="107" spans="1:35" x14ac:dyDescent="0.2">
      <c r="A107">
        <v>12363449210</v>
      </c>
      <c r="B107">
        <v>396431383</v>
      </c>
      <c r="C107" s="28">
        <v>44224.783020833333</v>
      </c>
      <c r="D107" s="28">
        <v>44224.784884259258</v>
      </c>
      <c r="E107" t="s">
        <v>431</v>
      </c>
      <c r="J107" t="s">
        <v>432</v>
      </c>
      <c r="K107" t="s">
        <v>438</v>
      </c>
      <c r="L107" t="s">
        <v>255</v>
      </c>
      <c r="M107" t="s">
        <v>152</v>
      </c>
      <c r="P107">
        <v>520</v>
      </c>
      <c r="Q107">
        <v>260</v>
      </c>
      <c r="R107">
        <v>260</v>
      </c>
      <c r="Y107">
        <v>520</v>
      </c>
      <c r="AD107">
        <v>100</v>
      </c>
      <c r="AH107" t="s">
        <v>169</v>
      </c>
      <c r="AI107" t="s">
        <v>152</v>
      </c>
    </row>
    <row r="108" spans="1:35" x14ac:dyDescent="0.2">
      <c r="A108">
        <v>12363437410</v>
      </c>
      <c r="B108">
        <v>396431383</v>
      </c>
      <c r="C108" s="28">
        <v>44224.781307870369</v>
      </c>
      <c r="D108" s="28">
        <v>44224.781689814816</v>
      </c>
      <c r="E108" t="s">
        <v>439</v>
      </c>
      <c r="J108" t="s">
        <v>440</v>
      </c>
      <c r="K108" t="s">
        <v>441</v>
      </c>
      <c r="L108" t="s">
        <v>249</v>
      </c>
      <c r="M108" t="s">
        <v>170</v>
      </c>
      <c r="N108" t="s">
        <v>9</v>
      </c>
      <c r="O108" t="s">
        <v>442</v>
      </c>
      <c r="AH108" t="s">
        <v>151</v>
      </c>
      <c r="AI108" t="s">
        <v>170</v>
      </c>
    </row>
    <row r="109" spans="1:35" x14ac:dyDescent="0.2">
      <c r="A109">
        <v>12363423266</v>
      </c>
      <c r="B109">
        <v>396431383</v>
      </c>
      <c r="C109" s="28">
        <v>44224.777951388889</v>
      </c>
      <c r="D109" s="28">
        <v>44224.779340277775</v>
      </c>
      <c r="E109" t="s">
        <v>439</v>
      </c>
      <c r="J109" t="s">
        <v>440</v>
      </c>
      <c r="K109" t="s">
        <v>443</v>
      </c>
      <c r="L109" t="s">
        <v>249</v>
      </c>
      <c r="M109" t="s">
        <v>170</v>
      </c>
      <c r="N109" t="s">
        <v>9</v>
      </c>
      <c r="O109" t="s">
        <v>444</v>
      </c>
      <c r="AH109" t="s">
        <v>151</v>
      </c>
      <c r="AI109" t="s">
        <v>170</v>
      </c>
    </row>
    <row r="110" spans="1:35" x14ac:dyDescent="0.2">
      <c r="A110">
        <v>12362733402</v>
      </c>
      <c r="B110">
        <v>396431383</v>
      </c>
      <c r="C110" s="28">
        <v>44224.637118055558</v>
      </c>
      <c r="D110" s="28">
        <v>44224.640150462961</v>
      </c>
      <c r="E110" t="s">
        <v>445</v>
      </c>
      <c r="J110" t="s">
        <v>446</v>
      </c>
      <c r="K110" t="s">
        <v>447</v>
      </c>
      <c r="L110" t="s">
        <v>249</v>
      </c>
      <c r="M110" t="s">
        <v>152</v>
      </c>
      <c r="P110">
        <v>1</v>
      </c>
      <c r="X110">
        <v>1</v>
      </c>
      <c r="Y110">
        <v>1</v>
      </c>
      <c r="AF110">
        <v>100</v>
      </c>
      <c r="AH110" t="s">
        <v>151</v>
      </c>
      <c r="AI110" t="s">
        <v>170</v>
      </c>
    </row>
    <row r="111" spans="1:35" x14ac:dyDescent="0.2">
      <c r="A111">
        <v>12362719255</v>
      </c>
      <c r="B111">
        <v>396431383</v>
      </c>
      <c r="C111" s="28">
        <v>44224.635752314818</v>
      </c>
      <c r="D111" s="28">
        <v>44224.636273148149</v>
      </c>
      <c r="E111" t="s">
        <v>448</v>
      </c>
      <c r="J111" t="s">
        <v>449</v>
      </c>
      <c r="K111" t="s">
        <v>450</v>
      </c>
      <c r="L111" t="s">
        <v>255</v>
      </c>
      <c r="M111" t="s">
        <v>170</v>
      </c>
      <c r="N111" t="s">
        <v>9</v>
      </c>
      <c r="O111" t="s">
        <v>451</v>
      </c>
      <c r="AH111" t="s">
        <v>151</v>
      </c>
      <c r="AI111" t="s">
        <v>152</v>
      </c>
    </row>
    <row r="112" spans="1:35" x14ac:dyDescent="0.2">
      <c r="A112">
        <v>12362342836</v>
      </c>
      <c r="B112">
        <v>396431383</v>
      </c>
      <c r="C112" s="28">
        <v>44224.546805555554</v>
      </c>
      <c r="D112" s="28">
        <v>44224.550740740742</v>
      </c>
      <c r="E112" t="s">
        <v>452</v>
      </c>
      <c r="J112" t="s">
        <v>283</v>
      </c>
      <c r="K112" t="s">
        <v>453</v>
      </c>
      <c r="L112" t="s">
        <v>249</v>
      </c>
      <c r="M112" t="s">
        <v>152</v>
      </c>
      <c r="P112">
        <v>68</v>
      </c>
      <c r="Q112">
        <v>68</v>
      </c>
      <c r="Y112">
        <v>68</v>
      </c>
      <c r="AF112">
        <v>100</v>
      </c>
      <c r="AH112" t="s">
        <v>169</v>
      </c>
      <c r="AI112" t="s">
        <v>170</v>
      </c>
    </row>
    <row r="113" spans="1:35" x14ac:dyDescent="0.2">
      <c r="A113">
        <v>12362235624</v>
      </c>
      <c r="B113">
        <v>396431383</v>
      </c>
      <c r="C113" s="28">
        <v>44224.517650462964</v>
      </c>
      <c r="D113" s="28">
        <v>44224.518194444441</v>
      </c>
      <c r="E113" t="s">
        <v>454</v>
      </c>
      <c r="J113" t="s">
        <v>455</v>
      </c>
      <c r="K113" t="s">
        <v>456</v>
      </c>
      <c r="L113" t="s">
        <v>249</v>
      </c>
      <c r="M113" t="s">
        <v>152</v>
      </c>
    </row>
    <row r="114" spans="1:35" x14ac:dyDescent="0.2">
      <c r="A114">
        <v>12362145127</v>
      </c>
      <c r="B114">
        <v>396431383</v>
      </c>
      <c r="C114" s="28">
        <v>44224.492349537039</v>
      </c>
      <c r="D114" s="28">
        <v>44224.492673611108</v>
      </c>
      <c r="E114" t="s">
        <v>457</v>
      </c>
      <c r="J114" t="s">
        <v>458</v>
      </c>
      <c r="K114" t="s">
        <v>459</v>
      </c>
      <c r="L114" t="s">
        <v>249</v>
      </c>
      <c r="M114" t="s">
        <v>170</v>
      </c>
    </row>
    <row r="115" spans="1:35" x14ac:dyDescent="0.2">
      <c r="A115">
        <v>12362048096</v>
      </c>
      <c r="B115">
        <v>396431383</v>
      </c>
      <c r="C115" s="28">
        <v>44224.462627314817</v>
      </c>
      <c r="D115" s="28">
        <v>44224.463194444441</v>
      </c>
      <c r="E115" t="s">
        <v>460</v>
      </c>
      <c r="J115" t="s">
        <v>205</v>
      </c>
      <c r="K115" t="s">
        <v>461</v>
      </c>
      <c r="L115" t="s">
        <v>255</v>
      </c>
      <c r="M115" t="s">
        <v>152</v>
      </c>
    </row>
    <row r="116" spans="1:35" x14ac:dyDescent="0.2">
      <c r="A116">
        <v>12361936786</v>
      </c>
      <c r="B116">
        <v>396431383</v>
      </c>
      <c r="C116" s="28">
        <v>44224.422233796293</v>
      </c>
      <c r="D116" s="28">
        <v>44224.432025462964</v>
      </c>
      <c r="E116" t="s">
        <v>357</v>
      </c>
      <c r="J116" t="s">
        <v>462</v>
      </c>
      <c r="K116" t="s">
        <v>463</v>
      </c>
      <c r="L116" t="s">
        <v>249</v>
      </c>
      <c r="M116" t="s">
        <v>152</v>
      </c>
      <c r="P116">
        <v>5339993</v>
      </c>
      <c r="Q116">
        <v>5000000</v>
      </c>
      <c r="X116">
        <v>339993</v>
      </c>
      <c r="Y116">
        <v>5339993</v>
      </c>
      <c r="AF116">
        <v>100</v>
      </c>
      <c r="AH116" t="s">
        <v>151</v>
      </c>
      <c r="AI116" t="s">
        <v>152</v>
      </c>
    </row>
    <row r="117" spans="1:35" x14ac:dyDescent="0.2">
      <c r="A117">
        <v>12361876256</v>
      </c>
      <c r="B117">
        <v>396431383</v>
      </c>
      <c r="C117" s="28">
        <v>44224.408206018517</v>
      </c>
      <c r="D117" s="28">
        <v>44224.409074074072</v>
      </c>
      <c r="E117" t="s">
        <v>464</v>
      </c>
      <c r="J117" t="s">
        <v>465</v>
      </c>
      <c r="K117" t="s">
        <v>466</v>
      </c>
      <c r="L117" t="s">
        <v>255</v>
      </c>
      <c r="M117" t="s">
        <v>170</v>
      </c>
      <c r="N117" t="s">
        <v>9</v>
      </c>
      <c r="O117" t="s">
        <v>467</v>
      </c>
      <c r="AH117" t="s">
        <v>151</v>
      </c>
      <c r="AI117" t="s">
        <v>152</v>
      </c>
    </row>
    <row r="118" spans="1:35" x14ac:dyDescent="0.2">
      <c r="A118">
        <v>12361871917</v>
      </c>
      <c r="B118">
        <v>396431383</v>
      </c>
      <c r="C118" s="28">
        <v>44224.406666666669</v>
      </c>
      <c r="D118" s="28">
        <v>44224.407430555555</v>
      </c>
      <c r="E118" t="s">
        <v>468</v>
      </c>
      <c r="J118" t="s">
        <v>469</v>
      </c>
      <c r="K118" t="s">
        <v>470</v>
      </c>
      <c r="L118" t="s">
        <v>255</v>
      </c>
      <c r="M118" t="s">
        <v>170</v>
      </c>
      <c r="N118" t="s">
        <v>9</v>
      </c>
      <c r="O118" t="s">
        <v>471</v>
      </c>
      <c r="AH118" t="s">
        <v>151</v>
      </c>
      <c r="AI118" t="s">
        <v>170</v>
      </c>
    </row>
    <row r="119" spans="1:35" x14ac:dyDescent="0.2">
      <c r="A119">
        <v>12361856422</v>
      </c>
      <c r="B119">
        <v>396431383</v>
      </c>
      <c r="C119" s="28">
        <v>44224.400289351855</v>
      </c>
      <c r="D119" s="28">
        <v>44224.401064814818</v>
      </c>
      <c r="E119" t="s">
        <v>445</v>
      </c>
      <c r="J119" t="s">
        <v>472</v>
      </c>
      <c r="K119" t="s">
        <v>473</v>
      </c>
      <c r="L119" t="s">
        <v>249</v>
      </c>
      <c r="M119" t="s">
        <v>152</v>
      </c>
    </row>
    <row r="120" spans="1:35" x14ac:dyDescent="0.2">
      <c r="A120">
        <v>12361739604</v>
      </c>
      <c r="B120">
        <v>396431383</v>
      </c>
      <c r="C120" s="28">
        <v>44224.353101851855</v>
      </c>
      <c r="D120" s="28">
        <v>44224.353483796294</v>
      </c>
      <c r="E120" t="s">
        <v>474</v>
      </c>
      <c r="J120" t="s">
        <v>353</v>
      </c>
      <c r="K120" t="s">
        <v>475</v>
      </c>
      <c r="L120" t="s">
        <v>255</v>
      </c>
      <c r="M120" t="s">
        <v>170</v>
      </c>
    </row>
    <row r="121" spans="1:35" x14ac:dyDescent="0.2">
      <c r="A121">
        <v>12361732394</v>
      </c>
      <c r="B121">
        <v>396431383</v>
      </c>
      <c r="C121" s="28">
        <v>44224.33798611111</v>
      </c>
      <c r="D121" s="28">
        <v>44224.385011574072</v>
      </c>
      <c r="E121" t="s">
        <v>476</v>
      </c>
      <c r="J121" t="s">
        <v>477</v>
      </c>
      <c r="K121" t="s">
        <v>411</v>
      </c>
      <c r="L121" t="s">
        <v>249</v>
      </c>
      <c r="M121" t="s">
        <v>152</v>
      </c>
      <c r="P121">
        <v>726</v>
      </c>
      <c r="Q121">
        <v>303</v>
      </c>
      <c r="R121">
        <v>256</v>
      </c>
      <c r="S121">
        <v>0</v>
      </c>
      <c r="T121">
        <v>0</v>
      </c>
      <c r="U121">
        <v>57</v>
      </c>
      <c r="V121">
        <v>0</v>
      </c>
      <c r="W121">
        <v>1</v>
      </c>
      <c r="X121">
        <v>142</v>
      </c>
      <c r="Y121">
        <v>726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100</v>
      </c>
      <c r="AG121">
        <v>0</v>
      </c>
    </row>
    <row r="122" spans="1:35" x14ac:dyDescent="0.2">
      <c r="A122">
        <v>12361700301</v>
      </c>
      <c r="B122">
        <v>396431383</v>
      </c>
      <c r="C122" s="28">
        <v>44224.334907407407</v>
      </c>
      <c r="D122" s="28">
        <v>44224.335960648146</v>
      </c>
      <c r="E122" t="s">
        <v>478</v>
      </c>
      <c r="J122" t="s">
        <v>479</v>
      </c>
      <c r="K122" t="s">
        <v>480</v>
      </c>
      <c r="L122" t="s">
        <v>255</v>
      </c>
      <c r="M122" t="s">
        <v>152</v>
      </c>
      <c r="P122">
        <v>24</v>
      </c>
      <c r="Q122">
        <v>10</v>
      </c>
      <c r="W122">
        <v>14</v>
      </c>
      <c r="Y122">
        <v>24</v>
      </c>
      <c r="AD122">
        <v>4</v>
      </c>
      <c r="AE122">
        <v>96</v>
      </c>
      <c r="AH122" t="s">
        <v>151</v>
      </c>
      <c r="AI122" t="s">
        <v>170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BEC5-A878-4935-8657-B34BFE7FA452}">
  <sheetPr>
    <tabColor rgb="FFC6A1CF"/>
  </sheetPr>
  <dimension ref="A1:AG121"/>
  <sheetViews>
    <sheetView workbookViewId="0">
      <selection activeCell="B1" sqref="B1:G1048576"/>
    </sheetView>
  </sheetViews>
  <sheetFormatPr defaultRowHeight="12.75" x14ac:dyDescent="0.2"/>
  <cols>
    <col min="1" max="1" width="29.85546875" customWidth="1"/>
    <col min="2" max="2" width="42.7109375" customWidth="1"/>
    <col min="3" max="3" width="15.7109375" bestFit="1" customWidth="1"/>
    <col min="4" max="4" width="22.140625" bestFit="1" customWidth="1"/>
    <col min="5" max="6" width="22.140625" customWidth="1"/>
    <col min="7" max="7" width="16.85546875" bestFit="1" customWidth="1"/>
    <col min="8" max="8" width="18.5703125" bestFit="1" customWidth="1"/>
    <col min="9" max="9" width="13.7109375" bestFit="1" customWidth="1"/>
    <col min="10" max="10" width="15.85546875" customWidth="1"/>
    <col min="11" max="11" width="20.28515625" customWidth="1"/>
    <col min="12" max="12" width="21.140625" bestFit="1" customWidth="1"/>
    <col min="13" max="13" width="18.5703125" customWidth="1"/>
    <col min="14" max="14" width="13.7109375" bestFit="1" customWidth="1"/>
    <col min="15" max="15" width="13.85546875" bestFit="1" customWidth="1"/>
    <col min="16" max="16" width="20.28515625" bestFit="1" customWidth="1"/>
    <col min="17" max="17" width="9.5703125" bestFit="1" customWidth="1"/>
    <col min="18" max="18" width="12.140625" bestFit="1" customWidth="1"/>
    <col min="19" max="19" width="9" bestFit="1" customWidth="1"/>
    <col min="20" max="20" width="13.140625" bestFit="1" customWidth="1"/>
    <col min="21" max="21" width="6" bestFit="1" customWidth="1"/>
    <col min="22" max="22" width="14.140625" bestFit="1" customWidth="1"/>
    <col min="23" max="23" width="7.42578125" bestFit="1" customWidth="1"/>
    <col min="24" max="24" width="8.42578125" bestFit="1" customWidth="1"/>
    <col min="25" max="25" width="13.5703125" bestFit="1" customWidth="1"/>
    <col min="26" max="26" width="14" bestFit="1" customWidth="1"/>
    <col min="27" max="27" width="6.28515625" bestFit="1" customWidth="1"/>
    <col min="28" max="28" width="16.140625" bestFit="1" customWidth="1"/>
    <col min="29" max="29" width="19" bestFit="1" customWidth="1"/>
    <col min="30" max="30" width="16.5703125" bestFit="1" customWidth="1"/>
    <col min="31" max="31" width="12.7109375" bestFit="1" customWidth="1"/>
    <col min="32" max="32" width="12.5703125" bestFit="1" customWidth="1"/>
    <col min="33" max="33" width="6.28515625" bestFit="1" customWidth="1"/>
  </cols>
  <sheetData>
    <row r="1" spans="1:33" ht="14.25" thickTop="1" thickBot="1" x14ac:dyDescent="0.25">
      <c r="A1" s="1" t="s">
        <v>32</v>
      </c>
      <c r="B1" s="1" t="s">
        <v>33</v>
      </c>
      <c r="C1" s="1" t="s">
        <v>2</v>
      </c>
      <c r="D1" s="1" t="s">
        <v>34</v>
      </c>
      <c r="E1" s="1" t="s">
        <v>39</v>
      </c>
      <c r="F1" s="1" t="s">
        <v>40</v>
      </c>
      <c r="G1" s="1" t="s">
        <v>5</v>
      </c>
      <c r="H1" s="1" t="s">
        <v>35</v>
      </c>
      <c r="I1" s="1" t="s">
        <v>7</v>
      </c>
      <c r="J1" s="1" t="s">
        <v>8</v>
      </c>
      <c r="K1" s="1" t="s">
        <v>20</v>
      </c>
      <c r="L1" s="1" t="s">
        <v>10</v>
      </c>
      <c r="M1" s="1" t="s">
        <v>11</v>
      </c>
      <c r="N1" s="1" t="s">
        <v>36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37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38</v>
      </c>
      <c r="AF1" s="1" t="s">
        <v>30</v>
      </c>
      <c r="AG1" s="1" t="s">
        <v>31</v>
      </c>
    </row>
    <row r="2" spans="1:33" ht="13.5" thickTop="1" x14ac:dyDescent="0.2">
      <c r="A2" s="5" t="str">
        <f>IF(OR(ISTEXT([1]NLFsmonkeyCompl!J3),ISNUMBER([1]NLFsmonkeyCompl!J3)),[1]NLFsmonkeyCompl!J3,"")</f>
        <v>PGIM Real Estate</v>
      </c>
      <c r="B2" s="6" t="str">
        <f>IF(OR(ISTEXT([1]NLFsmonkeyCompl!K3),ISNUMBER([1]NLFsmonkeyCompl!K3)),[1]NLFsmonkeyCompl!K3,"")</f>
        <v>Pan-European Real Estate Fund II</v>
      </c>
      <c r="C2">
        <v>18578</v>
      </c>
      <c r="D2" s="6" t="str">
        <f>IFERROR(INDEX([1]VehiclesUniverse!$B$2:$EU$700,MATCH(C2,[1]VehiclesUniverse!$A$2:$A$700,0),MATCH($D$1,[1]VehiclesUniverse!$B$1:$EU$1,0)),"")</f>
        <v>Core</v>
      </c>
      <c r="E2" s="6" t="str">
        <f>IFERROR(INDEX([1]VehiclesUniverse!$B$2:$EU$700,MATCH($C$2,[1]VehiclesUniverse!$A$2:$A$700,0),MATCH($E$1,[1]VehiclesUniverse!$B$1:$EU$1,0)),"")</f>
        <v>multi country</v>
      </c>
      <c r="F2" s="6" t="str">
        <f>IF(IFERROR(INDEX([1]VehiclesUniverse!$B$2:$EU$700,MATCH($C2,[1]VehiclesUniverse!$A$2:$A$700,0),MATCH($F$1,[1]VehiclesUniverse!$B$1:$EU$1,0)),"")&lt;&gt;0,(IFERROR(INDEX([1]VehiclesUniverse!$B$2:$EU$700,MATCH($C2,[1]VehiclesUniverse!$A$2:$A$700,0),MATCH($F$1,[1]VehiclesUniverse!$B$1:$EU$1,0)),"")),"")</f>
        <v/>
      </c>
      <c r="G2" s="6" t="str">
        <f>IF(ISBLANK([1]NLFsmonkeyCompl!L3),"",[1]NLFsmonkeyCompl!L3)</f>
        <v>Open end</v>
      </c>
      <c r="H2" s="6">
        <f>IFERROR(INDEX([1]VehiclesUniverse!$B$2:$EU$700,MATCH(C2,[1]VehiclesUniverse!$A$2:$A$700,0),MATCH($H$1,[1]VehiclesUniverse!$B$1:$EU$1,0)),"")</f>
        <v>2018</v>
      </c>
      <c r="I2" s="6" t="str">
        <f>IF(ISBLANK([1]NLFsmonkeyCompl!M3),"",[1]NLFsmonkeyCompl!M3)</f>
        <v>Yes</v>
      </c>
      <c r="J2" s="6" t="str">
        <f>IF(ISBLANK([1]NLFsmonkeyCompl!N3),"",[1]NLFsmonkeyCompl!N3)</f>
        <v/>
      </c>
      <c r="K2" s="6" t="str">
        <f>IF(ISBLANK([1]NLFsmonkeyCompl!O3),"",[1]NLFsmonkeyCompl!O3)</f>
        <v/>
      </c>
      <c r="L2" s="6" t="str">
        <f>IFERROR(INDEX([1]VehiclesUniverse!$B$2:$EU$700,MATCH(C2,[1]VehiclesUniverse!$A$2:$A$700,0),MATCH($L$1,[1]VehiclesUniverse!$B$1:$EU$1,0)),"")</f>
        <v>EUR</v>
      </c>
      <c r="M2" s="16">
        <f>IFERROR(VLOOKUP(L2,'[1]Xrate31.12.20'!$K$2:$N$25,3,0),"")</f>
        <v>1</v>
      </c>
      <c r="N2" s="8">
        <f>IFERROR(IF(ISBLANK([1]NLFsmonkeyCompl!P3),"",[1]NLFsmonkeyCompl!P3*$M2),"")</f>
        <v>63</v>
      </c>
      <c r="O2" s="8">
        <f>IFERROR(IF(ISBLANK([1]NLFsmonkeyCompl!Q3),"",[1]NLFsmonkeyCompl!Q3*$M2),"")</f>
        <v>11</v>
      </c>
      <c r="P2" s="8">
        <f>IFERROR(IF(ISBLANK([1]NLFsmonkeyCompl!R3),"",[1]NLFsmonkeyCompl!R3*$M2),"")</f>
        <v>52</v>
      </c>
      <c r="Q2" s="8" t="str">
        <f>IFERROR(IF(ISBLANK([1]NLFsmonkeyCompl!S3),"",[1]NLFsmonkeyCompl!S3*$M2),"")</f>
        <v/>
      </c>
      <c r="R2" s="8" t="str">
        <f>IFERROR(IF(ISBLANK([1]NLFsmonkeyCompl!T3),"",[1]NLFsmonkeyCompl!T3*$M2),"")</f>
        <v/>
      </c>
      <c r="S2" s="8" t="str">
        <f>IFERROR(IF(ISBLANK([1]NLFsmonkeyCompl!U3),"",[1]NLFsmonkeyCompl!U3*$M2),"")</f>
        <v/>
      </c>
      <c r="T2" s="8" t="str">
        <f>IFERROR(IF(ISBLANK([1]NLFsmonkeyCompl!V3),"",[1]NLFsmonkeyCompl!V3*$M2),"")</f>
        <v/>
      </c>
      <c r="U2" s="8" t="str">
        <f>IFERROR(IF(ISBLANK([1]NLFsmonkeyCompl!W3),"",[1]NLFsmonkeyCompl!W3*$M2),"")</f>
        <v/>
      </c>
      <c r="V2" s="8" t="str">
        <f>IFERROR(IF(ISBLANK([1]NLFsmonkeyCompl!X3),"",[1]NLFsmonkeyCompl!X3*$M2),"")</f>
        <v/>
      </c>
      <c r="W2" s="8">
        <f>IFERROR(IF(ISBLANK([1]NLFsmonkeyCompl!Y3),"",[1]NLFsmonkeyCompl!Y3*$M2),"")</f>
        <v>63</v>
      </c>
      <c r="X2" s="8" t="str">
        <f>IFERROR(IF(ISBLANK([1]NLFsmonkeyCompl!Z3),"",[1]NLFsmonkeyCompl!Z3*$M2),"")</f>
        <v/>
      </c>
      <c r="Y2" s="8" t="str">
        <f>IFERROR(IF(ISBLANK([1]NLFsmonkeyCompl!AA3),"",[1]NLFsmonkeyCompl!AA3*$M2),"")</f>
        <v/>
      </c>
      <c r="Z2" s="8" t="str">
        <f>IFERROR(IF(ISBLANK([1]NLFsmonkeyCompl!AB3),"",[1]NLFsmonkeyCompl!AB3*$M2),"")</f>
        <v/>
      </c>
      <c r="AA2" s="8" t="str">
        <f>IFERROR(IF(ISBLANK([1]NLFsmonkeyCompl!AC3),"",[1]NLFsmonkeyCompl!AC3*$M2),"")</f>
        <v/>
      </c>
      <c r="AB2" s="8">
        <f>IFERROR(IF(ISBLANK([1]NLFsmonkeyCompl!AD3),"",[1]NLFsmonkeyCompl!AD3),"")</f>
        <v>72</v>
      </c>
      <c r="AC2" s="8" t="str">
        <f>IFERROR(IF(ISBLANK([1]NLFsmonkeyCompl!AE3),"",[1]NLFsmonkeyCompl!AE3),"")</f>
        <v/>
      </c>
      <c r="AD2" s="8">
        <f>IFERROR(IF(ISBLANK([1]NLFsmonkeyCompl!AF3),"",[1]NLFsmonkeyCompl!AF3),"")</f>
        <v>28</v>
      </c>
      <c r="AE2" s="8" t="str">
        <f>IFERROR(IF(ISBLANK([1]NLFsmonkeyCompl!AG3),"",[1]NLFsmonkeyCompl!AG3),"")</f>
        <v/>
      </c>
      <c r="AF2" s="8" t="str">
        <f>IFERROR(IF(ISBLANK([1]NLFsmonkeyCompl!AH3),"",[1]NLFsmonkeyCompl!AH3),"")</f>
        <v>Increase</v>
      </c>
      <c r="AG2" s="8" t="str">
        <f>IFERROR(IF(ISBLANK([1]NLFsmonkeyCompl!AI3),"",[1]NLFsmonkeyCompl!AI3),"")</f>
        <v>Yes</v>
      </c>
    </row>
    <row r="3" spans="1:33" x14ac:dyDescent="0.2">
      <c r="A3" s="5" t="str">
        <f>IF(OR(ISTEXT([1]NLFsmonkeyCompl!J4),ISNUMBER([1]NLFsmonkeyCompl!J4)),[1]NLFsmonkeyCompl!J4,"")</f>
        <v>PGIM Real Estate</v>
      </c>
      <c r="B3" s="6" t="str">
        <f>IF(OR(ISTEXT([1]NLFsmonkeyCompl!K4),ISNUMBER([1]NLFsmonkeyCompl!K4)),[1]NLFsmonkeyCompl!K4,"")</f>
        <v>European Value Partners II</v>
      </c>
      <c r="C3" s="6" t="s">
        <v>41</v>
      </c>
      <c r="D3" s="6" t="str">
        <f>IFERROR(INDEX([1]VehiclesUniverse!$B$2:$EU$700,MATCH(C3,[1]VehiclesUniverse!$A$2:$A$700,0),MATCH($D$1,[1]VehiclesUniverse!$B$1:$EU$1,0)),"")</f>
        <v/>
      </c>
      <c r="E3" s="6" t="str">
        <f>IFERROR(INDEX([1]VehiclesUniverse!$B$2:$EU$700,MATCH(C3,[1]VehiclesUniverse!$A$2:$A$700,0),MATCH($E$1,[1]VehiclesUniverse!$B$1:$EU$1,0)),"")</f>
        <v/>
      </c>
      <c r="F3" s="6" t="str">
        <f>IF(IFERROR(INDEX([1]VehiclesUniverse!$B$2:$EU$700,MATCH($C3,[1]VehiclesUniverse!$A$2:$A$700,0),MATCH($F$1,[1]VehiclesUniverse!$B$1:$EU$1,0)),"")&lt;&gt;0,(IFERROR(INDEX([1]VehiclesUniverse!$B$2:$EU$700,MATCH($C3,[1]VehiclesUniverse!$A$2:$A$700,0),MATCH($F$1,[1]VehiclesUniverse!$B$1:$EU$1,0)),"")),"")</f>
        <v/>
      </c>
      <c r="G3" s="6" t="str">
        <f>IF(ISBLANK([1]NLFsmonkeyCompl!L4),"",[1]NLFsmonkeyCompl!L4)</f>
        <v>Open end</v>
      </c>
      <c r="H3" s="6" t="str">
        <f>IFERROR(INDEX([1]VehiclesUniverse!$B$2:$EU$700,MATCH(C3,[1]VehiclesUniverse!$A$2:$A$700,0),MATCH($H$1,[1]VehiclesUniverse!$B$1:$EU$1,0)),"")</f>
        <v/>
      </c>
      <c r="I3" s="6" t="str">
        <f>IF(ISBLANK([1]NLFsmonkeyCompl!M4),"",[1]NLFsmonkeyCompl!M4)</f>
        <v>Yes</v>
      </c>
      <c r="J3" s="6" t="str">
        <f>IF(ISBLANK([1]NLFsmonkeyCompl!N4),"",[1]NLFsmonkeyCompl!N4)</f>
        <v/>
      </c>
      <c r="K3" s="6" t="str">
        <f>IF(ISBLANK([1]NLFsmonkeyCompl!O4),"",[1]NLFsmonkeyCompl!O4)</f>
        <v/>
      </c>
      <c r="L3" s="6" t="str">
        <f>IFERROR(INDEX([1]VehiclesUniverse!$B$2:$EU$700,MATCH(C3,[1]VehiclesUniverse!$A$2:$A$700,0),MATCH($L$1,[1]VehiclesUniverse!$B$1:$EU$1,0)),"")</f>
        <v/>
      </c>
      <c r="M3" s="16" t="str">
        <f>IFERROR(VLOOKUP(L3,'[1]Xrate31.12.20'!$K$2:$N$25,3,0),"")</f>
        <v/>
      </c>
      <c r="N3" s="8" t="str">
        <f>IFERROR(IF(ISBLANK([1]NLFsmonkeyCompl!P4),"",[1]NLFsmonkeyCompl!P4*$M3),"")</f>
        <v/>
      </c>
      <c r="O3" s="8" t="str">
        <f>IFERROR(IF(ISBLANK([1]NLFsmonkeyCompl!Q4),"",[1]NLFsmonkeyCompl!Q4*$M3),"")</f>
        <v/>
      </c>
      <c r="P3" s="8" t="str">
        <f>IFERROR(IF(ISBLANK([1]NLFsmonkeyCompl!R4),"",[1]NLFsmonkeyCompl!R4*$M3),"")</f>
        <v/>
      </c>
      <c r="Q3" s="8" t="str">
        <f>IFERROR(IF(ISBLANK([1]NLFsmonkeyCompl!S4),"",[1]NLFsmonkeyCompl!S4*$M3),"")</f>
        <v/>
      </c>
      <c r="R3" s="8" t="str">
        <f>IFERROR(IF(ISBLANK([1]NLFsmonkeyCompl!T4),"",[1]NLFsmonkeyCompl!T4*$M3),"")</f>
        <v/>
      </c>
      <c r="S3" s="8" t="str">
        <f>IFERROR(IF(ISBLANK([1]NLFsmonkeyCompl!U4),"",[1]NLFsmonkeyCompl!U4*$M3),"")</f>
        <v/>
      </c>
      <c r="T3" s="8" t="str">
        <f>IFERROR(IF(ISBLANK([1]NLFsmonkeyCompl!V4),"",[1]NLFsmonkeyCompl!V4*$M3),"")</f>
        <v/>
      </c>
      <c r="U3" s="8" t="str">
        <f>IFERROR(IF(ISBLANK([1]NLFsmonkeyCompl!W4),"",[1]NLFsmonkeyCompl!W4*$M3),"")</f>
        <v/>
      </c>
      <c r="V3" s="8" t="str">
        <f>IFERROR(IF(ISBLANK([1]NLFsmonkeyCompl!X4),"",[1]NLFsmonkeyCompl!X4*$M3),"")</f>
        <v/>
      </c>
      <c r="W3" s="8" t="str">
        <f>IFERROR(IF(ISBLANK([1]NLFsmonkeyCompl!Y4),"",[1]NLFsmonkeyCompl!Y4*$M3),"")</f>
        <v/>
      </c>
      <c r="X3" s="8" t="str">
        <f>IFERROR(IF(ISBLANK([1]NLFsmonkeyCompl!Z4),"",[1]NLFsmonkeyCompl!Z4*$M3),"")</f>
        <v/>
      </c>
      <c r="Y3" s="8" t="str">
        <f>IFERROR(IF(ISBLANK([1]NLFsmonkeyCompl!AA4),"",[1]NLFsmonkeyCompl!AA4*$M3),"")</f>
        <v/>
      </c>
      <c r="Z3" s="8" t="str">
        <f>IFERROR(IF(ISBLANK([1]NLFsmonkeyCompl!AB4),"",[1]NLFsmonkeyCompl!AB4*$M3),"")</f>
        <v/>
      </c>
      <c r="AA3" s="8" t="str">
        <f>IFERROR(IF(ISBLANK([1]NLFsmonkeyCompl!AC4),"",[1]NLFsmonkeyCompl!AC4*$M3),"")</f>
        <v/>
      </c>
      <c r="AB3" s="8">
        <f>IFERROR(IF(ISBLANK([1]NLFsmonkeyCompl!AD4),"",[1]NLFsmonkeyCompl!AD4),"")</f>
        <v>16</v>
      </c>
      <c r="AC3" s="8" t="str">
        <f>IFERROR(IF(ISBLANK([1]NLFsmonkeyCompl!AE4),"",[1]NLFsmonkeyCompl!AE4),"")</f>
        <v/>
      </c>
      <c r="AD3" s="8">
        <f>IFERROR(IF(ISBLANK([1]NLFsmonkeyCompl!AF4),"",[1]NLFsmonkeyCompl!AF4),"")</f>
        <v>84</v>
      </c>
      <c r="AE3" s="8" t="str">
        <f>IFERROR(IF(ISBLANK([1]NLFsmonkeyCompl!AG4),"",[1]NLFsmonkeyCompl!AG4),"")</f>
        <v/>
      </c>
      <c r="AF3" s="8" t="str">
        <f>IFERROR(IF(ISBLANK([1]NLFsmonkeyCompl!AH4),"",[1]NLFsmonkeyCompl!AH4),"")</f>
        <v>Increase</v>
      </c>
      <c r="AG3" s="8" t="str">
        <f>IFERROR(IF(ISBLANK([1]NLFsmonkeyCompl!AI4),"",[1]NLFsmonkeyCompl!AI4),"")</f>
        <v>Yes</v>
      </c>
    </row>
    <row r="4" spans="1:33" x14ac:dyDescent="0.2">
      <c r="A4" s="5" t="str">
        <f>IF(OR(ISTEXT([1]NLFsmonkeyCompl!J5),ISNUMBER([1]NLFsmonkeyCompl!J5)),[1]NLFsmonkeyCompl!J5,"")</f>
        <v>PGIM Real Estate</v>
      </c>
      <c r="B4" s="6" t="str">
        <f>IF(OR(ISTEXT([1]NLFsmonkeyCompl!K5),ISNUMBER([1]NLFsmonkeyCompl!K5)),[1]NLFsmonkeyCompl!K5,"")</f>
        <v>PGIM Real Estate UK Affordable Housing Fund</v>
      </c>
      <c r="C4" s="6" t="s">
        <v>41</v>
      </c>
      <c r="D4" s="6" t="str">
        <f>IFERROR(INDEX([1]VehiclesUniverse!$B$2:$EU$700,MATCH(C4,[1]VehiclesUniverse!$A$2:$A$700,0),MATCH($D$1,[1]VehiclesUniverse!$B$1:$EU$1,0)),"")</f>
        <v/>
      </c>
      <c r="E4" s="6" t="str">
        <f>IFERROR(INDEX([1]VehiclesUniverse!$B$2:$EU$700,MATCH(C4,[1]VehiclesUniverse!$A$2:$A$700,0),MATCH($E$1,[1]VehiclesUniverse!$B$1:$EU$1,0)),"")</f>
        <v/>
      </c>
      <c r="F4" s="6" t="str">
        <f>IF(IFERROR(INDEX([1]VehiclesUniverse!$B$2:$EU$700,MATCH($C4,[1]VehiclesUniverse!$A$2:$A$700,0),MATCH($F$1,[1]VehiclesUniverse!$B$1:$EU$1,0)),"")&lt;&gt;0,(IFERROR(INDEX([1]VehiclesUniverse!$B$2:$EU$700,MATCH($C4,[1]VehiclesUniverse!$A$2:$A$700,0),MATCH($F$1,[1]VehiclesUniverse!$B$1:$EU$1,0)),"")),"")</f>
        <v/>
      </c>
      <c r="G4" s="6" t="str">
        <f>IF(ISBLANK([1]NLFsmonkeyCompl!L5),"",[1]NLFsmonkeyCompl!L5)</f>
        <v>Open end</v>
      </c>
      <c r="H4" s="6" t="str">
        <f>IFERROR(INDEX([1]VehiclesUniverse!$B$2:$EU$700,MATCH(C4,[1]VehiclesUniverse!$A$2:$A$700,0),MATCH($H$1,[1]VehiclesUniverse!$B$1:$EU$1,0)),"")</f>
        <v/>
      </c>
      <c r="I4" s="6" t="str">
        <f>IF(ISBLANK([1]NLFsmonkeyCompl!M5),"",[1]NLFsmonkeyCompl!M5)</f>
        <v>Yes</v>
      </c>
      <c r="J4" s="6" t="str">
        <f>IF(ISBLANK([1]NLFsmonkeyCompl!N5),"",[1]NLFsmonkeyCompl!N5)</f>
        <v/>
      </c>
      <c r="K4" s="6" t="str">
        <f>IF(ISBLANK([1]NLFsmonkeyCompl!O5),"",[1]NLFsmonkeyCompl!O5)</f>
        <v/>
      </c>
      <c r="L4" s="6" t="str">
        <f>IFERROR(INDEX([1]VehiclesUniverse!$B$2:$EU$700,MATCH(C4,[1]VehiclesUniverse!$A$2:$A$700,0),MATCH($L$1,[1]VehiclesUniverse!$B$1:$EU$1,0)),"")</f>
        <v/>
      </c>
      <c r="M4" s="16" t="str">
        <f>IFERROR(VLOOKUP(L4,'[1]Xrate31.12.20'!$K$2:$N$25,3,0),"")</f>
        <v/>
      </c>
      <c r="N4" s="8" t="str">
        <f>IFERROR(IF(ISBLANK([1]NLFsmonkeyCompl!P5),"",[1]NLFsmonkeyCompl!P5*$M4),"")</f>
        <v/>
      </c>
      <c r="O4" s="8" t="str">
        <f>IFERROR(IF(ISBLANK([1]NLFsmonkeyCompl!Q5),"",[1]NLFsmonkeyCompl!Q5*$M4),"")</f>
        <v/>
      </c>
      <c r="P4" s="8" t="str">
        <f>IFERROR(IF(ISBLANK([1]NLFsmonkeyCompl!R5),"",[1]NLFsmonkeyCompl!R5*$M4),"")</f>
        <v/>
      </c>
      <c r="Q4" s="8" t="str">
        <f>IFERROR(IF(ISBLANK([1]NLFsmonkeyCompl!S5),"",[1]NLFsmonkeyCompl!S5*$M4),"")</f>
        <v/>
      </c>
      <c r="R4" s="8" t="str">
        <f>IFERROR(IF(ISBLANK([1]NLFsmonkeyCompl!T5),"",[1]NLFsmonkeyCompl!T5*$M4),"")</f>
        <v/>
      </c>
      <c r="S4" s="8" t="str">
        <f>IFERROR(IF(ISBLANK([1]NLFsmonkeyCompl!U5),"",[1]NLFsmonkeyCompl!U5*$M4),"")</f>
        <v/>
      </c>
      <c r="T4" s="8" t="str">
        <f>IFERROR(IF(ISBLANK([1]NLFsmonkeyCompl!V5),"",[1]NLFsmonkeyCompl!V5*$M4),"")</f>
        <v/>
      </c>
      <c r="U4" s="8" t="str">
        <f>IFERROR(IF(ISBLANK([1]NLFsmonkeyCompl!W5),"",[1]NLFsmonkeyCompl!W5*$M4),"")</f>
        <v/>
      </c>
      <c r="V4" s="8" t="str">
        <f>IFERROR(IF(ISBLANK([1]NLFsmonkeyCompl!X5),"",[1]NLFsmonkeyCompl!X5*$M4),"")</f>
        <v/>
      </c>
      <c r="W4" s="8" t="str">
        <f>IFERROR(IF(ISBLANK([1]NLFsmonkeyCompl!Y5),"",[1]NLFsmonkeyCompl!Y5*$M4),"")</f>
        <v/>
      </c>
      <c r="X4" s="8" t="str">
        <f>IFERROR(IF(ISBLANK([1]NLFsmonkeyCompl!Z5),"",[1]NLFsmonkeyCompl!Z5*$M4),"")</f>
        <v/>
      </c>
      <c r="Y4" s="8" t="str">
        <f>IFERROR(IF(ISBLANK([1]NLFsmonkeyCompl!AA5),"",[1]NLFsmonkeyCompl!AA5*$M4),"")</f>
        <v/>
      </c>
      <c r="Z4" s="8" t="str">
        <f>IFERROR(IF(ISBLANK([1]NLFsmonkeyCompl!AB5),"",[1]NLFsmonkeyCompl!AB5*$M4),"")</f>
        <v/>
      </c>
      <c r="AA4" s="8" t="str">
        <f>IFERROR(IF(ISBLANK([1]NLFsmonkeyCompl!AC5),"",[1]NLFsmonkeyCompl!AC5*$M4),"")</f>
        <v/>
      </c>
      <c r="AB4" s="8" t="str">
        <f>IFERROR(IF(ISBLANK([1]NLFsmonkeyCompl!AD5),"",[1]NLFsmonkeyCompl!AD5),"")</f>
        <v/>
      </c>
      <c r="AC4" s="8" t="str">
        <f>IFERROR(IF(ISBLANK([1]NLFsmonkeyCompl!AE5),"",[1]NLFsmonkeyCompl!AE5),"")</f>
        <v/>
      </c>
      <c r="AD4" s="8">
        <f>IFERROR(IF(ISBLANK([1]NLFsmonkeyCompl!AF5),"",[1]NLFsmonkeyCompl!AF5),"")</f>
        <v>100</v>
      </c>
      <c r="AE4" s="8" t="str">
        <f>IFERROR(IF(ISBLANK([1]NLFsmonkeyCompl!AG5),"",[1]NLFsmonkeyCompl!AG5),"")</f>
        <v/>
      </c>
      <c r="AF4" s="8" t="str">
        <f>IFERROR(IF(ISBLANK([1]NLFsmonkeyCompl!AH5),"",[1]NLFsmonkeyCompl!AH5),"")</f>
        <v>Increase</v>
      </c>
      <c r="AG4" s="8" t="str">
        <f>IFERROR(IF(ISBLANK([1]NLFsmonkeyCompl!AI5),"",[1]NLFsmonkeyCompl!AI5),"")</f>
        <v>Yes</v>
      </c>
    </row>
    <row r="5" spans="1:33" x14ac:dyDescent="0.2">
      <c r="A5" s="5" t="str">
        <f>IF(OR(ISTEXT([1]NLFsmonkeyCompl!J6),ISNUMBER([1]NLFsmonkeyCompl!J6)),[1]NLFsmonkeyCompl!J6,"")</f>
        <v>PGIM Real Estate</v>
      </c>
      <c r="B5" s="6" t="str">
        <f>IF(OR(ISTEXT([1]NLFsmonkeyCompl!K6),ISNUMBER([1]NLFsmonkeyCompl!K6)),[1]NLFsmonkeyCompl!K6,"")</f>
        <v>Eurocore</v>
      </c>
      <c r="C5" s="17">
        <v>19359</v>
      </c>
      <c r="D5" s="6" t="str">
        <f>IFERROR(INDEX([1]VehiclesUniverse!$B$2:$EU$700,MATCH(C5,[1]VehiclesUniverse!$A$2:$A$700,0),MATCH($D$1,[1]VehiclesUniverse!$B$1:$EU$1,0)),"")</f>
        <v>Core</v>
      </c>
      <c r="E5" s="6" t="str">
        <f>IFERROR(INDEX([1]VehiclesUniverse!$B$2:$EU$700,MATCH(C5,[1]VehiclesUniverse!$A$2:$A$700,0),MATCH($E$1,[1]VehiclesUniverse!$B$1:$EU$1,0)),"")</f>
        <v>multi country</v>
      </c>
      <c r="F5" s="6" t="str">
        <f>IF(IFERROR(INDEX([1]VehiclesUniverse!$B$2:$EU$700,MATCH($C5,[1]VehiclesUniverse!$A$2:$A$700,0),MATCH($F$1,[1]VehiclesUniverse!$B$1:$EU$1,0)),"")&lt;&gt;0,(IFERROR(INDEX([1]VehiclesUniverse!$B$2:$EU$700,MATCH($C5,[1]VehiclesUniverse!$A$2:$A$700,0),MATCH($F$1,[1]VehiclesUniverse!$B$1:$EU$1,0)),"")),"")</f>
        <v/>
      </c>
      <c r="G5" s="6" t="str">
        <f>IF(ISBLANK([1]NLFsmonkeyCompl!L6),"",[1]NLFsmonkeyCompl!L6)</f>
        <v>Open end</v>
      </c>
      <c r="H5" s="6">
        <f>IFERROR(INDEX([1]VehiclesUniverse!$B$2:$EU$700,MATCH(C5,[1]VehiclesUniverse!$A$2:$A$700,0),MATCH($H$1,[1]VehiclesUniverse!$B$1:$EU$1,0)),"")</f>
        <v>2019</v>
      </c>
      <c r="I5" s="6" t="str">
        <f>IF(ISBLANK([1]NLFsmonkeyCompl!M6),"",[1]NLFsmonkeyCompl!M6)</f>
        <v>Yes</v>
      </c>
      <c r="J5" s="6" t="str">
        <f>IF(ISBLANK([1]NLFsmonkeyCompl!N6),"",[1]NLFsmonkeyCompl!N6)</f>
        <v/>
      </c>
      <c r="K5" s="6" t="str">
        <f>IF(ISBLANK([1]NLFsmonkeyCompl!O6),"",[1]NLFsmonkeyCompl!O6)</f>
        <v/>
      </c>
      <c r="L5" s="6" t="str">
        <f>IFERROR(INDEX([1]VehiclesUniverse!$B$2:$EU$700,MATCH(C5,[1]VehiclesUniverse!$A$2:$A$700,0),MATCH($L$1,[1]VehiclesUniverse!$B$1:$EU$1,0)),"")</f>
        <v>EUR</v>
      </c>
      <c r="M5" s="16">
        <f>IFERROR(VLOOKUP(L5,'[1]Xrate31.12.20'!$K$2:$N$25,3,0),"")</f>
        <v>1</v>
      </c>
      <c r="N5" s="8">
        <f>IFERROR(IF(ISBLANK([1]NLFsmonkeyCompl!P6),"",[1]NLFsmonkeyCompl!P6*$M5),"")</f>
        <v>319</v>
      </c>
      <c r="O5" s="8">
        <f>IFERROR(IF(ISBLANK([1]NLFsmonkeyCompl!Q6),"",[1]NLFsmonkeyCompl!Q6*$M5),"")</f>
        <v>274</v>
      </c>
      <c r="P5" s="8">
        <f>IFERROR(IF(ISBLANK([1]NLFsmonkeyCompl!R6),"",[1]NLFsmonkeyCompl!R6*$M5),"")</f>
        <v>11</v>
      </c>
      <c r="Q5" s="8" t="str">
        <f>IFERROR(IF(ISBLANK([1]NLFsmonkeyCompl!S6),"",[1]NLFsmonkeyCompl!S6*$M5),"")</f>
        <v/>
      </c>
      <c r="R5" s="8" t="str">
        <f>IFERROR(IF(ISBLANK([1]NLFsmonkeyCompl!T6),"",[1]NLFsmonkeyCompl!T6*$M5),"")</f>
        <v/>
      </c>
      <c r="S5" s="8" t="str">
        <f>IFERROR(IF(ISBLANK([1]NLFsmonkeyCompl!U6),"",[1]NLFsmonkeyCompl!U6*$M5),"")</f>
        <v/>
      </c>
      <c r="T5" s="8" t="str">
        <f>IFERROR(IF(ISBLANK([1]NLFsmonkeyCompl!V6),"",[1]NLFsmonkeyCompl!V6*$M5),"")</f>
        <v/>
      </c>
      <c r="U5" s="8" t="str">
        <f>IFERROR(IF(ISBLANK([1]NLFsmonkeyCompl!W6),"",[1]NLFsmonkeyCompl!W6*$M5),"")</f>
        <v/>
      </c>
      <c r="V5" s="8">
        <f>IFERROR(IF(ISBLANK([1]NLFsmonkeyCompl!X6),"",[1]NLFsmonkeyCompl!X6*$M5),"")</f>
        <v>34</v>
      </c>
      <c r="W5" s="8">
        <f>IFERROR(IF(ISBLANK([1]NLFsmonkeyCompl!Y6),"",[1]NLFsmonkeyCompl!Y6*$M5),"")</f>
        <v>319</v>
      </c>
      <c r="X5" s="8" t="str">
        <f>IFERROR(IF(ISBLANK([1]NLFsmonkeyCompl!Z6),"",[1]NLFsmonkeyCompl!Z6*$M5),"")</f>
        <v/>
      </c>
      <c r="Y5" s="8" t="str">
        <f>IFERROR(IF(ISBLANK([1]NLFsmonkeyCompl!AA6),"",[1]NLFsmonkeyCompl!AA6*$M5),"")</f>
        <v/>
      </c>
      <c r="Z5" s="8" t="str">
        <f>IFERROR(IF(ISBLANK([1]NLFsmonkeyCompl!AB6),"",[1]NLFsmonkeyCompl!AB6*$M5),"")</f>
        <v/>
      </c>
      <c r="AA5" s="8" t="str">
        <f>IFERROR(IF(ISBLANK([1]NLFsmonkeyCompl!AC6),"",[1]NLFsmonkeyCompl!AC6*$M5),"")</f>
        <v/>
      </c>
      <c r="AB5" s="8" t="str">
        <f>IFERROR(IF(ISBLANK([1]NLFsmonkeyCompl!AD6),"",[1]NLFsmonkeyCompl!AD6),"")</f>
        <v/>
      </c>
      <c r="AC5" s="8" t="str">
        <f>IFERROR(IF(ISBLANK([1]NLFsmonkeyCompl!AE6),"",[1]NLFsmonkeyCompl!AE6),"")</f>
        <v/>
      </c>
      <c r="AD5" s="8">
        <f>IFERROR(IF(ISBLANK([1]NLFsmonkeyCompl!AF6),"",[1]NLFsmonkeyCompl!AF6),"")</f>
        <v>100</v>
      </c>
      <c r="AE5" s="8" t="str">
        <f>IFERROR(IF(ISBLANK([1]NLFsmonkeyCompl!AG6),"",[1]NLFsmonkeyCompl!AG6),"")</f>
        <v/>
      </c>
      <c r="AF5" s="8" t="str">
        <f>IFERROR(IF(ISBLANK([1]NLFsmonkeyCompl!AH6),"",[1]NLFsmonkeyCompl!AH6),"")</f>
        <v>Increase</v>
      </c>
      <c r="AG5" s="8" t="str">
        <f>IFERROR(IF(ISBLANK([1]NLFsmonkeyCompl!AI6),"",[1]NLFsmonkeyCompl!AI6),"")</f>
        <v>Yes</v>
      </c>
    </row>
    <row r="6" spans="1:33" x14ac:dyDescent="0.2">
      <c r="A6" s="5" t="str">
        <f>IF(OR(ISTEXT([1]NLFsmonkeyCompl!J7),ISNUMBER([1]NLFsmonkeyCompl!J7)),[1]NLFsmonkeyCompl!J7,"")</f>
        <v>CBRE GI</v>
      </c>
      <c r="B6" s="6" t="str">
        <f>IF(OR(ISTEXT([1]NLFsmonkeyCompl!K7),ISNUMBER([1]NLFsmonkeyCompl!K7)),[1]NLFsmonkeyCompl!K7,"")</f>
        <v>Strategic Partners U.S. Value 9, L.P.</v>
      </c>
      <c r="C6" s="6" t="s">
        <v>42</v>
      </c>
      <c r="D6" s="6" t="str">
        <f>IFERROR(INDEX([1]VehiclesUniverse!$B$2:$EU$700,MATCH(C6,[1]VehiclesUniverse!$A$2:$A$700,0),MATCH($D$1,[1]VehiclesUniverse!$B$1:$EU$1,0)),"")</f>
        <v/>
      </c>
      <c r="E6" s="6" t="str">
        <f>IFERROR(INDEX([1]VehiclesUniverse!$B$2:$EU$700,MATCH(C6,[1]VehiclesUniverse!$A$2:$A$700,0),MATCH($E$1,[1]VehiclesUniverse!$B$1:$EU$1,0)),"")</f>
        <v/>
      </c>
      <c r="F6" s="6" t="str">
        <f>IF(IFERROR(INDEX([1]VehiclesUniverse!$B$2:$EU$700,MATCH($C6,[1]VehiclesUniverse!$A$2:$A$700,0),MATCH($F$1,[1]VehiclesUniverse!$B$1:$EU$1,0)),"")&lt;&gt;0,(IFERROR(INDEX([1]VehiclesUniverse!$B$2:$EU$700,MATCH($C6,[1]VehiclesUniverse!$A$2:$A$700,0),MATCH($F$1,[1]VehiclesUniverse!$B$1:$EU$1,0)),"")),"")</f>
        <v/>
      </c>
      <c r="G6" s="6" t="str">
        <f>IF(ISBLANK([1]NLFsmonkeyCompl!L7),"",[1]NLFsmonkeyCompl!L7)</f>
        <v>Closed end</v>
      </c>
      <c r="H6" s="6" t="str">
        <f>IFERROR(INDEX([1]VehiclesUniverse!$B$2:$EU$700,MATCH(C6,[1]VehiclesUniverse!$A$2:$A$700,0),MATCH($H$1,[1]VehiclesUniverse!$B$1:$EU$1,0)),"")</f>
        <v/>
      </c>
      <c r="I6" s="6" t="str">
        <f>IF(ISBLANK([1]NLFsmonkeyCompl!M7),"",[1]NLFsmonkeyCompl!M7)</f>
        <v>Yes</v>
      </c>
      <c r="J6" s="6" t="str">
        <f>IF(ISBLANK([1]NLFsmonkeyCompl!N7),"",[1]NLFsmonkeyCompl!N7)</f>
        <v/>
      </c>
      <c r="K6" s="6" t="str">
        <f>IF(ISBLANK([1]NLFsmonkeyCompl!O7),"",[1]NLFsmonkeyCompl!O7)</f>
        <v/>
      </c>
      <c r="L6" s="6" t="str">
        <f>IFERROR(INDEX([1]VehiclesUniverse!$B$2:$EU$700,MATCH(C6,[1]VehiclesUniverse!$A$2:$A$700,0),MATCH($L$1,[1]VehiclesUniverse!$B$1:$EU$1,0)),"")</f>
        <v/>
      </c>
      <c r="M6" s="16" t="str">
        <f>IFERROR(VLOOKUP(L6,'[1]Xrate31.12.20'!$K$2:$N$25,3,0),"")</f>
        <v/>
      </c>
      <c r="N6" s="8" t="str">
        <f>IFERROR(IF(ISBLANK([1]NLFsmonkeyCompl!P7),"",[1]NLFsmonkeyCompl!P7*$M6),"")</f>
        <v/>
      </c>
      <c r="O6" s="8" t="str">
        <f>IFERROR(IF(ISBLANK([1]NLFsmonkeyCompl!Q7),"",[1]NLFsmonkeyCompl!Q7*$M6),"")</f>
        <v/>
      </c>
      <c r="P6" s="8" t="str">
        <f>IFERROR(IF(ISBLANK([1]NLFsmonkeyCompl!R7),"",[1]NLFsmonkeyCompl!R7*$M6),"")</f>
        <v/>
      </c>
      <c r="Q6" s="8" t="str">
        <f>IFERROR(IF(ISBLANK([1]NLFsmonkeyCompl!S7),"",[1]NLFsmonkeyCompl!S7*$M6),"")</f>
        <v/>
      </c>
      <c r="R6" s="8" t="str">
        <f>IFERROR(IF(ISBLANK([1]NLFsmonkeyCompl!T7),"",[1]NLFsmonkeyCompl!T7*$M6),"")</f>
        <v/>
      </c>
      <c r="S6" s="8" t="str">
        <f>IFERROR(IF(ISBLANK([1]NLFsmonkeyCompl!U7),"",[1]NLFsmonkeyCompl!U7*$M6),"")</f>
        <v/>
      </c>
      <c r="T6" s="8" t="str">
        <f>IFERROR(IF(ISBLANK([1]NLFsmonkeyCompl!V7),"",[1]NLFsmonkeyCompl!V7*$M6),"")</f>
        <v/>
      </c>
      <c r="U6" s="8" t="str">
        <f>IFERROR(IF(ISBLANK([1]NLFsmonkeyCompl!W7),"",[1]NLFsmonkeyCompl!W7*$M6),"")</f>
        <v/>
      </c>
      <c r="V6" s="8" t="str">
        <f>IFERROR(IF(ISBLANK([1]NLFsmonkeyCompl!X7),"",[1]NLFsmonkeyCompl!X7*$M6),"")</f>
        <v/>
      </c>
      <c r="W6" s="8" t="str">
        <f>IFERROR(IF(ISBLANK([1]NLFsmonkeyCompl!Y7),"",[1]NLFsmonkeyCompl!Y7*$M6),"")</f>
        <v/>
      </c>
      <c r="X6" s="8" t="str">
        <f>IFERROR(IF(ISBLANK([1]NLFsmonkeyCompl!Z7),"",[1]NLFsmonkeyCompl!Z7*$M6),"")</f>
        <v/>
      </c>
      <c r="Y6" s="8" t="str">
        <f>IFERROR(IF(ISBLANK([1]NLFsmonkeyCompl!AA7),"",[1]NLFsmonkeyCompl!AA7*$M6),"")</f>
        <v/>
      </c>
      <c r="Z6" s="8" t="str">
        <f>IFERROR(IF(ISBLANK([1]NLFsmonkeyCompl!AB7),"",[1]NLFsmonkeyCompl!AB7*$M6),"")</f>
        <v/>
      </c>
      <c r="AA6" s="8" t="str">
        <f>IFERROR(IF(ISBLANK([1]NLFsmonkeyCompl!AC7),"",[1]NLFsmonkeyCompl!AC7*$M6),"")</f>
        <v/>
      </c>
      <c r="AB6" s="8" t="str">
        <f>IFERROR(IF(ISBLANK([1]NLFsmonkeyCompl!AD7),"",[1]NLFsmonkeyCompl!AD7),"")</f>
        <v/>
      </c>
      <c r="AC6" s="8" t="str">
        <f>IFERROR(IF(ISBLANK([1]NLFsmonkeyCompl!AE7),"",[1]NLFsmonkeyCompl!AE7),"")</f>
        <v/>
      </c>
      <c r="AD6" s="8">
        <f>IFERROR(IF(ISBLANK([1]NLFsmonkeyCompl!AF7),"",[1]NLFsmonkeyCompl!AF7),"")</f>
        <v>100</v>
      </c>
      <c r="AE6" s="8" t="str">
        <f>IFERROR(IF(ISBLANK([1]NLFsmonkeyCompl!AG7),"",[1]NLFsmonkeyCompl!AG7),"")</f>
        <v/>
      </c>
      <c r="AF6" s="8" t="str">
        <f>IFERROR(IF(ISBLANK([1]NLFsmonkeyCompl!AH7),"",[1]NLFsmonkeyCompl!AH7),"")</f>
        <v>Increase</v>
      </c>
      <c r="AG6" s="8" t="str">
        <f>IFERROR(IF(ISBLANK([1]NLFsmonkeyCompl!AI7),"",[1]NLFsmonkeyCompl!AI7),"")</f>
        <v>Yes</v>
      </c>
    </row>
    <row r="7" spans="1:33" x14ac:dyDescent="0.2">
      <c r="A7" s="5" t="str">
        <f>IF(OR(ISTEXT([1]NLFsmonkeyCompl!J8),ISNUMBER([1]NLFsmonkeyCompl!J8)),[1]NLFsmonkeyCompl!J8,"")</f>
        <v>CBRE GI</v>
      </c>
      <c r="B7" s="6" t="str">
        <f>IF(OR(ISTEXT([1]NLFsmonkeyCompl!K8),ISNUMBER([1]NLFsmonkeyCompl!K8)),[1]NLFsmonkeyCompl!K8,"")</f>
        <v>US Core Partners</v>
      </c>
      <c r="C7" s="6" t="s">
        <v>42</v>
      </c>
      <c r="D7" s="6" t="str">
        <f>IFERROR(INDEX([1]VehiclesUniverse!$B$2:$EU$700,MATCH(C7,[1]VehiclesUniverse!$A$2:$A$700,0),MATCH($D$1,[1]VehiclesUniverse!$B$1:$EU$1,0)),"")</f>
        <v/>
      </c>
      <c r="E7" s="6" t="str">
        <f>IFERROR(INDEX([1]VehiclesUniverse!$B$2:$EU$700,MATCH(C7,[1]VehiclesUniverse!$A$2:$A$700,0),MATCH($E$1,[1]VehiclesUniverse!$B$1:$EU$1,0)),"")</f>
        <v/>
      </c>
      <c r="F7" s="6" t="str">
        <f>IF(IFERROR(INDEX([1]VehiclesUniverse!$B$2:$EU$700,MATCH($C7,[1]VehiclesUniverse!$A$2:$A$700,0),MATCH($F$1,[1]VehiclesUniverse!$B$1:$EU$1,0)),"")&lt;&gt;0,(IFERROR(INDEX([1]VehiclesUniverse!$B$2:$EU$700,MATCH($C7,[1]VehiclesUniverse!$A$2:$A$700,0),MATCH($F$1,[1]VehiclesUniverse!$B$1:$EU$1,0)),"")),"")</f>
        <v/>
      </c>
      <c r="G7" s="6" t="str">
        <f>IF(ISBLANK([1]NLFsmonkeyCompl!L8),"",[1]NLFsmonkeyCompl!L8)</f>
        <v>Open end</v>
      </c>
      <c r="H7" s="6" t="str">
        <f>IFERROR(INDEX([1]VehiclesUniverse!$B$2:$EU$700,MATCH(C7,[1]VehiclesUniverse!$A$2:$A$700,0),MATCH($H$1,[1]VehiclesUniverse!$B$1:$EU$1,0)),"")</f>
        <v/>
      </c>
      <c r="I7" s="6" t="str">
        <f>IF(ISBLANK([1]NLFsmonkeyCompl!M8),"",[1]NLFsmonkeyCompl!M8)</f>
        <v>Yes</v>
      </c>
      <c r="J7" s="6" t="str">
        <f>IF(ISBLANK([1]NLFsmonkeyCompl!N8),"",[1]NLFsmonkeyCompl!N8)</f>
        <v/>
      </c>
      <c r="K7" s="6" t="str">
        <f>IF(ISBLANK([1]NLFsmonkeyCompl!O8),"",[1]NLFsmonkeyCompl!O8)</f>
        <v/>
      </c>
      <c r="L7" s="6" t="str">
        <f>IFERROR(INDEX([1]VehiclesUniverse!$B$2:$EU$700,MATCH(C7,[1]VehiclesUniverse!$A$2:$A$700,0),MATCH($L$1,[1]VehiclesUniverse!$B$1:$EU$1,0)),"")</f>
        <v/>
      </c>
      <c r="M7" s="16" t="str">
        <f>IFERROR(VLOOKUP(L7,'[1]Xrate31.12.20'!$K$2:$N$25,3,0),"")</f>
        <v/>
      </c>
      <c r="N7" s="8" t="str">
        <f>IFERROR(IF(ISBLANK([1]NLFsmonkeyCompl!P8),"",[1]NLFsmonkeyCompl!P8*$M7),"")</f>
        <v/>
      </c>
      <c r="O7" s="8" t="str">
        <f>IFERROR(IF(ISBLANK([1]NLFsmonkeyCompl!Q8),"",[1]NLFsmonkeyCompl!Q8*$M7),"")</f>
        <v/>
      </c>
      <c r="P7" s="8" t="str">
        <f>IFERROR(IF(ISBLANK([1]NLFsmonkeyCompl!R8),"",[1]NLFsmonkeyCompl!R8*$M7),"")</f>
        <v/>
      </c>
      <c r="Q7" s="8" t="str">
        <f>IFERROR(IF(ISBLANK([1]NLFsmonkeyCompl!S8),"",[1]NLFsmonkeyCompl!S8*$M7),"")</f>
        <v/>
      </c>
      <c r="R7" s="8" t="str">
        <f>IFERROR(IF(ISBLANK([1]NLFsmonkeyCompl!T8),"",[1]NLFsmonkeyCompl!T8*$M7),"")</f>
        <v/>
      </c>
      <c r="S7" s="8" t="str">
        <f>IFERROR(IF(ISBLANK([1]NLFsmonkeyCompl!U8),"",[1]NLFsmonkeyCompl!U8*$M7),"")</f>
        <v/>
      </c>
      <c r="T7" s="8" t="str">
        <f>IFERROR(IF(ISBLANK([1]NLFsmonkeyCompl!V8),"",[1]NLFsmonkeyCompl!V8*$M7),"")</f>
        <v/>
      </c>
      <c r="U7" s="8" t="str">
        <f>IFERROR(IF(ISBLANK([1]NLFsmonkeyCompl!W8),"",[1]NLFsmonkeyCompl!W8*$M7),"")</f>
        <v/>
      </c>
      <c r="V7" s="8" t="str">
        <f>IFERROR(IF(ISBLANK([1]NLFsmonkeyCompl!X8),"",[1]NLFsmonkeyCompl!X8*$M7),"")</f>
        <v/>
      </c>
      <c r="W7" s="8" t="str">
        <f>IFERROR(IF(ISBLANK([1]NLFsmonkeyCompl!Y8),"",[1]NLFsmonkeyCompl!Y8*$M7),"")</f>
        <v/>
      </c>
      <c r="X7" s="8" t="str">
        <f>IFERROR(IF(ISBLANK([1]NLFsmonkeyCompl!Z8),"",[1]NLFsmonkeyCompl!Z8*$M7),"")</f>
        <v/>
      </c>
      <c r="Y7" s="8" t="str">
        <f>IFERROR(IF(ISBLANK([1]NLFsmonkeyCompl!AA8),"",[1]NLFsmonkeyCompl!AA8*$M7),"")</f>
        <v/>
      </c>
      <c r="Z7" s="8" t="str">
        <f>IFERROR(IF(ISBLANK([1]NLFsmonkeyCompl!AB8),"",[1]NLFsmonkeyCompl!AB8*$M7),"")</f>
        <v/>
      </c>
      <c r="AA7" s="8" t="str">
        <f>IFERROR(IF(ISBLANK([1]NLFsmonkeyCompl!AC8),"",[1]NLFsmonkeyCompl!AC8*$M7),"")</f>
        <v/>
      </c>
      <c r="AB7" s="8" t="str">
        <f>IFERROR(IF(ISBLANK([1]NLFsmonkeyCompl!AD8),"",[1]NLFsmonkeyCompl!AD8),"")</f>
        <v/>
      </c>
      <c r="AC7" s="8" t="str">
        <f>IFERROR(IF(ISBLANK([1]NLFsmonkeyCompl!AE8),"",[1]NLFsmonkeyCompl!AE8),"")</f>
        <v/>
      </c>
      <c r="AD7" s="8">
        <f>IFERROR(IF(ISBLANK([1]NLFsmonkeyCompl!AF8),"",[1]NLFsmonkeyCompl!AF8),"")</f>
        <v>100</v>
      </c>
      <c r="AE7" s="8" t="str">
        <f>IFERROR(IF(ISBLANK([1]NLFsmonkeyCompl!AG8),"",[1]NLFsmonkeyCompl!AG8),"")</f>
        <v/>
      </c>
      <c r="AF7" s="8" t="str">
        <f>IFERROR(IF(ISBLANK([1]NLFsmonkeyCompl!AH8),"",[1]NLFsmonkeyCompl!AH8),"")</f>
        <v>Increase</v>
      </c>
      <c r="AG7" s="8" t="str">
        <f>IFERROR(IF(ISBLANK([1]NLFsmonkeyCompl!AI8),"",[1]NLFsmonkeyCompl!AI8),"")</f>
        <v>Yes</v>
      </c>
    </row>
    <row r="8" spans="1:33" x14ac:dyDescent="0.2">
      <c r="A8" s="5" t="str">
        <f>IF(OR(ISTEXT([1]NLFsmonkeyCompl!J9),ISNUMBER([1]NLFsmonkeyCompl!J9)),[1]NLFsmonkeyCompl!J9,"")</f>
        <v>CBRE GI</v>
      </c>
      <c r="B8" s="6" t="str">
        <f>IF(OR(ISTEXT([1]NLFsmonkeyCompl!K9),ISNUMBER([1]NLFsmonkeyCompl!K9)),[1]NLFsmonkeyCompl!K9,"")</f>
        <v>Asia Value Partners V SCSp SICAV-RAIF</v>
      </c>
      <c r="C8" s="6" t="s">
        <v>43</v>
      </c>
      <c r="D8" s="6" t="str">
        <f>IFERROR(INDEX([1]VehiclesUniverse!$B$2:$EU$700,MATCH(C8,[1]VehiclesUniverse!$A$2:$A$700,0),MATCH($D$1,[1]VehiclesUniverse!$B$1:$EU$1,0)),"")</f>
        <v/>
      </c>
      <c r="E8" s="6" t="str">
        <f>IFERROR(INDEX([1]VehiclesUniverse!$B$2:$EU$700,MATCH(C8,[1]VehiclesUniverse!$A$2:$A$700,0),MATCH($E$1,[1]VehiclesUniverse!$B$1:$EU$1,0)),"")</f>
        <v/>
      </c>
      <c r="F8" s="6" t="str">
        <f>IF(IFERROR(INDEX([1]VehiclesUniverse!$B$2:$EU$700,MATCH($C8,[1]VehiclesUniverse!$A$2:$A$700,0),MATCH($F$1,[1]VehiclesUniverse!$B$1:$EU$1,0)),"")&lt;&gt;0,(IFERROR(INDEX([1]VehiclesUniverse!$B$2:$EU$700,MATCH($C8,[1]VehiclesUniverse!$A$2:$A$700,0),MATCH($F$1,[1]VehiclesUniverse!$B$1:$EU$1,0)),"")),"")</f>
        <v/>
      </c>
      <c r="G8" s="6" t="str">
        <f>IF(ISBLANK([1]NLFsmonkeyCompl!L9),"",[1]NLFsmonkeyCompl!L9)</f>
        <v>Closed end</v>
      </c>
      <c r="H8" s="6" t="str">
        <f>IFERROR(INDEX([1]VehiclesUniverse!$B$2:$EU$700,MATCH(C8,[1]VehiclesUniverse!$A$2:$A$700,0),MATCH($H$1,[1]VehiclesUniverse!$B$1:$EU$1,0)),"")</f>
        <v/>
      </c>
      <c r="I8" s="6" t="str">
        <f>IF(ISBLANK([1]NLFsmonkeyCompl!M9),"",[1]NLFsmonkeyCompl!M9)</f>
        <v>Yes</v>
      </c>
      <c r="J8" s="6" t="str">
        <f>IF(ISBLANK([1]NLFsmonkeyCompl!N9),"",[1]NLFsmonkeyCompl!N9)</f>
        <v/>
      </c>
      <c r="K8" s="6" t="str">
        <f>IF(ISBLANK([1]NLFsmonkeyCompl!O9),"",[1]NLFsmonkeyCompl!O9)</f>
        <v/>
      </c>
      <c r="L8" s="6" t="str">
        <f>IFERROR(INDEX([1]VehiclesUniverse!$B$2:$EU$700,MATCH(C8,[1]VehiclesUniverse!$A$2:$A$700,0),MATCH($L$1,[1]VehiclesUniverse!$B$1:$EU$1,0)),"")</f>
        <v/>
      </c>
      <c r="M8" s="16" t="str">
        <f>IFERROR(VLOOKUP(L8,'[1]Xrate31.12.20'!$K$2:$N$25,3,0),"")</f>
        <v/>
      </c>
      <c r="N8" s="8" t="str">
        <f>IFERROR(IF(ISBLANK([1]NLFsmonkeyCompl!P9),"",[1]NLFsmonkeyCompl!P9*$M8),"")</f>
        <v/>
      </c>
      <c r="O8" s="8" t="str">
        <f>IFERROR(IF(ISBLANK([1]NLFsmonkeyCompl!Q9),"",[1]NLFsmonkeyCompl!Q9*$M8),"")</f>
        <v/>
      </c>
      <c r="P8" s="8" t="str">
        <f>IFERROR(IF(ISBLANK([1]NLFsmonkeyCompl!R9),"",[1]NLFsmonkeyCompl!R9*$M8),"")</f>
        <v/>
      </c>
      <c r="Q8" s="8" t="str">
        <f>IFERROR(IF(ISBLANK([1]NLFsmonkeyCompl!S9),"",[1]NLFsmonkeyCompl!S9*$M8),"")</f>
        <v/>
      </c>
      <c r="R8" s="8" t="str">
        <f>IFERROR(IF(ISBLANK([1]NLFsmonkeyCompl!T9),"",[1]NLFsmonkeyCompl!T9*$M8),"")</f>
        <v/>
      </c>
      <c r="S8" s="8" t="str">
        <f>IFERROR(IF(ISBLANK([1]NLFsmonkeyCompl!U9),"",[1]NLFsmonkeyCompl!U9*$M8),"")</f>
        <v/>
      </c>
      <c r="T8" s="8" t="str">
        <f>IFERROR(IF(ISBLANK([1]NLFsmonkeyCompl!V9),"",[1]NLFsmonkeyCompl!V9*$M8),"")</f>
        <v/>
      </c>
      <c r="U8" s="8" t="str">
        <f>IFERROR(IF(ISBLANK([1]NLFsmonkeyCompl!W9),"",[1]NLFsmonkeyCompl!W9*$M8),"")</f>
        <v/>
      </c>
      <c r="V8" s="8" t="str">
        <f>IFERROR(IF(ISBLANK([1]NLFsmonkeyCompl!X9),"",[1]NLFsmonkeyCompl!X9*$M8),"")</f>
        <v/>
      </c>
      <c r="W8" s="8" t="str">
        <f>IFERROR(IF(ISBLANK([1]NLFsmonkeyCompl!Y9),"",[1]NLFsmonkeyCompl!Y9*$M8),"")</f>
        <v/>
      </c>
      <c r="X8" s="8" t="str">
        <f>IFERROR(IF(ISBLANK([1]NLFsmonkeyCompl!Z9),"",[1]NLFsmonkeyCompl!Z9*$M8),"")</f>
        <v/>
      </c>
      <c r="Y8" s="8" t="str">
        <f>IFERROR(IF(ISBLANK([1]NLFsmonkeyCompl!AA9),"",[1]NLFsmonkeyCompl!AA9*$M8),"")</f>
        <v/>
      </c>
      <c r="Z8" s="8" t="str">
        <f>IFERROR(IF(ISBLANK([1]NLFsmonkeyCompl!AB9),"",[1]NLFsmonkeyCompl!AB9*$M8),"")</f>
        <v/>
      </c>
      <c r="AA8" s="8" t="str">
        <f>IFERROR(IF(ISBLANK([1]NLFsmonkeyCompl!AC9),"",[1]NLFsmonkeyCompl!AC9*$M8),"")</f>
        <v/>
      </c>
      <c r="AB8" s="8" t="str">
        <f>IFERROR(IF(ISBLANK([1]NLFsmonkeyCompl!AD9),"",[1]NLFsmonkeyCompl!AD9),"")</f>
        <v/>
      </c>
      <c r="AC8" s="8" t="str">
        <f>IFERROR(IF(ISBLANK([1]NLFsmonkeyCompl!AE9),"",[1]NLFsmonkeyCompl!AE9),"")</f>
        <v/>
      </c>
      <c r="AD8" s="8">
        <f>IFERROR(IF(ISBLANK([1]NLFsmonkeyCompl!AF9),"",[1]NLFsmonkeyCompl!AF9),"")</f>
        <v>100</v>
      </c>
      <c r="AE8" s="8" t="str">
        <f>IFERROR(IF(ISBLANK([1]NLFsmonkeyCompl!AG9),"",[1]NLFsmonkeyCompl!AG9),"")</f>
        <v/>
      </c>
      <c r="AF8" s="8" t="str">
        <f>IFERROR(IF(ISBLANK([1]NLFsmonkeyCompl!AH9),"",[1]NLFsmonkeyCompl!AH9),"")</f>
        <v>Increase</v>
      </c>
      <c r="AG8" s="8" t="str">
        <f>IFERROR(IF(ISBLANK([1]NLFsmonkeyCompl!AI9),"",[1]NLFsmonkeyCompl!AI9),"")</f>
        <v>Yes</v>
      </c>
    </row>
    <row r="9" spans="1:33" x14ac:dyDescent="0.2">
      <c r="A9" s="5" t="str">
        <f>IF(OR(ISTEXT([1]NLFsmonkeyCompl!J10),ISNUMBER([1]NLFsmonkeyCompl!J10)),[1]NLFsmonkeyCompl!J10,"")</f>
        <v>CBRE GI</v>
      </c>
      <c r="B9" s="6" t="str">
        <f>IF(OR(ISTEXT([1]NLFsmonkeyCompl!K10),ISNUMBER([1]NLFsmonkeyCompl!K10)),[1]NLFsmonkeyCompl!K10,"")</f>
        <v>Dutch Residential Fund</v>
      </c>
      <c r="C9" s="6">
        <v>18277</v>
      </c>
      <c r="D9" s="6" t="str">
        <f>IFERROR(INDEX([1]VehiclesUniverse!$B$2:$EU$700,MATCH(C9,[1]VehiclesUniverse!$A$2:$A$700,0),MATCH($D$1,[1]VehiclesUniverse!$B$1:$EU$1,0)),"")</f>
        <v>Core</v>
      </c>
      <c r="E9" s="6" t="str">
        <f>IFERROR(INDEX([1]VehiclesUniverse!$B$2:$EU$700,MATCH(C9,[1]VehiclesUniverse!$A$2:$A$700,0),MATCH($E$1,[1]VehiclesUniverse!$B$1:$EU$1,0)),"")</f>
        <v>single country</v>
      </c>
      <c r="F9" s="6" t="str">
        <f>IF(IFERROR(INDEX([1]VehiclesUniverse!$B$2:$EU$700,MATCH($C9,[1]VehiclesUniverse!$A$2:$A$700,0),MATCH($F$1,[1]VehiclesUniverse!$B$1:$EU$1,0)),"")&lt;&gt;0,(IFERROR(INDEX([1]VehiclesUniverse!$B$2:$EU$700,MATCH($C9,[1]VehiclesUniverse!$A$2:$A$700,0),MATCH($F$1,[1]VehiclesUniverse!$B$1:$EU$1,0)),"")),"")</f>
        <v>Netherlands</v>
      </c>
      <c r="G9" s="6" t="str">
        <f>IF(ISBLANK([1]NLFsmonkeyCompl!L10),"",[1]NLFsmonkeyCompl!L10)</f>
        <v>Open end</v>
      </c>
      <c r="H9" s="6">
        <f>IFERROR(INDEX([1]VehiclesUniverse!$B$2:$EU$700,MATCH(C9,[1]VehiclesUniverse!$A$2:$A$700,0),MATCH($H$1,[1]VehiclesUniverse!$B$1:$EU$1,0)),"")</f>
        <v>2017</v>
      </c>
      <c r="I9" s="6" t="str">
        <f>IF(ISBLANK([1]NLFsmonkeyCompl!M10),"",[1]NLFsmonkeyCompl!M10)</f>
        <v>Yes</v>
      </c>
      <c r="J9" s="6" t="str">
        <f>IF(ISBLANK([1]NLFsmonkeyCompl!N10),"",[1]NLFsmonkeyCompl!N10)</f>
        <v/>
      </c>
      <c r="K9" s="6" t="str">
        <f>IF(ISBLANK([1]NLFsmonkeyCompl!O10),"",[1]NLFsmonkeyCompl!O10)</f>
        <v/>
      </c>
      <c r="L9" s="6" t="str">
        <f>IFERROR(INDEX([1]VehiclesUniverse!$B$2:$EU$700,MATCH(C9,[1]VehiclesUniverse!$A$2:$A$700,0),MATCH($L$1,[1]VehiclesUniverse!$B$1:$EU$1,0)),"")</f>
        <v>EUR</v>
      </c>
      <c r="M9" s="16">
        <f>IFERROR(VLOOKUP(L9,'[1]Xrate31.12.20'!$K$2:$N$25,3,0),"")</f>
        <v>1</v>
      </c>
      <c r="N9" s="8">
        <f>IFERROR(IF(ISBLANK([1]NLFsmonkeyCompl!P10),"",[1]NLFsmonkeyCompl!P10*$M9),"")</f>
        <v>602</v>
      </c>
      <c r="O9" s="8">
        <f>IFERROR(IF(ISBLANK([1]NLFsmonkeyCompl!Q10),"",[1]NLFsmonkeyCompl!Q10*$M9),"")</f>
        <v>602</v>
      </c>
      <c r="P9" s="8" t="str">
        <f>IFERROR(IF(ISBLANK([1]NLFsmonkeyCompl!R10),"",[1]NLFsmonkeyCompl!R10*$M9),"")</f>
        <v/>
      </c>
      <c r="Q9" s="8" t="str">
        <f>IFERROR(IF(ISBLANK([1]NLFsmonkeyCompl!S10),"",[1]NLFsmonkeyCompl!S10*$M9),"")</f>
        <v/>
      </c>
      <c r="R9" s="8" t="str">
        <f>IFERROR(IF(ISBLANK([1]NLFsmonkeyCompl!T10),"",[1]NLFsmonkeyCompl!T10*$M9),"")</f>
        <v/>
      </c>
      <c r="S9" s="8" t="str">
        <f>IFERROR(IF(ISBLANK([1]NLFsmonkeyCompl!U10),"",[1]NLFsmonkeyCompl!U10*$M9),"")</f>
        <v/>
      </c>
      <c r="T9" s="8" t="str">
        <f>IFERROR(IF(ISBLANK([1]NLFsmonkeyCompl!V10),"",[1]NLFsmonkeyCompl!V10*$M9),"")</f>
        <v/>
      </c>
      <c r="U9" s="8" t="str">
        <f>IFERROR(IF(ISBLANK([1]NLFsmonkeyCompl!W10),"",[1]NLFsmonkeyCompl!W10*$M9),"")</f>
        <v/>
      </c>
      <c r="V9" s="8" t="str">
        <f>IFERROR(IF(ISBLANK([1]NLFsmonkeyCompl!X10),"",[1]NLFsmonkeyCompl!X10*$M9),"")</f>
        <v/>
      </c>
      <c r="W9" s="8">
        <f>IFERROR(IF(ISBLANK([1]NLFsmonkeyCompl!Y10),"",[1]NLFsmonkeyCompl!Y10*$M9),"")</f>
        <v>602</v>
      </c>
      <c r="X9" s="8" t="str">
        <f>IFERROR(IF(ISBLANK([1]NLFsmonkeyCompl!Z10),"",[1]NLFsmonkeyCompl!Z10*$M9),"")</f>
        <v/>
      </c>
      <c r="Y9" s="8" t="str">
        <f>IFERROR(IF(ISBLANK([1]NLFsmonkeyCompl!AA10),"",[1]NLFsmonkeyCompl!AA10*$M9),"")</f>
        <v/>
      </c>
      <c r="Z9" s="8" t="str">
        <f>IFERROR(IF(ISBLANK([1]NLFsmonkeyCompl!AB10),"",[1]NLFsmonkeyCompl!AB10*$M9),"")</f>
        <v/>
      </c>
      <c r="AA9" s="8" t="str">
        <f>IFERROR(IF(ISBLANK([1]NLFsmonkeyCompl!AC10),"",[1]NLFsmonkeyCompl!AC10*$M9),"")</f>
        <v/>
      </c>
      <c r="AB9" s="8" t="str">
        <f>IFERROR(IF(ISBLANK([1]NLFsmonkeyCompl!AD10),"",[1]NLFsmonkeyCompl!AD10),"")</f>
        <v/>
      </c>
      <c r="AC9" s="8" t="str">
        <f>IFERROR(IF(ISBLANK([1]NLFsmonkeyCompl!AE10),"",[1]NLFsmonkeyCompl!AE10),"")</f>
        <v/>
      </c>
      <c r="AD9" s="8">
        <f>IFERROR(IF(ISBLANK([1]NLFsmonkeyCompl!AF10),"",[1]NLFsmonkeyCompl!AF10),"")</f>
        <v>100</v>
      </c>
      <c r="AE9" s="8" t="str">
        <f>IFERROR(IF(ISBLANK([1]NLFsmonkeyCompl!AG10),"",[1]NLFsmonkeyCompl!AG10),"")</f>
        <v/>
      </c>
      <c r="AF9" s="8" t="str">
        <f>IFERROR(IF(ISBLANK([1]NLFsmonkeyCompl!AH10),"",[1]NLFsmonkeyCompl!AH10),"")</f>
        <v>Increase</v>
      </c>
      <c r="AG9" s="8" t="str">
        <f>IFERROR(IF(ISBLANK([1]NLFsmonkeyCompl!AI10),"",[1]NLFsmonkeyCompl!AI10),"")</f>
        <v>Yes</v>
      </c>
    </row>
    <row r="10" spans="1:33" x14ac:dyDescent="0.2">
      <c r="A10" s="5" t="str">
        <f>IF(OR(ISTEXT([1]NLFsmonkeyCompl!J11),ISNUMBER([1]NLFsmonkeyCompl!J11)),[1]NLFsmonkeyCompl!J11,"")</f>
        <v>CBRE GI</v>
      </c>
      <c r="B10" s="6" t="str">
        <f>IF(OR(ISTEXT([1]NLFsmonkeyCompl!K11),ISNUMBER([1]NLFsmonkeyCompl!K11)),[1]NLFsmonkeyCompl!K11,"")</f>
        <v>Europe Value Partners 2</v>
      </c>
      <c r="C10" s="6">
        <v>18564</v>
      </c>
      <c r="D10" s="6" t="str">
        <f>IFERROR(INDEX([1]VehiclesUniverse!$B$2:$EU$700,MATCH(C10,[1]VehiclesUniverse!$A$2:$A$700,0),MATCH($D$1,[1]VehiclesUniverse!$B$1:$EU$1,0)),"")</f>
        <v>Value-added</v>
      </c>
      <c r="E10" s="6" t="str">
        <f>IFERROR(INDEX([1]VehiclesUniverse!$B$2:$EU$700,MATCH(C10,[1]VehiclesUniverse!$A$2:$A$700,0),MATCH($E$1,[1]VehiclesUniverse!$B$1:$EU$1,0)),"")</f>
        <v>multi country</v>
      </c>
      <c r="F10" s="6" t="str">
        <f>IF(IFERROR(INDEX([1]VehiclesUniverse!$B$2:$EU$700,MATCH($C10,[1]VehiclesUniverse!$A$2:$A$700,0),MATCH($F$1,[1]VehiclesUniverse!$B$1:$EU$1,0)),"")&lt;&gt;0,(IFERROR(INDEX([1]VehiclesUniverse!$B$2:$EU$700,MATCH($C10,[1]VehiclesUniverse!$A$2:$A$700,0),MATCH($F$1,[1]VehiclesUniverse!$B$1:$EU$1,0)),"")),"")</f>
        <v/>
      </c>
      <c r="G10" s="6" t="str">
        <f>IF(ISBLANK([1]NLFsmonkeyCompl!L11),"",[1]NLFsmonkeyCompl!L11)</f>
        <v>Closed end</v>
      </c>
      <c r="H10" s="6">
        <f>IFERROR(INDEX([1]VehiclesUniverse!$B$2:$EU$700,MATCH(C10,[1]VehiclesUniverse!$A$2:$A$700,0),MATCH($H$1,[1]VehiclesUniverse!$B$1:$EU$1,0)),"")</f>
        <v>2017</v>
      </c>
      <c r="I10" s="6" t="str">
        <f>IF(ISBLANK([1]NLFsmonkeyCompl!M11),"",[1]NLFsmonkeyCompl!M11)</f>
        <v>Yes</v>
      </c>
      <c r="J10" s="6" t="str">
        <f>IF(ISBLANK([1]NLFsmonkeyCompl!N11),"",[1]NLFsmonkeyCompl!N11)</f>
        <v/>
      </c>
      <c r="K10" s="6" t="str">
        <f>IF(ISBLANK([1]NLFsmonkeyCompl!O11),"",[1]NLFsmonkeyCompl!O11)</f>
        <v/>
      </c>
      <c r="L10" s="6" t="str">
        <f>IFERROR(INDEX([1]VehiclesUniverse!$B$2:$EU$700,MATCH(C10,[1]VehiclesUniverse!$A$2:$A$700,0),MATCH($L$1,[1]VehiclesUniverse!$B$1:$EU$1,0)),"")</f>
        <v>EUR</v>
      </c>
      <c r="M10" s="16">
        <f>IFERROR(VLOOKUP(L10,'[1]Xrate31.12.20'!$K$2:$N$25,3,0),"")</f>
        <v>1</v>
      </c>
      <c r="N10" s="8">
        <f>IFERROR(IF(ISBLANK([1]NLFsmonkeyCompl!P11),"",[1]NLFsmonkeyCompl!P11*$M10),"")</f>
        <v>4</v>
      </c>
      <c r="O10" s="8">
        <f>IFERROR(IF(ISBLANK([1]NLFsmonkeyCompl!Q11),"",[1]NLFsmonkeyCompl!Q11*$M10),"")</f>
        <v>2</v>
      </c>
      <c r="P10" s="8">
        <f>IFERROR(IF(ISBLANK([1]NLFsmonkeyCompl!R11),"",[1]NLFsmonkeyCompl!R11*$M10),"")</f>
        <v>2</v>
      </c>
      <c r="Q10" s="8" t="str">
        <f>IFERROR(IF(ISBLANK([1]NLFsmonkeyCompl!S11),"",[1]NLFsmonkeyCompl!S11*$M10),"")</f>
        <v/>
      </c>
      <c r="R10" s="8" t="str">
        <f>IFERROR(IF(ISBLANK([1]NLFsmonkeyCompl!T11),"",[1]NLFsmonkeyCompl!T11*$M10),"")</f>
        <v/>
      </c>
      <c r="S10" s="8" t="str">
        <f>IFERROR(IF(ISBLANK([1]NLFsmonkeyCompl!U11),"",[1]NLFsmonkeyCompl!U11*$M10),"")</f>
        <v/>
      </c>
      <c r="T10" s="8" t="str">
        <f>IFERROR(IF(ISBLANK([1]NLFsmonkeyCompl!V11),"",[1]NLFsmonkeyCompl!V11*$M10),"")</f>
        <v/>
      </c>
      <c r="U10" s="8" t="str">
        <f>IFERROR(IF(ISBLANK([1]NLFsmonkeyCompl!W11),"",[1]NLFsmonkeyCompl!W11*$M10),"")</f>
        <v/>
      </c>
      <c r="V10" s="8" t="str">
        <f>IFERROR(IF(ISBLANK([1]NLFsmonkeyCompl!X11),"",[1]NLFsmonkeyCompl!X11*$M10),"")</f>
        <v/>
      </c>
      <c r="W10" s="8" t="str">
        <f>IFERROR(IF(ISBLANK([1]NLFsmonkeyCompl!Y11),"",[1]NLFsmonkeyCompl!Y11*$M10),"")</f>
        <v/>
      </c>
      <c r="X10" s="8">
        <f>IFERROR(IF(ISBLANK([1]NLFsmonkeyCompl!Z11),"",[1]NLFsmonkeyCompl!Z11*$M10),"")</f>
        <v>3</v>
      </c>
      <c r="Y10" s="8">
        <f>IFERROR(IF(ISBLANK([1]NLFsmonkeyCompl!AA11),"",[1]NLFsmonkeyCompl!AA11*$M10),"")</f>
        <v>1</v>
      </c>
      <c r="Z10" s="8" t="str">
        <f>IFERROR(IF(ISBLANK([1]NLFsmonkeyCompl!AB11),"",[1]NLFsmonkeyCompl!AB11*$M10),"")</f>
        <v/>
      </c>
      <c r="AA10" s="8" t="str">
        <f>IFERROR(IF(ISBLANK([1]NLFsmonkeyCompl!AC11),"",[1]NLFsmonkeyCompl!AC11*$M10),"")</f>
        <v/>
      </c>
      <c r="AB10" s="8" t="str">
        <f>IFERROR(IF(ISBLANK([1]NLFsmonkeyCompl!AD11),"",[1]NLFsmonkeyCompl!AD11),"")</f>
        <v/>
      </c>
      <c r="AC10" s="8" t="str">
        <f>IFERROR(IF(ISBLANK([1]NLFsmonkeyCompl!AE11),"",[1]NLFsmonkeyCompl!AE11),"")</f>
        <v/>
      </c>
      <c r="AD10" s="8">
        <f>IFERROR(IF(ISBLANK([1]NLFsmonkeyCompl!AF11),"",[1]NLFsmonkeyCompl!AF11),"")</f>
        <v>100</v>
      </c>
      <c r="AE10" s="8" t="str">
        <f>IFERROR(IF(ISBLANK([1]NLFsmonkeyCompl!AG11),"",[1]NLFsmonkeyCompl!AG11),"")</f>
        <v/>
      </c>
      <c r="AF10" s="8" t="str">
        <f>IFERROR(IF(ISBLANK([1]NLFsmonkeyCompl!AH11),"",[1]NLFsmonkeyCompl!AH11),"")</f>
        <v>Increase</v>
      </c>
      <c r="AG10" s="8" t="str">
        <f>IFERROR(IF(ISBLANK([1]NLFsmonkeyCompl!AI11),"",[1]NLFsmonkeyCompl!AI11),"")</f>
        <v>Yes</v>
      </c>
    </row>
    <row r="11" spans="1:33" x14ac:dyDescent="0.2">
      <c r="A11" s="5" t="str">
        <f>IF(OR(ISTEXT([1]NLFsmonkeyCompl!J12),ISNUMBER([1]NLFsmonkeyCompl!J12)),[1]NLFsmonkeyCompl!J12,"")</f>
        <v>CBRE GI</v>
      </c>
      <c r="B11" s="6" t="str">
        <f>IF(OR(ISTEXT([1]NLFsmonkeyCompl!K12),ISNUMBER([1]NLFsmonkeyCompl!K12)),[1]NLFsmonkeyCompl!K12,"")</f>
        <v>European Industrial Fund</v>
      </c>
      <c r="C11" s="6">
        <v>278</v>
      </c>
      <c r="D11" s="6" t="str">
        <f>IFERROR(INDEX([1]VehiclesUniverse!$B$2:$EU$700,MATCH(C11,[1]VehiclesUniverse!$A$2:$A$700,0),MATCH($D$1,[1]VehiclesUniverse!$B$1:$EU$1,0)),"")</f>
        <v>Core</v>
      </c>
      <c r="E11" s="6" t="str">
        <f>IFERROR(INDEX([1]VehiclesUniverse!$B$2:$EU$700,MATCH(C11,[1]VehiclesUniverse!$A$2:$A$700,0),MATCH($E$1,[1]VehiclesUniverse!$B$1:$EU$1,0)),"")</f>
        <v>multi country</v>
      </c>
      <c r="F11" s="6" t="str">
        <f>IF(IFERROR(INDEX([1]VehiclesUniverse!$B$2:$EU$700,MATCH($C11,[1]VehiclesUniverse!$A$2:$A$700,0),MATCH($F$1,[1]VehiclesUniverse!$B$1:$EU$1,0)),"")&lt;&gt;0,(IFERROR(INDEX([1]VehiclesUniverse!$B$2:$EU$700,MATCH($C11,[1]VehiclesUniverse!$A$2:$A$700,0),MATCH($F$1,[1]VehiclesUniverse!$B$1:$EU$1,0)),"")),"")</f>
        <v/>
      </c>
      <c r="G11" s="6" t="str">
        <f>IF(ISBLANK([1]NLFsmonkeyCompl!L12),"",[1]NLFsmonkeyCompl!L12)</f>
        <v>Open end</v>
      </c>
      <c r="H11" s="6">
        <f>IFERROR(INDEX([1]VehiclesUniverse!$B$2:$EU$700,MATCH(C11,[1]VehiclesUniverse!$A$2:$A$700,0),MATCH($H$1,[1]VehiclesUniverse!$B$1:$EU$1,0)),"")</f>
        <v>2005</v>
      </c>
      <c r="I11" s="6" t="str">
        <f>IF(ISBLANK([1]NLFsmonkeyCompl!M12),"",[1]NLFsmonkeyCompl!M12)</f>
        <v>Yes</v>
      </c>
      <c r="J11" s="6" t="str">
        <f>IF(ISBLANK([1]NLFsmonkeyCompl!N12),"",[1]NLFsmonkeyCompl!N12)</f>
        <v/>
      </c>
      <c r="K11" s="6" t="str">
        <f>IF(ISBLANK([1]NLFsmonkeyCompl!O12),"",[1]NLFsmonkeyCompl!O12)</f>
        <v/>
      </c>
      <c r="L11" s="6" t="str">
        <f>IFERROR(INDEX([1]VehiclesUniverse!$B$2:$EU$700,MATCH(C11,[1]VehiclesUniverse!$A$2:$A$700,0),MATCH($L$1,[1]VehiclesUniverse!$B$1:$EU$1,0)),"")</f>
        <v>EUR</v>
      </c>
      <c r="M11" s="16">
        <f>IFERROR(VLOOKUP(L11,'[1]Xrate31.12.20'!$K$2:$N$25,3,0),"")</f>
        <v>1</v>
      </c>
      <c r="N11" s="8">
        <f>IFERROR(IF(ISBLANK([1]NLFsmonkeyCompl!P12),"",[1]NLFsmonkeyCompl!P12*$M11),"")</f>
        <v>122</v>
      </c>
      <c r="O11" s="8">
        <f>IFERROR(IF(ISBLANK([1]NLFsmonkeyCompl!Q12),"",[1]NLFsmonkeyCompl!Q12*$M11),"")</f>
        <v>32</v>
      </c>
      <c r="P11" s="8">
        <f>IFERROR(IF(ISBLANK([1]NLFsmonkeyCompl!R12),"",[1]NLFsmonkeyCompl!R12*$M11),"")</f>
        <v>90</v>
      </c>
      <c r="Q11" s="8" t="str">
        <f>IFERROR(IF(ISBLANK([1]NLFsmonkeyCompl!S12),"",[1]NLFsmonkeyCompl!S12*$M11),"")</f>
        <v/>
      </c>
      <c r="R11" s="8" t="str">
        <f>IFERROR(IF(ISBLANK([1]NLFsmonkeyCompl!T12),"",[1]NLFsmonkeyCompl!T12*$M11),"")</f>
        <v/>
      </c>
      <c r="S11" s="8" t="str">
        <f>IFERROR(IF(ISBLANK([1]NLFsmonkeyCompl!U12),"",[1]NLFsmonkeyCompl!U12*$M11),"")</f>
        <v/>
      </c>
      <c r="T11" s="8" t="str">
        <f>IFERROR(IF(ISBLANK([1]NLFsmonkeyCompl!V12),"",[1]NLFsmonkeyCompl!V12*$M11),"")</f>
        <v/>
      </c>
      <c r="U11" s="8" t="str">
        <f>IFERROR(IF(ISBLANK([1]NLFsmonkeyCompl!W12),"",[1]NLFsmonkeyCompl!W12*$M11),"")</f>
        <v/>
      </c>
      <c r="V11" s="8" t="str">
        <f>IFERROR(IF(ISBLANK([1]NLFsmonkeyCompl!X12),"",[1]NLFsmonkeyCompl!X12*$M11),"")</f>
        <v/>
      </c>
      <c r="W11" s="8">
        <f>IFERROR(IF(ISBLANK([1]NLFsmonkeyCompl!Y12),"",[1]NLFsmonkeyCompl!Y12*$M11),"")</f>
        <v>122</v>
      </c>
      <c r="X11" s="8" t="str">
        <f>IFERROR(IF(ISBLANK([1]NLFsmonkeyCompl!Z12),"",[1]NLFsmonkeyCompl!Z12*$M11),"")</f>
        <v/>
      </c>
      <c r="Y11" s="8" t="str">
        <f>IFERROR(IF(ISBLANK([1]NLFsmonkeyCompl!AA12),"",[1]NLFsmonkeyCompl!AA12*$M11),"")</f>
        <v/>
      </c>
      <c r="Z11" s="8" t="str">
        <f>IFERROR(IF(ISBLANK([1]NLFsmonkeyCompl!AB12),"",[1]NLFsmonkeyCompl!AB12*$M11),"")</f>
        <v/>
      </c>
      <c r="AA11" s="8" t="str">
        <f>IFERROR(IF(ISBLANK([1]NLFsmonkeyCompl!AC12),"",[1]NLFsmonkeyCompl!AC12*$M11),"")</f>
        <v/>
      </c>
      <c r="AB11" s="8" t="str">
        <f>IFERROR(IF(ISBLANK([1]NLFsmonkeyCompl!AD12),"",[1]NLFsmonkeyCompl!AD12),"")</f>
        <v/>
      </c>
      <c r="AC11" s="8" t="str">
        <f>IFERROR(IF(ISBLANK([1]NLFsmonkeyCompl!AE12),"",[1]NLFsmonkeyCompl!AE12),"")</f>
        <v/>
      </c>
      <c r="AD11" s="8">
        <f>IFERROR(IF(ISBLANK([1]NLFsmonkeyCompl!AF12),"",[1]NLFsmonkeyCompl!AF12),"")</f>
        <v>100</v>
      </c>
      <c r="AE11" s="8" t="str">
        <f>IFERROR(IF(ISBLANK([1]NLFsmonkeyCompl!AG12),"",[1]NLFsmonkeyCompl!AG12),"")</f>
        <v/>
      </c>
      <c r="AF11" s="8" t="str">
        <f>IFERROR(IF(ISBLANK([1]NLFsmonkeyCompl!AH12),"",[1]NLFsmonkeyCompl!AH12),"")</f>
        <v>Increase</v>
      </c>
      <c r="AG11" s="8" t="str">
        <f>IFERROR(IF(ISBLANK([1]NLFsmonkeyCompl!AI12),"",[1]NLFsmonkeyCompl!AI12),"")</f>
        <v>Yes</v>
      </c>
    </row>
    <row r="12" spans="1:33" x14ac:dyDescent="0.2">
      <c r="A12" s="5" t="str">
        <f>IF(OR(ISTEXT([1]NLFsmonkeyCompl!J13),ISNUMBER([1]NLFsmonkeyCompl!J13)),[1]NLFsmonkeyCompl!J13,"")</f>
        <v>CBRE GI</v>
      </c>
      <c r="B12" s="6" t="str">
        <f>IF(OR(ISTEXT([1]NLFsmonkeyCompl!K13),ISNUMBER([1]NLFsmonkeyCompl!K13)),[1]NLFsmonkeyCompl!K13,"")</f>
        <v>Pan-European Core Fund (PEC)</v>
      </c>
      <c r="C12" s="6">
        <v>554</v>
      </c>
      <c r="D12" s="6" t="str">
        <f>IFERROR(INDEX([1]VehiclesUniverse!$B$2:$EU$700,MATCH(C12,[1]VehiclesUniverse!$A$2:$A$700,0),MATCH($D$1,[1]VehiclesUniverse!$B$1:$EU$1,0)),"")</f>
        <v>Core</v>
      </c>
      <c r="E12" s="6" t="str">
        <f>IFERROR(INDEX([1]VehiclesUniverse!$B$2:$EU$700,MATCH(C12,[1]VehiclesUniverse!$A$2:$A$700,0),MATCH($E$1,[1]VehiclesUniverse!$B$1:$EU$1,0)),"")</f>
        <v>multi country</v>
      </c>
      <c r="F12" s="6" t="str">
        <f>IF(IFERROR(INDEX([1]VehiclesUniverse!$B$2:$EU$700,MATCH($C12,[1]VehiclesUniverse!$A$2:$A$700,0),MATCH($F$1,[1]VehiclesUniverse!$B$1:$EU$1,0)),"")&lt;&gt;0,(IFERROR(INDEX([1]VehiclesUniverse!$B$2:$EU$700,MATCH($C12,[1]VehiclesUniverse!$A$2:$A$700,0),MATCH($F$1,[1]VehiclesUniverse!$B$1:$EU$1,0)),"")),"")</f>
        <v/>
      </c>
      <c r="G12" s="6" t="str">
        <f>IF(ISBLANK([1]NLFsmonkeyCompl!L13),"",[1]NLFsmonkeyCompl!L13)</f>
        <v>Open end</v>
      </c>
      <c r="H12" s="6">
        <f>IFERROR(INDEX([1]VehiclesUniverse!$B$2:$EU$700,MATCH(C12,[1]VehiclesUniverse!$A$2:$A$700,0),MATCH($H$1,[1]VehiclesUniverse!$B$1:$EU$1,0)),"")</f>
        <v>2010</v>
      </c>
      <c r="I12" s="6" t="str">
        <f>IF(ISBLANK([1]NLFsmonkeyCompl!M13),"",[1]NLFsmonkeyCompl!M13)</f>
        <v>Yes</v>
      </c>
      <c r="J12" s="6" t="str">
        <f>IF(ISBLANK([1]NLFsmonkeyCompl!N13),"",[1]NLFsmonkeyCompl!N13)</f>
        <v/>
      </c>
      <c r="K12" s="6" t="str">
        <f>IF(ISBLANK([1]NLFsmonkeyCompl!O13),"",[1]NLFsmonkeyCompl!O13)</f>
        <v/>
      </c>
      <c r="L12" s="6" t="str">
        <f>IFERROR(INDEX([1]VehiclesUniverse!$B$2:$EU$700,MATCH(C12,[1]VehiclesUniverse!$A$2:$A$700,0),MATCH($L$1,[1]VehiclesUniverse!$B$1:$EU$1,0)),"")</f>
        <v>EUR</v>
      </c>
      <c r="M12" s="16">
        <f>IFERROR(VLOOKUP(L12,'[1]Xrate31.12.20'!$K$2:$N$25,3,0),"")</f>
        <v>1</v>
      </c>
      <c r="N12" s="8">
        <f>IFERROR(IF(ISBLANK([1]NLFsmonkeyCompl!P13),"",[1]NLFsmonkeyCompl!P13*$M12),"")</f>
        <v>417</v>
      </c>
      <c r="O12" s="8">
        <f>IFERROR(IF(ISBLANK([1]NLFsmonkeyCompl!Q13),"",[1]NLFsmonkeyCompl!Q13*$M12),"")</f>
        <v>404</v>
      </c>
      <c r="P12" s="8">
        <f>IFERROR(IF(ISBLANK([1]NLFsmonkeyCompl!R13),"",[1]NLFsmonkeyCompl!R13*$M12),"")</f>
        <v>13</v>
      </c>
      <c r="Q12" s="8" t="str">
        <f>IFERROR(IF(ISBLANK([1]NLFsmonkeyCompl!S13),"",[1]NLFsmonkeyCompl!S13*$M12),"")</f>
        <v/>
      </c>
      <c r="R12" s="8" t="str">
        <f>IFERROR(IF(ISBLANK([1]NLFsmonkeyCompl!T13),"",[1]NLFsmonkeyCompl!T13*$M12),"")</f>
        <v/>
      </c>
      <c r="S12" s="8" t="str">
        <f>IFERROR(IF(ISBLANK([1]NLFsmonkeyCompl!U13),"",[1]NLFsmonkeyCompl!U13*$M12),"")</f>
        <v/>
      </c>
      <c r="T12" s="8" t="str">
        <f>IFERROR(IF(ISBLANK([1]NLFsmonkeyCompl!V13),"",[1]NLFsmonkeyCompl!V13*$M12),"")</f>
        <v/>
      </c>
      <c r="U12" s="8" t="str">
        <f>IFERROR(IF(ISBLANK([1]NLFsmonkeyCompl!W13),"",[1]NLFsmonkeyCompl!W13*$M12),"")</f>
        <v/>
      </c>
      <c r="V12" s="8" t="str">
        <f>IFERROR(IF(ISBLANK([1]NLFsmonkeyCompl!X13),"",[1]NLFsmonkeyCompl!X13*$M12),"")</f>
        <v/>
      </c>
      <c r="W12" s="8">
        <f>IFERROR(IF(ISBLANK([1]NLFsmonkeyCompl!Y13),"",[1]NLFsmonkeyCompl!Y13*$M12),"")</f>
        <v>384</v>
      </c>
      <c r="X12" s="8">
        <f>IFERROR(IF(ISBLANK([1]NLFsmonkeyCompl!Z13),"",[1]NLFsmonkeyCompl!Z13*$M12),"")</f>
        <v>33</v>
      </c>
      <c r="Y12" s="8" t="str">
        <f>IFERROR(IF(ISBLANK([1]NLFsmonkeyCompl!AA13),"",[1]NLFsmonkeyCompl!AA13*$M12),"")</f>
        <v/>
      </c>
      <c r="Z12" s="8" t="str">
        <f>IFERROR(IF(ISBLANK([1]NLFsmonkeyCompl!AB13),"",[1]NLFsmonkeyCompl!AB13*$M12),"")</f>
        <v/>
      </c>
      <c r="AA12" s="8" t="str">
        <f>IFERROR(IF(ISBLANK([1]NLFsmonkeyCompl!AC13),"",[1]NLFsmonkeyCompl!AC13*$M12),"")</f>
        <v/>
      </c>
      <c r="AB12" s="8" t="str">
        <f>IFERROR(IF(ISBLANK([1]NLFsmonkeyCompl!AD13),"",[1]NLFsmonkeyCompl!AD13),"")</f>
        <v/>
      </c>
      <c r="AC12" s="8" t="str">
        <f>IFERROR(IF(ISBLANK([1]NLFsmonkeyCompl!AE13),"",[1]NLFsmonkeyCompl!AE13),"")</f>
        <v/>
      </c>
      <c r="AD12" s="8">
        <f>IFERROR(IF(ISBLANK([1]NLFsmonkeyCompl!AF13),"",[1]NLFsmonkeyCompl!AF13),"")</f>
        <v>100</v>
      </c>
      <c r="AE12" s="8" t="str">
        <f>IFERROR(IF(ISBLANK([1]NLFsmonkeyCompl!AG13),"",[1]NLFsmonkeyCompl!AG13),"")</f>
        <v/>
      </c>
      <c r="AF12" s="8" t="str">
        <f>IFERROR(IF(ISBLANK([1]NLFsmonkeyCompl!AH13),"",[1]NLFsmonkeyCompl!AH13),"")</f>
        <v>Increase</v>
      </c>
      <c r="AG12" s="8" t="str">
        <f>IFERROR(IF(ISBLANK([1]NLFsmonkeyCompl!AI13),"",[1]NLFsmonkeyCompl!AI13),"")</f>
        <v>Yes</v>
      </c>
    </row>
    <row r="13" spans="1:33" x14ac:dyDescent="0.2">
      <c r="A13" s="5" t="str">
        <f>IF(OR(ISTEXT([1]NLFsmonkeyCompl!J14),ISNUMBER([1]NLFsmonkeyCompl!J14)),[1]NLFsmonkeyCompl!J14,"")</f>
        <v>CBRE GI</v>
      </c>
      <c r="B13" s="6" t="str">
        <f>IF(OR(ISTEXT([1]NLFsmonkeyCompl!K14),ISNUMBER([1]NLFsmonkeyCompl!K14)),[1]NLFsmonkeyCompl!K14,"")</f>
        <v>UK Long Income Fund</v>
      </c>
      <c r="C13" s="6">
        <v>19147</v>
      </c>
      <c r="D13" s="6" t="str">
        <f>IFERROR(INDEX([1]VehiclesUniverse!$B$2:$EU$700,MATCH(C13,[1]VehiclesUniverse!$A$2:$A$700,0),MATCH($D$1,[1]VehiclesUniverse!$B$1:$EU$1,0)),"")</f>
        <v>Core</v>
      </c>
      <c r="E13" s="6" t="str">
        <f>IFERROR(INDEX([1]VehiclesUniverse!$B$2:$EU$700,MATCH(C13,[1]VehiclesUniverse!$A$2:$A$700,0),MATCH($E$1,[1]VehiclesUniverse!$B$1:$EU$1,0)),"")</f>
        <v>single country</v>
      </c>
      <c r="F13" s="6" t="str">
        <f>IF(IFERROR(INDEX([1]VehiclesUniverse!$B$2:$EU$700,MATCH($C13,[1]VehiclesUniverse!$A$2:$A$700,0),MATCH($F$1,[1]VehiclesUniverse!$B$1:$EU$1,0)),"")&lt;&gt;0,(IFERROR(INDEX([1]VehiclesUniverse!$B$2:$EU$700,MATCH($C13,[1]VehiclesUniverse!$A$2:$A$700,0),MATCH($F$1,[1]VehiclesUniverse!$B$1:$EU$1,0)),"")),"")</f>
        <v>United Kingdom</v>
      </c>
      <c r="G13" s="6" t="str">
        <f>IF(ISBLANK([1]NLFsmonkeyCompl!L14),"",[1]NLFsmonkeyCompl!L14)</f>
        <v>Open end</v>
      </c>
      <c r="H13" s="6">
        <f>IFERROR(INDEX([1]VehiclesUniverse!$B$2:$EU$700,MATCH(C13,[1]VehiclesUniverse!$A$2:$A$700,0),MATCH($H$1,[1]VehiclesUniverse!$B$1:$EU$1,0)),"")</f>
        <v>2018</v>
      </c>
      <c r="I13" s="6" t="str">
        <f>IF(ISBLANK([1]NLFsmonkeyCompl!M14),"",[1]NLFsmonkeyCompl!M14)</f>
        <v>Yes</v>
      </c>
      <c r="J13" s="6" t="str">
        <f>IF(ISBLANK([1]NLFsmonkeyCompl!N14),"",[1]NLFsmonkeyCompl!N14)</f>
        <v/>
      </c>
      <c r="K13" s="6" t="str">
        <f>IF(ISBLANK([1]NLFsmonkeyCompl!O14),"",[1]NLFsmonkeyCompl!O14)</f>
        <v/>
      </c>
      <c r="L13" s="6" t="str">
        <f>IFERROR(INDEX([1]VehiclesUniverse!$B$2:$EU$700,MATCH(C13,[1]VehiclesUniverse!$A$2:$A$700,0),MATCH($L$1,[1]VehiclesUniverse!$B$1:$EU$1,0)),"")</f>
        <v>GBP</v>
      </c>
      <c r="M13" s="16">
        <f>IFERROR(VLOOKUP(L13,'[1]Xrate31.12.20'!$K$2:$N$25,3,0),"")</f>
        <v>1.1130927885999999</v>
      </c>
      <c r="N13" s="8">
        <f>IFERROR(IF(ISBLANK([1]NLFsmonkeyCompl!P14),"",[1]NLFsmonkeyCompl!P14*$M13),"")</f>
        <v>91.273608665200001</v>
      </c>
      <c r="O13" s="8">
        <f>IFERROR(IF(ISBLANK([1]NLFsmonkeyCompl!Q14),"",[1]NLFsmonkeyCompl!Q14*$M13),"")</f>
        <v>91.273608665200001</v>
      </c>
      <c r="P13" s="8" t="str">
        <f>IFERROR(IF(ISBLANK([1]NLFsmonkeyCompl!R14),"",[1]NLFsmonkeyCompl!R14*$M13),"")</f>
        <v/>
      </c>
      <c r="Q13" s="8" t="str">
        <f>IFERROR(IF(ISBLANK([1]NLFsmonkeyCompl!S14),"",[1]NLFsmonkeyCompl!S14*$M13),"")</f>
        <v/>
      </c>
      <c r="R13" s="8" t="str">
        <f>IFERROR(IF(ISBLANK([1]NLFsmonkeyCompl!T14),"",[1]NLFsmonkeyCompl!T14*$M13),"")</f>
        <v/>
      </c>
      <c r="S13" s="8" t="str">
        <f>IFERROR(IF(ISBLANK([1]NLFsmonkeyCompl!U14),"",[1]NLFsmonkeyCompl!U14*$M13),"")</f>
        <v/>
      </c>
      <c r="T13" s="8" t="str">
        <f>IFERROR(IF(ISBLANK([1]NLFsmonkeyCompl!V14),"",[1]NLFsmonkeyCompl!V14*$M13),"")</f>
        <v/>
      </c>
      <c r="U13" s="8" t="str">
        <f>IFERROR(IF(ISBLANK([1]NLFsmonkeyCompl!W14),"",[1]NLFsmonkeyCompl!W14*$M13),"")</f>
        <v/>
      </c>
      <c r="V13" s="8" t="str">
        <f>IFERROR(IF(ISBLANK([1]NLFsmonkeyCompl!X14),"",[1]NLFsmonkeyCompl!X14*$M13),"")</f>
        <v/>
      </c>
      <c r="W13" s="8">
        <f>IFERROR(IF(ISBLANK([1]NLFsmonkeyCompl!Y14),"",[1]NLFsmonkeyCompl!Y14*$M13),"")</f>
        <v>91.273608665200001</v>
      </c>
      <c r="X13" s="8" t="str">
        <f>IFERROR(IF(ISBLANK([1]NLFsmonkeyCompl!Z14),"",[1]NLFsmonkeyCompl!Z14*$M13),"")</f>
        <v/>
      </c>
      <c r="Y13" s="8" t="str">
        <f>IFERROR(IF(ISBLANK([1]NLFsmonkeyCompl!AA14),"",[1]NLFsmonkeyCompl!AA14*$M13),"")</f>
        <v/>
      </c>
      <c r="Z13" s="8" t="str">
        <f>IFERROR(IF(ISBLANK([1]NLFsmonkeyCompl!AB14),"",[1]NLFsmonkeyCompl!AB14*$M13),"")</f>
        <v/>
      </c>
      <c r="AA13" s="8" t="str">
        <f>IFERROR(IF(ISBLANK([1]NLFsmonkeyCompl!AC14),"",[1]NLFsmonkeyCompl!AC14*$M13),"")</f>
        <v/>
      </c>
      <c r="AB13" s="8" t="str">
        <f>IFERROR(IF(ISBLANK([1]NLFsmonkeyCompl!AD14),"",[1]NLFsmonkeyCompl!AD14),"")</f>
        <v/>
      </c>
      <c r="AC13" s="8" t="str">
        <f>IFERROR(IF(ISBLANK([1]NLFsmonkeyCompl!AE14),"",[1]NLFsmonkeyCompl!AE14),"")</f>
        <v/>
      </c>
      <c r="AD13" s="8">
        <f>IFERROR(IF(ISBLANK([1]NLFsmonkeyCompl!AF14),"",[1]NLFsmonkeyCompl!AF14),"")</f>
        <v>100</v>
      </c>
      <c r="AE13" s="8" t="str">
        <f>IFERROR(IF(ISBLANK([1]NLFsmonkeyCompl!AG14),"",[1]NLFsmonkeyCompl!AG14),"")</f>
        <v/>
      </c>
      <c r="AF13" s="8" t="str">
        <f>IFERROR(IF(ISBLANK([1]NLFsmonkeyCompl!AH14),"",[1]NLFsmonkeyCompl!AH14),"")</f>
        <v>Increase</v>
      </c>
      <c r="AG13" s="8" t="str">
        <f>IFERROR(IF(ISBLANK([1]NLFsmonkeyCompl!AI14),"",[1]NLFsmonkeyCompl!AI14),"")</f>
        <v>Yes</v>
      </c>
    </row>
    <row r="14" spans="1:33" x14ac:dyDescent="0.2">
      <c r="A14" s="5" t="str">
        <f>IF(OR(ISTEXT([1]NLFsmonkeyCompl!J15),ISNUMBER([1]NLFsmonkeyCompl!J15)),[1]NLFsmonkeyCompl!J15,"")</f>
        <v>CBRE GI</v>
      </c>
      <c r="B14" s="6" t="str">
        <f>IF(OR(ISTEXT([1]NLFsmonkeyCompl!K15),ISNUMBER([1]NLFsmonkeyCompl!K15)),[1]NLFsmonkeyCompl!K15,"")</f>
        <v>Caledon Global Infrastructure Fund (CGIF)</v>
      </c>
      <c r="C14" s="6" t="s">
        <v>44</v>
      </c>
      <c r="D14" s="6" t="str">
        <f>IFERROR(INDEX([1]VehiclesUniverse!$B$2:$EU$700,MATCH(C14,[1]VehiclesUniverse!$A$2:$A$700,0),MATCH($D$1,[1]VehiclesUniverse!$B$1:$EU$1,0)),"")</f>
        <v/>
      </c>
      <c r="E14" s="6" t="str">
        <f>IFERROR(INDEX([1]VehiclesUniverse!$B$2:$EU$700,MATCH(C14,[1]VehiclesUniverse!$A$2:$A$700,0),MATCH($E$1,[1]VehiclesUniverse!$B$1:$EU$1,0)),"")</f>
        <v/>
      </c>
      <c r="F14" s="6" t="str">
        <f>IF(IFERROR(INDEX([1]VehiclesUniverse!$B$2:$EU$700,MATCH($C14,[1]VehiclesUniverse!$A$2:$A$700,0),MATCH($F$1,[1]VehiclesUniverse!$B$1:$EU$1,0)),"")&lt;&gt;0,(IFERROR(INDEX([1]VehiclesUniverse!$B$2:$EU$700,MATCH($C14,[1]VehiclesUniverse!$A$2:$A$700,0),MATCH($F$1,[1]VehiclesUniverse!$B$1:$EU$1,0)),"")),"")</f>
        <v/>
      </c>
      <c r="G14" s="6" t="str">
        <f>IF(ISBLANK([1]NLFsmonkeyCompl!L15),"",[1]NLFsmonkeyCompl!L15)</f>
        <v>Open end</v>
      </c>
      <c r="H14" s="6" t="str">
        <f>IFERROR(INDEX([1]VehiclesUniverse!$B$2:$EU$700,MATCH(C14,[1]VehiclesUniverse!$A$2:$A$700,0),MATCH($H$1,[1]VehiclesUniverse!$B$1:$EU$1,0)),"")</f>
        <v/>
      </c>
      <c r="I14" s="6" t="str">
        <f>IF(ISBLANK([1]NLFsmonkeyCompl!M15),"",[1]NLFsmonkeyCompl!M15)</f>
        <v>Yes</v>
      </c>
      <c r="J14" s="6" t="str">
        <f>IF(ISBLANK([1]NLFsmonkeyCompl!N15),"",[1]NLFsmonkeyCompl!N15)</f>
        <v/>
      </c>
      <c r="K14" s="6" t="str">
        <f>IF(ISBLANK([1]NLFsmonkeyCompl!O15),"",[1]NLFsmonkeyCompl!O15)</f>
        <v/>
      </c>
      <c r="L14" s="6" t="str">
        <f>IFERROR(INDEX([1]VehiclesUniverse!$B$2:$EU$700,MATCH(C14,[1]VehiclesUniverse!$A$2:$A$700,0),MATCH($L$1,[1]VehiclesUniverse!$B$1:$EU$1,0)),"")</f>
        <v/>
      </c>
      <c r="M14" s="16" t="str">
        <f>IFERROR(VLOOKUP(L14,'[1]Xrate31.12.20'!$K$2:$N$25,3,0),"")</f>
        <v/>
      </c>
      <c r="N14" s="8" t="str">
        <f>IFERROR(IF(ISBLANK([1]NLFsmonkeyCompl!P15),"",[1]NLFsmonkeyCompl!P15*$M14),"")</f>
        <v/>
      </c>
      <c r="O14" s="8" t="str">
        <f>IFERROR(IF(ISBLANK([1]NLFsmonkeyCompl!Q15),"",[1]NLFsmonkeyCompl!Q15*$M14),"")</f>
        <v/>
      </c>
      <c r="P14" s="8" t="str">
        <f>IFERROR(IF(ISBLANK([1]NLFsmonkeyCompl!R15),"",[1]NLFsmonkeyCompl!R15*$M14),"")</f>
        <v/>
      </c>
      <c r="Q14" s="8" t="str">
        <f>IFERROR(IF(ISBLANK([1]NLFsmonkeyCompl!S15),"",[1]NLFsmonkeyCompl!S15*$M14),"")</f>
        <v/>
      </c>
      <c r="R14" s="8" t="str">
        <f>IFERROR(IF(ISBLANK([1]NLFsmonkeyCompl!T15),"",[1]NLFsmonkeyCompl!T15*$M14),"")</f>
        <v/>
      </c>
      <c r="S14" s="8" t="str">
        <f>IFERROR(IF(ISBLANK([1]NLFsmonkeyCompl!U15),"",[1]NLFsmonkeyCompl!U15*$M14),"")</f>
        <v/>
      </c>
      <c r="T14" s="8" t="str">
        <f>IFERROR(IF(ISBLANK([1]NLFsmonkeyCompl!V15),"",[1]NLFsmonkeyCompl!V15*$M14),"")</f>
        <v/>
      </c>
      <c r="U14" s="8" t="str">
        <f>IFERROR(IF(ISBLANK([1]NLFsmonkeyCompl!W15),"",[1]NLFsmonkeyCompl!W15*$M14),"")</f>
        <v/>
      </c>
      <c r="V14" s="8" t="str">
        <f>IFERROR(IF(ISBLANK([1]NLFsmonkeyCompl!X15),"",[1]NLFsmonkeyCompl!X15*$M14),"")</f>
        <v/>
      </c>
      <c r="W14" s="8" t="str">
        <f>IFERROR(IF(ISBLANK([1]NLFsmonkeyCompl!Y15),"",[1]NLFsmonkeyCompl!Y15*$M14),"")</f>
        <v/>
      </c>
      <c r="X14" s="8" t="str">
        <f>IFERROR(IF(ISBLANK([1]NLFsmonkeyCompl!Z15),"",[1]NLFsmonkeyCompl!Z15*$M14),"")</f>
        <v/>
      </c>
      <c r="Y14" s="8" t="str">
        <f>IFERROR(IF(ISBLANK([1]NLFsmonkeyCompl!AA15),"",[1]NLFsmonkeyCompl!AA15*$M14),"")</f>
        <v/>
      </c>
      <c r="Z14" s="8" t="str">
        <f>IFERROR(IF(ISBLANK([1]NLFsmonkeyCompl!AB15),"",[1]NLFsmonkeyCompl!AB15*$M14),"")</f>
        <v/>
      </c>
      <c r="AA14" s="8" t="str">
        <f>IFERROR(IF(ISBLANK([1]NLFsmonkeyCompl!AC15),"",[1]NLFsmonkeyCompl!AC15*$M14),"")</f>
        <v/>
      </c>
      <c r="AB14" s="8" t="str">
        <f>IFERROR(IF(ISBLANK([1]NLFsmonkeyCompl!AD15),"",[1]NLFsmonkeyCompl!AD15),"")</f>
        <v/>
      </c>
      <c r="AC14" s="8" t="str">
        <f>IFERROR(IF(ISBLANK([1]NLFsmonkeyCompl!AE15),"",[1]NLFsmonkeyCompl!AE15),"")</f>
        <v/>
      </c>
      <c r="AD14" s="8">
        <f>IFERROR(IF(ISBLANK([1]NLFsmonkeyCompl!AF15),"",[1]NLFsmonkeyCompl!AF15),"")</f>
        <v>100</v>
      </c>
      <c r="AE14" s="8" t="str">
        <f>IFERROR(IF(ISBLANK([1]NLFsmonkeyCompl!AG15),"",[1]NLFsmonkeyCompl!AG15),"")</f>
        <v/>
      </c>
      <c r="AF14" s="8" t="str">
        <f>IFERROR(IF(ISBLANK([1]NLFsmonkeyCompl!AH15),"",[1]NLFsmonkeyCompl!AH15),"")</f>
        <v>Increase</v>
      </c>
      <c r="AG14" s="8" t="str">
        <f>IFERROR(IF(ISBLANK([1]NLFsmonkeyCompl!AI15),"",[1]NLFsmonkeyCompl!AI15),"")</f>
        <v>Yes</v>
      </c>
    </row>
    <row r="15" spans="1:33" x14ac:dyDescent="0.2">
      <c r="A15" s="5" t="str">
        <f>IF(OR(ISTEXT([1]NLFsmonkeyCompl!J16),ISNUMBER([1]NLFsmonkeyCompl!J16)),[1]NLFsmonkeyCompl!J16,"")</f>
        <v>DWS Alternatives GmbH</v>
      </c>
      <c r="B15" s="6" t="str">
        <f>IF(OR(ISTEXT([1]NLFsmonkeyCompl!K16),ISNUMBER([1]NLFsmonkeyCompl!K16)),[1]NLFsmonkeyCompl!K16,"")</f>
        <v>Transatlantik fonds</v>
      </c>
      <c r="C15" s="6">
        <v>17785</v>
      </c>
      <c r="D15" s="7" t="s">
        <v>45</v>
      </c>
      <c r="E15" s="7" t="s">
        <v>46</v>
      </c>
      <c r="F15" s="7" t="str">
        <f>IF(IFERROR(INDEX([1]VehiclesUniverse!$B$2:$EU$700,MATCH($C15,[1]VehiclesUniverse!$A$2:$A$700,0),MATCH($F$1,[1]VehiclesUniverse!$B$1:$EU$1,0)),"")&lt;&gt;0,(IFERROR(INDEX([1]VehiclesUniverse!$B$2:$EU$700,MATCH($C15,[1]VehiclesUniverse!$A$2:$A$700,0),MATCH($F$1,[1]VehiclesUniverse!$B$1:$EU$1,0)),"")),"")</f>
        <v/>
      </c>
      <c r="G15" s="7" t="str">
        <f>IF(ISBLANK([1]NLFsmonkeyCompl!L16),"",[1]NLFsmonkeyCompl!L16)</f>
        <v>Open end</v>
      </c>
      <c r="H15" s="7">
        <v>2015</v>
      </c>
      <c r="I15" s="7" t="str">
        <f>IF(ISBLANK([1]NLFsmonkeyCompl!M16),"",[1]NLFsmonkeyCompl!M16)</f>
        <v>Yes</v>
      </c>
      <c r="J15" s="7" t="str">
        <f>IF(ISBLANK([1]NLFsmonkeyCompl!N16),"",[1]NLFsmonkeyCompl!N16)</f>
        <v/>
      </c>
      <c r="K15" s="7" t="str">
        <f>IF(ISBLANK([1]NLFsmonkeyCompl!O16),"",[1]NLFsmonkeyCompl!O16)</f>
        <v/>
      </c>
      <c r="L15" s="6" t="str">
        <f>IFERROR(INDEX([1]VehiclesUniverse!$B$2:$EU$700,MATCH(C15,[1]VehiclesUniverse!$A$2:$A$700,0),MATCH($L$1,[1]VehiclesUniverse!$B$1:$EU$1,0)),"")</f>
        <v/>
      </c>
      <c r="M15" s="16" t="str">
        <f>IFERROR(VLOOKUP(L15,'[1]Xrate31.12.20'!$K$2:$N$25,3,0),"")</f>
        <v/>
      </c>
      <c r="N15" s="8" t="str">
        <f>IFERROR(IF(ISBLANK([1]NLFsmonkeyCompl!P16),"",[1]NLFsmonkeyCompl!P16*$M15),"")</f>
        <v/>
      </c>
      <c r="O15" s="8" t="str">
        <f>IFERROR(IF(ISBLANK([1]NLFsmonkeyCompl!Q16),"",[1]NLFsmonkeyCompl!Q16*$M15),"")</f>
        <v/>
      </c>
      <c r="P15" s="8" t="str">
        <f>IFERROR(IF(ISBLANK([1]NLFsmonkeyCompl!R16),"",[1]NLFsmonkeyCompl!R16*$M15),"")</f>
        <v/>
      </c>
      <c r="Q15" s="8" t="str">
        <f>IFERROR(IF(ISBLANK([1]NLFsmonkeyCompl!S16),"",[1]NLFsmonkeyCompl!S16*$M15),"")</f>
        <v/>
      </c>
      <c r="R15" s="8" t="str">
        <f>IFERROR(IF(ISBLANK([1]NLFsmonkeyCompl!T16),"",[1]NLFsmonkeyCompl!T16*$M15),"")</f>
        <v/>
      </c>
      <c r="S15" s="8" t="str">
        <f>IFERROR(IF(ISBLANK([1]NLFsmonkeyCompl!U16),"",[1]NLFsmonkeyCompl!U16*$M15),"")</f>
        <v/>
      </c>
      <c r="T15" s="8" t="str">
        <f>IFERROR(IF(ISBLANK([1]NLFsmonkeyCompl!V16),"",[1]NLFsmonkeyCompl!V16*$M15),"")</f>
        <v/>
      </c>
      <c r="U15" s="8" t="str">
        <f>IFERROR(IF(ISBLANK([1]NLFsmonkeyCompl!W16),"",[1]NLFsmonkeyCompl!W16*$M15),"")</f>
        <v/>
      </c>
      <c r="V15" s="8" t="str">
        <f>IFERROR(IF(ISBLANK([1]NLFsmonkeyCompl!X16),"",[1]NLFsmonkeyCompl!X16*$M15),"")</f>
        <v/>
      </c>
      <c r="W15" s="8" t="str">
        <f>IFERROR(IF(ISBLANK([1]NLFsmonkeyCompl!Y16),"",[1]NLFsmonkeyCompl!Y16*$M15),"")</f>
        <v/>
      </c>
      <c r="X15" s="8" t="str">
        <f>IFERROR(IF(ISBLANK([1]NLFsmonkeyCompl!Z16),"",[1]NLFsmonkeyCompl!Z16*$M15),"")</f>
        <v/>
      </c>
      <c r="Y15" s="8" t="str">
        <f>IFERROR(IF(ISBLANK([1]NLFsmonkeyCompl!AA16),"",[1]NLFsmonkeyCompl!AA16*$M15),"")</f>
        <v/>
      </c>
      <c r="Z15" s="8" t="str">
        <f>IFERROR(IF(ISBLANK([1]NLFsmonkeyCompl!AB16),"",[1]NLFsmonkeyCompl!AB16*$M15),"")</f>
        <v/>
      </c>
      <c r="AA15" s="8" t="str">
        <f>IFERROR(IF(ISBLANK([1]NLFsmonkeyCompl!AC16),"",[1]NLFsmonkeyCompl!AC16*$M15),"")</f>
        <v/>
      </c>
      <c r="AB15" s="8" t="str">
        <f>IFERROR(IF(ISBLANK([1]NLFsmonkeyCompl!AD16),"",[1]NLFsmonkeyCompl!AD16),"")</f>
        <v/>
      </c>
      <c r="AC15" s="8" t="str">
        <f>IFERROR(IF(ISBLANK([1]NLFsmonkeyCompl!AE16),"",[1]NLFsmonkeyCompl!AE16),"")</f>
        <v/>
      </c>
      <c r="AD15" s="8">
        <f>IFERROR(IF(ISBLANK([1]NLFsmonkeyCompl!AF16),"",[1]NLFsmonkeyCompl!AF16),"")</f>
        <v>100</v>
      </c>
      <c r="AE15" s="8" t="str">
        <f>IFERROR(IF(ISBLANK([1]NLFsmonkeyCompl!AG16),"",[1]NLFsmonkeyCompl!AG16),"")</f>
        <v/>
      </c>
      <c r="AF15" s="8" t="str">
        <f>IFERROR(IF(ISBLANK([1]NLFsmonkeyCompl!AH16),"",[1]NLFsmonkeyCompl!AH16),"")</f>
        <v>Increase</v>
      </c>
      <c r="AG15" s="8" t="str">
        <f>IFERROR(IF(ISBLANK([1]NLFsmonkeyCompl!AI16),"",[1]NLFsmonkeyCompl!AI16),"")</f>
        <v>No</v>
      </c>
    </row>
    <row r="16" spans="1:33" x14ac:dyDescent="0.2">
      <c r="A16" s="5" t="str">
        <f>IF(OR(ISTEXT([1]NLFsmonkeyCompl!J17),ISNUMBER([1]NLFsmonkeyCompl!J17)),[1]NLFsmonkeyCompl!J17,"")</f>
        <v>Invesco Real Estate</v>
      </c>
      <c r="B16" s="6" t="str">
        <f>IF(OR(ISTEXT([1]NLFsmonkeyCompl!K17),ISNUMBER([1]NLFsmonkeyCompl!K17)),[1]NLFsmonkeyCompl!K17,"")</f>
        <v>Invesco Real Estate - European Value-Add Fund II</v>
      </c>
      <c r="C16" s="6">
        <v>19583</v>
      </c>
      <c r="D16" s="7" t="s">
        <v>47</v>
      </c>
      <c r="E16" s="7" t="s">
        <v>46</v>
      </c>
      <c r="F16" s="7" t="str">
        <f>IF(IFERROR(INDEX([1]VehiclesUniverse!$B$2:$EU$700,MATCH($C16,[1]VehiclesUniverse!$A$2:$A$700,0),MATCH($F$1,[1]VehiclesUniverse!$B$1:$EU$1,0)),"")&lt;&gt;0,(IFERROR(INDEX([1]VehiclesUniverse!$B$2:$EU$700,MATCH($C16,[1]VehiclesUniverse!$A$2:$A$700,0),MATCH($F$1,[1]VehiclesUniverse!$B$1:$EU$1,0)),"")),"")</f>
        <v/>
      </c>
      <c r="G16" s="7" t="str">
        <f>IF(ISBLANK([1]NLFsmonkeyCompl!L17),"",[1]NLFsmonkeyCompl!L17)</f>
        <v>Closed end</v>
      </c>
      <c r="H16" s="7">
        <v>2019</v>
      </c>
      <c r="I16" s="7" t="str">
        <f>IF(ISBLANK([1]NLFsmonkeyCompl!M17),"",[1]NLFsmonkeyCompl!M17)</f>
        <v>Yes</v>
      </c>
      <c r="J16" s="7" t="str">
        <f>IF(ISBLANK([1]NLFsmonkeyCompl!N17),"",[1]NLFsmonkeyCompl!N17)</f>
        <v/>
      </c>
      <c r="K16" s="7" t="str">
        <f>IF(ISBLANK([1]NLFsmonkeyCompl!O17),"",[1]NLFsmonkeyCompl!O17)</f>
        <v/>
      </c>
      <c r="L16" s="6" t="str">
        <f>IFERROR(INDEX([1]VehiclesUniverse!$B$2:$EU$700,MATCH(C16,[1]VehiclesUniverse!$A$2:$A$700,0),MATCH($L$1,[1]VehiclesUniverse!$B$1:$EU$1,0)),"")</f>
        <v/>
      </c>
      <c r="M16" s="16" t="str">
        <f>IFERROR(VLOOKUP(L16,'[1]Xrate31.12.20'!$K$2:$N$25,3,0),"")</f>
        <v/>
      </c>
      <c r="N16" s="8" t="str">
        <f>IFERROR(IF(ISBLANK([1]NLFsmonkeyCompl!P17),"",[1]NLFsmonkeyCompl!P17*$M16),"")</f>
        <v/>
      </c>
      <c r="O16" s="8" t="str">
        <f>IFERROR(IF(ISBLANK([1]NLFsmonkeyCompl!Q17),"",[1]NLFsmonkeyCompl!Q17*$M16),"")</f>
        <v/>
      </c>
      <c r="P16" s="8" t="str">
        <f>IFERROR(IF(ISBLANK([1]NLFsmonkeyCompl!R17),"",[1]NLFsmonkeyCompl!R17*$M16),"")</f>
        <v/>
      </c>
      <c r="Q16" s="8" t="str">
        <f>IFERROR(IF(ISBLANK([1]NLFsmonkeyCompl!S17),"",[1]NLFsmonkeyCompl!S17*$M16),"")</f>
        <v/>
      </c>
      <c r="R16" s="8" t="str">
        <f>IFERROR(IF(ISBLANK([1]NLFsmonkeyCompl!T17),"",[1]NLFsmonkeyCompl!T17*$M16),"")</f>
        <v/>
      </c>
      <c r="S16" s="8" t="str">
        <f>IFERROR(IF(ISBLANK([1]NLFsmonkeyCompl!U17),"",[1]NLFsmonkeyCompl!U17*$M16),"")</f>
        <v/>
      </c>
      <c r="T16" s="8" t="str">
        <f>IFERROR(IF(ISBLANK([1]NLFsmonkeyCompl!V17),"",[1]NLFsmonkeyCompl!V17*$M16),"")</f>
        <v/>
      </c>
      <c r="U16" s="8" t="str">
        <f>IFERROR(IF(ISBLANK([1]NLFsmonkeyCompl!W17),"",[1]NLFsmonkeyCompl!W17*$M16),"")</f>
        <v/>
      </c>
      <c r="V16" s="8" t="str">
        <f>IFERROR(IF(ISBLANK([1]NLFsmonkeyCompl!X17),"",[1]NLFsmonkeyCompl!X17*$M16),"")</f>
        <v/>
      </c>
      <c r="W16" s="8" t="str">
        <f>IFERROR(IF(ISBLANK([1]NLFsmonkeyCompl!Y17),"",[1]NLFsmonkeyCompl!Y17*$M16),"")</f>
        <v/>
      </c>
      <c r="X16" s="8" t="str">
        <f>IFERROR(IF(ISBLANK([1]NLFsmonkeyCompl!Z17),"",[1]NLFsmonkeyCompl!Z17*$M16),"")</f>
        <v/>
      </c>
      <c r="Y16" s="8" t="str">
        <f>IFERROR(IF(ISBLANK([1]NLFsmonkeyCompl!AA17),"",[1]NLFsmonkeyCompl!AA17*$M16),"")</f>
        <v/>
      </c>
      <c r="Z16" s="8" t="str">
        <f>IFERROR(IF(ISBLANK([1]NLFsmonkeyCompl!AB17),"",[1]NLFsmonkeyCompl!AB17*$M16),"")</f>
        <v/>
      </c>
      <c r="AA16" s="8" t="str">
        <f>IFERROR(IF(ISBLANK([1]NLFsmonkeyCompl!AC17),"",[1]NLFsmonkeyCompl!AC17*$M16),"")</f>
        <v/>
      </c>
      <c r="AB16" s="8" t="str">
        <f>IFERROR(IF(ISBLANK([1]NLFsmonkeyCompl!AD17),"",[1]NLFsmonkeyCompl!AD17),"")</f>
        <v/>
      </c>
      <c r="AC16" s="8" t="str">
        <f>IFERROR(IF(ISBLANK([1]NLFsmonkeyCompl!AE17),"",[1]NLFsmonkeyCompl!AE17),"")</f>
        <v/>
      </c>
      <c r="AD16" s="8">
        <f>IFERROR(IF(ISBLANK([1]NLFsmonkeyCompl!AF17),"",[1]NLFsmonkeyCompl!AF17),"")</f>
        <v>100</v>
      </c>
      <c r="AE16" s="8" t="str">
        <f>IFERROR(IF(ISBLANK([1]NLFsmonkeyCompl!AG17),"",[1]NLFsmonkeyCompl!AG17),"")</f>
        <v/>
      </c>
      <c r="AF16" s="8" t="str">
        <f>IFERROR(IF(ISBLANK([1]NLFsmonkeyCompl!AH17),"",[1]NLFsmonkeyCompl!AH17),"")</f>
        <v>No change</v>
      </c>
      <c r="AG16" s="8" t="str">
        <f>IFERROR(IF(ISBLANK([1]NLFsmonkeyCompl!AI17),"",[1]NLFsmonkeyCompl!AI17),"")</f>
        <v>Yes</v>
      </c>
    </row>
    <row r="17" spans="1:33" x14ac:dyDescent="0.2">
      <c r="A17" s="5" t="str">
        <f>IF(OR(ISTEXT([1]NLFsmonkeyCompl!J18),ISNUMBER([1]NLFsmonkeyCompl!J18)),[1]NLFsmonkeyCompl!J18,"")</f>
        <v>Hearthstone Investment Management Ltd</v>
      </c>
      <c r="B17" s="6" t="str">
        <f>IF(OR(ISTEXT([1]NLFsmonkeyCompl!K18),ISNUMBER([1]NLFsmonkeyCompl!K18)),[1]NLFsmonkeyCompl!K18,"")</f>
        <v>Hearthstone Residential Fund 2</v>
      </c>
      <c r="C17" s="6">
        <v>19618</v>
      </c>
      <c r="D17" s="6" t="str">
        <f>IFERROR(INDEX([1]VehiclesUniverse!$B$2:$EU$700,MATCH(C17,[1]VehiclesUniverse!$A$2:$A$700,0),MATCH($D$1,[1]VehiclesUniverse!$B$1:$EU$1,0)),"")</f>
        <v>Core</v>
      </c>
      <c r="E17" s="6" t="str">
        <f>IFERROR(INDEX([1]VehiclesUniverse!$B$2:$EU$700,MATCH(C17,[1]VehiclesUniverse!$A$2:$A$700,0),MATCH($E$1,[1]VehiclesUniverse!$B$1:$EU$1,0)),"")</f>
        <v>single country</v>
      </c>
      <c r="F17" s="6" t="str">
        <f>IF(IFERROR(INDEX([1]VehiclesUniverse!$B$2:$EU$700,MATCH($C17,[1]VehiclesUniverse!$A$2:$A$700,0),MATCH($F$1,[1]VehiclesUniverse!$B$1:$EU$1,0)),"")&lt;&gt;0,(IFERROR(INDEX([1]VehiclesUniverse!$B$2:$EU$700,MATCH($C17,[1]VehiclesUniverse!$A$2:$A$700,0),MATCH($F$1,[1]VehiclesUniverse!$B$1:$EU$1,0)),"")),"")</f>
        <v>United Kingdom</v>
      </c>
      <c r="G17" s="6" t="str">
        <f>IF(ISBLANK([1]NLFsmonkeyCompl!L18),"",[1]NLFsmonkeyCompl!L18)</f>
        <v>Closed end</v>
      </c>
      <c r="H17" s="6">
        <f>IFERROR(INDEX([1]VehiclesUniverse!$B$2:$EU$700,MATCH(C17,[1]VehiclesUniverse!$A$2:$A$700,0),MATCH($H$1,[1]VehiclesUniverse!$B$1:$EU$1,0)),"")</f>
        <v>2020</v>
      </c>
      <c r="I17" s="6" t="str">
        <f>IF(ISBLANK([1]NLFsmonkeyCompl!M18),"",[1]NLFsmonkeyCompl!M18)</f>
        <v>Yes</v>
      </c>
      <c r="J17" s="6" t="str">
        <f>IF(ISBLANK([1]NLFsmonkeyCompl!N18),"",[1]NLFsmonkeyCompl!N18)</f>
        <v/>
      </c>
      <c r="K17" s="6" t="str">
        <f>IF(ISBLANK([1]NLFsmonkeyCompl!O18),"",[1]NLFsmonkeyCompl!O18)</f>
        <v/>
      </c>
      <c r="L17" s="6" t="str">
        <f>IFERROR(INDEX([1]VehiclesUniverse!$B$2:$EU$700,MATCH(C17,[1]VehiclesUniverse!$A$2:$A$700,0),MATCH($L$1,[1]VehiclesUniverse!$B$1:$EU$1,0)),"")</f>
        <v>GBP</v>
      </c>
      <c r="M17" s="16">
        <f>IFERROR(VLOOKUP(L17,'[1]Xrate31.12.20'!$K$2:$N$25,3,0),"")</f>
        <v>1.1130927885999999</v>
      </c>
      <c r="N17" s="8">
        <f>IFERROR(IF(ISBLANK([1]NLFsmonkeyCompl!P18),"",[1]NLFsmonkeyCompl!P18*$M17),"")</f>
        <v>107.97000049419999</v>
      </c>
      <c r="O17" s="8">
        <f>IFERROR(IF(ISBLANK([1]NLFsmonkeyCompl!Q18),"",[1]NLFsmonkeyCompl!Q18*$M17),"")</f>
        <v>107.97000049419999</v>
      </c>
      <c r="P17" s="8" t="str">
        <f>IFERROR(IF(ISBLANK([1]NLFsmonkeyCompl!R18),"",[1]NLFsmonkeyCompl!R18*$M17),"")</f>
        <v/>
      </c>
      <c r="Q17" s="8" t="str">
        <f>IFERROR(IF(ISBLANK([1]NLFsmonkeyCompl!S18),"",[1]NLFsmonkeyCompl!S18*$M17),"")</f>
        <v/>
      </c>
      <c r="R17" s="8" t="str">
        <f>IFERROR(IF(ISBLANK([1]NLFsmonkeyCompl!T18),"",[1]NLFsmonkeyCompl!T18*$M17),"")</f>
        <v/>
      </c>
      <c r="S17" s="8" t="str">
        <f>IFERROR(IF(ISBLANK([1]NLFsmonkeyCompl!U18),"",[1]NLFsmonkeyCompl!U18*$M17),"")</f>
        <v/>
      </c>
      <c r="T17" s="8" t="str">
        <f>IFERROR(IF(ISBLANK([1]NLFsmonkeyCompl!V18),"",[1]NLFsmonkeyCompl!V18*$M17),"")</f>
        <v/>
      </c>
      <c r="U17" s="8" t="str">
        <f>IFERROR(IF(ISBLANK([1]NLFsmonkeyCompl!W18),"",[1]NLFsmonkeyCompl!W18*$M17),"")</f>
        <v/>
      </c>
      <c r="V17" s="8" t="str">
        <f>IFERROR(IF(ISBLANK([1]NLFsmonkeyCompl!X18),"",[1]NLFsmonkeyCompl!X18*$M17),"")</f>
        <v/>
      </c>
      <c r="W17" s="8">
        <f>IFERROR(IF(ISBLANK([1]NLFsmonkeyCompl!Y18),"",[1]NLFsmonkeyCompl!Y18*$M17),"")</f>
        <v>107.97000049419999</v>
      </c>
      <c r="X17" s="8" t="str">
        <f>IFERROR(IF(ISBLANK([1]NLFsmonkeyCompl!Z18),"",[1]NLFsmonkeyCompl!Z18*$M17),"")</f>
        <v/>
      </c>
      <c r="Y17" s="8" t="str">
        <f>IFERROR(IF(ISBLANK([1]NLFsmonkeyCompl!AA18),"",[1]NLFsmonkeyCompl!AA18*$M17),"")</f>
        <v/>
      </c>
      <c r="Z17" s="8" t="str">
        <f>IFERROR(IF(ISBLANK([1]NLFsmonkeyCompl!AB18),"",[1]NLFsmonkeyCompl!AB18*$M17),"")</f>
        <v/>
      </c>
      <c r="AA17" s="8" t="str">
        <f>IFERROR(IF(ISBLANK([1]NLFsmonkeyCompl!AC18),"",[1]NLFsmonkeyCompl!AC18*$M17),"")</f>
        <v/>
      </c>
      <c r="AB17" s="8" t="str">
        <f>IFERROR(IF(ISBLANK([1]NLFsmonkeyCompl!AD18),"",[1]NLFsmonkeyCompl!AD18),"")</f>
        <v/>
      </c>
      <c r="AC17" s="8" t="str">
        <f>IFERROR(IF(ISBLANK([1]NLFsmonkeyCompl!AE18),"",[1]NLFsmonkeyCompl!AE18),"")</f>
        <v/>
      </c>
      <c r="AD17" s="8">
        <f>IFERROR(IF(ISBLANK([1]NLFsmonkeyCompl!AF18),"",[1]NLFsmonkeyCompl!AF18),"")</f>
        <v>100</v>
      </c>
      <c r="AE17" s="8" t="str">
        <f>IFERROR(IF(ISBLANK([1]NLFsmonkeyCompl!AG18),"",[1]NLFsmonkeyCompl!AG18),"")</f>
        <v/>
      </c>
      <c r="AF17" s="8" t="str">
        <f>IFERROR(IF(ISBLANK([1]NLFsmonkeyCompl!AH18),"",[1]NLFsmonkeyCompl!AH18),"")</f>
        <v>Increase</v>
      </c>
      <c r="AG17" s="8" t="str">
        <f>IFERROR(IF(ISBLANK([1]NLFsmonkeyCompl!AI18),"",[1]NLFsmonkeyCompl!AI18),"")</f>
        <v>Yes</v>
      </c>
    </row>
    <row r="18" spans="1:33" x14ac:dyDescent="0.2">
      <c r="A18" s="5" t="str">
        <f>IF(OR(ISTEXT([1]NLFsmonkeyCompl!J19),ISNUMBER([1]NLFsmonkeyCompl!J19)),[1]NLFsmonkeyCompl!J19,"")</f>
        <v>Bouwinvest</v>
      </c>
      <c r="B18" s="18" t="str">
        <f>IF(OR(ISTEXT([1]NLFsmonkeyCompl!K19),ISNUMBER([1]NLFsmonkeyCompl!K19)),[1]NLFsmonkeyCompl!K19,"")</f>
        <v>Hotel Fund</v>
      </c>
      <c r="C18" s="6"/>
      <c r="D18" s="6" t="s">
        <v>45</v>
      </c>
      <c r="E18" s="6" t="s">
        <v>48</v>
      </c>
      <c r="F18" s="6" t="s">
        <v>49</v>
      </c>
      <c r="G18" s="6" t="str">
        <f>IF(ISBLANK([3]NLFsmonkeyCompl!L19),"",[3]NLFsmonkeyCompl!L19)</f>
        <v>Closed end</v>
      </c>
      <c r="H18" s="6">
        <v>2015</v>
      </c>
      <c r="I18" s="6" t="str">
        <f>IF(ISBLANK([1]NLFsmonkeyCompl!M19),"",[1]NLFsmonkeyCompl!M19)</f>
        <v>No</v>
      </c>
      <c r="J18" s="6" t="str">
        <f>IF(ISBLANK([1]NLFsmonkeyCompl!N19),"",[1]NLFsmonkeyCompl!N19)</f>
        <v>Other (please specify)</v>
      </c>
      <c r="K18" s="6" t="str">
        <f>IF(ISBLANK([1]NLFsmonkeyCompl!O19),"",[1]NLFsmonkeyCompl!O19)</f>
        <v>Because the fund is closed ended.</v>
      </c>
      <c r="L18" s="6" t="s">
        <v>11</v>
      </c>
      <c r="M18" s="16">
        <f>IFERROR(VLOOKUP(L18,'[1]Xrate31.12.20'!$K$2:$N$25,3,0),"")</f>
        <v>1</v>
      </c>
      <c r="N18" s="8" t="str">
        <f>IFERROR(IF(ISBLANK([1]NLFsmonkeyCompl!P19),"",[1]NLFsmonkeyCompl!P19*$M18),"")</f>
        <v/>
      </c>
      <c r="O18" s="8" t="str">
        <f>IFERROR(IF(ISBLANK([1]NLFsmonkeyCompl!Q19),"",[1]NLFsmonkeyCompl!Q19*$M18),"")</f>
        <v/>
      </c>
      <c r="P18" s="8" t="str">
        <f>IFERROR(IF(ISBLANK([1]NLFsmonkeyCompl!R19),"",[1]NLFsmonkeyCompl!R19*$M18),"")</f>
        <v/>
      </c>
      <c r="Q18" s="8" t="str">
        <f>IFERROR(IF(ISBLANK([1]NLFsmonkeyCompl!S19),"",[1]NLFsmonkeyCompl!S19*$M18),"")</f>
        <v/>
      </c>
      <c r="R18" s="8" t="str">
        <f>IFERROR(IF(ISBLANK([1]NLFsmonkeyCompl!T19),"",[1]NLFsmonkeyCompl!T19*$M18),"")</f>
        <v/>
      </c>
      <c r="S18" s="8" t="str">
        <f>IFERROR(IF(ISBLANK([1]NLFsmonkeyCompl!U19),"",[1]NLFsmonkeyCompl!U19*$M18),"")</f>
        <v/>
      </c>
      <c r="T18" s="8" t="str">
        <f>IFERROR(IF(ISBLANK([1]NLFsmonkeyCompl!V19),"",[1]NLFsmonkeyCompl!V19*$M18),"")</f>
        <v/>
      </c>
      <c r="U18" s="8" t="str">
        <f>IFERROR(IF(ISBLANK([1]NLFsmonkeyCompl!W19),"",[1]NLFsmonkeyCompl!W19*$M18),"")</f>
        <v/>
      </c>
      <c r="V18" s="8" t="str">
        <f>IFERROR(IF(ISBLANK([1]NLFsmonkeyCompl!X19),"",[1]NLFsmonkeyCompl!X19*$M18),"")</f>
        <v/>
      </c>
      <c r="W18" s="8" t="str">
        <f>IFERROR(IF(ISBLANK([1]NLFsmonkeyCompl!Y19),"",[1]NLFsmonkeyCompl!Y19*$M18),"")</f>
        <v/>
      </c>
      <c r="X18" s="8" t="str">
        <f>IFERROR(IF(ISBLANK([1]NLFsmonkeyCompl!Z19),"",[1]NLFsmonkeyCompl!Z19*$M18),"")</f>
        <v/>
      </c>
      <c r="Y18" s="8" t="str">
        <f>IFERROR(IF(ISBLANK([1]NLFsmonkeyCompl!AA19),"",[1]NLFsmonkeyCompl!AA19*$M18),"")</f>
        <v/>
      </c>
      <c r="Z18" s="8" t="str">
        <f>IFERROR(IF(ISBLANK([1]NLFsmonkeyCompl!AB19),"",[1]NLFsmonkeyCompl!AB19*$M18),"")</f>
        <v/>
      </c>
      <c r="AA18" s="8" t="str">
        <f>IFERROR(IF(ISBLANK([1]NLFsmonkeyCompl!AC19),"",[1]NLFsmonkeyCompl!AC19*$M18),"")</f>
        <v/>
      </c>
      <c r="AB18" s="8" t="str">
        <f>IFERROR(IF(ISBLANK([1]NLFsmonkeyCompl!AD19),"",[1]NLFsmonkeyCompl!AD19),"")</f>
        <v/>
      </c>
      <c r="AC18" s="8" t="str">
        <f>IFERROR(IF(ISBLANK([1]NLFsmonkeyCompl!AE19),"",[1]NLFsmonkeyCompl!AE19),"")</f>
        <v/>
      </c>
      <c r="AD18" s="8" t="str">
        <f>IFERROR(IF(ISBLANK([1]NLFsmonkeyCompl!AF19),"",[1]NLFsmonkeyCompl!AF19),"")</f>
        <v/>
      </c>
      <c r="AE18" s="8" t="str">
        <f>IFERROR(IF(ISBLANK([1]NLFsmonkeyCompl!AG19),"",[1]NLFsmonkeyCompl!AG19),"")</f>
        <v/>
      </c>
      <c r="AF18" s="8" t="str">
        <f>IFERROR(IF(ISBLANK([1]NLFsmonkeyCompl!AH19),"",[1]NLFsmonkeyCompl!AH19),"")</f>
        <v>Decrease</v>
      </c>
      <c r="AG18" s="8" t="str">
        <f>IFERROR(IF(ISBLANK([1]NLFsmonkeyCompl!AI19),"",[1]NLFsmonkeyCompl!AI19),"")</f>
        <v>Yes</v>
      </c>
    </row>
    <row r="19" spans="1:33" x14ac:dyDescent="0.2">
      <c r="A19" s="5" t="str">
        <f>IF(OR(ISTEXT([1]NLFsmonkeyCompl!J20),ISNUMBER([1]NLFsmonkeyCompl!J20)),[1]NLFsmonkeyCompl!J20,"")</f>
        <v>Bouwinvest</v>
      </c>
      <c r="B19" s="18" t="str">
        <f>IF(OR(ISTEXT([1]NLFsmonkeyCompl!K20),ISNUMBER([1]NLFsmonkeyCompl!K20)),[1]NLFsmonkeyCompl!K20,"")</f>
        <v>Healthcare Fund</v>
      </c>
      <c r="C19" s="6"/>
      <c r="D19" s="6" t="s">
        <v>45</v>
      </c>
      <c r="E19" s="6" t="s">
        <v>48</v>
      </c>
      <c r="F19" s="6" t="s">
        <v>49</v>
      </c>
      <c r="G19" s="6" t="str">
        <f>IF(ISBLANK([3]NLFsmonkeyCompl!L20),"",[3]NLFsmonkeyCompl!L20)</f>
        <v>Closed end</v>
      </c>
      <c r="H19" s="6">
        <v>2014</v>
      </c>
      <c r="I19" s="6" t="str">
        <f>IF(ISBLANK([1]NLFsmonkeyCompl!M20),"",[1]NLFsmonkeyCompl!M20)</f>
        <v>No</v>
      </c>
      <c r="J19" s="6" t="str">
        <f>IF(ISBLANK([1]NLFsmonkeyCompl!N20),"",[1]NLFsmonkeyCompl!N20)</f>
        <v>Other (please specify)</v>
      </c>
      <c r="K19" s="6" t="str">
        <f>IF(ISBLANK([1]NLFsmonkeyCompl!O20),"",[1]NLFsmonkeyCompl!O20)</f>
        <v>Because the Fund is closed ended.</v>
      </c>
      <c r="L19" s="6" t="s">
        <v>11</v>
      </c>
      <c r="M19" s="16">
        <f>IFERROR(VLOOKUP(L19,'[1]Xrate31.12.20'!$K$2:$N$25,3,0),"")</f>
        <v>1</v>
      </c>
      <c r="N19" s="8" t="str">
        <f>IFERROR(IF(ISBLANK([1]NLFsmonkeyCompl!P20),"",[1]NLFsmonkeyCompl!P20*$M19),"")</f>
        <v/>
      </c>
      <c r="O19" s="8" t="str">
        <f>IFERROR(IF(ISBLANK([1]NLFsmonkeyCompl!Q20),"",[1]NLFsmonkeyCompl!Q20*$M19),"")</f>
        <v/>
      </c>
      <c r="P19" s="8" t="str">
        <f>IFERROR(IF(ISBLANK([1]NLFsmonkeyCompl!R20),"",[1]NLFsmonkeyCompl!R20*$M19),"")</f>
        <v/>
      </c>
      <c r="Q19" s="8" t="str">
        <f>IFERROR(IF(ISBLANK([1]NLFsmonkeyCompl!S20),"",[1]NLFsmonkeyCompl!S20*$M19),"")</f>
        <v/>
      </c>
      <c r="R19" s="8" t="str">
        <f>IFERROR(IF(ISBLANK([1]NLFsmonkeyCompl!T20),"",[1]NLFsmonkeyCompl!T20*$M19),"")</f>
        <v/>
      </c>
      <c r="S19" s="8" t="str">
        <f>IFERROR(IF(ISBLANK([1]NLFsmonkeyCompl!U20),"",[1]NLFsmonkeyCompl!U20*$M19),"")</f>
        <v/>
      </c>
      <c r="T19" s="8" t="str">
        <f>IFERROR(IF(ISBLANK([1]NLFsmonkeyCompl!V20),"",[1]NLFsmonkeyCompl!V20*$M19),"")</f>
        <v/>
      </c>
      <c r="U19" s="8" t="str">
        <f>IFERROR(IF(ISBLANK([1]NLFsmonkeyCompl!W20),"",[1]NLFsmonkeyCompl!W20*$M19),"")</f>
        <v/>
      </c>
      <c r="V19" s="8" t="str">
        <f>IFERROR(IF(ISBLANK([1]NLFsmonkeyCompl!X20),"",[1]NLFsmonkeyCompl!X20*$M19),"")</f>
        <v/>
      </c>
      <c r="W19" s="8" t="str">
        <f>IFERROR(IF(ISBLANK([1]NLFsmonkeyCompl!Y20),"",[1]NLFsmonkeyCompl!Y20*$M19),"")</f>
        <v/>
      </c>
      <c r="X19" s="8" t="str">
        <f>IFERROR(IF(ISBLANK([1]NLFsmonkeyCompl!Z20),"",[1]NLFsmonkeyCompl!Z20*$M19),"")</f>
        <v/>
      </c>
      <c r="Y19" s="8" t="str">
        <f>IFERROR(IF(ISBLANK([1]NLFsmonkeyCompl!AA20),"",[1]NLFsmonkeyCompl!AA20*$M19),"")</f>
        <v/>
      </c>
      <c r="Z19" s="8" t="str">
        <f>IFERROR(IF(ISBLANK([1]NLFsmonkeyCompl!AB20),"",[1]NLFsmonkeyCompl!AB20*$M19),"")</f>
        <v/>
      </c>
      <c r="AA19" s="8" t="str">
        <f>IFERROR(IF(ISBLANK([1]NLFsmonkeyCompl!AC20),"",[1]NLFsmonkeyCompl!AC20*$M19),"")</f>
        <v/>
      </c>
      <c r="AB19" s="8" t="str">
        <f>IFERROR(IF(ISBLANK([1]NLFsmonkeyCompl!AD20),"",[1]NLFsmonkeyCompl!AD20),"")</f>
        <v/>
      </c>
      <c r="AC19" s="8" t="str">
        <f>IFERROR(IF(ISBLANK([1]NLFsmonkeyCompl!AE20),"",[1]NLFsmonkeyCompl!AE20),"")</f>
        <v/>
      </c>
      <c r="AD19" s="8" t="str">
        <f>IFERROR(IF(ISBLANK([1]NLFsmonkeyCompl!AF20),"",[1]NLFsmonkeyCompl!AF20),"")</f>
        <v/>
      </c>
      <c r="AE19" s="8" t="str">
        <f>IFERROR(IF(ISBLANK([1]NLFsmonkeyCompl!AG20),"",[1]NLFsmonkeyCompl!AG20),"")</f>
        <v/>
      </c>
      <c r="AF19" s="8" t="str">
        <f>IFERROR(IF(ISBLANK([1]NLFsmonkeyCompl!AH20),"",[1]NLFsmonkeyCompl!AH20),"")</f>
        <v>Increase</v>
      </c>
      <c r="AG19" s="8" t="str">
        <f>IFERROR(IF(ISBLANK([1]NLFsmonkeyCompl!AI20),"",[1]NLFsmonkeyCompl!AI20),"")</f>
        <v>Yes</v>
      </c>
    </row>
    <row r="20" spans="1:33" x14ac:dyDescent="0.2">
      <c r="A20" s="5" t="str">
        <f>IF(OR(ISTEXT([1]NLFsmonkeyCompl!J21),ISNUMBER([1]NLFsmonkeyCompl!J21)),[1]NLFsmonkeyCompl!J21,"")</f>
        <v>Bouwinvest</v>
      </c>
      <c r="B20" s="6" t="str">
        <f>IF(OR(ISTEXT([1]NLFsmonkeyCompl!K21),ISNUMBER([1]NLFsmonkeyCompl!K21)),[1]NLFsmonkeyCompl!K21,"")</f>
        <v>Office Fund</v>
      </c>
      <c r="C20" s="6">
        <v>590</v>
      </c>
      <c r="D20" s="6" t="str">
        <f>IFERROR(INDEX([1]VehiclesUniverse!$B$2:$EU$700,MATCH(C20,[1]VehiclesUniverse!$A$2:$A$700,0),MATCH($D$1,[1]VehiclesUniverse!$B$1:$EU$1,0)),"")</f>
        <v>Core</v>
      </c>
      <c r="E20" s="6" t="str">
        <f>IFERROR(INDEX([1]VehiclesUniverse!$B$2:$EU$700,MATCH(C20,[1]VehiclesUniverse!$A$2:$A$700,0),MATCH($E$1,[1]VehiclesUniverse!$B$1:$EU$1,0)),"")</f>
        <v>single country</v>
      </c>
      <c r="F20" s="6" t="str">
        <f>IF(IFERROR(INDEX([1]VehiclesUniverse!$B$2:$EU$700,MATCH($C20,[1]VehiclesUniverse!$A$2:$A$700,0),MATCH($F$1,[1]VehiclesUniverse!$B$1:$EU$1,0)),"")&lt;&gt;0,(IFERROR(INDEX([1]VehiclesUniverse!$B$2:$EU$700,MATCH($C20,[1]VehiclesUniverse!$A$2:$A$700,0),MATCH($F$1,[1]VehiclesUniverse!$B$1:$EU$1,0)),"")),"")</f>
        <v>Netherlands</v>
      </c>
      <c r="G20" s="6" t="str">
        <f>IF(ISBLANK([1]NLFsmonkeyCompl!L21),"",[1]NLFsmonkeyCompl!L21)</f>
        <v>Open end</v>
      </c>
      <c r="H20" s="6">
        <f>IFERROR(INDEX([1]VehiclesUniverse!$B$2:$EU$700,MATCH(C20,[1]VehiclesUniverse!$A$2:$A$700,0),MATCH($H$1,[1]VehiclesUniverse!$B$1:$EU$1,0)),"")</f>
        <v>2010</v>
      </c>
      <c r="I20" s="6" t="str">
        <f>IF(ISBLANK([1]NLFsmonkeyCompl!M21),"",[1]NLFsmonkeyCompl!M21)</f>
        <v>Yes</v>
      </c>
      <c r="J20" s="6" t="str">
        <f>IF(ISBLANK([1]NLFsmonkeyCompl!N21),"",[1]NLFsmonkeyCompl!N21)</f>
        <v/>
      </c>
      <c r="K20" s="6" t="str">
        <f>IF(ISBLANK([1]NLFsmonkeyCompl!O21),"",[1]NLFsmonkeyCompl!O21)</f>
        <v/>
      </c>
      <c r="L20" s="6" t="str">
        <f>IFERROR(INDEX([1]VehiclesUniverse!$B$2:$EU$700,MATCH(C20,[1]VehiclesUniverse!$A$2:$A$700,0),MATCH($L$1,[1]VehiclesUniverse!$B$1:$EU$1,0)),"")</f>
        <v>EUR</v>
      </c>
      <c r="M20" s="16">
        <f>IFERROR(VLOOKUP(L20,'[1]Xrate31.12.20'!$K$2:$N$25,3,0),"")</f>
        <v>1</v>
      </c>
      <c r="N20" s="8">
        <f>IFERROR(IF(ISBLANK([1]NLFsmonkeyCompl!P21),"",[1]NLFsmonkeyCompl!P21*$M20),"")</f>
        <v>47</v>
      </c>
      <c r="O20" s="8">
        <f>IFERROR(IF(ISBLANK([1]NLFsmonkeyCompl!Q21),"",[1]NLFsmonkeyCompl!Q21*$M20),"")</f>
        <v>45</v>
      </c>
      <c r="P20" s="8">
        <f>IFERROR(IF(ISBLANK([1]NLFsmonkeyCompl!R21),"",[1]NLFsmonkeyCompl!R21*$M20),"")</f>
        <v>2</v>
      </c>
      <c r="Q20" s="8" t="str">
        <f>IFERROR(IF(ISBLANK([1]NLFsmonkeyCompl!S21),"",[1]NLFsmonkeyCompl!S21*$M20),"")</f>
        <v/>
      </c>
      <c r="R20" s="8" t="str">
        <f>IFERROR(IF(ISBLANK([1]NLFsmonkeyCompl!T21),"",[1]NLFsmonkeyCompl!T21*$M20),"")</f>
        <v/>
      </c>
      <c r="S20" s="8" t="str">
        <f>IFERROR(IF(ISBLANK([1]NLFsmonkeyCompl!U21),"",[1]NLFsmonkeyCompl!U21*$M20),"")</f>
        <v/>
      </c>
      <c r="T20" s="8" t="str">
        <f>IFERROR(IF(ISBLANK([1]NLFsmonkeyCompl!V21),"",[1]NLFsmonkeyCompl!V21*$M20),"")</f>
        <v/>
      </c>
      <c r="U20" s="8" t="str">
        <f>IFERROR(IF(ISBLANK([1]NLFsmonkeyCompl!W21),"",[1]NLFsmonkeyCompl!W21*$M20),"")</f>
        <v/>
      </c>
      <c r="V20" s="8" t="str">
        <f>IFERROR(IF(ISBLANK([1]NLFsmonkeyCompl!X21),"",[1]NLFsmonkeyCompl!X21*$M20),"")</f>
        <v/>
      </c>
      <c r="W20" s="8">
        <f>IFERROR(IF(ISBLANK([1]NLFsmonkeyCompl!Y21),"",[1]NLFsmonkeyCompl!Y21*$M20),"")</f>
        <v>47</v>
      </c>
      <c r="X20" s="8" t="str">
        <f>IFERROR(IF(ISBLANK([1]NLFsmonkeyCompl!Z21),"",[1]NLFsmonkeyCompl!Z21*$M20),"")</f>
        <v/>
      </c>
      <c r="Y20" s="8" t="str">
        <f>IFERROR(IF(ISBLANK([1]NLFsmonkeyCompl!AA21),"",[1]NLFsmonkeyCompl!AA21*$M20),"")</f>
        <v/>
      </c>
      <c r="Z20" s="8" t="str">
        <f>IFERROR(IF(ISBLANK([1]NLFsmonkeyCompl!AB21),"",[1]NLFsmonkeyCompl!AB21*$M20),"")</f>
        <v/>
      </c>
      <c r="AA20" s="8" t="str">
        <f>IFERROR(IF(ISBLANK([1]NLFsmonkeyCompl!AC21),"",[1]NLFsmonkeyCompl!AC21*$M20),"")</f>
        <v/>
      </c>
      <c r="AB20" s="8" t="str">
        <f>IFERROR(IF(ISBLANK([1]NLFsmonkeyCompl!AD21),"",[1]NLFsmonkeyCompl!AD21),"")</f>
        <v/>
      </c>
      <c r="AC20" s="8" t="str">
        <f>IFERROR(IF(ISBLANK([1]NLFsmonkeyCompl!AE21),"",[1]NLFsmonkeyCompl!AE21),"")</f>
        <v/>
      </c>
      <c r="AD20" s="8">
        <f>IFERROR(IF(ISBLANK([1]NLFsmonkeyCompl!AF21),"",[1]NLFsmonkeyCompl!AF21),"")</f>
        <v>100</v>
      </c>
      <c r="AE20" s="8" t="str">
        <f>IFERROR(IF(ISBLANK([1]NLFsmonkeyCompl!AG21),"",[1]NLFsmonkeyCompl!AG21),"")</f>
        <v/>
      </c>
      <c r="AF20" s="8" t="str">
        <f>IFERROR(IF(ISBLANK([1]NLFsmonkeyCompl!AH21),"",[1]NLFsmonkeyCompl!AH21),"")</f>
        <v>Increase</v>
      </c>
      <c r="AG20" s="8" t="str">
        <f>IFERROR(IF(ISBLANK([1]NLFsmonkeyCompl!AI21),"",[1]NLFsmonkeyCompl!AI21),"")</f>
        <v>Yes</v>
      </c>
    </row>
    <row r="21" spans="1:33" x14ac:dyDescent="0.2">
      <c r="A21" s="5" t="str">
        <f>IF(OR(ISTEXT([1]NLFsmonkeyCompl!J22),ISNUMBER([1]NLFsmonkeyCompl!J22)),[1]NLFsmonkeyCompl!J22,"")</f>
        <v>Bouwinvest</v>
      </c>
      <c r="B21" s="6" t="str">
        <f>IF(OR(ISTEXT([1]NLFsmonkeyCompl!K22),ISNUMBER([1]NLFsmonkeyCompl!K22)),[1]NLFsmonkeyCompl!K22,"")</f>
        <v>Retail Fund</v>
      </c>
      <c r="C21" s="6">
        <v>589</v>
      </c>
      <c r="D21" s="6" t="str">
        <f>IFERROR(INDEX([1]VehiclesUniverse!$B$2:$EU$700,MATCH(C21,[1]VehiclesUniverse!$A$2:$A$700,0),MATCH($D$1,[1]VehiclesUniverse!$B$1:$EU$1,0)),"")</f>
        <v>Core</v>
      </c>
      <c r="E21" s="6" t="str">
        <f>IFERROR(INDEX([1]VehiclesUniverse!$B$2:$EU$700,MATCH(C21,[1]VehiclesUniverse!$A$2:$A$700,0),MATCH($E$1,[1]VehiclesUniverse!$B$1:$EU$1,0)),"")</f>
        <v>single country</v>
      </c>
      <c r="F21" s="6" t="str">
        <f>IF(IFERROR(INDEX([1]VehiclesUniverse!$B$2:$EU$700,MATCH($C21,[1]VehiclesUniverse!$A$2:$A$700,0),MATCH($F$1,[1]VehiclesUniverse!$B$1:$EU$1,0)),"")&lt;&gt;0,(IFERROR(INDEX([1]VehiclesUniverse!$B$2:$EU$700,MATCH($C21,[1]VehiclesUniverse!$A$2:$A$700,0),MATCH($F$1,[1]VehiclesUniverse!$B$1:$EU$1,0)),"")),"")</f>
        <v>Netherlands</v>
      </c>
      <c r="G21" s="6" t="str">
        <f>IF(ISBLANK([1]NLFsmonkeyCompl!L22),"",[1]NLFsmonkeyCompl!L22)</f>
        <v>Open end</v>
      </c>
      <c r="H21" s="6">
        <f>IFERROR(INDEX([1]VehiclesUniverse!$B$2:$EU$700,MATCH(C21,[1]VehiclesUniverse!$A$2:$A$700,0),MATCH($H$1,[1]VehiclesUniverse!$B$1:$EU$1,0)),"")</f>
        <v>2010</v>
      </c>
      <c r="I21" s="6" t="str">
        <f>IF(ISBLANK([1]NLFsmonkeyCompl!M22),"",[1]NLFsmonkeyCompl!M22)</f>
        <v>Yes</v>
      </c>
      <c r="J21" s="6" t="str">
        <f>IF(ISBLANK([1]NLFsmonkeyCompl!N22),"",[1]NLFsmonkeyCompl!N22)</f>
        <v/>
      </c>
      <c r="K21" s="6" t="str">
        <f>IF(ISBLANK([1]NLFsmonkeyCompl!O22),"",[1]NLFsmonkeyCompl!O22)</f>
        <v/>
      </c>
      <c r="L21" s="6" t="str">
        <f>IFERROR(INDEX([1]VehiclesUniverse!$B$2:$EU$700,MATCH(C21,[1]VehiclesUniverse!$A$2:$A$700,0),MATCH($L$1,[1]VehiclesUniverse!$B$1:$EU$1,0)),"")</f>
        <v>EUR</v>
      </c>
      <c r="M21" s="16">
        <f>IFERROR(VLOOKUP(L21,'[1]Xrate31.12.20'!$K$2:$N$25,3,0),"")</f>
        <v>1</v>
      </c>
      <c r="N21" s="8">
        <f>IFERROR(IF(ISBLANK([1]NLFsmonkeyCompl!P22),"",[1]NLFsmonkeyCompl!P22*$M21),"")</f>
        <v>78</v>
      </c>
      <c r="O21" s="8">
        <f>IFERROR(IF(ISBLANK([1]NLFsmonkeyCompl!Q22),"",[1]NLFsmonkeyCompl!Q22*$M21),"")</f>
        <v>78</v>
      </c>
      <c r="P21" s="8" t="str">
        <f>IFERROR(IF(ISBLANK([1]NLFsmonkeyCompl!R22),"",[1]NLFsmonkeyCompl!R22*$M21),"")</f>
        <v/>
      </c>
      <c r="Q21" s="8" t="str">
        <f>IFERROR(IF(ISBLANK([1]NLFsmonkeyCompl!S22),"",[1]NLFsmonkeyCompl!S22*$M21),"")</f>
        <v/>
      </c>
      <c r="R21" s="8" t="str">
        <f>IFERROR(IF(ISBLANK([1]NLFsmonkeyCompl!T22),"",[1]NLFsmonkeyCompl!T22*$M21),"")</f>
        <v/>
      </c>
      <c r="S21" s="8" t="str">
        <f>IFERROR(IF(ISBLANK([1]NLFsmonkeyCompl!U22),"",[1]NLFsmonkeyCompl!U22*$M21),"")</f>
        <v/>
      </c>
      <c r="T21" s="8" t="str">
        <f>IFERROR(IF(ISBLANK([1]NLFsmonkeyCompl!V22),"",[1]NLFsmonkeyCompl!V22*$M21),"")</f>
        <v/>
      </c>
      <c r="U21" s="8" t="str">
        <f>IFERROR(IF(ISBLANK([1]NLFsmonkeyCompl!W22),"",[1]NLFsmonkeyCompl!W22*$M21),"")</f>
        <v/>
      </c>
      <c r="V21" s="8" t="str">
        <f>IFERROR(IF(ISBLANK([1]NLFsmonkeyCompl!X22),"",[1]NLFsmonkeyCompl!X22*$M21),"")</f>
        <v/>
      </c>
      <c r="W21" s="8">
        <f>IFERROR(IF(ISBLANK([1]NLFsmonkeyCompl!Y22),"",[1]NLFsmonkeyCompl!Y22*$M21),"")</f>
        <v>78</v>
      </c>
      <c r="X21" s="8" t="str">
        <f>IFERROR(IF(ISBLANK([1]NLFsmonkeyCompl!Z22),"",[1]NLFsmonkeyCompl!Z22*$M21),"")</f>
        <v/>
      </c>
      <c r="Y21" s="8" t="str">
        <f>IFERROR(IF(ISBLANK([1]NLFsmonkeyCompl!AA22),"",[1]NLFsmonkeyCompl!AA22*$M21),"")</f>
        <v/>
      </c>
      <c r="Z21" s="8" t="str">
        <f>IFERROR(IF(ISBLANK([1]NLFsmonkeyCompl!AB22),"",[1]NLFsmonkeyCompl!AB22*$M21),"")</f>
        <v/>
      </c>
      <c r="AA21" s="8" t="str">
        <f>IFERROR(IF(ISBLANK([1]NLFsmonkeyCompl!AC22),"",[1]NLFsmonkeyCompl!AC22*$M21),"")</f>
        <v/>
      </c>
      <c r="AB21" s="8" t="str">
        <f>IFERROR(IF(ISBLANK([1]NLFsmonkeyCompl!AD22),"",[1]NLFsmonkeyCompl!AD22),"")</f>
        <v/>
      </c>
      <c r="AC21" s="8" t="str">
        <f>IFERROR(IF(ISBLANK([1]NLFsmonkeyCompl!AE22),"",[1]NLFsmonkeyCompl!AE22),"")</f>
        <v/>
      </c>
      <c r="AD21" s="8">
        <f>IFERROR(IF(ISBLANK([1]NLFsmonkeyCompl!AF22),"",[1]NLFsmonkeyCompl!AF22),"")</f>
        <v>100</v>
      </c>
      <c r="AE21" s="8" t="str">
        <f>IFERROR(IF(ISBLANK([1]NLFsmonkeyCompl!AG22),"",[1]NLFsmonkeyCompl!AG22),"")</f>
        <v/>
      </c>
      <c r="AF21" s="8" t="str">
        <f>IFERROR(IF(ISBLANK([1]NLFsmonkeyCompl!AH22),"",[1]NLFsmonkeyCompl!AH22),"")</f>
        <v>Decrease</v>
      </c>
      <c r="AG21" s="8" t="str">
        <f>IFERROR(IF(ISBLANK([1]NLFsmonkeyCompl!AI22),"",[1]NLFsmonkeyCompl!AI22),"")</f>
        <v>Yes</v>
      </c>
    </row>
    <row r="22" spans="1:33" x14ac:dyDescent="0.2">
      <c r="A22" s="5" t="str">
        <f>IF(OR(ISTEXT([1]NLFsmonkeyCompl!J23),ISNUMBER([1]NLFsmonkeyCompl!J23)),[1]NLFsmonkeyCompl!J23,"")</f>
        <v>Bouwinvest</v>
      </c>
      <c r="B22" s="6" t="str">
        <f>IF(OR(ISTEXT([1]NLFsmonkeyCompl!K23),ISNUMBER([1]NLFsmonkeyCompl!K23)),[1]NLFsmonkeyCompl!K23,"")</f>
        <v>Residential Fund</v>
      </c>
      <c r="C22" s="6">
        <v>588</v>
      </c>
      <c r="D22" s="6" t="str">
        <f>IFERROR(INDEX([1]VehiclesUniverse!$B$2:$EU$700,MATCH(C22,[1]VehiclesUniverse!$A$2:$A$700,0),MATCH($D$1,[1]VehiclesUniverse!$B$1:$EU$1,0)),"")</f>
        <v>Core</v>
      </c>
      <c r="E22" s="6" t="str">
        <f>IFERROR(INDEX([1]VehiclesUniverse!$B$2:$EU$700,MATCH(C22,[1]VehiclesUniverse!$A$2:$A$700,0),MATCH($E$1,[1]VehiclesUniverse!$B$1:$EU$1,0)),"")</f>
        <v>single country</v>
      </c>
      <c r="F22" s="6" t="str">
        <f>IF(IFERROR(INDEX([1]VehiclesUniverse!$B$2:$EU$700,MATCH($C22,[1]VehiclesUniverse!$A$2:$A$700,0),MATCH($F$1,[1]VehiclesUniverse!$B$1:$EU$1,0)),"")&lt;&gt;0,(IFERROR(INDEX([1]VehiclesUniverse!$B$2:$EU$700,MATCH($C22,[1]VehiclesUniverse!$A$2:$A$700,0),MATCH($F$1,[1]VehiclesUniverse!$B$1:$EU$1,0)),"")),"")</f>
        <v>Netherlands</v>
      </c>
      <c r="G22" s="6" t="str">
        <f>IF(ISBLANK([1]NLFsmonkeyCompl!L23),"",[1]NLFsmonkeyCompl!L23)</f>
        <v>Open end</v>
      </c>
      <c r="H22" s="6">
        <f>IFERROR(INDEX([1]VehiclesUniverse!$B$2:$EU$700,MATCH(C22,[1]VehiclesUniverse!$A$2:$A$700,0),MATCH($H$1,[1]VehiclesUniverse!$B$1:$EU$1,0)),"")</f>
        <v>2010</v>
      </c>
      <c r="I22" s="6" t="str">
        <f>IF(ISBLANK([1]NLFsmonkeyCompl!M23),"",[1]NLFsmonkeyCompl!M23)</f>
        <v>Yes</v>
      </c>
      <c r="J22" s="6" t="str">
        <f>IF(ISBLANK([1]NLFsmonkeyCompl!N23),"",[1]NLFsmonkeyCompl!N23)</f>
        <v/>
      </c>
      <c r="K22" s="6" t="str">
        <f>IF(ISBLANK([1]NLFsmonkeyCompl!O23),"",[1]NLFsmonkeyCompl!O23)</f>
        <v/>
      </c>
      <c r="L22" s="6" t="str">
        <f>IFERROR(INDEX([1]VehiclesUniverse!$B$2:$EU$700,MATCH(C22,[1]VehiclesUniverse!$A$2:$A$700,0),MATCH($L$1,[1]VehiclesUniverse!$B$1:$EU$1,0)),"")</f>
        <v>EUR</v>
      </c>
      <c r="M22" s="16">
        <f>IFERROR(VLOOKUP(L22,'[1]Xrate31.12.20'!$K$2:$N$25,3,0),"")</f>
        <v>1</v>
      </c>
      <c r="N22" s="8">
        <f>IFERROR(IF(ISBLANK([1]NLFsmonkeyCompl!P23),"",[1]NLFsmonkeyCompl!P23*$M22),"")</f>
        <v>100</v>
      </c>
      <c r="O22" s="8">
        <f>IFERROR(IF(ISBLANK([1]NLFsmonkeyCompl!Q23),"",[1]NLFsmonkeyCompl!Q23*$M22),"")</f>
        <v>100</v>
      </c>
      <c r="P22" s="8" t="str">
        <f>IFERROR(IF(ISBLANK([1]NLFsmonkeyCompl!R23),"",[1]NLFsmonkeyCompl!R23*$M22),"")</f>
        <v/>
      </c>
      <c r="Q22" s="8" t="str">
        <f>IFERROR(IF(ISBLANK([1]NLFsmonkeyCompl!S23),"",[1]NLFsmonkeyCompl!S23*$M22),"")</f>
        <v/>
      </c>
      <c r="R22" s="8" t="str">
        <f>IFERROR(IF(ISBLANK([1]NLFsmonkeyCompl!T23),"",[1]NLFsmonkeyCompl!T23*$M22),"")</f>
        <v/>
      </c>
      <c r="S22" s="8" t="str">
        <f>IFERROR(IF(ISBLANK([1]NLFsmonkeyCompl!U23),"",[1]NLFsmonkeyCompl!U23*$M22),"")</f>
        <v/>
      </c>
      <c r="T22" s="8" t="str">
        <f>IFERROR(IF(ISBLANK([1]NLFsmonkeyCompl!V23),"",[1]NLFsmonkeyCompl!V23*$M22),"")</f>
        <v/>
      </c>
      <c r="U22" s="8" t="str">
        <f>IFERROR(IF(ISBLANK([1]NLFsmonkeyCompl!W23),"",[1]NLFsmonkeyCompl!W23*$M22),"")</f>
        <v/>
      </c>
      <c r="V22" s="8" t="str">
        <f>IFERROR(IF(ISBLANK([1]NLFsmonkeyCompl!X23),"",[1]NLFsmonkeyCompl!X23*$M22),"")</f>
        <v/>
      </c>
      <c r="W22" s="8">
        <f>IFERROR(IF(ISBLANK([1]NLFsmonkeyCompl!Y23),"",[1]NLFsmonkeyCompl!Y23*$M22),"")</f>
        <v>100</v>
      </c>
      <c r="X22" s="8" t="str">
        <f>IFERROR(IF(ISBLANK([1]NLFsmonkeyCompl!Z23),"",[1]NLFsmonkeyCompl!Z23*$M22),"")</f>
        <v/>
      </c>
      <c r="Y22" s="8" t="str">
        <f>IFERROR(IF(ISBLANK([1]NLFsmonkeyCompl!AA23),"",[1]NLFsmonkeyCompl!AA23*$M22),"")</f>
        <v/>
      </c>
      <c r="Z22" s="8" t="str">
        <f>IFERROR(IF(ISBLANK([1]NLFsmonkeyCompl!AB23),"",[1]NLFsmonkeyCompl!AB23*$M22),"")</f>
        <v/>
      </c>
      <c r="AA22" s="8" t="str">
        <f>IFERROR(IF(ISBLANK([1]NLFsmonkeyCompl!AC23),"",[1]NLFsmonkeyCompl!AC23*$M22),"")</f>
        <v/>
      </c>
      <c r="AB22" s="8" t="str">
        <f>IFERROR(IF(ISBLANK([1]NLFsmonkeyCompl!AD23),"",[1]NLFsmonkeyCompl!AD23),"")</f>
        <v/>
      </c>
      <c r="AC22" s="8" t="str">
        <f>IFERROR(IF(ISBLANK([1]NLFsmonkeyCompl!AE23),"",[1]NLFsmonkeyCompl!AE23),"")</f>
        <v/>
      </c>
      <c r="AD22" s="8">
        <f>IFERROR(IF(ISBLANK([1]NLFsmonkeyCompl!AF23),"",[1]NLFsmonkeyCompl!AF23),"")</f>
        <v>100</v>
      </c>
      <c r="AE22" s="8" t="str">
        <f>IFERROR(IF(ISBLANK([1]NLFsmonkeyCompl!AG23),"",[1]NLFsmonkeyCompl!AG23),"")</f>
        <v/>
      </c>
      <c r="AF22" s="8" t="str">
        <f>IFERROR(IF(ISBLANK([1]NLFsmonkeyCompl!AH23),"",[1]NLFsmonkeyCompl!AH23),"")</f>
        <v>Increase</v>
      </c>
      <c r="AG22" s="8" t="str">
        <f>IFERROR(IF(ISBLANK([1]NLFsmonkeyCompl!AI23),"",[1]NLFsmonkeyCompl!AI23),"")</f>
        <v>Yes</v>
      </c>
    </row>
    <row r="23" spans="1:33" x14ac:dyDescent="0.2">
      <c r="A23" s="5" t="str">
        <f>IF(OR(ISTEXT([1]NLFsmonkeyCompl!J24),ISNUMBER([1]NLFsmonkeyCompl!J24)),[1]NLFsmonkeyCompl!J24,"")</f>
        <v>Bouwinvest</v>
      </c>
      <c r="B23" s="6" t="str">
        <f>IF(OR(ISTEXT([1]NLFsmonkeyCompl!K24),ISNUMBER([1]NLFsmonkeyCompl!K24)),[1]NLFsmonkeyCompl!K24,"")</f>
        <v>Europe</v>
      </c>
      <c r="C23" s="6" t="s">
        <v>50</v>
      </c>
      <c r="D23" s="6" t="str">
        <f>IFERROR(INDEX([1]VehiclesUniverse!$B$2:$EU$700,MATCH(C23,[1]VehiclesUniverse!$A$2:$A$700,0),MATCH($D$1,[1]VehiclesUniverse!$B$1:$EU$1,0)),"")</f>
        <v/>
      </c>
      <c r="E23" s="6" t="str">
        <f>IFERROR(INDEX([1]VehiclesUniverse!$B$2:$EU$700,MATCH(C23,[1]VehiclesUniverse!$A$2:$A$700,0),MATCH($E$1,[1]VehiclesUniverse!$B$1:$EU$1,0)),"")</f>
        <v/>
      </c>
      <c r="F23" s="6" t="str">
        <f>IF(IFERROR(INDEX([1]VehiclesUniverse!$B$2:$EU$700,MATCH($C23,[1]VehiclesUniverse!$A$2:$A$700,0),MATCH($F$1,[1]VehiclesUniverse!$B$1:$EU$1,0)),"")&lt;&gt;0,(IFERROR(INDEX([1]VehiclesUniverse!$B$2:$EU$700,MATCH($C23,[1]VehiclesUniverse!$A$2:$A$700,0),MATCH($F$1,[1]VehiclesUniverse!$B$1:$EU$1,0)),"")),"")</f>
        <v/>
      </c>
      <c r="G23" s="6" t="str">
        <f>IF(ISBLANK([1]NLFsmonkeyCompl!L24),"",[1]NLFsmonkeyCompl!L24)</f>
        <v>Open end</v>
      </c>
      <c r="H23" s="6" t="str">
        <f>IFERROR(INDEX([1]VehiclesUniverse!$B$2:$EU$700,MATCH(C23,[1]VehiclesUniverse!$A$2:$A$700,0),MATCH($H$1,[1]VehiclesUniverse!$B$1:$EU$1,0)),"")</f>
        <v/>
      </c>
      <c r="I23" s="6" t="str">
        <f>IF(ISBLANK([1]NLFsmonkeyCompl!M24),"",[1]NLFsmonkeyCompl!M24)</f>
        <v>Yes</v>
      </c>
      <c r="J23" s="6" t="str">
        <f>IF(ISBLANK([1]NLFsmonkeyCompl!N24),"",[1]NLFsmonkeyCompl!N24)</f>
        <v/>
      </c>
      <c r="K23" s="6" t="str">
        <f>IF(ISBLANK([1]NLFsmonkeyCompl!O24),"",[1]NLFsmonkeyCompl!O24)</f>
        <v/>
      </c>
      <c r="L23" s="6" t="str">
        <f>IFERROR(INDEX([1]VehiclesUniverse!$B$2:$EU$700,MATCH(C23,[1]VehiclesUniverse!$A$2:$A$700,0),MATCH($L$1,[1]VehiclesUniverse!$B$1:$EU$1,0)),"")</f>
        <v/>
      </c>
      <c r="M23" s="16" t="str">
        <f>IFERROR(VLOOKUP(L23,'[1]Xrate31.12.20'!$K$2:$N$25,3,0),"")</f>
        <v/>
      </c>
      <c r="N23" s="8" t="str">
        <f>IFERROR(IF(ISBLANK([1]NLFsmonkeyCompl!P24),"",[1]NLFsmonkeyCompl!P24*$M23),"")</f>
        <v/>
      </c>
      <c r="O23" s="8" t="str">
        <f>IFERROR(IF(ISBLANK([1]NLFsmonkeyCompl!Q24),"",[1]NLFsmonkeyCompl!Q24*$M23),"")</f>
        <v/>
      </c>
      <c r="P23" s="8" t="str">
        <f>IFERROR(IF(ISBLANK([1]NLFsmonkeyCompl!R24),"",[1]NLFsmonkeyCompl!R24*$M23),"")</f>
        <v/>
      </c>
      <c r="Q23" s="8" t="str">
        <f>IFERROR(IF(ISBLANK([1]NLFsmonkeyCompl!S24),"",[1]NLFsmonkeyCompl!S24*$M23),"")</f>
        <v/>
      </c>
      <c r="R23" s="8" t="str">
        <f>IFERROR(IF(ISBLANK([1]NLFsmonkeyCompl!T24),"",[1]NLFsmonkeyCompl!T24*$M23),"")</f>
        <v/>
      </c>
      <c r="S23" s="8" t="str">
        <f>IFERROR(IF(ISBLANK([1]NLFsmonkeyCompl!U24),"",[1]NLFsmonkeyCompl!U24*$M23),"")</f>
        <v/>
      </c>
      <c r="T23" s="8" t="str">
        <f>IFERROR(IF(ISBLANK([1]NLFsmonkeyCompl!V24),"",[1]NLFsmonkeyCompl!V24*$M23),"")</f>
        <v/>
      </c>
      <c r="U23" s="8" t="str">
        <f>IFERROR(IF(ISBLANK([1]NLFsmonkeyCompl!W24),"",[1]NLFsmonkeyCompl!W24*$M23),"")</f>
        <v/>
      </c>
      <c r="V23" s="8" t="str">
        <f>IFERROR(IF(ISBLANK([1]NLFsmonkeyCompl!X24),"",[1]NLFsmonkeyCompl!X24*$M23),"")</f>
        <v/>
      </c>
      <c r="W23" s="8" t="str">
        <f>IFERROR(IF(ISBLANK([1]NLFsmonkeyCompl!Y24),"",[1]NLFsmonkeyCompl!Y24*$M23),"")</f>
        <v/>
      </c>
      <c r="X23" s="8" t="str">
        <f>IFERROR(IF(ISBLANK([1]NLFsmonkeyCompl!Z24),"",[1]NLFsmonkeyCompl!Z24*$M23),"")</f>
        <v/>
      </c>
      <c r="Y23" s="8" t="str">
        <f>IFERROR(IF(ISBLANK([1]NLFsmonkeyCompl!AA24),"",[1]NLFsmonkeyCompl!AA24*$M23),"")</f>
        <v/>
      </c>
      <c r="Z23" s="8" t="str">
        <f>IFERROR(IF(ISBLANK([1]NLFsmonkeyCompl!AB24),"",[1]NLFsmonkeyCompl!AB24*$M23),"")</f>
        <v/>
      </c>
      <c r="AA23" s="8" t="str">
        <f>IFERROR(IF(ISBLANK([1]NLFsmonkeyCompl!AC24),"",[1]NLFsmonkeyCompl!AC24*$M23),"")</f>
        <v/>
      </c>
      <c r="AB23" s="8" t="str">
        <f>IFERROR(IF(ISBLANK([1]NLFsmonkeyCompl!AD24),"",[1]NLFsmonkeyCompl!AD24),"")</f>
        <v/>
      </c>
      <c r="AC23" s="8" t="str">
        <f>IFERROR(IF(ISBLANK([1]NLFsmonkeyCompl!AE24),"",[1]NLFsmonkeyCompl!AE24),"")</f>
        <v/>
      </c>
      <c r="AD23" s="8">
        <f>IFERROR(IF(ISBLANK([1]NLFsmonkeyCompl!AF24),"",[1]NLFsmonkeyCompl!AF24),"")</f>
        <v>100</v>
      </c>
      <c r="AE23" s="8" t="str">
        <f>IFERROR(IF(ISBLANK([1]NLFsmonkeyCompl!AG24),"",[1]NLFsmonkeyCompl!AG24),"")</f>
        <v/>
      </c>
      <c r="AF23" s="8" t="str">
        <f>IFERROR(IF(ISBLANK([1]NLFsmonkeyCompl!AH24),"",[1]NLFsmonkeyCompl!AH24),"")</f>
        <v>Increase</v>
      </c>
      <c r="AG23" s="8" t="str">
        <f>IFERROR(IF(ISBLANK([1]NLFsmonkeyCompl!AI24),"",[1]NLFsmonkeyCompl!AI24),"")</f>
        <v>Yes</v>
      </c>
    </row>
    <row r="24" spans="1:33" x14ac:dyDescent="0.2">
      <c r="A24" s="5" t="str">
        <f>IF(OR(ISTEXT([1]NLFsmonkeyCompl!J25),ISNUMBER([1]NLFsmonkeyCompl!J25)),[1]NLFsmonkeyCompl!J25,"")</f>
        <v>Bouwinvest</v>
      </c>
      <c r="B24" s="6" t="str">
        <f>IF(OR(ISTEXT([1]NLFsmonkeyCompl!K25),ISNUMBER([1]NLFsmonkeyCompl!K25)),[1]NLFsmonkeyCompl!K25,"")</f>
        <v>APAC</v>
      </c>
      <c r="C24" s="6" t="s">
        <v>50</v>
      </c>
      <c r="D24" s="6" t="str">
        <f>IFERROR(INDEX([1]VehiclesUniverse!$B$2:$EU$700,MATCH(C24,[1]VehiclesUniverse!$A$2:$A$700,0),MATCH($D$1,[1]VehiclesUniverse!$B$1:$EU$1,0)),"")</f>
        <v/>
      </c>
      <c r="E24" s="6" t="str">
        <f>IFERROR(INDEX([1]VehiclesUniverse!$B$2:$EU$700,MATCH(C24,[1]VehiclesUniverse!$A$2:$A$700,0),MATCH($E$1,[1]VehiclesUniverse!$B$1:$EU$1,0)),"")</f>
        <v/>
      </c>
      <c r="F24" s="6" t="str">
        <f>IF(IFERROR(INDEX([1]VehiclesUniverse!$B$2:$EU$700,MATCH($C24,[1]VehiclesUniverse!$A$2:$A$700,0),MATCH($F$1,[1]VehiclesUniverse!$B$1:$EU$1,0)),"")&lt;&gt;0,(IFERROR(INDEX([1]VehiclesUniverse!$B$2:$EU$700,MATCH($C24,[1]VehiclesUniverse!$A$2:$A$700,0),MATCH($F$1,[1]VehiclesUniverse!$B$1:$EU$1,0)),"")),"")</f>
        <v/>
      </c>
      <c r="G24" s="6" t="str">
        <f>IF(ISBLANK([1]NLFsmonkeyCompl!L25),"",[1]NLFsmonkeyCompl!L25)</f>
        <v>Open end</v>
      </c>
      <c r="H24" s="6" t="str">
        <f>IFERROR(INDEX([1]VehiclesUniverse!$B$2:$EU$700,MATCH(C24,[1]VehiclesUniverse!$A$2:$A$700,0),MATCH($H$1,[1]VehiclesUniverse!$B$1:$EU$1,0)),"")</f>
        <v/>
      </c>
      <c r="I24" s="6" t="str">
        <f>IF(ISBLANK([1]NLFsmonkeyCompl!M25),"",[1]NLFsmonkeyCompl!M25)</f>
        <v>Yes</v>
      </c>
      <c r="J24" s="6" t="str">
        <f>IF(ISBLANK([1]NLFsmonkeyCompl!N25),"",[1]NLFsmonkeyCompl!N25)</f>
        <v/>
      </c>
      <c r="K24" s="6" t="str">
        <f>IF(ISBLANK([1]NLFsmonkeyCompl!O25),"",[1]NLFsmonkeyCompl!O25)</f>
        <v/>
      </c>
      <c r="L24" s="6" t="str">
        <f>IFERROR(INDEX([1]VehiclesUniverse!$B$2:$EU$700,MATCH(C24,[1]VehiclesUniverse!$A$2:$A$700,0),MATCH($L$1,[1]VehiclesUniverse!$B$1:$EU$1,0)),"")</f>
        <v/>
      </c>
      <c r="M24" s="16" t="str">
        <f>IFERROR(VLOOKUP(L24,'[1]Xrate31.12.20'!$K$2:$N$25,3,0),"")</f>
        <v/>
      </c>
      <c r="N24" s="8" t="str">
        <f>IFERROR(IF(ISBLANK([1]NLFsmonkeyCompl!P25),"",[1]NLFsmonkeyCompl!P25*$M24),"")</f>
        <v/>
      </c>
      <c r="O24" s="8" t="str">
        <f>IFERROR(IF(ISBLANK([1]NLFsmonkeyCompl!Q25),"",[1]NLFsmonkeyCompl!Q25*$M24),"")</f>
        <v/>
      </c>
      <c r="P24" s="8" t="str">
        <f>IFERROR(IF(ISBLANK([1]NLFsmonkeyCompl!R25),"",[1]NLFsmonkeyCompl!R25*$M24),"")</f>
        <v/>
      </c>
      <c r="Q24" s="8" t="str">
        <f>IFERROR(IF(ISBLANK([1]NLFsmonkeyCompl!S25),"",[1]NLFsmonkeyCompl!S25*$M24),"")</f>
        <v/>
      </c>
      <c r="R24" s="8" t="str">
        <f>IFERROR(IF(ISBLANK([1]NLFsmonkeyCompl!T25),"",[1]NLFsmonkeyCompl!T25*$M24),"")</f>
        <v/>
      </c>
      <c r="S24" s="8" t="str">
        <f>IFERROR(IF(ISBLANK([1]NLFsmonkeyCompl!U25),"",[1]NLFsmonkeyCompl!U25*$M24),"")</f>
        <v/>
      </c>
      <c r="T24" s="8" t="str">
        <f>IFERROR(IF(ISBLANK([1]NLFsmonkeyCompl!V25),"",[1]NLFsmonkeyCompl!V25*$M24),"")</f>
        <v/>
      </c>
      <c r="U24" s="8" t="str">
        <f>IFERROR(IF(ISBLANK([1]NLFsmonkeyCompl!W25),"",[1]NLFsmonkeyCompl!W25*$M24),"")</f>
        <v/>
      </c>
      <c r="V24" s="8" t="str">
        <f>IFERROR(IF(ISBLANK([1]NLFsmonkeyCompl!X25),"",[1]NLFsmonkeyCompl!X25*$M24),"")</f>
        <v/>
      </c>
      <c r="W24" s="8" t="str">
        <f>IFERROR(IF(ISBLANK([1]NLFsmonkeyCompl!Y25),"",[1]NLFsmonkeyCompl!Y25*$M24),"")</f>
        <v/>
      </c>
      <c r="X24" s="8" t="str">
        <f>IFERROR(IF(ISBLANK([1]NLFsmonkeyCompl!Z25),"",[1]NLFsmonkeyCompl!Z25*$M24),"")</f>
        <v/>
      </c>
      <c r="Y24" s="8" t="str">
        <f>IFERROR(IF(ISBLANK([1]NLFsmonkeyCompl!AA25),"",[1]NLFsmonkeyCompl!AA25*$M24),"")</f>
        <v/>
      </c>
      <c r="Z24" s="8" t="str">
        <f>IFERROR(IF(ISBLANK([1]NLFsmonkeyCompl!AB25),"",[1]NLFsmonkeyCompl!AB25*$M24),"")</f>
        <v/>
      </c>
      <c r="AA24" s="8" t="str">
        <f>IFERROR(IF(ISBLANK([1]NLFsmonkeyCompl!AC25),"",[1]NLFsmonkeyCompl!AC25*$M24),"")</f>
        <v/>
      </c>
      <c r="AB24" s="8" t="str">
        <f>IFERROR(IF(ISBLANK([1]NLFsmonkeyCompl!AD25),"",[1]NLFsmonkeyCompl!AD25),"")</f>
        <v/>
      </c>
      <c r="AC24" s="8" t="str">
        <f>IFERROR(IF(ISBLANK([1]NLFsmonkeyCompl!AE25),"",[1]NLFsmonkeyCompl!AE25),"")</f>
        <v/>
      </c>
      <c r="AD24" s="8">
        <f>IFERROR(IF(ISBLANK([1]NLFsmonkeyCompl!AF25),"",[1]NLFsmonkeyCompl!AF25),"")</f>
        <v>100</v>
      </c>
      <c r="AE24" s="8" t="str">
        <f>IFERROR(IF(ISBLANK([1]NLFsmonkeyCompl!AG25),"",[1]NLFsmonkeyCompl!AG25),"")</f>
        <v/>
      </c>
      <c r="AF24" s="8" t="str">
        <f>IFERROR(IF(ISBLANK([1]NLFsmonkeyCompl!AH25),"",[1]NLFsmonkeyCompl!AH25),"")</f>
        <v>Increase</v>
      </c>
      <c r="AG24" s="8" t="str">
        <f>IFERROR(IF(ISBLANK([1]NLFsmonkeyCompl!AI25),"",[1]NLFsmonkeyCompl!AI25),"")</f>
        <v>Yes</v>
      </c>
    </row>
    <row r="25" spans="1:33" x14ac:dyDescent="0.2">
      <c r="A25" s="5" t="str">
        <f>IF(OR(ISTEXT([1]NLFsmonkeyCompl!J26),ISNUMBER([1]NLFsmonkeyCompl!J26)),[1]NLFsmonkeyCompl!J26,"")</f>
        <v>Bouwinvest</v>
      </c>
      <c r="B25" s="6" t="str">
        <f>IF(OR(ISTEXT([1]NLFsmonkeyCompl!K26),ISNUMBER([1]NLFsmonkeyCompl!K26)),[1]NLFsmonkeyCompl!K26,"")</f>
        <v>North America</v>
      </c>
      <c r="C25" s="6" t="s">
        <v>50</v>
      </c>
      <c r="D25" s="6" t="str">
        <f>IFERROR(INDEX([1]VehiclesUniverse!$B$2:$EU$700,MATCH(C25,[1]VehiclesUniverse!$A$2:$A$700,0),MATCH($D$1,[1]VehiclesUniverse!$B$1:$EU$1,0)),"")</f>
        <v/>
      </c>
      <c r="E25" s="6" t="str">
        <f>IFERROR(INDEX([1]VehiclesUniverse!$B$2:$EU$700,MATCH(C25,[1]VehiclesUniverse!$A$2:$A$700,0),MATCH($E$1,[1]VehiclesUniverse!$B$1:$EU$1,0)),"")</f>
        <v/>
      </c>
      <c r="F25" s="6" t="str">
        <f>IF(IFERROR(INDEX([1]VehiclesUniverse!$B$2:$EU$700,MATCH($C25,[1]VehiclesUniverse!$A$2:$A$700,0),MATCH($F$1,[1]VehiclesUniverse!$B$1:$EU$1,0)),"")&lt;&gt;0,(IFERROR(INDEX([1]VehiclesUniverse!$B$2:$EU$700,MATCH($C25,[1]VehiclesUniverse!$A$2:$A$700,0),MATCH($F$1,[1]VehiclesUniverse!$B$1:$EU$1,0)),"")),"")</f>
        <v/>
      </c>
      <c r="G25" s="6" t="str">
        <f>IF(ISBLANK([1]NLFsmonkeyCompl!L26),"",[1]NLFsmonkeyCompl!L26)</f>
        <v>Open end</v>
      </c>
      <c r="H25" s="6" t="str">
        <f>IFERROR(INDEX([1]VehiclesUniverse!$B$2:$EU$700,MATCH(C25,[1]VehiclesUniverse!$A$2:$A$700,0),MATCH($H$1,[1]VehiclesUniverse!$B$1:$EU$1,0)),"")</f>
        <v/>
      </c>
      <c r="I25" s="6" t="str">
        <f>IF(ISBLANK([1]NLFsmonkeyCompl!M26),"",[1]NLFsmonkeyCompl!M26)</f>
        <v>Yes</v>
      </c>
      <c r="J25" s="6" t="str">
        <f>IF(ISBLANK([1]NLFsmonkeyCompl!N26),"",[1]NLFsmonkeyCompl!N26)</f>
        <v/>
      </c>
      <c r="K25" s="6" t="str">
        <f>IF(ISBLANK([1]NLFsmonkeyCompl!O26),"",[1]NLFsmonkeyCompl!O26)</f>
        <v/>
      </c>
      <c r="L25" s="6" t="str">
        <f>IFERROR(INDEX([1]VehiclesUniverse!$B$2:$EU$700,MATCH(C25,[1]VehiclesUniverse!$A$2:$A$700,0),MATCH($L$1,[1]VehiclesUniverse!$B$1:$EU$1,0)),"")</f>
        <v/>
      </c>
      <c r="M25" s="16" t="str">
        <f>IFERROR(VLOOKUP(L25,'[1]Xrate31.12.20'!$K$2:$N$25,3,0),"")</f>
        <v/>
      </c>
      <c r="N25" s="8" t="str">
        <f>IFERROR(IF(ISBLANK([1]NLFsmonkeyCompl!P26),"",[1]NLFsmonkeyCompl!P26*$M25),"")</f>
        <v/>
      </c>
      <c r="O25" s="8" t="str">
        <f>IFERROR(IF(ISBLANK([1]NLFsmonkeyCompl!Q26),"",[1]NLFsmonkeyCompl!Q26*$M25),"")</f>
        <v/>
      </c>
      <c r="P25" s="8" t="str">
        <f>IFERROR(IF(ISBLANK([1]NLFsmonkeyCompl!R26),"",[1]NLFsmonkeyCompl!R26*$M25),"")</f>
        <v/>
      </c>
      <c r="Q25" s="8" t="str">
        <f>IFERROR(IF(ISBLANK([1]NLFsmonkeyCompl!S26),"",[1]NLFsmonkeyCompl!S26*$M25),"")</f>
        <v/>
      </c>
      <c r="R25" s="8" t="str">
        <f>IFERROR(IF(ISBLANK([1]NLFsmonkeyCompl!T26),"",[1]NLFsmonkeyCompl!T26*$M25),"")</f>
        <v/>
      </c>
      <c r="S25" s="8" t="str">
        <f>IFERROR(IF(ISBLANK([1]NLFsmonkeyCompl!U26),"",[1]NLFsmonkeyCompl!U26*$M25),"")</f>
        <v/>
      </c>
      <c r="T25" s="8" t="str">
        <f>IFERROR(IF(ISBLANK([1]NLFsmonkeyCompl!V26),"",[1]NLFsmonkeyCompl!V26*$M25),"")</f>
        <v/>
      </c>
      <c r="U25" s="8" t="str">
        <f>IFERROR(IF(ISBLANK([1]NLFsmonkeyCompl!W26),"",[1]NLFsmonkeyCompl!W26*$M25),"")</f>
        <v/>
      </c>
      <c r="V25" s="8" t="str">
        <f>IFERROR(IF(ISBLANK([1]NLFsmonkeyCompl!X26),"",[1]NLFsmonkeyCompl!X26*$M25),"")</f>
        <v/>
      </c>
      <c r="W25" s="8" t="str">
        <f>IFERROR(IF(ISBLANK([1]NLFsmonkeyCompl!Y26),"",[1]NLFsmonkeyCompl!Y26*$M25),"")</f>
        <v/>
      </c>
      <c r="X25" s="8" t="str">
        <f>IFERROR(IF(ISBLANK([1]NLFsmonkeyCompl!Z26),"",[1]NLFsmonkeyCompl!Z26*$M25),"")</f>
        <v/>
      </c>
      <c r="Y25" s="8" t="str">
        <f>IFERROR(IF(ISBLANK([1]NLFsmonkeyCompl!AA26),"",[1]NLFsmonkeyCompl!AA26*$M25),"")</f>
        <v/>
      </c>
      <c r="Z25" s="8" t="str">
        <f>IFERROR(IF(ISBLANK([1]NLFsmonkeyCompl!AB26),"",[1]NLFsmonkeyCompl!AB26*$M25),"")</f>
        <v/>
      </c>
      <c r="AA25" s="8" t="str">
        <f>IFERROR(IF(ISBLANK([1]NLFsmonkeyCompl!AC26),"",[1]NLFsmonkeyCompl!AC26*$M25),"")</f>
        <v/>
      </c>
      <c r="AB25" s="8" t="str">
        <f>IFERROR(IF(ISBLANK([1]NLFsmonkeyCompl!AD26),"",[1]NLFsmonkeyCompl!AD26),"")</f>
        <v/>
      </c>
      <c r="AC25" s="8" t="str">
        <f>IFERROR(IF(ISBLANK([1]NLFsmonkeyCompl!AE26),"",[1]NLFsmonkeyCompl!AE26),"")</f>
        <v/>
      </c>
      <c r="AD25" s="8">
        <f>IFERROR(IF(ISBLANK([1]NLFsmonkeyCompl!AF26),"",[1]NLFsmonkeyCompl!AF26),"")</f>
        <v>100</v>
      </c>
      <c r="AE25" s="8" t="str">
        <f>IFERROR(IF(ISBLANK([1]NLFsmonkeyCompl!AG26),"",[1]NLFsmonkeyCompl!AG26),"")</f>
        <v/>
      </c>
      <c r="AF25" s="8" t="str">
        <f>IFERROR(IF(ISBLANK([1]NLFsmonkeyCompl!AH26),"",[1]NLFsmonkeyCompl!AH26),"")</f>
        <v>Increase</v>
      </c>
      <c r="AG25" s="8" t="str">
        <f>IFERROR(IF(ISBLANK([1]NLFsmonkeyCompl!AI26),"",[1]NLFsmonkeyCompl!AI26),"")</f>
        <v>Yes</v>
      </c>
    </row>
    <row r="26" spans="1:33" x14ac:dyDescent="0.2">
      <c r="A26" s="5" t="str">
        <f>IF(OR(ISTEXT([1]NLFsmonkeyCompl!J27),ISNUMBER([1]NLFsmonkeyCompl!J27)),[1]NLFsmonkeyCompl!J27,"")</f>
        <v>AXA Investment Managers Deutschland GmbH</v>
      </c>
      <c r="B26" s="6" t="str">
        <f>IF(OR(ISTEXT([1]NLFsmonkeyCompl!K27),ISNUMBER([1]NLFsmonkeyCompl!K27)),[1]NLFsmonkeyCompl!K27,"")</f>
        <v>ImmoWert</v>
      </c>
      <c r="C26" s="6">
        <v>18179</v>
      </c>
      <c r="D26" s="6" t="str">
        <f>IFERROR(INDEX([1]VehiclesUniverse!$B$2:$EU$700,MATCH(C26,[1]VehiclesUniverse!$A$2:$A$700,0),MATCH($D$1,[1]VehiclesUniverse!$B$1:$EU$1,0)),"")</f>
        <v>Core</v>
      </c>
      <c r="E26" s="6" t="str">
        <f>IFERROR(INDEX([1]VehiclesUniverse!$B$2:$EU$700,MATCH(C26,[1]VehiclesUniverse!$A$2:$A$700,0),MATCH($E$1,[1]VehiclesUniverse!$B$1:$EU$1,0)),"")</f>
        <v>multi country</v>
      </c>
      <c r="F26" s="6" t="str">
        <f>IF(IFERROR(INDEX([1]VehiclesUniverse!$B$2:$EU$700,MATCH($C26,[1]VehiclesUniverse!$A$2:$A$700,0),MATCH($F$1,[1]VehiclesUniverse!$B$1:$EU$1,0)),"")&lt;&gt;0,(IFERROR(INDEX([1]VehiclesUniverse!$B$2:$EU$700,MATCH($C26,[1]VehiclesUniverse!$A$2:$A$700,0),MATCH($F$1,[1]VehiclesUniverse!$B$1:$EU$1,0)),"")),"")</f>
        <v/>
      </c>
      <c r="G26" s="6" t="str">
        <f>IF(ISBLANK([1]NLFsmonkeyCompl!L27),"",[1]NLFsmonkeyCompl!L27)</f>
        <v>Closed end</v>
      </c>
      <c r="H26" s="6">
        <f>IFERROR(INDEX([1]VehiclesUniverse!$B$2:$EU$700,MATCH(C26,[1]VehiclesUniverse!$A$2:$A$700,0),MATCH($H$1,[1]VehiclesUniverse!$B$1:$EU$1,0)),"")</f>
        <v>2012</v>
      </c>
      <c r="I26" s="6" t="str">
        <f>IF(ISBLANK([1]NLFsmonkeyCompl!M27),"",[1]NLFsmonkeyCompl!M27)</f>
        <v>No</v>
      </c>
      <c r="J26" s="6" t="str">
        <f>IF(ISBLANK([1]NLFsmonkeyCompl!N27),"",[1]NLFsmonkeyCompl!N27)</f>
        <v>Other (please specify)</v>
      </c>
      <c r="K26" s="6" t="str">
        <f>IF(ISBLANK([1]NLFsmonkeyCompl!O27),"",[1]NLFsmonkeyCompl!O27)</f>
        <v>We didn't have to raise capital. Extra cash on bank account.</v>
      </c>
      <c r="L26" s="6" t="str">
        <f>IFERROR(INDEX([1]VehiclesUniverse!$B$2:$EU$700,MATCH(C26,[1]VehiclesUniverse!$A$2:$A$700,0),MATCH($L$1,[1]VehiclesUniverse!$B$1:$EU$1,0)),"")</f>
        <v>EUR</v>
      </c>
      <c r="M26" s="16">
        <f>IFERROR(VLOOKUP(L26,'[1]Xrate31.12.20'!$K$2:$N$25,3,0),"")</f>
        <v>1</v>
      </c>
      <c r="N26" s="8" t="str">
        <f>IFERROR(IF(ISBLANK([1]NLFsmonkeyCompl!P27),"",[1]NLFsmonkeyCompl!P27*$M26),"")</f>
        <v/>
      </c>
      <c r="O26" s="8" t="str">
        <f>IFERROR(IF(ISBLANK([1]NLFsmonkeyCompl!Q27),"",[1]NLFsmonkeyCompl!Q27*$M26),"")</f>
        <v/>
      </c>
      <c r="P26" s="8" t="str">
        <f>IFERROR(IF(ISBLANK([1]NLFsmonkeyCompl!R27),"",[1]NLFsmonkeyCompl!R27*$M26),"")</f>
        <v/>
      </c>
      <c r="Q26" s="8" t="str">
        <f>IFERROR(IF(ISBLANK([1]NLFsmonkeyCompl!S27),"",[1]NLFsmonkeyCompl!S27*$M26),"")</f>
        <v/>
      </c>
      <c r="R26" s="8" t="str">
        <f>IFERROR(IF(ISBLANK([1]NLFsmonkeyCompl!T27),"",[1]NLFsmonkeyCompl!T27*$M26),"")</f>
        <v/>
      </c>
      <c r="S26" s="8" t="str">
        <f>IFERROR(IF(ISBLANK([1]NLFsmonkeyCompl!U27),"",[1]NLFsmonkeyCompl!U27*$M26),"")</f>
        <v/>
      </c>
      <c r="T26" s="8" t="str">
        <f>IFERROR(IF(ISBLANK([1]NLFsmonkeyCompl!V27),"",[1]NLFsmonkeyCompl!V27*$M26),"")</f>
        <v/>
      </c>
      <c r="U26" s="8" t="str">
        <f>IFERROR(IF(ISBLANK([1]NLFsmonkeyCompl!W27),"",[1]NLFsmonkeyCompl!W27*$M26),"")</f>
        <v/>
      </c>
      <c r="V26" s="8" t="str">
        <f>IFERROR(IF(ISBLANK([1]NLFsmonkeyCompl!X27),"",[1]NLFsmonkeyCompl!X27*$M26),"")</f>
        <v/>
      </c>
      <c r="W26" s="8" t="str">
        <f>IFERROR(IF(ISBLANK([1]NLFsmonkeyCompl!Y27),"",[1]NLFsmonkeyCompl!Y27*$M26),"")</f>
        <v/>
      </c>
      <c r="X26" s="8" t="str">
        <f>IFERROR(IF(ISBLANK([1]NLFsmonkeyCompl!Z27),"",[1]NLFsmonkeyCompl!Z27*$M26),"")</f>
        <v/>
      </c>
      <c r="Y26" s="8" t="str">
        <f>IFERROR(IF(ISBLANK([1]NLFsmonkeyCompl!AA27),"",[1]NLFsmonkeyCompl!AA27*$M26),"")</f>
        <v/>
      </c>
      <c r="Z26" s="8" t="str">
        <f>IFERROR(IF(ISBLANK([1]NLFsmonkeyCompl!AB27),"",[1]NLFsmonkeyCompl!AB27*$M26),"")</f>
        <v/>
      </c>
      <c r="AA26" s="8" t="str">
        <f>IFERROR(IF(ISBLANK([1]NLFsmonkeyCompl!AC27),"",[1]NLFsmonkeyCompl!AC27*$M26),"")</f>
        <v/>
      </c>
      <c r="AB26" s="8" t="str">
        <f>IFERROR(IF(ISBLANK([1]NLFsmonkeyCompl!AD27),"",[1]NLFsmonkeyCompl!AD27),"")</f>
        <v/>
      </c>
      <c r="AC26" s="8" t="str">
        <f>IFERROR(IF(ISBLANK([1]NLFsmonkeyCompl!AE27),"",[1]NLFsmonkeyCompl!AE27),"")</f>
        <v/>
      </c>
      <c r="AD26" s="8" t="str">
        <f>IFERROR(IF(ISBLANK([1]NLFsmonkeyCompl!AF27),"",[1]NLFsmonkeyCompl!AF27),"")</f>
        <v/>
      </c>
      <c r="AE26" s="8" t="str">
        <f>IFERROR(IF(ISBLANK([1]NLFsmonkeyCompl!AG27),"",[1]NLFsmonkeyCompl!AG27),"")</f>
        <v/>
      </c>
      <c r="AF26" s="8" t="str">
        <f>IFERROR(IF(ISBLANK([1]NLFsmonkeyCompl!AH27),"",[1]NLFsmonkeyCompl!AH27),"")</f>
        <v>Increase</v>
      </c>
      <c r="AG26" s="8" t="str">
        <f>IFERROR(IF(ISBLANK([1]NLFsmonkeyCompl!AI27),"",[1]NLFsmonkeyCompl!AI27),"")</f>
        <v>No</v>
      </c>
    </row>
    <row r="27" spans="1:33" x14ac:dyDescent="0.2">
      <c r="A27" s="5" t="str">
        <f>IF(OR(ISTEXT([1]NLFsmonkeyCompl!J28),ISNUMBER([1]NLFsmonkeyCompl!J28)),[1]NLFsmonkeyCompl!J28,"")</f>
        <v>Genesta Nordic Real Estate Fund II FCP-SIF</v>
      </c>
      <c r="B27" s="6" t="str">
        <f>IF(OR(ISTEXT([1]NLFsmonkeyCompl!K28),ISNUMBER([1]NLFsmonkeyCompl!K28)),[1]NLFsmonkeyCompl!K28,"")</f>
        <v>Genesta Nordic Real Estate Fund II FCP-SIF</v>
      </c>
      <c r="C27" s="6">
        <v>18282</v>
      </c>
      <c r="D27" s="6" t="str">
        <f>IFERROR(INDEX([1]VehiclesUniverse!$B$2:$EU$700,MATCH(C27,[1]VehiclesUniverse!$A$2:$A$700,0),MATCH($D$1,[1]VehiclesUniverse!$B$1:$EU$1,0)),"")</f>
        <v>Value-added</v>
      </c>
      <c r="E27" s="6" t="str">
        <f>IFERROR(INDEX([1]VehiclesUniverse!$B$2:$EU$700,MATCH(C27,[1]VehiclesUniverse!$A$2:$A$700,0),MATCH($E$1,[1]VehiclesUniverse!$B$1:$EU$1,0)),"")</f>
        <v>multi country</v>
      </c>
      <c r="F27" s="6" t="str">
        <f>IF(IFERROR(INDEX([1]VehiclesUniverse!$B$2:$EU$700,MATCH($C27,[1]VehiclesUniverse!$A$2:$A$700,0),MATCH($F$1,[1]VehiclesUniverse!$B$1:$EU$1,0)),"")&lt;&gt;0,(IFERROR(INDEX([1]VehiclesUniverse!$B$2:$EU$700,MATCH($C27,[1]VehiclesUniverse!$A$2:$A$700,0),MATCH($F$1,[1]VehiclesUniverse!$B$1:$EU$1,0)),"")),"")</f>
        <v/>
      </c>
      <c r="G27" s="6" t="str">
        <f>IF(ISBLANK([1]NLFsmonkeyCompl!L28),"",[1]NLFsmonkeyCompl!L28)</f>
        <v>Closed end</v>
      </c>
      <c r="H27" s="6">
        <f>IFERROR(INDEX([1]VehiclesUniverse!$B$2:$EU$700,MATCH(C27,[1]VehiclesUniverse!$A$2:$A$700,0),MATCH($H$1,[1]VehiclesUniverse!$B$1:$EU$1,0)),"")</f>
        <v>2015</v>
      </c>
      <c r="I27" s="6" t="str">
        <f>IF(ISBLANK([1]NLFsmonkeyCompl!M28),"",[1]NLFsmonkeyCompl!M28)</f>
        <v>No</v>
      </c>
      <c r="J27" s="6" t="str">
        <f>IF(ISBLANK([1]NLFsmonkeyCompl!N28),"",[1]NLFsmonkeyCompl!N28)</f>
        <v>Other (please specify)</v>
      </c>
      <c r="K27" s="6" t="str">
        <f>IF(ISBLANK([1]NLFsmonkeyCompl!O28),"",[1]NLFsmonkeyCompl!O28)</f>
        <v>No capital raising needed</v>
      </c>
      <c r="L27" s="6" t="str">
        <f>IFERROR(INDEX([1]VehiclesUniverse!$B$2:$EU$700,MATCH(C27,[1]VehiclesUniverse!$A$2:$A$700,0),MATCH($L$1,[1]VehiclesUniverse!$B$1:$EU$1,0)),"")</f>
        <v>EUR</v>
      </c>
      <c r="M27" s="16">
        <f>IFERROR(VLOOKUP(L27,'[1]Xrate31.12.20'!$K$2:$N$25,3,0),"")</f>
        <v>1</v>
      </c>
      <c r="N27" s="8" t="str">
        <f>IFERROR(IF(ISBLANK([1]NLFsmonkeyCompl!P28),"",[1]NLFsmonkeyCompl!P28*$M27),"")</f>
        <v/>
      </c>
      <c r="O27" s="8" t="str">
        <f>IFERROR(IF(ISBLANK([1]NLFsmonkeyCompl!Q28),"",[1]NLFsmonkeyCompl!Q28*$M27),"")</f>
        <v/>
      </c>
      <c r="P27" s="8" t="str">
        <f>IFERROR(IF(ISBLANK([1]NLFsmonkeyCompl!R28),"",[1]NLFsmonkeyCompl!R28*$M27),"")</f>
        <v/>
      </c>
      <c r="Q27" s="8" t="str">
        <f>IFERROR(IF(ISBLANK([1]NLFsmonkeyCompl!S28),"",[1]NLFsmonkeyCompl!S28*$M27),"")</f>
        <v/>
      </c>
      <c r="R27" s="8" t="str">
        <f>IFERROR(IF(ISBLANK([1]NLFsmonkeyCompl!T28),"",[1]NLFsmonkeyCompl!T28*$M27),"")</f>
        <v/>
      </c>
      <c r="S27" s="8" t="str">
        <f>IFERROR(IF(ISBLANK([1]NLFsmonkeyCompl!U28),"",[1]NLFsmonkeyCompl!U28*$M27),"")</f>
        <v/>
      </c>
      <c r="T27" s="8" t="str">
        <f>IFERROR(IF(ISBLANK([1]NLFsmonkeyCompl!V28),"",[1]NLFsmonkeyCompl!V28*$M27),"")</f>
        <v/>
      </c>
      <c r="U27" s="8" t="str">
        <f>IFERROR(IF(ISBLANK([1]NLFsmonkeyCompl!W28),"",[1]NLFsmonkeyCompl!W28*$M27),"")</f>
        <v/>
      </c>
      <c r="V27" s="8" t="str">
        <f>IFERROR(IF(ISBLANK([1]NLFsmonkeyCompl!X28),"",[1]NLFsmonkeyCompl!X28*$M27),"")</f>
        <v/>
      </c>
      <c r="W27" s="8" t="str">
        <f>IFERROR(IF(ISBLANK([1]NLFsmonkeyCompl!Y28),"",[1]NLFsmonkeyCompl!Y28*$M27),"")</f>
        <v/>
      </c>
      <c r="X27" s="8" t="str">
        <f>IFERROR(IF(ISBLANK([1]NLFsmonkeyCompl!Z28),"",[1]NLFsmonkeyCompl!Z28*$M27),"")</f>
        <v/>
      </c>
      <c r="Y27" s="8" t="str">
        <f>IFERROR(IF(ISBLANK([1]NLFsmonkeyCompl!AA28),"",[1]NLFsmonkeyCompl!AA28*$M27),"")</f>
        <v/>
      </c>
      <c r="Z27" s="8" t="str">
        <f>IFERROR(IF(ISBLANK([1]NLFsmonkeyCompl!AB28),"",[1]NLFsmonkeyCompl!AB28*$M27),"")</f>
        <v/>
      </c>
      <c r="AA27" s="8" t="str">
        <f>IFERROR(IF(ISBLANK([1]NLFsmonkeyCompl!AC28),"",[1]NLFsmonkeyCompl!AC28*$M27),"")</f>
        <v/>
      </c>
      <c r="AB27" s="8" t="str">
        <f>IFERROR(IF(ISBLANK([1]NLFsmonkeyCompl!AD28),"",[1]NLFsmonkeyCompl!AD28),"")</f>
        <v/>
      </c>
      <c r="AC27" s="8" t="str">
        <f>IFERROR(IF(ISBLANK([1]NLFsmonkeyCompl!AE28),"",[1]NLFsmonkeyCompl!AE28),"")</f>
        <v/>
      </c>
      <c r="AD27" s="8" t="str">
        <f>IFERROR(IF(ISBLANK([1]NLFsmonkeyCompl!AF28),"",[1]NLFsmonkeyCompl!AF28),"")</f>
        <v/>
      </c>
      <c r="AE27" s="8" t="str">
        <f>IFERROR(IF(ISBLANK([1]NLFsmonkeyCompl!AG28),"",[1]NLFsmonkeyCompl!AG28),"")</f>
        <v/>
      </c>
      <c r="AF27" s="8" t="str">
        <f>IFERROR(IF(ISBLANK([1]NLFsmonkeyCompl!AH28),"",[1]NLFsmonkeyCompl!AH28),"")</f>
        <v>Increase</v>
      </c>
      <c r="AG27" s="8" t="str">
        <f>IFERROR(IF(ISBLANK([1]NLFsmonkeyCompl!AI28),"",[1]NLFsmonkeyCompl!AI28),"")</f>
        <v>No</v>
      </c>
    </row>
    <row r="28" spans="1:33" x14ac:dyDescent="0.2">
      <c r="A28" s="5" t="str">
        <f>IF(OR(ISTEXT([1]NLFsmonkeyCompl!J29),ISNUMBER([1]NLFsmonkeyCompl!J29)),[1]NLFsmonkeyCompl!J29,"")</f>
        <v>Genesta Nordic Real Estate Fund II FCP-SIF</v>
      </c>
      <c r="B28" s="6" t="str">
        <f>IF(OR(ISTEXT([1]NLFsmonkeyCompl!K29),ISNUMBER([1]NLFsmonkeyCompl!K29)),[1]NLFsmonkeyCompl!K29,"")</f>
        <v>Genesta Nordic Real Estate Fund II FCP-SIF</v>
      </c>
      <c r="C28" s="6">
        <v>18282</v>
      </c>
      <c r="D28" s="6" t="str">
        <f>IFERROR(INDEX([1]VehiclesUniverse!$B$2:$EU$700,MATCH(C28,[1]VehiclesUniverse!$A$2:$A$700,0),MATCH($D$1,[1]VehiclesUniverse!$B$1:$EU$1,0)),"")</f>
        <v>Value-added</v>
      </c>
      <c r="E28" s="6" t="str">
        <f>IFERROR(INDEX([1]VehiclesUniverse!$B$2:$EU$700,MATCH(C28,[1]VehiclesUniverse!$A$2:$A$700,0),MATCH($E$1,[1]VehiclesUniverse!$B$1:$EU$1,0)),"")</f>
        <v>multi country</v>
      </c>
      <c r="F28" s="6" t="str">
        <f>IF(IFERROR(INDEX([1]VehiclesUniverse!$B$2:$EU$700,MATCH($C28,[1]VehiclesUniverse!$A$2:$A$700,0),MATCH($F$1,[1]VehiclesUniverse!$B$1:$EU$1,0)),"")&lt;&gt;0,(IFERROR(INDEX([1]VehiclesUniverse!$B$2:$EU$700,MATCH($C28,[1]VehiclesUniverse!$A$2:$A$700,0),MATCH($F$1,[1]VehiclesUniverse!$B$1:$EU$1,0)),"")),"")</f>
        <v/>
      </c>
      <c r="G28" s="6" t="str">
        <f>IF(ISBLANK([1]NLFsmonkeyCompl!L29),"",[1]NLFsmonkeyCompl!L29)</f>
        <v>Closed end</v>
      </c>
      <c r="H28" s="6">
        <f>IFERROR(INDEX([1]VehiclesUniverse!$B$2:$EU$700,MATCH(C28,[1]VehiclesUniverse!$A$2:$A$700,0),MATCH($H$1,[1]VehiclesUniverse!$B$1:$EU$1,0)),"")</f>
        <v>2015</v>
      </c>
      <c r="I28" s="6" t="str">
        <f>IF(ISBLANK([1]NLFsmonkeyCompl!M29),"",[1]NLFsmonkeyCompl!M29)</f>
        <v>No</v>
      </c>
      <c r="J28" s="6" t="str">
        <f>IF(ISBLANK([1]NLFsmonkeyCompl!N29),"",[1]NLFsmonkeyCompl!N29)</f>
        <v>Other (please specify)</v>
      </c>
      <c r="K28" s="6" t="str">
        <f>IF(ISBLANK([1]NLFsmonkeyCompl!O29),"",[1]NLFsmonkeyCompl!O29)</f>
        <v>No capital raising required</v>
      </c>
      <c r="L28" s="6" t="str">
        <f>IFERROR(INDEX([1]VehiclesUniverse!$B$2:$EU$700,MATCH(C28,[1]VehiclesUniverse!$A$2:$A$700,0),MATCH($L$1,[1]VehiclesUniverse!$B$1:$EU$1,0)),"")</f>
        <v>EUR</v>
      </c>
      <c r="M28" s="16">
        <f>IFERROR(VLOOKUP(L28,'[1]Xrate31.12.20'!$K$2:$N$25,3,0),"")</f>
        <v>1</v>
      </c>
      <c r="N28" s="8" t="str">
        <f>IFERROR(IF(ISBLANK([1]NLFsmonkeyCompl!P29),"",[1]NLFsmonkeyCompl!P29*$M28),"")</f>
        <v/>
      </c>
      <c r="O28" s="8" t="str">
        <f>IFERROR(IF(ISBLANK([1]NLFsmonkeyCompl!Q29),"",[1]NLFsmonkeyCompl!Q29*$M28),"")</f>
        <v/>
      </c>
      <c r="P28" s="8" t="str">
        <f>IFERROR(IF(ISBLANK([1]NLFsmonkeyCompl!R29),"",[1]NLFsmonkeyCompl!R29*$M28),"")</f>
        <v/>
      </c>
      <c r="Q28" s="8" t="str">
        <f>IFERROR(IF(ISBLANK([1]NLFsmonkeyCompl!S29),"",[1]NLFsmonkeyCompl!S29*$M28),"")</f>
        <v/>
      </c>
      <c r="R28" s="8" t="str">
        <f>IFERROR(IF(ISBLANK([1]NLFsmonkeyCompl!T29),"",[1]NLFsmonkeyCompl!T29*$M28),"")</f>
        <v/>
      </c>
      <c r="S28" s="8" t="str">
        <f>IFERROR(IF(ISBLANK([1]NLFsmonkeyCompl!U29),"",[1]NLFsmonkeyCompl!U29*$M28),"")</f>
        <v/>
      </c>
      <c r="T28" s="8" t="str">
        <f>IFERROR(IF(ISBLANK([1]NLFsmonkeyCompl!V29),"",[1]NLFsmonkeyCompl!V29*$M28),"")</f>
        <v/>
      </c>
      <c r="U28" s="8" t="str">
        <f>IFERROR(IF(ISBLANK([1]NLFsmonkeyCompl!W29),"",[1]NLFsmonkeyCompl!W29*$M28),"")</f>
        <v/>
      </c>
      <c r="V28" s="8" t="str">
        <f>IFERROR(IF(ISBLANK([1]NLFsmonkeyCompl!X29),"",[1]NLFsmonkeyCompl!X29*$M28),"")</f>
        <v/>
      </c>
      <c r="W28" s="8" t="str">
        <f>IFERROR(IF(ISBLANK([1]NLFsmonkeyCompl!Y29),"",[1]NLFsmonkeyCompl!Y29*$M28),"")</f>
        <v/>
      </c>
      <c r="X28" s="8" t="str">
        <f>IFERROR(IF(ISBLANK([1]NLFsmonkeyCompl!Z29),"",[1]NLFsmonkeyCompl!Z29*$M28),"")</f>
        <v/>
      </c>
      <c r="Y28" s="8" t="str">
        <f>IFERROR(IF(ISBLANK([1]NLFsmonkeyCompl!AA29),"",[1]NLFsmonkeyCompl!AA29*$M28),"")</f>
        <v/>
      </c>
      <c r="Z28" s="8" t="str">
        <f>IFERROR(IF(ISBLANK([1]NLFsmonkeyCompl!AB29),"",[1]NLFsmonkeyCompl!AB29*$M28),"")</f>
        <v/>
      </c>
      <c r="AA28" s="8" t="str">
        <f>IFERROR(IF(ISBLANK([1]NLFsmonkeyCompl!AC29),"",[1]NLFsmonkeyCompl!AC29*$M28),"")</f>
        <v/>
      </c>
      <c r="AB28" s="8" t="str">
        <f>IFERROR(IF(ISBLANK([1]NLFsmonkeyCompl!AD29),"",[1]NLFsmonkeyCompl!AD29),"")</f>
        <v/>
      </c>
      <c r="AC28" s="8" t="str">
        <f>IFERROR(IF(ISBLANK([1]NLFsmonkeyCompl!AE29),"",[1]NLFsmonkeyCompl!AE29),"")</f>
        <v/>
      </c>
      <c r="AD28" s="8" t="str">
        <f>IFERROR(IF(ISBLANK([1]NLFsmonkeyCompl!AF29),"",[1]NLFsmonkeyCompl!AF29),"")</f>
        <v/>
      </c>
      <c r="AE28" s="8" t="str">
        <f>IFERROR(IF(ISBLANK([1]NLFsmonkeyCompl!AG29),"",[1]NLFsmonkeyCompl!AG29),"")</f>
        <v/>
      </c>
      <c r="AF28" s="8" t="str">
        <f>IFERROR(IF(ISBLANK([1]NLFsmonkeyCompl!AH29),"",[1]NLFsmonkeyCompl!AH29),"")</f>
        <v>Increase</v>
      </c>
      <c r="AG28" s="8" t="str">
        <f>IFERROR(IF(ISBLANK([1]NLFsmonkeyCompl!AI29),"",[1]NLFsmonkeyCompl!AI29),"")</f>
        <v>No</v>
      </c>
    </row>
    <row r="29" spans="1:33" x14ac:dyDescent="0.2">
      <c r="A29" s="5" t="str">
        <f>IF(OR(ISTEXT([1]NLFsmonkeyCompl!J30),ISNUMBER([1]NLFsmonkeyCompl!J30)),[1]NLFsmonkeyCompl!J30,"")</f>
        <v>Hearthstone Investment Management</v>
      </c>
      <c r="B29" s="6" t="str">
        <f>IF(OR(ISTEXT([1]NLFsmonkeyCompl!K30),ISNUMBER([1]NLFsmonkeyCompl!K30)),[1]NLFsmonkeyCompl!K30,"")</f>
        <v>Hearthstone Residential Fund 2</v>
      </c>
      <c r="C29" s="6">
        <v>19618</v>
      </c>
      <c r="D29" s="6" t="str">
        <f>IFERROR(INDEX([1]VehiclesUniverse!$B$2:$EU$700,MATCH(C29,[1]VehiclesUniverse!$A$2:$A$700,0),MATCH($D$1,[1]VehiclesUniverse!$B$1:$EU$1,0)),"")</f>
        <v>Core</v>
      </c>
      <c r="E29" s="6" t="str">
        <f>IFERROR(INDEX([1]VehiclesUniverse!$B$2:$EU$700,MATCH(C29,[1]VehiclesUniverse!$A$2:$A$700,0),MATCH($E$1,[1]VehiclesUniverse!$B$1:$EU$1,0)),"")</f>
        <v>single country</v>
      </c>
      <c r="F29" s="6" t="str">
        <f>IF(IFERROR(INDEX([1]VehiclesUniverse!$B$2:$EU$700,MATCH($C29,[1]VehiclesUniverse!$A$2:$A$700,0),MATCH($F$1,[1]VehiclesUniverse!$B$1:$EU$1,0)),"")&lt;&gt;0,(IFERROR(INDEX([1]VehiclesUniverse!$B$2:$EU$700,MATCH($C29,[1]VehiclesUniverse!$A$2:$A$700,0),MATCH($F$1,[1]VehiclesUniverse!$B$1:$EU$1,0)),"")),"")</f>
        <v>United Kingdom</v>
      </c>
      <c r="G29" s="6" t="str">
        <f>IF(ISBLANK([1]NLFsmonkeyCompl!L30),"",[1]NLFsmonkeyCompl!L30)</f>
        <v>Closed end</v>
      </c>
      <c r="H29" s="6">
        <f>IFERROR(INDEX([1]VehiclesUniverse!$B$2:$EU$700,MATCH(C29,[1]VehiclesUniverse!$A$2:$A$700,0),MATCH($H$1,[1]VehiclesUniverse!$B$1:$EU$1,0)),"")</f>
        <v>2020</v>
      </c>
      <c r="I29" s="6" t="str">
        <f>IF(ISBLANK([1]NLFsmonkeyCompl!M30),"",[1]NLFsmonkeyCompl!M30)</f>
        <v>Yes</v>
      </c>
      <c r="J29" s="6" t="str">
        <f>IF(ISBLANK([1]NLFsmonkeyCompl!N30),"",[1]NLFsmonkeyCompl!N30)</f>
        <v/>
      </c>
      <c r="K29" s="6" t="str">
        <f>IF(ISBLANK([1]NLFsmonkeyCompl!O30),"",[1]NLFsmonkeyCompl!O30)</f>
        <v/>
      </c>
      <c r="L29" s="6" t="str">
        <f>IFERROR(INDEX([1]VehiclesUniverse!$B$2:$EU$700,MATCH(C29,[1]VehiclesUniverse!$A$2:$A$700,0),MATCH($L$1,[1]VehiclesUniverse!$B$1:$EU$1,0)),"")</f>
        <v>GBP</v>
      </c>
      <c r="M29" s="16">
        <f>IFERROR(VLOOKUP(L29,'[1]Xrate31.12.20'!$K$2:$N$25,3,0),"")</f>
        <v>1.1130927885999999</v>
      </c>
      <c r="N29" s="8">
        <f>IFERROR(IF(ISBLANK([1]NLFsmonkeyCompl!P30),"",[1]NLFsmonkeyCompl!P30*$M29),"")</f>
        <v>107.97000049419999</v>
      </c>
      <c r="O29" s="8">
        <f>IFERROR(IF(ISBLANK([1]NLFsmonkeyCompl!Q30),"",[1]NLFsmonkeyCompl!Q30*$M29),"")</f>
        <v>107.97000049419999</v>
      </c>
      <c r="P29" s="8" t="str">
        <f>IFERROR(IF(ISBLANK([1]NLFsmonkeyCompl!R30),"",[1]NLFsmonkeyCompl!R30*$M29),"")</f>
        <v/>
      </c>
      <c r="Q29" s="8" t="str">
        <f>IFERROR(IF(ISBLANK([1]NLFsmonkeyCompl!S30),"",[1]NLFsmonkeyCompl!S30*$M29),"")</f>
        <v/>
      </c>
      <c r="R29" s="8" t="str">
        <f>IFERROR(IF(ISBLANK([1]NLFsmonkeyCompl!T30),"",[1]NLFsmonkeyCompl!T30*$M29),"")</f>
        <v/>
      </c>
      <c r="S29" s="8" t="str">
        <f>IFERROR(IF(ISBLANK([1]NLFsmonkeyCompl!U30),"",[1]NLFsmonkeyCompl!U30*$M29),"")</f>
        <v/>
      </c>
      <c r="T29" s="8" t="str">
        <f>IFERROR(IF(ISBLANK([1]NLFsmonkeyCompl!V30),"",[1]NLFsmonkeyCompl!V30*$M29),"")</f>
        <v/>
      </c>
      <c r="U29" s="8" t="str">
        <f>IFERROR(IF(ISBLANK([1]NLFsmonkeyCompl!W30),"",[1]NLFsmonkeyCompl!W30*$M29),"")</f>
        <v/>
      </c>
      <c r="V29" s="8" t="str">
        <f>IFERROR(IF(ISBLANK([1]NLFsmonkeyCompl!X30),"",[1]NLFsmonkeyCompl!X30*$M29),"")</f>
        <v/>
      </c>
      <c r="W29" s="8">
        <f>IFERROR(IF(ISBLANK([1]NLFsmonkeyCompl!Y30),"",[1]NLFsmonkeyCompl!Y30*$M29),"")</f>
        <v>107.97000049419999</v>
      </c>
      <c r="X29" s="8" t="str">
        <f>IFERROR(IF(ISBLANK([1]NLFsmonkeyCompl!Z30),"",[1]NLFsmonkeyCompl!Z30*$M29),"")</f>
        <v/>
      </c>
      <c r="Y29" s="8" t="str">
        <f>IFERROR(IF(ISBLANK([1]NLFsmonkeyCompl!AA30),"",[1]NLFsmonkeyCompl!AA30*$M29),"")</f>
        <v/>
      </c>
      <c r="Z29" s="8" t="str">
        <f>IFERROR(IF(ISBLANK([1]NLFsmonkeyCompl!AB30),"",[1]NLFsmonkeyCompl!AB30*$M29),"")</f>
        <v/>
      </c>
      <c r="AA29" s="8" t="str">
        <f>IFERROR(IF(ISBLANK([1]NLFsmonkeyCompl!AC30),"",[1]NLFsmonkeyCompl!AC30*$M29),"")</f>
        <v/>
      </c>
      <c r="AB29" s="8" t="str">
        <f>IFERROR(IF(ISBLANK([1]NLFsmonkeyCompl!AD30),"",[1]NLFsmonkeyCompl!AD30),"")</f>
        <v/>
      </c>
      <c r="AC29" s="8" t="str">
        <f>IFERROR(IF(ISBLANK([1]NLFsmonkeyCompl!AE30),"",[1]NLFsmonkeyCompl!AE30),"")</f>
        <v/>
      </c>
      <c r="AD29" s="8">
        <f>IFERROR(IF(ISBLANK([1]NLFsmonkeyCompl!AF30),"",[1]NLFsmonkeyCompl!AF30),"")</f>
        <v>100</v>
      </c>
      <c r="AE29" s="8" t="str">
        <f>IFERROR(IF(ISBLANK([1]NLFsmonkeyCompl!AG30),"",[1]NLFsmonkeyCompl!AG30),"")</f>
        <v/>
      </c>
      <c r="AF29" s="8" t="str">
        <f>IFERROR(IF(ISBLANK([1]NLFsmonkeyCompl!AH30),"",[1]NLFsmonkeyCompl!AH30),"")</f>
        <v>Increase</v>
      </c>
      <c r="AG29" s="8" t="str">
        <f>IFERROR(IF(ISBLANK([1]NLFsmonkeyCompl!AI30),"",[1]NLFsmonkeyCompl!AI30),"")</f>
        <v>Yes</v>
      </c>
    </row>
    <row r="30" spans="1:33" x14ac:dyDescent="0.2">
      <c r="A30" s="5" t="str">
        <f>IF(OR(ISTEXT([1]NLFsmonkeyCompl!J31),ISNUMBER([1]NLFsmonkeyCompl!J31)),[1]NLFsmonkeyCompl!J31,"")</f>
        <v>Prologis</v>
      </c>
      <c r="B30" s="6" t="str">
        <f>IF(OR(ISTEXT([1]NLFsmonkeyCompl!K31),ISNUMBER([1]NLFsmonkeyCompl!K31)),[1]NLFsmonkeyCompl!K31,"")</f>
        <v>Prologis Targeted U.S. Logistics Fund, L.P.</v>
      </c>
      <c r="C30" s="6" t="s">
        <v>42</v>
      </c>
      <c r="D30" s="6" t="str">
        <f>IFERROR(INDEX([1]VehiclesUniverse!$B$2:$EU$700,MATCH(C30,[1]VehiclesUniverse!$A$2:$A$700,0),MATCH($D$1,[1]VehiclesUniverse!$B$1:$EU$1,0)),"")</f>
        <v/>
      </c>
      <c r="E30" s="6" t="str">
        <f>IFERROR(INDEX([1]VehiclesUniverse!$B$2:$EU$700,MATCH(C30,[1]VehiclesUniverse!$A$2:$A$700,0),MATCH($E$1,[1]VehiclesUniverse!$B$1:$EU$1,0)),"")</f>
        <v/>
      </c>
      <c r="F30" s="6" t="str">
        <f>IF(IFERROR(INDEX([1]VehiclesUniverse!$B$2:$EU$700,MATCH($C30,[1]VehiclesUniverse!$A$2:$A$700,0),MATCH($F$1,[1]VehiclesUniverse!$B$1:$EU$1,0)),"")&lt;&gt;0,(IFERROR(INDEX([1]VehiclesUniverse!$B$2:$EU$700,MATCH($C30,[1]VehiclesUniverse!$A$2:$A$700,0),MATCH($F$1,[1]VehiclesUniverse!$B$1:$EU$1,0)),"")),"")</f>
        <v/>
      </c>
      <c r="G30" s="6" t="str">
        <f>IF(ISBLANK([1]NLFsmonkeyCompl!L31),"",[1]NLFsmonkeyCompl!L31)</f>
        <v>Open end</v>
      </c>
      <c r="H30" s="6" t="str">
        <f>IFERROR(INDEX([1]VehiclesUniverse!$B$2:$EU$700,MATCH(C30,[1]VehiclesUniverse!$A$2:$A$700,0),MATCH($H$1,[1]VehiclesUniverse!$B$1:$EU$1,0)),"")</f>
        <v/>
      </c>
      <c r="I30" s="6" t="str">
        <f>IF(ISBLANK([1]NLFsmonkeyCompl!M31),"",[1]NLFsmonkeyCompl!M31)</f>
        <v>Yes</v>
      </c>
      <c r="J30" s="6" t="str">
        <f>IF(ISBLANK([1]NLFsmonkeyCompl!N31),"",[1]NLFsmonkeyCompl!N31)</f>
        <v/>
      </c>
      <c r="K30" s="6" t="str">
        <f>IF(ISBLANK([1]NLFsmonkeyCompl!O31),"",[1]NLFsmonkeyCompl!O31)</f>
        <v/>
      </c>
      <c r="L30" s="6" t="str">
        <f>IFERROR(INDEX([1]VehiclesUniverse!$B$2:$EU$700,MATCH(C30,[1]VehiclesUniverse!$A$2:$A$700,0),MATCH($L$1,[1]VehiclesUniverse!$B$1:$EU$1,0)),"")</f>
        <v/>
      </c>
      <c r="M30" s="16" t="str">
        <f>IFERROR(VLOOKUP(L30,'[1]Xrate31.12.20'!$K$2:$N$25,3,0),"")</f>
        <v/>
      </c>
      <c r="N30" s="8" t="str">
        <f>IFERROR(IF(ISBLANK([1]NLFsmonkeyCompl!P31),"",[1]NLFsmonkeyCompl!P31*$M30),"")</f>
        <v/>
      </c>
      <c r="O30" s="8" t="str">
        <f>IFERROR(IF(ISBLANK([1]NLFsmonkeyCompl!Q31),"",[1]NLFsmonkeyCompl!Q31*$M30),"")</f>
        <v/>
      </c>
      <c r="P30" s="8" t="str">
        <f>IFERROR(IF(ISBLANK([1]NLFsmonkeyCompl!R31),"",[1]NLFsmonkeyCompl!R31*$M30),"")</f>
        <v/>
      </c>
      <c r="Q30" s="8" t="str">
        <f>IFERROR(IF(ISBLANK([1]NLFsmonkeyCompl!S31),"",[1]NLFsmonkeyCompl!S31*$M30),"")</f>
        <v/>
      </c>
      <c r="R30" s="8" t="str">
        <f>IFERROR(IF(ISBLANK([1]NLFsmonkeyCompl!T31),"",[1]NLFsmonkeyCompl!T31*$M30),"")</f>
        <v/>
      </c>
      <c r="S30" s="8" t="str">
        <f>IFERROR(IF(ISBLANK([1]NLFsmonkeyCompl!U31),"",[1]NLFsmonkeyCompl!U31*$M30),"")</f>
        <v/>
      </c>
      <c r="T30" s="8" t="str">
        <f>IFERROR(IF(ISBLANK([1]NLFsmonkeyCompl!V31),"",[1]NLFsmonkeyCompl!V31*$M30),"")</f>
        <v/>
      </c>
      <c r="U30" s="8" t="str">
        <f>IFERROR(IF(ISBLANK([1]NLFsmonkeyCompl!W31),"",[1]NLFsmonkeyCompl!W31*$M30),"")</f>
        <v/>
      </c>
      <c r="V30" s="8" t="str">
        <f>IFERROR(IF(ISBLANK([1]NLFsmonkeyCompl!X31),"",[1]NLFsmonkeyCompl!X31*$M30),"")</f>
        <v/>
      </c>
      <c r="W30" s="8" t="str">
        <f>IFERROR(IF(ISBLANK([1]NLFsmonkeyCompl!Y31),"",[1]NLFsmonkeyCompl!Y31*$M30),"")</f>
        <v/>
      </c>
      <c r="X30" s="8" t="str">
        <f>IFERROR(IF(ISBLANK([1]NLFsmonkeyCompl!Z31),"",[1]NLFsmonkeyCompl!Z31*$M30),"")</f>
        <v/>
      </c>
      <c r="Y30" s="8" t="str">
        <f>IFERROR(IF(ISBLANK([1]NLFsmonkeyCompl!AA31),"",[1]NLFsmonkeyCompl!AA31*$M30),"")</f>
        <v/>
      </c>
      <c r="Z30" s="8" t="str">
        <f>IFERROR(IF(ISBLANK([1]NLFsmonkeyCompl!AB31),"",[1]NLFsmonkeyCompl!AB31*$M30),"")</f>
        <v/>
      </c>
      <c r="AA30" s="8" t="str">
        <f>IFERROR(IF(ISBLANK([1]NLFsmonkeyCompl!AC31),"",[1]NLFsmonkeyCompl!AC31*$M30),"")</f>
        <v/>
      </c>
      <c r="AB30" s="8" t="str">
        <f>IFERROR(IF(ISBLANK([1]NLFsmonkeyCompl!AD31),"",[1]NLFsmonkeyCompl!AD31),"")</f>
        <v/>
      </c>
      <c r="AC30" s="8" t="str">
        <f>IFERROR(IF(ISBLANK([1]NLFsmonkeyCompl!AE31),"",[1]NLFsmonkeyCompl!AE31),"")</f>
        <v/>
      </c>
      <c r="AD30" s="8">
        <f>IFERROR(IF(ISBLANK([1]NLFsmonkeyCompl!AF31),"",[1]NLFsmonkeyCompl!AF31),"")</f>
        <v>100</v>
      </c>
      <c r="AE30" s="8" t="str">
        <f>IFERROR(IF(ISBLANK([1]NLFsmonkeyCompl!AG31),"",[1]NLFsmonkeyCompl!AG31),"")</f>
        <v/>
      </c>
      <c r="AF30" s="8" t="str">
        <f>IFERROR(IF(ISBLANK([1]NLFsmonkeyCompl!AH31),"",[1]NLFsmonkeyCompl!AH31),"")</f>
        <v>Increase</v>
      </c>
      <c r="AG30" s="8" t="str">
        <f>IFERROR(IF(ISBLANK([1]NLFsmonkeyCompl!AI31),"",[1]NLFsmonkeyCompl!AI31),"")</f>
        <v>Yes</v>
      </c>
    </row>
    <row r="31" spans="1:33" x14ac:dyDescent="0.2">
      <c r="A31" s="5" t="str">
        <f>IF(OR(ISTEXT([1]NLFsmonkeyCompl!J32),ISNUMBER([1]NLFsmonkeyCompl!J32)),[1]NLFsmonkeyCompl!J32,"")</f>
        <v>Prologis</v>
      </c>
      <c r="B31" s="6" t="str">
        <f>IF(OR(ISTEXT([1]NLFsmonkeyCompl!K32),ISNUMBER([1]NLFsmonkeyCompl!K32)),[1]NLFsmonkeyCompl!K32,"")</f>
        <v>Prologis China Core Logistics Fund, LP</v>
      </c>
      <c r="C31" s="6" t="s">
        <v>43</v>
      </c>
      <c r="D31" s="6" t="str">
        <f>IFERROR(INDEX([1]VehiclesUniverse!$B$2:$EU$700,MATCH(C31,[1]VehiclesUniverse!$A$2:$A$700,0),MATCH($D$1,[1]VehiclesUniverse!$B$1:$EU$1,0)),"")</f>
        <v/>
      </c>
      <c r="E31" s="6" t="str">
        <f>IFERROR(INDEX([1]VehiclesUniverse!$B$2:$EU$700,MATCH(C31,[1]VehiclesUniverse!$A$2:$A$700,0),MATCH($E$1,[1]VehiclesUniverse!$B$1:$EU$1,0)),"")</f>
        <v/>
      </c>
      <c r="F31" s="6" t="str">
        <f>IF(IFERROR(INDEX([1]VehiclesUniverse!$B$2:$EU$700,MATCH($C31,[1]VehiclesUniverse!$A$2:$A$700,0),MATCH($F$1,[1]VehiclesUniverse!$B$1:$EU$1,0)),"")&lt;&gt;0,(IFERROR(INDEX([1]VehiclesUniverse!$B$2:$EU$700,MATCH($C31,[1]VehiclesUniverse!$A$2:$A$700,0),MATCH($F$1,[1]VehiclesUniverse!$B$1:$EU$1,0)),"")),"")</f>
        <v/>
      </c>
      <c r="G31" s="6" t="str">
        <f>IF(ISBLANK([1]NLFsmonkeyCompl!L32),"",[1]NLFsmonkeyCompl!L32)</f>
        <v>Open end</v>
      </c>
      <c r="H31" s="6" t="str">
        <f>IFERROR(INDEX([1]VehiclesUniverse!$B$2:$EU$700,MATCH(C31,[1]VehiclesUniverse!$A$2:$A$700,0),MATCH($H$1,[1]VehiclesUniverse!$B$1:$EU$1,0)),"")</f>
        <v/>
      </c>
      <c r="I31" s="6" t="str">
        <f>IF(ISBLANK([1]NLFsmonkeyCompl!M32),"",[1]NLFsmonkeyCompl!M32)</f>
        <v>Yes</v>
      </c>
      <c r="J31" s="6" t="str">
        <f>IF(ISBLANK([1]NLFsmonkeyCompl!N32),"",[1]NLFsmonkeyCompl!N32)</f>
        <v/>
      </c>
      <c r="K31" s="6" t="str">
        <f>IF(ISBLANK([1]NLFsmonkeyCompl!O32),"",[1]NLFsmonkeyCompl!O32)</f>
        <v/>
      </c>
      <c r="L31" s="6" t="str">
        <f>IFERROR(INDEX([1]VehiclesUniverse!$B$2:$EU$700,MATCH(C31,[1]VehiclesUniverse!$A$2:$A$700,0),MATCH($L$1,[1]VehiclesUniverse!$B$1:$EU$1,0)),"")</f>
        <v/>
      </c>
      <c r="M31" s="16" t="str">
        <f>IFERROR(VLOOKUP(L31,'[1]Xrate31.12.20'!$K$2:$N$25,3,0),"")</f>
        <v/>
      </c>
      <c r="N31" s="8" t="str">
        <f>IFERROR(IF(ISBLANK([1]NLFsmonkeyCompl!P32),"",[1]NLFsmonkeyCompl!P32*$M31),"")</f>
        <v/>
      </c>
      <c r="O31" s="8" t="str">
        <f>IFERROR(IF(ISBLANK([1]NLFsmonkeyCompl!Q32),"",[1]NLFsmonkeyCompl!Q32*$M31),"")</f>
        <v/>
      </c>
      <c r="P31" s="8" t="str">
        <f>IFERROR(IF(ISBLANK([1]NLFsmonkeyCompl!R32),"",[1]NLFsmonkeyCompl!R32*$M31),"")</f>
        <v/>
      </c>
      <c r="Q31" s="8" t="str">
        <f>IFERROR(IF(ISBLANK([1]NLFsmonkeyCompl!S32),"",[1]NLFsmonkeyCompl!S32*$M31),"")</f>
        <v/>
      </c>
      <c r="R31" s="8" t="str">
        <f>IFERROR(IF(ISBLANK([1]NLFsmonkeyCompl!T32),"",[1]NLFsmonkeyCompl!T32*$M31),"")</f>
        <v/>
      </c>
      <c r="S31" s="8" t="str">
        <f>IFERROR(IF(ISBLANK([1]NLFsmonkeyCompl!U32),"",[1]NLFsmonkeyCompl!U32*$M31),"")</f>
        <v/>
      </c>
      <c r="T31" s="8" t="str">
        <f>IFERROR(IF(ISBLANK([1]NLFsmonkeyCompl!V32),"",[1]NLFsmonkeyCompl!V32*$M31),"")</f>
        <v/>
      </c>
      <c r="U31" s="8" t="str">
        <f>IFERROR(IF(ISBLANK([1]NLFsmonkeyCompl!W32),"",[1]NLFsmonkeyCompl!W32*$M31),"")</f>
        <v/>
      </c>
      <c r="V31" s="8" t="str">
        <f>IFERROR(IF(ISBLANK([1]NLFsmonkeyCompl!X32),"",[1]NLFsmonkeyCompl!X32*$M31),"")</f>
        <v/>
      </c>
      <c r="W31" s="8" t="str">
        <f>IFERROR(IF(ISBLANK([1]NLFsmonkeyCompl!Y32),"",[1]NLFsmonkeyCompl!Y32*$M31),"")</f>
        <v/>
      </c>
      <c r="X31" s="8" t="str">
        <f>IFERROR(IF(ISBLANK([1]NLFsmonkeyCompl!Z32),"",[1]NLFsmonkeyCompl!Z32*$M31),"")</f>
        <v/>
      </c>
      <c r="Y31" s="8" t="str">
        <f>IFERROR(IF(ISBLANK([1]NLFsmonkeyCompl!AA32),"",[1]NLFsmonkeyCompl!AA32*$M31),"")</f>
        <v/>
      </c>
      <c r="Z31" s="8" t="str">
        <f>IFERROR(IF(ISBLANK([1]NLFsmonkeyCompl!AB32),"",[1]NLFsmonkeyCompl!AB32*$M31),"")</f>
        <v/>
      </c>
      <c r="AA31" s="8" t="str">
        <f>IFERROR(IF(ISBLANK([1]NLFsmonkeyCompl!AC32),"",[1]NLFsmonkeyCompl!AC32*$M31),"")</f>
        <v/>
      </c>
      <c r="AB31" s="8" t="str">
        <f>IFERROR(IF(ISBLANK([1]NLFsmonkeyCompl!AD32),"",[1]NLFsmonkeyCompl!AD32),"")</f>
        <v/>
      </c>
      <c r="AC31" s="8" t="str">
        <f>IFERROR(IF(ISBLANK([1]NLFsmonkeyCompl!AE32),"",[1]NLFsmonkeyCompl!AE32),"")</f>
        <v/>
      </c>
      <c r="AD31" s="8">
        <f>IFERROR(IF(ISBLANK([1]NLFsmonkeyCompl!AF32),"",[1]NLFsmonkeyCompl!AF32),"")</f>
        <v>100</v>
      </c>
      <c r="AE31" s="8" t="str">
        <f>IFERROR(IF(ISBLANK([1]NLFsmonkeyCompl!AG32),"",[1]NLFsmonkeyCompl!AG32),"")</f>
        <v/>
      </c>
      <c r="AF31" s="8" t="str">
        <f>IFERROR(IF(ISBLANK([1]NLFsmonkeyCompl!AH32),"",[1]NLFsmonkeyCompl!AH32),"")</f>
        <v>Increase</v>
      </c>
      <c r="AG31" s="8" t="str">
        <f>IFERROR(IF(ISBLANK([1]NLFsmonkeyCompl!AI32),"",[1]NLFsmonkeyCompl!AI32),"")</f>
        <v>Yes</v>
      </c>
    </row>
    <row r="32" spans="1:33" x14ac:dyDescent="0.2">
      <c r="A32" s="5" t="str">
        <f>IF(OR(ISTEXT([1]NLFsmonkeyCompl!J33),ISNUMBER([1]NLFsmonkeyCompl!J33)),[1]NLFsmonkeyCompl!J33,"")</f>
        <v>Prologis</v>
      </c>
      <c r="B32" s="6" t="str">
        <f>IF(OR(ISTEXT([1]NLFsmonkeyCompl!K33),ISNUMBER([1]NLFsmonkeyCompl!K33)),[1]NLFsmonkeyCompl!K33,"")</f>
        <v>Prologis European Logistics Fund, FCP-FIS</v>
      </c>
      <c r="C32" s="6">
        <v>375</v>
      </c>
      <c r="D32" s="6" t="str">
        <f>IFERROR(INDEX([1]VehiclesUniverse!$B$2:$EU$700,MATCH(C32,[1]VehiclesUniverse!$A$2:$A$700,0),MATCH($D$1,[1]VehiclesUniverse!$B$1:$EU$1,0)),"")</f>
        <v>Core</v>
      </c>
      <c r="E32" s="6" t="str">
        <f>IFERROR(INDEX([1]VehiclesUniverse!$B$2:$EU$700,MATCH(C32,[1]VehiclesUniverse!$A$2:$A$700,0),MATCH($E$1,[1]VehiclesUniverse!$B$1:$EU$1,0)),"")</f>
        <v>multi country</v>
      </c>
      <c r="F32" s="6" t="str">
        <f>IF(IFERROR(INDEX([1]VehiclesUniverse!$B$2:$EU$700,MATCH($C32,[1]VehiclesUniverse!$A$2:$A$700,0),MATCH($F$1,[1]VehiclesUniverse!$B$1:$EU$1,0)),"")&lt;&gt;0,(IFERROR(INDEX([1]VehiclesUniverse!$B$2:$EU$700,MATCH($C32,[1]VehiclesUniverse!$A$2:$A$700,0),MATCH($F$1,[1]VehiclesUniverse!$B$1:$EU$1,0)),"")),"")</f>
        <v/>
      </c>
      <c r="G32" s="6" t="str">
        <f>IF(ISBLANK([1]NLFsmonkeyCompl!L33),"",[1]NLFsmonkeyCompl!L33)</f>
        <v>Open end</v>
      </c>
      <c r="H32" s="6">
        <f>IFERROR(INDEX([1]VehiclesUniverse!$B$2:$EU$700,MATCH(C32,[1]VehiclesUniverse!$A$2:$A$700,0),MATCH($H$1,[1]VehiclesUniverse!$B$1:$EU$1,0)),"")</f>
        <v>2007</v>
      </c>
      <c r="I32" s="6" t="str">
        <f>IF(ISBLANK([1]NLFsmonkeyCompl!M33),"",[1]NLFsmonkeyCompl!M33)</f>
        <v>Yes</v>
      </c>
      <c r="J32" s="6" t="str">
        <f>IF(ISBLANK([1]NLFsmonkeyCompl!N33),"",[1]NLFsmonkeyCompl!N33)</f>
        <v/>
      </c>
      <c r="K32" s="6" t="str">
        <f>IF(ISBLANK([1]NLFsmonkeyCompl!O33),"",[1]NLFsmonkeyCompl!O33)</f>
        <v/>
      </c>
      <c r="L32" s="6" t="str">
        <f>IFERROR(INDEX([1]VehiclesUniverse!$B$2:$EU$700,MATCH(C32,[1]VehiclesUniverse!$A$2:$A$700,0),MATCH($L$1,[1]VehiclesUniverse!$B$1:$EU$1,0)),"")</f>
        <v>EUR</v>
      </c>
      <c r="M32" s="16">
        <f>IFERROR(VLOOKUP(L32,'[1]Xrate31.12.20'!$K$2:$N$25,3,0),"")</f>
        <v>1</v>
      </c>
      <c r="N32" s="8">
        <f>IFERROR(IF(ISBLANK([1]NLFsmonkeyCompl!P33),"",[1]NLFsmonkeyCompl!P33*$M32),"")</f>
        <v>1151</v>
      </c>
      <c r="O32" s="8">
        <f>IFERROR(IF(ISBLANK([1]NLFsmonkeyCompl!Q33),"",[1]NLFsmonkeyCompl!Q33*$M32),"")</f>
        <v>196</v>
      </c>
      <c r="P32" s="8">
        <f>IFERROR(IF(ISBLANK([1]NLFsmonkeyCompl!R33),"",[1]NLFsmonkeyCompl!R33*$M32),"")</f>
        <v>185</v>
      </c>
      <c r="Q32" s="8">
        <f>IFERROR(IF(ISBLANK([1]NLFsmonkeyCompl!S33),"",[1]NLFsmonkeyCompl!S33*$M32),"")</f>
        <v>3</v>
      </c>
      <c r="R32" s="8" t="str">
        <f>IFERROR(IF(ISBLANK([1]NLFsmonkeyCompl!T33),"",[1]NLFsmonkeyCompl!T33*$M32),"")</f>
        <v/>
      </c>
      <c r="S32" s="8">
        <f>IFERROR(IF(ISBLANK([1]NLFsmonkeyCompl!U33),"",[1]NLFsmonkeyCompl!U33*$M32),"")</f>
        <v>279</v>
      </c>
      <c r="T32" s="8">
        <f>IFERROR(IF(ISBLANK([1]NLFsmonkeyCompl!V33),"",[1]NLFsmonkeyCompl!V33*$M32),"")</f>
        <v>200</v>
      </c>
      <c r="U32" s="8" t="str">
        <f>IFERROR(IF(ISBLANK([1]NLFsmonkeyCompl!W33),"",[1]NLFsmonkeyCompl!W33*$M32),"")</f>
        <v/>
      </c>
      <c r="V32" s="8">
        <f>IFERROR(IF(ISBLANK([1]NLFsmonkeyCompl!X33),"",[1]NLFsmonkeyCompl!X33*$M32),"")</f>
        <v>288</v>
      </c>
      <c r="W32" s="8">
        <f>IFERROR(IF(ISBLANK([1]NLFsmonkeyCompl!Y33),"",[1]NLFsmonkeyCompl!Y33*$M32),"")</f>
        <v>822</v>
      </c>
      <c r="X32" s="8">
        <f>IFERROR(IF(ISBLANK([1]NLFsmonkeyCompl!Z33),"",[1]NLFsmonkeyCompl!Z33*$M32),"")</f>
        <v>329</v>
      </c>
      <c r="Y32" s="8" t="str">
        <f>IFERROR(IF(ISBLANK([1]NLFsmonkeyCompl!AA33),"",[1]NLFsmonkeyCompl!AA33*$M32),"")</f>
        <v/>
      </c>
      <c r="Z32" s="8" t="str">
        <f>IFERROR(IF(ISBLANK([1]NLFsmonkeyCompl!AB33),"",[1]NLFsmonkeyCompl!AB33*$M32),"")</f>
        <v/>
      </c>
      <c r="AA32" s="8" t="str">
        <f>IFERROR(IF(ISBLANK([1]NLFsmonkeyCompl!AC33),"",[1]NLFsmonkeyCompl!AC33*$M32),"")</f>
        <v/>
      </c>
      <c r="AB32" s="8" t="str">
        <f>IFERROR(IF(ISBLANK([1]NLFsmonkeyCompl!AD33),"",[1]NLFsmonkeyCompl!AD33),"")</f>
        <v/>
      </c>
      <c r="AC32" s="8" t="str">
        <f>IFERROR(IF(ISBLANK([1]NLFsmonkeyCompl!AE33),"",[1]NLFsmonkeyCompl!AE33),"")</f>
        <v/>
      </c>
      <c r="AD32" s="8">
        <f>IFERROR(IF(ISBLANK([1]NLFsmonkeyCompl!AF33),"",[1]NLFsmonkeyCompl!AF33),"")</f>
        <v>100</v>
      </c>
      <c r="AE32" s="8" t="str">
        <f>IFERROR(IF(ISBLANK([1]NLFsmonkeyCompl!AG33),"",[1]NLFsmonkeyCompl!AG33),"")</f>
        <v/>
      </c>
      <c r="AF32" s="8" t="str">
        <f>IFERROR(IF(ISBLANK([1]NLFsmonkeyCompl!AH33),"",[1]NLFsmonkeyCompl!AH33),"")</f>
        <v>Increase</v>
      </c>
      <c r="AG32" s="8" t="str">
        <f>IFERROR(IF(ISBLANK([1]NLFsmonkeyCompl!AI33),"",[1]NLFsmonkeyCompl!AI33),"")</f>
        <v>Yes</v>
      </c>
    </row>
    <row r="33" spans="1:33" x14ac:dyDescent="0.2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 t="str">
        <f>IFERROR(INDEX([1]VehiclesUniverse!$B$2:$EU$700,MATCH(C33,[1]VehiclesUniverse!$A$2:$A$700,0),MATCH($L$1,[1]VehiclesUniverse!$B$1:$EU$1,0)),"")</f>
        <v/>
      </c>
      <c r="M33" s="16" t="str">
        <f>IFERROR(VLOOKUP(L33,'[1]Xrate31.12.20'!$K$2:$N$25,3,0),"")</f>
        <v/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1:33" x14ac:dyDescent="0.2">
      <c r="A34" s="5" t="str">
        <f>IF(OR(ISTEXT([1]NLFsmonkeyCompl!J35),ISNUMBER([1]NLFsmonkeyCompl!J35)),[1]NLFsmonkeyCompl!J35,"")</f>
        <v>Harbert Management Corporation ("HMC")</v>
      </c>
      <c r="B34" s="6" t="str">
        <f>IF(OR(ISTEXT([1]NLFsmonkeyCompl!K35),ISNUMBER([1]NLFsmonkeyCompl!K35)),[1]NLFsmonkeyCompl!K35,"")</f>
        <v>Harbert United States Real Estate Fund VII, LP</v>
      </c>
      <c r="C34" s="6" t="s">
        <v>42</v>
      </c>
      <c r="D34" s="6" t="str">
        <f>IFERROR(INDEX([1]VehiclesUniverse!$B$2:$EU$700,MATCH(C34,[1]VehiclesUniverse!$A$2:$A$700,0),MATCH($D$1,[1]VehiclesUniverse!$B$1:$EU$1,0)),"")</f>
        <v/>
      </c>
      <c r="E34" s="6" t="str">
        <f>IFERROR(INDEX([1]VehiclesUniverse!$B$2:$EU$700,MATCH(C34,[1]VehiclesUniverse!$A$2:$A$700,0),MATCH($E$1,[1]VehiclesUniverse!$B$1:$EU$1,0)),"")</f>
        <v/>
      </c>
      <c r="F34" s="6" t="str">
        <f>IF(IFERROR(INDEX([1]VehiclesUniverse!$B$2:$EU$700,MATCH($C34,[1]VehiclesUniverse!$A$2:$A$700,0),MATCH($F$1,[1]VehiclesUniverse!$B$1:$EU$1,0)),"")&lt;&gt;0,(IFERROR(INDEX([1]VehiclesUniverse!$B$2:$EU$700,MATCH($C34,[1]VehiclesUniverse!$A$2:$A$700,0),MATCH($F$1,[1]VehiclesUniverse!$B$1:$EU$1,0)),"")),"")</f>
        <v/>
      </c>
      <c r="G34" s="6" t="str">
        <f>IF(ISBLANK([1]NLFsmonkeyCompl!L35),"",[1]NLFsmonkeyCompl!L35)</f>
        <v>Closed end</v>
      </c>
      <c r="H34" s="6" t="str">
        <f>IFERROR(INDEX([1]VehiclesUniverse!$B$2:$EU$700,MATCH(C34,[1]VehiclesUniverse!$A$2:$A$700,0),MATCH($H$1,[1]VehiclesUniverse!$B$1:$EU$1,0)),"")</f>
        <v/>
      </c>
      <c r="I34" s="6" t="str">
        <f>IF(ISBLANK([1]NLFsmonkeyCompl!M35),"",[1]NLFsmonkeyCompl!M35)</f>
        <v>Yes</v>
      </c>
      <c r="J34" s="6" t="str">
        <f>IF(ISBLANK([1]NLFsmonkeyCompl!N35),"",[1]NLFsmonkeyCompl!N35)</f>
        <v/>
      </c>
      <c r="K34" s="6" t="str">
        <f>IF(ISBLANK([1]NLFsmonkeyCompl!O35),"",[1]NLFsmonkeyCompl!O35)</f>
        <v/>
      </c>
      <c r="L34" s="6" t="str">
        <f>IFERROR(INDEX([1]VehiclesUniverse!$B$2:$EU$700,MATCH(C34,[1]VehiclesUniverse!$A$2:$A$700,0),MATCH($L$1,[1]VehiclesUniverse!$B$1:$EU$1,0)),"")</f>
        <v/>
      </c>
      <c r="M34" s="16" t="str">
        <f>IFERROR(VLOOKUP(L34,'[1]Xrate31.12.20'!$K$2:$N$25,3,0),"")</f>
        <v/>
      </c>
      <c r="N34" s="8" t="str">
        <f>IFERROR(IF(ISBLANK([1]NLFsmonkeyCompl!P35),"",[1]NLFsmonkeyCompl!P35*$M34),"")</f>
        <v/>
      </c>
      <c r="O34" s="8" t="str">
        <f>IFERROR(IF(ISBLANK([1]NLFsmonkeyCompl!Q35),"",[1]NLFsmonkeyCompl!Q35*$M34),"")</f>
        <v/>
      </c>
      <c r="P34" s="8" t="str">
        <f>IFERROR(IF(ISBLANK([1]NLFsmonkeyCompl!R35),"",[1]NLFsmonkeyCompl!R35*$M34),"")</f>
        <v/>
      </c>
      <c r="Q34" s="8" t="str">
        <f>IFERROR(IF(ISBLANK([1]NLFsmonkeyCompl!S35),"",[1]NLFsmonkeyCompl!S35*$M34),"")</f>
        <v/>
      </c>
      <c r="R34" s="8" t="str">
        <f>IFERROR(IF(ISBLANK([1]NLFsmonkeyCompl!T35),"",[1]NLFsmonkeyCompl!T35*$M34),"")</f>
        <v/>
      </c>
      <c r="S34" s="8" t="str">
        <f>IFERROR(IF(ISBLANK([1]NLFsmonkeyCompl!U35),"",[1]NLFsmonkeyCompl!U35*$M34),"")</f>
        <v/>
      </c>
      <c r="T34" s="8" t="str">
        <f>IFERROR(IF(ISBLANK([1]NLFsmonkeyCompl!V35),"",[1]NLFsmonkeyCompl!V35*$M34),"")</f>
        <v/>
      </c>
      <c r="U34" s="8" t="str">
        <f>IFERROR(IF(ISBLANK([1]NLFsmonkeyCompl!W35),"",[1]NLFsmonkeyCompl!W35*$M34),"")</f>
        <v/>
      </c>
      <c r="V34" s="8" t="str">
        <f>IFERROR(IF(ISBLANK([1]NLFsmonkeyCompl!X35),"",[1]NLFsmonkeyCompl!X35*$M34),"")</f>
        <v/>
      </c>
      <c r="W34" s="8" t="str">
        <f>IFERROR(IF(ISBLANK([1]NLFsmonkeyCompl!Y35),"",[1]NLFsmonkeyCompl!Y35*$M34),"")</f>
        <v/>
      </c>
      <c r="X34" s="8" t="str">
        <f>IFERROR(IF(ISBLANK([1]NLFsmonkeyCompl!Z35),"",[1]NLFsmonkeyCompl!Z35*$M34),"")</f>
        <v/>
      </c>
      <c r="Y34" s="8" t="str">
        <f>IFERROR(IF(ISBLANK([1]NLFsmonkeyCompl!AA35),"",[1]NLFsmonkeyCompl!AA35*$M34),"")</f>
        <v/>
      </c>
      <c r="Z34" s="8" t="str">
        <f>IFERROR(IF(ISBLANK([1]NLFsmonkeyCompl!AB35),"",[1]NLFsmonkeyCompl!AB35*$M34),"")</f>
        <v/>
      </c>
      <c r="AA34" s="8" t="str">
        <f>IFERROR(IF(ISBLANK([1]NLFsmonkeyCompl!AC35),"",[1]NLFsmonkeyCompl!AC35*$M34),"")</f>
        <v/>
      </c>
      <c r="AB34" s="8" t="str">
        <f>IFERROR(IF(ISBLANK([1]NLFsmonkeyCompl!AD35),"",[1]NLFsmonkeyCompl!AD35),"")</f>
        <v/>
      </c>
      <c r="AC34" s="8" t="str">
        <f>IFERROR(IF(ISBLANK([1]NLFsmonkeyCompl!AE35),"",[1]NLFsmonkeyCompl!AE35),"")</f>
        <v/>
      </c>
      <c r="AD34" s="8" t="str">
        <f>IFERROR(IF(ISBLANK([1]NLFsmonkeyCompl!AF35),"",[1]NLFsmonkeyCompl!AF35),"")</f>
        <v/>
      </c>
      <c r="AE34" s="8" t="str">
        <f>IFERROR(IF(ISBLANK([1]NLFsmonkeyCompl!AG35),"",[1]NLFsmonkeyCompl!AG35),"")</f>
        <v/>
      </c>
      <c r="AF34" s="8" t="str">
        <f>IFERROR(IF(ISBLANK([1]NLFsmonkeyCompl!AH35),"",[1]NLFsmonkeyCompl!AH35),"")</f>
        <v/>
      </c>
      <c r="AG34" s="8" t="str">
        <f>IFERROR(IF(ISBLANK([1]NLFsmonkeyCompl!AI35),"",[1]NLFsmonkeyCompl!AI35),"")</f>
        <v/>
      </c>
    </row>
    <row r="35" spans="1:33" x14ac:dyDescent="0.2">
      <c r="A35" s="5" t="str">
        <f>IF(OR(ISTEXT([1]NLFsmonkeyCompl!J36),ISNUMBER([1]NLFsmonkeyCompl!J36)),[1]NLFsmonkeyCompl!J36,"")</f>
        <v>Invesco Real Estate</v>
      </c>
      <c r="B35" s="6" t="str">
        <f>IF(OR(ISTEXT([1]NLFsmonkeyCompl!K36),ISNUMBER([1]NLFsmonkeyCompl!K36)),[1]NLFsmonkeyCompl!K36,"")</f>
        <v xml:space="preserve">Invesco Real Estate - European Fund </v>
      </c>
      <c r="C35" s="6">
        <v>559</v>
      </c>
      <c r="D35" s="6" t="str">
        <f>IFERROR(INDEX([1]VehiclesUniverse!$B$2:$EU$700,MATCH(C35,[1]VehiclesUniverse!$A$2:$A$700,0),MATCH($D$1,[1]VehiclesUniverse!$B$1:$EU$1,0)),"")</f>
        <v>Core</v>
      </c>
      <c r="E35" s="6" t="str">
        <f>IFERROR(INDEX([1]VehiclesUniverse!$B$2:$EU$700,MATCH(C35,[1]VehiclesUniverse!$A$2:$A$700,0),MATCH($E$1,[1]VehiclesUniverse!$B$1:$EU$1,0)),"")</f>
        <v>multi country</v>
      </c>
      <c r="F35" s="6" t="str">
        <f>IF(IFERROR(INDEX([1]VehiclesUniverse!$B$2:$EU$700,MATCH($C35,[1]VehiclesUniverse!$A$2:$A$700,0),MATCH($F$1,[1]VehiclesUniverse!$B$1:$EU$1,0)),"")&lt;&gt;0,(IFERROR(INDEX([1]VehiclesUniverse!$B$2:$EU$700,MATCH($C35,[1]VehiclesUniverse!$A$2:$A$700,0),MATCH($F$1,[1]VehiclesUniverse!$B$1:$EU$1,0)),"")),"")</f>
        <v/>
      </c>
      <c r="G35" s="6" t="str">
        <f>IF(ISBLANK([1]NLFsmonkeyCompl!L36),"",[1]NLFsmonkeyCompl!L36)</f>
        <v>Open end</v>
      </c>
      <c r="H35" s="6">
        <f>IFERROR(INDEX([1]VehiclesUniverse!$B$2:$EU$700,MATCH(C35,[1]VehiclesUniverse!$A$2:$A$700,0),MATCH($H$1,[1]VehiclesUniverse!$B$1:$EU$1,0)),"")</f>
        <v>2008</v>
      </c>
      <c r="I35" s="6" t="str">
        <f>IF(ISBLANK([1]NLFsmonkeyCompl!M36),"",[1]NLFsmonkeyCompl!M36)</f>
        <v>Yes</v>
      </c>
      <c r="J35" s="6" t="str">
        <f>IF(ISBLANK([1]NLFsmonkeyCompl!N36),"",[1]NLFsmonkeyCompl!N36)</f>
        <v/>
      </c>
      <c r="K35" s="6" t="str">
        <f>IF(ISBLANK([1]NLFsmonkeyCompl!O36),"",[1]NLFsmonkeyCompl!O36)</f>
        <v/>
      </c>
      <c r="L35" s="6" t="str">
        <f>IFERROR(INDEX([1]VehiclesUniverse!$B$2:$EU$700,MATCH(C35,[1]VehiclesUniverse!$A$2:$A$700,0),MATCH($L$1,[1]VehiclesUniverse!$B$1:$EU$1,0)),"")</f>
        <v>EUR</v>
      </c>
      <c r="M35" s="16">
        <f>IFERROR(VLOOKUP(L35,'[1]Xrate31.12.20'!$K$2:$N$25,3,0),"")</f>
        <v>1</v>
      </c>
      <c r="N35" s="8">
        <f>IFERROR(IF(ISBLANK([1]NLFsmonkeyCompl!P36),"",[1]NLFsmonkeyCompl!P36*$M35),"")</f>
        <v>127</v>
      </c>
      <c r="O35" s="8">
        <f>IFERROR(IF(ISBLANK([1]NLFsmonkeyCompl!Q36),"",[1]NLFsmonkeyCompl!Q36*$M35),"")</f>
        <v>42</v>
      </c>
      <c r="P35" s="8">
        <f>IFERROR(IF(ISBLANK([1]NLFsmonkeyCompl!R36),"",[1]NLFsmonkeyCompl!R36*$M35),"")</f>
        <v>51</v>
      </c>
      <c r="Q35" s="8" t="str">
        <f>IFERROR(IF(ISBLANK([1]NLFsmonkeyCompl!S36),"",[1]NLFsmonkeyCompl!S36*$M35),"")</f>
        <v/>
      </c>
      <c r="R35" s="8" t="str">
        <f>IFERROR(IF(ISBLANK([1]NLFsmonkeyCompl!T36),"",[1]NLFsmonkeyCompl!T36*$M35),"")</f>
        <v/>
      </c>
      <c r="S35" s="8" t="str">
        <f>IFERROR(IF(ISBLANK([1]NLFsmonkeyCompl!U36),"",[1]NLFsmonkeyCompl!U36*$M35),"")</f>
        <v/>
      </c>
      <c r="T35" s="8" t="str">
        <f>IFERROR(IF(ISBLANK([1]NLFsmonkeyCompl!V36),"",[1]NLFsmonkeyCompl!V36*$M35),"")</f>
        <v/>
      </c>
      <c r="U35" s="8" t="str">
        <f>IFERROR(IF(ISBLANK([1]NLFsmonkeyCompl!W36),"",[1]NLFsmonkeyCompl!W36*$M35),"")</f>
        <v/>
      </c>
      <c r="V35" s="8">
        <f>IFERROR(IF(ISBLANK([1]NLFsmonkeyCompl!X36),"",[1]NLFsmonkeyCompl!X36*$M35),"")</f>
        <v>33</v>
      </c>
      <c r="W35" s="8">
        <f>IFERROR(IF(ISBLANK([1]NLFsmonkeyCompl!Y36),"",[1]NLFsmonkeyCompl!Y36*$M35),"")</f>
        <v>110</v>
      </c>
      <c r="X35" s="8">
        <f>IFERROR(IF(ISBLANK([1]NLFsmonkeyCompl!Z36),"",[1]NLFsmonkeyCompl!Z36*$M35),"")</f>
        <v>17</v>
      </c>
      <c r="Y35" s="8" t="str">
        <f>IFERROR(IF(ISBLANK([1]NLFsmonkeyCompl!AA36),"",[1]NLFsmonkeyCompl!AA36*$M35),"")</f>
        <v/>
      </c>
      <c r="Z35" s="8" t="str">
        <f>IFERROR(IF(ISBLANK([1]NLFsmonkeyCompl!AB36),"",[1]NLFsmonkeyCompl!AB36*$M35),"")</f>
        <v/>
      </c>
      <c r="AA35" s="8" t="str">
        <f>IFERROR(IF(ISBLANK([1]NLFsmonkeyCompl!AC36),"",[1]NLFsmonkeyCompl!AC36*$M35),"")</f>
        <v/>
      </c>
      <c r="AB35" s="8" t="str">
        <f>IFERROR(IF(ISBLANK([1]NLFsmonkeyCompl!AD36),"",[1]NLFsmonkeyCompl!AD36),"")</f>
        <v/>
      </c>
      <c r="AC35" s="8" t="str">
        <f>IFERROR(IF(ISBLANK([1]NLFsmonkeyCompl!AE36),"",[1]NLFsmonkeyCompl!AE36),"")</f>
        <v/>
      </c>
      <c r="AD35" s="8">
        <f>IFERROR(IF(ISBLANK([1]NLFsmonkeyCompl!AF36),"",[1]NLFsmonkeyCompl!AF36),"")</f>
        <v>100</v>
      </c>
      <c r="AE35" s="8" t="str">
        <f>IFERROR(IF(ISBLANK([1]NLFsmonkeyCompl!AG36),"",[1]NLFsmonkeyCompl!AG36),"")</f>
        <v/>
      </c>
      <c r="AF35" s="8" t="str">
        <f>IFERROR(IF(ISBLANK([1]NLFsmonkeyCompl!AH36),"",[1]NLFsmonkeyCompl!AH36),"")</f>
        <v>No change</v>
      </c>
      <c r="AG35" s="8" t="str">
        <f>IFERROR(IF(ISBLANK([1]NLFsmonkeyCompl!AI36),"",[1]NLFsmonkeyCompl!AI36),"")</f>
        <v>Yes</v>
      </c>
    </row>
    <row r="36" spans="1:33" x14ac:dyDescent="0.2">
      <c r="A36" s="5" t="str">
        <f>IF(OR(ISTEXT([1]NLFsmonkeyCompl!J37),ISNUMBER([1]NLFsmonkeyCompl!J37)),[1]NLFsmonkeyCompl!J37,"")</f>
        <v>Heitman</v>
      </c>
      <c r="B36" s="6" t="str">
        <f>IF(OR(ISTEXT([1]NLFsmonkeyCompl!K37),ISNUMBER([1]NLFsmonkeyCompl!K37)),[1]NLFsmonkeyCompl!K37,"")</f>
        <v>Heitman US Open-End Core Fund</v>
      </c>
      <c r="C36" s="6" t="s">
        <v>42</v>
      </c>
      <c r="D36" s="6" t="str">
        <f>IFERROR(INDEX([1]VehiclesUniverse!$B$2:$EU$700,MATCH(C36,[1]VehiclesUniverse!$A$2:$A$700,0),MATCH($D$1,[1]VehiclesUniverse!$B$1:$EU$1,0)),"")</f>
        <v/>
      </c>
      <c r="E36" s="6" t="str">
        <f>IFERROR(INDEX([1]VehiclesUniverse!$B$2:$EU$700,MATCH(C36,[1]VehiclesUniverse!$A$2:$A$700,0),MATCH($E$1,[1]VehiclesUniverse!$B$1:$EU$1,0)),"")</f>
        <v/>
      </c>
      <c r="F36" s="6" t="str">
        <f>IF(IFERROR(INDEX([1]VehiclesUniverse!$B$2:$EU$700,MATCH($C36,[1]VehiclesUniverse!$A$2:$A$700,0),MATCH($F$1,[1]VehiclesUniverse!$B$1:$EU$1,0)),"")&lt;&gt;0,(IFERROR(INDEX([1]VehiclesUniverse!$B$2:$EU$700,MATCH($C36,[1]VehiclesUniverse!$A$2:$A$700,0),MATCH($F$1,[1]VehiclesUniverse!$B$1:$EU$1,0)),"")),"")</f>
        <v/>
      </c>
      <c r="G36" s="6" t="str">
        <f>IF(ISBLANK([1]NLFsmonkeyCompl!L37),"",[1]NLFsmonkeyCompl!L37)</f>
        <v>Open end</v>
      </c>
      <c r="H36" s="6" t="str">
        <f>IFERROR(INDEX([1]VehiclesUniverse!$B$2:$EU$700,MATCH(C36,[1]VehiclesUniverse!$A$2:$A$700,0),MATCH($H$1,[1]VehiclesUniverse!$B$1:$EU$1,0)),"")</f>
        <v/>
      </c>
      <c r="I36" s="6" t="str">
        <f>IF(ISBLANK([1]NLFsmonkeyCompl!M37),"",[1]NLFsmonkeyCompl!M37)</f>
        <v>Yes</v>
      </c>
      <c r="J36" s="6" t="str">
        <f>IF(ISBLANK([1]NLFsmonkeyCompl!N37),"",[1]NLFsmonkeyCompl!N37)</f>
        <v/>
      </c>
      <c r="K36" s="6" t="str">
        <f>IF(ISBLANK([1]NLFsmonkeyCompl!O37),"",[1]NLFsmonkeyCompl!O37)</f>
        <v/>
      </c>
      <c r="L36" s="6" t="str">
        <f>IFERROR(INDEX([1]VehiclesUniverse!$B$2:$EU$700,MATCH(C36,[1]VehiclesUniverse!$A$2:$A$700,0),MATCH($L$1,[1]VehiclesUniverse!$B$1:$EU$1,0)),"")</f>
        <v/>
      </c>
      <c r="M36" s="16" t="str">
        <f>IFERROR(VLOOKUP(L36,'[1]Xrate31.12.20'!$K$2:$N$25,3,0),"")</f>
        <v/>
      </c>
      <c r="N36" s="8" t="str">
        <f>IFERROR(IF(ISBLANK([1]NLFsmonkeyCompl!P37),"",[1]NLFsmonkeyCompl!P37*$M36),"")</f>
        <v/>
      </c>
      <c r="O36" s="8" t="str">
        <f>IFERROR(IF(ISBLANK([1]NLFsmonkeyCompl!Q37),"",[1]NLFsmonkeyCompl!Q37*$M36),"")</f>
        <v/>
      </c>
      <c r="P36" s="8" t="str">
        <f>IFERROR(IF(ISBLANK([1]NLFsmonkeyCompl!R37),"",[1]NLFsmonkeyCompl!R37*$M36),"")</f>
        <v/>
      </c>
      <c r="Q36" s="8" t="str">
        <f>IFERROR(IF(ISBLANK([1]NLFsmonkeyCompl!S37),"",[1]NLFsmonkeyCompl!S37*$M36),"")</f>
        <v/>
      </c>
      <c r="R36" s="8" t="str">
        <f>IFERROR(IF(ISBLANK([1]NLFsmonkeyCompl!T37),"",[1]NLFsmonkeyCompl!T37*$M36),"")</f>
        <v/>
      </c>
      <c r="S36" s="8" t="str">
        <f>IFERROR(IF(ISBLANK([1]NLFsmonkeyCompl!U37),"",[1]NLFsmonkeyCompl!U37*$M36),"")</f>
        <v/>
      </c>
      <c r="T36" s="8" t="str">
        <f>IFERROR(IF(ISBLANK([1]NLFsmonkeyCompl!V37),"",[1]NLFsmonkeyCompl!V37*$M36),"")</f>
        <v/>
      </c>
      <c r="U36" s="8" t="str">
        <f>IFERROR(IF(ISBLANK([1]NLFsmonkeyCompl!W37),"",[1]NLFsmonkeyCompl!W37*$M36),"")</f>
        <v/>
      </c>
      <c r="V36" s="8" t="str">
        <f>IFERROR(IF(ISBLANK([1]NLFsmonkeyCompl!X37),"",[1]NLFsmonkeyCompl!X37*$M36),"")</f>
        <v/>
      </c>
      <c r="W36" s="8" t="str">
        <f>IFERROR(IF(ISBLANK([1]NLFsmonkeyCompl!Y37),"",[1]NLFsmonkeyCompl!Y37*$M36),"")</f>
        <v/>
      </c>
      <c r="X36" s="8" t="str">
        <f>IFERROR(IF(ISBLANK([1]NLFsmonkeyCompl!Z37),"",[1]NLFsmonkeyCompl!Z37*$M36),"")</f>
        <v/>
      </c>
      <c r="Y36" s="8" t="str">
        <f>IFERROR(IF(ISBLANK([1]NLFsmonkeyCompl!AA37),"",[1]NLFsmonkeyCompl!AA37*$M36),"")</f>
        <v/>
      </c>
      <c r="Z36" s="8" t="str">
        <f>IFERROR(IF(ISBLANK([1]NLFsmonkeyCompl!AB37),"",[1]NLFsmonkeyCompl!AB37*$M36),"")</f>
        <v/>
      </c>
      <c r="AA36" s="8" t="str">
        <f>IFERROR(IF(ISBLANK([1]NLFsmonkeyCompl!AC37),"",[1]NLFsmonkeyCompl!AC37*$M36),"")</f>
        <v/>
      </c>
      <c r="AB36" s="8">
        <f>IFERROR(IF(ISBLANK([1]NLFsmonkeyCompl!AD37),"",[1]NLFsmonkeyCompl!AD37),"")</f>
        <v>75</v>
      </c>
      <c r="AC36" s="8" t="str">
        <f>IFERROR(IF(ISBLANK([1]NLFsmonkeyCompl!AE37),"",[1]NLFsmonkeyCompl!AE37),"")</f>
        <v/>
      </c>
      <c r="AD36" s="8">
        <f>IFERROR(IF(ISBLANK([1]NLFsmonkeyCompl!AF37),"",[1]NLFsmonkeyCompl!AF37),"")</f>
        <v>25</v>
      </c>
      <c r="AE36" s="8" t="str">
        <f>IFERROR(IF(ISBLANK([1]NLFsmonkeyCompl!AG37),"",[1]NLFsmonkeyCompl!AG37),"")</f>
        <v/>
      </c>
      <c r="AF36" s="8" t="str">
        <f>IFERROR(IF(ISBLANK([1]NLFsmonkeyCompl!AH37),"",[1]NLFsmonkeyCompl!AH37),"")</f>
        <v>Increase</v>
      </c>
      <c r="AG36" s="8" t="str">
        <f>IFERROR(IF(ISBLANK([1]NLFsmonkeyCompl!AI37),"",[1]NLFsmonkeyCompl!AI37),"")</f>
        <v>Yes</v>
      </c>
    </row>
    <row r="37" spans="1:33" x14ac:dyDescent="0.2">
      <c r="A37" s="5" t="str">
        <f>IF(OR(ISTEXT([1]NLFsmonkeyCompl!J38),ISNUMBER([1]NLFsmonkeyCompl!J38)),[1]NLFsmonkeyCompl!J38,"")</f>
        <v>Heitman</v>
      </c>
      <c r="B37" s="6" t="str">
        <f>IF(OR(ISTEXT([1]NLFsmonkeyCompl!K38),ISNUMBER([1]NLFsmonkeyCompl!K38)),[1]NLFsmonkeyCompl!K38,"")</f>
        <v>Heitman Closed End Debt Fund</v>
      </c>
      <c r="C37" s="6" t="s">
        <v>51</v>
      </c>
      <c r="D37" s="6" t="str">
        <f>IFERROR(INDEX([1]VehiclesUniverse!$B$2:$EU$700,MATCH(C37,[1]VehiclesUniverse!$A$2:$A$700,0),MATCH($D$1,[1]VehiclesUniverse!$B$1:$EU$1,0)),"")</f>
        <v/>
      </c>
      <c r="E37" s="6" t="str">
        <f>IFERROR(INDEX([1]VehiclesUniverse!$B$2:$EU$700,MATCH(C37,[1]VehiclesUniverse!$A$2:$A$700,0),MATCH($E$1,[1]VehiclesUniverse!$B$1:$EU$1,0)),"")</f>
        <v/>
      </c>
      <c r="F37" s="6" t="str">
        <f>IF(IFERROR(INDEX([1]VehiclesUniverse!$B$2:$EU$700,MATCH($C37,[1]VehiclesUniverse!$A$2:$A$700,0),MATCH($F$1,[1]VehiclesUniverse!$B$1:$EU$1,0)),"")&lt;&gt;0,(IFERROR(INDEX([1]VehiclesUniverse!$B$2:$EU$700,MATCH($C37,[1]VehiclesUniverse!$A$2:$A$700,0),MATCH($F$1,[1]VehiclesUniverse!$B$1:$EU$1,0)),"")),"")</f>
        <v/>
      </c>
      <c r="G37" s="6" t="str">
        <f>IF(ISBLANK([1]NLFsmonkeyCompl!L38),"",[1]NLFsmonkeyCompl!L38)</f>
        <v>Closed end</v>
      </c>
      <c r="H37" s="6" t="str">
        <f>IFERROR(INDEX([1]VehiclesUniverse!$B$2:$EU$700,MATCH(C37,[1]VehiclesUniverse!$A$2:$A$700,0),MATCH($H$1,[1]VehiclesUniverse!$B$1:$EU$1,0)),"")</f>
        <v/>
      </c>
      <c r="I37" s="6" t="str">
        <f>IF(ISBLANK([1]NLFsmonkeyCompl!M38),"",[1]NLFsmonkeyCompl!M38)</f>
        <v>Yes</v>
      </c>
      <c r="J37" s="6" t="str">
        <f>IF(ISBLANK([1]NLFsmonkeyCompl!N38),"",[1]NLFsmonkeyCompl!N38)</f>
        <v/>
      </c>
      <c r="K37" s="6" t="str">
        <f>IF(ISBLANK([1]NLFsmonkeyCompl!O38),"",[1]NLFsmonkeyCompl!O38)</f>
        <v/>
      </c>
      <c r="L37" s="6" t="str">
        <f>IFERROR(INDEX([1]VehiclesUniverse!$B$2:$EU$700,MATCH(C37,[1]VehiclesUniverse!$A$2:$A$700,0),MATCH($L$1,[1]VehiclesUniverse!$B$1:$EU$1,0)),"")</f>
        <v/>
      </c>
      <c r="M37" s="16" t="str">
        <f>IFERROR(VLOOKUP(L37,'[1]Xrate31.12.20'!$K$2:$N$25,3,0),"")</f>
        <v/>
      </c>
      <c r="N37" s="8" t="str">
        <f>IFERROR(IF(ISBLANK([1]NLFsmonkeyCompl!P38),"",[1]NLFsmonkeyCompl!P38*$M37),"")</f>
        <v/>
      </c>
      <c r="O37" s="8" t="str">
        <f>IFERROR(IF(ISBLANK([1]NLFsmonkeyCompl!Q38),"",[1]NLFsmonkeyCompl!Q38*$M37),"")</f>
        <v/>
      </c>
      <c r="P37" s="8" t="str">
        <f>IFERROR(IF(ISBLANK([1]NLFsmonkeyCompl!R38),"",[1]NLFsmonkeyCompl!R38*$M37),"")</f>
        <v/>
      </c>
      <c r="Q37" s="8" t="str">
        <f>IFERROR(IF(ISBLANK([1]NLFsmonkeyCompl!S38),"",[1]NLFsmonkeyCompl!S38*$M37),"")</f>
        <v/>
      </c>
      <c r="R37" s="8" t="str">
        <f>IFERROR(IF(ISBLANK([1]NLFsmonkeyCompl!T38),"",[1]NLFsmonkeyCompl!T38*$M37),"")</f>
        <v/>
      </c>
      <c r="S37" s="8" t="str">
        <f>IFERROR(IF(ISBLANK([1]NLFsmonkeyCompl!U38),"",[1]NLFsmonkeyCompl!U38*$M37),"")</f>
        <v/>
      </c>
      <c r="T37" s="8" t="str">
        <f>IFERROR(IF(ISBLANK([1]NLFsmonkeyCompl!V38),"",[1]NLFsmonkeyCompl!V38*$M37),"")</f>
        <v/>
      </c>
      <c r="U37" s="8" t="str">
        <f>IFERROR(IF(ISBLANK([1]NLFsmonkeyCompl!W38),"",[1]NLFsmonkeyCompl!W38*$M37),"")</f>
        <v/>
      </c>
      <c r="V37" s="8" t="str">
        <f>IFERROR(IF(ISBLANK([1]NLFsmonkeyCompl!X38),"",[1]NLFsmonkeyCompl!X38*$M37),"")</f>
        <v/>
      </c>
      <c r="W37" s="8" t="str">
        <f>IFERROR(IF(ISBLANK([1]NLFsmonkeyCompl!Y38),"",[1]NLFsmonkeyCompl!Y38*$M37),"")</f>
        <v/>
      </c>
      <c r="X37" s="8" t="str">
        <f>IFERROR(IF(ISBLANK([1]NLFsmonkeyCompl!Z38),"",[1]NLFsmonkeyCompl!Z38*$M37),"")</f>
        <v/>
      </c>
      <c r="Y37" s="8" t="str">
        <f>IFERROR(IF(ISBLANK([1]NLFsmonkeyCompl!AA38),"",[1]NLFsmonkeyCompl!AA38*$M37),"")</f>
        <v/>
      </c>
      <c r="Z37" s="8" t="str">
        <f>IFERROR(IF(ISBLANK([1]NLFsmonkeyCompl!AB38),"",[1]NLFsmonkeyCompl!AB38*$M37),"")</f>
        <v/>
      </c>
      <c r="AA37" s="8" t="str">
        <f>IFERROR(IF(ISBLANK([1]NLFsmonkeyCompl!AC38),"",[1]NLFsmonkeyCompl!AC38*$M37),"")</f>
        <v/>
      </c>
      <c r="AB37" s="8" t="str">
        <f>IFERROR(IF(ISBLANK([1]NLFsmonkeyCompl!AD38),"",[1]NLFsmonkeyCompl!AD38),"")</f>
        <v/>
      </c>
      <c r="AC37" s="8" t="str">
        <f>IFERROR(IF(ISBLANK([1]NLFsmonkeyCompl!AE38),"",[1]NLFsmonkeyCompl!AE38),"")</f>
        <v/>
      </c>
      <c r="AD37" s="8">
        <f>IFERROR(IF(ISBLANK([1]NLFsmonkeyCompl!AF38),"",[1]NLFsmonkeyCompl!AF38),"")</f>
        <v>100</v>
      </c>
      <c r="AE37" s="8" t="str">
        <f>IFERROR(IF(ISBLANK([1]NLFsmonkeyCompl!AG38),"",[1]NLFsmonkeyCompl!AG38),"")</f>
        <v/>
      </c>
      <c r="AF37" s="8" t="str">
        <f>IFERROR(IF(ISBLANK([1]NLFsmonkeyCompl!AH38),"",[1]NLFsmonkeyCompl!AH38),"")</f>
        <v>Increase</v>
      </c>
      <c r="AG37" s="8" t="str">
        <f>IFERROR(IF(ISBLANK([1]NLFsmonkeyCompl!AI38),"",[1]NLFsmonkeyCompl!AI38),"")</f>
        <v>Yes</v>
      </c>
    </row>
    <row r="38" spans="1:33" x14ac:dyDescent="0.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 t="str">
        <f>IFERROR(INDEX([1]VehiclesUniverse!$B$2:$EU$700,MATCH(C38,[1]VehiclesUniverse!$A$2:$A$700,0),MATCH($L$1,[1]VehiclesUniverse!$B$1:$EU$1,0)),"")</f>
        <v/>
      </c>
      <c r="M38" s="16" t="str">
        <f>IFERROR(VLOOKUP(L38,'[1]Xrate31.12.20'!$K$2:$N$25,3,0),"")</f>
        <v/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spans="1:33" x14ac:dyDescent="0.2">
      <c r="A39" s="5" t="str">
        <f>IF(OR(ISTEXT([1]NLFsmonkeyCompl!J40),ISNUMBER([1]NLFsmonkeyCompl!J40)),[1]NLFsmonkeyCompl!J40,"")</f>
        <v>LaSalle Investment Management</v>
      </c>
      <c r="B39" s="6" t="str">
        <f>IF(OR(ISTEXT([1]NLFsmonkeyCompl!K40),ISNUMBER([1]NLFsmonkeyCompl!K40)),[1]NLFsmonkeyCompl!K40,"")</f>
        <v>Encore+</v>
      </c>
      <c r="C39" s="6">
        <v>137</v>
      </c>
      <c r="D39" s="6" t="str">
        <f>IFERROR(INDEX([1]VehiclesUniverse!$B$2:$EU$700,MATCH(C39,[1]VehiclesUniverse!$A$2:$A$700,0),MATCH($D$1,[1]VehiclesUniverse!$B$1:$EU$1,0)),"")</f>
        <v>Core</v>
      </c>
      <c r="E39" s="6" t="str">
        <f>IFERROR(INDEX([1]VehiclesUniverse!$B$2:$EU$700,MATCH(C39,[1]VehiclesUniverse!$A$2:$A$700,0),MATCH($E$1,[1]VehiclesUniverse!$B$1:$EU$1,0)),"")</f>
        <v>multi country</v>
      </c>
      <c r="F39" s="6" t="str">
        <f>IF(IFERROR(INDEX([1]VehiclesUniverse!$B$2:$EU$700,MATCH($C39,[1]VehiclesUniverse!$A$2:$A$700,0),MATCH($F$1,[1]VehiclesUniverse!$B$1:$EU$1,0)),"")&lt;&gt;0,(IFERROR(INDEX([1]VehiclesUniverse!$B$2:$EU$700,MATCH($C39,[1]VehiclesUniverse!$A$2:$A$700,0),MATCH($F$1,[1]VehiclesUniverse!$B$1:$EU$1,0)),"")),"")</f>
        <v/>
      </c>
      <c r="G39" s="6" t="str">
        <f>IF(ISBLANK([1]NLFsmonkeyCompl!L40),"",[1]NLFsmonkeyCompl!L40)</f>
        <v>Open end</v>
      </c>
      <c r="H39" s="6">
        <f>IFERROR(INDEX([1]VehiclesUniverse!$B$2:$EU$700,MATCH(C39,[1]VehiclesUniverse!$A$2:$A$700,0),MATCH($H$1,[1]VehiclesUniverse!$B$1:$EU$1,0)),"")</f>
        <v>2006</v>
      </c>
      <c r="I39" s="6" t="str">
        <f>IF(ISBLANK([1]NLFsmonkeyCompl!M40),"",[1]NLFsmonkeyCompl!M40)</f>
        <v>Yes</v>
      </c>
      <c r="J39" s="6" t="str">
        <f>IF(ISBLANK([1]NLFsmonkeyCompl!N40),"",[1]NLFsmonkeyCompl!N40)</f>
        <v/>
      </c>
      <c r="K39" s="6" t="str">
        <f>IF(ISBLANK([1]NLFsmonkeyCompl!O40),"",[1]NLFsmonkeyCompl!O40)</f>
        <v/>
      </c>
      <c r="L39" s="6" t="str">
        <f>IFERROR(INDEX([1]VehiclesUniverse!$B$2:$EU$700,MATCH(C39,[1]VehiclesUniverse!$A$2:$A$700,0),MATCH($L$1,[1]VehiclesUniverse!$B$1:$EU$1,0)),"")</f>
        <v>EUR</v>
      </c>
      <c r="M39" s="16">
        <f>IFERROR(VLOOKUP(L39,'[1]Xrate31.12.20'!$K$2:$N$25,3,0),"")</f>
        <v>1</v>
      </c>
      <c r="N39" s="8">
        <f>IFERROR(IF(ISBLANK([1]NLFsmonkeyCompl!P40),"",[1]NLFsmonkeyCompl!P40*$M39),"")</f>
        <v>836</v>
      </c>
      <c r="O39" s="8">
        <f>IFERROR(IF(ISBLANK([1]NLFsmonkeyCompl!Q40),"",[1]NLFsmonkeyCompl!Q40*$M39),"")</f>
        <v>316</v>
      </c>
      <c r="P39" s="8">
        <f>IFERROR(IF(ISBLANK([1]NLFsmonkeyCompl!R40),"",[1]NLFsmonkeyCompl!R40*$M39),"")</f>
        <v>370</v>
      </c>
      <c r="Q39" s="8" t="str">
        <f>IFERROR(IF(ISBLANK([1]NLFsmonkeyCompl!S40),"",[1]NLFsmonkeyCompl!S40*$M39),"")</f>
        <v/>
      </c>
      <c r="R39" s="8" t="str">
        <f>IFERROR(IF(ISBLANK([1]NLFsmonkeyCompl!T40),"",[1]NLFsmonkeyCompl!T40*$M39),"")</f>
        <v/>
      </c>
      <c r="S39" s="8" t="str">
        <f>IFERROR(IF(ISBLANK([1]NLFsmonkeyCompl!U40),"",[1]NLFsmonkeyCompl!U40*$M39),"")</f>
        <v/>
      </c>
      <c r="T39" s="8">
        <f>IFERROR(IF(ISBLANK([1]NLFsmonkeyCompl!V40),"",[1]NLFsmonkeyCompl!V40*$M39),"")</f>
        <v>65</v>
      </c>
      <c r="U39" s="8" t="str">
        <f>IFERROR(IF(ISBLANK([1]NLFsmonkeyCompl!W40),"",[1]NLFsmonkeyCompl!W40*$M39),"")</f>
        <v/>
      </c>
      <c r="V39" s="8">
        <f>IFERROR(IF(ISBLANK([1]NLFsmonkeyCompl!X40),"",[1]NLFsmonkeyCompl!X40*$M39),"")</f>
        <v>85</v>
      </c>
      <c r="W39" s="8">
        <f>IFERROR(IF(ISBLANK([1]NLFsmonkeyCompl!Y40),"",[1]NLFsmonkeyCompl!Y40*$M39),"")</f>
        <v>720</v>
      </c>
      <c r="X39" s="8">
        <f>IFERROR(IF(ISBLANK([1]NLFsmonkeyCompl!Z40),"",[1]NLFsmonkeyCompl!Z40*$M39),"")</f>
        <v>116</v>
      </c>
      <c r="Y39" s="8" t="str">
        <f>IFERROR(IF(ISBLANK([1]NLFsmonkeyCompl!AA40),"",[1]NLFsmonkeyCompl!AA40*$M39),"")</f>
        <v/>
      </c>
      <c r="Z39" s="8" t="str">
        <f>IFERROR(IF(ISBLANK([1]NLFsmonkeyCompl!AB40),"",[1]NLFsmonkeyCompl!AB40*$M39),"")</f>
        <v/>
      </c>
      <c r="AA39" s="8" t="str">
        <f>IFERROR(IF(ISBLANK([1]NLFsmonkeyCompl!AC40),"",[1]NLFsmonkeyCompl!AC40*$M39),"")</f>
        <v/>
      </c>
      <c r="AB39" s="8" t="str">
        <f>IFERROR(IF(ISBLANK([1]NLFsmonkeyCompl!AD40),"",[1]NLFsmonkeyCompl!AD40),"")</f>
        <v/>
      </c>
      <c r="AC39" s="8" t="str">
        <f>IFERROR(IF(ISBLANK([1]NLFsmonkeyCompl!AE40),"",[1]NLFsmonkeyCompl!AE40),"")</f>
        <v/>
      </c>
      <c r="AD39" s="8">
        <f>IFERROR(IF(ISBLANK([1]NLFsmonkeyCompl!AF40),"",[1]NLFsmonkeyCompl!AF40),"")</f>
        <v>100</v>
      </c>
      <c r="AE39" s="8" t="str">
        <f>IFERROR(IF(ISBLANK([1]NLFsmonkeyCompl!AG40),"",[1]NLFsmonkeyCompl!AG40),"")</f>
        <v/>
      </c>
      <c r="AF39" s="8" t="str">
        <f>IFERROR(IF(ISBLANK([1]NLFsmonkeyCompl!AH40),"",[1]NLFsmonkeyCompl!AH40),"")</f>
        <v>No change</v>
      </c>
      <c r="AG39" s="8" t="str">
        <f>IFERROR(IF(ISBLANK([1]NLFsmonkeyCompl!AI40),"",[1]NLFsmonkeyCompl!AI40),"")</f>
        <v>Yes</v>
      </c>
    </row>
    <row r="40" spans="1:33" x14ac:dyDescent="0.2">
      <c r="A40" s="5" t="str">
        <f>IF(OR(ISTEXT([1]NLFsmonkeyCompl!J41),ISNUMBER([1]NLFsmonkeyCompl!J41)),[1]NLFsmonkeyCompl!J41,"")</f>
        <v>Invesco Real Estate</v>
      </c>
      <c r="B40" s="6" t="str">
        <f>IF(OR(ISTEXT([1]NLFsmonkeyCompl!K41),ISNUMBER([1]NLFsmonkeyCompl!K41)),[1]NLFsmonkeyCompl!K41,"")</f>
        <v>Invesco Real Estate - European Living Fund</v>
      </c>
      <c r="C40" s="6">
        <v>18125</v>
      </c>
      <c r="D40" s="6" t="str">
        <f>IFERROR(INDEX([1]VehiclesUniverse!$B$2:$EU$700,MATCH(C40,[1]VehiclesUniverse!$A$2:$A$700,0),MATCH($D$1,[1]VehiclesUniverse!$B$1:$EU$1,0)),"")</f>
        <v>Core</v>
      </c>
      <c r="E40" s="6" t="str">
        <f>IFERROR(INDEX([1]VehiclesUniverse!$B$2:$EU$700,MATCH(C40,[1]VehiclesUniverse!$A$2:$A$700,0),MATCH($E$1,[1]VehiclesUniverse!$B$1:$EU$1,0)),"")</f>
        <v>multi country</v>
      </c>
      <c r="F40" s="6" t="str">
        <f>IF(IFERROR(INDEX([1]VehiclesUniverse!$B$2:$EU$700,MATCH($C40,[1]VehiclesUniverse!$A$2:$A$700,0),MATCH($F$1,[1]VehiclesUniverse!$B$1:$EU$1,0)),"")&lt;&gt;0,(IFERROR(INDEX([1]VehiclesUniverse!$B$2:$EU$700,MATCH($C40,[1]VehiclesUniverse!$A$2:$A$700,0),MATCH($F$1,[1]VehiclesUniverse!$B$1:$EU$1,0)),"")),"")</f>
        <v/>
      </c>
      <c r="G40" s="6" t="str">
        <f>IF(ISBLANK([1]NLFsmonkeyCompl!L41),"",[1]NLFsmonkeyCompl!L41)</f>
        <v>Open end</v>
      </c>
      <c r="H40" s="6">
        <f>IFERROR(INDEX([1]VehiclesUniverse!$B$2:$EU$700,MATCH(C40,[1]VehiclesUniverse!$A$2:$A$700,0),MATCH($H$1,[1]VehiclesUniverse!$B$1:$EU$1,0)),"")</f>
        <v>2015</v>
      </c>
      <c r="I40" s="6" t="str">
        <f>IF(ISBLANK([1]NLFsmonkeyCompl!M41),"",[1]NLFsmonkeyCompl!M41)</f>
        <v>Yes</v>
      </c>
      <c r="J40" s="6" t="str">
        <f>IF(ISBLANK([1]NLFsmonkeyCompl!N41),"",[1]NLFsmonkeyCompl!N41)</f>
        <v/>
      </c>
      <c r="K40" s="6" t="str">
        <f>IF(ISBLANK([1]NLFsmonkeyCompl!O41),"",[1]NLFsmonkeyCompl!O41)</f>
        <v/>
      </c>
      <c r="L40" s="6" t="str">
        <f>IFERROR(INDEX([1]VehiclesUniverse!$B$2:$EU$700,MATCH(C40,[1]VehiclesUniverse!$A$2:$A$700,0),MATCH($L$1,[1]VehiclesUniverse!$B$1:$EU$1,0)),"")</f>
        <v>EUR</v>
      </c>
      <c r="M40" s="16">
        <f>IFERROR(VLOOKUP(L40,'[1]Xrate31.12.20'!$K$2:$N$25,3,0),"")</f>
        <v>1</v>
      </c>
      <c r="N40" s="8">
        <f>IFERROR(IF(ISBLANK([1]NLFsmonkeyCompl!P41),"",[1]NLFsmonkeyCompl!P41*$M40),"")</f>
        <v>138</v>
      </c>
      <c r="O40" s="8">
        <f>IFERROR(IF(ISBLANK([1]NLFsmonkeyCompl!Q41),"",[1]NLFsmonkeyCompl!Q41*$M40),"")</f>
        <v>98</v>
      </c>
      <c r="P40" s="8" t="str">
        <f>IFERROR(IF(ISBLANK([1]NLFsmonkeyCompl!R41),"",[1]NLFsmonkeyCompl!R41*$M40),"")</f>
        <v/>
      </c>
      <c r="Q40" s="8" t="str">
        <f>IFERROR(IF(ISBLANK([1]NLFsmonkeyCompl!S41),"",[1]NLFsmonkeyCompl!S41*$M40),"")</f>
        <v/>
      </c>
      <c r="R40" s="8" t="str">
        <f>IFERROR(IF(ISBLANK([1]NLFsmonkeyCompl!T41),"",[1]NLFsmonkeyCompl!T41*$M40),"")</f>
        <v/>
      </c>
      <c r="S40" s="8" t="str">
        <f>IFERROR(IF(ISBLANK([1]NLFsmonkeyCompl!U41),"",[1]NLFsmonkeyCompl!U41*$M40),"")</f>
        <v/>
      </c>
      <c r="T40" s="8" t="str">
        <f>IFERROR(IF(ISBLANK([1]NLFsmonkeyCompl!V41),"",[1]NLFsmonkeyCompl!V41*$M40),"")</f>
        <v/>
      </c>
      <c r="U40" s="8" t="str">
        <f>IFERROR(IF(ISBLANK([1]NLFsmonkeyCompl!W41),"",[1]NLFsmonkeyCompl!W41*$M40),"")</f>
        <v/>
      </c>
      <c r="V40" s="8">
        <f>IFERROR(IF(ISBLANK([1]NLFsmonkeyCompl!X41),"",[1]NLFsmonkeyCompl!X41*$M40),"")</f>
        <v>40</v>
      </c>
      <c r="W40" s="8">
        <f>IFERROR(IF(ISBLANK([1]NLFsmonkeyCompl!Y41),"",[1]NLFsmonkeyCompl!Y41*$M40),"")</f>
        <v>138</v>
      </c>
      <c r="X40" s="8" t="str">
        <f>IFERROR(IF(ISBLANK([1]NLFsmonkeyCompl!Z41),"",[1]NLFsmonkeyCompl!Z41*$M40),"")</f>
        <v/>
      </c>
      <c r="Y40" s="8" t="str">
        <f>IFERROR(IF(ISBLANK([1]NLFsmonkeyCompl!AA41),"",[1]NLFsmonkeyCompl!AA41*$M40),"")</f>
        <v/>
      </c>
      <c r="Z40" s="8" t="str">
        <f>IFERROR(IF(ISBLANK([1]NLFsmonkeyCompl!AB41),"",[1]NLFsmonkeyCompl!AB41*$M40),"")</f>
        <v/>
      </c>
      <c r="AA40" s="8" t="str">
        <f>IFERROR(IF(ISBLANK([1]NLFsmonkeyCompl!AC41),"",[1]NLFsmonkeyCompl!AC41*$M40),"")</f>
        <v/>
      </c>
      <c r="AB40" s="8" t="str">
        <f>IFERROR(IF(ISBLANK([1]NLFsmonkeyCompl!AD41),"",[1]NLFsmonkeyCompl!AD41),"")</f>
        <v/>
      </c>
      <c r="AC40" s="8" t="str">
        <f>IFERROR(IF(ISBLANK([1]NLFsmonkeyCompl!AE41),"",[1]NLFsmonkeyCompl!AE41),"")</f>
        <v/>
      </c>
      <c r="AD40" s="8">
        <f>IFERROR(IF(ISBLANK([1]NLFsmonkeyCompl!AF41),"",[1]NLFsmonkeyCompl!AF41),"")</f>
        <v>100</v>
      </c>
      <c r="AE40" s="8" t="str">
        <f>IFERROR(IF(ISBLANK([1]NLFsmonkeyCompl!AG41),"",[1]NLFsmonkeyCompl!AG41),"")</f>
        <v/>
      </c>
      <c r="AF40" s="8" t="str">
        <f>IFERROR(IF(ISBLANK([1]NLFsmonkeyCompl!AH41),"",[1]NLFsmonkeyCompl!AH41),"")</f>
        <v>No change</v>
      </c>
      <c r="AG40" s="8" t="str">
        <f>IFERROR(IF(ISBLANK([1]NLFsmonkeyCompl!AI41),"",[1]NLFsmonkeyCompl!AI41),"")</f>
        <v>Yes</v>
      </c>
    </row>
    <row r="41" spans="1:33" x14ac:dyDescent="0.2">
      <c r="A41" s="5" t="str">
        <f>IF(OR(ISTEXT([1]NLFsmonkeyCompl!J42),ISNUMBER([1]NLFsmonkeyCompl!J42)),[1]NLFsmonkeyCompl!J42,"")</f>
        <v>Invesco Real Estate</v>
      </c>
      <c r="B41" s="6" t="str">
        <f>IF(OR(ISTEXT([1]NLFsmonkeyCompl!K42),ISNUMBER([1]NLFsmonkeyCompl!K42)),[1]NLFsmonkeyCompl!K42,"")</f>
        <v>Invesco Real Estate - European Hotel Fund</v>
      </c>
      <c r="C41" s="6">
        <v>18386</v>
      </c>
      <c r="D41" s="6" t="str">
        <f>IFERROR(INDEX([1]VehiclesUniverse!$B$2:$EU$700,MATCH(C41,[1]VehiclesUniverse!$A$2:$A$700,0),MATCH($D$1,[1]VehiclesUniverse!$B$1:$EU$1,0)),"")</f>
        <v>Core</v>
      </c>
      <c r="E41" s="6" t="str">
        <f>IFERROR(INDEX([1]VehiclesUniverse!$B$2:$EU$700,MATCH(C41,[1]VehiclesUniverse!$A$2:$A$700,0),MATCH($E$1,[1]VehiclesUniverse!$B$1:$EU$1,0)),"")</f>
        <v>multi country</v>
      </c>
      <c r="F41" s="6" t="str">
        <f>IF(IFERROR(INDEX([1]VehiclesUniverse!$B$2:$EU$700,MATCH($C41,[1]VehiclesUniverse!$A$2:$A$700,0),MATCH($F$1,[1]VehiclesUniverse!$B$1:$EU$1,0)),"")&lt;&gt;0,(IFERROR(INDEX([1]VehiclesUniverse!$B$2:$EU$700,MATCH($C41,[1]VehiclesUniverse!$A$2:$A$700,0),MATCH($F$1,[1]VehiclesUniverse!$B$1:$EU$1,0)),"")),"")</f>
        <v/>
      </c>
      <c r="G41" s="6" t="str">
        <f>IF(ISBLANK([1]NLFsmonkeyCompl!L42),"",[1]NLFsmonkeyCompl!L42)</f>
        <v>Open end</v>
      </c>
      <c r="H41" s="6">
        <f>IFERROR(INDEX([1]VehiclesUniverse!$B$2:$EU$700,MATCH(C41,[1]VehiclesUniverse!$A$2:$A$700,0),MATCH($H$1,[1]VehiclesUniverse!$B$1:$EU$1,0)),"")</f>
        <v>2017</v>
      </c>
      <c r="I41" s="6" t="str">
        <f>IF(ISBLANK([1]NLFsmonkeyCompl!M42),"",[1]NLFsmonkeyCompl!M42)</f>
        <v>No</v>
      </c>
      <c r="J41" s="6" t="str">
        <f>IF(ISBLANK([1]NLFsmonkeyCompl!N42),"",[1]NLFsmonkeyCompl!N42)</f>
        <v>Other (please specify)</v>
      </c>
      <c r="K41" s="6" t="str">
        <f>IF(ISBLANK([1]NLFsmonkeyCompl!O42),"",[1]NLFsmonkeyCompl!O42)</f>
        <v>Impact of COVID-19 on Hotel Sector</v>
      </c>
      <c r="L41" s="6" t="str">
        <f>IFERROR(INDEX([1]VehiclesUniverse!$B$2:$EU$700,MATCH(C41,[1]VehiclesUniverse!$A$2:$A$700,0),MATCH($L$1,[1]VehiclesUniverse!$B$1:$EU$1,0)),"")</f>
        <v>EUR</v>
      </c>
      <c r="M41" s="16">
        <f>IFERROR(VLOOKUP(L41,'[1]Xrate31.12.20'!$K$2:$N$25,3,0),"")</f>
        <v>1</v>
      </c>
      <c r="N41" s="8" t="str">
        <f>IFERROR(IF(ISBLANK([1]NLFsmonkeyCompl!P42),"",[1]NLFsmonkeyCompl!P42*$M41),"")</f>
        <v/>
      </c>
      <c r="O41" s="8" t="str">
        <f>IFERROR(IF(ISBLANK([1]NLFsmonkeyCompl!Q42),"",[1]NLFsmonkeyCompl!Q42*$M41),"")</f>
        <v/>
      </c>
      <c r="P41" s="8" t="str">
        <f>IFERROR(IF(ISBLANK([1]NLFsmonkeyCompl!R42),"",[1]NLFsmonkeyCompl!R42*$M41),"")</f>
        <v/>
      </c>
      <c r="Q41" s="8" t="str">
        <f>IFERROR(IF(ISBLANK([1]NLFsmonkeyCompl!S42),"",[1]NLFsmonkeyCompl!S42*$M41),"")</f>
        <v/>
      </c>
      <c r="R41" s="8" t="str">
        <f>IFERROR(IF(ISBLANK([1]NLFsmonkeyCompl!T42),"",[1]NLFsmonkeyCompl!T42*$M41),"")</f>
        <v/>
      </c>
      <c r="S41" s="8" t="str">
        <f>IFERROR(IF(ISBLANK([1]NLFsmonkeyCompl!U42),"",[1]NLFsmonkeyCompl!U42*$M41),"")</f>
        <v/>
      </c>
      <c r="T41" s="8" t="str">
        <f>IFERROR(IF(ISBLANK([1]NLFsmonkeyCompl!V42),"",[1]NLFsmonkeyCompl!V42*$M41),"")</f>
        <v/>
      </c>
      <c r="U41" s="8" t="str">
        <f>IFERROR(IF(ISBLANK([1]NLFsmonkeyCompl!W42),"",[1]NLFsmonkeyCompl!W42*$M41),"")</f>
        <v/>
      </c>
      <c r="V41" s="8" t="str">
        <f>IFERROR(IF(ISBLANK([1]NLFsmonkeyCompl!X42),"",[1]NLFsmonkeyCompl!X42*$M41),"")</f>
        <v/>
      </c>
      <c r="W41" s="8" t="str">
        <f>IFERROR(IF(ISBLANK([1]NLFsmonkeyCompl!Y42),"",[1]NLFsmonkeyCompl!Y42*$M41),"")</f>
        <v/>
      </c>
      <c r="X41" s="8" t="str">
        <f>IFERROR(IF(ISBLANK([1]NLFsmonkeyCompl!Z42),"",[1]NLFsmonkeyCompl!Z42*$M41),"")</f>
        <v/>
      </c>
      <c r="Y41" s="8" t="str">
        <f>IFERROR(IF(ISBLANK([1]NLFsmonkeyCompl!AA42),"",[1]NLFsmonkeyCompl!AA42*$M41),"")</f>
        <v/>
      </c>
      <c r="Z41" s="8" t="str">
        <f>IFERROR(IF(ISBLANK([1]NLFsmonkeyCompl!AB42),"",[1]NLFsmonkeyCompl!AB42*$M41),"")</f>
        <v/>
      </c>
      <c r="AA41" s="8" t="str">
        <f>IFERROR(IF(ISBLANK([1]NLFsmonkeyCompl!AC42),"",[1]NLFsmonkeyCompl!AC42*$M41),"")</f>
        <v/>
      </c>
      <c r="AB41" s="8" t="str">
        <f>IFERROR(IF(ISBLANK([1]NLFsmonkeyCompl!AD42),"",[1]NLFsmonkeyCompl!AD42),"")</f>
        <v/>
      </c>
      <c r="AC41" s="8" t="str">
        <f>IFERROR(IF(ISBLANK([1]NLFsmonkeyCompl!AE42),"",[1]NLFsmonkeyCompl!AE42),"")</f>
        <v/>
      </c>
      <c r="AD41" s="8" t="str">
        <f>IFERROR(IF(ISBLANK([1]NLFsmonkeyCompl!AF42),"",[1]NLFsmonkeyCompl!AF42),"")</f>
        <v/>
      </c>
      <c r="AE41" s="8" t="str">
        <f>IFERROR(IF(ISBLANK([1]NLFsmonkeyCompl!AG42),"",[1]NLFsmonkeyCompl!AG42),"")</f>
        <v/>
      </c>
      <c r="AF41" s="8" t="str">
        <f>IFERROR(IF(ISBLANK([1]NLFsmonkeyCompl!AH42),"",[1]NLFsmonkeyCompl!AH42),"")</f>
        <v>No change</v>
      </c>
      <c r="AG41" s="8" t="str">
        <f>IFERROR(IF(ISBLANK([1]NLFsmonkeyCompl!AI42),"",[1]NLFsmonkeyCompl!AI42),"")</f>
        <v>Yes</v>
      </c>
    </row>
    <row r="42" spans="1:33" x14ac:dyDescent="0.2">
      <c r="A42" s="5" t="str">
        <f>IF(OR(ISTEXT([1]NLFsmonkeyCompl!J43),ISNUMBER([1]NLFsmonkeyCompl!J43)),[1]NLFsmonkeyCompl!J43,"")</f>
        <v>Savills Investment Management</v>
      </c>
      <c r="B42" s="6" t="str">
        <f>IF(OR(ISTEXT([1]NLFsmonkeyCompl!K43),ISNUMBER([1]NLFsmonkeyCompl!K43)),[1]NLFsmonkeyCompl!K43,"")</f>
        <v>Savills IM Asia Pacific Income and Growth Fund</v>
      </c>
      <c r="C42" s="6" t="s">
        <v>43</v>
      </c>
      <c r="D42" s="6" t="str">
        <f>IFERROR(INDEX([1]VehiclesUniverse!$B$2:$EU$700,MATCH(C42,[1]VehiclesUniverse!$A$2:$A$700,0),MATCH($D$1,[1]VehiclesUniverse!$B$1:$EU$1,0)),"")</f>
        <v/>
      </c>
      <c r="E42" s="6" t="str">
        <f>IFERROR(INDEX([1]VehiclesUniverse!$B$2:$EU$700,MATCH(C42,[1]VehiclesUniverse!$A$2:$A$700,0),MATCH($E$1,[1]VehiclesUniverse!$B$1:$EU$1,0)),"")</f>
        <v/>
      </c>
      <c r="F42" s="6" t="str">
        <f>IF(IFERROR(INDEX([1]VehiclesUniverse!$B$2:$EU$700,MATCH($C42,[1]VehiclesUniverse!$A$2:$A$700,0),MATCH($F$1,[1]VehiclesUniverse!$B$1:$EU$1,0)),"")&lt;&gt;0,(IFERROR(INDEX([1]VehiclesUniverse!$B$2:$EU$700,MATCH($C42,[1]VehiclesUniverse!$A$2:$A$700,0),MATCH($F$1,[1]VehiclesUniverse!$B$1:$EU$1,0)),"")),"")</f>
        <v/>
      </c>
      <c r="G42" s="6" t="str">
        <f>IF(ISBLANK([1]NLFsmonkeyCompl!L43),"",[1]NLFsmonkeyCompl!L43)</f>
        <v>Closed end</v>
      </c>
      <c r="H42" s="6" t="str">
        <f>IFERROR(INDEX([1]VehiclesUniverse!$B$2:$EU$700,MATCH(C42,[1]VehiclesUniverse!$A$2:$A$700,0),MATCH($H$1,[1]VehiclesUniverse!$B$1:$EU$1,0)),"")</f>
        <v/>
      </c>
      <c r="I42" s="6" t="str">
        <f>IF(ISBLANK([1]NLFsmonkeyCompl!M43),"",[1]NLFsmonkeyCompl!M43)</f>
        <v>Yes</v>
      </c>
      <c r="J42" s="6" t="str">
        <f>IF(ISBLANK([1]NLFsmonkeyCompl!N43),"",[1]NLFsmonkeyCompl!N43)</f>
        <v/>
      </c>
      <c r="K42" s="6" t="str">
        <f>IF(ISBLANK([1]NLFsmonkeyCompl!O43),"",[1]NLFsmonkeyCompl!O43)</f>
        <v/>
      </c>
      <c r="L42" s="6" t="str">
        <f>IFERROR(INDEX([1]VehiclesUniverse!$B$2:$EU$700,MATCH(C42,[1]VehiclesUniverse!$A$2:$A$700,0),MATCH($L$1,[1]VehiclesUniverse!$B$1:$EU$1,0)),"")</f>
        <v/>
      </c>
      <c r="M42" s="16" t="str">
        <f>IFERROR(VLOOKUP(L42,'[1]Xrate31.12.20'!$K$2:$N$25,3,0),"")</f>
        <v/>
      </c>
      <c r="N42" s="8" t="str">
        <f>IFERROR(IF(ISBLANK([1]NLFsmonkeyCompl!P43),"",[1]NLFsmonkeyCompl!P43*$M42),"")</f>
        <v/>
      </c>
      <c r="O42" s="8" t="str">
        <f>IFERROR(IF(ISBLANK([1]NLFsmonkeyCompl!Q43),"",[1]NLFsmonkeyCompl!Q43*$M42),"")</f>
        <v/>
      </c>
      <c r="P42" s="8" t="str">
        <f>IFERROR(IF(ISBLANK([1]NLFsmonkeyCompl!R43),"",[1]NLFsmonkeyCompl!R43*$M42),"")</f>
        <v/>
      </c>
      <c r="Q42" s="8" t="str">
        <f>IFERROR(IF(ISBLANK([1]NLFsmonkeyCompl!S43),"",[1]NLFsmonkeyCompl!S43*$M42),"")</f>
        <v/>
      </c>
      <c r="R42" s="8" t="str">
        <f>IFERROR(IF(ISBLANK([1]NLFsmonkeyCompl!T43),"",[1]NLFsmonkeyCompl!T43*$M42),"")</f>
        <v/>
      </c>
      <c r="S42" s="8" t="str">
        <f>IFERROR(IF(ISBLANK([1]NLFsmonkeyCompl!U43),"",[1]NLFsmonkeyCompl!U43*$M42),"")</f>
        <v/>
      </c>
      <c r="T42" s="8" t="str">
        <f>IFERROR(IF(ISBLANK([1]NLFsmonkeyCompl!V43),"",[1]NLFsmonkeyCompl!V43*$M42),"")</f>
        <v/>
      </c>
      <c r="U42" s="8" t="str">
        <f>IFERROR(IF(ISBLANK([1]NLFsmonkeyCompl!W43),"",[1]NLFsmonkeyCompl!W43*$M42),"")</f>
        <v/>
      </c>
      <c r="V42" s="8" t="str">
        <f>IFERROR(IF(ISBLANK([1]NLFsmonkeyCompl!X43),"",[1]NLFsmonkeyCompl!X43*$M42),"")</f>
        <v/>
      </c>
      <c r="W42" s="8" t="str">
        <f>IFERROR(IF(ISBLANK([1]NLFsmonkeyCompl!Y43),"",[1]NLFsmonkeyCompl!Y43*$M42),"")</f>
        <v/>
      </c>
      <c r="X42" s="8" t="str">
        <f>IFERROR(IF(ISBLANK([1]NLFsmonkeyCompl!Z43),"",[1]NLFsmonkeyCompl!Z43*$M42),"")</f>
        <v/>
      </c>
      <c r="Y42" s="8" t="str">
        <f>IFERROR(IF(ISBLANK([1]NLFsmonkeyCompl!AA43),"",[1]NLFsmonkeyCompl!AA43*$M42),"")</f>
        <v/>
      </c>
      <c r="Z42" s="8" t="str">
        <f>IFERROR(IF(ISBLANK([1]NLFsmonkeyCompl!AB43),"",[1]NLFsmonkeyCompl!AB43*$M42),"")</f>
        <v/>
      </c>
      <c r="AA42" s="8" t="str">
        <f>IFERROR(IF(ISBLANK([1]NLFsmonkeyCompl!AC43),"",[1]NLFsmonkeyCompl!AC43*$M42),"")</f>
        <v/>
      </c>
      <c r="AB42" s="8">
        <f>IFERROR(IF(ISBLANK([1]NLFsmonkeyCompl!AD43),"",[1]NLFsmonkeyCompl!AD43),"")</f>
        <v>0</v>
      </c>
      <c r="AC42" s="8">
        <f>IFERROR(IF(ISBLANK([1]NLFsmonkeyCompl!AE43),"",[1]NLFsmonkeyCompl!AE43),"")</f>
        <v>0</v>
      </c>
      <c r="AD42" s="8">
        <f>IFERROR(IF(ISBLANK([1]NLFsmonkeyCompl!AF43),"",[1]NLFsmonkeyCompl!AF43),"")</f>
        <v>100</v>
      </c>
      <c r="AE42" s="8">
        <f>IFERROR(IF(ISBLANK([1]NLFsmonkeyCompl!AG43),"",[1]NLFsmonkeyCompl!AG43),"")</f>
        <v>0</v>
      </c>
      <c r="AF42" s="8" t="str">
        <f>IFERROR(IF(ISBLANK([1]NLFsmonkeyCompl!AH43),"",[1]NLFsmonkeyCompl!AH43),"")</f>
        <v>Increase</v>
      </c>
      <c r="AG42" s="8" t="str">
        <f>IFERROR(IF(ISBLANK([1]NLFsmonkeyCompl!AI43),"",[1]NLFsmonkeyCompl!AI43),"")</f>
        <v>Yes</v>
      </c>
    </row>
    <row r="43" spans="1:33" x14ac:dyDescent="0.2">
      <c r="A43" s="5" t="str">
        <f>IF(OR(ISTEXT([1]NLFsmonkeyCompl!J44),ISNUMBER([1]NLFsmonkeyCompl!J44)),[1]NLFsmonkeyCompl!J44,"")</f>
        <v>Savills Investment Management</v>
      </c>
      <c r="B43" s="6" t="str">
        <f>IF(OR(ISTEXT([1]NLFsmonkeyCompl!K44),ISNUMBER([1]NLFsmonkeyCompl!K44)),[1]NLFsmonkeyCompl!K44,"")</f>
        <v>Savills IM European Commercial Fund</v>
      </c>
      <c r="C43" s="6">
        <v>106</v>
      </c>
      <c r="D43" s="6" t="str">
        <f>IFERROR(INDEX([1]VehiclesUniverse!$B$2:$EU$700,MATCH(C43,[1]VehiclesUniverse!$A$2:$A$700,0),MATCH($D$1,[1]VehiclesUniverse!$B$1:$EU$1,0)),"")</f>
        <v>Core</v>
      </c>
      <c r="E43" s="6" t="str">
        <f>IFERROR(INDEX([1]VehiclesUniverse!$B$2:$EU$700,MATCH(C43,[1]VehiclesUniverse!$A$2:$A$700,0),MATCH($E$1,[1]VehiclesUniverse!$B$1:$EU$1,0)),"")</f>
        <v>multi country</v>
      </c>
      <c r="F43" s="6" t="str">
        <f>IF(IFERROR(INDEX([1]VehiclesUniverse!$B$2:$EU$700,MATCH($C43,[1]VehiclesUniverse!$A$2:$A$700,0),MATCH($F$1,[1]VehiclesUniverse!$B$1:$EU$1,0)),"")&lt;&gt;0,(IFERROR(INDEX([1]VehiclesUniverse!$B$2:$EU$700,MATCH($C43,[1]VehiclesUniverse!$A$2:$A$700,0),MATCH($F$1,[1]VehiclesUniverse!$B$1:$EU$1,0)),"")),"")</f>
        <v/>
      </c>
      <c r="G43" s="6" t="str">
        <f>IF(ISBLANK([1]NLFsmonkeyCompl!L44),"",[1]NLFsmonkeyCompl!L44)</f>
        <v>Open end</v>
      </c>
      <c r="H43" s="6">
        <f>IFERROR(INDEX([1]VehiclesUniverse!$B$2:$EU$700,MATCH(C43,[1]VehiclesUniverse!$A$2:$A$700,0),MATCH($H$1,[1]VehiclesUniverse!$B$1:$EU$1,0)),"")</f>
        <v>2008</v>
      </c>
      <c r="I43" s="6" t="str">
        <f>IF(ISBLANK([1]NLFsmonkeyCompl!M44),"",[1]NLFsmonkeyCompl!M44)</f>
        <v>Yes</v>
      </c>
      <c r="J43" s="6" t="str">
        <f>IF(ISBLANK([1]NLFsmonkeyCompl!N44),"",[1]NLFsmonkeyCompl!N44)</f>
        <v/>
      </c>
      <c r="K43" s="6" t="str">
        <f>IF(ISBLANK([1]NLFsmonkeyCompl!O44),"",[1]NLFsmonkeyCompl!O44)</f>
        <v/>
      </c>
      <c r="L43" s="6" t="str">
        <f>IFERROR(INDEX([1]VehiclesUniverse!$B$2:$EU$700,MATCH(C43,[1]VehiclesUniverse!$A$2:$A$700,0),MATCH($L$1,[1]VehiclesUniverse!$B$1:$EU$1,0)),"")</f>
        <v>EUR</v>
      </c>
      <c r="M43" s="16">
        <f>IFERROR(VLOOKUP(L43,'[1]Xrate31.12.20'!$K$2:$N$25,3,0),"")</f>
        <v>1</v>
      </c>
      <c r="N43" s="8">
        <f>IFERROR(IF(ISBLANK([1]NLFsmonkeyCompl!P44),"",[1]NLFsmonkeyCompl!P44*$M43),"")</f>
        <v>35</v>
      </c>
      <c r="O43" s="8">
        <f>IFERROR(IF(ISBLANK([1]NLFsmonkeyCompl!Q44),"",[1]NLFsmonkeyCompl!Q44*$M43),"")</f>
        <v>0</v>
      </c>
      <c r="P43" s="8">
        <f>IFERROR(IF(ISBLANK([1]NLFsmonkeyCompl!R44),"",[1]NLFsmonkeyCompl!R44*$M43),"")</f>
        <v>35</v>
      </c>
      <c r="Q43" s="8">
        <f>IFERROR(IF(ISBLANK([1]NLFsmonkeyCompl!S44),"",[1]NLFsmonkeyCompl!S44*$M43),"")</f>
        <v>0</v>
      </c>
      <c r="R43" s="8">
        <f>IFERROR(IF(ISBLANK([1]NLFsmonkeyCompl!T44),"",[1]NLFsmonkeyCompl!T44*$M43),"")</f>
        <v>0</v>
      </c>
      <c r="S43" s="8">
        <f>IFERROR(IF(ISBLANK([1]NLFsmonkeyCompl!U44),"",[1]NLFsmonkeyCompl!U44*$M43),"")</f>
        <v>0</v>
      </c>
      <c r="T43" s="8">
        <f>IFERROR(IF(ISBLANK([1]NLFsmonkeyCompl!V44),"",[1]NLFsmonkeyCompl!V44*$M43),"")</f>
        <v>0</v>
      </c>
      <c r="U43" s="8">
        <f>IFERROR(IF(ISBLANK([1]NLFsmonkeyCompl!W44),"",[1]NLFsmonkeyCompl!W44*$M43),"")</f>
        <v>0</v>
      </c>
      <c r="V43" s="8">
        <f>IFERROR(IF(ISBLANK([1]NLFsmonkeyCompl!X44),"",[1]NLFsmonkeyCompl!X44*$M43),"")</f>
        <v>0</v>
      </c>
      <c r="W43" s="8">
        <f>IFERROR(IF(ISBLANK([1]NLFsmonkeyCompl!Y44),"",[1]NLFsmonkeyCompl!Y44*$M43),"")</f>
        <v>35</v>
      </c>
      <c r="X43" s="8">
        <f>IFERROR(IF(ISBLANK([1]NLFsmonkeyCompl!Z44),"",[1]NLFsmonkeyCompl!Z44*$M43),"")</f>
        <v>0</v>
      </c>
      <c r="Y43" s="8">
        <f>IFERROR(IF(ISBLANK([1]NLFsmonkeyCompl!AA44),"",[1]NLFsmonkeyCompl!AA44*$M43),"")</f>
        <v>0</v>
      </c>
      <c r="Z43" s="8">
        <f>IFERROR(IF(ISBLANK([1]NLFsmonkeyCompl!AB44),"",[1]NLFsmonkeyCompl!AB44*$M43),"")</f>
        <v>0</v>
      </c>
      <c r="AA43" s="8">
        <f>IFERROR(IF(ISBLANK([1]NLFsmonkeyCompl!AC44),"",[1]NLFsmonkeyCompl!AC44*$M43),"")</f>
        <v>0</v>
      </c>
      <c r="AB43" s="8">
        <f>IFERROR(IF(ISBLANK([1]NLFsmonkeyCompl!AD44),"",[1]NLFsmonkeyCompl!AD44),"")</f>
        <v>0</v>
      </c>
      <c r="AC43" s="8">
        <f>IFERROR(IF(ISBLANK([1]NLFsmonkeyCompl!AE44),"",[1]NLFsmonkeyCompl!AE44),"")</f>
        <v>0</v>
      </c>
      <c r="AD43" s="8">
        <f>IFERROR(IF(ISBLANK([1]NLFsmonkeyCompl!AF44),"",[1]NLFsmonkeyCompl!AF44),"")</f>
        <v>100</v>
      </c>
      <c r="AE43" s="8">
        <f>IFERROR(IF(ISBLANK([1]NLFsmonkeyCompl!AG44),"",[1]NLFsmonkeyCompl!AG44),"")</f>
        <v>0</v>
      </c>
      <c r="AF43" s="8" t="str">
        <f>IFERROR(IF(ISBLANK([1]NLFsmonkeyCompl!AH44),"",[1]NLFsmonkeyCompl!AH44),"")</f>
        <v>Increase</v>
      </c>
      <c r="AG43" s="8" t="str">
        <f>IFERROR(IF(ISBLANK([1]NLFsmonkeyCompl!AI44),"",[1]NLFsmonkeyCompl!AI44),"")</f>
        <v>Yes</v>
      </c>
    </row>
    <row r="44" spans="1:33" x14ac:dyDescent="0.2">
      <c r="A44" s="5" t="str">
        <f>IF(OR(ISTEXT([1]NLFsmonkeyCompl!J45),ISNUMBER([1]NLFsmonkeyCompl!J45)),[1]NLFsmonkeyCompl!J45,"")</f>
        <v>Savills Investment Management</v>
      </c>
      <c r="B44" s="6" t="str">
        <f>IF(OR(ISTEXT([1]NLFsmonkeyCompl!K45),ISNUMBER([1]NLFsmonkeyCompl!K45)),[1]NLFsmonkeyCompl!K45,"")</f>
        <v>Savills IM European Logistics Fund 3</v>
      </c>
      <c r="C44" s="6">
        <v>18125</v>
      </c>
      <c r="D44" s="6" t="str">
        <f>IFERROR(INDEX([1]VehiclesUniverse!$B$2:$EU$700,MATCH(C44,[1]VehiclesUniverse!$A$2:$A$700,0),MATCH($D$1,[1]VehiclesUniverse!$B$1:$EU$1,0)),"")</f>
        <v>Core</v>
      </c>
      <c r="E44" s="6" t="str">
        <f>IFERROR(INDEX([1]VehiclesUniverse!$B$2:$EU$700,MATCH(C44,[1]VehiclesUniverse!$A$2:$A$700,0),MATCH($E$1,[1]VehiclesUniverse!$B$1:$EU$1,0)),"")</f>
        <v>multi country</v>
      </c>
      <c r="F44" s="6" t="str">
        <f>IF(IFERROR(INDEX([1]VehiclesUniverse!$B$2:$EU$700,MATCH($C44,[1]VehiclesUniverse!$A$2:$A$700,0),MATCH($F$1,[1]VehiclesUniverse!$B$1:$EU$1,0)),"")&lt;&gt;0,(IFERROR(INDEX([1]VehiclesUniverse!$B$2:$EU$700,MATCH($C44,[1]VehiclesUniverse!$A$2:$A$700,0),MATCH($F$1,[1]VehiclesUniverse!$B$1:$EU$1,0)),"")),"")</f>
        <v/>
      </c>
      <c r="G44" s="6" t="str">
        <f>IF(ISBLANK([1]NLFsmonkeyCompl!L45),"",[1]NLFsmonkeyCompl!L45)</f>
        <v>Open end</v>
      </c>
      <c r="H44" s="7">
        <v>2019</v>
      </c>
      <c r="I44" s="6" t="str">
        <f>IF(ISBLANK([1]NLFsmonkeyCompl!M45),"",[1]NLFsmonkeyCompl!M45)</f>
        <v>Yes</v>
      </c>
      <c r="J44" s="6" t="str">
        <f>IF(ISBLANK([1]NLFsmonkeyCompl!N45),"",[1]NLFsmonkeyCompl!N45)</f>
        <v/>
      </c>
      <c r="K44" s="6" t="str">
        <f>IF(ISBLANK([1]NLFsmonkeyCompl!O45),"",[1]NLFsmonkeyCompl!O45)</f>
        <v/>
      </c>
      <c r="L44" s="6" t="str">
        <f>IFERROR(INDEX([1]VehiclesUniverse!$B$2:$EU$700,MATCH(C44,[1]VehiclesUniverse!$A$2:$A$700,0),MATCH($L$1,[1]VehiclesUniverse!$B$1:$EU$1,0)),"")</f>
        <v>EUR</v>
      </c>
      <c r="M44" s="16">
        <f>IFERROR(VLOOKUP(L44,'[1]Xrate31.12.20'!$K$2:$N$25,3,0),"")</f>
        <v>1</v>
      </c>
      <c r="N44" s="8">
        <f>IFERROR(IF(ISBLANK([1]NLFsmonkeyCompl!P45),"",[1]NLFsmonkeyCompl!P45*$M44),"")</f>
        <v>224</v>
      </c>
      <c r="O44" s="8">
        <f>IFERROR(IF(ISBLANK([1]NLFsmonkeyCompl!Q45),"",[1]NLFsmonkeyCompl!Q45*$M44),"")</f>
        <v>18</v>
      </c>
      <c r="P44" s="8">
        <f>IFERROR(IF(ISBLANK([1]NLFsmonkeyCompl!R45),"",[1]NLFsmonkeyCompl!R45*$M44),"")</f>
        <v>160</v>
      </c>
      <c r="Q44" s="8">
        <f>IFERROR(IF(ISBLANK([1]NLFsmonkeyCompl!S45),"",[1]NLFsmonkeyCompl!S45*$M44),"")</f>
        <v>0</v>
      </c>
      <c r="R44" s="8">
        <f>IFERROR(IF(ISBLANK([1]NLFsmonkeyCompl!T45),"",[1]NLFsmonkeyCompl!T45*$M44),"")</f>
        <v>0</v>
      </c>
      <c r="S44" s="8">
        <f>IFERROR(IF(ISBLANK([1]NLFsmonkeyCompl!U45),"",[1]NLFsmonkeyCompl!U45*$M44),"")</f>
        <v>0</v>
      </c>
      <c r="T44" s="8">
        <f>IFERROR(IF(ISBLANK([1]NLFsmonkeyCompl!V45),"",[1]NLFsmonkeyCompl!V45*$M44),"")</f>
        <v>10</v>
      </c>
      <c r="U44" s="8">
        <f>IFERROR(IF(ISBLANK([1]NLFsmonkeyCompl!W45),"",[1]NLFsmonkeyCompl!W45*$M44),"")</f>
        <v>0</v>
      </c>
      <c r="V44" s="8">
        <f>IFERROR(IF(ISBLANK([1]NLFsmonkeyCompl!X45),"",[1]NLFsmonkeyCompl!X45*$M44),"")</f>
        <v>36</v>
      </c>
      <c r="W44" s="8">
        <f>IFERROR(IF(ISBLANK([1]NLFsmonkeyCompl!Y45),"",[1]NLFsmonkeyCompl!Y45*$M44),"")</f>
        <v>224</v>
      </c>
      <c r="X44" s="8">
        <f>IFERROR(IF(ISBLANK([1]NLFsmonkeyCompl!Z45),"",[1]NLFsmonkeyCompl!Z45*$M44),"")</f>
        <v>0</v>
      </c>
      <c r="Y44" s="8">
        <f>IFERROR(IF(ISBLANK([1]NLFsmonkeyCompl!AA45),"",[1]NLFsmonkeyCompl!AA45*$M44),"")</f>
        <v>0</v>
      </c>
      <c r="Z44" s="8">
        <f>IFERROR(IF(ISBLANK([1]NLFsmonkeyCompl!AB45),"",[1]NLFsmonkeyCompl!AB45*$M44),"")</f>
        <v>0</v>
      </c>
      <c r="AA44" s="8">
        <f>IFERROR(IF(ISBLANK([1]NLFsmonkeyCompl!AC45),"",[1]NLFsmonkeyCompl!AC45*$M44),"")</f>
        <v>0</v>
      </c>
      <c r="AB44" s="8">
        <f>IFERROR(IF(ISBLANK([1]NLFsmonkeyCompl!AD45),"",[1]NLFsmonkeyCompl!AD45),"")</f>
        <v>0</v>
      </c>
      <c r="AC44" s="8">
        <f>IFERROR(IF(ISBLANK([1]NLFsmonkeyCompl!AE45),"",[1]NLFsmonkeyCompl!AE45),"")</f>
        <v>0</v>
      </c>
      <c r="AD44" s="8">
        <f>IFERROR(IF(ISBLANK([1]NLFsmonkeyCompl!AF45),"",[1]NLFsmonkeyCompl!AF45),"")</f>
        <v>100</v>
      </c>
      <c r="AE44" s="8">
        <f>IFERROR(IF(ISBLANK([1]NLFsmonkeyCompl!AG45),"",[1]NLFsmonkeyCompl!AG45),"")</f>
        <v>0</v>
      </c>
      <c r="AF44" s="8" t="str">
        <f>IFERROR(IF(ISBLANK([1]NLFsmonkeyCompl!AH45),"",[1]NLFsmonkeyCompl!AH45),"")</f>
        <v>Increase</v>
      </c>
      <c r="AG44" s="8" t="str">
        <f>IFERROR(IF(ISBLANK([1]NLFsmonkeyCompl!AI45),"",[1]NLFsmonkeyCompl!AI45),"")</f>
        <v>Yes</v>
      </c>
    </row>
    <row r="45" spans="1:33" x14ac:dyDescent="0.2">
      <c r="A45" s="5" t="str">
        <f>IF(OR(ISTEXT([1]NLFsmonkeyCompl!J46),ISNUMBER([1]NLFsmonkeyCompl!J46)),[1]NLFsmonkeyCompl!J46,"")</f>
        <v xml:space="preserve">Goodman </v>
      </c>
      <c r="B45" s="6" t="str">
        <f>IF(OR(ISTEXT([1]NLFsmonkeyCompl!K46),ISNUMBER([1]NLFsmonkeyCompl!K46)),[1]NLFsmonkeyCompl!K46,"")</f>
        <v>GEP</v>
      </c>
      <c r="C45" s="6"/>
      <c r="D45" s="6" t="str">
        <f>IFERROR(INDEX([1]VehiclesUniverse!$B$2:$EU$700,MATCH(C45,[1]VehiclesUniverse!$A$2:$A$700,0),MATCH($D$1,[1]VehiclesUniverse!$B$1:$EU$1,0)),"")</f>
        <v/>
      </c>
      <c r="E45" s="6" t="str">
        <f>IFERROR(INDEX([1]VehiclesUniverse!$B$2:$EU$700,MATCH(C45,[1]VehiclesUniverse!$A$2:$A$700,0),MATCH($E$1,[1]VehiclesUniverse!$B$1:$EU$1,0)),"")</f>
        <v/>
      </c>
      <c r="F45" s="6" t="str">
        <f>IF(IFERROR(INDEX([1]VehiclesUniverse!$B$2:$EU$700,MATCH($C45,[1]VehiclesUniverse!$A$2:$A$700,0),MATCH($F$1,[1]VehiclesUniverse!$B$1:$EU$1,0)),"")&lt;&gt;0,(IFERROR(INDEX([1]VehiclesUniverse!$B$2:$EU$700,MATCH($C45,[1]VehiclesUniverse!$A$2:$A$700,0),MATCH($F$1,[1]VehiclesUniverse!$B$1:$EU$1,0)),"")),"")</f>
        <v/>
      </c>
      <c r="G45" s="6" t="str">
        <f>IF(ISBLANK([1]NLFsmonkeyCompl!L46),"",[1]NLFsmonkeyCompl!L46)</f>
        <v>Open end</v>
      </c>
      <c r="H45" s="6" t="str">
        <f>IFERROR(INDEX([1]VehiclesUniverse!$B$2:$EU$700,MATCH(C45,[1]VehiclesUniverse!$A$2:$A$700,0),MATCH($H$1,[1]VehiclesUniverse!$B$1:$EU$1,0)),"")</f>
        <v/>
      </c>
      <c r="I45" s="6" t="str">
        <f>IF(ISBLANK([1]NLFsmonkeyCompl!M46),"",[1]NLFsmonkeyCompl!M46)</f>
        <v>No</v>
      </c>
      <c r="J45" s="6" t="str">
        <f>IF(ISBLANK([1]NLFsmonkeyCompl!N46),"",[1]NLFsmonkeyCompl!N46)</f>
        <v>Other (please specify)</v>
      </c>
      <c r="K45" s="6" t="str">
        <f>IF(ISBLANK([1]NLFsmonkeyCompl!O46),"",[1]NLFsmonkeyCompl!O46)</f>
        <v>N/A</v>
      </c>
      <c r="L45" s="6" t="str">
        <f>IFERROR(INDEX([1]VehiclesUniverse!$B$2:$EU$700,MATCH(C45,[1]VehiclesUniverse!$A$2:$A$700,0),MATCH($L$1,[1]VehiclesUniverse!$B$1:$EU$1,0)),"")</f>
        <v/>
      </c>
      <c r="M45" s="16" t="str">
        <f>IFERROR(VLOOKUP(L45,'[1]Xrate31.12.20'!$K$2:$N$25,3,0),"")</f>
        <v/>
      </c>
      <c r="N45" s="8" t="str">
        <f>IFERROR(IF(ISBLANK([1]NLFsmonkeyCompl!P46),"",[1]NLFsmonkeyCompl!P46*$M45),"")</f>
        <v/>
      </c>
      <c r="O45" s="8" t="str">
        <f>IFERROR(IF(ISBLANK([1]NLFsmonkeyCompl!Q46),"",[1]NLFsmonkeyCompl!Q46*$M45),"")</f>
        <v/>
      </c>
      <c r="P45" s="8" t="str">
        <f>IFERROR(IF(ISBLANK([1]NLFsmonkeyCompl!R46),"",[1]NLFsmonkeyCompl!R46*$M45),"")</f>
        <v/>
      </c>
      <c r="Q45" s="8" t="str">
        <f>IFERROR(IF(ISBLANK([1]NLFsmonkeyCompl!S46),"",[1]NLFsmonkeyCompl!S46*$M45),"")</f>
        <v/>
      </c>
      <c r="R45" s="8" t="str">
        <f>IFERROR(IF(ISBLANK([1]NLFsmonkeyCompl!T46),"",[1]NLFsmonkeyCompl!T46*$M45),"")</f>
        <v/>
      </c>
      <c r="S45" s="8" t="str">
        <f>IFERROR(IF(ISBLANK([1]NLFsmonkeyCompl!U46),"",[1]NLFsmonkeyCompl!U46*$M45),"")</f>
        <v/>
      </c>
      <c r="T45" s="8" t="str">
        <f>IFERROR(IF(ISBLANK([1]NLFsmonkeyCompl!V46),"",[1]NLFsmonkeyCompl!V46*$M45),"")</f>
        <v/>
      </c>
      <c r="U45" s="8" t="str">
        <f>IFERROR(IF(ISBLANK([1]NLFsmonkeyCompl!W46),"",[1]NLFsmonkeyCompl!W46*$M45),"")</f>
        <v/>
      </c>
      <c r="V45" s="8" t="str">
        <f>IFERROR(IF(ISBLANK([1]NLFsmonkeyCompl!X46),"",[1]NLFsmonkeyCompl!X46*$M45),"")</f>
        <v/>
      </c>
      <c r="W45" s="8" t="str">
        <f>IFERROR(IF(ISBLANK([1]NLFsmonkeyCompl!Y46),"",[1]NLFsmonkeyCompl!Y46*$M45),"")</f>
        <v/>
      </c>
      <c r="X45" s="8" t="str">
        <f>IFERROR(IF(ISBLANK([1]NLFsmonkeyCompl!Z46),"",[1]NLFsmonkeyCompl!Z46*$M45),"")</f>
        <v/>
      </c>
      <c r="Y45" s="8" t="str">
        <f>IFERROR(IF(ISBLANK([1]NLFsmonkeyCompl!AA46),"",[1]NLFsmonkeyCompl!AA46*$M45),"")</f>
        <v/>
      </c>
      <c r="Z45" s="8" t="str">
        <f>IFERROR(IF(ISBLANK([1]NLFsmonkeyCompl!AB46),"",[1]NLFsmonkeyCompl!AB46*$M45),"")</f>
        <v/>
      </c>
      <c r="AA45" s="8" t="str">
        <f>IFERROR(IF(ISBLANK([1]NLFsmonkeyCompl!AC46),"",[1]NLFsmonkeyCompl!AC46*$M45),"")</f>
        <v/>
      </c>
      <c r="AB45" s="8" t="str">
        <f>IFERROR(IF(ISBLANK([1]NLFsmonkeyCompl!AD46),"",[1]NLFsmonkeyCompl!AD46),"")</f>
        <v/>
      </c>
      <c r="AC45" s="8" t="str">
        <f>IFERROR(IF(ISBLANK([1]NLFsmonkeyCompl!AE46),"",[1]NLFsmonkeyCompl!AE46),"")</f>
        <v/>
      </c>
      <c r="AD45" s="8" t="str">
        <f>IFERROR(IF(ISBLANK([1]NLFsmonkeyCompl!AF46),"",[1]NLFsmonkeyCompl!AF46),"")</f>
        <v/>
      </c>
      <c r="AE45" s="8" t="str">
        <f>IFERROR(IF(ISBLANK([1]NLFsmonkeyCompl!AG46),"",[1]NLFsmonkeyCompl!AG46),"")</f>
        <v/>
      </c>
      <c r="AF45" s="8" t="str">
        <f>IFERROR(IF(ISBLANK([1]NLFsmonkeyCompl!AH46),"",[1]NLFsmonkeyCompl!AH46),"")</f>
        <v>Increase</v>
      </c>
      <c r="AG45" s="8" t="str">
        <f>IFERROR(IF(ISBLANK([1]NLFsmonkeyCompl!AI46),"",[1]NLFsmonkeyCompl!AI46),"")</f>
        <v>No</v>
      </c>
    </row>
    <row r="46" spans="1:33" x14ac:dyDescent="0.2">
      <c r="A46" s="5" t="str">
        <f>IF(OR(ISTEXT([1]NLFsmonkeyCompl!J47),ISNUMBER([1]NLFsmonkeyCompl!J47)),[1]NLFsmonkeyCompl!J47,"")</f>
        <v>Savills Investment Management SGR SpA</v>
      </c>
      <c r="B46" s="6" t="str">
        <f>IF(OR(ISTEXT([1]NLFsmonkeyCompl!K47),ISNUMBER([1]NLFsmonkeyCompl!K47)),[1]NLFsmonkeyCompl!K47,"")</f>
        <v>Boccaccio - Fondo comune di investimento immobiliare di tipo chiuso</v>
      </c>
      <c r="C46" s="6">
        <v>19629</v>
      </c>
      <c r="D46" s="6" t="str">
        <f>IFERROR(INDEX([1]VehiclesUniverse!$B$2:$EU$700,MATCH(C46,[1]VehiclesUniverse!$A$2:$A$700,0),MATCH($D$1,[1]VehiclesUniverse!$B$1:$EU$1,0)),"")</f>
        <v>Core</v>
      </c>
      <c r="E46" s="6" t="str">
        <f>IFERROR(INDEX([1]VehiclesUniverse!$B$2:$EU$700,MATCH(C46,[1]VehiclesUniverse!$A$2:$A$700,0),MATCH($E$1,[1]VehiclesUniverse!$B$1:$EU$1,0)),"")</f>
        <v>single country</v>
      </c>
      <c r="F46" s="6" t="str">
        <f>IF(IFERROR(INDEX([1]VehiclesUniverse!$B$2:$EU$700,MATCH($C46,[1]VehiclesUniverse!$A$2:$A$700,0),MATCH($F$1,[1]VehiclesUniverse!$B$1:$EU$1,0)),"")&lt;&gt;0,(IFERROR(INDEX([1]VehiclesUniverse!$B$2:$EU$700,MATCH($C46,[1]VehiclesUniverse!$A$2:$A$700,0),MATCH($F$1,[1]VehiclesUniverse!$B$1:$EU$1,0)),"")),"")</f>
        <v>Italy</v>
      </c>
      <c r="G46" s="6" t="str">
        <f>IF(ISBLANK([1]NLFsmonkeyCompl!L47),"",[1]NLFsmonkeyCompl!L47)</f>
        <v>Closed end</v>
      </c>
      <c r="H46" s="6">
        <f>IFERROR(INDEX([1]VehiclesUniverse!$B$2:$EU$700,MATCH(C46,[1]VehiclesUniverse!$A$2:$A$700,0),MATCH($H$1,[1]VehiclesUniverse!$B$1:$EU$1,0)),"")</f>
        <v>2007</v>
      </c>
      <c r="I46" s="6" t="str">
        <f>IF(ISBLANK([1]NLFsmonkeyCompl!M47),"",[1]NLFsmonkeyCompl!M47)</f>
        <v>No</v>
      </c>
      <c r="J46" s="6" t="str">
        <f>IF(ISBLANK([1]NLFsmonkeyCompl!N47),"",[1]NLFsmonkeyCompl!N47)</f>
        <v>Other (please specify)</v>
      </c>
      <c r="K46" s="6" t="str">
        <f>IF(ISBLANK([1]NLFsmonkeyCompl!O47),"",[1]NLFsmonkeyCompl!O47)</f>
        <v>End of the subscription/capital raising period</v>
      </c>
      <c r="L46" s="6" t="str">
        <f>IFERROR(INDEX([1]VehiclesUniverse!$B$2:$EU$700,MATCH(C46,[1]VehiclesUniverse!$A$2:$A$700,0),MATCH($L$1,[1]VehiclesUniverse!$B$1:$EU$1,0)),"")</f>
        <v>EUR</v>
      </c>
      <c r="M46" s="16">
        <f>IFERROR(VLOOKUP(L46,'[1]Xrate31.12.20'!$K$2:$N$25,3,0),"")</f>
        <v>1</v>
      </c>
      <c r="N46" s="8" t="str">
        <f>IFERROR(IF(ISBLANK([1]NLFsmonkeyCompl!P47),"",[1]NLFsmonkeyCompl!P47*$M46),"")</f>
        <v/>
      </c>
      <c r="O46" s="8" t="str">
        <f>IFERROR(IF(ISBLANK([1]NLFsmonkeyCompl!Q47),"",[1]NLFsmonkeyCompl!Q47*$M46),"")</f>
        <v/>
      </c>
      <c r="P46" s="8" t="str">
        <f>IFERROR(IF(ISBLANK([1]NLFsmonkeyCompl!R47),"",[1]NLFsmonkeyCompl!R47*$M46),"")</f>
        <v/>
      </c>
      <c r="Q46" s="8" t="str">
        <f>IFERROR(IF(ISBLANK([1]NLFsmonkeyCompl!S47),"",[1]NLFsmonkeyCompl!S47*$M46),"")</f>
        <v/>
      </c>
      <c r="R46" s="8" t="str">
        <f>IFERROR(IF(ISBLANK([1]NLFsmonkeyCompl!T47),"",[1]NLFsmonkeyCompl!T47*$M46),"")</f>
        <v/>
      </c>
      <c r="S46" s="8" t="str">
        <f>IFERROR(IF(ISBLANK([1]NLFsmonkeyCompl!U47),"",[1]NLFsmonkeyCompl!U47*$M46),"")</f>
        <v/>
      </c>
      <c r="T46" s="8" t="str">
        <f>IFERROR(IF(ISBLANK([1]NLFsmonkeyCompl!V47),"",[1]NLFsmonkeyCompl!V47*$M46),"")</f>
        <v/>
      </c>
      <c r="U46" s="8" t="str">
        <f>IFERROR(IF(ISBLANK([1]NLFsmonkeyCompl!W47),"",[1]NLFsmonkeyCompl!W47*$M46),"")</f>
        <v/>
      </c>
      <c r="V46" s="8" t="str">
        <f>IFERROR(IF(ISBLANK([1]NLFsmonkeyCompl!X47),"",[1]NLFsmonkeyCompl!X47*$M46),"")</f>
        <v/>
      </c>
      <c r="W46" s="8" t="str">
        <f>IFERROR(IF(ISBLANK([1]NLFsmonkeyCompl!Y47),"",[1]NLFsmonkeyCompl!Y47*$M46),"")</f>
        <v/>
      </c>
      <c r="X46" s="8" t="str">
        <f>IFERROR(IF(ISBLANK([1]NLFsmonkeyCompl!Z47),"",[1]NLFsmonkeyCompl!Z47*$M46),"")</f>
        <v/>
      </c>
      <c r="Y46" s="8" t="str">
        <f>IFERROR(IF(ISBLANK([1]NLFsmonkeyCompl!AA47),"",[1]NLFsmonkeyCompl!AA47*$M46),"")</f>
        <v/>
      </c>
      <c r="Z46" s="8" t="str">
        <f>IFERROR(IF(ISBLANK([1]NLFsmonkeyCompl!AB47),"",[1]NLFsmonkeyCompl!AB47*$M46),"")</f>
        <v/>
      </c>
      <c r="AA46" s="8" t="str">
        <f>IFERROR(IF(ISBLANK([1]NLFsmonkeyCompl!AC47),"",[1]NLFsmonkeyCompl!AC47*$M46),"")</f>
        <v/>
      </c>
      <c r="AB46" s="8" t="str">
        <f>IFERROR(IF(ISBLANK([1]NLFsmonkeyCompl!AD47),"",[1]NLFsmonkeyCompl!AD47),"")</f>
        <v/>
      </c>
      <c r="AC46" s="8" t="str">
        <f>IFERROR(IF(ISBLANK([1]NLFsmonkeyCompl!AE47),"",[1]NLFsmonkeyCompl!AE47),"")</f>
        <v/>
      </c>
      <c r="AD46" s="8" t="str">
        <f>IFERROR(IF(ISBLANK([1]NLFsmonkeyCompl!AF47),"",[1]NLFsmonkeyCompl!AF47),"")</f>
        <v/>
      </c>
      <c r="AE46" s="8" t="str">
        <f>IFERROR(IF(ISBLANK([1]NLFsmonkeyCompl!AG47),"",[1]NLFsmonkeyCompl!AG47),"")</f>
        <v/>
      </c>
      <c r="AF46" s="8" t="str">
        <f>IFERROR(IF(ISBLANK([1]NLFsmonkeyCompl!AH47),"",[1]NLFsmonkeyCompl!AH47),"")</f>
        <v>Increase</v>
      </c>
      <c r="AG46" s="8" t="str">
        <f>IFERROR(IF(ISBLANK([1]NLFsmonkeyCompl!AI47),"",[1]NLFsmonkeyCompl!AI47),"")</f>
        <v>No</v>
      </c>
    </row>
    <row r="47" spans="1:33" x14ac:dyDescent="0.2">
      <c r="A47" s="5" t="str">
        <f>IF(OR(ISTEXT([1]NLFsmonkeyCompl!J48),ISNUMBER([1]NLFsmonkeyCompl!J48)),[1]NLFsmonkeyCompl!J48,"")</f>
        <v>Goodman</v>
      </c>
      <c r="B47" s="6" t="str">
        <f>IF(OR(ISTEXT([1]NLFsmonkeyCompl!K48),ISNUMBER([1]NLFsmonkeyCompl!K48)),[1]NLFsmonkeyCompl!K48,"")</f>
        <v>Goodman European Partnership</v>
      </c>
      <c r="C47" s="6" t="s">
        <v>52</v>
      </c>
      <c r="D47" s="6" t="str">
        <f>IFERROR(INDEX([1]VehiclesUniverse!$B$2:$EU$700,MATCH(C47,[1]VehiclesUniverse!$A$2:$A$700,0),MATCH($D$1,[1]VehiclesUniverse!$B$1:$EU$1,0)),"")</f>
        <v/>
      </c>
      <c r="E47" s="6" t="str">
        <f>IFERROR(INDEX([1]VehiclesUniverse!$B$2:$EU$700,MATCH(C47,[1]VehiclesUniverse!$A$2:$A$700,0),MATCH($E$1,[1]VehiclesUniverse!$B$1:$EU$1,0)),"")</f>
        <v/>
      </c>
      <c r="F47" s="6" t="str">
        <f>IF(IFERROR(INDEX([1]VehiclesUniverse!$B$2:$EU$700,MATCH($C47,[1]VehiclesUniverse!$A$2:$A$700,0),MATCH($F$1,[1]VehiclesUniverse!$B$1:$EU$1,0)),"")&lt;&gt;0,(IFERROR(INDEX([1]VehiclesUniverse!$B$2:$EU$700,MATCH($C47,[1]VehiclesUniverse!$A$2:$A$700,0),MATCH($F$1,[1]VehiclesUniverse!$B$1:$EU$1,0)),"")),"")</f>
        <v/>
      </c>
      <c r="G47" s="6" t="str">
        <f>IF(ISBLANK([1]NLFsmonkeyCompl!L48),"",[1]NLFsmonkeyCompl!L48)</f>
        <v>Open end</v>
      </c>
      <c r="H47" s="6" t="str">
        <f>IFERROR(INDEX([1]VehiclesUniverse!$B$2:$EU$700,MATCH(C47,[1]VehiclesUniverse!$A$2:$A$700,0),MATCH($H$1,[1]VehiclesUniverse!$B$1:$EU$1,0)),"")</f>
        <v/>
      </c>
      <c r="I47" s="6" t="str">
        <f>IF(ISBLANK([1]NLFsmonkeyCompl!M48),"",[1]NLFsmonkeyCompl!M48)</f>
        <v>No</v>
      </c>
      <c r="J47" s="6" t="str">
        <f>IF(ISBLANK([1]NLFsmonkeyCompl!N48),"",[1]NLFsmonkeyCompl!N48)</f>
        <v>Other (please specify)</v>
      </c>
      <c r="K47" s="6" t="str">
        <f>IF(ISBLANK([1]NLFsmonkeyCompl!O48),"",[1]NLFsmonkeyCompl!O48)</f>
        <v>Sufficient liquidity and remaining outstanding capital commitment.</v>
      </c>
      <c r="L47" s="6" t="str">
        <f>IFERROR(INDEX([1]VehiclesUniverse!$B$2:$EU$700,MATCH(C47,[1]VehiclesUniverse!$A$2:$A$700,0),MATCH($L$1,[1]VehiclesUniverse!$B$1:$EU$1,0)),"")</f>
        <v/>
      </c>
      <c r="M47" s="16" t="str">
        <f>IFERROR(VLOOKUP(L47,'[1]Xrate31.12.20'!$K$2:$N$25,3,0),"")</f>
        <v/>
      </c>
      <c r="N47" s="8" t="str">
        <f>IFERROR(IF(ISBLANK([1]NLFsmonkeyCompl!P48),"",[1]NLFsmonkeyCompl!P48*$M47),"")</f>
        <v/>
      </c>
      <c r="O47" s="8" t="str">
        <f>IFERROR(IF(ISBLANK([1]NLFsmonkeyCompl!Q48),"",[1]NLFsmonkeyCompl!Q48*$M47),"")</f>
        <v/>
      </c>
      <c r="P47" s="8" t="str">
        <f>IFERROR(IF(ISBLANK([1]NLFsmonkeyCompl!R48),"",[1]NLFsmonkeyCompl!R48*$M47),"")</f>
        <v/>
      </c>
      <c r="Q47" s="8" t="str">
        <f>IFERROR(IF(ISBLANK([1]NLFsmonkeyCompl!S48),"",[1]NLFsmonkeyCompl!S48*$M47),"")</f>
        <v/>
      </c>
      <c r="R47" s="8" t="str">
        <f>IFERROR(IF(ISBLANK([1]NLFsmonkeyCompl!T48),"",[1]NLFsmonkeyCompl!T48*$M47),"")</f>
        <v/>
      </c>
      <c r="S47" s="8" t="str">
        <f>IFERROR(IF(ISBLANK([1]NLFsmonkeyCompl!U48),"",[1]NLFsmonkeyCompl!U48*$M47),"")</f>
        <v/>
      </c>
      <c r="T47" s="8" t="str">
        <f>IFERROR(IF(ISBLANK([1]NLFsmonkeyCompl!V48),"",[1]NLFsmonkeyCompl!V48*$M47),"")</f>
        <v/>
      </c>
      <c r="U47" s="8" t="str">
        <f>IFERROR(IF(ISBLANK([1]NLFsmonkeyCompl!W48),"",[1]NLFsmonkeyCompl!W48*$M47),"")</f>
        <v/>
      </c>
      <c r="V47" s="8" t="str">
        <f>IFERROR(IF(ISBLANK([1]NLFsmonkeyCompl!X48),"",[1]NLFsmonkeyCompl!X48*$M47),"")</f>
        <v/>
      </c>
      <c r="W47" s="8" t="str">
        <f>IFERROR(IF(ISBLANK([1]NLFsmonkeyCompl!Y48),"",[1]NLFsmonkeyCompl!Y48*$M47),"")</f>
        <v/>
      </c>
      <c r="X47" s="8" t="str">
        <f>IFERROR(IF(ISBLANK([1]NLFsmonkeyCompl!Z48),"",[1]NLFsmonkeyCompl!Z48*$M47),"")</f>
        <v/>
      </c>
      <c r="Y47" s="8" t="str">
        <f>IFERROR(IF(ISBLANK([1]NLFsmonkeyCompl!AA48),"",[1]NLFsmonkeyCompl!AA48*$M47),"")</f>
        <v/>
      </c>
      <c r="Z47" s="8" t="str">
        <f>IFERROR(IF(ISBLANK([1]NLFsmonkeyCompl!AB48),"",[1]NLFsmonkeyCompl!AB48*$M47),"")</f>
        <v/>
      </c>
      <c r="AA47" s="8" t="str">
        <f>IFERROR(IF(ISBLANK([1]NLFsmonkeyCompl!AC48),"",[1]NLFsmonkeyCompl!AC48*$M47),"")</f>
        <v/>
      </c>
      <c r="AB47" s="8" t="str">
        <f>IFERROR(IF(ISBLANK([1]NLFsmonkeyCompl!AD48),"",[1]NLFsmonkeyCompl!AD48),"")</f>
        <v/>
      </c>
      <c r="AC47" s="8" t="str">
        <f>IFERROR(IF(ISBLANK([1]NLFsmonkeyCompl!AE48),"",[1]NLFsmonkeyCompl!AE48),"")</f>
        <v/>
      </c>
      <c r="AD47" s="8" t="str">
        <f>IFERROR(IF(ISBLANK([1]NLFsmonkeyCompl!AF48),"",[1]NLFsmonkeyCompl!AF48),"")</f>
        <v/>
      </c>
      <c r="AE47" s="8" t="str">
        <f>IFERROR(IF(ISBLANK([1]NLFsmonkeyCompl!AG48),"",[1]NLFsmonkeyCompl!AG48),"")</f>
        <v/>
      </c>
      <c r="AF47" s="8" t="str">
        <f>IFERROR(IF(ISBLANK([1]NLFsmonkeyCompl!AH48),"",[1]NLFsmonkeyCompl!AH48),"")</f>
        <v>Increase</v>
      </c>
      <c r="AG47" s="8" t="str">
        <f>IFERROR(IF(ISBLANK([1]NLFsmonkeyCompl!AI48),"",[1]NLFsmonkeyCompl!AI48),"")</f>
        <v>No</v>
      </c>
    </row>
    <row r="48" spans="1:33" x14ac:dyDescent="0.2">
      <c r="A48" s="5" t="str">
        <f>IF(OR(ISTEXT([1]NLFsmonkeyCompl!J49),ISNUMBER([1]NLFsmonkeyCompl!J49)),[1]NLFsmonkeyCompl!J49,"")</f>
        <v>Lendlease</v>
      </c>
      <c r="B48" s="6" t="str">
        <f>IF(OR(ISTEXT([1]NLFsmonkeyCompl!K49),ISNUMBER([1]NLFsmonkeyCompl!K49)),[1]NLFsmonkeyCompl!K49,"")</f>
        <v>Australian Prime Property Commercial</v>
      </c>
      <c r="C48" s="6" t="s">
        <v>43</v>
      </c>
      <c r="D48" s="6" t="str">
        <f>IFERROR(INDEX([1]VehiclesUniverse!$B$2:$EU$700,MATCH(C48,[1]VehiclesUniverse!$A$2:$A$700,0),MATCH($D$1,[1]VehiclesUniverse!$B$1:$EU$1,0)),"")</f>
        <v/>
      </c>
      <c r="E48" s="6" t="str">
        <f>IFERROR(INDEX([1]VehiclesUniverse!$B$2:$EU$700,MATCH(C48,[1]VehiclesUniverse!$A$2:$A$700,0),MATCH($E$1,[1]VehiclesUniverse!$B$1:$EU$1,0)),"")</f>
        <v/>
      </c>
      <c r="F48" s="6" t="str">
        <f>IF(IFERROR(INDEX([1]VehiclesUniverse!$B$2:$EU$700,MATCH($C48,[1]VehiclesUniverse!$A$2:$A$700,0),MATCH($F$1,[1]VehiclesUniverse!$B$1:$EU$1,0)),"")&lt;&gt;0,(IFERROR(INDEX([1]VehiclesUniverse!$B$2:$EU$700,MATCH($C48,[1]VehiclesUniverse!$A$2:$A$700,0),MATCH($F$1,[1]VehiclesUniverse!$B$1:$EU$1,0)),"")),"")</f>
        <v/>
      </c>
      <c r="G48" s="6" t="str">
        <f>IF(ISBLANK([1]NLFsmonkeyCompl!L49),"",[1]NLFsmonkeyCompl!L49)</f>
        <v>Open end</v>
      </c>
      <c r="H48" s="6" t="str">
        <f>IFERROR(INDEX([1]VehiclesUniverse!$B$2:$EU$700,MATCH(C48,[1]VehiclesUniverse!$A$2:$A$700,0),MATCH($H$1,[1]VehiclesUniverse!$B$1:$EU$1,0)),"")</f>
        <v/>
      </c>
      <c r="I48" s="6" t="str">
        <f>IF(ISBLANK([1]NLFsmonkeyCompl!M49),"",[1]NLFsmonkeyCompl!M49)</f>
        <v>No</v>
      </c>
      <c r="J48" s="6" t="str">
        <f>IF(ISBLANK([1]NLFsmonkeyCompl!N49),"",[1]NLFsmonkeyCompl!N49)</f>
        <v>Other (please specify)</v>
      </c>
      <c r="K48" s="6" t="str">
        <f>IF(ISBLANK([1]NLFsmonkeyCompl!O49),"",[1]NLFsmonkeyCompl!O49)</f>
        <v>New equity not required</v>
      </c>
      <c r="L48" s="6" t="str">
        <f>IFERROR(INDEX([1]VehiclesUniverse!$B$2:$EU$700,MATCH(C48,[1]VehiclesUniverse!$A$2:$A$700,0),MATCH($L$1,[1]VehiclesUniverse!$B$1:$EU$1,0)),"")</f>
        <v/>
      </c>
      <c r="M48" s="16" t="str">
        <f>IFERROR(VLOOKUP(L48,'[1]Xrate31.12.20'!$K$2:$N$25,3,0),"")</f>
        <v/>
      </c>
      <c r="N48" s="8" t="str">
        <f>IFERROR(IF(ISBLANK([1]NLFsmonkeyCompl!P49),"",[1]NLFsmonkeyCompl!P49*$M48),"")</f>
        <v/>
      </c>
      <c r="O48" s="8" t="str">
        <f>IFERROR(IF(ISBLANK([1]NLFsmonkeyCompl!Q49),"",[1]NLFsmonkeyCompl!Q49*$M48),"")</f>
        <v/>
      </c>
      <c r="P48" s="8" t="str">
        <f>IFERROR(IF(ISBLANK([1]NLFsmonkeyCompl!R49),"",[1]NLFsmonkeyCompl!R49*$M48),"")</f>
        <v/>
      </c>
      <c r="Q48" s="8" t="str">
        <f>IFERROR(IF(ISBLANK([1]NLFsmonkeyCompl!S49),"",[1]NLFsmonkeyCompl!S49*$M48),"")</f>
        <v/>
      </c>
      <c r="R48" s="8" t="str">
        <f>IFERROR(IF(ISBLANK([1]NLFsmonkeyCompl!T49),"",[1]NLFsmonkeyCompl!T49*$M48),"")</f>
        <v/>
      </c>
      <c r="S48" s="8" t="str">
        <f>IFERROR(IF(ISBLANK([1]NLFsmonkeyCompl!U49),"",[1]NLFsmonkeyCompl!U49*$M48),"")</f>
        <v/>
      </c>
      <c r="T48" s="8" t="str">
        <f>IFERROR(IF(ISBLANK([1]NLFsmonkeyCompl!V49),"",[1]NLFsmonkeyCompl!V49*$M48),"")</f>
        <v/>
      </c>
      <c r="U48" s="8" t="str">
        <f>IFERROR(IF(ISBLANK([1]NLFsmonkeyCompl!W49),"",[1]NLFsmonkeyCompl!W49*$M48),"")</f>
        <v/>
      </c>
      <c r="V48" s="8" t="str">
        <f>IFERROR(IF(ISBLANK([1]NLFsmonkeyCompl!X49),"",[1]NLFsmonkeyCompl!X49*$M48),"")</f>
        <v/>
      </c>
      <c r="W48" s="8" t="str">
        <f>IFERROR(IF(ISBLANK([1]NLFsmonkeyCompl!Y49),"",[1]NLFsmonkeyCompl!Y49*$M48),"")</f>
        <v/>
      </c>
      <c r="X48" s="8" t="str">
        <f>IFERROR(IF(ISBLANK([1]NLFsmonkeyCompl!Z49),"",[1]NLFsmonkeyCompl!Z49*$M48),"")</f>
        <v/>
      </c>
      <c r="Y48" s="8" t="str">
        <f>IFERROR(IF(ISBLANK([1]NLFsmonkeyCompl!AA49),"",[1]NLFsmonkeyCompl!AA49*$M48),"")</f>
        <v/>
      </c>
      <c r="Z48" s="8" t="str">
        <f>IFERROR(IF(ISBLANK([1]NLFsmonkeyCompl!AB49),"",[1]NLFsmonkeyCompl!AB49*$M48),"")</f>
        <v/>
      </c>
      <c r="AA48" s="8" t="str">
        <f>IFERROR(IF(ISBLANK([1]NLFsmonkeyCompl!AC49),"",[1]NLFsmonkeyCompl!AC49*$M48),"")</f>
        <v/>
      </c>
      <c r="AB48" s="8" t="str">
        <f>IFERROR(IF(ISBLANK([1]NLFsmonkeyCompl!AD49),"",[1]NLFsmonkeyCompl!AD49),"")</f>
        <v/>
      </c>
      <c r="AC48" s="8" t="str">
        <f>IFERROR(IF(ISBLANK([1]NLFsmonkeyCompl!AE49),"",[1]NLFsmonkeyCompl!AE49),"")</f>
        <v/>
      </c>
      <c r="AD48" s="8" t="str">
        <f>IFERROR(IF(ISBLANK([1]NLFsmonkeyCompl!AF49),"",[1]NLFsmonkeyCompl!AF49),"")</f>
        <v/>
      </c>
      <c r="AE48" s="8" t="str">
        <f>IFERROR(IF(ISBLANK([1]NLFsmonkeyCompl!AG49),"",[1]NLFsmonkeyCompl!AG49),"")</f>
        <v/>
      </c>
      <c r="AF48" s="8" t="str">
        <f>IFERROR(IF(ISBLANK([1]NLFsmonkeyCompl!AH49),"",[1]NLFsmonkeyCompl!AH49),"")</f>
        <v>No change</v>
      </c>
      <c r="AG48" s="8" t="str">
        <f>IFERROR(IF(ISBLANK([1]NLFsmonkeyCompl!AI49),"",[1]NLFsmonkeyCompl!AI49),"")</f>
        <v>No</v>
      </c>
    </row>
    <row r="49" spans="1:33" x14ac:dyDescent="0.2">
      <c r="A49" s="5" t="str">
        <f>IF(OR(ISTEXT([1]NLFsmonkeyCompl!J50),ISNUMBER([1]NLFsmonkeyCompl!J50)),[1]NLFsmonkeyCompl!J50,"")</f>
        <v>Lendlease</v>
      </c>
      <c r="B49" s="6" t="str">
        <f>IF(OR(ISTEXT([1]NLFsmonkeyCompl!K50),ISNUMBER([1]NLFsmonkeyCompl!K50)),[1]NLFsmonkeyCompl!K50,"")</f>
        <v>Australian Prime Property Fund Industrial</v>
      </c>
      <c r="C49" s="6" t="s">
        <v>43</v>
      </c>
      <c r="D49" s="6" t="str">
        <f>IFERROR(INDEX([1]VehiclesUniverse!$B$2:$EU$700,MATCH(C49,[1]VehiclesUniverse!$A$2:$A$700,0),MATCH($D$1,[1]VehiclesUniverse!$B$1:$EU$1,0)),"")</f>
        <v/>
      </c>
      <c r="E49" s="6" t="str">
        <f>IFERROR(INDEX([1]VehiclesUniverse!$B$2:$EU$700,MATCH(C49,[1]VehiclesUniverse!$A$2:$A$700,0),MATCH($E$1,[1]VehiclesUniverse!$B$1:$EU$1,0)),"")</f>
        <v/>
      </c>
      <c r="F49" s="6" t="str">
        <f>IF(IFERROR(INDEX([1]VehiclesUniverse!$B$2:$EU$700,MATCH($C49,[1]VehiclesUniverse!$A$2:$A$700,0),MATCH($F$1,[1]VehiclesUniverse!$B$1:$EU$1,0)),"")&lt;&gt;0,(IFERROR(INDEX([1]VehiclesUniverse!$B$2:$EU$700,MATCH($C49,[1]VehiclesUniverse!$A$2:$A$700,0),MATCH($F$1,[1]VehiclesUniverse!$B$1:$EU$1,0)),"")),"")</f>
        <v/>
      </c>
      <c r="G49" s="6" t="str">
        <f>IF(ISBLANK([1]NLFsmonkeyCompl!L50),"",[1]NLFsmonkeyCompl!L50)</f>
        <v>Open end</v>
      </c>
      <c r="H49" s="6" t="str">
        <f>IFERROR(INDEX([1]VehiclesUniverse!$B$2:$EU$700,MATCH(C49,[1]VehiclesUniverse!$A$2:$A$700,0),MATCH($H$1,[1]VehiclesUniverse!$B$1:$EU$1,0)),"")</f>
        <v/>
      </c>
      <c r="I49" s="6" t="str">
        <f>IF(ISBLANK([1]NLFsmonkeyCompl!M50),"",[1]NLFsmonkeyCompl!M50)</f>
        <v>No</v>
      </c>
      <c r="J49" s="6" t="str">
        <f>IF(ISBLANK([1]NLFsmonkeyCompl!N50),"",[1]NLFsmonkeyCompl!N50)</f>
        <v>Other (please specify)</v>
      </c>
      <c r="K49" s="6" t="str">
        <f>IF(ISBLANK([1]NLFsmonkeyCompl!O50),"",[1]NLFsmonkeyCompl!O50)</f>
        <v>New equity not required</v>
      </c>
      <c r="L49" s="6" t="str">
        <f>IFERROR(INDEX([1]VehiclesUniverse!$B$2:$EU$700,MATCH(C49,[1]VehiclesUniverse!$A$2:$A$700,0),MATCH($L$1,[1]VehiclesUniverse!$B$1:$EU$1,0)),"")</f>
        <v/>
      </c>
      <c r="M49" s="16" t="str">
        <f>IFERROR(VLOOKUP(L49,'[1]Xrate31.12.20'!$K$2:$N$25,3,0),"")</f>
        <v/>
      </c>
      <c r="N49" s="8" t="str">
        <f>IFERROR(IF(ISBLANK([1]NLFsmonkeyCompl!P50),"",[1]NLFsmonkeyCompl!P50*$M49),"")</f>
        <v/>
      </c>
      <c r="O49" s="8" t="str">
        <f>IFERROR(IF(ISBLANK([1]NLFsmonkeyCompl!Q50),"",[1]NLFsmonkeyCompl!Q50*$M49),"")</f>
        <v/>
      </c>
      <c r="P49" s="8" t="str">
        <f>IFERROR(IF(ISBLANK([1]NLFsmonkeyCompl!R50),"",[1]NLFsmonkeyCompl!R50*$M49),"")</f>
        <v/>
      </c>
      <c r="Q49" s="8" t="str">
        <f>IFERROR(IF(ISBLANK([1]NLFsmonkeyCompl!S50),"",[1]NLFsmonkeyCompl!S50*$M49),"")</f>
        <v/>
      </c>
      <c r="R49" s="8" t="str">
        <f>IFERROR(IF(ISBLANK([1]NLFsmonkeyCompl!T50),"",[1]NLFsmonkeyCompl!T50*$M49),"")</f>
        <v/>
      </c>
      <c r="S49" s="8" t="str">
        <f>IFERROR(IF(ISBLANK([1]NLFsmonkeyCompl!U50),"",[1]NLFsmonkeyCompl!U50*$M49),"")</f>
        <v/>
      </c>
      <c r="T49" s="8" t="str">
        <f>IFERROR(IF(ISBLANK([1]NLFsmonkeyCompl!V50),"",[1]NLFsmonkeyCompl!V50*$M49),"")</f>
        <v/>
      </c>
      <c r="U49" s="8" t="str">
        <f>IFERROR(IF(ISBLANK([1]NLFsmonkeyCompl!W50),"",[1]NLFsmonkeyCompl!W50*$M49),"")</f>
        <v/>
      </c>
      <c r="V49" s="8" t="str">
        <f>IFERROR(IF(ISBLANK([1]NLFsmonkeyCompl!X50),"",[1]NLFsmonkeyCompl!X50*$M49),"")</f>
        <v/>
      </c>
      <c r="W49" s="8" t="str">
        <f>IFERROR(IF(ISBLANK([1]NLFsmonkeyCompl!Y50),"",[1]NLFsmonkeyCompl!Y50*$M49),"")</f>
        <v/>
      </c>
      <c r="X49" s="8" t="str">
        <f>IFERROR(IF(ISBLANK([1]NLFsmonkeyCompl!Z50),"",[1]NLFsmonkeyCompl!Z50*$M49),"")</f>
        <v/>
      </c>
      <c r="Y49" s="8" t="str">
        <f>IFERROR(IF(ISBLANK([1]NLFsmonkeyCompl!AA50),"",[1]NLFsmonkeyCompl!AA50*$M49),"")</f>
        <v/>
      </c>
      <c r="Z49" s="8" t="str">
        <f>IFERROR(IF(ISBLANK([1]NLFsmonkeyCompl!AB50),"",[1]NLFsmonkeyCompl!AB50*$M49),"")</f>
        <v/>
      </c>
      <c r="AA49" s="8" t="str">
        <f>IFERROR(IF(ISBLANK([1]NLFsmonkeyCompl!AC50),"",[1]NLFsmonkeyCompl!AC50*$M49),"")</f>
        <v/>
      </c>
      <c r="AB49" s="8" t="str">
        <f>IFERROR(IF(ISBLANK([1]NLFsmonkeyCompl!AD50),"",[1]NLFsmonkeyCompl!AD50),"")</f>
        <v/>
      </c>
      <c r="AC49" s="8" t="str">
        <f>IFERROR(IF(ISBLANK([1]NLFsmonkeyCompl!AE50),"",[1]NLFsmonkeyCompl!AE50),"")</f>
        <v/>
      </c>
      <c r="AD49" s="8" t="str">
        <f>IFERROR(IF(ISBLANK([1]NLFsmonkeyCompl!AF50),"",[1]NLFsmonkeyCompl!AF50),"")</f>
        <v/>
      </c>
      <c r="AE49" s="8" t="str">
        <f>IFERROR(IF(ISBLANK([1]NLFsmonkeyCompl!AG50),"",[1]NLFsmonkeyCompl!AG50),"")</f>
        <v/>
      </c>
      <c r="AF49" s="8" t="str">
        <f>IFERROR(IF(ISBLANK([1]NLFsmonkeyCompl!AH50),"",[1]NLFsmonkeyCompl!AH50),"")</f>
        <v>No change</v>
      </c>
      <c r="AG49" s="8" t="str">
        <f>IFERROR(IF(ISBLANK([1]NLFsmonkeyCompl!AI50),"",[1]NLFsmonkeyCompl!AI50),"")</f>
        <v>No</v>
      </c>
    </row>
    <row r="50" spans="1:33" x14ac:dyDescent="0.2">
      <c r="A50" s="5" t="str">
        <f>IF(OR(ISTEXT([1]NLFsmonkeyCompl!J51),ISNUMBER([1]NLFsmonkeyCompl!J51)),[1]NLFsmonkeyCompl!J51,"")</f>
        <v>Lendlease</v>
      </c>
      <c r="B50" s="6" t="str">
        <f>IF(OR(ISTEXT([1]NLFsmonkeyCompl!K51),ISNUMBER([1]NLFsmonkeyCompl!K51)),[1]NLFsmonkeyCompl!K51,"")</f>
        <v>Australian Prime Property Fund Retail</v>
      </c>
      <c r="C50" s="6" t="s">
        <v>43</v>
      </c>
      <c r="D50" s="6" t="str">
        <f>IFERROR(INDEX([1]VehiclesUniverse!$B$2:$EU$700,MATCH(C50,[1]VehiclesUniverse!$A$2:$A$700,0),MATCH($D$1,[1]VehiclesUniverse!$B$1:$EU$1,0)),"")</f>
        <v/>
      </c>
      <c r="E50" s="6" t="str">
        <f>IFERROR(INDEX([1]VehiclesUniverse!$B$2:$EU$700,MATCH(C50,[1]VehiclesUniverse!$A$2:$A$700,0),MATCH($E$1,[1]VehiclesUniverse!$B$1:$EU$1,0)),"")</f>
        <v/>
      </c>
      <c r="F50" s="6" t="str">
        <f>IF(IFERROR(INDEX([1]VehiclesUniverse!$B$2:$EU$700,MATCH($C50,[1]VehiclesUniverse!$A$2:$A$700,0),MATCH($F$1,[1]VehiclesUniverse!$B$1:$EU$1,0)),"")&lt;&gt;0,(IFERROR(INDEX([1]VehiclesUniverse!$B$2:$EU$700,MATCH($C50,[1]VehiclesUniverse!$A$2:$A$700,0),MATCH($F$1,[1]VehiclesUniverse!$B$1:$EU$1,0)),"")),"")</f>
        <v/>
      </c>
      <c r="G50" s="6" t="str">
        <f>IF(ISBLANK([1]NLFsmonkeyCompl!L51),"",[1]NLFsmonkeyCompl!L51)</f>
        <v>Open end</v>
      </c>
      <c r="H50" s="6" t="str">
        <f>IFERROR(INDEX([1]VehiclesUniverse!$B$2:$EU$700,MATCH(C50,[1]VehiclesUniverse!$A$2:$A$700,0),MATCH($H$1,[1]VehiclesUniverse!$B$1:$EU$1,0)),"")</f>
        <v/>
      </c>
      <c r="I50" s="6" t="str">
        <f>IF(ISBLANK([1]NLFsmonkeyCompl!M51),"",[1]NLFsmonkeyCompl!M51)</f>
        <v>No</v>
      </c>
      <c r="J50" s="6" t="str">
        <f>IF(ISBLANK([1]NLFsmonkeyCompl!N51),"",[1]NLFsmonkeyCompl!N51)</f>
        <v>Other (please specify)</v>
      </c>
      <c r="K50" s="6" t="str">
        <f>IF(ISBLANK([1]NLFsmonkeyCompl!O51),"",[1]NLFsmonkeyCompl!O51)</f>
        <v>New equity not required</v>
      </c>
      <c r="L50" s="6" t="str">
        <f>IFERROR(INDEX([1]VehiclesUniverse!$B$2:$EU$700,MATCH(C50,[1]VehiclesUniverse!$A$2:$A$700,0),MATCH($L$1,[1]VehiclesUniverse!$B$1:$EU$1,0)),"")</f>
        <v/>
      </c>
      <c r="M50" s="16" t="str">
        <f>IFERROR(VLOOKUP(L50,'[1]Xrate31.12.20'!$K$2:$N$25,3,0),"")</f>
        <v/>
      </c>
      <c r="N50" s="8" t="str">
        <f>IFERROR(IF(ISBLANK([1]NLFsmonkeyCompl!P51),"",[1]NLFsmonkeyCompl!P51*$M50),"")</f>
        <v/>
      </c>
      <c r="O50" s="8" t="str">
        <f>IFERROR(IF(ISBLANK([1]NLFsmonkeyCompl!Q51),"",[1]NLFsmonkeyCompl!Q51*$M50),"")</f>
        <v/>
      </c>
      <c r="P50" s="8" t="str">
        <f>IFERROR(IF(ISBLANK([1]NLFsmonkeyCompl!R51),"",[1]NLFsmonkeyCompl!R51*$M50),"")</f>
        <v/>
      </c>
      <c r="Q50" s="8" t="str">
        <f>IFERROR(IF(ISBLANK([1]NLFsmonkeyCompl!S51),"",[1]NLFsmonkeyCompl!S51*$M50),"")</f>
        <v/>
      </c>
      <c r="R50" s="8" t="str">
        <f>IFERROR(IF(ISBLANK([1]NLFsmonkeyCompl!T51),"",[1]NLFsmonkeyCompl!T51*$M50),"")</f>
        <v/>
      </c>
      <c r="S50" s="8" t="str">
        <f>IFERROR(IF(ISBLANK([1]NLFsmonkeyCompl!U51),"",[1]NLFsmonkeyCompl!U51*$M50),"")</f>
        <v/>
      </c>
      <c r="T50" s="8" t="str">
        <f>IFERROR(IF(ISBLANK([1]NLFsmonkeyCompl!V51),"",[1]NLFsmonkeyCompl!V51*$M50),"")</f>
        <v/>
      </c>
      <c r="U50" s="8" t="str">
        <f>IFERROR(IF(ISBLANK([1]NLFsmonkeyCompl!W51),"",[1]NLFsmonkeyCompl!W51*$M50),"")</f>
        <v/>
      </c>
      <c r="V50" s="8" t="str">
        <f>IFERROR(IF(ISBLANK([1]NLFsmonkeyCompl!X51),"",[1]NLFsmonkeyCompl!X51*$M50),"")</f>
        <v/>
      </c>
      <c r="W50" s="8" t="str">
        <f>IFERROR(IF(ISBLANK([1]NLFsmonkeyCompl!Y51),"",[1]NLFsmonkeyCompl!Y51*$M50),"")</f>
        <v/>
      </c>
      <c r="X50" s="8" t="str">
        <f>IFERROR(IF(ISBLANK([1]NLFsmonkeyCompl!Z51),"",[1]NLFsmonkeyCompl!Z51*$M50),"")</f>
        <v/>
      </c>
      <c r="Y50" s="8" t="str">
        <f>IFERROR(IF(ISBLANK([1]NLFsmonkeyCompl!AA51),"",[1]NLFsmonkeyCompl!AA51*$M50),"")</f>
        <v/>
      </c>
      <c r="Z50" s="8" t="str">
        <f>IFERROR(IF(ISBLANK([1]NLFsmonkeyCompl!AB51),"",[1]NLFsmonkeyCompl!AB51*$M50),"")</f>
        <v/>
      </c>
      <c r="AA50" s="8" t="str">
        <f>IFERROR(IF(ISBLANK([1]NLFsmonkeyCompl!AC51),"",[1]NLFsmonkeyCompl!AC51*$M50),"")</f>
        <v/>
      </c>
      <c r="AB50" s="8" t="str">
        <f>IFERROR(IF(ISBLANK([1]NLFsmonkeyCompl!AD51),"",[1]NLFsmonkeyCompl!AD51),"")</f>
        <v/>
      </c>
      <c r="AC50" s="8" t="str">
        <f>IFERROR(IF(ISBLANK([1]NLFsmonkeyCompl!AE51),"",[1]NLFsmonkeyCompl!AE51),"")</f>
        <v/>
      </c>
      <c r="AD50" s="8" t="str">
        <f>IFERROR(IF(ISBLANK([1]NLFsmonkeyCompl!AF51),"",[1]NLFsmonkeyCompl!AF51),"")</f>
        <v/>
      </c>
      <c r="AE50" s="8" t="str">
        <f>IFERROR(IF(ISBLANK([1]NLFsmonkeyCompl!AG51),"",[1]NLFsmonkeyCompl!AG51),"")</f>
        <v/>
      </c>
      <c r="AF50" s="8" t="str">
        <f>IFERROR(IF(ISBLANK([1]NLFsmonkeyCompl!AH51),"",[1]NLFsmonkeyCompl!AH51),"")</f>
        <v>No change</v>
      </c>
      <c r="AG50" s="8" t="str">
        <f>IFERROR(IF(ISBLANK([1]NLFsmonkeyCompl!AI51),"",[1]NLFsmonkeyCompl!AI51),"")</f>
        <v>No</v>
      </c>
    </row>
    <row r="51" spans="1:33" x14ac:dyDescent="0.2">
      <c r="A51" s="5" t="str">
        <f>IF(OR(ISTEXT([1]NLFsmonkeyCompl!J52),ISNUMBER([1]NLFsmonkeyCompl!J52)),[1]NLFsmonkeyCompl!J52,"")</f>
        <v>Heitman</v>
      </c>
      <c r="B51" s="6" t="str">
        <f>IF(OR(ISTEXT([1]NLFsmonkeyCompl!K52),ISNUMBER([1]NLFsmonkeyCompl!K52)),[1]NLFsmonkeyCompl!K52,"")</f>
        <v xml:space="preserve">Heitman US Closed-End Value Fund </v>
      </c>
      <c r="C51" s="6" t="s">
        <v>42</v>
      </c>
      <c r="D51" s="6" t="str">
        <f>IFERROR(INDEX([1]VehiclesUniverse!$B$2:$EU$700,MATCH(C51,[1]VehiclesUniverse!$A$2:$A$700,0),MATCH($D$1,[1]VehiclesUniverse!$B$1:$EU$1,0)),"")</f>
        <v/>
      </c>
      <c r="E51" s="6" t="str">
        <f>IFERROR(INDEX([1]VehiclesUniverse!$B$2:$EU$700,MATCH(C51,[1]VehiclesUniverse!$A$2:$A$700,0),MATCH($E$1,[1]VehiclesUniverse!$B$1:$EU$1,0)),"")</f>
        <v/>
      </c>
      <c r="F51" s="6" t="str">
        <f>IF(IFERROR(INDEX([1]VehiclesUniverse!$B$2:$EU$700,MATCH($C51,[1]VehiclesUniverse!$A$2:$A$700,0),MATCH($F$1,[1]VehiclesUniverse!$B$1:$EU$1,0)),"")&lt;&gt;0,(IFERROR(INDEX([1]VehiclesUniverse!$B$2:$EU$700,MATCH($C51,[1]VehiclesUniverse!$A$2:$A$700,0),MATCH($F$1,[1]VehiclesUniverse!$B$1:$EU$1,0)),"")),"")</f>
        <v/>
      </c>
      <c r="G51" s="6" t="str">
        <f>IF(ISBLANK([1]NLFsmonkeyCompl!L52),"",[1]NLFsmonkeyCompl!L52)</f>
        <v>Closed end</v>
      </c>
      <c r="H51" s="6" t="str">
        <f>IFERROR(INDEX([1]VehiclesUniverse!$B$2:$EU$700,MATCH(C51,[1]VehiclesUniverse!$A$2:$A$700,0),MATCH($H$1,[1]VehiclesUniverse!$B$1:$EU$1,0)),"")</f>
        <v/>
      </c>
      <c r="I51" s="6" t="str">
        <f>IF(ISBLANK([1]NLFsmonkeyCompl!M52),"",[1]NLFsmonkeyCompl!M52)</f>
        <v>Yes</v>
      </c>
      <c r="J51" s="6" t="str">
        <f>IF(ISBLANK([1]NLFsmonkeyCompl!N52),"",[1]NLFsmonkeyCompl!N52)</f>
        <v/>
      </c>
      <c r="K51" s="6" t="str">
        <f>IF(ISBLANK([1]NLFsmonkeyCompl!O52),"",[1]NLFsmonkeyCompl!O52)</f>
        <v/>
      </c>
      <c r="L51" s="6" t="str">
        <f>IFERROR(INDEX([1]VehiclesUniverse!$B$2:$EU$700,MATCH(C51,[1]VehiclesUniverse!$A$2:$A$700,0),MATCH($L$1,[1]VehiclesUniverse!$B$1:$EU$1,0)),"")</f>
        <v/>
      </c>
      <c r="M51" s="16" t="str">
        <f>IFERROR(VLOOKUP(L51,'[1]Xrate31.12.20'!$K$2:$N$25,3,0),"")</f>
        <v/>
      </c>
      <c r="N51" s="8" t="str">
        <f>IFERROR(IF(ISBLANK([1]NLFsmonkeyCompl!P52),"",[1]NLFsmonkeyCompl!P52*$M51),"")</f>
        <v/>
      </c>
      <c r="O51" s="8" t="str">
        <f>IFERROR(IF(ISBLANK([1]NLFsmonkeyCompl!Q52),"",[1]NLFsmonkeyCompl!Q52*$M51),"")</f>
        <v/>
      </c>
      <c r="P51" s="8" t="str">
        <f>IFERROR(IF(ISBLANK([1]NLFsmonkeyCompl!R52),"",[1]NLFsmonkeyCompl!R52*$M51),"")</f>
        <v/>
      </c>
      <c r="Q51" s="8" t="str">
        <f>IFERROR(IF(ISBLANK([1]NLFsmonkeyCompl!S52),"",[1]NLFsmonkeyCompl!S52*$M51),"")</f>
        <v/>
      </c>
      <c r="R51" s="8" t="str">
        <f>IFERROR(IF(ISBLANK([1]NLFsmonkeyCompl!T52),"",[1]NLFsmonkeyCompl!T52*$M51),"")</f>
        <v/>
      </c>
      <c r="S51" s="8" t="str">
        <f>IFERROR(IF(ISBLANK([1]NLFsmonkeyCompl!U52),"",[1]NLFsmonkeyCompl!U52*$M51),"")</f>
        <v/>
      </c>
      <c r="T51" s="8" t="str">
        <f>IFERROR(IF(ISBLANK([1]NLFsmonkeyCompl!V52),"",[1]NLFsmonkeyCompl!V52*$M51),"")</f>
        <v/>
      </c>
      <c r="U51" s="8" t="str">
        <f>IFERROR(IF(ISBLANK([1]NLFsmonkeyCompl!W52),"",[1]NLFsmonkeyCompl!W52*$M51),"")</f>
        <v/>
      </c>
      <c r="V51" s="8" t="str">
        <f>IFERROR(IF(ISBLANK([1]NLFsmonkeyCompl!X52),"",[1]NLFsmonkeyCompl!X52*$M51),"")</f>
        <v/>
      </c>
      <c r="W51" s="8" t="str">
        <f>IFERROR(IF(ISBLANK([1]NLFsmonkeyCompl!Y52),"",[1]NLFsmonkeyCompl!Y52*$M51),"")</f>
        <v/>
      </c>
      <c r="X51" s="8" t="str">
        <f>IFERROR(IF(ISBLANK([1]NLFsmonkeyCompl!Z52),"",[1]NLFsmonkeyCompl!Z52*$M51),"")</f>
        <v/>
      </c>
      <c r="Y51" s="8" t="str">
        <f>IFERROR(IF(ISBLANK([1]NLFsmonkeyCompl!AA52),"",[1]NLFsmonkeyCompl!AA52*$M51),"")</f>
        <v/>
      </c>
      <c r="Z51" s="8" t="str">
        <f>IFERROR(IF(ISBLANK([1]NLFsmonkeyCompl!AB52),"",[1]NLFsmonkeyCompl!AB52*$M51),"")</f>
        <v/>
      </c>
      <c r="AA51" s="8" t="str">
        <f>IFERROR(IF(ISBLANK([1]NLFsmonkeyCompl!AC52),"",[1]NLFsmonkeyCompl!AC52*$M51),"")</f>
        <v/>
      </c>
      <c r="AB51" s="8">
        <f>IFERROR(IF(ISBLANK([1]NLFsmonkeyCompl!AD52),"",[1]NLFsmonkeyCompl!AD52),"")</f>
        <v>75</v>
      </c>
      <c r="AC51" s="8" t="str">
        <f>IFERROR(IF(ISBLANK([1]NLFsmonkeyCompl!AE52),"",[1]NLFsmonkeyCompl!AE52),"")</f>
        <v/>
      </c>
      <c r="AD51" s="8">
        <f>IFERROR(IF(ISBLANK([1]NLFsmonkeyCompl!AF52),"",[1]NLFsmonkeyCompl!AF52),"")</f>
        <v>25</v>
      </c>
      <c r="AE51" s="8" t="str">
        <f>IFERROR(IF(ISBLANK([1]NLFsmonkeyCompl!AG52),"",[1]NLFsmonkeyCompl!AG52),"")</f>
        <v/>
      </c>
      <c r="AF51" s="8" t="str">
        <f>IFERROR(IF(ISBLANK([1]NLFsmonkeyCompl!AH52),"",[1]NLFsmonkeyCompl!AH52),"")</f>
        <v>Increase</v>
      </c>
      <c r="AG51" s="8" t="str">
        <f>IFERROR(IF(ISBLANK([1]NLFsmonkeyCompl!AI52),"",[1]NLFsmonkeyCompl!AI52),"")</f>
        <v>Yes</v>
      </c>
    </row>
    <row r="52" spans="1:33" x14ac:dyDescent="0.2">
      <c r="A52" s="5" t="str">
        <f>IF(OR(ISTEXT([1]NLFsmonkeyCompl!J53),ISNUMBER([1]NLFsmonkeyCompl!J53)),[1]NLFsmonkeyCompl!J53,"")</f>
        <v>Heitman</v>
      </c>
      <c r="B52" s="6" t="str">
        <f>IF(OR(ISTEXT([1]NLFsmonkeyCompl!K53),ISNUMBER([1]NLFsmonkeyCompl!K53)),[1]NLFsmonkeyCompl!K53,"")</f>
        <v>Heitman Global Open-End Core Fund</v>
      </c>
      <c r="C52" s="6" t="s">
        <v>53</v>
      </c>
      <c r="D52" s="6" t="str">
        <f>IFERROR(INDEX([1]VehiclesUniverse!$B$2:$EU$700,MATCH(C52,[1]VehiclesUniverse!$A$2:$A$700,0),MATCH($D$1,[1]VehiclesUniverse!$B$1:$EU$1,0)),"")</f>
        <v/>
      </c>
      <c r="E52" s="6" t="str">
        <f>IFERROR(INDEX([1]VehiclesUniverse!$B$2:$EU$700,MATCH(C52,[1]VehiclesUniverse!$A$2:$A$700,0),MATCH($E$1,[1]VehiclesUniverse!$B$1:$EU$1,0)),"")</f>
        <v/>
      </c>
      <c r="F52" s="6" t="str">
        <f>IF(IFERROR(INDEX([1]VehiclesUniverse!$B$2:$EU$700,MATCH($C52,[1]VehiclesUniverse!$A$2:$A$700,0),MATCH($F$1,[1]VehiclesUniverse!$B$1:$EU$1,0)),"")&lt;&gt;0,(IFERROR(INDEX([1]VehiclesUniverse!$B$2:$EU$700,MATCH($C52,[1]VehiclesUniverse!$A$2:$A$700,0),MATCH($F$1,[1]VehiclesUniverse!$B$1:$EU$1,0)),"")),"")</f>
        <v/>
      </c>
      <c r="G52" s="6" t="str">
        <f>IF(ISBLANK([1]NLFsmonkeyCompl!L53),"",[1]NLFsmonkeyCompl!L53)</f>
        <v>Open end</v>
      </c>
      <c r="H52" s="6" t="str">
        <f>IFERROR(INDEX([1]VehiclesUniverse!$B$2:$EU$700,MATCH(C52,[1]VehiclesUniverse!$A$2:$A$700,0),MATCH($H$1,[1]VehiclesUniverse!$B$1:$EU$1,0)),"")</f>
        <v/>
      </c>
      <c r="I52" s="6" t="str">
        <f>IF(ISBLANK([1]NLFsmonkeyCompl!M53),"",[1]NLFsmonkeyCompl!M53)</f>
        <v>Yes</v>
      </c>
      <c r="J52" s="6" t="str">
        <f>IF(ISBLANK([1]NLFsmonkeyCompl!N53),"",[1]NLFsmonkeyCompl!N53)</f>
        <v/>
      </c>
      <c r="K52" s="6" t="str">
        <f>IF(ISBLANK([1]NLFsmonkeyCompl!O53),"",[1]NLFsmonkeyCompl!O53)</f>
        <v/>
      </c>
      <c r="L52" s="6" t="str">
        <f>IFERROR(INDEX([1]VehiclesUniverse!$B$2:$EU$700,MATCH(C52,[1]VehiclesUniverse!$A$2:$A$700,0),MATCH($L$1,[1]VehiclesUniverse!$B$1:$EU$1,0)),"")</f>
        <v/>
      </c>
      <c r="M52" s="16" t="str">
        <f>IFERROR(VLOOKUP(L52,'[1]Xrate31.12.20'!$K$2:$N$25,3,0),"")</f>
        <v/>
      </c>
      <c r="N52" s="8" t="str">
        <f>IFERROR(IF(ISBLANK([1]NLFsmonkeyCompl!P53),"",[1]NLFsmonkeyCompl!P53*$M52),"")</f>
        <v/>
      </c>
      <c r="O52" s="8" t="str">
        <f>IFERROR(IF(ISBLANK([1]NLFsmonkeyCompl!Q53),"",[1]NLFsmonkeyCompl!Q53*$M52),"")</f>
        <v/>
      </c>
      <c r="P52" s="8" t="str">
        <f>IFERROR(IF(ISBLANK([1]NLFsmonkeyCompl!R53),"",[1]NLFsmonkeyCompl!R53*$M52),"")</f>
        <v/>
      </c>
      <c r="Q52" s="8" t="str">
        <f>IFERROR(IF(ISBLANK([1]NLFsmonkeyCompl!S53),"",[1]NLFsmonkeyCompl!S53*$M52),"")</f>
        <v/>
      </c>
      <c r="R52" s="8" t="str">
        <f>IFERROR(IF(ISBLANK([1]NLFsmonkeyCompl!T53),"",[1]NLFsmonkeyCompl!T53*$M52),"")</f>
        <v/>
      </c>
      <c r="S52" s="8" t="str">
        <f>IFERROR(IF(ISBLANK([1]NLFsmonkeyCompl!U53),"",[1]NLFsmonkeyCompl!U53*$M52),"")</f>
        <v/>
      </c>
      <c r="T52" s="8" t="str">
        <f>IFERROR(IF(ISBLANK([1]NLFsmonkeyCompl!V53),"",[1]NLFsmonkeyCompl!V53*$M52),"")</f>
        <v/>
      </c>
      <c r="U52" s="8" t="str">
        <f>IFERROR(IF(ISBLANK([1]NLFsmonkeyCompl!W53),"",[1]NLFsmonkeyCompl!W53*$M52),"")</f>
        <v/>
      </c>
      <c r="V52" s="8" t="str">
        <f>IFERROR(IF(ISBLANK([1]NLFsmonkeyCompl!X53),"",[1]NLFsmonkeyCompl!X53*$M52),"")</f>
        <v/>
      </c>
      <c r="W52" s="8" t="str">
        <f>IFERROR(IF(ISBLANK([1]NLFsmonkeyCompl!Y53),"",[1]NLFsmonkeyCompl!Y53*$M52),"")</f>
        <v/>
      </c>
      <c r="X52" s="8" t="str">
        <f>IFERROR(IF(ISBLANK([1]NLFsmonkeyCompl!Z53),"",[1]NLFsmonkeyCompl!Z53*$M52),"")</f>
        <v/>
      </c>
      <c r="Y52" s="8" t="str">
        <f>IFERROR(IF(ISBLANK([1]NLFsmonkeyCompl!AA53),"",[1]NLFsmonkeyCompl!AA53*$M52),"")</f>
        <v/>
      </c>
      <c r="Z52" s="8" t="str">
        <f>IFERROR(IF(ISBLANK([1]NLFsmonkeyCompl!AB53),"",[1]NLFsmonkeyCompl!AB53*$M52),"")</f>
        <v/>
      </c>
      <c r="AA52" s="8" t="str">
        <f>IFERROR(IF(ISBLANK([1]NLFsmonkeyCompl!AC53),"",[1]NLFsmonkeyCompl!AC53*$M52),"")</f>
        <v/>
      </c>
      <c r="AB52" s="8" t="str">
        <f>IFERROR(IF(ISBLANK([1]NLFsmonkeyCompl!AD53),"",[1]NLFsmonkeyCompl!AD53),"")</f>
        <v/>
      </c>
      <c r="AC52" s="8" t="str">
        <f>IFERROR(IF(ISBLANK([1]NLFsmonkeyCompl!AE53),"",[1]NLFsmonkeyCompl!AE53),"")</f>
        <v/>
      </c>
      <c r="AD52" s="8">
        <f>IFERROR(IF(ISBLANK([1]NLFsmonkeyCompl!AF53),"",[1]NLFsmonkeyCompl!AF53),"")</f>
        <v>100</v>
      </c>
      <c r="AE52" s="8" t="str">
        <f>IFERROR(IF(ISBLANK([1]NLFsmonkeyCompl!AG53),"",[1]NLFsmonkeyCompl!AG53),"")</f>
        <v/>
      </c>
      <c r="AF52" s="8" t="str">
        <f>IFERROR(IF(ISBLANK([1]NLFsmonkeyCompl!AH53),"",[1]NLFsmonkeyCompl!AH53),"")</f>
        <v>Increase</v>
      </c>
      <c r="AG52" s="8" t="str">
        <f>IFERROR(IF(ISBLANK([1]NLFsmonkeyCompl!AI53),"",[1]NLFsmonkeyCompl!AI53),"")</f>
        <v>Yes</v>
      </c>
    </row>
    <row r="53" spans="1:33" x14ac:dyDescent="0.2">
      <c r="A53" s="5" t="str">
        <f>IF(OR(ISTEXT([1]NLFsmonkeyCompl!J54),ISNUMBER([1]NLFsmonkeyCompl!J54)),[1]NLFsmonkeyCompl!J54,"")</f>
        <v>LaSalle Investment Management</v>
      </c>
      <c r="B53" s="6" t="str">
        <f>IF(OR(ISTEXT([1]NLFsmonkeyCompl!K54),ISNUMBER([1]NLFsmonkeyCompl!K54)),[1]NLFsmonkeyCompl!K54,"")</f>
        <v>Encore+</v>
      </c>
      <c r="C53" s="6">
        <v>137</v>
      </c>
      <c r="D53" s="6" t="str">
        <f>IFERROR(INDEX([1]VehiclesUniverse!$B$2:$EU$700,MATCH(C53,[1]VehiclesUniverse!$A$2:$A$700,0),MATCH($D$1,[1]VehiclesUniverse!$B$1:$EU$1,0)),"")</f>
        <v>Core</v>
      </c>
      <c r="E53" s="6" t="str">
        <f>IFERROR(INDEX([1]VehiclesUniverse!$B$2:$EU$700,MATCH(C53,[1]VehiclesUniverse!$A$2:$A$700,0),MATCH($E$1,[1]VehiclesUniverse!$B$1:$EU$1,0)),"")</f>
        <v>multi country</v>
      </c>
      <c r="F53" s="6" t="str">
        <f>IF(IFERROR(INDEX([1]VehiclesUniverse!$B$2:$EU$700,MATCH($C53,[1]VehiclesUniverse!$A$2:$A$700,0),MATCH($F$1,[1]VehiclesUniverse!$B$1:$EU$1,0)),"")&lt;&gt;0,(IFERROR(INDEX([1]VehiclesUniverse!$B$2:$EU$700,MATCH($C53,[1]VehiclesUniverse!$A$2:$A$700,0),MATCH($F$1,[1]VehiclesUniverse!$B$1:$EU$1,0)),"")),"")</f>
        <v/>
      </c>
      <c r="G53" s="6" t="str">
        <f>IF(ISBLANK([1]NLFsmonkeyCompl!L54),"",[1]NLFsmonkeyCompl!L54)</f>
        <v>Open end</v>
      </c>
      <c r="H53" s="6">
        <f>IFERROR(INDEX([1]VehiclesUniverse!$B$2:$EU$700,MATCH(C53,[1]VehiclesUniverse!$A$2:$A$700,0),MATCH($H$1,[1]VehiclesUniverse!$B$1:$EU$1,0)),"")</f>
        <v>2006</v>
      </c>
      <c r="I53" s="6" t="str">
        <f>IF(ISBLANK([1]NLFsmonkeyCompl!M54),"",[1]NLFsmonkeyCompl!M54)</f>
        <v>Yes</v>
      </c>
      <c r="J53" s="6" t="str">
        <f>IF(ISBLANK([1]NLFsmonkeyCompl!N54),"",[1]NLFsmonkeyCompl!N54)</f>
        <v/>
      </c>
      <c r="K53" s="6" t="str">
        <f>IF(ISBLANK([1]NLFsmonkeyCompl!O54),"",[1]NLFsmonkeyCompl!O54)</f>
        <v/>
      </c>
      <c r="L53" s="6" t="str">
        <f>IFERROR(INDEX([1]VehiclesUniverse!$B$2:$EU$700,MATCH(C53,[1]VehiclesUniverse!$A$2:$A$700,0),MATCH($L$1,[1]VehiclesUniverse!$B$1:$EU$1,0)),"")</f>
        <v>EUR</v>
      </c>
      <c r="M53" s="16">
        <f>IFERROR(VLOOKUP(L53,'[1]Xrate31.12.20'!$K$2:$N$25,3,0),"")</f>
        <v>1</v>
      </c>
      <c r="N53" s="8">
        <f>IFERROR(IF(ISBLANK([1]NLFsmonkeyCompl!P54),"",[1]NLFsmonkeyCompl!P54*$M53),"")</f>
        <v>836</v>
      </c>
      <c r="O53" s="8">
        <f>IFERROR(IF(ISBLANK([1]NLFsmonkeyCompl!Q54),"",[1]NLFsmonkeyCompl!Q54*$M53),"")</f>
        <v>315</v>
      </c>
      <c r="P53" s="8">
        <f>IFERROR(IF(ISBLANK([1]NLFsmonkeyCompl!R54),"",[1]NLFsmonkeyCompl!R54*$M53),"")</f>
        <v>371</v>
      </c>
      <c r="Q53" s="8" t="str">
        <f>IFERROR(IF(ISBLANK([1]NLFsmonkeyCompl!S54),"",[1]NLFsmonkeyCompl!S54*$M53),"")</f>
        <v/>
      </c>
      <c r="R53" s="8" t="str">
        <f>IFERROR(IF(ISBLANK([1]NLFsmonkeyCompl!T54),"",[1]NLFsmonkeyCompl!T54*$M53),"")</f>
        <v/>
      </c>
      <c r="S53" s="8" t="str">
        <f>IFERROR(IF(ISBLANK([1]NLFsmonkeyCompl!U54),"",[1]NLFsmonkeyCompl!U54*$M53),"")</f>
        <v/>
      </c>
      <c r="T53" s="8">
        <f>IFERROR(IF(ISBLANK([1]NLFsmonkeyCompl!V54),"",[1]NLFsmonkeyCompl!V54*$M53),"")</f>
        <v>65</v>
      </c>
      <c r="U53" s="8" t="str">
        <f>IFERROR(IF(ISBLANK([1]NLFsmonkeyCompl!W54),"",[1]NLFsmonkeyCompl!W54*$M53),"")</f>
        <v/>
      </c>
      <c r="V53" s="8">
        <f>IFERROR(IF(ISBLANK([1]NLFsmonkeyCompl!X54),"",[1]NLFsmonkeyCompl!X54*$M53),"")</f>
        <v>85</v>
      </c>
      <c r="W53" s="8">
        <f>IFERROR(IF(ISBLANK([1]NLFsmonkeyCompl!Y54),"",[1]NLFsmonkeyCompl!Y54*$M53),"")</f>
        <v>720</v>
      </c>
      <c r="X53" s="8">
        <f>IFERROR(IF(ISBLANK([1]NLFsmonkeyCompl!Z54),"",[1]NLFsmonkeyCompl!Z54*$M53),"")</f>
        <v>116</v>
      </c>
      <c r="Y53" s="8" t="str">
        <f>IFERROR(IF(ISBLANK([1]NLFsmonkeyCompl!AA54),"",[1]NLFsmonkeyCompl!AA54*$M53),"")</f>
        <v/>
      </c>
      <c r="Z53" s="8" t="str">
        <f>IFERROR(IF(ISBLANK([1]NLFsmonkeyCompl!AB54),"",[1]NLFsmonkeyCompl!AB54*$M53),"")</f>
        <v/>
      </c>
      <c r="AA53" s="8" t="str">
        <f>IFERROR(IF(ISBLANK([1]NLFsmonkeyCompl!AC54),"",[1]NLFsmonkeyCompl!AC54*$M53),"")</f>
        <v/>
      </c>
      <c r="AB53" s="8" t="str">
        <f>IFERROR(IF(ISBLANK([1]NLFsmonkeyCompl!AD54),"",[1]NLFsmonkeyCompl!AD54),"")</f>
        <v/>
      </c>
      <c r="AC53" s="8" t="str">
        <f>IFERROR(IF(ISBLANK([1]NLFsmonkeyCompl!AE54),"",[1]NLFsmonkeyCompl!AE54),"")</f>
        <v/>
      </c>
      <c r="AD53" s="8">
        <f>IFERROR(IF(ISBLANK([1]NLFsmonkeyCompl!AF54),"",[1]NLFsmonkeyCompl!AF54),"")</f>
        <v>100</v>
      </c>
      <c r="AE53" s="8" t="str">
        <f>IFERROR(IF(ISBLANK([1]NLFsmonkeyCompl!AG54),"",[1]NLFsmonkeyCompl!AG54),"")</f>
        <v/>
      </c>
      <c r="AF53" s="8" t="str">
        <f>IFERROR(IF(ISBLANK([1]NLFsmonkeyCompl!AH54),"",[1]NLFsmonkeyCompl!AH54),"")</f>
        <v/>
      </c>
      <c r="AG53" s="8" t="str">
        <f>IFERROR(IF(ISBLANK([1]NLFsmonkeyCompl!AI54),"",[1]NLFsmonkeyCompl!AI54),"")</f>
        <v/>
      </c>
    </row>
    <row r="54" spans="1:33" x14ac:dyDescent="0.2">
      <c r="A54" s="5" t="str">
        <f>IF(OR(ISTEXT([1]NLFsmonkeyCompl!J55),ISNUMBER([1]NLFsmonkeyCompl!J55)),[1]NLFsmonkeyCompl!J55,"")</f>
        <v>Vesteda</v>
      </c>
      <c r="B54" s="6" t="str">
        <f>IF(OR(ISTEXT([1]NLFsmonkeyCompl!K55),ISNUMBER([1]NLFsmonkeyCompl!K55)),[1]NLFsmonkeyCompl!K55,"")</f>
        <v>Vesteda Residential Fund</v>
      </c>
      <c r="C54" s="6">
        <v>626</v>
      </c>
      <c r="D54" s="6" t="str">
        <f>IFERROR(INDEX([1]VehiclesUniverse!$B$2:$EU$700,MATCH(C54,[1]VehiclesUniverse!$A$2:$A$700,0),MATCH($D$1,[1]VehiclesUniverse!$B$1:$EU$1,0)),"")</f>
        <v>Core</v>
      </c>
      <c r="E54" s="6" t="str">
        <f>IFERROR(INDEX([1]VehiclesUniverse!$B$2:$EU$700,MATCH(C54,[1]VehiclesUniverse!$A$2:$A$700,0),MATCH($E$1,[1]VehiclesUniverse!$B$1:$EU$1,0)),"")</f>
        <v>single country</v>
      </c>
      <c r="F54" s="6" t="str">
        <f>IF(IFERROR(INDEX([1]VehiclesUniverse!$B$2:$EU$700,MATCH($C54,[1]VehiclesUniverse!$A$2:$A$700,0),MATCH($F$1,[1]VehiclesUniverse!$B$1:$EU$1,0)),"")&lt;&gt;0,(IFERROR(INDEX([1]VehiclesUniverse!$B$2:$EU$700,MATCH($C54,[1]VehiclesUniverse!$A$2:$A$700,0),MATCH($F$1,[1]VehiclesUniverse!$B$1:$EU$1,0)),"")),"")</f>
        <v>Netherlands</v>
      </c>
      <c r="G54" s="6" t="str">
        <f>IF(ISBLANK([1]NLFsmonkeyCompl!L55),"",[1]NLFsmonkeyCompl!L55)</f>
        <v>Open end</v>
      </c>
      <c r="H54" s="6">
        <f>IFERROR(INDEX([1]VehiclesUniverse!$B$2:$EU$700,MATCH(C54,[1]VehiclesUniverse!$A$2:$A$700,0),MATCH($H$1,[1]VehiclesUniverse!$B$1:$EU$1,0)),"")</f>
        <v>2001</v>
      </c>
      <c r="I54" s="6" t="str">
        <f>IF(ISBLANK([1]NLFsmonkeyCompl!M55),"",[1]NLFsmonkeyCompl!M55)</f>
        <v>No</v>
      </c>
      <c r="J54" s="6" t="str">
        <f>IF(ISBLANK([1]NLFsmonkeyCompl!N55),"",[1]NLFsmonkeyCompl!N55)</f>
        <v>Other (please specify)</v>
      </c>
      <c r="K54" s="6" t="str">
        <f>IF(ISBLANK([1]NLFsmonkeyCompl!O55),"",[1]NLFsmonkeyCompl!O55)</f>
        <v>Not necessary. Enough equity and debt facilities available.</v>
      </c>
      <c r="L54" s="6" t="str">
        <f>IFERROR(INDEX([1]VehiclesUniverse!$B$2:$EU$700,MATCH(C54,[1]VehiclesUniverse!$A$2:$A$700,0),MATCH($L$1,[1]VehiclesUniverse!$B$1:$EU$1,0)),"")</f>
        <v>EUR</v>
      </c>
      <c r="M54" s="16">
        <f>IFERROR(VLOOKUP(L54,'[1]Xrate31.12.20'!$K$2:$N$25,3,0),"")</f>
        <v>1</v>
      </c>
      <c r="N54" s="8" t="str">
        <f>IFERROR(IF(ISBLANK([1]NLFsmonkeyCompl!P55),"",[1]NLFsmonkeyCompl!P55*$M54),"")</f>
        <v/>
      </c>
      <c r="O54" s="8" t="str">
        <f>IFERROR(IF(ISBLANK([1]NLFsmonkeyCompl!Q55),"",[1]NLFsmonkeyCompl!Q55*$M54),"")</f>
        <v/>
      </c>
      <c r="P54" s="8" t="str">
        <f>IFERROR(IF(ISBLANK([1]NLFsmonkeyCompl!R55),"",[1]NLFsmonkeyCompl!R55*$M54),"")</f>
        <v/>
      </c>
      <c r="Q54" s="8" t="str">
        <f>IFERROR(IF(ISBLANK([1]NLFsmonkeyCompl!S55),"",[1]NLFsmonkeyCompl!S55*$M54),"")</f>
        <v/>
      </c>
      <c r="R54" s="8" t="str">
        <f>IFERROR(IF(ISBLANK([1]NLFsmonkeyCompl!T55),"",[1]NLFsmonkeyCompl!T55*$M54),"")</f>
        <v/>
      </c>
      <c r="S54" s="8" t="str">
        <f>IFERROR(IF(ISBLANK([1]NLFsmonkeyCompl!U55),"",[1]NLFsmonkeyCompl!U55*$M54),"")</f>
        <v/>
      </c>
      <c r="T54" s="8" t="str">
        <f>IFERROR(IF(ISBLANK([1]NLFsmonkeyCompl!V55),"",[1]NLFsmonkeyCompl!V55*$M54),"")</f>
        <v/>
      </c>
      <c r="U54" s="8" t="str">
        <f>IFERROR(IF(ISBLANK([1]NLFsmonkeyCompl!W55),"",[1]NLFsmonkeyCompl!W55*$M54),"")</f>
        <v/>
      </c>
      <c r="V54" s="8" t="str">
        <f>IFERROR(IF(ISBLANK([1]NLFsmonkeyCompl!X55),"",[1]NLFsmonkeyCompl!X55*$M54),"")</f>
        <v/>
      </c>
      <c r="W54" s="8" t="str">
        <f>IFERROR(IF(ISBLANK([1]NLFsmonkeyCompl!Y55),"",[1]NLFsmonkeyCompl!Y55*$M54),"")</f>
        <v/>
      </c>
      <c r="X54" s="8" t="str">
        <f>IFERROR(IF(ISBLANK([1]NLFsmonkeyCompl!Z55),"",[1]NLFsmonkeyCompl!Z55*$M54),"")</f>
        <v/>
      </c>
      <c r="Y54" s="8" t="str">
        <f>IFERROR(IF(ISBLANK([1]NLFsmonkeyCompl!AA55),"",[1]NLFsmonkeyCompl!AA55*$M54),"")</f>
        <v/>
      </c>
      <c r="Z54" s="8" t="str">
        <f>IFERROR(IF(ISBLANK([1]NLFsmonkeyCompl!AB55),"",[1]NLFsmonkeyCompl!AB55*$M54),"")</f>
        <v/>
      </c>
      <c r="AA54" s="8" t="str">
        <f>IFERROR(IF(ISBLANK([1]NLFsmonkeyCompl!AC55),"",[1]NLFsmonkeyCompl!AC55*$M54),"")</f>
        <v/>
      </c>
      <c r="AB54" s="8" t="str">
        <f>IFERROR(IF(ISBLANK([1]NLFsmonkeyCompl!AD55),"",[1]NLFsmonkeyCompl!AD55),"")</f>
        <v/>
      </c>
      <c r="AC54" s="8" t="str">
        <f>IFERROR(IF(ISBLANK([1]NLFsmonkeyCompl!AE55),"",[1]NLFsmonkeyCompl!AE55),"")</f>
        <v/>
      </c>
      <c r="AD54" s="8" t="str">
        <f>IFERROR(IF(ISBLANK([1]NLFsmonkeyCompl!AF55),"",[1]NLFsmonkeyCompl!AF55),"")</f>
        <v/>
      </c>
      <c r="AE54" s="8" t="str">
        <f>IFERROR(IF(ISBLANK([1]NLFsmonkeyCompl!AG55),"",[1]NLFsmonkeyCompl!AG55),"")</f>
        <v/>
      </c>
      <c r="AF54" s="8" t="str">
        <f>IFERROR(IF(ISBLANK([1]NLFsmonkeyCompl!AH55),"",[1]NLFsmonkeyCompl!AH55),"")</f>
        <v>No change</v>
      </c>
      <c r="AG54" s="8" t="str">
        <f>IFERROR(IF(ISBLANK([1]NLFsmonkeyCompl!AI55),"",[1]NLFsmonkeyCompl!AI55),"")</f>
        <v>Yes</v>
      </c>
    </row>
    <row r="55" spans="1:33" x14ac:dyDescent="0.2">
      <c r="A55" s="5" t="str">
        <f>IF(OR(ISTEXT([1]NLFsmonkeyCompl!J56),ISNUMBER([1]NLFsmonkeyCompl!J56)),[1]NLFsmonkeyCompl!J56,"")</f>
        <v>M&amp;G Plc</v>
      </c>
      <c r="B55" s="6" t="str">
        <f>IF(OR(ISTEXT([1]NLFsmonkeyCompl!K56),ISNUMBER([1]NLFsmonkeyCompl!K56)),[1]NLFsmonkeyCompl!K56,"")</f>
        <v>M&amp;G European Secured Property Income Fund</v>
      </c>
      <c r="C55" s="6">
        <v>321</v>
      </c>
      <c r="D55" s="6" t="str">
        <f>IFERROR(INDEX([1]VehiclesUniverse!$B$2:$EU$700,MATCH(C55,[1]VehiclesUniverse!$A$2:$A$700,0),MATCH($D$1,[1]VehiclesUniverse!$B$1:$EU$1,0)),"")</f>
        <v>Core</v>
      </c>
      <c r="E55" s="6" t="str">
        <f>IFERROR(INDEX([1]VehiclesUniverse!$B$2:$EU$700,MATCH(C55,[1]VehiclesUniverse!$A$2:$A$700,0),MATCH($E$1,[1]VehiclesUniverse!$B$1:$EU$1,0)),"")</f>
        <v>multi country</v>
      </c>
      <c r="F55" s="6" t="str">
        <f>IF(IFERROR(INDEX([1]VehiclesUniverse!$B$2:$EU$700,MATCH($C55,[1]VehiclesUniverse!$A$2:$A$700,0),MATCH($F$1,[1]VehiclesUniverse!$B$1:$EU$1,0)),"")&lt;&gt;0,(IFERROR(INDEX([1]VehiclesUniverse!$B$2:$EU$700,MATCH($C55,[1]VehiclesUniverse!$A$2:$A$700,0),MATCH($F$1,[1]VehiclesUniverse!$B$1:$EU$1,0)),"")),"")</f>
        <v/>
      </c>
      <c r="G55" s="6" t="str">
        <f>IF(ISBLANK([1]NLFsmonkeyCompl!L56),"",[1]NLFsmonkeyCompl!L56)</f>
        <v>Open end</v>
      </c>
      <c r="H55" s="6">
        <f>IFERROR(INDEX([1]VehiclesUniverse!$B$2:$EU$700,MATCH(C55,[1]VehiclesUniverse!$A$2:$A$700,0),MATCH($H$1,[1]VehiclesUniverse!$B$1:$EU$1,0)),"")</f>
        <v>2006</v>
      </c>
      <c r="I55" s="6" t="str">
        <f>IF(ISBLANK([1]NLFsmonkeyCompl!M56),"",[1]NLFsmonkeyCompl!M56)</f>
        <v>Yes</v>
      </c>
      <c r="J55" s="6" t="str">
        <f>IF(ISBLANK([1]NLFsmonkeyCompl!N56),"",[1]NLFsmonkeyCompl!N56)</f>
        <v/>
      </c>
      <c r="K55" s="6" t="str">
        <f>IF(ISBLANK([1]NLFsmonkeyCompl!O56),"",[1]NLFsmonkeyCompl!O56)</f>
        <v/>
      </c>
      <c r="L55" s="6" t="str">
        <f>IFERROR(INDEX([1]VehiclesUniverse!$B$2:$EU$700,MATCH(C55,[1]VehiclesUniverse!$A$2:$A$700,0),MATCH($L$1,[1]VehiclesUniverse!$B$1:$EU$1,0)),"")</f>
        <v>EUR</v>
      </c>
      <c r="M55" s="16">
        <f>IFERROR(VLOOKUP(L55,'[1]Xrate31.12.20'!$K$2:$N$25,3,0),"")</f>
        <v>1</v>
      </c>
      <c r="N55" s="8">
        <f>IFERROR(IF(ISBLANK([1]NLFsmonkeyCompl!P56),"",[1]NLFsmonkeyCompl!P56*$M55),"")</f>
        <v>33</v>
      </c>
      <c r="O55" s="8">
        <f>IFERROR(IF(ISBLANK([1]NLFsmonkeyCompl!Q56),"",[1]NLFsmonkeyCompl!Q56*$M55),"")</f>
        <v>33</v>
      </c>
      <c r="P55" s="8" t="str">
        <f>IFERROR(IF(ISBLANK([1]NLFsmonkeyCompl!R56),"",[1]NLFsmonkeyCompl!R56*$M55),"")</f>
        <v/>
      </c>
      <c r="Q55" s="8" t="str">
        <f>IFERROR(IF(ISBLANK([1]NLFsmonkeyCompl!S56),"",[1]NLFsmonkeyCompl!S56*$M55),"")</f>
        <v/>
      </c>
      <c r="R55" s="8" t="str">
        <f>IFERROR(IF(ISBLANK([1]NLFsmonkeyCompl!T56),"",[1]NLFsmonkeyCompl!T56*$M55),"")</f>
        <v/>
      </c>
      <c r="S55" s="8" t="str">
        <f>IFERROR(IF(ISBLANK([1]NLFsmonkeyCompl!U56),"",[1]NLFsmonkeyCompl!U56*$M55),"")</f>
        <v/>
      </c>
      <c r="T55" s="8" t="str">
        <f>IFERROR(IF(ISBLANK([1]NLFsmonkeyCompl!V56),"",[1]NLFsmonkeyCompl!V56*$M55),"")</f>
        <v/>
      </c>
      <c r="U55" s="8" t="str">
        <f>IFERROR(IF(ISBLANK([1]NLFsmonkeyCompl!W56),"",[1]NLFsmonkeyCompl!W56*$M55),"")</f>
        <v/>
      </c>
      <c r="V55" s="8" t="str">
        <f>IFERROR(IF(ISBLANK([1]NLFsmonkeyCompl!X56),"",[1]NLFsmonkeyCompl!X56*$M55),"")</f>
        <v/>
      </c>
      <c r="W55" s="8">
        <f>IFERROR(IF(ISBLANK([1]NLFsmonkeyCompl!Y56),"",[1]NLFsmonkeyCompl!Y56*$M55),"")</f>
        <v>33</v>
      </c>
      <c r="X55" s="8" t="str">
        <f>IFERROR(IF(ISBLANK([1]NLFsmonkeyCompl!Z56),"",[1]NLFsmonkeyCompl!Z56*$M55),"")</f>
        <v/>
      </c>
      <c r="Y55" s="8" t="str">
        <f>IFERROR(IF(ISBLANK([1]NLFsmonkeyCompl!AA56),"",[1]NLFsmonkeyCompl!AA56*$M55),"")</f>
        <v/>
      </c>
      <c r="Z55" s="8" t="str">
        <f>IFERROR(IF(ISBLANK([1]NLFsmonkeyCompl!AB56),"",[1]NLFsmonkeyCompl!AB56*$M55),"")</f>
        <v/>
      </c>
      <c r="AA55" s="8" t="str">
        <f>IFERROR(IF(ISBLANK([1]NLFsmonkeyCompl!AC56),"",[1]NLFsmonkeyCompl!AC56*$M55),"")</f>
        <v/>
      </c>
      <c r="AB55" s="8" t="str">
        <f>IFERROR(IF(ISBLANK([1]NLFsmonkeyCompl!AD56),"",[1]NLFsmonkeyCompl!AD56),"")</f>
        <v/>
      </c>
      <c r="AC55" s="8" t="str">
        <f>IFERROR(IF(ISBLANK([1]NLFsmonkeyCompl!AE56),"",[1]NLFsmonkeyCompl!AE56),"")</f>
        <v/>
      </c>
      <c r="AD55" s="8" t="str">
        <f>IFERROR(IF(ISBLANK([1]NLFsmonkeyCompl!AF56),"",[1]NLFsmonkeyCompl!AF56),"")</f>
        <v/>
      </c>
      <c r="AE55" s="8">
        <f>IFERROR(IF(ISBLANK([1]NLFsmonkeyCompl!AG56),"",[1]NLFsmonkeyCompl!AG56),"")</f>
        <v>100</v>
      </c>
      <c r="AF55" s="8" t="str">
        <f>IFERROR(IF(ISBLANK([1]NLFsmonkeyCompl!AH56),"",[1]NLFsmonkeyCompl!AH56),"")</f>
        <v>Increase</v>
      </c>
      <c r="AG55" s="8" t="str">
        <f>IFERROR(IF(ISBLANK([1]NLFsmonkeyCompl!AI56),"",[1]NLFsmonkeyCompl!AI56),"")</f>
        <v>No</v>
      </c>
    </row>
    <row r="56" spans="1:33" x14ac:dyDescent="0.2">
      <c r="A56" s="5" t="str">
        <f>IF(OR(ISTEXT([1]NLFsmonkeyCompl!J57),ISNUMBER([1]NLFsmonkeyCompl!J57)),[1]NLFsmonkeyCompl!J57,"")</f>
        <v>M&amp;G Plc</v>
      </c>
      <c r="B56" s="6" t="str">
        <f>IF(OR(ISTEXT([1]NLFsmonkeyCompl!K57),ISNUMBER([1]NLFsmonkeyCompl!K57)),[1]NLFsmonkeyCompl!K57,"")</f>
        <v>M&amp;G Secured Lease Income Fund</v>
      </c>
      <c r="C56" s="6"/>
      <c r="D56" s="6" t="str">
        <f>IFERROR(INDEX([1]VehiclesUniverse!$B$2:$EU$700,MATCH(C56,[1]VehiclesUniverse!$A$2:$A$700,0),MATCH($D$1,[1]VehiclesUniverse!$B$1:$EU$1,0)),"")</f>
        <v/>
      </c>
      <c r="E56" s="6" t="str">
        <f>IFERROR(INDEX([1]VehiclesUniverse!$B$2:$EU$700,MATCH(C56,[1]VehiclesUniverse!$A$2:$A$700,0),MATCH($E$1,[1]VehiclesUniverse!$B$1:$EU$1,0)),"")</f>
        <v/>
      </c>
      <c r="F56" s="6" t="str">
        <f>IF(IFERROR(INDEX([1]VehiclesUniverse!$B$2:$EU$700,MATCH($C56,[1]VehiclesUniverse!$A$2:$A$700,0),MATCH($F$1,[1]VehiclesUniverse!$B$1:$EU$1,0)),"")&lt;&gt;0,(IFERROR(INDEX([1]VehiclesUniverse!$B$2:$EU$700,MATCH($C56,[1]VehiclesUniverse!$A$2:$A$700,0),MATCH($F$1,[1]VehiclesUniverse!$B$1:$EU$1,0)),"")),"")</f>
        <v/>
      </c>
      <c r="G56" s="6" t="str">
        <f>IF(ISBLANK([1]NLFsmonkeyCompl!L57),"",[1]NLFsmonkeyCompl!L57)</f>
        <v>Open end</v>
      </c>
      <c r="H56" s="6" t="str">
        <f>IFERROR(INDEX([1]VehiclesUniverse!$B$2:$EU$700,MATCH(C56,[1]VehiclesUniverse!$A$2:$A$700,0),MATCH($H$1,[1]VehiclesUniverse!$B$1:$EU$1,0)),"")</f>
        <v/>
      </c>
      <c r="I56" s="6" t="str">
        <f>IF(ISBLANK([1]NLFsmonkeyCompl!M57),"",[1]NLFsmonkeyCompl!M57)</f>
        <v>Yes</v>
      </c>
      <c r="J56" s="6" t="str">
        <f>IF(ISBLANK([1]NLFsmonkeyCompl!N57),"",[1]NLFsmonkeyCompl!N57)</f>
        <v/>
      </c>
      <c r="K56" s="6" t="str">
        <f>IF(ISBLANK([1]NLFsmonkeyCompl!O57),"",[1]NLFsmonkeyCompl!O57)</f>
        <v/>
      </c>
      <c r="L56" s="6" t="str">
        <f>IFERROR(INDEX([1]VehiclesUniverse!$B$2:$EU$700,MATCH(C56,[1]VehiclesUniverse!$A$2:$A$700,0),MATCH($L$1,[1]VehiclesUniverse!$B$1:$EU$1,0)),"")</f>
        <v/>
      </c>
      <c r="M56" s="16" t="str">
        <f>IFERROR(VLOOKUP(L56,'[1]Xrate31.12.20'!$K$2:$N$25,3,0),"")</f>
        <v/>
      </c>
      <c r="N56" s="8" t="str">
        <f>IFERROR(IF(ISBLANK([1]NLFsmonkeyCompl!P57),"",[1]NLFsmonkeyCompl!P57*$M56),"")</f>
        <v/>
      </c>
      <c r="O56" s="8" t="str">
        <f>IFERROR(IF(ISBLANK([1]NLFsmonkeyCompl!Q57),"",[1]NLFsmonkeyCompl!Q57*$M56),"")</f>
        <v/>
      </c>
      <c r="P56" s="8" t="str">
        <f>IFERROR(IF(ISBLANK([1]NLFsmonkeyCompl!R57),"",[1]NLFsmonkeyCompl!R57*$M56),"")</f>
        <v/>
      </c>
      <c r="Q56" s="8" t="str">
        <f>IFERROR(IF(ISBLANK([1]NLFsmonkeyCompl!S57),"",[1]NLFsmonkeyCompl!S57*$M56),"")</f>
        <v/>
      </c>
      <c r="R56" s="8" t="str">
        <f>IFERROR(IF(ISBLANK([1]NLFsmonkeyCompl!T57),"",[1]NLFsmonkeyCompl!T57*$M56),"")</f>
        <v/>
      </c>
      <c r="S56" s="8" t="str">
        <f>IFERROR(IF(ISBLANK([1]NLFsmonkeyCompl!U57),"",[1]NLFsmonkeyCompl!U57*$M56),"")</f>
        <v/>
      </c>
      <c r="T56" s="8" t="str">
        <f>IFERROR(IF(ISBLANK([1]NLFsmonkeyCompl!V57),"",[1]NLFsmonkeyCompl!V57*$M56),"")</f>
        <v/>
      </c>
      <c r="U56" s="8" t="str">
        <f>IFERROR(IF(ISBLANK([1]NLFsmonkeyCompl!W57),"",[1]NLFsmonkeyCompl!W57*$M56),"")</f>
        <v/>
      </c>
      <c r="V56" s="8" t="str">
        <f>IFERROR(IF(ISBLANK([1]NLFsmonkeyCompl!X57),"",[1]NLFsmonkeyCompl!X57*$M56),"")</f>
        <v/>
      </c>
      <c r="W56" s="8" t="str">
        <f>IFERROR(IF(ISBLANK([1]NLFsmonkeyCompl!Y57),"",[1]NLFsmonkeyCompl!Y57*$M56),"")</f>
        <v/>
      </c>
      <c r="X56" s="8" t="str">
        <f>IFERROR(IF(ISBLANK([1]NLFsmonkeyCompl!Z57),"",[1]NLFsmonkeyCompl!Z57*$M56),"")</f>
        <v/>
      </c>
      <c r="Y56" s="8" t="str">
        <f>IFERROR(IF(ISBLANK([1]NLFsmonkeyCompl!AA57),"",[1]NLFsmonkeyCompl!AA57*$M56),"")</f>
        <v/>
      </c>
      <c r="Z56" s="8" t="str">
        <f>IFERROR(IF(ISBLANK([1]NLFsmonkeyCompl!AB57),"",[1]NLFsmonkeyCompl!AB57*$M56),"")</f>
        <v/>
      </c>
      <c r="AA56" s="8" t="str">
        <f>IFERROR(IF(ISBLANK([1]NLFsmonkeyCompl!AC57),"",[1]NLFsmonkeyCompl!AC57*$M56),"")</f>
        <v/>
      </c>
      <c r="AB56" s="8" t="str">
        <f>IFERROR(IF(ISBLANK([1]NLFsmonkeyCompl!AD57),"",[1]NLFsmonkeyCompl!AD57),"")</f>
        <v/>
      </c>
      <c r="AC56" s="8" t="str">
        <f>IFERROR(IF(ISBLANK([1]NLFsmonkeyCompl!AE57),"",[1]NLFsmonkeyCompl!AE57),"")</f>
        <v/>
      </c>
      <c r="AD56" s="8" t="str">
        <f>IFERROR(IF(ISBLANK([1]NLFsmonkeyCompl!AF57),"",[1]NLFsmonkeyCompl!AF57),"")</f>
        <v/>
      </c>
      <c r="AE56" s="8">
        <f>IFERROR(IF(ISBLANK([1]NLFsmonkeyCompl!AG57),"",[1]NLFsmonkeyCompl!AG57),"")</f>
        <v>100</v>
      </c>
      <c r="AF56" s="8" t="str">
        <f>IFERROR(IF(ISBLANK([1]NLFsmonkeyCompl!AH57),"",[1]NLFsmonkeyCompl!AH57),"")</f>
        <v>Increase</v>
      </c>
      <c r="AG56" s="8" t="str">
        <f>IFERROR(IF(ISBLANK([1]NLFsmonkeyCompl!AI57),"",[1]NLFsmonkeyCompl!AI57),"")</f>
        <v>No</v>
      </c>
    </row>
    <row r="57" spans="1:33" x14ac:dyDescent="0.2">
      <c r="A57" s="5" t="str">
        <f>IF(OR(ISTEXT([1]NLFsmonkeyCompl!J58),ISNUMBER([1]NLFsmonkeyCompl!J58)),[1]NLFsmonkeyCompl!J58,"")</f>
        <v>M&amp;G Plc</v>
      </c>
      <c r="B57" s="6" t="str">
        <f>IF(OR(ISTEXT([1]NLFsmonkeyCompl!K58),ISNUMBER([1]NLFsmonkeyCompl!K58)),[1]NLFsmonkeyCompl!K58,"")</f>
        <v>M&amp;G Secured Property Income Fund</v>
      </c>
      <c r="C57" s="6">
        <v>585</v>
      </c>
      <c r="D57" s="6" t="str">
        <f>IFERROR(INDEX([1]VehiclesUniverse!$B$2:$EU$700,MATCH(C57,[1]VehiclesUniverse!$A$2:$A$700,0),MATCH($D$1,[1]VehiclesUniverse!$B$1:$EU$1,0)),"")</f>
        <v>Core</v>
      </c>
      <c r="E57" s="6" t="str">
        <f>IFERROR(INDEX([1]VehiclesUniverse!$B$2:$EU$700,MATCH(C57,[1]VehiclesUniverse!$A$2:$A$700,0),MATCH($E$1,[1]VehiclesUniverse!$B$1:$EU$1,0)),"")</f>
        <v>single country</v>
      </c>
      <c r="F57" s="6" t="str">
        <f>IF(IFERROR(INDEX([1]VehiclesUniverse!$B$2:$EU$700,MATCH($C57,[1]VehiclesUniverse!$A$2:$A$700,0),MATCH($F$1,[1]VehiclesUniverse!$B$1:$EU$1,0)),"")&lt;&gt;0,(IFERROR(INDEX([1]VehiclesUniverse!$B$2:$EU$700,MATCH($C57,[1]VehiclesUniverse!$A$2:$A$700,0),MATCH($F$1,[1]VehiclesUniverse!$B$1:$EU$1,0)),"")),"")</f>
        <v>United Kingdom</v>
      </c>
      <c r="G57" s="6" t="str">
        <f>IF(ISBLANK([1]NLFsmonkeyCompl!L58),"",[1]NLFsmonkeyCompl!L58)</f>
        <v>Open end</v>
      </c>
      <c r="H57" s="6">
        <f>IFERROR(INDEX([1]VehiclesUniverse!$B$2:$EU$700,MATCH(C57,[1]VehiclesUniverse!$A$2:$A$700,0),MATCH($H$1,[1]VehiclesUniverse!$B$1:$EU$1,0)),"")</f>
        <v>2007</v>
      </c>
      <c r="I57" s="6" t="str">
        <f>IF(ISBLANK([1]NLFsmonkeyCompl!M58),"",[1]NLFsmonkeyCompl!M58)</f>
        <v>Yes</v>
      </c>
      <c r="J57" s="6" t="str">
        <f>IF(ISBLANK([1]NLFsmonkeyCompl!N58),"",[1]NLFsmonkeyCompl!N58)</f>
        <v/>
      </c>
      <c r="K57" s="6" t="str">
        <f>IF(ISBLANK([1]NLFsmonkeyCompl!O58),"",[1]NLFsmonkeyCompl!O58)</f>
        <v/>
      </c>
      <c r="L57" s="6" t="str">
        <f>IFERROR(INDEX([1]VehiclesUniverse!$B$2:$EU$700,MATCH(C57,[1]VehiclesUniverse!$A$2:$A$700,0),MATCH($L$1,[1]VehiclesUniverse!$B$1:$EU$1,0)),"")</f>
        <v>GBP</v>
      </c>
      <c r="M57" s="16">
        <f>IFERROR(VLOOKUP(L57,'[1]Xrate31.12.20'!$K$2:$N$25,3,0),"")</f>
        <v>1.1130927885999999</v>
      </c>
      <c r="N57" s="8">
        <f>IFERROR(IF(ISBLANK([1]NLFsmonkeyCompl!P58),"",[1]NLFsmonkeyCompl!P58*$M57),"")</f>
        <v>16.696391829</v>
      </c>
      <c r="O57" s="8">
        <f>IFERROR(IF(ISBLANK([1]NLFsmonkeyCompl!Q58),"",[1]NLFsmonkeyCompl!Q58*$M57),"")</f>
        <v>16.696391829</v>
      </c>
      <c r="P57" s="8" t="str">
        <f>IFERROR(IF(ISBLANK([1]NLFsmonkeyCompl!R58),"",[1]NLFsmonkeyCompl!R58*$M57),"")</f>
        <v/>
      </c>
      <c r="Q57" s="8" t="str">
        <f>IFERROR(IF(ISBLANK([1]NLFsmonkeyCompl!S58),"",[1]NLFsmonkeyCompl!S58*$M57),"")</f>
        <v/>
      </c>
      <c r="R57" s="8" t="str">
        <f>IFERROR(IF(ISBLANK([1]NLFsmonkeyCompl!T58),"",[1]NLFsmonkeyCompl!T58*$M57),"")</f>
        <v/>
      </c>
      <c r="S57" s="8" t="str">
        <f>IFERROR(IF(ISBLANK([1]NLFsmonkeyCompl!U58),"",[1]NLFsmonkeyCompl!U58*$M57),"")</f>
        <v/>
      </c>
      <c r="T57" s="8" t="str">
        <f>IFERROR(IF(ISBLANK([1]NLFsmonkeyCompl!V58),"",[1]NLFsmonkeyCompl!V58*$M57),"")</f>
        <v/>
      </c>
      <c r="U57" s="8" t="str">
        <f>IFERROR(IF(ISBLANK([1]NLFsmonkeyCompl!W58),"",[1]NLFsmonkeyCompl!W58*$M57),"")</f>
        <v/>
      </c>
      <c r="V57" s="8" t="str">
        <f>IFERROR(IF(ISBLANK([1]NLFsmonkeyCompl!X58),"",[1]NLFsmonkeyCompl!X58*$M57),"")</f>
        <v/>
      </c>
      <c r="W57" s="8">
        <f>IFERROR(IF(ISBLANK([1]NLFsmonkeyCompl!Y58),"",[1]NLFsmonkeyCompl!Y58*$M57),"")</f>
        <v>16.696391829</v>
      </c>
      <c r="X57" s="8" t="str">
        <f>IFERROR(IF(ISBLANK([1]NLFsmonkeyCompl!Z58),"",[1]NLFsmonkeyCompl!Z58*$M57),"")</f>
        <v/>
      </c>
      <c r="Y57" s="8" t="str">
        <f>IFERROR(IF(ISBLANK([1]NLFsmonkeyCompl!AA58),"",[1]NLFsmonkeyCompl!AA58*$M57),"")</f>
        <v/>
      </c>
      <c r="Z57" s="8" t="str">
        <f>IFERROR(IF(ISBLANK([1]NLFsmonkeyCompl!AB58),"",[1]NLFsmonkeyCompl!AB58*$M57),"")</f>
        <v/>
      </c>
      <c r="AA57" s="8" t="str">
        <f>IFERROR(IF(ISBLANK([1]NLFsmonkeyCompl!AC58),"",[1]NLFsmonkeyCompl!AC58*$M57),"")</f>
        <v/>
      </c>
      <c r="AB57" s="8" t="str">
        <f>IFERROR(IF(ISBLANK([1]NLFsmonkeyCompl!AD58),"",[1]NLFsmonkeyCompl!AD58),"")</f>
        <v/>
      </c>
      <c r="AC57" s="8" t="str">
        <f>IFERROR(IF(ISBLANK([1]NLFsmonkeyCompl!AE58),"",[1]NLFsmonkeyCompl!AE58),"")</f>
        <v/>
      </c>
      <c r="AD57" s="8" t="str">
        <f>IFERROR(IF(ISBLANK([1]NLFsmonkeyCompl!AF58),"",[1]NLFsmonkeyCompl!AF58),"")</f>
        <v/>
      </c>
      <c r="AE57" s="8">
        <f>IFERROR(IF(ISBLANK([1]NLFsmonkeyCompl!AG58),"",[1]NLFsmonkeyCompl!AG58),"")</f>
        <v>100</v>
      </c>
      <c r="AF57" s="8" t="str">
        <f>IFERROR(IF(ISBLANK([1]NLFsmonkeyCompl!AH58),"",[1]NLFsmonkeyCompl!AH58),"")</f>
        <v>Increase</v>
      </c>
      <c r="AG57" s="8" t="str">
        <f>IFERROR(IF(ISBLANK([1]NLFsmonkeyCompl!AI58),"",[1]NLFsmonkeyCompl!AI58),"")</f>
        <v>No</v>
      </c>
    </row>
    <row r="58" spans="1:33" x14ac:dyDescent="0.2">
      <c r="A58" s="5" t="str">
        <f>IF(OR(ISTEXT([1]NLFsmonkeyCompl!J59),ISNUMBER([1]NLFsmonkeyCompl!J59)),[1]NLFsmonkeyCompl!J59,"")</f>
        <v>CBRE Global Investors</v>
      </c>
      <c r="B58" s="6" t="str">
        <f>IF(OR(ISTEXT([1]NLFsmonkeyCompl!K59),ISNUMBER([1]NLFsmonkeyCompl!K59)),[1]NLFsmonkeyCompl!K59,"")</f>
        <v>NN Direct Real Estate Engine</v>
      </c>
      <c r="C58" s="6">
        <v>17691</v>
      </c>
      <c r="D58" s="6" t="s">
        <v>45</v>
      </c>
      <c r="E58" s="6" t="s">
        <v>46</v>
      </c>
      <c r="F58" s="6" t="str">
        <f>IF(IFERROR(INDEX([1]VehiclesUniverse!$B$2:$EU$700,MATCH($C58,[1]VehiclesUniverse!$A$2:$A$700,0),MATCH($F$1,[1]VehiclesUniverse!$B$1:$EU$1,0)),"")&lt;&gt;0,(IFERROR(INDEX([1]VehiclesUniverse!$B$2:$EU$700,MATCH($C58,[1]VehiclesUniverse!$A$2:$A$700,0),MATCH($F$1,[1]VehiclesUniverse!$B$1:$EU$1,0)),"")),"")</f>
        <v/>
      </c>
      <c r="G58" s="6" t="str">
        <f>IF(ISBLANK([1]NLFsmonkeyCompl!L59),"",[1]NLFsmonkeyCompl!L59)</f>
        <v>Open end</v>
      </c>
      <c r="H58" s="6">
        <v>1971</v>
      </c>
      <c r="I58" s="6" t="str">
        <f>IF(ISBLANK([1]NLFsmonkeyCompl!M59),"",[1]NLFsmonkeyCompl!M59)</f>
        <v>No</v>
      </c>
      <c r="J58" s="6" t="str">
        <f>IF(ISBLANK([1]NLFsmonkeyCompl!N59),"",[1]NLFsmonkeyCompl!N59)</f>
        <v>Other (please specify)</v>
      </c>
      <c r="K58" s="6" t="str">
        <f>IF(ISBLANK([1]NLFsmonkeyCompl!O59),"",[1]NLFsmonkeyCompl!O59)</f>
        <v>New investments sourced out of disposals</v>
      </c>
      <c r="L58" s="6" t="str">
        <f>IFERROR(INDEX([1]VehiclesUniverse!$B$2:$EU$700,MATCH(C58,[1]VehiclesUniverse!$A$2:$A$700,0),MATCH($L$1,[1]VehiclesUniverse!$B$1:$EU$1,0)),"")</f>
        <v/>
      </c>
      <c r="M58" s="16" t="str">
        <f>IFERROR(VLOOKUP(L58,'[1]Xrate31.12.20'!$K$2:$N$25,3,0),"")</f>
        <v/>
      </c>
      <c r="N58" s="8" t="str">
        <f>IFERROR(IF(ISBLANK([1]NLFsmonkeyCompl!P59),"",[1]NLFsmonkeyCompl!P59*$M58),"")</f>
        <v/>
      </c>
      <c r="O58" s="8" t="str">
        <f>IFERROR(IF(ISBLANK([1]NLFsmonkeyCompl!Q59),"",[1]NLFsmonkeyCompl!Q59*$M58),"")</f>
        <v/>
      </c>
      <c r="P58" s="8" t="str">
        <f>IFERROR(IF(ISBLANK([1]NLFsmonkeyCompl!R59),"",[1]NLFsmonkeyCompl!R59*$M58),"")</f>
        <v/>
      </c>
      <c r="Q58" s="8" t="str">
        <f>IFERROR(IF(ISBLANK([1]NLFsmonkeyCompl!S59),"",[1]NLFsmonkeyCompl!S59*$M58),"")</f>
        <v/>
      </c>
      <c r="R58" s="8" t="str">
        <f>IFERROR(IF(ISBLANK([1]NLFsmonkeyCompl!T59),"",[1]NLFsmonkeyCompl!T59*$M58),"")</f>
        <v/>
      </c>
      <c r="S58" s="8" t="str">
        <f>IFERROR(IF(ISBLANK([1]NLFsmonkeyCompl!U59),"",[1]NLFsmonkeyCompl!U59*$M58),"")</f>
        <v/>
      </c>
      <c r="T58" s="8" t="str">
        <f>IFERROR(IF(ISBLANK([1]NLFsmonkeyCompl!V59),"",[1]NLFsmonkeyCompl!V59*$M58),"")</f>
        <v/>
      </c>
      <c r="U58" s="8" t="str">
        <f>IFERROR(IF(ISBLANK([1]NLFsmonkeyCompl!W59),"",[1]NLFsmonkeyCompl!W59*$M58),"")</f>
        <v/>
      </c>
      <c r="V58" s="8" t="str">
        <f>IFERROR(IF(ISBLANK([1]NLFsmonkeyCompl!X59),"",[1]NLFsmonkeyCompl!X59*$M58),"")</f>
        <v/>
      </c>
      <c r="W58" s="8" t="str">
        <f>IFERROR(IF(ISBLANK([1]NLFsmonkeyCompl!Y59),"",[1]NLFsmonkeyCompl!Y59*$M58),"")</f>
        <v/>
      </c>
      <c r="X58" s="8" t="str">
        <f>IFERROR(IF(ISBLANK([1]NLFsmonkeyCompl!Z59),"",[1]NLFsmonkeyCompl!Z59*$M58),"")</f>
        <v/>
      </c>
      <c r="Y58" s="8" t="str">
        <f>IFERROR(IF(ISBLANK([1]NLFsmonkeyCompl!AA59),"",[1]NLFsmonkeyCompl!AA59*$M58),"")</f>
        <v/>
      </c>
      <c r="Z58" s="8" t="str">
        <f>IFERROR(IF(ISBLANK([1]NLFsmonkeyCompl!AB59),"",[1]NLFsmonkeyCompl!AB59*$M58),"")</f>
        <v/>
      </c>
      <c r="AA58" s="8" t="str">
        <f>IFERROR(IF(ISBLANK([1]NLFsmonkeyCompl!AC59),"",[1]NLFsmonkeyCompl!AC59*$M58),"")</f>
        <v/>
      </c>
      <c r="AB58" s="8" t="str">
        <f>IFERROR(IF(ISBLANK([1]NLFsmonkeyCompl!AD59),"",[1]NLFsmonkeyCompl!AD59),"")</f>
        <v/>
      </c>
      <c r="AC58" s="8" t="str">
        <f>IFERROR(IF(ISBLANK([1]NLFsmonkeyCompl!AE59),"",[1]NLFsmonkeyCompl!AE59),"")</f>
        <v/>
      </c>
      <c r="AD58" s="8" t="str">
        <f>IFERROR(IF(ISBLANK([1]NLFsmonkeyCompl!AF59),"",[1]NLFsmonkeyCompl!AF59),"")</f>
        <v/>
      </c>
      <c r="AE58" s="8" t="str">
        <f>IFERROR(IF(ISBLANK([1]NLFsmonkeyCompl!AG59),"",[1]NLFsmonkeyCompl!AG59),"")</f>
        <v/>
      </c>
      <c r="AF58" s="8" t="str">
        <f>IFERROR(IF(ISBLANK([1]NLFsmonkeyCompl!AH59),"",[1]NLFsmonkeyCompl!AH59),"")</f>
        <v>No change</v>
      </c>
      <c r="AG58" s="8" t="str">
        <f>IFERROR(IF(ISBLANK([1]NLFsmonkeyCompl!AI59),"",[1]NLFsmonkeyCompl!AI59),"")</f>
        <v>No</v>
      </c>
    </row>
    <row r="59" spans="1:33" x14ac:dyDescent="0.2">
      <c r="A59" s="5" t="str">
        <f>IF(OR(ISTEXT([1]NLFsmonkeyCompl!J60),ISNUMBER([1]NLFsmonkeyCompl!J60)),[1]NLFsmonkeyCompl!J60,"")</f>
        <v>CBRE Global Investors</v>
      </c>
      <c r="B59" s="6" t="str">
        <f>IF(OR(ISTEXT([1]NLFsmonkeyCompl!K60),ISNUMBER([1]NLFsmonkeyCompl!K60)),[1]NLFsmonkeyCompl!K60,"")</f>
        <v>CBRE Dutch Residential Fund</v>
      </c>
      <c r="C59" s="6">
        <v>18277</v>
      </c>
      <c r="D59" s="6" t="str">
        <f>IFERROR(INDEX([1]VehiclesUniverse!$B$2:$EU$700,MATCH(C59,[1]VehiclesUniverse!$A$2:$A$700,0),MATCH($D$1,[1]VehiclesUniverse!$B$1:$EU$1,0)),"")</f>
        <v>Core</v>
      </c>
      <c r="E59" s="6" t="str">
        <f>IFERROR(INDEX([1]VehiclesUniverse!$B$2:$EU$700,MATCH(C59,[1]VehiclesUniverse!$A$2:$A$700,0),MATCH($E$1,[1]VehiclesUniverse!$B$1:$EU$1,0)),"")</f>
        <v>single country</v>
      </c>
      <c r="F59" s="6" t="str">
        <f>IF(IFERROR(INDEX([1]VehiclesUniverse!$B$2:$EU$700,MATCH($C59,[1]VehiclesUniverse!$A$2:$A$700,0),MATCH($F$1,[1]VehiclesUniverse!$B$1:$EU$1,0)),"")&lt;&gt;0,(IFERROR(INDEX([1]VehiclesUniverse!$B$2:$EU$700,MATCH($C59,[1]VehiclesUniverse!$A$2:$A$700,0),MATCH($F$1,[1]VehiclesUniverse!$B$1:$EU$1,0)),"")),"")</f>
        <v>Netherlands</v>
      </c>
      <c r="G59" s="6" t="str">
        <f>IF(ISBLANK([1]NLFsmonkeyCompl!L60),"",[1]NLFsmonkeyCompl!L60)</f>
        <v>Open end</v>
      </c>
      <c r="H59" s="6">
        <f>IFERROR(INDEX([1]VehiclesUniverse!$B$2:$EU$700,MATCH(C59,[1]VehiclesUniverse!$A$2:$A$700,0),MATCH($H$1,[1]VehiclesUniverse!$B$1:$EU$1,0)),"")</f>
        <v>2017</v>
      </c>
      <c r="I59" s="6" t="str">
        <f>IF(ISBLANK([1]NLFsmonkeyCompl!M60),"",[1]NLFsmonkeyCompl!M60)</f>
        <v>Yes</v>
      </c>
      <c r="J59" s="6" t="str">
        <f>IF(ISBLANK([1]NLFsmonkeyCompl!N60),"",[1]NLFsmonkeyCompl!N60)</f>
        <v/>
      </c>
      <c r="K59" s="6" t="str">
        <f>IF(ISBLANK([1]NLFsmonkeyCompl!O60),"",[1]NLFsmonkeyCompl!O60)</f>
        <v/>
      </c>
      <c r="L59" s="6" t="str">
        <f>IFERROR(INDEX([1]VehiclesUniverse!$B$2:$EU$700,MATCH(C59,[1]VehiclesUniverse!$A$2:$A$700,0),MATCH($L$1,[1]VehiclesUniverse!$B$1:$EU$1,0)),"")</f>
        <v>EUR</v>
      </c>
      <c r="M59" s="16">
        <f>IFERROR(VLOOKUP(L59,'[1]Xrate31.12.20'!$K$2:$N$25,3,0),"")</f>
        <v>1</v>
      </c>
      <c r="N59" s="8">
        <f>IFERROR(IF(ISBLANK([1]NLFsmonkeyCompl!P60),"",[1]NLFsmonkeyCompl!P60*$M59),"")</f>
        <v>80</v>
      </c>
      <c r="O59" s="8">
        <f>IFERROR(IF(ISBLANK([1]NLFsmonkeyCompl!Q60),"",[1]NLFsmonkeyCompl!Q60*$M59),"")</f>
        <v>80</v>
      </c>
      <c r="P59" s="8" t="str">
        <f>IFERROR(IF(ISBLANK([1]NLFsmonkeyCompl!R60),"",[1]NLFsmonkeyCompl!R60*$M59),"")</f>
        <v/>
      </c>
      <c r="Q59" s="8" t="str">
        <f>IFERROR(IF(ISBLANK([1]NLFsmonkeyCompl!S60),"",[1]NLFsmonkeyCompl!S60*$M59),"")</f>
        <v/>
      </c>
      <c r="R59" s="8" t="str">
        <f>IFERROR(IF(ISBLANK([1]NLFsmonkeyCompl!T60),"",[1]NLFsmonkeyCompl!T60*$M59),"")</f>
        <v/>
      </c>
      <c r="S59" s="8" t="str">
        <f>IFERROR(IF(ISBLANK([1]NLFsmonkeyCompl!U60),"",[1]NLFsmonkeyCompl!U60*$M59),"")</f>
        <v/>
      </c>
      <c r="T59" s="8" t="str">
        <f>IFERROR(IF(ISBLANK([1]NLFsmonkeyCompl!V60),"",[1]NLFsmonkeyCompl!V60*$M59),"")</f>
        <v/>
      </c>
      <c r="U59" s="8" t="str">
        <f>IFERROR(IF(ISBLANK([1]NLFsmonkeyCompl!W60),"",[1]NLFsmonkeyCompl!W60*$M59),"")</f>
        <v/>
      </c>
      <c r="V59" s="8" t="str">
        <f>IFERROR(IF(ISBLANK([1]NLFsmonkeyCompl!X60),"",[1]NLFsmonkeyCompl!X60*$M59),"")</f>
        <v/>
      </c>
      <c r="W59" s="8">
        <f>IFERROR(IF(ISBLANK([1]NLFsmonkeyCompl!Y60),"",[1]NLFsmonkeyCompl!Y60*$M59),"")</f>
        <v>80</v>
      </c>
      <c r="X59" s="8" t="str">
        <f>IFERROR(IF(ISBLANK([1]NLFsmonkeyCompl!Z60),"",[1]NLFsmonkeyCompl!Z60*$M59),"")</f>
        <v/>
      </c>
      <c r="Y59" s="8" t="str">
        <f>IFERROR(IF(ISBLANK([1]NLFsmonkeyCompl!AA60),"",[1]NLFsmonkeyCompl!AA60*$M59),"")</f>
        <v/>
      </c>
      <c r="Z59" s="8" t="str">
        <f>IFERROR(IF(ISBLANK([1]NLFsmonkeyCompl!AB60),"",[1]NLFsmonkeyCompl!AB60*$M59),"")</f>
        <v/>
      </c>
      <c r="AA59" s="8" t="str">
        <f>IFERROR(IF(ISBLANK([1]NLFsmonkeyCompl!AC60),"",[1]NLFsmonkeyCompl!AC60*$M59),"")</f>
        <v/>
      </c>
      <c r="AB59" s="8">
        <f>IFERROR(IF(ISBLANK([1]NLFsmonkeyCompl!AD60),"",[1]NLFsmonkeyCompl!AD60),"")</f>
        <v>100</v>
      </c>
      <c r="AC59" s="8" t="str">
        <f>IFERROR(IF(ISBLANK([1]NLFsmonkeyCompl!AE60),"",[1]NLFsmonkeyCompl!AE60),"")</f>
        <v/>
      </c>
      <c r="AD59" s="8" t="str">
        <f>IFERROR(IF(ISBLANK([1]NLFsmonkeyCompl!AF60),"",[1]NLFsmonkeyCompl!AF60),"")</f>
        <v/>
      </c>
      <c r="AE59" s="8" t="str">
        <f>IFERROR(IF(ISBLANK([1]NLFsmonkeyCompl!AG60),"",[1]NLFsmonkeyCompl!AG60),"")</f>
        <v/>
      </c>
      <c r="AF59" s="8" t="str">
        <f>IFERROR(IF(ISBLANK([1]NLFsmonkeyCompl!AH60),"",[1]NLFsmonkeyCompl!AH60),"")</f>
        <v/>
      </c>
      <c r="AG59" s="8" t="str">
        <f>IFERROR(IF(ISBLANK([1]NLFsmonkeyCompl!AI60),"",[1]NLFsmonkeyCompl!AI60),"")</f>
        <v/>
      </c>
    </row>
    <row r="60" spans="1:33" x14ac:dyDescent="0.2">
      <c r="A60" s="5" t="str">
        <f>IF(OR(ISTEXT([1]NLFsmonkeyCompl!J61),ISNUMBER([1]NLFsmonkeyCompl!J61)),[1]NLFsmonkeyCompl!J61,"")</f>
        <v>Areim AB</v>
      </c>
      <c r="B60" s="6" t="str">
        <f>IF(OR(ISTEXT([1]NLFsmonkeyCompl!K61),ISNUMBER([1]NLFsmonkeyCompl!K61)),[1]NLFsmonkeyCompl!K61,"")</f>
        <v>Areim Fastigheter 4 (D) AB</v>
      </c>
      <c r="C60" s="6">
        <v>18631</v>
      </c>
      <c r="D60" s="6" t="str">
        <f>IFERROR(INDEX([1]VehiclesUniverse!$B$2:$EU$700,MATCH(C60,[1]VehiclesUniverse!$A$2:$A$700,0),MATCH($D$1,[1]VehiclesUniverse!$B$1:$EU$1,0)),"")</f>
        <v>Value-added</v>
      </c>
      <c r="E60" s="6" t="str">
        <f>IFERROR(INDEX([1]VehiclesUniverse!$B$2:$EU$700,MATCH(C60,[1]VehiclesUniverse!$A$2:$A$700,0),MATCH($E$1,[1]VehiclesUniverse!$B$1:$EU$1,0)),"")</f>
        <v>multi country</v>
      </c>
      <c r="F60" s="6" t="str">
        <f>IF(IFERROR(INDEX([1]VehiclesUniverse!$B$2:$EU$700,MATCH($C60,[1]VehiclesUniverse!$A$2:$A$700,0),MATCH($F$1,[1]VehiclesUniverse!$B$1:$EU$1,0)),"")&lt;&gt;0,(IFERROR(INDEX([1]VehiclesUniverse!$B$2:$EU$700,MATCH($C60,[1]VehiclesUniverse!$A$2:$A$700,0),MATCH($F$1,[1]VehiclesUniverse!$B$1:$EU$1,0)),"")),"")</f>
        <v/>
      </c>
      <c r="G60" s="6" t="str">
        <f>IF(ISBLANK([1]NLFsmonkeyCompl!L61),"",[1]NLFsmonkeyCompl!L61)</f>
        <v>Closed end</v>
      </c>
      <c r="H60" s="6">
        <f>IFERROR(INDEX([1]VehiclesUniverse!$B$2:$EU$700,MATCH(C60,[1]VehiclesUniverse!$A$2:$A$700,0),MATCH($H$1,[1]VehiclesUniverse!$B$1:$EU$1,0)),"")</f>
        <v>2018</v>
      </c>
      <c r="I60" s="6" t="str">
        <f>IF(ISBLANK([1]NLFsmonkeyCompl!M61),"",[1]NLFsmonkeyCompl!M61)</f>
        <v>No</v>
      </c>
      <c r="J60" s="6" t="str">
        <f>IF(ISBLANK([1]NLFsmonkeyCompl!N61),"",[1]NLFsmonkeyCompl!N61)</f>
        <v>Other (please specify)</v>
      </c>
      <c r="K60" s="6" t="str">
        <f>IF(ISBLANK([1]NLFsmonkeyCompl!O61),"",[1]NLFsmonkeyCompl!O61)</f>
        <v>No capital raised in 2020, final closing was in December 2019.</v>
      </c>
      <c r="L60" s="6" t="str">
        <f>IFERROR(INDEX([1]VehiclesUniverse!$B$2:$EU$700,MATCH(C60,[1]VehiclesUniverse!$A$2:$A$700,0),MATCH($L$1,[1]VehiclesUniverse!$B$1:$EU$1,0)),"")</f>
        <v>SEK</v>
      </c>
      <c r="M60" s="16">
        <f>IFERROR(VLOOKUP(L60,'[1]Xrate31.12.20'!$K$2:$N$25,3,0),"")</f>
        <v>9.9491122000000001E-2</v>
      </c>
      <c r="N60" s="8" t="str">
        <f>IFERROR(IF(ISBLANK([1]NLFsmonkeyCompl!P61),"",[1]NLFsmonkeyCompl!P61*$M60),"")</f>
        <v/>
      </c>
      <c r="O60" s="8" t="str">
        <f>IFERROR(IF(ISBLANK([1]NLFsmonkeyCompl!Q61),"",[1]NLFsmonkeyCompl!Q61*$M60),"")</f>
        <v/>
      </c>
      <c r="P60" s="8" t="str">
        <f>IFERROR(IF(ISBLANK([1]NLFsmonkeyCompl!R61),"",[1]NLFsmonkeyCompl!R61*$M60),"")</f>
        <v/>
      </c>
      <c r="Q60" s="8" t="str">
        <f>IFERROR(IF(ISBLANK([1]NLFsmonkeyCompl!S61),"",[1]NLFsmonkeyCompl!S61*$M60),"")</f>
        <v/>
      </c>
      <c r="R60" s="8" t="str">
        <f>IFERROR(IF(ISBLANK([1]NLFsmonkeyCompl!T61),"",[1]NLFsmonkeyCompl!T61*$M60),"")</f>
        <v/>
      </c>
      <c r="S60" s="8" t="str">
        <f>IFERROR(IF(ISBLANK([1]NLFsmonkeyCompl!U61),"",[1]NLFsmonkeyCompl!U61*$M60),"")</f>
        <v/>
      </c>
      <c r="T60" s="8" t="str">
        <f>IFERROR(IF(ISBLANK([1]NLFsmonkeyCompl!V61),"",[1]NLFsmonkeyCompl!V61*$M60),"")</f>
        <v/>
      </c>
      <c r="U60" s="8" t="str">
        <f>IFERROR(IF(ISBLANK([1]NLFsmonkeyCompl!W61),"",[1]NLFsmonkeyCompl!W61*$M60),"")</f>
        <v/>
      </c>
      <c r="V60" s="8" t="str">
        <f>IFERROR(IF(ISBLANK([1]NLFsmonkeyCompl!X61),"",[1]NLFsmonkeyCompl!X61*$M60),"")</f>
        <v/>
      </c>
      <c r="W60" s="8" t="str">
        <f>IFERROR(IF(ISBLANK([1]NLFsmonkeyCompl!Y61),"",[1]NLFsmonkeyCompl!Y61*$M60),"")</f>
        <v/>
      </c>
      <c r="X60" s="8" t="str">
        <f>IFERROR(IF(ISBLANK([1]NLFsmonkeyCompl!Z61),"",[1]NLFsmonkeyCompl!Z61*$M60),"")</f>
        <v/>
      </c>
      <c r="Y60" s="8" t="str">
        <f>IFERROR(IF(ISBLANK([1]NLFsmonkeyCompl!AA61),"",[1]NLFsmonkeyCompl!AA61*$M60),"")</f>
        <v/>
      </c>
      <c r="Z60" s="8" t="str">
        <f>IFERROR(IF(ISBLANK([1]NLFsmonkeyCompl!AB61),"",[1]NLFsmonkeyCompl!AB61*$M60),"")</f>
        <v/>
      </c>
      <c r="AA60" s="8" t="str">
        <f>IFERROR(IF(ISBLANK([1]NLFsmonkeyCompl!AC61),"",[1]NLFsmonkeyCompl!AC61*$M60),"")</f>
        <v/>
      </c>
      <c r="AB60" s="8" t="str">
        <f>IFERROR(IF(ISBLANK([1]NLFsmonkeyCompl!AD61),"",[1]NLFsmonkeyCompl!AD61),"")</f>
        <v/>
      </c>
      <c r="AC60" s="8" t="str">
        <f>IFERROR(IF(ISBLANK([1]NLFsmonkeyCompl!AE61),"",[1]NLFsmonkeyCompl!AE61),"")</f>
        <v/>
      </c>
      <c r="AD60" s="8" t="str">
        <f>IFERROR(IF(ISBLANK([1]NLFsmonkeyCompl!AF61),"",[1]NLFsmonkeyCompl!AF61),"")</f>
        <v/>
      </c>
      <c r="AE60" s="8" t="str">
        <f>IFERROR(IF(ISBLANK([1]NLFsmonkeyCompl!AG61),"",[1]NLFsmonkeyCompl!AG61),"")</f>
        <v/>
      </c>
      <c r="AF60" s="8" t="str">
        <f>IFERROR(IF(ISBLANK([1]NLFsmonkeyCompl!AH61),"",[1]NLFsmonkeyCompl!AH61),"")</f>
        <v>Increase</v>
      </c>
      <c r="AG60" s="8" t="str">
        <f>IFERROR(IF(ISBLANK([1]NLFsmonkeyCompl!AI61),"",[1]NLFsmonkeyCompl!AI61),"")</f>
        <v>Yes</v>
      </c>
    </row>
    <row r="61" spans="1:33" x14ac:dyDescent="0.2">
      <c r="A61" s="5" t="str">
        <f>IF(OR(ISTEXT([1]NLFsmonkeyCompl!J62),ISNUMBER([1]NLFsmonkeyCompl!J62)),[1]NLFsmonkeyCompl!J62,"")</f>
        <v>Areim AB</v>
      </c>
      <c r="B61" s="6" t="str">
        <f>IF(OR(ISTEXT([1]NLFsmonkeyCompl!K62),ISNUMBER([1]NLFsmonkeyCompl!K62)),[1]NLFsmonkeyCompl!K62,"")</f>
        <v>Areim Fastigheter 4 (EQ) AB</v>
      </c>
      <c r="C61" s="6">
        <v>18616</v>
      </c>
      <c r="D61" s="6" t="str">
        <f>IFERROR(INDEX([1]VehiclesUniverse!$B$2:$EU$700,MATCH(C61,[1]VehiclesUniverse!$A$2:$A$700,0),MATCH($D$1,[1]VehiclesUniverse!$B$1:$EU$1,0)),"")</f>
        <v>Value-added</v>
      </c>
      <c r="E61" s="6" t="str">
        <f>IFERROR(INDEX([1]VehiclesUniverse!$B$2:$EU$700,MATCH(C61,[1]VehiclesUniverse!$A$2:$A$700,0),MATCH($E$1,[1]VehiclesUniverse!$B$1:$EU$1,0)),"")</f>
        <v>multi country</v>
      </c>
      <c r="F61" s="6" t="str">
        <f>IF(IFERROR(INDEX([1]VehiclesUniverse!$B$2:$EU$700,MATCH($C61,[1]VehiclesUniverse!$A$2:$A$700,0),MATCH($F$1,[1]VehiclesUniverse!$B$1:$EU$1,0)),"")&lt;&gt;0,(IFERROR(INDEX([1]VehiclesUniverse!$B$2:$EU$700,MATCH($C61,[1]VehiclesUniverse!$A$2:$A$700,0),MATCH($F$1,[1]VehiclesUniverse!$B$1:$EU$1,0)),"")),"")</f>
        <v/>
      </c>
      <c r="G61" s="6" t="str">
        <f>IF(ISBLANK([1]NLFsmonkeyCompl!L62),"",[1]NLFsmonkeyCompl!L62)</f>
        <v>Closed end</v>
      </c>
      <c r="H61" s="6">
        <f>IFERROR(INDEX([1]VehiclesUniverse!$B$2:$EU$700,MATCH(C61,[1]VehiclesUniverse!$A$2:$A$700,0),MATCH($H$1,[1]VehiclesUniverse!$B$1:$EU$1,0)),"")</f>
        <v>2018</v>
      </c>
      <c r="I61" s="6" t="str">
        <f>IF(ISBLANK([1]NLFsmonkeyCompl!M62),"",[1]NLFsmonkeyCompl!M62)</f>
        <v>No</v>
      </c>
      <c r="J61" s="6" t="str">
        <f>IF(ISBLANK([1]NLFsmonkeyCompl!N62),"",[1]NLFsmonkeyCompl!N62)</f>
        <v>Other (please specify)</v>
      </c>
      <c r="K61" s="6" t="str">
        <f>IF(ISBLANK([1]NLFsmonkeyCompl!O62),"",[1]NLFsmonkeyCompl!O62)</f>
        <v>No capital raised in 2020, final closing was in December 2019.</v>
      </c>
      <c r="L61" s="6" t="str">
        <f>IFERROR(INDEX([1]VehiclesUniverse!$B$2:$EU$700,MATCH(C61,[1]VehiclesUniverse!$A$2:$A$700,0),MATCH($L$1,[1]VehiclesUniverse!$B$1:$EU$1,0)),"")</f>
        <v>SEK</v>
      </c>
      <c r="M61" s="16">
        <f>IFERROR(VLOOKUP(L61,'[1]Xrate31.12.20'!$K$2:$N$25,3,0),"")</f>
        <v>9.9491122000000001E-2</v>
      </c>
      <c r="N61" s="8" t="str">
        <f>IFERROR(IF(ISBLANK([1]NLFsmonkeyCompl!P62),"",[1]NLFsmonkeyCompl!P62*$M61),"")</f>
        <v/>
      </c>
      <c r="O61" s="8" t="str">
        <f>IFERROR(IF(ISBLANK([1]NLFsmonkeyCompl!Q62),"",[1]NLFsmonkeyCompl!Q62*$M61),"")</f>
        <v/>
      </c>
      <c r="P61" s="8" t="str">
        <f>IFERROR(IF(ISBLANK([1]NLFsmonkeyCompl!R62),"",[1]NLFsmonkeyCompl!R62*$M61),"")</f>
        <v/>
      </c>
      <c r="Q61" s="8" t="str">
        <f>IFERROR(IF(ISBLANK([1]NLFsmonkeyCompl!S62),"",[1]NLFsmonkeyCompl!S62*$M61),"")</f>
        <v/>
      </c>
      <c r="R61" s="8" t="str">
        <f>IFERROR(IF(ISBLANK([1]NLFsmonkeyCompl!T62),"",[1]NLFsmonkeyCompl!T62*$M61),"")</f>
        <v/>
      </c>
      <c r="S61" s="8" t="str">
        <f>IFERROR(IF(ISBLANK([1]NLFsmonkeyCompl!U62),"",[1]NLFsmonkeyCompl!U62*$M61),"")</f>
        <v/>
      </c>
      <c r="T61" s="8" t="str">
        <f>IFERROR(IF(ISBLANK([1]NLFsmonkeyCompl!V62),"",[1]NLFsmonkeyCompl!V62*$M61),"")</f>
        <v/>
      </c>
      <c r="U61" s="8" t="str">
        <f>IFERROR(IF(ISBLANK([1]NLFsmonkeyCompl!W62),"",[1]NLFsmonkeyCompl!W62*$M61),"")</f>
        <v/>
      </c>
      <c r="V61" s="8" t="str">
        <f>IFERROR(IF(ISBLANK([1]NLFsmonkeyCompl!X62),"",[1]NLFsmonkeyCompl!X62*$M61),"")</f>
        <v/>
      </c>
      <c r="W61" s="8" t="str">
        <f>IFERROR(IF(ISBLANK([1]NLFsmonkeyCompl!Y62),"",[1]NLFsmonkeyCompl!Y62*$M61),"")</f>
        <v/>
      </c>
      <c r="X61" s="8" t="str">
        <f>IFERROR(IF(ISBLANK([1]NLFsmonkeyCompl!Z62),"",[1]NLFsmonkeyCompl!Z62*$M61),"")</f>
        <v/>
      </c>
      <c r="Y61" s="8" t="str">
        <f>IFERROR(IF(ISBLANK([1]NLFsmonkeyCompl!AA62),"",[1]NLFsmonkeyCompl!AA62*$M61),"")</f>
        <v/>
      </c>
      <c r="Z61" s="8" t="str">
        <f>IFERROR(IF(ISBLANK([1]NLFsmonkeyCompl!AB62),"",[1]NLFsmonkeyCompl!AB62*$M61),"")</f>
        <v/>
      </c>
      <c r="AA61" s="8" t="str">
        <f>IFERROR(IF(ISBLANK([1]NLFsmonkeyCompl!AC62),"",[1]NLFsmonkeyCompl!AC62*$M61),"")</f>
        <v/>
      </c>
      <c r="AB61" s="8" t="str">
        <f>IFERROR(IF(ISBLANK([1]NLFsmonkeyCompl!AD62),"",[1]NLFsmonkeyCompl!AD62),"")</f>
        <v/>
      </c>
      <c r="AC61" s="8" t="str">
        <f>IFERROR(IF(ISBLANK([1]NLFsmonkeyCompl!AE62),"",[1]NLFsmonkeyCompl!AE62),"")</f>
        <v/>
      </c>
      <c r="AD61" s="8" t="str">
        <f>IFERROR(IF(ISBLANK([1]NLFsmonkeyCompl!AF62),"",[1]NLFsmonkeyCompl!AF62),"")</f>
        <v/>
      </c>
      <c r="AE61" s="8" t="str">
        <f>IFERROR(IF(ISBLANK([1]NLFsmonkeyCompl!AG62),"",[1]NLFsmonkeyCompl!AG62),"")</f>
        <v/>
      </c>
      <c r="AF61" s="8" t="str">
        <f>IFERROR(IF(ISBLANK([1]NLFsmonkeyCompl!AH62),"",[1]NLFsmonkeyCompl!AH62),"")</f>
        <v>Increase</v>
      </c>
      <c r="AG61" s="8" t="str">
        <f>IFERROR(IF(ISBLANK([1]NLFsmonkeyCompl!AI62),"",[1]NLFsmonkeyCompl!AI62),"")</f>
        <v>Yes</v>
      </c>
    </row>
    <row r="62" spans="1:33" x14ac:dyDescent="0.2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 t="str">
        <f>IFERROR(INDEX([1]VehiclesUniverse!$B$2:$EU$700,MATCH(C62,[1]VehiclesUniverse!$A$2:$A$700,0),MATCH($L$1,[1]VehiclesUniverse!$B$1:$EU$1,0)),"")</f>
        <v/>
      </c>
      <c r="M62" s="16" t="str">
        <f>IFERROR(VLOOKUP(L62,'[1]Xrate31.12.20'!$K$2:$N$25,3,0),"")</f>
        <v/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spans="1:33" x14ac:dyDescent="0.2">
      <c r="A63" s="5" t="str">
        <f>IF(OR(ISTEXT([1]NLFsmonkeyCompl!J64),ISNUMBER([1]NLFsmonkeyCompl!J64)),[1]NLFsmonkeyCompl!J64,"")</f>
        <v>Union Investment Real Estate GmbH</v>
      </c>
      <c r="B63" s="6" t="str">
        <f>IF(OR(ISTEXT([1]NLFsmonkeyCompl!K64),ISNUMBER([1]NLFsmonkeyCompl!K64)),[1]NLFsmonkeyCompl!K64,"")</f>
        <v>Real Estate Funds</v>
      </c>
      <c r="C63" s="6" t="s">
        <v>54</v>
      </c>
      <c r="D63" s="6" t="str">
        <f>IFERROR(INDEX([1]VehiclesUniverse!$B$2:$EU$700,MATCH(C63,[1]VehiclesUniverse!$A$2:$A$700,0),MATCH($D$1,[1]VehiclesUniverse!$B$1:$EU$1,0)),"")</f>
        <v/>
      </c>
      <c r="E63" s="6" t="str">
        <f>IFERROR(INDEX([1]VehiclesUniverse!$B$2:$EU$700,MATCH(C63,[1]VehiclesUniverse!$A$2:$A$700,0),MATCH($E$1,[1]VehiclesUniverse!$B$1:$EU$1,0)),"")</f>
        <v/>
      </c>
      <c r="F63" s="6" t="str">
        <f>IF(IFERROR(INDEX([1]VehiclesUniverse!$B$2:$EU$700,MATCH($C63,[1]VehiclesUniverse!$A$2:$A$700,0),MATCH($F$1,[1]VehiclesUniverse!$B$1:$EU$1,0)),"")&lt;&gt;0,(IFERROR(INDEX([1]VehiclesUniverse!$B$2:$EU$700,MATCH($C63,[1]VehiclesUniverse!$A$2:$A$700,0),MATCH($F$1,[1]VehiclesUniverse!$B$1:$EU$1,0)),"")),"")</f>
        <v/>
      </c>
      <c r="G63" s="6" t="str">
        <f>IF(ISBLANK([1]NLFsmonkeyCompl!L64),"",[1]NLFsmonkeyCompl!L64)</f>
        <v>Open end</v>
      </c>
      <c r="H63" s="6" t="str">
        <f>IFERROR(INDEX([1]VehiclesUniverse!$B$2:$EU$700,MATCH(C63,[1]VehiclesUniverse!$A$2:$A$700,0),MATCH($H$1,[1]VehiclesUniverse!$B$1:$EU$1,0)),"")</f>
        <v/>
      </c>
      <c r="I63" s="6" t="str">
        <f>IF(ISBLANK([1]NLFsmonkeyCompl!M64),"",[1]NLFsmonkeyCompl!M64)</f>
        <v>Yes</v>
      </c>
      <c r="J63" s="6" t="str">
        <f>IF(ISBLANK([1]NLFsmonkeyCompl!N64),"",[1]NLFsmonkeyCompl!N64)</f>
        <v/>
      </c>
      <c r="K63" s="6" t="str">
        <f>IF(ISBLANK([1]NLFsmonkeyCompl!O64),"",[1]NLFsmonkeyCompl!O64)</f>
        <v/>
      </c>
      <c r="L63" s="6" t="str">
        <f>IFERROR(INDEX([1]VehiclesUniverse!$B$2:$EU$700,MATCH(C63,[1]VehiclesUniverse!$A$2:$A$700,0),MATCH($L$1,[1]VehiclesUniverse!$B$1:$EU$1,0)),"")</f>
        <v/>
      </c>
      <c r="M63" s="16" t="str">
        <f>IFERROR(VLOOKUP(L63,'[1]Xrate31.12.20'!$K$2:$N$25,3,0),"")</f>
        <v/>
      </c>
      <c r="N63" s="8" t="str">
        <f>IFERROR(IF(ISBLANK([1]NLFsmonkeyCompl!P64),"",[1]NLFsmonkeyCompl!P64*$M63),"")</f>
        <v/>
      </c>
      <c r="O63" s="8" t="str">
        <f>IFERROR(IF(ISBLANK([1]NLFsmonkeyCompl!Q64),"",[1]NLFsmonkeyCompl!Q64*$M63),"")</f>
        <v/>
      </c>
      <c r="P63" s="8" t="str">
        <f>IFERROR(IF(ISBLANK([1]NLFsmonkeyCompl!R64),"",[1]NLFsmonkeyCompl!R64*$M63),"")</f>
        <v/>
      </c>
      <c r="Q63" s="8" t="str">
        <f>IFERROR(IF(ISBLANK([1]NLFsmonkeyCompl!S64),"",[1]NLFsmonkeyCompl!S64*$M63),"")</f>
        <v/>
      </c>
      <c r="R63" s="8" t="str">
        <f>IFERROR(IF(ISBLANK([1]NLFsmonkeyCompl!T64),"",[1]NLFsmonkeyCompl!T64*$M63),"")</f>
        <v/>
      </c>
      <c r="S63" s="8" t="str">
        <f>IFERROR(IF(ISBLANK([1]NLFsmonkeyCompl!U64),"",[1]NLFsmonkeyCompl!U64*$M63),"")</f>
        <v/>
      </c>
      <c r="T63" s="8" t="str">
        <f>IFERROR(IF(ISBLANK([1]NLFsmonkeyCompl!V64),"",[1]NLFsmonkeyCompl!V64*$M63),"")</f>
        <v/>
      </c>
      <c r="U63" s="8" t="str">
        <f>IFERROR(IF(ISBLANK([1]NLFsmonkeyCompl!W64),"",[1]NLFsmonkeyCompl!W64*$M63),"")</f>
        <v/>
      </c>
      <c r="V63" s="8" t="str">
        <f>IFERROR(IF(ISBLANK([1]NLFsmonkeyCompl!X64),"",[1]NLFsmonkeyCompl!X64*$M63),"")</f>
        <v/>
      </c>
      <c r="W63" s="8" t="str">
        <f>IFERROR(IF(ISBLANK([1]NLFsmonkeyCompl!Y64),"",[1]NLFsmonkeyCompl!Y64*$M63),"")</f>
        <v/>
      </c>
      <c r="X63" s="8" t="str">
        <f>IFERROR(IF(ISBLANK([1]NLFsmonkeyCompl!Z64),"",[1]NLFsmonkeyCompl!Z64*$M63),"")</f>
        <v/>
      </c>
      <c r="Y63" s="8" t="str">
        <f>IFERROR(IF(ISBLANK([1]NLFsmonkeyCompl!AA64),"",[1]NLFsmonkeyCompl!AA64*$M63),"")</f>
        <v/>
      </c>
      <c r="Z63" s="8" t="str">
        <f>IFERROR(IF(ISBLANK([1]NLFsmonkeyCompl!AB64),"",[1]NLFsmonkeyCompl!AB64*$M63),"")</f>
        <v/>
      </c>
      <c r="AA63" s="8" t="str">
        <f>IFERROR(IF(ISBLANK([1]NLFsmonkeyCompl!AC64),"",[1]NLFsmonkeyCompl!AC64*$M63),"")</f>
        <v/>
      </c>
      <c r="AB63" s="8">
        <f>IFERROR(IF(ISBLANK([1]NLFsmonkeyCompl!AD64),"",[1]NLFsmonkeyCompl!AD64),"")</f>
        <v>0</v>
      </c>
      <c r="AC63" s="8">
        <f>IFERROR(IF(ISBLANK([1]NLFsmonkeyCompl!AE64),"",[1]NLFsmonkeyCompl!AE64),"")</f>
        <v>0</v>
      </c>
      <c r="AD63" s="8">
        <f>IFERROR(IF(ISBLANK([1]NLFsmonkeyCompl!AF64),"",[1]NLFsmonkeyCompl!AF64),"")</f>
        <v>100</v>
      </c>
      <c r="AE63" s="8">
        <f>IFERROR(IF(ISBLANK([1]NLFsmonkeyCompl!AG64),"",[1]NLFsmonkeyCompl!AG64),"")</f>
        <v>0</v>
      </c>
      <c r="AF63" s="8" t="str">
        <f>IFERROR(IF(ISBLANK([1]NLFsmonkeyCompl!AH64),"",[1]NLFsmonkeyCompl!AH64),"")</f>
        <v>Increase</v>
      </c>
      <c r="AG63" s="8" t="str">
        <f>IFERROR(IF(ISBLANK([1]NLFsmonkeyCompl!AI64),"",[1]NLFsmonkeyCompl!AI64),"")</f>
        <v>Yes</v>
      </c>
    </row>
    <row r="64" spans="1:33" x14ac:dyDescent="0.2">
      <c r="A64" s="5" t="str">
        <f>IF(OR(ISTEXT([1]NLFsmonkeyCompl!J65),ISNUMBER([1]NLFsmonkeyCompl!J65)),[1]NLFsmonkeyCompl!J65,"")</f>
        <v>Quantum Immobilien Kapitalverwaltungsgesellschaft</v>
      </c>
      <c r="B64" s="6" t="str">
        <f>IF(OR(ISTEXT([1]NLFsmonkeyCompl!K65),ISNUMBER([1]NLFsmonkeyCompl!K65)),[1]NLFsmonkeyCompl!K65,"")</f>
        <v>Habitare</v>
      </c>
      <c r="C64" s="6">
        <v>222</v>
      </c>
      <c r="D64" s="6" t="str">
        <f>IFERROR(INDEX([1]VehiclesUniverse!$B$2:$EU$700,MATCH(C64,[1]VehiclesUniverse!$A$2:$A$700,0),MATCH($D$1,[1]VehiclesUniverse!$B$1:$EU$1,0)),"")</f>
        <v>Core</v>
      </c>
      <c r="E64" s="6" t="str">
        <f>IFERROR(INDEX([1]VehiclesUniverse!$B$2:$EU$700,MATCH(C64,[1]VehiclesUniverse!$A$2:$A$700,0),MATCH($E$1,[1]VehiclesUniverse!$B$1:$EU$1,0)),"")</f>
        <v>single country</v>
      </c>
      <c r="F64" s="6" t="str">
        <f>IF(IFERROR(INDEX([1]VehiclesUniverse!$B$2:$EU$700,MATCH($C64,[1]VehiclesUniverse!$A$2:$A$700,0),MATCH($F$1,[1]VehiclesUniverse!$B$1:$EU$1,0)),"")&lt;&gt;0,(IFERROR(INDEX([1]VehiclesUniverse!$B$2:$EU$700,MATCH($C64,[1]VehiclesUniverse!$A$2:$A$700,0),MATCH($F$1,[1]VehiclesUniverse!$B$1:$EU$1,0)),"")),"")</f>
        <v>Germany</v>
      </c>
      <c r="G64" s="6" t="str">
        <f>IF(ISBLANK([1]NLFsmonkeyCompl!L65),"",[1]NLFsmonkeyCompl!L65)</f>
        <v>Open end</v>
      </c>
      <c r="H64" s="6">
        <f>IFERROR(INDEX([1]VehiclesUniverse!$B$2:$EU$700,MATCH(C64,[1]VehiclesUniverse!$A$2:$A$700,0),MATCH($H$1,[1]VehiclesUniverse!$B$1:$EU$1,0)),"")</f>
        <v>2006</v>
      </c>
      <c r="I64" s="6" t="str">
        <f>IF(ISBLANK([1]NLFsmonkeyCompl!M65),"",[1]NLFsmonkeyCompl!M65)</f>
        <v>No</v>
      </c>
      <c r="J64" s="6" t="str">
        <f>IF(ISBLANK([1]NLFsmonkeyCompl!N65),"",[1]NLFsmonkeyCompl!N65)</f>
        <v/>
      </c>
      <c r="K64" s="6" t="str">
        <f>IF(ISBLANK([1]NLFsmonkeyCompl!O65),"",[1]NLFsmonkeyCompl!O65)</f>
        <v/>
      </c>
      <c r="L64" s="6" t="str">
        <f>IFERROR(INDEX([1]VehiclesUniverse!$B$2:$EU$700,MATCH(C64,[1]VehiclesUniverse!$A$2:$A$700,0),MATCH($L$1,[1]VehiclesUniverse!$B$1:$EU$1,0)),"")</f>
        <v>EUR</v>
      </c>
      <c r="M64" s="16">
        <f>IFERROR(VLOOKUP(L64,'[1]Xrate31.12.20'!$K$2:$N$25,3,0),"")</f>
        <v>1</v>
      </c>
      <c r="N64" s="8" t="str">
        <f>IFERROR(IF(ISBLANK([1]NLFsmonkeyCompl!P65),"",[1]NLFsmonkeyCompl!P65*$M64),"")</f>
        <v/>
      </c>
      <c r="O64" s="8" t="str">
        <f>IFERROR(IF(ISBLANK([1]NLFsmonkeyCompl!Q65),"",[1]NLFsmonkeyCompl!Q65*$M64),"")</f>
        <v/>
      </c>
      <c r="P64" s="8" t="str">
        <f>IFERROR(IF(ISBLANK([1]NLFsmonkeyCompl!R65),"",[1]NLFsmonkeyCompl!R65*$M64),"")</f>
        <v/>
      </c>
      <c r="Q64" s="8" t="str">
        <f>IFERROR(IF(ISBLANK([1]NLFsmonkeyCompl!S65),"",[1]NLFsmonkeyCompl!S65*$M64),"")</f>
        <v/>
      </c>
      <c r="R64" s="8" t="str">
        <f>IFERROR(IF(ISBLANK([1]NLFsmonkeyCompl!T65),"",[1]NLFsmonkeyCompl!T65*$M64),"")</f>
        <v/>
      </c>
      <c r="S64" s="8" t="str">
        <f>IFERROR(IF(ISBLANK([1]NLFsmonkeyCompl!U65),"",[1]NLFsmonkeyCompl!U65*$M64),"")</f>
        <v/>
      </c>
      <c r="T64" s="8" t="str">
        <f>IFERROR(IF(ISBLANK([1]NLFsmonkeyCompl!V65),"",[1]NLFsmonkeyCompl!V65*$M64),"")</f>
        <v/>
      </c>
      <c r="U64" s="8" t="str">
        <f>IFERROR(IF(ISBLANK([1]NLFsmonkeyCompl!W65),"",[1]NLFsmonkeyCompl!W65*$M64),"")</f>
        <v/>
      </c>
      <c r="V64" s="8" t="str">
        <f>IFERROR(IF(ISBLANK([1]NLFsmonkeyCompl!X65),"",[1]NLFsmonkeyCompl!X65*$M64),"")</f>
        <v/>
      </c>
      <c r="W64" s="8" t="str">
        <f>IFERROR(IF(ISBLANK([1]NLFsmonkeyCompl!Y65),"",[1]NLFsmonkeyCompl!Y65*$M64),"")</f>
        <v/>
      </c>
      <c r="X64" s="8" t="str">
        <f>IFERROR(IF(ISBLANK([1]NLFsmonkeyCompl!Z65),"",[1]NLFsmonkeyCompl!Z65*$M64),"")</f>
        <v/>
      </c>
      <c r="Y64" s="8" t="str">
        <f>IFERROR(IF(ISBLANK([1]NLFsmonkeyCompl!AA65),"",[1]NLFsmonkeyCompl!AA65*$M64),"")</f>
        <v/>
      </c>
      <c r="Z64" s="8" t="str">
        <f>IFERROR(IF(ISBLANK([1]NLFsmonkeyCompl!AB65),"",[1]NLFsmonkeyCompl!AB65*$M64),"")</f>
        <v/>
      </c>
      <c r="AA64" s="8" t="str">
        <f>IFERROR(IF(ISBLANK([1]NLFsmonkeyCompl!AC65),"",[1]NLFsmonkeyCompl!AC65*$M64),"")</f>
        <v/>
      </c>
      <c r="AB64" s="8" t="str">
        <f>IFERROR(IF(ISBLANK([1]NLFsmonkeyCompl!AD65),"",[1]NLFsmonkeyCompl!AD65),"")</f>
        <v/>
      </c>
      <c r="AC64" s="8" t="str">
        <f>IFERROR(IF(ISBLANK([1]NLFsmonkeyCompl!AE65),"",[1]NLFsmonkeyCompl!AE65),"")</f>
        <v/>
      </c>
      <c r="AD64" s="8" t="str">
        <f>IFERROR(IF(ISBLANK([1]NLFsmonkeyCompl!AF65),"",[1]NLFsmonkeyCompl!AF65),"")</f>
        <v/>
      </c>
      <c r="AE64" s="8" t="str">
        <f>IFERROR(IF(ISBLANK([1]NLFsmonkeyCompl!AG65),"",[1]NLFsmonkeyCompl!AG65),"")</f>
        <v/>
      </c>
      <c r="AF64" s="8" t="str">
        <f>IFERROR(IF(ISBLANK([1]NLFsmonkeyCompl!AH65),"",[1]NLFsmonkeyCompl!AH65),"")</f>
        <v/>
      </c>
      <c r="AG64" s="8" t="str">
        <f>IFERROR(IF(ISBLANK([1]NLFsmonkeyCompl!AI65),"",[1]NLFsmonkeyCompl!AI65),"")</f>
        <v/>
      </c>
    </row>
    <row r="65" spans="1:33" x14ac:dyDescent="0.2">
      <c r="A65" s="5" t="str">
        <f>IF(OR(ISTEXT([1]NLFsmonkeyCompl!J66),ISNUMBER([1]NLFsmonkeyCompl!J66)),[1]NLFsmonkeyCompl!J66,"")</f>
        <v>AEW UK Investment Management LLP</v>
      </c>
      <c r="B65" s="18" t="str">
        <f>IF(OR(ISTEXT([1]NLFsmonkeyCompl!K66),ISNUMBER([1]NLFsmonkeyCompl!K66)),[1]NLFsmonkeyCompl!K66,"")</f>
        <v>AEW UK Urban Real Estate Fund</v>
      </c>
      <c r="C65" s="6" t="s">
        <v>52</v>
      </c>
      <c r="D65" s="6" t="s">
        <v>47</v>
      </c>
      <c r="E65" s="6" t="s">
        <v>48</v>
      </c>
      <c r="F65" s="6" t="s">
        <v>55</v>
      </c>
      <c r="G65" s="6" t="str">
        <f>IF(ISBLANK([3]NLFsmonkeyCompl!L66),"",[3]NLFsmonkeyCompl!L66)</f>
        <v>Closed end</v>
      </c>
      <c r="H65" s="6">
        <v>2019</v>
      </c>
      <c r="I65" s="6" t="str">
        <f>IF(ISBLANK([3]NLFsmonkeyCompl!M66),"",[3]NLFsmonkeyCompl!M66)</f>
        <v>No</v>
      </c>
      <c r="J65" s="6" t="str">
        <f>IF(ISBLANK([3]NLFsmonkeyCompl!N66),"",[3]NLFsmonkeyCompl!N66)</f>
        <v>Other (please specify)</v>
      </c>
      <c r="K65" s="6" t="str">
        <f>IF(ISBLANK([3]NLFsmonkeyCompl!O66),"",[3]NLFsmonkeyCompl!O66)</f>
        <v>Still in capital raising phase</v>
      </c>
      <c r="L65" s="6" t="s">
        <v>56</v>
      </c>
      <c r="M65" s="16">
        <f>IFERROR(VLOOKUP(L65,'[1]Xrate31.12.20'!$K$2:$N$25,3,0),"")</f>
        <v>1.1130927885999999</v>
      </c>
      <c r="N65" s="8" t="str">
        <f>IFERROR(IF(ISBLANK([1]NLFsmonkeyCompl!P66),"",[1]NLFsmonkeyCompl!P66*$M65),"")</f>
        <v/>
      </c>
      <c r="O65" s="8" t="str">
        <f>IFERROR(IF(ISBLANK([1]NLFsmonkeyCompl!Q66),"",[1]NLFsmonkeyCompl!Q66*$M65),"")</f>
        <v/>
      </c>
      <c r="P65" s="8" t="str">
        <f>IFERROR(IF(ISBLANK([1]NLFsmonkeyCompl!R66),"",[1]NLFsmonkeyCompl!R66*$M65),"")</f>
        <v/>
      </c>
      <c r="Q65" s="8" t="str">
        <f>IFERROR(IF(ISBLANK([1]NLFsmonkeyCompl!S66),"",[1]NLFsmonkeyCompl!S66*$M65),"")</f>
        <v/>
      </c>
      <c r="R65" s="8" t="str">
        <f>IFERROR(IF(ISBLANK([1]NLFsmonkeyCompl!T66),"",[1]NLFsmonkeyCompl!T66*$M65),"")</f>
        <v/>
      </c>
      <c r="S65" s="8" t="str">
        <f>IFERROR(IF(ISBLANK([1]NLFsmonkeyCompl!U66),"",[1]NLFsmonkeyCompl!U66*$M65),"")</f>
        <v/>
      </c>
      <c r="T65" s="8" t="str">
        <f>IFERROR(IF(ISBLANK([1]NLFsmonkeyCompl!V66),"",[1]NLFsmonkeyCompl!V66*$M65),"")</f>
        <v/>
      </c>
      <c r="U65" s="8" t="str">
        <f>IFERROR(IF(ISBLANK([1]NLFsmonkeyCompl!W66),"",[1]NLFsmonkeyCompl!W66*$M65),"")</f>
        <v/>
      </c>
      <c r="V65" s="8" t="str">
        <f>IFERROR(IF(ISBLANK([1]NLFsmonkeyCompl!X66),"",[1]NLFsmonkeyCompl!X66*$M65),"")</f>
        <v/>
      </c>
      <c r="W65" s="8" t="str">
        <f>IFERROR(IF(ISBLANK([1]NLFsmonkeyCompl!Y66),"",[1]NLFsmonkeyCompl!Y66*$M65),"")</f>
        <v/>
      </c>
      <c r="X65" s="8" t="str">
        <f>IFERROR(IF(ISBLANK([1]NLFsmonkeyCompl!Z66),"",[1]NLFsmonkeyCompl!Z66*$M65),"")</f>
        <v/>
      </c>
      <c r="Y65" s="8" t="str">
        <f>IFERROR(IF(ISBLANK([1]NLFsmonkeyCompl!AA66),"",[1]NLFsmonkeyCompl!AA66*$M65),"")</f>
        <v/>
      </c>
      <c r="Z65" s="8" t="str">
        <f>IFERROR(IF(ISBLANK([1]NLFsmonkeyCompl!AB66),"",[1]NLFsmonkeyCompl!AB66*$M65),"")</f>
        <v/>
      </c>
      <c r="AA65" s="8" t="str">
        <f>IFERROR(IF(ISBLANK([1]NLFsmonkeyCompl!AC66),"",[1]NLFsmonkeyCompl!AC66*$M65),"")</f>
        <v/>
      </c>
      <c r="AB65" s="8" t="str">
        <f>IFERROR(IF(ISBLANK([1]NLFsmonkeyCompl!AD66),"",[1]NLFsmonkeyCompl!AD66),"")</f>
        <v/>
      </c>
      <c r="AC65" s="8" t="str">
        <f>IFERROR(IF(ISBLANK([1]NLFsmonkeyCompl!AE66),"",[1]NLFsmonkeyCompl!AE66),"")</f>
        <v/>
      </c>
      <c r="AD65" s="8" t="str">
        <f>IFERROR(IF(ISBLANK([1]NLFsmonkeyCompl!AF66),"",[1]NLFsmonkeyCompl!AF66),"")</f>
        <v/>
      </c>
      <c r="AE65" s="8" t="str">
        <f>IFERROR(IF(ISBLANK([1]NLFsmonkeyCompl!AG66),"",[1]NLFsmonkeyCompl!AG66),"")</f>
        <v/>
      </c>
      <c r="AF65" s="8" t="str">
        <f>IFERROR(IF(ISBLANK([1]NLFsmonkeyCompl!AH66),"",[1]NLFsmonkeyCompl!AH66),"")</f>
        <v>Increase</v>
      </c>
      <c r="AG65" s="8" t="str">
        <f>IFERROR(IF(ISBLANK([1]NLFsmonkeyCompl!AI66),"",[1]NLFsmonkeyCompl!AI66),"")</f>
        <v>No</v>
      </c>
    </row>
    <row r="66" spans="1:33" x14ac:dyDescent="0.2">
      <c r="A66" s="5" t="str">
        <f>IF(OR(ISTEXT([1]NLFsmonkeyCompl!J67),ISNUMBER([1]NLFsmonkeyCompl!J67)),[1]NLFsmonkeyCompl!J67,"")</f>
        <v>AEW UK Investment Management LLP</v>
      </c>
      <c r="B66" s="18" t="str">
        <f>IF(OR(ISTEXT([1]NLFsmonkeyCompl!K67),ISNUMBER([1]NLFsmonkeyCompl!K67)),[1]NLFsmonkeyCompl!K67,"")</f>
        <v>AEW UK Real Return Fund</v>
      </c>
      <c r="C66" s="6" t="s">
        <v>52</v>
      </c>
      <c r="D66" s="6" t="s">
        <v>45</v>
      </c>
      <c r="E66" s="6" t="s">
        <v>48</v>
      </c>
      <c r="F66" s="6" t="s">
        <v>55</v>
      </c>
      <c r="G66" s="6" t="str">
        <f>IF(ISBLANK([3]NLFsmonkeyCompl!L67),"",[3]NLFsmonkeyCompl!L67)</f>
        <v>Open end</v>
      </c>
      <c r="H66" s="6">
        <v>2016</v>
      </c>
      <c r="I66" s="6" t="str">
        <f>IF(ISBLANK([3]NLFsmonkeyCompl!M67),"",[3]NLFsmonkeyCompl!M67)</f>
        <v>Yes</v>
      </c>
      <c r="J66" s="6" t="str">
        <f>IF(ISBLANK([3]NLFsmonkeyCompl!N67),"",[3]NLFsmonkeyCompl!N67)</f>
        <v/>
      </c>
      <c r="K66" s="6" t="str">
        <f>IF(ISBLANK([3]NLFsmonkeyCompl!O67),"",[3]NLFsmonkeyCompl!O67)</f>
        <v/>
      </c>
      <c r="L66" s="6" t="s">
        <v>56</v>
      </c>
      <c r="M66" s="16">
        <f>IFERROR(VLOOKUP(L66,'[1]Xrate31.12.20'!$K$2:$N$25,3,0),"")</f>
        <v>1.1130927885999999</v>
      </c>
      <c r="N66" s="8">
        <f>IFERROR(IF(ISBLANK([1]NLFsmonkeyCompl!P67),"",[1]NLFsmonkeyCompl!P67*$M66),"")</f>
        <v>11.130927885999998</v>
      </c>
      <c r="O66" s="8">
        <f>IFERROR(IF(ISBLANK([1]NLFsmonkeyCompl!Q67),"",[1]NLFsmonkeyCompl!Q67*$M66),"")</f>
        <v>11.130927885999998</v>
      </c>
      <c r="P66" s="8" t="str">
        <f>IFERROR(IF(ISBLANK([1]NLFsmonkeyCompl!R67),"",[1]NLFsmonkeyCompl!R67*$M66),"")</f>
        <v/>
      </c>
      <c r="Q66" s="8" t="str">
        <f>IFERROR(IF(ISBLANK([1]NLFsmonkeyCompl!S67),"",[1]NLFsmonkeyCompl!S67*$M66),"")</f>
        <v/>
      </c>
      <c r="R66" s="8" t="str">
        <f>IFERROR(IF(ISBLANK([1]NLFsmonkeyCompl!T67),"",[1]NLFsmonkeyCompl!T67*$M66),"")</f>
        <v/>
      </c>
      <c r="S66" s="8" t="str">
        <f>IFERROR(IF(ISBLANK([1]NLFsmonkeyCompl!U67),"",[1]NLFsmonkeyCompl!U67*$M66),"")</f>
        <v/>
      </c>
      <c r="T66" s="8" t="str">
        <f>IFERROR(IF(ISBLANK([1]NLFsmonkeyCompl!V67),"",[1]NLFsmonkeyCompl!V67*$M66),"")</f>
        <v/>
      </c>
      <c r="U66" s="8" t="str">
        <f>IFERROR(IF(ISBLANK([1]NLFsmonkeyCompl!W67),"",[1]NLFsmonkeyCompl!W67*$M66),"")</f>
        <v/>
      </c>
      <c r="V66" s="8" t="str">
        <f>IFERROR(IF(ISBLANK([1]NLFsmonkeyCompl!X67),"",[1]NLFsmonkeyCompl!X67*$M66),"")</f>
        <v/>
      </c>
      <c r="W66" s="8">
        <f>IFERROR(IF(ISBLANK([1]NLFsmonkeyCompl!Y67),"",[1]NLFsmonkeyCompl!Y67*$M66),"")</f>
        <v>11.130927885999998</v>
      </c>
      <c r="X66" s="8" t="str">
        <f>IFERROR(IF(ISBLANK([1]NLFsmonkeyCompl!Z67),"",[1]NLFsmonkeyCompl!Z67*$M66),"")</f>
        <v/>
      </c>
      <c r="Y66" s="8" t="str">
        <f>IFERROR(IF(ISBLANK([1]NLFsmonkeyCompl!AA67),"",[1]NLFsmonkeyCompl!AA67*$M66),"")</f>
        <v/>
      </c>
      <c r="Z66" s="8" t="str">
        <f>IFERROR(IF(ISBLANK([1]NLFsmonkeyCompl!AB67),"",[1]NLFsmonkeyCompl!AB67*$M66),"")</f>
        <v/>
      </c>
      <c r="AA66" s="8" t="str">
        <f>IFERROR(IF(ISBLANK([1]NLFsmonkeyCompl!AC67),"",[1]NLFsmonkeyCompl!AC67*$M66),"")</f>
        <v/>
      </c>
      <c r="AB66" s="8" t="str">
        <f>IFERROR(IF(ISBLANK([1]NLFsmonkeyCompl!AD67),"",[1]NLFsmonkeyCompl!AD67),"")</f>
        <v/>
      </c>
      <c r="AC66" s="8" t="str">
        <f>IFERROR(IF(ISBLANK([1]NLFsmonkeyCompl!AE67),"",[1]NLFsmonkeyCompl!AE67),"")</f>
        <v/>
      </c>
      <c r="AD66" s="8">
        <f>IFERROR(IF(ISBLANK([1]NLFsmonkeyCompl!AF67),"",[1]NLFsmonkeyCompl!AF67),"")</f>
        <v>100</v>
      </c>
      <c r="AE66" s="8" t="str">
        <f>IFERROR(IF(ISBLANK([1]NLFsmonkeyCompl!AG67),"",[1]NLFsmonkeyCompl!AG67),"")</f>
        <v/>
      </c>
      <c r="AF66" s="8" t="str">
        <f>IFERROR(IF(ISBLANK([1]NLFsmonkeyCompl!AH67),"",[1]NLFsmonkeyCompl!AH67),"")</f>
        <v>Increase</v>
      </c>
      <c r="AG66" s="8" t="str">
        <f>IFERROR(IF(ISBLANK([1]NLFsmonkeyCompl!AI67),"",[1]NLFsmonkeyCompl!AI67),"")</f>
        <v>No</v>
      </c>
    </row>
    <row r="67" spans="1:33" x14ac:dyDescent="0.2">
      <c r="A67" s="5" t="str">
        <f>IF(OR(ISTEXT([1]NLFsmonkeyCompl!J68),ISNUMBER([1]NLFsmonkeyCompl!J68)),[1]NLFsmonkeyCompl!J68,"")</f>
        <v>AEW UK Investment Management LLP</v>
      </c>
      <c r="B67" s="6" t="str">
        <f>IF(OR(ISTEXT([1]NLFsmonkeyCompl!K68),ISNUMBER([1]NLFsmonkeyCompl!K68)),[1]NLFsmonkeyCompl!K68,"")</f>
        <v>AEW UK Core Property Fund</v>
      </c>
      <c r="C67" s="6">
        <v>17200</v>
      </c>
      <c r="D67" s="6" t="str">
        <f>IFERROR(INDEX([1]VehiclesUniverse!$B$2:$EU$700,MATCH(C67,[1]VehiclesUniverse!$A$2:$A$700,0),MATCH($D$1,[1]VehiclesUniverse!$B$1:$EU$1,0)),"")</f>
        <v>Core</v>
      </c>
      <c r="E67" s="6" t="str">
        <f>IFERROR(INDEX([1]VehiclesUniverse!$B$2:$EU$700,MATCH(C67,[1]VehiclesUniverse!$A$2:$A$700,0),MATCH($E$1,[1]VehiclesUniverse!$B$1:$EU$1,0)),"")</f>
        <v>single country</v>
      </c>
      <c r="F67" s="6" t="str">
        <f>IF(IFERROR(INDEX([1]VehiclesUniverse!$B$2:$EU$700,MATCH($C67,[1]VehiclesUniverse!$A$2:$A$700,0),MATCH($F$1,[1]VehiclesUniverse!$B$1:$EU$1,0)),"")&lt;&gt;0,(IFERROR(INDEX([1]VehiclesUniverse!$B$2:$EU$700,MATCH($C67,[1]VehiclesUniverse!$A$2:$A$700,0),MATCH($F$1,[1]VehiclesUniverse!$B$1:$EU$1,0)),"")),"")</f>
        <v>United Kingdom</v>
      </c>
      <c r="G67" s="6" t="str">
        <f>IF(ISBLANK([1]NLFsmonkeyCompl!L68),"",[1]NLFsmonkeyCompl!L68)</f>
        <v>Open end</v>
      </c>
      <c r="H67" s="6">
        <f>IFERROR(INDEX([1]VehiclesUniverse!$B$2:$EU$700,MATCH(C67,[1]VehiclesUniverse!$A$2:$A$700,0),MATCH($H$1,[1]VehiclesUniverse!$B$1:$EU$1,0)),"")</f>
        <v>2012</v>
      </c>
      <c r="I67" s="6" t="str">
        <f>IF(ISBLANK([1]NLFsmonkeyCompl!M68),"",[1]NLFsmonkeyCompl!M68)</f>
        <v>Yes</v>
      </c>
      <c r="J67" s="6" t="str">
        <f>IF(ISBLANK([1]NLFsmonkeyCompl!N68),"",[1]NLFsmonkeyCompl!N68)</f>
        <v/>
      </c>
      <c r="K67" s="6" t="str">
        <f>IF(ISBLANK([1]NLFsmonkeyCompl!O68),"",[1]NLFsmonkeyCompl!O68)</f>
        <v/>
      </c>
      <c r="L67" s="6" t="str">
        <f>IFERROR(INDEX([1]VehiclesUniverse!$B$2:$EU$700,MATCH(C67,[1]VehiclesUniverse!$A$2:$A$700,0),MATCH($L$1,[1]VehiclesUniverse!$B$1:$EU$1,0)),"")</f>
        <v>GBP</v>
      </c>
      <c r="M67" s="16">
        <f>IFERROR(VLOOKUP(L67,'[1]Xrate31.12.20'!$K$2:$N$25,3,0),"")</f>
        <v>1.1130927885999999</v>
      </c>
      <c r="N67" s="8">
        <f>IFERROR(IF(ISBLANK([1]NLFsmonkeyCompl!P68),"",[1]NLFsmonkeyCompl!P68*$M67),"")</f>
        <v>5.5654639429999992</v>
      </c>
      <c r="O67" s="8">
        <f>IFERROR(IF(ISBLANK([1]NLFsmonkeyCompl!Q68),"",[1]NLFsmonkeyCompl!Q68*$M67),"")</f>
        <v>5.5654639429999992</v>
      </c>
      <c r="P67" s="8" t="str">
        <f>IFERROR(IF(ISBLANK([1]NLFsmonkeyCompl!R68),"",[1]NLFsmonkeyCompl!R68*$M67),"")</f>
        <v/>
      </c>
      <c r="Q67" s="8" t="str">
        <f>IFERROR(IF(ISBLANK([1]NLFsmonkeyCompl!S68),"",[1]NLFsmonkeyCompl!S68*$M67),"")</f>
        <v/>
      </c>
      <c r="R67" s="8" t="str">
        <f>IFERROR(IF(ISBLANK([1]NLFsmonkeyCompl!T68),"",[1]NLFsmonkeyCompl!T68*$M67),"")</f>
        <v/>
      </c>
      <c r="S67" s="8" t="str">
        <f>IFERROR(IF(ISBLANK([1]NLFsmonkeyCompl!U68),"",[1]NLFsmonkeyCompl!U68*$M67),"")</f>
        <v/>
      </c>
      <c r="T67" s="8" t="str">
        <f>IFERROR(IF(ISBLANK([1]NLFsmonkeyCompl!V68),"",[1]NLFsmonkeyCompl!V68*$M67),"")</f>
        <v/>
      </c>
      <c r="U67" s="8" t="str">
        <f>IFERROR(IF(ISBLANK([1]NLFsmonkeyCompl!W68),"",[1]NLFsmonkeyCompl!W68*$M67),"")</f>
        <v/>
      </c>
      <c r="V67" s="8" t="str">
        <f>IFERROR(IF(ISBLANK([1]NLFsmonkeyCompl!X68),"",[1]NLFsmonkeyCompl!X68*$M67),"")</f>
        <v/>
      </c>
      <c r="W67" s="8">
        <f>IFERROR(IF(ISBLANK([1]NLFsmonkeyCompl!Y68),"",[1]NLFsmonkeyCompl!Y68*$M67),"")</f>
        <v>5.5654639429999992</v>
      </c>
      <c r="X67" s="8" t="str">
        <f>IFERROR(IF(ISBLANK([1]NLFsmonkeyCompl!Z68),"",[1]NLFsmonkeyCompl!Z68*$M67),"")</f>
        <v/>
      </c>
      <c r="Y67" s="8" t="str">
        <f>IFERROR(IF(ISBLANK([1]NLFsmonkeyCompl!AA68),"",[1]NLFsmonkeyCompl!AA68*$M67),"")</f>
        <v/>
      </c>
      <c r="Z67" s="8" t="str">
        <f>IFERROR(IF(ISBLANK([1]NLFsmonkeyCompl!AB68),"",[1]NLFsmonkeyCompl!AB68*$M67),"")</f>
        <v/>
      </c>
      <c r="AA67" s="8" t="str">
        <f>IFERROR(IF(ISBLANK([1]NLFsmonkeyCompl!AC68),"",[1]NLFsmonkeyCompl!AC68*$M67),"")</f>
        <v/>
      </c>
      <c r="AB67" s="8" t="str">
        <f>IFERROR(IF(ISBLANK([1]NLFsmonkeyCompl!AD68),"",[1]NLFsmonkeyCompl!AD68),"")</f>
        <v/>
      </c>
      <c r="AC67" s="8" t="str">
        <f>IFERROR(IF(ISBLANK([1]NLFsmonkeyCompl!AE68),"",[1]NLFsmonkeyCompl!AE68),"")</f>
        <v/>
      </c>
      <c r="AD67" s="8">
        <f>IFERROR(IF(ISBLANK([1]NLFsmonkeyCompl!AF68),"",[1]NLFsmonkeyCompl!AF68),"")</f>
        <v>100</v>
      </c>
      <c r="AE67" s="8" t="str">
        <f>IFERROR(IF(ISBLANK([1]NLFsmonkeyCompl!AG68),"",[1]NLFsmonkeyCompl!AG68),"")</f>
        <v/>
      </c>
      <c r="AF67" s="8" t="str">
        <f>IFERROR(IF(ISBLANK([1]NLFsmonkeyCompl!AH68),"",[1]NLFsmonkeyCompl!AH68),"")</f>
        <v>Increase</v>
      </c>
      <c r="AG67" s="8" t="str">
        <f>IFERROR(IF(ISBLANK([1]NLFsmonkeyCompl!AI68),"",[1]NLFsmonkeyCompl!AI68),"")</f>
        <v>No</v>
      </c>
    </row>
    <row r="68" spans="1:33" x14ac:dyDescent="0.2">
      <c r="A68" s="5" t="str">
        <f>IF(OR(ISTEXT([1]NLFsmonkeyCompl!J69),ISNUMBER([1]NLFsmonkeyCompl!J69)),[1]NLFsmonkeyCompl!J69,"")</f>
        <v>BlackRock Investment Management (UK) Limited</v>
      </c>
      <c r="B68" s="6" t="str">
        <f>IF(OR(ISTEXT([1]NLFsmonkeyCompl!K69),ISNUMBER([1]NLFsmonkeyCompl!K69)),[1]NLFsmonkeyCompl!K69,"")</f>
        <v>BlackRock UK Property Fund</v>
      </c>
      <c r="C68" s="6">
        <v>57</v>
      </c>
      <c r="D68" s="6" t="str">
        <f>IFERROR(INDEX([1]VehiclesUniverse!$B$2:$EU$700,MATCH(C68,[1]VehiclesUniverse!$A$2:$A$700,0),MATCH($D$1,[1]VehiclesUniverse!$B$1:$EU$1,0)),"")</f>
        <v>Core</v>
      </c>
      <c r="E68" s="6" t="str">
        <f>IFERROR(INDEX([1]VehiclesUniverse!$B$2:$EU$700,MATCH(C68,[1]VehiclesUniverse!$A$2:$A$700,0),MATCH($E$1,[1]VehiclesUniverse!$B$1:$EU$1,0)),"")</f>
        <v>single country</v>
      </c>
      <c r="F68" s="6" t="str">
        <f>IF(IFERROR(INDEX([1]VehiclesUniverse!$B$2:$EU$700,MATCH($C68,[1]VehiclesUniverse!$A$2:$A$700,0),MATCH($F$1,[1]VehiclesUniverse!$B$1:$EU$1,0)),"")&lt;&gt;0,(IFERROR(INDEX([1]VehiclesUniverse!$B$2:$EU$700,MATCH($C68,[1]VehiclesUniverse!$A$2:$A$700,0),MATCH($F$1,[1]VehiclesUniverse!$B$1:$EU$1,0)),"")),"")</f>
        <v>United Kingdom</v>
      </c>
      <c r="G68" s="6" t="str">
        <f>IF(ISBLANK([1]NLFsmonkeyCompl!L69),"",[1]NLFsmonkeyCompl!L69)</f>
        <v>Open end</v>
      </c>
      <c r="H68" s="6">
        <f>IFERROR(INDEX([1]VehiclesUniverse!$B$2:$EU$700,MATCH(C68,[1]VehiclesUniverse!$A$2:$A$700,0),MATCH($H$1,[1]VehiclesUniverse!$B$1:$EU$1,0)),"")</f>
        <v>1982</v>
      </c>
      <c r="I68" s="6" t="str">
        <f>IF(ISBLANK([1]NLFsmonkeyCompl!M69),"",[1]NLFsmonkeyCompl!M69)</f>
        <v>No</v>
      </c>
      <c r="J68" s="6" t="str">
        <f>IF(ISBLANK([1]NLFsmonkeyCompl!N69),"",[1]NLFsmonkeyCompl!N69)</f>
        <v>Other (please specify)</v>
      </c>
      <c r="K68" s="6" t="str">
        <f>IF(ISBLANK([1]NLFsmonkeyCompl!O69),"",[1]NLFsmonkeyCompl!O69)</f>
        <v>The Fund is most actively traded in the secondary market.</v>
      </c>
      <c r="L68" s="6" t="str">
        <f>IFERROR(INDEX([1]VehiclesUniverse!$B$2:$EU$700,MATCH(C68,[1]VehiclesUniverse!$A$2:$A$700,0),MATCH($L$1,[1]VehiclesUniverse!$B$1:$EU$1,0)),"")</f>
        <v>GBP</v>
      </c>
      <c r="M68" s="16">
        <f>IFERROR(VLOOKUP(L68,'[1]Xrate31.12.20'!$K$2:$N$25,3,0),"")</f>
        <v>1.1130927885999999</v>
      </c>
      <c r="N68" s="8" t="str">
        <f>IFERROR(IF(ISBLANK([1]NLFsmonkeyCompl!P69),"",[1]NLFsmonkeyCompl!P69*$M68),"")</f>
        <v/>
      </c>
      <c r="O68" s="8" t="str">
        <f>IFERROR(IF(ISBLANK([1]NLFsmonkeyCompl!Q69),"",[1]NLFsmonkeyCompl!Q69*$M68),"")</f>
        <v/>
      </c>
      <c r="P68" s="8" t="str">
        <f>IFERROR(IF(ISBLANK([1]NLFsmonkeyCompl!R69),"",[1]NLFsmonkeyCompl!R69*$M68),"")</f>
        <v/>
      </c>
      <c r="Q68" s="8" t="str">
        <f>IFERROR(IF(ISBLANK([1]NLFsmonkeyCompl!S69),"",[1]NLFsmonkeyCompl!S69*$M68),"")</f>
        <v/>
      </c>
      <c r="R68" s="8" t="str">
        <f>IFERROR(IF(ISBLANK([1]NLFsmonkeyCompl!T69),"",[1]NLFsmonkeyCompl!T69*$M68),"")</f>
        <v/>
      </c>
      <c r="S68" s="8" t="str">
        <f>IFERROR(IF(ISBLANK([1]NLFsmonkeyCompl!U69),"",[1]NLFsmonkeyCompl!U69*$M68),"")</f>
        <v/>
      </c>
      <c r="T68" s="8" t="str">
        <f>IFERROR(IF(ISBLANK([1]NLFsmonkeyCompl!V69),"",[1]NLFsmonkeyCompl!V69*$M68),"")</f>
        <v/>
      </c>
      <c r="U68" s="8" t="str">
        <f>IFERROR(IF(ISBLANK([1]NLFsmonkeyCompl!W69),"",[1]NLFsmonkeyCompl!W69*$M68),"")</f>
        <v/>
      </c>
      <c r="V68" s="8" t="str">
        <f>IFERROR(IF(ISBLANK([1]NLFsmonkeyCompl!X69),"",[1]NLFsmonkeyCompl!X69*$M68),"")</f>
        <v/>
      </c>
      <c r="W68" s="8" t="str">
        <f>IFERROR(IF(ISBLANK([1]NLFsmonkeyCompl!Y69),"",[1]NLFsmonkeyCompl!Y69*$M68),"")</f>
        <v/>
      </c>
      <c r="X68" s="8" t="str">
        <f>IFERROR(IF(ISBLANK([1]NLFsmonkeyCompl!Z69),"",[1]NLFsmonkeyCompl!Z69*$M68),"")</f>
        <v/>
      </c>
      <c r="Y68" s="8" t="str">
        <f>IFERROR(IF(ISBLANK([1]NLFsmonkeyCompl!AA69),"",[1]NLFsmonkeyCompl!AA69*$M68),"")</f>
        <v/>
      </c>
      <c r="Z68" s="8" t="str">
        <f>IFERROR(IF(ISBLANK([1]NLFsmonkeyCompl!AB69),"",[1]NLFsmonkeyCompl!AB69*$M68),"")</f>
        <v/>
      </c>
      <c r="AA68" s="8" t="str">
        <f>IFERROR(IF(ISBLANK([1]NLFsmonkeyCompl!AC69),"",[1]NLFsmonkeyCompl!AC69*$M68),"")</f>
        <v/>
      </c>
      <c r="AB68" s="8" t="str">
        <f>IFERROR(IF(ISBLANK([1]NLFsmonkeyCompl!AD69),"",[1]NLFsmonkeyCompl!AD69),"")</f>
        <v/>
      </c>
      <c r="AC68" s="8" t="str">
        <f>IFERROR(IF(ISBLANK([1]NLFsmonkeyCompl!AE69),"",[1]NLFsmonkeyCompl!AE69),"")</f>
        <v/>
      </c>
      <c r="AD68" s="8" t="str">
        <f>IFERROR(IF(ISBLANK([1]NLFsmonkeyCompl!AF69),"",[1]NLFsmonkeyCompl!AF69),"")</f>
        <v/>
      </c>
      <c r="AE68" s="8" t="str">
        <f>IFERROR(IF(ISBLANK([1]NLFsmonkeyCompl!AG69),"",[1]NLFsmonkeyCompl!AG69),"")</f>
        <v/>
      </c>
      <c r="AF68" s="8" t="str">
        <f>IFERROR(IF(ISBLANK([1]NLFsmonkeyCompl!AH69),"",[1]NLFsmonkeyCompl!AH69),"")</f>
        <v>Increase</v>
      </c>
      <c r="AG68" s="8" t="str">
        <f>IFERROR(IF(ISBLANK([1]NLFsmonkeyCompl!AI69),"",[1]NLFsmonkeyCompl!AI69),"")</f>
        <v>Yes</v>
      </c>
    </row>
    <row r="69" spans="1:33" x14ac:dyDescent="0.2">
      <c r="A69" s="5" t="str">
        <f>IF(OR(ISTEXT([1]NLFsmonkeyCompl!J70),ISNUMBER([1]NLFsmonkeyCompl!J70)),[1]NLFsmonkeyCompl!J70,"")</f>
        <v>BlackRock Investment Management (UK) Limited</v>
      </c>
      <c r="B69" s="6" t="str">
        <f>IF(OR(ISTEXT([1]NLFsmonkeyCompl!K70),ISNUMBER([1]NLFsmonkeyCompl!K70)),[1]NLFsmonkeyCompl!K70,"")</f>
        <v>BlackRock UK Property Fund</v>
      </c>
      <c r="C69" s="6">
        <v>57</v>
      </c>
      <c r="D69" s="6" t="str">
        <f>IFERROR(INDEX([1]VehiclesUniverse!$B$2:$EU$700,MATCH(C69,[1]VehiclesUniverse!$A$2:$A$700,0),MATCH($D$1,[1]VehiclesUniverse!$B$1:$EU$1,0)),"")</f>
        <v>Core</v>
      </c>
      <c r="E69" s="6" t="str">
        <f>IFERROR(INDEX([1]VehiclesUniverse!$B$2:$EU$700,MATCH(C69,[1]VehiclesUniverse!$A$2:$A$700,0),MATCH($E$1,[1]VehiclesUniverse!$B$1:$EU$1,0)),"")</f>
        <v>single country</v>
      </c>
      <c r="F69" s="6" t="str">
        <f>IF(IFERROR(INDEX([1]VehiclesUniverse!$B$2:$EU$700,MATCH($C69,[1]VehiclesUniverse!$A$2:$A$700,0),MATCH($F$1,[1]VehiclesUniverse!$B$1:$EU$1,0)),"")&lt;&gt;0,(IFERROR(INDEX([1]VehiclesUniverse!$B$2:$EU$700,MATCH($C69,[1]VehiclesUniverse!$A$2:$A$700,0),MATCH($F$1,[1]VehiclesUniverse!$B$1:$EU$1,0)),"")),"")</f>
        <v>United Kingdom</v>
      </c>
      <c r="G69" s="6" t="str">
        <f>IF(ISBLANK([1]NLFsmonkeyCompl!L70),"",[1]NLFsmonkeyCompl!L70)</f>
        <v>Open end</v>
      </c>
      <c r="H69" s="6">
        <f>IFERROR(INDEX([1]VehiclesUniverse!$B$2:$EU$700,MATCH(C69,[1]VehiclesUniverse!$A$2:$A$700,0),MATCH($H$1,[1]VehiclesUniverse!$B$1:$EU$1,0)),"")</f>
        <v>1982</v>
      </c>
      <c r="I69" s="6" t="str">
        <f>IF(ISBLANK([1]NLFsmonkeyCompl!M70),"",[1]NLFsmonkeyCompl!M70)</f>
        <v>No</v>
      </c>
      <c r="J69" s="6" t="str">
        <f>IF(ISBLANK([1]NLFsmonkeyCompl!N70),"",[1]NLFsmonkeyCompl!N70)</f>
        <v>Other (please specify)</v>
      </c>
      <c r="K69" s="6" t="str">
        <f>IF(ISBLANK([1]NLFsmonkeyCompl!O70),"",[1]NLFsmonkeyCompl!O70)</f>
        <v>The Fund is most actively traded in the secondary market.</v>
      </c>
      <c r="L69" s="6" t="str">
        <f>IFERROR(INDEX([1]VehiclesUniverse!$B$2:$EU$700,MATCH(C69,[1]VehiclesUniverse!$A$2:$A$700,0),MATCH($L$1,[1]VehiclesUniverse!$B$1:$EU$1,0)),"")</f>
        <v>GBP</v>
      </c>
      <c r="M69" s="16">
        <f>IFERROR(VLOOKUP(L69,'[1]Xrate31.12.20'!$K$2:$N$25,3,0),"")</f>
        <v>1.1130927885999999</v>
      </c>
      <c r="N69" s="8" t="str">
        <f>IFERROR(IF(ISBLANK([1]NLFsmonkeyCompl!P70),"",[1]NLFsmonkeyCompl!P70*$M69),"")</f>
        <v/>
      </c>
      <c r="O69" s="8" t="str">
        <f>IFERROR(IF(ISBLANK([1]NLFsmonkeyCompl!Q70),"",[1]NLFsmonkeyCompl!Q70*$M69),"")</f>
        <v/>
      </c>
      <c r="P69" s="8" t="str">
        <f>IFERROR(IF(ISBLANK([1]NLFsmonkeyCompl!R70),"",[1]NLFsmonkeyCompl!R70*$M69),"")</f>
        <v/>
      </c>
      <c r="Q69" s="8" t="str">
        <f>IFERROR(IF(ISBLANK([1]NLFsmonkeyCompl!S70),"",[1]NLFsmonkeyCompl!S70*$M69),"")</f>
        <v/>
      </c>
      <c r="R69" s="8" t="str">
        <f>IFERROR(IF(ISBLANK([1]NLFsmonkeyCompl!T70),"",[1]NLFsmonkeyCompl!T70*$M69),"")</f>
        <v/>
      </c>
      <c r="S69" s="8" t="str">
        <f>IFERROR(IF(ISBLANK([1]NLFsmonkeyCompl!U70),"",[1]NLFsmonkeyCompl!U70*$M69),"")</f>
        <v/>
      </c>
      <c r="T69" s="8" t="str">
        <f>IFERROR(IF(ISBLANK([1]NLFsmonkeyCompl!V70),"",[1]NLFsmonkeyCompl!V70*$M69),"")</f>
        <v/>
      </c>
      <c r="U69" s="8" t="str">
        <f>IFERROR(IF(ISBLANK([1]NLFsmonkeyCompl!W70),"",[1]NLFsmonkeyCompl!W70*$M69),"")</f>
        <v/>
      </c>
      <c r="V69" s="8" t="str">
        <f>IFERROR(IF(ISBLANK([1]NLFsmonkeyCompl!X70),"",[1]NLFsmonkeyCompl!X70*$M69),"")</f>
        <v/>
      </c>
      <c r="W69" s="8" t="str">
        <f>IFERROR(IF(ISBLANK([1]NLFsmonkeyCompl!Y70),"",[1]NLFsmonkeyCompl!Y70*$M69),"")</f>
        <v/>
      </c>
      <c r="X69" s="8" t="str">
        <f>IFERROR(IF(ISBLANK([1]NLFsmonkeyCompl!Z70),"",[1]NLFsmonkeyCompl!Z70*$M69),"")</f>
        <v/>
      </c>
      <c r="Y69" s="8" t="str">
        <f>IFERROR(IF(ISBLANK([1]NLFsmonkeyCompl!AA70),"",[1]NLFsmonkeyCompl!AA70*$M69),"")</f>
        <v/>
      </c>
      <c r="Z69" s="8" t="str">
        <f>IFERROR(IF(ISBLANK([1]NLFsmonkeyCompl!AB70),"",[1]NLFsmonkeyCompl!AB70*$M69),"")</f>
        <v/>
      </c>
      <c r="AA69" s="8" t="str">
        <f>IFERROR(IF(ISBLANK([1]NLFsmonkeyCompl!AC70),"",[1]NLFsmonkeyCompl!AC70*$M69),"")</f>
        <v/>
      </c>
      <c r="AB69" s="8" t="str">
        <f>IFERROR(IF(ISBLANK([1]NLFsmonkeyCompl!AD70),"",[1]NLFsmonkeyCompl!AD70),"")</f>
        <v/>
      </c>
      <c r="AC69" s="8" t="str">
        <f>IFERROR(IF(ISBLANK([1]NLFsmonkeyCompl!AE70),"",[1]NLFsmonkeyCompl!AE70),"")</f>
        <v/>
      </c>
      <c r="AD69" s="8" t="str">
        <f>IFERROR(IF(ISBLANK([1]NLFsmonkeyCompl!AF70),"",[1]NLFsmonkeyCompl!AF70),"")</f>
        <v/>
      </c>
      <c r="AE69" s="8" t="str">
        <f>IFERROR(IF(ISBLANK([1]NLFsmonkeyCompl!AG70),"",[1]NLFsmonkeyCompl!AG70),"")</f>
        <v/>
      </c>
      <c r="AF69" s="8" t="str">
        <f>IFERROR(IF(ISBLANK([1]NLFsmonkeyCompl!AH70),"",[1]NLFsmonkeyCompl!AH70),"")</f>
        <v>Increase</v>
      </c>
      <c r="AG69" s="8" t="str">
        <f>IFERROR(IF(ISBLANK([1]NLFsmonkeyCompl!AI70),"",[1]NLFsmonkeyCompl!AI70),"")</f>
        <v>No</v>
      </c>
    </row>
    <row r="70" spans="1:33" x14ac:dyDescent="0.2">
      <c r="A70" s="5" t="str">
        <f>IF(OR(ISTEXT([1]NLFsmonkeyCompl!J71),ISNUMBER([1]NLFsmonkeyCompl!J71)),[1]NLFsmonkeyCompl!J71,"")</f>
        <v>BlackRock Investment Management (UK) Limited</v>
      </c>
      <c r="B70" s="18" t="str">
        <f>IF(OR(ISTEXT([1]NLFsmonkeyCompl!K71),ISNUMBER([1]NLFsmonkeyCompl!K71)),[1]NLFsmonkeyCompl!K71,"")</f>
        <v>BlackRock UK Long Lease Property Fund</v>
      </c>
      <c r="C70" s="6" t="s">
        <v>52</v>
      </c>
      <c r="D70" s="6" t="s">
        <v>45</v>
      </c>
      <c r="E70" s="6" t="s">
        <v>48</v>
      </c>
      <c r="F70" s="6" t="s">
        <v>55</v>
      </c>
      <c r="G70" s="6" t="str">
        <f>IF(ISBLANK([3]NLFsmonkeyCompl!L71),"",[3]NLFsmonkeyCompl!L71)</f>
        <v>Open end</v>
      </c>
      <c r="H70" s="6">
        <v>2013</v>
      </c>
      <c r="I70" s="6" t="str">
        <f>IF(ISBLANK([3]NLFsmonkeyCompl!M71),"",[3]NLFsmonkeyCompl!M71)</f>
        <v>No</v>
      </c>
      <c r="J70" s="6" t="str">
        <f>IF(ISBLANK([3]NLFsmonkeyCompl!N71),"",[3]NLFsmonkeyCompl!N71)</f>
        <v>Other (please specify)</v>
      </c>
      <c r="K70" s="6" t="str">
        <f>IF(ISBLANK([3]NLFsmonkeyCompl!O71),"",[3]NLFsmonkeyCompl!O71)</f>
        <v>The Fund was not actively fundraising in 2020. Trades took place on the secondary market.</v>
      </c>
      <c r="L70" s="6" t="s">
        <v>56</v>
      </c>
      <c r="M70" s="16">
        <f>IFERROR(VLOOKUP(L70,'[1]Xrate31.12.20'!$K$2:$N$25,3,0),"")</f>
        <v>1.1130927885999999</v>
      </c>
      <c r="N70" s="8" t="str">
        <f>IFERROR(IF(ISBLANK([1]NLFsmonkeyCompl!P71),"",[1]NLFsmonkeyCompl!P71*$M70),"")</f>
        <v/>
      </c>
      <c r="O70" s="8" t="str">
        <f>IFERROR(IF(ISBLANK([1]NLFsmonkeyCompl!Q71),"",[1]NLFsmonkeyCompl!Q71*$M70),"")</f>
        <v/>
      </c>
      <c r="P70" s="8" t="str">
        <f>IFERROR(IF(ISBLANK([1]NLFsmonkeyCompl!R71),"",[1]NLFsmonkeyCompl!R71*$M70),"")</f>
        <v/>
      </c>
      <c r="Q70" s="8" t="str">
        <f>IFERROR(IF(ISBLANK([1]NLFsmonkeyCompl!S71),"",[1]NLFsmonkeyCompl!S71*$M70),"")</f>
        <v/>
      </c>
      <c r="R70" s="8" t="str">
        <f>IFERROR(IF(ISBLANK([1]NLFsmonkeyCompl!T71),"",[1]NLFsmonkeyCompl!T71*$M70),"")</f>
        <v/>
      </c>
      <c r="S70" s="8" t="str">
        <f>IFERROR(IF(ISBLANK([1]NLFsmonkeyCompl!U71),"",[1]NLFsmonkeyCompl!U71*$M70),"")</f>
        <v/>
      </c>
      <c r="T70" s="8" t="str">
        <f>IFERROR(IF(ISBLANK([1]NLFsmonkeyCompl!V71),"",[1]NLFsmonkeyCompl!V71*$M70),"")</f>
        <v/>
      </c>
      <c r="U70" s="8" t="str">
        <f>IFERROR(IF(ISBLANK([1]NLFsmonkeyCompl!W71),"",[1]NLFsmonkeyCompl!W71*$M70),"")</f>
        <v/>
      </c>
      <c r="V70" s="8" t="str">
        <f>IFERROR(IF(ISBLANK([1]NLFsmonkeyCompl!X71),"",[1]NLFsmonkeyCompl!X71*$M70),"")</f>
        <v/>
      </c>
      <c r="W70" s="8" t="str">
        <f>IFERROR(IF(ISBLANK([1]NLFsmonkeyCompl!Y71),"",[1]NLFsmonkeyCompl!Y71*$M70),"")</f>
        <v/>
      </c>
      <c r="X70" s="8" t="str">
        <f>IFERROR(IF(ISBLANK([1]NLFsmonkeyCompl!Z71),"",[1]NLFsmonkeyCompl!Z71*$M70),"")</f>
        <v/>
      </c>
      <c r="Y70" s="8" t="str">
        <f>IFERROR(IF(ISBLANK([1]NLFsmonkeyCompl!AA71),"",[1]NLFsmonkeyCompl!AA71*$M70),"")</f>
        <v/>
      </c>
      <c r="Z70" s="8" t="str">
        <f>IFERROR(IF(ISBLANK([1]NLFsmonkeyCompl!AB71),"",[1]NLFsmonkeyCompl!AB71*$M70),"")</f>
        <v/>
      </c>
      <c r="AA70" s="8" t="str">
        <f>IFERROR(IF(ISBLANK([1]NLFsmonkeyCompl!AC71),"",[1]NLFsmonkeyCompl!AC71*$M70),"")</f>
        <v/>
      </c>
      <c r="AB70" s="8" t="str">
        <f>IFERROR(IF(ISBLANK([1]NLFsmonkeyCompl!AD71),"",[1]NLFsmonkeyCompl!AD71),"")</f>
        <v/>
      </c>
      <c r="AC70" s="8" t="str">
        <f>IFERROR(IF(ISBLANK([1]NLFsmonkeyCompl!AE71),"",[1]NLFsmonkeyCompl!AE71),"")</f>
        <v/>
      </c>
      <c r="AD70" s="8" t="str">
        <f>IFERROR(IF(ISBLANK([1]NLFsmonkeyCompl!AF71),"",[1]NLFsmonkeyCompl!AF71),"")</f>
        <v/>
      </c>
      <c r="AE70" s="8" t="str">
        <f>IFERROR(IF(ISBLANK([1]NLFsmonkeyCompl!AG71),"",[1]NLFsmonkeyCompl!AG71),"")</f>
        <v/>
      </c>
      <c r="AF70" s="8" t="str">
        <f>IFERROR(IF(ISBLANK([1]NLFsmonkeyCompl!AH71),"",[1]NLFsmonkeyCompl!AH71),"")</f>
        <v>Increase</v>
      </c>
      <c r="AG70" s="8" t="str">
        <f>IFERROR(IF(ISBLANK([1]NLFsmonkeyCompl!AI71),"",[1]NLFsmonkeyCompl!AI71),"")</f>
        <v>Yes</v>
      </c>
    </row>
    <row r="71" spans="1:33" x14ac:dyDescent="0.2">
      <c r="A71" s="5" t="str">
        <f>IF(OR(ISTEXT([1]NLFsmonkeyCompl!J72),ISNUMBER([1]NLFsmonkeyCompl!J72)),[1]NLFsmonkeyCompl!J72,"")</f>
        <v>Hahn Group</v>
      </c>
      <c r="B71" s="6" t="str">
        <f>IF(OR(ISTEXT([1]NLFsmonkeyCompl!K72),ISNUMBER([1]NLFsmonkeyCompl!K72)),[1]NLFsmonkeyCompl!K72,"")</f>
        <v>HAHN German Mixed-Used Fund II</v>
      </c>
      <c r="C71" s="6" t="s">
        <v>52</v>
      </c>
      <c r="D71" s="6" t="str">
        <f>IFERROR(INDEX([1]VehiclesUniverse!$B$2:$EU$700,MATCH(C71,[1]VehiclesUniverse!$A$2:$A$700,0),MATCH($D$1,[1]VehiclesUniverse!$B$1:$EU$1,0)),"")</f>
        <v/>
      </c>
      <c r="E71" s="6" t="str">
        <f>IFERROR(INDEX([1]VehiclesUniverse!$B$2:$EU$700,MATCH(C71,[1]VehiclesUniverse!$A$2:$A$700,0),MATCH($E$1,[1]VehiclesUniverse!$B$1:$EU$1,0)),"")</f>
        <v/>
      </c>
      <c r="F71" s="6" t="str">
        <f>IF(IFERROR(INDEX([1]VehiclesUniverse!$B$2:$EU$700,MATCH($C71,[1]VehiclesUniverse!$A$2:$A$700,0),MATCH($F$1,[1]VehiclesUniverse!$B$1:$EU$1,0)),"")&lt;&gt;0,(IFERROR(INDEX([1]VehiclesUniverse!$B$2:$EU$700,MATCH($C71,[1]VehiclesUniverse!$A$2:$A$700,0),MATCH($F$1,[1]VehiclesUniverse!$B$1:$EU$1,0)),"")),"")</f>
        <v/>
      </c>
      <c r="G71" s="6" t="str">
        <f>IF(ISBLANK([1]NLFsmonkeyCompl!L72),"",[1]NLFsmonkeyCompl!L72)</f>
        <v>Closed end</v>
      </c>
      <c r="H71" s="6" t="str">
        <f>IFERROR(INDEX([1]VehiclesUniverse!$B$2:$EU$700,MATCH(C71,[1]VehiclesUniverse!$A$2:$A$700,0),MATCH($H$1,[1]VehiclesUniverse!$B$1:$EU$1,0)),"")</f>
        <v/>
      </c>
      <c r="I71" s="6" t="str">
        <f>IF(ISBLANK([1]NLFsmonkeyCompl!M72),"",[1]NLFsmonkeyCompl!M72)</f>
        <v>Yes</v>
      </c>
      <c r="J71" s="6" t="str">
        <f>IF(ISBLANK([1]NLFsmonkeyCompl!N72),"",[1]NLFsmonkeyCompl!N72)</f>
        <v/>
      </c>
      <c r="K71" s="6" t="str">
        <f>IF(ISBLANK([1]NLFsmonkeyCompl!O72),"",[1]NLFsmonkeyCompl!O72)</f>
        <v/>
      </c>
      <c r="L71" s="6" t="str">
        <f>IFERROR(INDEX([1]VehiclesUniverse!$B$2:$EU$700,MATCH(C71,[1]VehiclesUniverse!$A$2:$A$700,0),MATCH($L$1,[1]VehiclesUniverse!$B$1:$EU$1,0)),"")</f>
        <v/>
      </c>
      <c r="M71" s="16" t="str">
        <f>IFERROR(VLOOKUP(L71,'[1]Xrate31.12.20'!$K$2:$N$25,3,0),"")</f>
        <v/>
      </c>
      <c r="N71" s="8" t="str">
        <f>IFERROR(IF(ISBLANK([1]NLFsmonkeyCompl!P72),"",[1]NLFsmonkeyCompl!P72*$M71),"")</f>
        <v/>
      </c>
      <c r="O71" s="8" t="str">
        <f>IFERROR(IF(ISBLANK([1]NLFsmonkeyCompl!Q72),"",[1]NLFsmonkeyCompl!Q72*$M71),"")</f>
        <v/>
      </c>
      <c r="P71" s="8" t="str">
        <f>IFERROR(IF(ISBLANK([1]NLFsmonkeyCompl!R72),"",[1]NLFsmonkeyCompl!R72*$M71),"")</f>
        <v/>
      </c>
      <c r="Q71" s="8" t="str">
        <f>IFERROR(IF(ISBLANK([1]NLFsmonkeyCompl!S72),"",[1]NLFsmonkeyCompl!S72*$M71),"")</f>
        <v/>
      </c>
      <c r="R71" s="8" t="str">
        <f>IFERROR(IF(ISBLANK([1]NLFsmonkeyCompl!T72),"",[1]NLFsmonkeyCompl!T72*$M71),"")</f>
        <v/>
      </c>
      <c r="S71" s="8" t="str">
        <f>IFERROR(IF(ISBLANK([1]NLFsmonkeyCompl!U72),"",[1]NLFsmonkeyCompl!U72*$M71),"")</f>
        <v/>
      </c>
      <c r="T71" s="8" t="str">
        <f>IFERROR(IF(ISBLANK([1]NLFsmonkeyCompl!V72),"",[1]NLFsmonkeyCompl!V72*$M71),"")</f>
        <v/>
      </c>
      <c r="U71" s="8" t="str">
        <f>IFERROR(IF(ISBLANK([1]NLFsmonkeyCompl!W72),"",[1]NLFsmonkeyCompl!W72*$M71),"")</f>
        <v/>
      </c>
      <c r="V71" s="8" t="str">
        <f>IFERROR(IF(ISBLANK([1]NLFsmonkeyCompl!X72),"",[1]NLFsmonkeyCompl!X72*$M71),"")</f>
        <v/>
      </c>
      <c r="W71" s="8" t="str">
        <f>IFERROR(IF(ISBLANK([1]NLFsmonkeyCompl!Y72),"",[1]NLFsmonkeyCompl!Y72*$M71),"")</f>
        <v/>
      </c>
      <c r="X71" s="8" t="str">
        <f>IFERROR(IF(ISBLANK([1]NLFsmonkeyCompl!Z72),"",[1]NLFsmonkeyCompl!Z72*$M71),"")</f>
        <v/>
      </c>
      <c r="Y71" s="8" t="str">
        <f>IFERROR(IF(ISBLANK([1]NLFsmonkeyCompl!AA72),"",[1]NLFsmonkeyCompl!AA72*$M71),"")</f>
        <v/>
      </c>
      <c r="Z71" s="8" t="str">
        <f>IFERROR(IF(ISBLANK([1]NLFsmonkeyCompl!AB72),"",[1]NLFsmonkeyCompl!AB72*$M71),"")</f>
        <v/>
      </c>
      <c r="AA71" s="8" t="str">
        <f>IFERROR(IF(ISBLANK([1]NLFsmonkeyCompl!AC72),"",[1]NLFsmonkeyCompl!AC72*$M71),"")</f>
        <v/>
      </c>
      <c r="AB71" s="8" t="str">
        <f>IFERROR(IF(ISBLANK([1]NLFsmonkeyCompl!AD72),"",[1]NLFsmonkeyCompl!AD72),"")</f>
        <v/>
      </c>
      <c r="AC71" s="8" t="str">
        <f>IFERROR(IF(ISBLANK([1]NLFsmonkeyCompl!AE72),"",[1]NLFsmonkeyCompl!AE72),"")</f>
        <v/>
      </c>
      <c r="AD71" s="8">
        <f>IFERROR(IF(ISBLANK([1]NLFsmonkeyCompl!AF72),"",[1]NLFsmonkeyCompl!AF72),"")</f>
        <v>100</v>
      </c>
      <c r="AE71" s="8" t="str">
        <f>IFERROR(IF(ISBLANK([1]NLFsmonkeyCompl!AG72),"",[1]NLFsmonkeyCompl!AG72),"")</f>
        <v/>
      </c>
      <c r="AF71" s="8" t="str">
        <f>IFERROR(IF(ISBLANK([1]NLFsmonkeyCompl!AH72),"",[1]NLFsmonkeyCompl!AH72),"")</f>
        <v>No change</v>
      </c>
      <c r="AG71" s="8" t="str">
        <f>IFERROR(IF(ISBLANK([1]NLFsmonkeyCompl!AI72),"",[1]NLFsmonkeyCompl!AI72),"")</f>
        <v>Yes</v>
      </c>
    </row>
    <row r="72" spans="1:33" x14ac:dyDescent="0.2">
      <c r="A72" s="5" t="str">
        <f>IF(OR(ISTEXT([1]NLFsmonkeyCompl!J73),ISNUMBER([1]NLFsmonkeyCompl!J73)),[1]NLFsmonkeyCompl!J73,"")</f>
        <v>Hahn Group</v>
      </c>
      <c r="B72" s="18" t="str">
        <f>IF(OR(ISTEXT([1]NLFsmonkeyCompl!K73),ISNUMBER([1]NLFsmonkeyCompl!K73)),[1]NLFsmonkeyCompl!K73,"")</f>
        <v>Hahn German Retail Fund IV</v>
      </c>
      <c r="C72" s="6" t="s">
        <v>52</v>
      </c>
      <c r="D72" s="6" t="s">
        <v>45</v>
      </c>
      <c r="E72" s="6" t="s">
        <v>48</v>
      </c>
      <c r="F72" s="6" t="s">
        <v>57</v>
      </c>
      <c r="G72" s="6" t="str">
        <f>IF(ISBLANK([3]NLFsmonkeyCompl!L73),"",[3]NLFsmonkeyCompl!L73)</f>
        <v>Open end</v>
      </c>
      <c r="H72" s="6">
        <v>2020</v>
      </c>
      <c r="I72" s="6" t="str">
        <f>IF(ISBLANK([3]NLFsmonkeyCompl!M73),"",[3]NLFsmonkeyCompl!M73)</f>
        <v>Yes</v>
      </c>
      <c r="J72" s="6" t="str">
        <f>IF(ISBLANK([3]NLFsmonkeyCompl!N73),"",[3]NLFsmonkeyCompl!N73)</f>
        <v/>
      </c>
      <c r="K72" s="6" t="str">
        <f>IF(ISBLANK([3]NLFsmonkeyCompl!O73),"",[3]NLFsmonkeyCompl!O73)</f>
        <v/>
      </c>
      <c r="L72" s="6" t="s">
        <v>11</v>
      </c>
      <c r="M72" s="16">
        <f>IFERROR(VLOOKUP(L72,'[1]Xrate31.12.20'!$K$2:$N$25,3,0),"")</f>
        <v>1</v>
      </c>
      <c r="N72" s="8">
        <f>IFERROR(IF(ISBLANK([1]NLFsmonkeyCompl!P73),"",[1]NLFsmonkeyCompl!P73*$M72),"")</f>
        <v>100</v>
      </c>
      <c r="O72" s="8">
        <f>IFERROR(IF(ISBLANK([1]NLFsmonkeyCompl!Q73),"",[1]NLFsmonkeyCompl!Q73*$M72),"")</f>
        <v>100</v>
      </c>
      <c r="P72" s="8" t="str">
        <f>IFERROR(IF(ISBLANK([1]NLFsmonkeyCompl!R73),"",[1]NLFsmonkeyCompl!R73*$M72),"")</f>
        <v/>
      </c>
      <c r="Q72" s="8" t="str">
        <f>IFERROR(IF(ISBLANK([1]NLFsmonkeyCompl!S73),"",[1]NLFsmonkeyCompl!S73*$M72),"")</f>
        <v/>
      </c>
      <c r="R72" s="8" t="str">
        <f>IFERROR(IF(ISBLANK([1]NLFsmonkeyCompl!T73),"",[1]NLFsmonkeyCompl!T73*$M72),"")</f>
        <v/>
      </c>
      <c r="S72" s="8" t="str">
        <f>IFERROR(IF(ISBLANK([1]NLFsmonkeyCompl!U73),"",[1]NLFsmonkeyCompl!U73*$M72),"")</f>
        <v/>
      </c>
      <c r="T72" s="8" t="str">
        <f>IFERROR(IF(ISBLANK([1]NLFsmonkeyCompl!V73),"",[1]NLFsmonkeyCompl!V73*$M72),"")</f>
        <v/>
      </c>
      <c r="U72" s="8" t="str">
        <f>IFERROR(IF(ISBLANK([1]NLFsmonkeyCompl!W73),"",[1]NLFsmonkeyCompl!W73*$M72),"")</f>
        <v/>
      </c>
      <c r="V72" s="8" t="str">
        <f>IFERROR(IF(ISBLANK([1]NLFsmonkeyCompl!X73),"",[1]NLFsmonkeyCompl!X73*$M72),"")</f>
        <v/>
      </c>
      <c r="W72" s="8">
        <f>IFERROR(IF(ISBLANK([1]NLFsmonkeyCompl!Y73),"",[1]NLFsmonkeyCompl!Y73*$M72),"")</f>
        <v>100</v>
      </c>
      <c r="X72" s="8" t="str">
        <f>IFERROR(IF(ISBLANK([1]NLFsmonkeyCompl!Z73),"",[1]NLFsmonkeyCompl!Z73*$M72),"")</f>
        <v/>
      </c>
      <c r="Y72" s="8" t="str">
        <f>IFERROR(IF(ISBLANK([1]NLFsmonkeyCompl!AA73),"",[1]NLFsmonkeyCompl!AA73*$M72),"")</f>
        <v/>
      </c>
      <c r="Z72" s="8" t="str">
        <f>IFERROR(IF(ISBLANK([1]NLFsmonkeyCompl!AB73),"",[1]NLFsmonkeyCompl!AB73*$M72),"")</f>
        <v/>
      </c>
      <c r="AA72" s="8" t="str">
        <f>IFERROR(IF(ISBLANK([1]NLFsmonkeyCompl!AC73),"",[1]NLFsmonkeyCompl!AC73*$M72),"")</f>
        <v/>
      </c>
      <c r="AB72" s="8" t="str">
        <f>IFERROR(IF(ISBLANK([1]NLFsmonkeyCompl!AD73),"",[1]NLFsmonkeyCompl!AD73),"")</f>
        <v/>
      </c>
      <c r="AC72" s="8" t="str">
        <f>IFERROR(IF(ISBLANK([1]NLFsmonkeyCompl!AE73),"",[1]NLFsmonkeyCompl!AE73),"")</f>
        <v/>
      </c>
      <c r="AD72" s="8">
        <f>IFERROR(IF(ISBLANK([1]NLFsmonkeyCompl!AF73),"",[1]NLFsmonkeyCompl!AF73),"")</f>
        <v>100</v>
      </c>
      <c r="AE72" s="8" t="str">
        <f>IFERROR(IF(ISBLANK([1]NLFsmonkeyCompl!AG73),"",[1]NLFsmonkeyCompl!AG73),"")</f>
        <v/>
      </c>
      <c r="AF72" s="8" t="str">
        <f>IFERROR(IF(ISBLANK([1]NLFsmonkeyCompl!AH73),"",[1]NLFsmonkeyCompl!AH73),"")</f>
        <v>No change</v>
      </c>
      <c r="AG72" s="8" t="str">
        <f>IFERROR(IF(ISBLANK([1]NLFsmonkeyCompl!AI73),"",[1]NLFsmonkeyCompl!AI73),"")</f>
        <v>Yes</v>
      </c>
    </row>
    <row r="73" spans="1:33" x14ac:dyDescent="0.2">
      <c r="A73" s="5" t="str">
        <f>IF(OR(ISTEXT([1]NLFsmonkeyCompl!J74),ISNUMBER([1]NLFsmonkeyCompl!J74)),[1]NLFsmonkeyCompl!J74,"")</f>
        <v>Hahn Group</v>
      </c>
      <c r="B73" s="6" t="str">
        <f>IF(OR(ISTEXT([1]NLFsmonkeyCompl!K74),ISNUMBER([1]NLFsmonkeyCompl!K74)),[1]NLFsmonkeyCompl!K74,"")</f>
        <v>HAHN German Retail Fund II</v>
      </c>
      <c r="C73" s="6">
        <v>18216</v>
      </c>
      <c r="D73" s="6" t="str">
        <f>IFERROR(INDEX([1]VehiclesUniverse!$B$2:$EU$700,MATCH(C73,[1]VehiclesUniverse!$A$2:$A$700,0),MATCH($D$1,[1]VehiclesUniverse!$B$1:$EU$1,0)),"")</f>
        <v>Core</v>
      </c>
      <c r="E73" s="6" t="str">
        <f>IFERROR(INDEX([1]VehiclesUniverse!$B$2:$EU$700,MATCH(C73,[1]VehiclesUniverse!$A$2:$A$700,0),MATCH($E$1,[1]VehiclesUniverse!$B$1:$EU$1,0)),"")</f>
        <v>single country</v>
      </c>
      <c r="F73" s="6" t="str">
        <f>IF(IFERROR(INDEX([1]VehiclesUniverse!$B$2:$EU$700,MATCH($C73,[1]VehiclesUniverse!$A$2:$A$700,0),MATCH($F$1,[1]VehiclesUniverse!$B$1:$EU$1,0)),"")&lt;&gt;0,(IFERROR(INDEX([1]VehiclesUniverse!$B$2:$EU$700,MATCH($C73,[1]VehiclesUniverse!$A$2:$A$700,0),MATCH($F$1,[1]VehiclesUniverse!$B$1:$EU$1,0)),"")),"")</f>
        <v>Germany</v>
      </c>
      <c r="G73" s="6" t="str">
        <f>IF(ISBLANK([1]NLFsmonkeyCompl!L74),"",[1]NLFsmonkeyCompl!L74)</f>
        <v>Open end</v>
      </c>
      <c r="H73" s="6">
        <f>IFERROR(INDEX([1]VehiclesUniverse!$B$2:$EU$700,MATCH(C73,[1]VehiclesUniverse!$A$2:$A$700,0),MATCH($H$1,[1]VehiclesUniverse!$B$1:$EU$1,0)),"")</f>
        <v>2017</v>
      </c>
      <c r="I73" s="6" t="str">
        <f>IF(ISBLANK([1]NLFsmonkeyCompl!M74),"",[1]NLFsmonkeyCompl!M74)</f>
        <v>Yes</v>
      </c>
      <c r="J73" s="6" t="str">
        <f>IF(ISBLANK([1]NLFsmonkeyCompl!N74),"",[1]NLFsmonkeyCompl!N74)</f>
        <v/>
      </c>
      <c r="K73" s="6" t="str">
        <f>IF(ISBLANK([1]NLFsmonkeyCompl!O74),"",[1]NLFsmonkeyCompl!O74)</f>
        <v/>
      </c>
      <c r="L73" s="6" t="str">
        <f>IFERROR(INDEX([1]VehiclesUniverse!$B$2:$EU$700,MATCH(C73,[1]VehiclesUniverse!$A$2:$A$700,0),MATCH($L$1,[1]VehiclesUniverse!$B$1:$EU$1,0)),"")</f>
        <v>EUR</v>
      </c>
      <c r="M73" s="16">
        <f>IFERROR(VLOOKUP(L73,'[1]Xrate31.12.20'!$K$2:$N$25,3,0),"")</f>
        <v>1</v>
      </c>
      <c r="N73" s="8">
        <f>IFERROR(IF(ISBLANK([1]NLFsmonkeyCompl!P74),"",[1]NLFsmonkeyCompl!P74*$M73),"")</f>
        <v>8</v>
      </c>
      <c r="O73" s="8">
        <f>IFERROR(IF(ISBLANK([1]NLFsmonkeyCompl!Q74),"",[1]NLFsmonkeyCompl!Q74*$M73),"")</f>
        <v>8</v>
      </c>
      <c r="P73" s="8" t="str">
        <f>IFERROR(IF(ISBLANK([1]NLFsmonkeyCompl!R74),"",[1]NLFsmonkeyCompl!R74*$M73),"")</f>
        <v/>
      </c>
      <c r="Q73" s="8" t="str">
        <f>IFERROR(IF(ISBLANK([1]NLFsmonkeyCompl!S74),"",[1]NLFsmonkeyCompl!S74*$M73),"")</f>
        <v/>
      </c>
      <c r="R73" s="8" t="str">
        <f>IFERROR(IF(ISBLANK([1]NLFsmonkeyCompl!T74),"",[1]NLFsmonkeyCompl!T74*$M73),"")</f>
        <v/>
      </c>
      <c r="S73" s="8" t="str">
        <f>IFERROR(IF(ISBLANK([1]NLFsmonkeyCompl!U74),"",[1]NLFsmonkeyCompl!U74*$M73),"")</f>
        <v/>
      </c>
      <c r="T73" s="8" t="str">
        <f>IFERROR(IF(ISBLANK([1]NLFsmonkeyCompl!V74),"",[1]NLFsmonkeyCompl!V74*$M73),"")</f>
        <v/>
      </c>
      <c r="U73" s="8" t="str">
        <f>IFERROR(IF(ISBLANK([1]NLFsmonkeyCompl!W74),"",[1]NLFsmonkeyCompl!W74*$M73),"")</f>
        <v/>
      </c>
      <c r="V73" s="8" t="str">
        <f>IFERROR(IF(ISBLANK([1]NLFsmonkeyCompl!X74),"",[1]NLFsmonkeyCompl!X74*$M73),"")</f>
        <v/>
      </c>
      <c r="W73" s="8">
        <f>IFERROR(IF(ISBLANK([1]NLFsmonkeyCompl!Y74),"",[1]NLFsmonkeyCompl!Y74*$M73),"")</f>
        <v>100</v>
      </c>
      <c r="X73" s="8" t="str">
        <f>IFERROR(IF(ISBLANK([1]NLFsmonkeyCompl!Z74),"",[1]NLFsmonkeyCompl!Z74*$M73),"")</f>
        <v/>
      </c>
      <c r="Y73" s="8" t="str">
        <f>IFERROR(IF(ISBLANK([1]NLFsmonkeyCompl!AA74),"",[1]NLFsmonkeyCompl!AA74*$M73),"")</f>
        <v/>
      </c>
      <c r="Z73" s="8" t="str">
        <f>IFERROR(IF(ISBLANK([1]NLFsmonkeyCompl!AB74),"",[1]NLFsmonkeyCompl!AB74*$M73),"")</f>
        <v/>
      </c>
      <c r="AA73" s="8" t="str">
        <f>IFERROR(IF(ISBLANK([1]NLFsmonkeyCompl!AC74),"",[1]NLFsmonkeyCompl!AC74*$M73),"")</f>
        <v/>
      </c>
      <c r="AB73" s="8" t="str">
        <f>IFERROR(IF(ISBLANK([1]NLFsmonkeyCompl!AD74),"",[1]NLFsmonkeyCompl!AD74),"")</f>
        <v/>
      </c>
      <c r="AC73" s="8">
        <f>IFERROR(IF(ISBLANK([1]NLFsmonkeyCompl!AE74),"",[1]NLFsmonkeyCompl!AE74),"")</f>
        <v>100</v>
      </c>
      <c r="AD73" s="8" t="str">
        <f>IFERROR(IF(ISBLANK([1]NLFsmonkeyCompl!AF74),"",[1]NLFsmonkeyCompl!AF74),"")</f>
        <v/>
      </c>
      <c r="AE73" s="8" t="str">
        <f>IFERROR(IF(ISBLANK([1]NLFsmonkeyCompl!AG74),"",[1]NLFsmonkeyCompl!AG74),"")</f>
        <v/>
      </c>
      <c r="AF73" s="8" t="str">
        <f>IFERROR(IF(ISBLANK([1]NLFsmonkeyCompl!AH74),"",[1]NLFsmonkeyCompl!AH74),"")</f>
        <v>No change</v>
      </c>
      <c r="AG73" s="8" t="str">
        <f>IFERROR(IF(ISBLANK([1]NLFsmonkeyCompl!AI74),"",[1]NLFsmonkeyCompl!AI74),"")</f>
        <v>Yes</v>
      </c>
    </row>
    <row r="74" spans="1:33" x14ac:dyDescent="0.2">
      <c r="A74" s="5" t="str">
        <f>IF(OR(ISTEXT([1]NLFsmonkeyCompl!J75),ISNUMBER([1]NLFsmonkeyCompl!J75)),[1]NLFsmonkeyCompl!J75,"")</f>
        <v>Hahn Group</v>
      </c>
      <c r="B74" s="6" t="str">
        <f>IF(OR(ISTEXT([1]NLFsmonkeyCompl!K75),ISNUMBER([1]NLFsmonkeyCompl!K75)),[1]NLFsmonkeyCompl!K75,"")</f>
        <v>HAHN Individual 2</v>
      </c>
      <c r="C74" s="6" t="s">
        <v>52</v>
      </c>
      <c r="D74" s="6" t="str">
        <f>IFERROR(INDEX([1]VehiclesUniverse!$B$2:$EU$700,MATCH(C74,[1]VehiclesUniverse!$A$2:$A$700,0),MATCH($D$1,[1]VehiclesUniverse!$B$1:$EU$1,0)),"")</f>
        <v/>
      </c>
      <c r="E74" s="6" t="str">
        <f>IFERROR(INDEX([1]VehiclesUniverse!$B$2:$EU$700,MATCH(C74,[1]VehiclesUniverse!$A$2:$A$700,0),MATCH($E$1,[1]VehiclesUniverse!$B$1:$EU$1,0)),"")</f>
        <v/>
      </c>
      <c r="F74" s="6" t="str">
        <f>IF(IFERROR(INDEX([1]VehiclesUniverse!$B$2:$EU$700,MATCH($C74,[1]VehiclesUniverse!$A$2:$A$700,0),MATCH($F$1,[1]VehiclesUniverse!$B$1:$EU$1,0)),"")&lt;&gt;0,(IFERROR(INDEX([1]VehiclesUniverse!$B$2:$EU$700,MATCH($C74,[1]VehiclesUniverse!$A$2:$A$700,0),MATCH($F$1,[1]VehiclesUniverse!$B$1:$EU$1,0)),"")),"")</f>
        <v/>
      </c>
      <c r="G74" s="6" t="str">
        <f>IF(ISBLANK([1]NLFsmonkeyCompl!L75),"",[1]NLFsmonkeyCompl!L75)</f>
        <v>Open end</v>
      </c>
      <c r="H74" s="6" t="str">
        <f>IFERROR(INDEX([1]VehiclesUniverse!$B$2:$EU$700,MATCH(C74,[1]VehiclesUniverse!$A$2:$A$700,0),MATCH($H$1,[1]VehiclesUniverse!$B$1:$EU$1,0)),"")</f>
        <v/>
      </c>
      <c r="I74" s="6" t="str">
        <f>IF(ISBLANK([1]NLFsmonkeyCompl!M75),"",[1]NLFsmonkeyCompl!M75)</f>
        <v>Yes</v>
      </c>
      <c r="J74" s="6" t="str">
        <f>IF(ISBLANK([1]NLFsmonkeyCompl!N75),"",[1]NLFsmonkeyCompl!N75)</f>
        <v/>
      </c>
      <c r="K74" s="6" t="str">
        <f>IF(ISBLANK([1]NLFsmonkeyCompl!O75),"",[1]NLFsmonkeyCompl!O75)</f>
        <v/>
      </c>
      <c r="L74" s="6" t="str">
        <f>IFERROR(INDEX([1]VehiclesUniverse!$B$2:$EU$700,MATCH(C74,[1]VehiclesUniverse!$A$2:$A$700,0),MATCH($L$1,[1]VehiclesUniverse!$B$1:$EU$1,0)),"")</f>
        <v/>
      </c>
      <c r="M74" s="16" t="str">
        <f>IFERROR(VLOOKUP(L74,'[1]Xrate31.12.20'!$K$2:$N$25,3,0),"")</f>
        <v/>
      </c>
      <c r="N74" s="8" t="str">
        <f>IFERROR(IF(ISBLANK([1]NLFsmonkeyCompl!P75),"",[1]NLFsmonkeyCompl!P75*$M74),"")</f>
        <v/>
      </c>
      <c r="O74" s="8" t="str">
        <f>IFERROR(IF(ISBLANK([1]NLFsmonkeyCompl!Q75),"",[1]NLFsmonkeyCompl!Q75*$M74),"")</f>
        <v/>
      </c>
      <c r="P74" s="8" t="str">
        <f>IFERROR(IF(ISBLANK([1]NLFsmonkeyCompl!R75),"",[1]NLFsmonkeyCompl!R75*$M74),"")</f>
        <v/>
      </c>
      <c r="Q74" s="8" t="str">
        <f>IFERROR(IF(ISBLANK([1]NLFsmonkeyCompl!S75),"",[1]NLFsmonkeyCompl!S75*$M74),"")</f>
        <v/>
      </c>
      <c r="R74" s="8" t="str">
        <f>IFERROR(IF(ISBLANK([1]NLFsmonkeyCompl!T75),"",[1]NLFsmonkeyCompl!T75*$M74),"")</f>
        <v/>
      </c>
      <c r="S74" s="8" t="str">
        <f>IFERROR(IF(ISBLANK([1]NLFsmonkeyCompl!U75),"",[1]NLFsmonkeyCompl!U75*$M74),"")</f>
        <v/>
      </c>
      <c r="T74" s="8" t="str">
        <f>IFERROR(IF(ISBLANK([1]NLFsmonkeyCompl!V75),"",[1]NLFsmonkeyCompl!V75*$M74),"")</f>
        <v/>
      </c>
      <c r="U74" s="8" t="str">
        <f>IFERROR(IF(ISBLANK([1]NLFsmonkeyCompl!W75),"",[1]NLFsmonkeyCompl!W75*$M74),"")</f>
        <v/>
      </c>
      <c r="V74" s="8" t="str">
        <f>IFERROR(IF(ISBLANK([1]NLFsmonkeyCompl!X75),"",[1]NLFsmonkeyCompl!X75*$M74),"")</f>
        <v/>
      </c>
      <c r="W74" s="8" t="str">
        <f>IFERROR(IF(ISBLANK([1]NLFsmonkeyCompl!Y75),"",[1]NLFsmonkeyCompl!Y75*$M74),"")</f>
        <v/>
      </c>
      <c r="X74" s="8" t="str">
        <f>IFERROR(IF(ISBLANK([1]NLFsmonkeyCompl!Z75),"",[1]NLFsmonkeyCompl!Z75*$M74),"")</f>
        <v/>
      </c>
      <c r="Y74" s="8" t="str">
        <f>IFERROR(IF(ISBLANK([1]NLFsmonkeyCompl!AA75),"",[1]NLFsmonkeyCompl!AA75*$M74),"")</f>
        <v/>
      </c>
      <c r="Z74" s="8" t="str">
        <f>IFERROR(IF(ISBLANK([1]NLFsmonkeyCompl!AB75),"",[1]NLFsmonkeyCompl!AB75*$M74),"")</f>
        <v/>
      </c>
      <c r="AA74" s="8" t="str">
        <f>IFERROR(IF(ISBLANK([1]NLFsmonkeyCompl!AC75),"",[1]NLFsmonkeyCompl!AC75*$M74),"")</f>
        <v/>
      </c>
      <c r="AB74" s="8" t="str">
        <f>IFERROR(IF(ISBLANK([1]NLFsmonkeyCompl!AD75),"",[1]NLFsmonkeyCompl!AD75),"")</f>
        <v/>
      </c>
      <c r="AC74" s="8" t="str">
        <f>IFERROR(IF(ISBLANK([1]NLFsmonkeyCompl!AE75),"",[1]NLFsmonkeyCompl!AE75),"")</f>
        <v/>
      </c>
      <c r="AD74" s="8">
        <f>IFERROR(IF(ISBLANK([1]NLFsmonkeyCompl!AF75),"",[1]NLFsmonkeyCompl!AF75),"")</f>
        <v>100</v>
      </c>
      <c r="AE74" s="8" t="str">
        <f>IFERROR(IF(ISBLANK([1]NLFsmonkeyCompl!AG75),"",[1]NLFsmonkeyCompl!AG75),"")</f>
        <v/>
      </c>
      <c r="AF74" s="8" t="str">
        <f>IFERROR(IF(ISBLANK([1]NLFsmonkeyCompl!AH75),"",[1]NLFsmonkeyCompl!AH75),"")</f>
        <v>No change</v>
      </c>
      <c r="AG74" s="8" t="str">
        <f>IFERROR(IF(ISBLANK([1]NLFsmonkeyCompl!AI75),"",[1]NLFsmonkeyCompl!AI75),"")</f>
        <v>Yes</v>
      </c>
    </row>
    <row r="75" spans="1:33" x14ac:dyDescent="0.2">
      <c r="A75" s="5" t="str">
        <f>IF(OR(ISTEXT([1]NLFsmonkeyCompl!J76),ISNUMBER([1]NLFsmonkeyCompl!J76)),[1]NLFsmonkeyCompl!J76,"")</f>
        <v>Stam Europe</v>
      </c>
      <c r="B75" s="6" t="str">
        <f>IF(OR(ISTEXT([1]NLFsmonkeyCompl!K76),ISNUMBER([1]NLFsmonkeyCompl!K76)),[1]NLFsmonkeyCompl!K76,"")</f>
        <v>Opera</v>
      </c>
      <c r="C75" s="6">
        <v>19271</v>
      </c>
      <c r="D75" s="6" t="str">
        <f>IFERROR(INDEX([1]VehiclesUniverse!$B$2:$EU$700,MATCH(C75,[1]VehiclesUniverse!$A$2:$A$700,0),MATCH($D$1,[1]VehiclesUniverse!$B$1:$EU$1,0)),"")</f>
        <v>Core</v>
      </c>
      <c r="E75" s="6" t="str">
        <f>IFERROR(INDEX([1]VehiclesUniverse!$B$2:$EU$700,MATCH(C75,[1]VehiclesUniverse!$A$2:$A$700,0),MATCH($E$1,[1]VehiclesUniverse!$B$1:$EU$1,0)),"")</f>
        <v>single country</v>
      </c>
      <c r="F75" s="6" t="str">
        <f>IF(IFERROR(INDEX([1]VehiclesUniverse!$B$2:$EU$700,MATCH($C75,[1]VehiclesUniverse!$A$2:$A$700,0),MATCH($F$1,[1]VehiclesUniverse!$B$1:$EU$1,0)),"")&lt;&gt;0,(IFERROR(INDEX([1]VehiclesUniverse!$B$2:$EU$700,MATCH($C75,[1]VehiclesUniverse!$A$2:$A$700,0),MATCH($F$1,[1]VehiclesUniverse!$B$1:$EU$1,0)),"")),"")</f>
        <v>France</v>
      </c>
      <c r="G75" s="6" t="str">
        <f>IF(ISBLANK([1]NLFsmonkeyCompl!L76),"",[1]NLFsmonkeyCompl!L76)</f>
        <v>Closed end</v>
      </c>
      <c r="H75" s="6">
        <f>IFERROR(INDEX([1]VehiclesUniverse!$B$2:$EU$700,MATCH(C75,[1]VehiclesUniverse!$A$2:$A$700,0),MATCH($H$1,[1]VehiclesUniverse!$B$1:$EU$1,0)),"")</f>
        <v>2018</v>
      </c>
      <c r="I75" s="6" t="str">
        <f>IF(ISBLANK([1]NLFsmonkeyCompl!M76),"",[1]NLFsmonkeyCompl!M76)</f>
        <v>No</v>
      </c>
      <c r="J75" s="6" t="str">
        <f>IF(ISBLANK([1]NLFsmonkeyCompl!N76),"",[1]NLFsmonkeyCompl!N76)</f>
        <v>Other (please specify)</v>
      </c>
      <c r="K75" s="6" t="str">
        <f>IF(ISBLANK([1]NLFsmonkeyCompl!O76),"",[1]NLFsmonkeyCompl!O76)</f>
        <v>Scarcity of investment opportunity</v>
      </c>
      <c r="L75" s="6" t="str">
        <f>IFERROR(INDEX([1]VehiclesUniverse!$B$2:$EU$700,MATCH(C75,[1]VehiclesUniverse!$A$2:$A$700,0),MATCH($L$1,[1]VehiclesUniverse!$B$1:$EU$1,0)),"")</f>
        <v>EUR</v>
      </c>
      <c r="M75" s="16">
        <f>IFERROR(VLOOKUP(L75,'[1]Xrate31.12.20'!$K$2:$N$25,3,0),"")</f>
        <v>1</v>
      </c>
      <c r="N75" s="8" t="str">
        <f>IFERROR(IF(ISBLANK([1]NLFsmonkeyCompl!P76),"",[1]NLFsmonkeyCompl!P76*$M75),"")</f>
        <v/>
      </c>
      <c r="O75" s="8" t="str">
        <f>IFERROR(IF(ISBLANK([1]NLFsmonkeyCompl!Q76),"",[1]NLFsmonkeyCompl!Q76*$M75),"")</f>
        <v/>
      </c>
      <c r="P75" s="8" t="str">
        <f>IFERROR(IF(ISBLANK([1]NLFsmonkeyCompl!R76),"",[1]NLFsmonkeyCompl!R76*$M75),"")</f>
        <v/>
      </c>
      <c r="Q75" s="8" t="str">
        <f>IFERROR(IF(ISBLANK([1]NLFsmonkeyCompl!S76),"",[1]NLFsmonkeyCompl!S76*$M75),"")</f>
        <v/>
      </c>
      <c r="R75" s="8" t="str">
        <f>IFERROR(IF(ISBLANK([1]NLFsmonkeyCompl!T76),"",[1]NLFsmonkeyCompl!T76*$M75),"")</f>
        <v/>
      </c>
      <c r="S75" s="8" t="str">
        <f>IFERROR(IF(ISBLANK([1]NLFsmonkeyCompl!U76),"",[1]NLFsmonkeyCompl!U76*$M75),"")</f>
        <v/>
      </c>
      <c r="T75" s="8" t="str">
        <f>IFERROR(IF(ISBLANK([1]NLFsmonkeyCompl!V76),"",[1]NLFsmonkeyCompl!V76*$M75),"")</f>
        <v/>
      </c>
      <c r="U75" s="8" t="str">
        <f>IFERROR(IF(ISBLANK([1]NLFsmonkeyCompl!W76),"",[1]NLFsmonkeyCompl!W76*$M75),"")</f>
        <v/>
      </c>
      <c r="V75" s="8" t="str">
        <f>IFERROR(IF(ISBLANK([1]NLFsmonkeyCompl!X76),"",[1]NLFsmonkeyCompl!X76*$M75),"")</f>
        <v/>
      </c>
      <c r="W75" s="8" t="str">
        <f>IFERROR(IF(ISBLANK([1]NLFsmonkeyCompl!Y76),"",[1]NLFsmonkeyCompl!Y76*$M75),"")</f>
        <v/>
      </c>
      <c r="X75" s="8" t="str">
        <f>IFERROR(IF(ISBLANK([1]NLFsmonkeyCompl!Z76),"",[1]NLFsmonkeyCompl!Z76*$M75),"")</f>
        <v/>
      </c>
      <c r="Y75" s="8" t="str">
        <f>IFERROR(IF(ISBLANK([1]NLFsmonkeyCompl!AA76),"",[1]NLFsmonkeyCompl!AA76*$M75),"")</f>
        <v/>
      </c>
      <c r="Z75" s="8" t="str">
        <f>IFERROR(IF(ISBLANK([1]NLFsmonkeyCompl!AB76),"",[1]NLFsmonkeyCompl!AB76*$M75),"")</f>
        <v/>
      </c>
      <c r="AA75" s="8" t="str">
        <f>IFERROR(IF(ISBLANK([1]NLFsmonkeyCompl!AC76),"",[1]NLFsmonkeyCompl!AC76*$M75),"")</f>
        <v/>
      </c>
      <c r="AB75" s="8" t="str">
        <f>IFERROR(IF(ISBLANK([1]NLFsmonkeyCompl!AD76),"",[1]NLFsmonkeyCompl!AD76),"")</f>
        <v/>
      </c>
      <c r="AC75" s="8" t="str">
        <f>IFERROR(IF(ISBLANK([1]NLFsmonkeyCompl!AE76),"",[1]NLFsmonkeyCompl!AE76),"")</f>
        <v/>
      </c>
      <c r="AD75" s="8" t="str">
        <f>IFERROR(IF(ISBLANK([1]NLFsmonkeyCompl!AF76),"",[1]NLFsmonkeyCompl!AF76),"")</f>
        <v/>
      </c>
      <c r="AE75" s="8" t="str">
        <f>IFERROR(IF(ISBLANK([1]NLFsmonkeyCompl!AG76),"",[1]NLFsmonkeyCompl!AG76),"")</f>
        <v/>
      </c>
      <c r="AF75" s="8" t="str">
        <f>IFERROR(IF(ISBLANK([1]NLFsmonkeyCompl!AH76),"",[1]NLFsmonkeyCompl!AH76),"")</f>
        <v>Increase</v>
      </c>
      <c r="AG75" s="8" t="str">
        <f>IFERROR(IF(ISBLANK([1]NLFsmonkeyCompl!AI76),"",[1]NLFsmonkeyCompl!AI76),"")</f>
        <v>Yes</v>
      </c>
    </row>
    <row r="76" spans="1:33" x14ac:dyDescent="0.2">
      <c r="A76" s="5" t="str">
        <f>IF(OR(ISTEXT([1]NLFsmonkeyCompl!J77),ISNUMBER([1]NLFsmonkeyCompl!J77)),[1]NLFsmonkeyCompl!J77,"")</f>
        <v>Savills Investment Management</v>
      </c>
      <c r="B76" s="6" t="str">
        <f>IF(OR(ISTEXT([1]NLFsmonkeyCompl!K77),ISNUMBER([1]NLFsmonkeyCompl!K77)),[1]NLFsmonkeyCompl!K77,"")</f>
        <v>Savills IM European Food Retail Fund</v>
      </c>
      <c r="C76" s="6" t="s">
        <v>58</v>
      </c>
      <c r="D76" s="6" t="str">
        <f>IFERROR(INDEX([1]VehiclesUniverse!$B$2:$EU$700,MATCH(C76,[1]VehiclesUniverse!$A$2:$A$700,0),MATCH($D$1,[1]VehiclesUniverse!$B$1:$EU$1,0)),"")</f>
        <v/>
      </c>
      <c r="E76" s="6" t="str">
        <f>IFERROR(INDEX([1]VehiclesUniverse!$B$2:$EU$700,MATCH(C76,[1]VehiclesUniverse!$A$2:$A$700,0),MATCH($E$1,[1]VehiclesUniverse!$B$1:$EU$1,0)),"")</f>
        <v/>
      </c>
      <c r="F76" s="6" t="str">
        <f>IF(IFERROR(INDEX([1]VehiclesUniverse!$B$2:$EU$700,MATCH($C76,[1]VehiclesUniverse!$A$2:$A$700,0),MATCH($F$1,[1]VehiclesUniverse!$B$1:$EU$1,0)),"")&lt;&gt;0,(IFERROR(INDEX([1]VehiclesUniverse!$B$2:$EU$700,MATCH($C76,[1]VehiclesUniverse!$A$2:$A$700,0),MATCH($F$1,[1]VehiclesUniverse!$B$1:$EU$1,0)),"")),"")</f>
        <v/>
      </c>
      <c r="G76" s="6" t="str">
        <f>IF(ISBLANK([1]NLFsmonkeyCompl!L77),"",[1]NLFsmonkeyCompl!L77)</f>
        <v>Open end</v>
      </c>
      <c r="H76" s="6" t="str">
        <f>IFERROR(INDEX([1]VehiclesUniverse!$B$2:$EU$700,MATCH(C76,[1]VehiclesUniverse!$A$2:$A$700,0),MATCH($H$1,[1]VehiclesUniverse!$B$1:$EU$1,0)),"")</f>
        <v/>
      </c>
      <c r="I76" s="6" t="str">
        <f>IF(ISBLANK([1]NLFsmonkeyCompl!M77),"",[1]NLFsmonkeyCompl!M77)</f>
        <v>Yes</v>
      </c>
      <c r="J76" s="6" t="str">
        <f>IF(ISBLANK([1]NLFsmonkeyCompl!N77),"",[1]NLFsmonkeyCompl!N77)</f>
        <v/>
      </c>
      <c r="K76" s="6" t="str">
        <f>IF(ISBLANK([1]NLFsmonkeyCompl!O77),"",[1]NLFsmonkeyCompl!O77)</f>
        <v/>
      </c>
      <c r="L76" s="6" t="str">
        <f>IFERROR(INDEX([1]VehiclesUniverse!$B$2:$EU$700,MATCH(C76,[1]VehiclesUniverse!$A$2:$A$700,0),MATCH($L$1,[1]VehiclesUniverse!$B$1:$EU$1,0)),"")</f>
        <v/>
      </c>
      <c r="M76" s="16" t="str">
        <f>IFERROR(VLOOKUP(L76,'[1]Xrate31.12.20'!$K$2:$N$25,3,0),"")</f>
        <v/>
      </c>
      <c r="N76" s="8" t="str">
        <f>IFERROR(IF(ISBLANK([1]NLFsmonkeyCompl!P77),"",[1]NLFsmonkeyCompl!P77*$M76),"")</f>
        <v/>
      </c>
      <c r="O76" s="8" t="str">
        <f>IFERROR(IF(ISBLANK([1]NLFsmonkeyCompl!Q77),"",[1]NLFsmonkeyCompl!Q77*$M76),"")</f>
        <v/>
      </c>
      <c r="P76" s="8" t="str">
        <f>IFERROR(IF(ISBLANK([1]NLFsmonkeyCompl!R77),"",[1]NLFsmonkeyCompl!R77*$M76),"")</f>
        <v/>
      </c>
      <c r="Q76" s="8" t="str">
        <f>IFERROR(IF(ISBLANK([1]NLFsmonkeyCompl!S77),"",[1]NLFsmonkeyCompl!S77*$M76),"")</f>
        <v/>
      </c>
      <c r="R76" s="8" t="str">
        <f>IFERROR(IF(ISBLANK([1]NLFsmonkeyCompl!T77),"",[1]NLFsmonkeyCompl!T77*$M76),"")</f>
        <v/>
      </c>
      <c r="S76" s="8" t="str">
        <f>IFERROR(IF(ISBLANK([1]NLFsmonkeyCompl!U77),"",[1]NLFsmonkeyCompl!U77*$M76),"")</f>
        <v/>
      </c>
      <c r="T76" s="8" t="str">
        <f>IFERROR(IF(ISBLANK([1]NLFsmonkeyCompl!V77),"",[1]NLFsmonkeyCompl!V77*$M76),"")</f>
        <v/>
      </c>
      <c r="U76" s="8" t="str">
        <f>IFERROR(IF(ISBLANK([1]NLFsmonkeyCompl!W77),"",[1]NLFsmonkeyCompl!W77*$M76),"")</f>
        <v/>
      </c>
      <c r="V76" s="8" t="str">
        <f>IFERROR(IF(ISBLANK([1]NLFsmonkeyCompl!X77),"",[1]NLFsmonkeyCompl!X77*$M76),"")</f>
        <v/>
      </c>
      <c r="W76" s="8" t="str">
        <f>IFERROR(IF(ISBLANK([1]NLFsmonkeyCompl!Y77),"",[1]NLFsmonkeyCompl!Y77*$M76),"")</f>
        <v/>
      </c>
      <c r="X76" s="8" t="str">
        <f>IFERROR(IF(ISBLANK([1]NLFsmonkeyCompl!Z77),"",[1]NLFsmonkeyCompl!Z77*$M76),"")</f>
        <v/>
      </c>
      <c r="Y76" s="8" t="str">
        <f>IFERROR(IF(ISBLANK([1]NLFsmonkeyCompl!AA77),"",[1]NLFsmonkeyCompl!AA77*$M76),"")</f>
        <v/>
      </c>
      <c r="Z76" s="8" t="str">
        <f>IFERROR(IF(ISBLANK([1]NLFsmonkeyCompl!AB77),"",[1]NLFsmonkeyCompl!AB77*$M76),"")</f>
        <v/>
      </c>
      <c r="AA76" s="8" t="str">
        <f>IFERROR(IF(ISBLANK([1]NLFsmonkeyCompl!AC77),"",[1]NLFsmonkeyCompl!AC77*$M76),"")</f>
        <v/>
      </c>
      <c r="AB76" s="8" t="str">
        <f>IFERROR(IF(ISBLANK([1]NLFsmonkeyCompl!AD77),"",[1]NLFsmonkeyCompl!AD77),"")</f>
        <v/>
      </c>
      <c r="AC76" s="8" t="str">
        <f>IFERROR(IF(ISBLANK([1]NLFsmonkeyCompl!AE77),"",[1]NLFsmonkeyCompl!AE77),"")</f>
        <v/>
      </c>
      <c r="AD76" s="8">
        <f>IFERROR(IF(ISBLANK([1]NLFsmonkeyCompl!AF77),"",[1]NLFsmonkeyCompl!AF77),"")</f>
        <v>100</v>
      </c>
      <c r="AE76" s="8" t="str">
        <f>IFERROR(IF(ISBLANK([1]NLFsmonkeyCompl!AG77),"",[1]NLFsmonkeyCompl!AG77),"")</f>
        <v/>
      </c>
      <c r="AF76" s="8" t="str">
        <f>IFERROR(IF(ISBLANK([1]NLFsmonkeyCompl!AH77),"",[1]NLFsmonkeyCompl!AH77),"")</f>
        <v>Increase</v>
      </c>
      <c r="AG76" s="8" t="str">
        <f>IFERROR(IF(ISBLANK([1]NLFsmonkeyCompl!AI77),"",[1]NLFsmonkeyCompl!AI77),"")</f>
        <v>Yes</v>
      </c>
    </row>
    <row r="77" spans="1:33" x14ac:dyDescent="0.2">
      <c r="A77" s="5" t="str">
        <f>IF(OR(ISTEXT([1]NLFsmonkeyCompl!J78),ISNUMBER([1]NLFsmonkeyCompl!J78)),[1]NLFsmonkeyCompl!J78,"")</f>
        <v>Savills Investment Management</v>
      </c>
      <c r="B77" s="6" t="str">
        <f>IF(OR(ISTEXT([1]NLFsmonkeyCompl!K78),ISNUMBER([1]NLFsmonkeyCompl!K78)),[1]NLFsmonkeyCompl!K78,"")</f>
        <v>Savills IM European Retail Fund</v>
      </c>
      <c r="C77" s="6">
        <v>628</v>
      </c>
      <c r="D77" s="6" t="str">
        <f>IFERROR(INDEX([1]VehiclesUniverse!$B$2:$EU$700,MATCH(C77,[1]VehiclesUniverse!$A$2:$A$700,0),MATCH($D$1,[1]VehiclesUniverse!$B$1:$EU$1,0)),"")</f>
        <v>Core</v>
      </c>
      <c r="E77" s="6" t="str">
        <f>IFERROR(INDEX([1]VehiclesUniverse!$B$2:$EU$700,MATCH(C77,[1]VehiclesUniverse!$A$2:$A$700,0),MATCH($E$1,[1]VehiclesUniverse!$B$1:$EU$1,0)),"")</f>
        <v>multi country</v>
      </c>
      <c r="F77" s="6" t="str">
        <f>IF(IFERROR(INDEX([1]VehiclesUniverse!$B$2:$EU$700,MATCH($C77,[1]VehiclesUniverse!$A$2:$A$700,0),MATCH($F$1,[1]VehiclesUniverse!$B$1:$EU$1,0)),"")&lt;&gt;0,(IFERROR(INDEX([1]VehiclesUniverse!$B$2:$EU$700,MATCH($C77,[1]VehiclesUniverse!$A$2:$A$700,0),MATCH($F$1,[1]VehiclesUniverse!$B$1:$EU$1,0)),"")),"")</f>
        <v/>
      </c>
      <c r="G77" s="6" t="str">
        <f>IF(ISBLANK([1]NLFsmonkeyCompl!L78),"",[1]NLFsmonkeyCompl!L78)</f>
        <v>Closed end</v>
      </c>
      <c r="H77" s="6">
        <f>IFERROR(INDEX([1]VehiclesUniverse!$B$2:$EU$700,MATCH(C77,[1]VehiclesUniverse!$A$2:$A$700,0),MATCH($H$1,[1]VehiclesUniverse!$B$1:$EU$1,0)),"")</f>
        <v>2012</v>
      </c>
      <c r="I77" s="6" t="str">
        <f>IF(ISBLANK([1]NLFsmonkeyCompl!M78),"",[1]NLFsmonkeyCompl!M78)</f>
        <v>No</v>
      </c>
      <c r="J77" s="6" t="str">
        <f>IF(ISBLANK([1]NLFsmonkeyCompl!N78),"",[1]NLFsmonkeyCompl!N78)</f>
        <v>Other (please specify)</v>
      </c>
      <c r="K77" s="6" t="str">
        <f>IF(ISBLANK([1]NLFsmonkeyCompl!O78),"",[1]NLFsmonkeyCompl!O78)</f>
        <v>The Fund is closed to new investors</v>
      </c>
      <c r="L77" s="6" t="str">
        <f>IFERROR(INDEX([1]VehiclesUniverse!$B$2:$EU$700,MATCH(C77,[1]VehiclesUniverse!$A$2:$A$700,0),MATCH($L$1,[1]VehiclesUniverse!$B$1:$EU$1,0)),"")</f>
        <v>EUR</v>
      </c>
      <c r="M77" s="16">
        <f>IFERROR(VLOOKUP(L77,'[1]Xrate31.12.20'!$K$2:$N$25,3,0),"")</f>
        <v>1</v>
      </c>
      <c r="N77" s="8" t="str">
        <f>IFERROR(IF(ISBLANK([1]NLFsmonkeyCompl!P78),"",[1]NLFsmonkeyCompl!P78*$M77),"")</f>
        <v/>
      </c>
      <c r="O77" s="8" t="str">
        <f>IFERROR(IF(ISBLANK([1]NLFsmonkeyCompl!Q78),"",[1]NLFsmonkeyCompl!Q78*$M77),"")</f>
        <v/>
      </c>
      <c r="P77" s="8" t="str">
        <f>IFERROR(IF(ISBLANK([1]NLFsmonkeyCompl!R78),"",[1]NLFsmonkeyCompl!R78*$M77),"")</f>
        <v/>
      </c>
      <c r="Q77" s="8" t="str">
        <f>IFERROR(IF(ISBLANK([1]NLFsmonkeyCompl!S78),"",[1]NLFsmonkeyCompl!S78*$M77),"")</f>
        <v/>
      </c>
      <c r="R77" s="8" t="str">
        <f>IFERROR(IF(ISBLANK([1]NLFsmonkeyCompl!T78),"",[1]NLFsmonkeyCompl!T78*$M77),"")</f>
        <v/>
      </c>
      <c r="S77" s="8" t="str">
        <f>IFERROR(IF(ISBLANK([1]NLFsmonkeyCompl!U78),"",[1]NLFsmonkeyCompl!U78*$M77),"")</f>
        <v/>
      </c>
      <c r="T77" s="8" t="str">
        <f>IFERROR(IF(ISBLANK([1]NLFsmonkeyCompl!V78),"",[1]NLFsmonkeyCompl!V78*$M77),"")</f>
        <v/>
      </c>
      <c r="U77" s="8" t="str">
        <f>IFERROR(IF(ISBLANK([1]NLFsmonkeyCompl!W78),"",[1]NLFsmonkeyCompl!W78*$M77),"")</f>
        <v/>
      </c>
      <c r="V77" s="8" t="str">
        <f>IFERROR(IF(ISBLANK([1]NLFsmonkeyCompl!X78),"",[1]NLFsmonkeyCompl!X78*$M77),"")</f>
        <v/>
      </c>
      <c r="W77" s="8" t="str">
        <f>IFERROR(IF(ISBLANK([1]NLFsmonkeyCompl!Y78),"",[1]NLFsmonkeyCompl!Y78*$M77),"")</f>
        <v/>
      </c>
      <c r="X77" s="8" t="str">
        <f>IFERROR(IF(ISBLANK([1]NLFsmonkeyCompl!Z78),"",[1]NLFsmonkeyCompl!Z78*$M77),"")</f>
        <v/>
      </c>
      <c r="Y77" s="8" t="str">
        <f>IFERROR(IF(ISBLANK([1]NLFsmonkeyCompl!AA78),"",[1]NLFsmonkeyCompl!AA78*$M77),"")</f>
        <v/>
      </c>
      <c r="Z77" s="8" t="str">
        <f>IFERROR(IF(ISBLANK([1]NLFsmonkeyCompl!AB78),"",[1]NLFsmonkeyCompl!AB78*$M77),"")</f>
        <v/>
      </c>
      <c r="AA77" s="8" t="str">
        <f>IFERROR(IF(ISBLANK([1]NLFsmonkeyCompl!AC78),"",[1]NLFsmonkeyCompl!AC78*$M77),"")</f>
        <v/>
      </c>
      <c r="AB77" s="8" t="str">
        <f>IFERROR(IF(ISBLANK([1]NLFsmonkeyCompl!AD78),"",[1]NLFsmonkeyCompl!AD78),"")</f>
        <v/>
      </c>
      <c r="AC77" s="8" t="str">
        <f>IFERROR(IF(ISBLANK([1]NLFsmonkeyCompl!AE78),"",[1]NLFsmonkeyCompl!AE78),"")</f>
        <v/>
      </c>
      <c r="AD77" s="8" t="str">
        <f>IFERROR(IF(ISBLANK([1]NLFsmonkeyCompl!AF78),"",[1]NLFsmonkeyCompl!AF78),"")</f>
        <v/>
      </c>
      <c r="AE77" s="8" t="str">
        <f>IFERROR(IF(ISBLANK([1]NLFsmonkeyCompl!AG78),"",[1]NLFsmonkeyCompl!AG78),"")</f>
        <v/>
      </c>
      <c r="AF77" s="8" t="str">
        <f>IFERROR(IF(ISBLANK([1]NLFsmonkeyCompl!AH78),"",[1]NLFsmonkeyCompl!AH78),"")</f>
        <v>Increase</v>
      </c>
      <c r="AG77" s="8" t="str">
        <f>IFERROR(IF(ISBLANK([1]NLFsmonkeyCompl!AI78),"",[1]NLFsmonkeyCompl!AI78),"")</f>
        <v>Yes</v>
      </c>
    </row>
    <row r="78" spans="1:33" x14ac:dyDescent="0.2">
      <c r="A78" s="5" t="str">
        <f>IF(OR(ISTEXT([1]NLFsmonkeyCompl!J79),ISNUMBER([1]NLFsmonkeyCompl!J79)),[1]NLFsmonkeyCompl!J79,"")</f>
        <v>Savills Investment Management</v>
      </c>
      <c r="B78" s="6" t="str">
        <f>IF(OR(ISTEXT([1]NLFsmonkeyCompl!K79),ISNUMBER([1]NLFsmonkeyCompl!K79)),[1]NLFsmonkeyCompl!K79,"")</f>
        <v>Savills IM European Logistics Fund 2</v>
      </c>
      <c r="C78" s="6">
        <v>18125</v>
      </c>
      <c r="D78" s="6" t="str">
        <f>IFERROR(INDEX([1]VehiclesUniverse!$B$2:$EU$700,MATCH(C78,[1]VehiclesUniverse!$A$2:$A$700,0),MATCH($D$1,[1]VehiclesUniverse!$B$1:$EU$1,0)),"")</f>
        <v>Core</v>
      </c>
      <c r="E78" s="6" t="str">
        <f>IFERROR(INDEX([1]VehiclesUniverse!$B$2:$EU$700,MATCH(C78,[1]VehiclesUniverse!$A$2:$A$700,0),MATCH($E$1,[1]VehiclesUniverse!$B$1:$EU$1,0)),"")</f>
        <v>multi country</v>
      </c>
      <c r="F78" s="6" t="str">
        <f>IF(IFERROR(INDEX([1]VehiclesUniverse!$B$2:$EU$700,MATCH($C78,[1]VehiclesUniverse!$A$2:$A$700,0),MATCH($F$1,[1]VehiclesUniverse!$B$1:$EU$1,0)),"")&lt;&gt;0,(IFERROR(INDEX([1]VehiclesUniverse!$B$2:$EU$700,MATCH($C78,[1]VehiclesUniverse!$A$2:$A$700,0),MATCH($F$1,[1]VehiclesUniverse!$B$1:$EU$1,0)),"")),"")</f>
        <v/>
      </c>
      <c r="G78" s="6" t="str">
        <f>IF(ISBLANK([1]NLFsmonkeyCompl!L79),"",[1]NLFsmonkeyCompl!L79)</f>
        <v>Open end</v>
      </c>
      <c r="H78" s="6">
        <f>IFERROR(INDEX([1]VehiclesUniverse!$B$2:$EU$700,MATCH(C78,[1]VehiclesUniverse!$A$2:$A$700,0),MATCH($H$1,[1]VehiclesUniverse!$B$1:$EU$1,0)),"")</f>
        <v>2015</v>
      </c>
      <c r="I78" s="6" t="str">
        <f>IF(ISBLANK([1]NLFsmonkeyCompl!M79),"",[1]NLFsmonkeyCompl!M79)</f>
        <v>No</v>
      </c>
      <c r="J78" s="6" t="str">
        <f>IF(ISBLANK([1]NLFsmonkeyCompl!N79),"",[1]NLFsmonkeyCompl!N79)</f>
        <v>Other (please specify)</v>
      </c>
      <c r="K78" s="6" t="str">
        <f>IF(ISBLANK([1]NLFsmonkeyCompl!O79),"",[1]NLFsmonkeyCompl!O79)</f>
        <v>The Fund is closed to new investors</v>
      </c>
      <c r="L78" s="6" t="str">
        <f>IFERROR(INDEX([1]VehiclesUniverse!$B$2:$EU$700,MATCH(C78,[1]VehiclesUniverse!$A$2:$A$700,0),MATCH($L$1,[1]VehiclesUniverse!$B$1:$EU$1,0)),"")</f>
        <v>EUR</v>
      </c>
      <c r="M78" s="16">
        <f>IFERROR(VLOOKUP(L78,'[1]Xrate31.12.20'!$K$2:$N$25,3,0),"")</f>
        <v>1</v>
      </c>
      <c r="N78" s="8" t="str">
        <f>IFERROR(IF(ISBLANK([1]NLFsmonkeyCompl!P79),"",[1]NLFsmonkeyCompl!P79*$M78),"")</f>
        <v/>
      </c>
      <c r="O78" s="8" t="str">
        <f>IFERROR(IF(ISBLANK([1]NLFsmonkeyCompl!Q79),"",[1]NLFsmonkeyCompl!Q79*$M78),"")</f>
        <v/>
      </c>
      <c r="P78" s="8" t="str">
        <f>IFERROR(IF(ISBLANK([1]NLFsmonkeyCompl!R79),"",[1]NLFsmonkeyCompl!R79*$M78),"")</f>
        <v/>
      </c>
      <c r="Q78" s="8" t="str">
        <f>IFERROR(IF(ISBLANK([1]NLFsmonkeyCompl!S79),"",[1]NLFsmonkeyCompl!S79*$M78),"")</f>
        <v/>
      </c>
      <c r="R78" s="8" t="str">
        <f>IFERROR(IF(ISBLANK([1]NLFsmonkeyCompl!T79),"",[1]NLFsmonkeyCompl!T79*$M78),"")</f>
        <v/>
      </c>
      <c r="S78" s="8" t="str">
        <f>IFERROR(IF(ISBLANK([1]NLFsmonkeyCompl!U79),"",[1]NLFsmonkeyCompl!U79*$M78),"")</f>
        <v/>
      </c>
      <c r="T78" s="8" t="str">
        <f>IFERROR(IF(ISBLANK([1]NLFsmonkeyCompl!V79),"",[1]NLFsmonkeyCompl!V79*$M78),"")</f>
        <v/>
      </c>
      <c r="U78" s="8" t="str">
        <f>IFERROR(IF(ISBLANK([1]NLFsmonkeyCompl!W79),"",[1]NLFsmonkeyCompl!W79*$M78),"")</f>
        <v/>
      </c>
      <c r="V78" s="8" t="str">
        <f>IFERROR(IF(ISBLANK([1]NLFsmonkeyCompl!X79),"",[1]NLFsmonkeyCompl!X79*$M78),"")</f>
        <v/>
      </c>
      <c r="W78" s="8" t="str">
        <f>IFERROR(IF(ISBLANK([1]NLFsmonkeyCompl!Y79),"",[1]NLFsmonkeyCompl!Y79*$M78),"")</f>
        <v/>
      </c>
      <c r="X78" s="8" t="str">
        <f>IFERROR(IF(ISBLANK([1]NLFsmonkeyCompl!Z79),"",[1]NLFsmonkeyCompl!Z79*$M78),"")</f>
        <v/>
      </c>
      <c r="Y78" s="8" t="str">
        <f>IFERROR(IF(ISBLANK([1]NLFsmonkeyCompl!AA79),"",[1]NLFsmonkeyCompl!AA79*$M78),"")</f>
        <v/>
      </c>
      <c r="Z78" s="8" t="str">
        <f>IFERROR(IF(ISBLANK([1]NLFsmonkeyCompl!AB79),"",[1]NLFsmonkeyCompl!AB79*$M78),"")</f>
        <v/>
      </c>
      <c r="AA78" s="8" t="str">
        <f>IFERROR(IF(ISBLANK([1]NLFsmonkeyCompl!AC79),"",[1]NLFsmonkeyCompl!AC79*$M78),"")</f>
        <v/>
      </c>
      <c r="AB78" s="8" t="str">
        <f>IFERROR(IF(ISBLANK([1]NLFsmonkeyCompl!AD79),"",[1]NLFsmonkeyCompl!AD79),"")</f>
        <v/>
      </c>
      <c r="AC78" s="8" t="str">
        <f>IFERROR(IF(ISBLANK([1]NLFsmonkeyCompl!AE79),"",[1]NLFsmonkeyCompl!AE79),"")</f>
        <v/>
      </c>
      <c r="AD78" s="8" t="str">
        <f>IFERROR(IF(ISBLANK([1]NLFsmonkeyCompl!AF79),"",[1]NLFsmonkeyCompl!AF79),"")</f>
        <v/>
      </c>
      <c r="AE78" s="8" t="str">
        <f>IFERROR(IF(ISBLANK([1]NLFsmonkeyCompl!AG79),"",[1]NLFsmonkeyCompl!AG79),"")</f>
        <v/>
      </c>
      <c r="AF78" s="8" t="str">
        <f>IFERROR(IF(ISBLANK([1]NLFsmonkeyCompl!AH79),"",[1]NLFsmonkeyCompl!AH79),"")</f>
        <v>Increase</v>
      </c>
      <c r="AG78" s="8" t="str">
        <f>IFERROR(IF(ISBLANK([1]NLFsmonkeyCompl!AI79),"",[1]NLFsmonkeyCompl!AI79),"")</f>
        <v>Yes</v>
      </c>
    </row>
    <row r="79" spans="1:33" x14ac:dyDescent="0.2">
      <c r="A79" s="5" t="str">
        <f>IF(OR(ISTEXT([1]NLFsmonkeyCompl!J80),ISNUMBER([1]NLFsmonkeyCompl!J80)),[1]NLFsmonkeyCompl!J80,"")</f>
        <v>BC Partners</v>
      </c>
      <c r="B79" s="6" t="str">
        <f>IF(OR(ISTEXT([1]NLFsmonkeyCompl!K80),ISNUMBER([1]NLFsmonkeyCompl!K80)),[1]NLFsmonkeyCompl!K80,"")</f>
        <v>BC Partners European Real Estate I</v>
      </c>
      <c r="C79" s="6">
        <v>19620</v>
      </c>
      <c r="D79" s="6" t="str">
        <f>IFERROR(INDEX([1]VehiclesUniverse!$B$2:$EU$700,MATCH(C79,[1]VehiclesUniverse!$A$2:$A$700,0),MATCH($D$1,[1]VehiclesUniverse!$B$1:$EU$1,0)),"")</f>
        <v>Value-added</v>
      </c>
      <c r="E79" s="6" t="str">
        <f>IFERROR(INDEX([1]VehiclesUniverse!$B$2:$EU$700,MATCH(C79,[1]VehiclesUniverse!$A$2:$A$700,0),MATCH($E$1,[1]VehiclesUniverse!$B$1:$EU$1,0)),"")</f>
        <v>multi country</v>
      </c>
      <c r="F79" s="6" t="str">
        <f>IF(IFERROR(INDEX([1]VehiclesUniverse!$B$2:$EU$700,MATCH($C79,[1]VehiclesUniverse!$A$2:$A$700,0),MATCH($F$1,[1]VehiclesUniverse!$B$1:$EU$1,0)),"")&lt;&gt;0,(IFERROR(INDEX([1]VehiclesUniverse!$B$2:$EU$700,MATCH($C79,[1]VehiclesUniverse!$A$2:$A$700,0),MATCH($F$1,[1]VehiclesUniverse!$B$1:$EU$1,0)),"")),"")</f>
        <v/>
      </c>
      <c r="G79" s="6" t="str">
        <f>IF(ISBLANK([1]NLFsmonkeyCompl!L80),"",[1]NLFsmonkeyCompl!L80)</f>
        <v>Closed end</v>
      </c>
      <c r="H79" s="6">
        <f>IFERROR(INDEX([1]VehiclesUniverse!$B$2:$EU$700,MATCH(C79,[1]VehiclesUniverse!$A$2:$A$700,0),MATCH($H$1,[1]VehiclesUniverse!$B$1:$EU$1,0)),"")</f>
        <v>2019</v>
      </c>
      <c r="I79" s="6" t="str">
        <f>IF(ISBLANK([1]NLFsmonkeyCompl!M80),"",[1]NLFsmonkeyCompl!M80)</f>
        <v>Yes</v>
      </c>
      <c r="J79" s="6" t="str">
        <f>IF(ISBLANK([1]NLFsmonkeyCompl!N80),"",[1]NLFsmonkeyCompl!N80)</f>
        <v/>
      </c>
      <c r="K79" s="6" t="str">
        <f>IF(ISBLANK([1]NLFsmonkeyCompl!O80),"",[1]NLFsmonkeyCompl!O80)</f>
        <v/>
      </c>
      <c r="L79" s="6" t="str">
        <f>IFERROR(INDEX([1]VehiclesUniverse!$B$2:$EU$700,MATCH(C79,[1]VehiclesUniverse!$A$2:$A$700,0),MATCH($L$1,[1]VehiclesUniverse!$B$1:$EU$1,0)),"")</f>
        <v>EUR</v>
      </c>
      <c r="M79" s="16">
        <f>IFERROR(VLOOKUP(L79,'[1]Xrate31.12.20'!$K$2:$N$25,3,0),"")</f>
        <v>1</v>
      </c>
      <c r="N79" s="8">
        <f>IFERROR(IF(ISBLANK([1]NLFsmonkeyCompl!P80),"",[1]NLFsmonkeyCompl!P80*$M79),"")</f>
        <v>129</v>
      </c>
      <c r="O79" s="8" t="str">
        <f>IFERROR(IF(ISBLANK([1]NLFsmonkeyCompl!Q80),"",[1]NLFsmonkeyCompl!Q80*$M79),"")</f>
        <v/>
      </c>
      <c r="P79" s="8">
        <f>IFERROR(IF(ISBLANK([1]NLFsmonkeyCompl!R80),"",[1]NLFsmonkeyCompl!R80*$M79),"")</f>
        <v>15</v>
      </c>
      <c r="Q79" s="8">
        <f>IFERROR(IF(ISBLANK([1]NLFsmonkeyCompl!S80),"",[1]NLFsmonkeyCompl!S80*$M79),"")</f>
        <v>110</v>
      </c>
      <c r="R79" s="8" t="str">
        <f>IFERROR(IF(ISBLANK([1]NLFsmonkeyCompl!T80),"",[1]NLFsmonkeyCompl!T80*$M79),"")</f>
        <v/>
      </c>
      <c r="S79" s="8" t="str">
        <f>IFERROR(IF(ISBLANK([1]NLFsmonkeyCompl!U80),"",[1]NLFsmonkeyCompl!U80*$M79),"")</f>
        <v/>
      </c>
      <c r="T79" s="8" t="str">
        <f>IFERROR(IF(ISBLANK([1]NLFsmonkeyCompl!V80),"",[1]NLFsmonkeyCompl!V80*$M79),"")</f>
        <v/>
      </c>
      <c r="U79" s="8">
        <f>IFERROR(IF(ISBLANK([1]NLFsmonkeyCompl!W80),"",[1]NLFsmonkeyCompl!W80*$M79),"")</f>
        <v>4</v>
      </c>
      <c r="V79" s="8" t="str">
        <f>IFERROR(IF(ISBLANK([1]NLFsmonkeyCompl!X80),"",[1]NLFsmonkeyCompl!X80*$M79),"")</f>
        <v/>
      </c>
      <c r="W79" s="8">
        <f>IFERROR(IF(ISBLANK([1]NLFsmonkeyCompl!Y80),"",[1]NLFsmonkeyCompl!Y80*$M79),"")</f>
        <v>19</v>
      </c>
      <c r="X79" s="8">
        <f>IFERROR(IF(ISBLANK([1]NLFsmonkeyCompl!Z80),"",[1]NLFsmonkeyCompl!Z80*$M79),"")</f>
        <v>110</v>
      </c>
      <c r="Y79" s="8" t="str">
        <f>IFERROR(IF(ISBLANK([1]NLFsmonkeyCompl!AA80),"",[1]NLFsmonkeyCompl!AA80*$M79),"")</f>
        <v/>
      </c>
      <c r="Z79" s="8" t="str">
        <f>IFERROR(IF(ISBLANK([1]NLFsmonkeyCompl!AB80),"",[1]NLFsmonkeyCompl!AB80*$M79),"")</f>
        <v/>
      </c>
      <c r="AA79" s="8" t="str">
        <f>IFERROR(IF(ISBLANK([1]NLFsmonkeyCompl!AC80),"",[1]NLFsmonkeyCompl!AC80*$M79),"")</f>
        <v/>
      </c>
      <c r="AB79" s="8" t="str">
        <f>IFERROR(IF(ISBLANK([1]NLFsmonkeyCompl!AD80),"",[1]NLFsmonkeyCompl!AD80),"")</f>
        <v/>
      </c>
      <c r="AC79" s="8" t="str">
        <f>IFERROR(IF(ISBLANK([1]NLFsmonkeyCompl!AE80),"",[1]NLFsmonkeyCompl!AE80),"")</f>
        <v/>
      </c>
      <c r="AD79" s="8">
        <f>IFERROR(IF(ISBLANK([1]NLFsmonkeyCompl!AF80),"",[1]NLFsmonkeyCompl!AF80),"")</f>
        <v>100</v>
      </c>
      <c r="AE79" s="8" t="str">
        <f>IFERROR(IF(ISBLANK([1]NLFsmonkeyCompl!AG80),"",[1]NLFsmonkeyCompl!AG80),"")</f>
        <v/>
      </c>
      <c r="AF79" s="8" t="str">
        <f>IFERROR(IF(ISBLANK([1]NLFsmonkeyCompl!AH80),"",[1]NLFsmonkeyCompl!AH80),"")</f>
        <v>Increase</v>
      </c>
      <c r="AG79" s="8" t="str">
        <f>IFERROR(IF(ISBLANK([1]NLFsmonkeyCompl!AI80),"",[1]NLFsmonkeyCompl!AI80),"")</f>
        <v>Yes</v>
      </c>
    </row>
    <row r="80" spans="1:33" x14ac:dyDescent="0.2">
      <c r="A80" s="5" t="str">
        <f>IF(OR(ISTEXT([1]NLFsmonkeyCompl!J81),ISNUMBER([1]NLFsmonkeyCompl!J81)),[1]NLFsmonkeyCompl!J81,"")</f>
        <v>AEW</v>
      </c>
      <c r="B80" s="6" t="str">
        <f>IF(OR(ISTEXT([1]NLFsmonkeyCompl!K81),ISNUMBER([1]NLFsmonkeyCompl!K81)),[1]NLFsmonkeyCompl!K81,"")</f>
        <v>SELF III</v>
      </c>
      <c r="C80" s="6" t="s">
        <v>59</v>
      </c>
      <c r="D80" s="6" t="str">
        <f>IFERROR(INDEX([1]VehiclesUniverse!$B$2:$EU$700,MATCH(C80,[1]VehiclesUniverse!$A$2:$A$700,0),MATCH($D$1,[1]VehiclesUniverse!$B$1:$EU$1,0)),"")</f>
        <v/>
      </c>
      <c r="E80" s="6" t="str">
        <f>IFERROR(INDEX([1]VehiclesUniverse!$B$2:$EU$700,MATCH(C80,[1]VehiclesUniverse!$A$2:$A$700,0),MATCH($E$1,[1]VehiclesUniverse!$B$1:$EU$1,0)),"")</f>
        <v/>
      </c>
      <c r="F80" s="6" t="str">
        <f>IF(IFERROR(INDEX([1]VehiclesUniverse!$B$2:$EU$700,MATCH($C80,[1]VehiclesUniverse!$A$2:$A$700,0),MATCH($F$1,[1]VehiclesUniverse!$B$1:$EU$1,0)),"")&lt;&gt;0,(IFERROR(INDEX([1]VehiclesUniverse!$B$2:$EU$700,MATCH($C80,[1]VehiclesUniverse!$A$2:$A$700,0),MATCH($F$1,[1]VehiclesUniverse!$B$1:$EU$1,0)),"")),"")</f>
        <v/>
      </c>
      <c r="G80" s="6" t="str">
        <f>IF(ISBLANK([1]NLFsmonkeyCompl!L81),"",[1]NLFsmonkeyCompl!L81)</f>
        <v>Closed end</v>
      </c>
      <c r="H80" s="6" t="str">
        <f>IFERROR(INDEX([1]VehiclesUniverse!$B$2:$EU$700,MATCH(C80,[1]VehiclesUniverse!$A$2:$A$700,0),MATCH($H$1,[1]VehiclesUniverse!$B$1:$EU$1,0)),"")</f>
        <v/>
      </c>
      <c r="I80" s="6" t="str">
        <f>IF(ISBLANK([1]NLFsmonkeyCompl!M81),"",[1]NLFsmonkeyCompl!M81)</f>
        <v>Yes</v>
      </c>
      <c r="J80" s="6" t="str">
        <f>IF(ISBLANK([1]NLFsmonkeyCompl!N81),"",[1]NLFsmonkeyCompl!N81)</f>
        <v/>
      </c>
      <c r="K80" s="6" t="str">
        <f>IF(ISBLANK([1]NLFsmonkeyCompl!O81),"",[1]NLFsmonkeyCompl!O81)</f>
        <v/>
      </c>
      <c r="L80" s="6" t="str">
        <f>IFERROR(INDEX([1]VehiclesUniverse!$B$2:$EU$700,MATCH(C80,[1]VehiclesUniverse!$A$2:$A$700,0),MATCH($L$1,[1]VehiclesUniverse!$B$1:$EU$1,0)),"")</f>
        <v/>
      </c>
      <c r="M80" s="16" t="str">
        <f>IFERROR(VLOOKUP(L80,'[1]Xrate31.12.20'!$K$2:$N$25,3,0),"")</f>
        <v/>
      </c>
      <c r="N80" s="8" t="str">
        <f>IFERROR(IF(ISBLANK([1]NLFsmonkeyCompl!P81),"",[1]NLFsmonkeyCompl!P81*$M80),"")</f>
        <v/>
      </c>
      <c r="O80" s="8" t="str">
        <f>IFERROR(IF(ISBLANK([1]NLFsmonkeyCompl!Q81),"",[1]NLFsmonkeyCompl!Q81*$M80),"")</f>
        <v/>
      </c>
      <c r="P80" s="8" t="str">
        <f>IFERROR(IF(ISBLANK([1]NLFsmonkeyCompl!R81),"",[1]NLFsmonkeyCompl!R81*$M80),"")</f>
        <v/>
      </c>
      <c r="Q80" s="8" t="str">
        <f>IFERROR(IF(ISBLANK([1]NLFsmonkeyCompl!S81),"",[1]NLFsmonkeyCompl!S81*$M80),"")</f>
        <v/>
      </c>
      <c r="R80" s="8" t="str">
        <f>IFERROR(IF(ISBLANK([1]NLFsmonkeyCompl!T81),"",[1]NLFsmonkeyCompl!T81*$M80),"")</f>
        <v/>
      </c>
      <c r="S80" s="8" t="str">
        <f>IFERROR(IF(ISBLANK([1]NLFsmonkeyCompl!U81),"",[1]NLFsmonkeyCompl!U81*$M80),"")</f>
        <v/>
      </c>
      <c r="T80" s="8" t="str">
        <f>IFERROR(IF(ISBLANK([1]NLFsmonkeyCompl!V81),"",[1]NLFsmonkeyCompl!V81*$M80),"")</f>
        <v/>
      </c>
      <c r="U80" s="8" t="str">
        <f>IFERROR(IF(ISBLANK([1]NLFsmonkeyCompl!W81),"",[1]NLFsmonkeyCompl!W81*$M80),"")</f>
        <v/>
      </c>
      <c r="V80" s="8" t="str">
        <f>IFERROR(IF(ISBLANK([1]NLFsmonkeyCompl!X81),"",[1]NLFsmonkeyCompl!X81*$M80),"")</f>
        <v/>
      </c>
      <c r="W80" s="8" t="str">
        <f>IFERROR(IF(ISBLANK([1]NLFsmonkeyCompl!Y81),"",[1]NLFsmonkeyCompl!Y81*$M80),"")</f>
        <v/>
      </c>
      <c r="X80" s="8" t="str">
        <f>IFERROR(IF(ISBLANK([1]NLFsmonkeyCompl!Z81),"",[1]NLFsmonkeyCompl!Z81*$M80),"")</f>
        <v/>
      </c>
      <c r="Y80" s="8" t="str">
        <f>IFERROR(IF(ISBLANK([1]NLFsmonkeyCompl!AA81),"",[1]NLFsmonkeyCompl!AA81*$M80),"")</f>
        <v/>
      </c>
      <c r="Z80" s="8" t="str">
        <f>IFERROR(IF(ISBLANK([1]NLFsmonkeyCompl!AB81),"",[1]NLFsmonkeyCompl!AB81*$M80),"")</f>
        <v/>
      </c>
      <c r="AA80" s="8" t="str">
        <f>IFERROR(IF(ISBLANK([1]NLFsmonkeyCompl!AC81),"",[1]NLFsmonkeyCompl!AC81*$M80),"")</f>
        <v/>
      </c>
      <c r="AB80" s="8" t="str">
        <f>IFERROR(IF(ISBLANK([1]NLFsmonkeyCompl!AD81),"",[1]NLFsmonkeyCompl!AD81),"")</f>
        <v/>
      </c>
      <c r="AC80" s="8" t="str">
        <f>IFERROR(IF(ISBLANK([1]NLFsmonkeyCompl!AE81),"",[1]NLFsmonkeyCompl!AE81),"")</f>
        <v/>
      </c>
      <c r="AD80" s="8">
        <f>IFERROR(IF(ISBLANK([1]NLFsmonkeyCompl!AF81),"",[1]NLFsmonkeyCompl!AF81),"")</f>
        <v>100</v>
      </c>
      <c r="AE80" s="8" t="str">
        <f>IFERROR(IF(ISBLANK([1]NLFsmonkeyCompl!AG81),"",[1]NLFsmonkeyCompl!AG81),"")</f>
        <v/>
      </c>
      <c r="AF80" s="8" t="str">
        <f>IFERROR(IF(ISBLANK([1]NLFsmonkeyCompl!AH81),"",[1]NLFsmonkeyCompl!AH81),"")</f>
        <v>Increase</v>
      </c>
      <c r="AG80" s="8" t="str">
        <f>IFERROR(IF(ISBLANK([1]NLFsmonkeyCompl!AI81),"",[1]NLFsmonkeyCompl!AI81),"")</f>
        <v>Yes</v>
      </c>
    </row>
    <row r="81" spans="1:33" x14ac:dyDescent="0.2">
      <c r="A81" s="5" t="str">
        <f>IF(OR(ISTEXT([1]NLFsmonkeyCompl!J82),ISNUMBER([1]NLFsmonkeyCompl!J82)),[1]NLFsmonkeyCompl!J82,"")</f>
        <v>AEW</v>
      </c>
      <c r="B81" s="6" t="str">
        <f>IF(OR(ISTEXT([1]NLFsmonkeyCompl!K82),ISNUMBER([1]NLFsmonkeyCompl!K82)),[1]NLFsmonkeyCompl!K82,"")</f>
        <v>EUROCORE</v>
      </c>
      <c r="C81" s="6">
        <v>19359</v>
      </c>
      <c r="D81" s="6" t="str">
        <f>IFERROR(INDEX([1]VehiclesUniverse!$B$2:$EU$700,MATCH(C81,[1]VehiclesUniverse!$A$2:$A$700,0),MATCH($D$1,[1]VehiclesUniverse!$B$1:$EU$1,0)),"")</f>
        <v>Core</v>
      </c>
      <c r="E81" s="6" t="str">
        <f>IFERROR(INDEX([1]VehiclesUniverse!$B$2:$EU$700,MATCH(C81,[1]VehiclesUniverse!$A$2:$A$700,0),MATCH($E$1,[1]VehiclesUniverse!$B$1:$EU$1,0)),"")</f>
        <v>multi country</v>
      </c>
      <c r="F81" s="6" t="str">
        <f>IF(IFERROR(INDEX([1]VehiclesUniverse!$B$2:$EU$700,MATCH($C81,[1]VehiclesUniverse!$A$2:$A$700,0),MATCH($F$1,[1]VehiclesUniverse!$B$1:$EU$1,0)),"")&lt;&gt;0,(IFERROR(INDEX([1]VehiclesUniverse!$B$2:$EU$700,MATCH($C81,[1]VehiclesUniverse!$A$2:$A$700,0),MATCH($F$1,[1]VehiclesUniverse!$B$1:$EU$1,0)),"")),"")</f>
        <v/>
      </c>
      <c r="G81" s="6" t="str">
        <f>IF(ISBLANK([1]NLFsmonkeyCompl!L82),"",[1]NLFsmonkeyCompl!L82)</f>
        <v>Open end</v>
      </c>
      <c r="H81" s="6">
        <f>IFERROR(INDEX([1]VehiclesUniverse!$B$2:$EU$700,MATCH(C81,[1]VehiclesUniverse!$A$2:$A$700,0),MATCH($H$1,[1]VehiclesUniverse!$B$1:$EU$1,0)),"")</f>
        <v>2019</v>
      </c>
      <c r="I81" s="6" t="str">
        <f>IF(ISBLANK([1]NLFsmonkeyCompl!M82),"",[1]NLFsmonkeyCompl!M82)</f>
        <v>Yes</v>
      </c>
      <c r="J81" s="6" t="str">
        <f>IF(ISBLANK([1]NLFsmonkeyCompl!N82),"",[1]NLFsmonkeyCompl!N82)</f>
        <v/>
      </c>
      <c r="K81" s="6" t="str">
        <f>IF(ISBLANK([1]NLFsmonkeyCompl!O82),"",[1]NLFsmonkeyCompl!O82)</f>
        <v/>
      </c>
      <c r="L81" s="6" t="str">
        <f>IFERROR(INDEX([1]VehiclesUniverse!$B$2:$EU$700,MATCH(C81,[1]VehiclesUniverse!$A$2:$A$700,0),MATCH($L$1,[1]VehiclesUniverse!$B$1:$EU$1,0)),"")</f>
        <v>EUR</v>
      </c>
      <c r="M81" s="16">
        <f>IFERROR(VLOOKUP(L81,'[1]Xrate31.12.20'!$K$2:$N$25,3,0),"")</f>
        <v>1</v>
      </c>
      <c r="N81" s="8">
        <f>IFERROR(IF(ISBLANK([1]NLFsmonkeyCompl!P82),"",[1]NLFsmonkeyCompl!P82*$M81),"")</f>
        <v>410</v>
      </c>
      <c r="O81" s="8">
        <f>IFERROR(IF(ISBLANK([1]NLFsmonkeyCompl!Q82),"",[1]NLFsmonkeyCompl!Q82*$M81),"")</f>
        <v>350</v>
      </c>
      <c r="P81" s="8">
        <f>IFERROR(IF(ISBLANK([1]NLFsmonkeyCompl!R82),"",[1]NLFsmonkeyCompl!R82*$M81),"")</f>
        <v>5</v>
      </c>
      <c r="Q81" s="8" t="str">
        <f>IFERROR(IF(ISBLANK([1]NLFsmonkeyCompl!S82),"",[1]NLFsmonkeyCompl!S82*$M81),"")</f>
        <v/>
      </c>
      <c r="R81" s="8" t="str">
        <f>IFERROR(IF(ISBLANK([1]NLFsmonkeyCompl!T82),"",[1]NLFsmonkeyCompl!T82*$M81),"")</f>
        <v/>
      </c>
      <c r="S81" s="8" t="str">
        <f>IFERROR(IF(ISBLANK([1]NLFsmonkeyCompl!U82),"",[1]NLFsmonkeyCompl!U82*$M81),"")</f>
        <v/>
      </c>
      <c r="T81" s="8" t="str">
        <f>IFERROR(IF(ISBLANK([1]NLFsmonkeyCompl!V82),"",[1]NLFsmonkeyCompl!V82*$M81),"")</f>
        <v/>
      </c>
      <c r="U81" s="8" t="str">
        <f>IFERROR(IF(ISBLANK([1]NLFsmonkeyCompl!W82),"",[1]NLFsmonkeyCompl!W82*$M81),"")</f>
        <v/>
      </c>
      <c r="V81" s="8">
        <f>IFERROR(IF(ISBLANK([1]NLFsmonkeyCompl!X82),"",[1]NLFsmonkeyCompl!X82*$M81),"")</f>
        <v>55</v>
      </c>
      <c r="W81" s="8">
        <f>IFERROR(IF(ISBLANK([1]NLFsmonkeyCompl!Y82),"",[1]NLFsmonkeyCompl!Y82*$M81),"")</f>
        <v>405</v>
      </c>
      <c r="X81" s="8">
        <f>IFERROR(IF(ISBLANK([1]NLFsmonkeyCompl!Z82),"",[1]NLFsmonkeyCompl!Z82*$M81),"")</f>
        <v>5</v>
      </c>
      <c r="Y81" s="8" t="str">
        <f>IFERROR(IF(ISBLANK([1]NLFsmonkeyCompl!AA82),"",[1]NLFsmonkeyCompl!AA82*$M81),"")</f>
        <v/>
      </c>
      <c r="Z81" s="8" t="str">
        <f>IFERROR(IF(ISBLANK([1]NLFsmonkeyCompl!AB82),"",[1]NLFsmonkeyCompl!AB82*$M81),"")</f>
        <v/>
      </c>
      <c r="AA81" s="8" t="str">
        <f>IFERROR(IF(ISBLANK([1]NLFsmonkeyCompl!AC82),"",[1]NLFsmonkeyCompl!AC82*$M81),"")</f>
        <v/>
      </c>
      <c r="AB81" s="8" t="str">
        <f>IFERROR(IF(ISBLANK([1]NLFsmonkeyCompl!AD82),"",[1]NLFsmonkeyCompl!AD82),"")</f>
        <v/>
      </c>
      <c r="AC81" s="8" t="str">
        <f>IFERROR(IF(ISBLANK([1]NLFsmonkeyCompl!AE82),"",[1]NLFsmonkeyCompl!AE82),"")</f>
        <v/>
      </c>
      <c r="AD81" s="8">
        <f>IFERROR(IF(ISBLANK([1]NLFsmonkeyCompl!AF82),"",[1]NLFsmonkeyCompl!AF82),"")</f>
        <v>93</v>
      </c>
      <c r="AE81" s="8">
        <f>IFERROR(IF(ISBLANK([1]NLFsmonkeyCompl!AG82),"",[1]NLFsmonkeyCompl!AG82),"")</f>
        <v>7</v>
      </c>
      <c r="AF81" s="8" t="str">
        <f>IFERROR(IF(ISBLANK([1]NLFsmonkeyCompl!AH82),"",[1]NLFsmonkeyCompl!AH82),"")</f>
        <v>Increase</v>
      </c>
      <c r="AG81" s="8" t="str">
        <f>IFERROR(IF(ISBLANK([1]NLFsmonkeyCompl!AI82),"",[1]NLFsmonkeyCompl!AI82),"")</f>
        <v>Yes</v>
      </c>
    </row>
    <row r="82" spans="1:33" x14ac:dyDescent="0.2">
      <c r="A82" s="5" t="str">
        <f>IF(OR(ISTEXT([1]NLFsmonkeyCompl!J83),ISNUMBER([1]NLFsmonkeyCompl!J83)),[1]NLFsmonkeyCompl!J83,"")</f>
        <v>Genesta</v>
      </c>
      <c r="B82" s="6" t="str">
        <f>IF(OR(ISTEXT([1]NLFsmonkeyCompl!K83),ISNUMBER([1]NLFsmonkeyCompl!K83)),[1]NLFsmonkeyCompl!K83,"")</f>
        <v>Genesta Nordic Real Estate Fund II FCP-SIF</v>
      </c>
      <c r="C82" s="6">
        <v>18282</v>
      </c>
      <c r="D82" s="6" t="str">
        <f>IFERROR(INDEX([1]VehiclesUniverse!$B$2:$EU$700,MATCH(C82,[1]VehiclesUniverse!$A$2:$A$700,0),MATCH($D$1,[1]VehiclesUniverse!$B$1:$EU$1,0)),"")</f>
        <v>Value-added</v>
      </c>
      <c r="E82" s="6" t="str">
        <f>IFERROR(INDEX([1]VehiclesUniverse!$B$2:$EU$700,MATCH(C82,[1]VehiclesUniverse!$A$2:$A$700,0),MATCH($E$1,[1]VehiclesUniverse!$B$1:$EU$1,0)),"")</f>
        <v>multi country</v>
      </c>
      <c r="F82" s="6" t="str">
        <f>IF(IFERROR(INDEX([1]VehiclesUniverse!$B$2:$EU$700,MATCH($C82,[1]VehiclesUniverse!$A$2:$A$700,0),MATCH($F$1,[1]VehiclesUniverse!$B$1:$EU$1,0)),"")&lt;&gt;0,(IFERROR(INDEX([1]VehiclesUniverse!$B$2:$EU$700,MATCH($C82,[1]VehiclesUniverse!$A$2:$A$700,0),MATCH($F$1,[1]VehiclesUniverse!$B$1:$EU$1,0)),"")),"")</f>
        <v/>
      </c>
      <c r="G82" s="6" t="str">
        <f>IF(ISBLANK([1]NLFsmonkeyCompl!L83),"",[1]NLFsmonkeyCompl!L83)</f>
        <v>Closed end</v>
      </c>
      <c r="H82" s="6">
        <f>IFERROR(INDEX([1]VehiclesUniverse!$B$2:$EU$700,MATCH(C82,[1]VehiclesUniverse!$A$2:$A$700,0),MATCH($H$1,[1]VehiclesUniverse!$B$1:$EU$1,0)),"")</f>
        <v>2015</v>
      </c>
      <c r="I82" s="6" t="str">
        <f>IF(ISBLANK([1]NLFsmonkeyCompl!M83),"",[1]NLFsmonkeyCompl!M83)</f>
        <v>No</v>
      </c>
      <c r="J82" s="6" t="str">
        <f>IF(ISBLANK([1]NLFsmonkeyCompl!N83),"",[1]NLFsmonkeyCompl!N83)</f>
        <v/>
      </c>
      <c r="K82" s="6" t="str">
        <f>IF(ISBLANK([1]NLFsmonkeyCompl!O83),"",[1]NLFsmonkeyCompl!O83)</f>
        <v/>
      </c>
      <c r="L82" s="6" t="str">
        <f>IFERROR(INDEX([1]VehiclesUniverse!$B$2:$EU$700,MATCH(C82,[1]VehiclesUniverse!$A$2:$A$700,0),MATCH($L$1,[1]VehiclesUniverse!$B$1:$EU$1,0)),"")</f>
        <v>EUR</v>
      </c>
      <c r="M82" s="16">
        <f>IFERROR(VLOOKUP(L82,'[1]Xrate31.12.20'!$K$2:$N$25,3,0),"")</f>
        <v>1</v>
      </c>
      <c r="N82" s="8" t="str">
        <f>IFERROR(IF(ISBLANK([1]NLFsmonkeyCompl!P83),"",[1]NLFsmonkeyCompl!P83*$M82),"")</f>
        <v/>
      </c>
      <c r="O82" s="8" t="str">
        <f>IFERROR(IF(ISBLANK([1]NLFsmonkeyCompl!Q83),"",[1]NLFsmonkeyCompl!Q83*$M82),"")</f>
        <v/>
      </c>
      <c r="P82" s="8" t="str">
        <f>IFERROR(IF(ISBLANK([1]NLFsmonkeyCompl!R83),"",[1]NLFsmonkeyCompl!R83*$M82),"")</f>
        <v/>
      </c>
      <c r="Q82" s="8" t="str">
        <f>IFERROR(IF(ISBLANK([1]NLFsmonkeyCompl!S83),"",[1]NLFsmonkeyCompl!S83*$M82),"")</f>
        <v/>
      </c>
      <c r="R82" s="8" t="str">
        <f>IFERROR(IF(ISBLANK([1]NLFsmonkeyCompl!T83),"",[1]NLFsmonkeyCompl!T83*$M82),"")</f>
        <v/>
      </c>
      <c r="S82" s="8" t="str">
        <f>IFERROR(IF(ISBLANK([1]NLFsmonkeyCompl!U83),"",[1]NLFsmonkeyCompl!U83*$M82),"")</f>
        <v/>
      </c>
      <c r="T82" s="8" t="str">
        <f>IFERROR(IF(ISBLANK([1]NLFsmonkeyCompl!V83),"",[1]NLFsmonkeyCompl!V83*$M82),"")</f>
        <v/>
      </c>
      <c r="U82" s="8" t="str">
        <f>IFERROR(IF(ISBLANK([1]NLFsmonkeyCompl!W83),"",[1]NLFsmonkeyCompl!W83*$M82),"")</f>
        <v/>
      </c>
      <c r="V82" s="8" t="str">
        <f>IFERROR(IF(ISBLANK([1]NLFsmonkeyCompl!X83),"",[1]NLFsmonkeyCompl!X83*$M82),"")</f>
        <v/>
      </c>
      <c r="W82" s="8" t="str">
        <f>IFERROR(IF(ISBLANK([1]NLFsmonkeyCompl!Y83),"",[1]NLFsmonkeyCompl!Y83*$M82),"")</f>
        <v/>
      </c>
      <c r="X82" s="8" t="str">
        <f>IFERROR(IF(ISBLANK([1]NLFsmonkeyCompl!Z83),"",[1]NLFsmonkeyCompl!Z83*$M82),"")</f>
        <v/>
      </c>
      <c r="Y82" s="8" t="str">
        <f>IFERROR(IF(ISBLANK([1]NLFsmonkeyCompl!AA83),"",[1]NLFsmonkeyCompl!AA83*$M82),"")</f>
        <v/>
      </c>
      <c r="Z82" s="8" t="str">
        <f>IFERROR(IF(ISBLANK([1]NLFsmonkeyCompl!AB83),"",[1]NLFsmonkeyCompl!AB83*$M82),"")</f>
        <v/>
      </c>
      <c r="AA82" s="8" t="str">
        <f>IFERROR(IF(ISBLANK([1]NLFsmonkeyCompl!AC83),"",[1]NLFsmonkeyCompl!AC83*$M82),"")</f>
        <v/>
      </c>
      <c r="AB82" s="8" t="str">
        <f>IFERROR(IF(ISBLANK([1]NLFsmonkeyCompl!AD83),"",[1]NLFsmonkeyCompl!AD83),"")</f>
        <v/>
      </c>
      <c r="AC82" s="8" t="str">
        <f>IFERROR(IF(ISBLANK([1]NLFsmonkeyCompl!AE83),"",[1]NLFsmonkeyCompl!AE83),"")</f>
        <v/>
      </c>
      <c r="AD82" s="8" t="str">
        <f>IFERROR(IF(ISBLANK([1]NLFsmonkeyCompl!AF83),"",[1]NLFsmonkeyCompl!AF83),"")</f>
        <v/>
      </c>
      <c r="AE82" s="8" t="str">
        <f>IFERROR(IF(ISBLANK([1]NLFsmonkeyCompl!AG83),"",[1]NLFsmonkeyCompl!AG83),"")</f>
        <v/>
      </c>
      <c r="AF82" s="8" t="str">
        <f>IFERROR(IF(ISBLANK([1]NLFsmonkeyCompl!AH83),"",[1]NLFsmonkeyCompl!AH83),"")</f>
        <v/>
      </c>
      <c r="AG82" s="8" t="str">
        <f>IFERROR(IF(ISBLANK([1]NLFsmonkeyCompl!AI83),"",[1]NLFsmonkeyCompl!AI83),"")</f>
        <v/>
      </c>
    </row>
    <row r="83" spans="1:33" x14ac:dyDescent="0.2">
      <c r="A83" s="5" t="str">
        <f>IF(OR(ISTEXT([1]NLFsmonkeyCompl!J84),ISNUMBER([1]NLFsmonkeyCompl!J84)),[1]NLFsmonkeyCompl!J84,"")</f>
        <v>Optimum Asset Management S.A.</v>
      </c>
      <c r="B83" s="6" t="str">
        <f>IF(OR(ISTEXT([1]NLFsmonkeyCompl!K84),ISNUMBER([1]NLFsmonkeyCompl!K84)),[1]NLFsmonkeyCompl!K84,"")</f>
        <v>German Real Estate Fund IV</v>
      </c>
      <c r="C83" s="6">
        <v>19626</v>
      </c>
      <c r="D83" s="6" t="s">
        <v>45</v>
      </c>
      <c r="E83" s="6" t="s">
        <v>48</v>
      </c>
      <c r="F83" s="6" t="s">
        <v>57</v>
      </c>
      <c r="G83" s="6" t="str">
        <f>IF(ISBLANK([1]NLFsmonkeyCompl!L84),"",[1]NLFsmonkeyCompl!L84)</f>
        <v>Closed end</v>
      </c>
      <c r="H83" s="6">
        <v>2019</v>
      </c>
      <c r="I83" s="6" t="str">
        <f>IF(ISBLANK([1]NLFsmonkeyCompl!M84),"",[1]NLFsmonkeyCompl!M84)</f>
        <v>Yes</v>
      </c>
      <c r="J83" s="6" t="str">
        <f>IF(ISBLANK([1]NLFsmonkeyCompl!N84),"",[1]NLFsmonkeyCompl!N84)</f>
        <v/>
      </c>
      <c r="K83" s="6" t="str">
        <f>IF(ISBLANK([1]NLFsmonkeyCompl!O84),"",[1]NLFsmonkeyCompl!O84)</f>
        <v/>
      </c>
      <c r="L83" s="6" t="str">
        <f>IFERROR(INDEX([1]VehiclesUniverse!$B$2:$EU$700,MATCH(C83,[1]VehiclesUniverse!$A$2:$A$700,0),MATCH($L$1,[1]VehiclesUniverse!$B$1:$EU$1,0)),"")</f>
        <v/>
      </c>
      <c r="M83" s="16" t="str">
        <f>IFERROR(VLOOKUP(L83,'[1]Xrate31.12.20'!$K$2:$N$25,3,0),"")</f>
        <v/>
      </c>
      <c r="N83" s="8" t="str">
        <f>IFERROR(IF(ISBLANK([1]NLFsmonkeyCompl!P84),"",[1]NLFsmonkeyCompl!P84*$M83),"")</f>
        <v/>
      </c>
      <c r="O83" s="8" t="str">
        <f>IFERROR(IF(ISBLANK([1]NLFsmonkeyCompl!Q84),"",[1]NLFsmonkeyCompl!Q84*$M83),"")</f>
        <v/>
      </c>
      <c r="P83" s="8" t="str">
        <f>IFERROR(IF(ISBLANK([1]NLFsmonkeyCompl!R84),"",[1]NLFsmonkeyCompl!R84*$M83),"")</f>
        <v/>
      </c>
      <c r="Q83" s="8" t="str">
        <f>IFERROR(IF(ISBLANK([1]NLFsmonkeyCompl!S84),"",[1]NLFsmonkeyCompl!S84*$M83),"")</f>
        <v/>
      </c>
      <c r="R83" s="8" t="str">
        <f>IFERROR(IF(ISBLANK([1]NLFsmonkeyCompl!T84),"",[1]NLFsmonkeyCompl!T84*$M83),"")</f>
        <v/>
      </c>
      <c r="S83" s="8" t="str">
        <f>IFERROR(IF(ISBLANK([1]NLFsmonkeyCompl!U84),"",[1]NLFsmonkeyCompl!U84*$M83),"")</f>
        <v/>
      </c>
      <c r="T83" s="8" t="str">
        <f>IFERROR(IF(ISBLANK([1]NLFsmonkeyCompl!V84),"",[1]NLFsmonkeyCompl!V84*$M83),"")</f>
        <v/>
      </c>
      <c r="U83" s="8" t="str">
        <f>IFERROR(IF(ISBLANK([1]NLFsmonkeyCompl!W84),"",[1]NLFsmonkeyCompl!W84*$M83),"")</f>
        <v/>
      </c>
      <c r="V83" s="8" t="str">
        <f>IFERROR(IF(ISBLANK([1]NLFsmonkeyCompl!X84),"",[1]NLFsmonkeyCompl!X84*$M83),"")</f>
        <v/>
      </c>
      <c r="W83" s="8" t="str">
        <f>IFERROR(IF(ISBLANK([1]NLFsmonkeyCompl!Y84),"",[1]NLFsmonkeyCompl!Y84*$M83),"")</f>
        <v/>
      </c>
      <c r="X83" s="8" t="str">
        <f>IFERROR(IF(ISBLANK([1]NLFsmonkeyCompl!Z84),"",[1]NLFsmonkeyCompl!Z84*$M83),"")</f>
        <v/>
      </c>
      <c r="Y83" s="8" t="str">
        <f>IFERROR(IF(ISBLANK([1]NLFsmonkeyCompl!AA84),"",[1]NLFsmonkeyCompl!AA84*$M83),"")</f>
        <v/>
      </c>
      <c r="Z83" s="8" t="str">
        <f>IFERROR(IF(ISBLANK([1]NLFsmonkeyCompl!AB84),"",[1]NLFsmonkeyCompl!AB84*$M83),"")</f>
        <v/>
      </c>
      <c r="AA83" s="8" t="str">
        <f>IFERROR(IF(ISBLANK([1]NLFsmonkeyCompl!AC84),"",[1]NLFsmonkeyCompl!AC84*$M83),"")</f>
        <v/>
      </c>
      <c r="AB83" s="8" t="str">
        <f>IFERROR(IF(ISBLANK([1]NLFsmonkeyCompl!AD84),"",[1]NLFsmonkeyCompl!AD84),"")</f>
        <v/>
      </c>
      <c r="AC83" s="8" t="str">
        <f>IFERROR(IF(ISBLANK([1]NLFsmonkeyCompl!AE84),"",[1]NLFsmonkeyCompl!AE84),"")</f>
        <v/>
      </c>
      <c r="AD83" s="8">
        <f>IFERROR(IF(ISBLANK([1]NLFsmonkeyCompl!AF84),"",[1]NLFsmonkeyCompl!AF84),"")</f>
        <v>100</v>
      </c>
      <c r="AE83" s="8" t="str">
        <f>IFERROR(IF(ISBLANK([1]NLFsmonkeyCompl!AG84),"",[1]NLFsmonkeyCompl!AG84),"")</f>
        <v/>
      </c>
      <c r="AF83" s="8" t="str">
        <f>IFERROR(IF(ISBLANK([1]NLFsmonkeyCompl!AH84),"",[1]NLFsmonkeyCompl!AH84),"")</f>
        <v>Increase</v>
      </c>
      <c r="AG83" s="8" t="str">
        <f>IFERROR(IF(ISBLANK([1]NLFsmonkeyCompl!AI84),"",[1]NLFsmonkeyCompl!AI84),"")</f>
        <v>Yes</v>
      </c>
    </row>
    <row r="84" spans="1:33" x14ac:dyDescent="0.2">
      <c r="A84" s="5" t="str">
        <f>IF(OR(ISTEXT([1]NLFsmonkeyCompl!J85),ISNUMBER([1]NLFsmonkeyCompl!J85)),[1]NLFsmonkeyCompl!J85,"")</f>
        <v>Optimum Asset Management S.A.</v>
      </c>
      <c r="B84" s="6" t="str">
        <f>IF(OR(ISTEXT([1]NLFsmonkeyCompl!K85),ISNUMBER([1]NLFsmonkeyCompl!K85)),[1]NLFsmonkeyCompl!K85,"")</f>
        <v>Optimum Evolution Fund SIF - Property III</v>
      </c>
      <c r="C84" s="6">
        <v>19625</v>
      </c>
      <c r="D84" s="6" t="s">
        <v>45</v>
      </c>
      <c r="E84" s="6" t="s">
        <v>48</v>
      </c>
      <c r="F84" s="6" t="s">
        <v>57</v>
      </c>
      <c r="G84" s="6" t="str">
        <f>IF(ISBLANK([1]NLFsmonkeyCompl!L85),"",[1]NLFsmonkeyCompl!L85)</f>
        <v>Closed end</v>
      </c>
      <c r="H84" s="6">
        <v>2014</v>
      </c>
      <c r="I84" s="6" t="str">
        <f>IF(ISBLANK([1]NLFsmonkeyCompl!M85),"",[1]NLFsmonkeyCompl!M85)</f>
        <v>No</v>
      </c>
      <c r="J84" s="6" t="str">
        <f>IF(ISBLANK([1]NLFsmonkeyCompl!N85),"",[1]NLFsmonkeyCompl!N85)</f>
        <v>Corporate governance framework</v>
      </c>
      <c r="K84" s="6" t="str">
        <f>IF(ISBLANK([1]NLFsmonkeyCompl!O85),"",[1]NLFsmonkeyCompl!O85)</f>
        <v/>
      </c>
      <c r="L84" s="6" t="str">
        <f>IFERROR(INDEX([1]VehiclesUniverse!$B$2:$EU$700,MATCH(C84,[1]VehiclesUniverse!$A$2:$A$700,0),MATCH($L$1,[1]VehiclesUniverse!$B$1:$EU$1,0)),"")</f>
        <v/>
      </c>
      <c r="M84" s="16" t="str">
        <f>IFERROR(VLOOKUP(L84,'[1]Xrate31.12.20'!$K$2:$N$25,3,0),"")</f>
        <v/>
      </c>
      <c r="N84" s="8" t="str">
        <f>IFERROR(IF(ISBLANK([1]NLFsmonkeyCompl!P85),"",[1]NLFsmonkeyCompl!P85*$M84),"")</f>
        <v/>
      </c>
      <c r="O84" s="8" t="str">
        <f>IFERROR(IF(ISBLANK([1]NLFsmonkeyCompl!Q85),"",[1]NLFsmonkeyCompl!Q85*$M84),"")</f>
        <v/>
      </c>
      <c r="P84" s="8" t="str">
        <f>IFERROR(IF(ISBLANK([1]NLFsmonkeyCompl!R85),"",[1]NLFsmonkeyCompl!R85*$M84),"")</f>
        <v/>
      </c>
      <c r="Q84" s="8" t="str">
        <f>IFERROR(IF(ISBLANK([1]NLFsmonkeyCompl!S85),"",[1]NLFsmonkeyCompl!S85*$M84),"")</f>
        <v/>
      </c>
      <c r="R84" s="8" t="str">
        <f>IFERROR(IF(ISBLANK([1]NLFsmonkeyCompl!T85),"",[1]NLFsmonkeyCompl!T85*$M84),"")</f>
        <v/>
      </c>
      <c r="S84" s="8" t="str">
        <f>IFERROR(IF(ISBLANK([1]NLFsmonkeyCompl!U85),"",[1]NLFsmonkeyCompl!U85*$M84),"")</f>
        <v/>
      </c>
      <c r="T84" s="8" t="str">
        <f>IFERROR(IF(ISBLANK([1]NLFsmonkeyCompl!V85),"",[1]NLFsmonkeyCompl!V85*$M84),"")</f>
        <v/>
      </c>
      <c r="U84" s="8" t="str">
        <f>IFERROR(IF(ISBLANK([1]NLFsmonkeyCompl!W85),"",[1]NLFsmonkeyCompl!W85*$M84),"")</f>
        <v/>
      </c>
      <c r="V84" s="8" t="str">
        <f>IFERROR(IF(ISBLANK([1]NLFsmonkeyCompl!X85),"",[1]NLFsmonkeyCompl!X85*$M84),"")</f>
        <v/>
      </c>
      <c r="W84" s="8" t="str">
        <f>IFERROR(IF(ISBLANK([1]NLFsmonkeyCompl!Y85),"",[1]NLFsmonkeyCompl!Y85*$M84),"")</f>
        <v/>
      </c>
      <c r="X84" s="8" t="str">
        <f>IFERROR(IF(ISBLANK([1]NLFsmonkeyCompl!Z85),"",[1]NLFsmonkeyCompl!Z85*$M84),"")</f>
        <v/>
      </c>
      <c r="Y84" s="8" t="str">
        <f>IFERROR(IF(ISBLANK([1]NLFsmonkeyCompl!AA85),"",[1]NLFsmonkeyCompl!AA85*$M84),"")</f>
        <v/>
      </c>
      <c r="Z84" s="8" t="str">
        <f>IFERROR(IF(ISBLANK([1]NLFsmonkeyCompl!AB85),"",[1]NLFsmonkeyCompl!AB85*$M84),"")</f>
        <v/>
      </c>
      <c r="AA84" s="8" t="str">
        <f>IFERROR(IF(ISBLANK([1]NLFsmonkeyCompl!AC85),"",[1]NLFsmonkeyCompl!AC85*$M84),"")</f>
        <v/>
      </c>
      <c r="AB84" s="8" t="str">
        <f>IFERROR(IF(ISBLANK([1]NLFsmonkeyCompl!AD85),"",[1]NLFsmonkeyCompl!AD85),"")</f>
        <v/>
      </c>
      <c r="AC84" s="8" t="str">
        <f>IFERROR(IF(ISBLANK([1]NLFsmonkeyCompl!AE85),"",[1]NLFsmonkeyCompl!AE85),"")</f>
        <v/>
      </c>
      <c r="AD84" s="8" t="str">
        <f>IFERROR(IF(ISBLANK([1]NLFsmonkeyCompl!AF85),"",[1]NLFsmonkeyCompl!AF85),"")</f>
        <v/>
      </c>
      <c r="AE84" s="8" t="str">
        <f>IFERROR(IF(ISBLANK([1]NLFsmonkeyCompl!AG85),"",[1]NLFsmonkeyCompl!AG85),"")</f>
        <v/>
      </c>
      <c r="AF84" s="8" t="str">
        <f>IFERROR(IF(ISBLANK([1]NLFsmonkeyCompl!AH85),"",[1]NLFsmonkeyCompl!AH85),"")</f>
        <v>Increase</v>
      </c>
      <c r="AG84" s="8" t="str">
        <f>IFERROR(IF(ISBLANK([1]NLFsmonkeyCompl!AI85),"",[1]NLFsmonkeyCompl!AI85),"")</f>
        <v>Yes</v>
      </c>
    </row>
    <row r="85" spans="1:33" x14ac:dyDescent="0.2">
      <c r="A85" s="5" t="str">
        <f>IF(OR(ISTEXT([1]NLFsmonkeyCompl!J86),ISNUMBER([1]NLFsmonkeyCompl!J86)),[1]NLFsmonkeyCompl!J86,"")</f>
        <v>Optimum Asset Management S.A.</v>
      </c>
      <c r="B85" s="6" t="str">
        <f>IF(OR(ISTEXT([1]NLFsmonkeyCompl!K86),ISNUMBER([1]NLFsmonkeyCompl!K86)),[1]NLFsmonkeyCompl!K86,"")</f>
        <v>Optimum Evolution Fund SIF - Property II</v>
      </c>
      <c r="C85" s="6">
        <v>19623</v>
      </c>
      <c r="D85" s="6" t="s">
        <v>45</v>
      </c>
      <c r="E85" s="6" t="s">
        <v>48</v>
      </c>
      <c r="F85" s="6" t="s">
        <v>57</v>
      </c>
      <c r="G85" s="6" t="str">
        <f>IF(ISBLANK([1]NLFsmonkeyCompl!L86),"",[1]NLFsmonkeyCompl!L86)</f>
        <v>Closed end</v>
      </c>
      <c r="H85" s="6">
        <v>2011</v>
      </c>
      <c r="I85" s="6" t="str">
        <f>IF(ISBLANK([1]NLFsmonkeyCompl!M86),"",[1]NLFsmonkeyCompl!M86)</f>
        <v>No</v>
      </c>
      <c r="J85" s="6" t="str">
        <f>IF(ISBLANK([1]NLFsmonkeyCompl!N86),"",[1]NLFsmonkeyCompl!N86)</f>
        <v>Corporate governance framework</v>
      </c>
      <c r="K85" s="6" t="str">
        <f>IF(ISBLANK([1]NLFsmonkeyCompl!O86),"",[1]NLFsmonkeyCompl!O86)</f>
        <v/>
      </c>
      <c r="L85" s="6" t="str">
        <f>IFERROR(INDEX([1]VehiclesUniverse!$B$2:$EU$700,MATCH(C85,[1]VehiclesUniverse!$A$2:$A$700,0),MATCH($L$1,[1]VehiclesUniverse!$B$1:$EU$1,0)),"")</f>
        <v/>
      </c>
      <c r="M85" s="16" t="str">
        <f>IFERROR(VLOOKUP(L85,'[1]Xrate31.12.20'!$K$2:$N$25,3,0),"")</f>
        <v/>
      </c>
      <c r="N85" s="8" t="str">
        <f>IFERROR(IF(ISBLANK([1]NLFsmonkeyCompl!P86),"",[1]NLFsmonkeyCompl!P86*$M85),"")</f>
        <v/>
      </c>
      <c r="O85" s="8" t="str">
        <f>IFERROR(IF(ISBLANK([1]NLFsmonkeyCompl!Q86),"",[1]NLFsmonkeyCompl!Q86*$M85),"")</f>
        <v/>
      </c>
      <c r="P85" s="8" t="str">
        <f>IFERROR(IF(ISBLANK([1]NLFsmonkeyCompl!R86),"",[1]NLFsmonkeyCompl!R86*$M85),"")</f>
        <v/>
      </c>
      <c r="Q85" s="8" t="str">
        <f>IFERROR(IF(ISBLANK([1]NLFsmonkeyCompl!S86),"",[1]NLFsmonkeyCompl!S86*$M85),"")</f>
        <v/>
      </c>
      <c r="R85" s="8" t="str">
        <f>IFERROR(IF(ISBLANK([1]NLFsmonkeyCompl!T86),"",[1]NLFsmonkeyCompl!T86*$M85),"")</f>
        <v/>
      </c>
      <c r="S85" s="8" t="str">
        <f>IFERROR(IF(ISBLANK([1]NLFsmonkeyCompl!U86),"",[1]NLFsmonkeyCompl!U86*$M85),"")</f>
        <v/>
      </c>
      <c r="T85" s="8" t="str">
        <f>IFERROR(IF(ISBLANK([1]NLFsmonkeyCompl!V86),"",[1]NLFsmonkeyCompl!V86*$M85),"")</f>
        <v/>
      </c>
      <c r="U85" s="8" t="str">
        <f>IFERROR(IF(ISBLANK([1]NLFsmonkeyCompl!W86),"",[1]NLFsmonkeyCompl!W86*$M85),"")</f>
        <v/>
      </c>
      <c r="V85" s="8" t="str">
        <f>IFERROR(IF(ISBLANK([1]NLFsmonkeyCompl!X86),"",[1]NLFsmonkeyCompl!X86*$M85),"")</f>
        <v/>
      </c>
      <c r="W85" s="8" t="str">
        <f>IFERROR(IF(ISBLANK([1]NLFsmonkeyCompl!Y86),"",[1]NLFsmonkeyCompl!Y86*$M85),"")</f>
        <v/>
      </c>
      <c r="X85" s="8" t="str">
        <f>IFERROR(IF(ISBLANK([1]NLFsmonkeyCompl!Z86),"",[1]NLFsmonkeyCompl!Z86*$M85),"")</f>
        <v/>
      </c>
      <c r="Y85" s="8" t="str">
        <f>IFERROR(IF(ISBLANK([1]NLFsmonkeyCompl!AA86),"",[1]NLFsmonkeyCompl!AA86*$M85),"")</f>
        <v/>
      </c>
      <c r="Z85" s="8" t="str">
        <f>IFERROR(IF(ISBLANK([1]NLFsmonkeyCompl!AB86),"",[1]NLFsmonkeyCompl!AB86*$M85),"")</f>
        <v/>
      </c>
      <c r="AA85" s="8" t="str">
        <f>IFERROR(IF(ISBLANK([1]NLFsmonkeyCompl!AC86),"",[1]NLFsmonkeyCompl!AC86*$M85),"")</f>
        <v/>
      </c>
      <c r="AB85" s="8" t="str">
        <f>IFERROR(IF(ISBLANK([1]NLFsmonkeyCompl!AD86),"",[1]NLFsmonkeyCompl!AD86),"")</f>
        <v/>
      </c>
      <c r="AC85" s="8" t="str">
        <f>IFERROR(IF(ISBLANK([1]NLFsmonkeyCompl!AE86),"",[1]NLFsmonkeyCompl!AE86),"")</f>
        <v/>
      </c>
      <c r="AD85" s="8" t="str">
        <f>IFERROR(IF(ISBLANK([1]NLFsmonkeyCompl!AF86),"",[1]NLFsmonkeyCompl!AF86),"")</f>
        <v/>
      </c>
      <c r="AE85" s="8" t="str">
        <f>IFERROR(IF(ISBLANK([1]NLFsmonkeyCompl!AG86),"",[1]NLFsmonkeyCompl!AG86),"")</f>
        <v/>
      </c>
      <c r="AF85" s="8" t="str">
        <f>IFERROR(IF(ISBLANK([1]NLFsmonkeyCompl!AH86),"",[1]NLFsmonkeyCompl!AH86),"")</f>
        <v>Increase</v>
      </c>
      <c r="AG85" s="8" t="str">
        <f>IFERROR(IF(ISBLANK([1]NLFsmonkeyCompl!AI86),"",[1]NLFsmonkeyCompl!AI86),"")</f>
        <v>Yes</v>
      </c>
    </row>
    <row r="86" spans="1:33" x14ac:dyDescent="0.2">
      <c r="A86" s="5" t="str">
        <f>IF(OR(ISTEXT([1]NLFsmonkeyCompl!J87),ISNUMBER([1]NLFsmonkeyCompl!J87)),[1]NLFsmonkeyCompl!J87,"")</f>
        <v>Areim AB</v>
      </c>
      <c r="B86" s="6" t="str">
        <f>IF(OR(ISTEXT([1]NLFsmonkeyCompl!K87),ISNUMBER([1]NLFsmonkeyCompl!K87)),[1]NLFsmonkeyCompl!K87,"")</f>
        <v>Areim Fund III</v>
      </c>
      <c r="C86" s="6">
        <v>17720</v>
      </c>
      <c r="D86" s="6" t="str">
        <f>IFERROR(INDEX([1]VehiclesUniverse!$B$2:$EU$700,MATCH(C86,[1]VehiclesUniverse!$A$2:$A$700,0),MATCH($D$1,[1]VehiclesUniverse!$B$1:$EU$1,0)),"")</f>
        <v>Value-added</v>
      </c>
      <c r="E86" s="6" t="str">
        <f>IFERROR(INDEX([1]VehiclesUniverse!$B$2:$EU$700,MATCH(C86,[1]VehiclesUniverse!$A$2:$A$700,0),MATCH($E$1,[1]VehiclesUniverse!$B$1:$EU$1,0)),"")</f>
        <v>multi country</v>
      </c>
      <c r="F86" s="6" t="str">
        <f>IF(IFERROR(INDEX([1]VehiclesUniverse!$B$2:$EU$700,MATCH($C86,[1]VehiclesUniverse!$A$2:$A$700,0),MATCH($F$1,[1]VehiclesUniverse!$B$1:$EU$1,0)),"")&lt;&gt;0,(IFERROR(INDEX([1]VehiclesUniverse!$B$2:$EU$700,MATCH($C86,[1]VehiclesUniverse!$A$2:$A$700,0),MATCH($F$1,[1]VehiclesUniverse!$B$1:$EU$1,0)),"")),"")</f>
        <v/>
      </c>
      <c r="G86" s="6" t="str">
        <f>IF(ISBLANK([1]NLFsmonkeyCompl!L87),"",[1]NLFsmonkeyCompl!L87)</f>
        <v>Closed end</v>
      </c>
      <c r="H86" s="6">
        <f>IFERROR(INDEX([1]VehiclesUniverse!$B$2:$EU$700,MATCH(C86,[1]VehiclesUniverse!$A$2:$A$700,0),MATCH($H$1,[1]VehiclesUniverse!$B$1:$EU$1,0)),"")</f>
        <v>2015</v>
      </c>
      <c r="I86" s="6" t="str">
        <f>IF(ISBLANK([1]NLFsmonkeyCompl!M87),"",[1]NLFsmonkeyCompl!M87)</f>
        <v>Yes</v>
      </c>
      <c r="J86" s="6" t="str">
        <f>IF(ISBLANK([1]NLFsmonkeyCompl!N87),"",[1]NLFsmonkeyCompl!N87)</f>
        <v/>
      </c>
      <c r="K86" s="6" t="str">
        <f>IF(ISBLANK([1]NLFsmonkeyCompl!O87),"",[1]NLFsmonkeyCompl!O87)</f>
        <v/>
      </c>
      <c r="L86" s="6" t="str">
        <f>IFERROR(INDEX([1]VehiclesUniverse!$B$2:$EU$700,MATCH(C86,[1]VehiclesUniverse!$A$2:$A$700,0),MATCH($L$1,[1]VehiclesUniverse!$B$1:$EU$1,0)),"")</f>
        <v>SEK</v>
      </c>
      <c r="M86" s="16">
        <f>IFERROR(VLOOKUP(L86,'[1]Xrate31.12.20'!$K$2:$N$25,3,0),"")</f>
        <v>9.9491122000000001E-2</v>
      </c>
      <c r="N86" s="8">
        <f>IFERROR(IF(ISBLANK([1]NLFsmonkeyCompl!P87),"",[1]NLFsmonkeyCompl!P87*$M86),"")</f>
        <v>0.39796448800000001</v>
      </c>
      <c r="O86" s="8">
        <f>IFERROR(IF(ISBLANK([1]NLFsmonkeyCompl!Q87),"",[1]NLFsmonkeyCompl!Q87*$M86),"")</f>
        <v>9.9491122000000001E-2</v>
      </c>
      <c r="P86" s="8">
        <f>IFERROR(IF(ISBLANK([1]NLFsmonkeyCompl!R87),"",[1]NLFsmonkeyCompl!R87*$M86),"")</f>
        <v>9.9491122000000001E-2</v>
      </c>
      <c r="Q86" s="8" t="str">
        <f>IFERROR(IF(ISBLANK([1]NLFsmonkeyCompl!S87),"",[1]NLFsmonkeyCompl!S87*$M86),"")</f>
        <v/>
      </c>
      <c r="R86" s="8">
        <f>IFERROR(IF(ISBLANK([1]NLFsmonkeyCompl!T87),"",[1]NLFsmonkeyCompl!T87*$M86),"")</f>
        <v>0.198982244</v>
      </c>
      <c r="S86" s="8" t="str">
        <f>IFERROR(IF(ISBLANK([1]NLFsmonkeyCompl!U87),"",[1]NLFsmonkeyCompl!U87*$M86),"")</f>
        <v/>
      </c>
      <c r="T86" s="8" t="str">
        <f>IFERROR(IF(ISBLANK([1]NLFsmonkeyCompl!V87),"",[1]NLFsmonkeyCompl!V87*$M86),"")</f>
        <v/>
      </c>
      <c r="U86" s="8" t="str">
        <f>IFERROR(IF(ISBLANK([1]NLFsmonkeyCompl!W87),"",[1]NLFsmonkeyCompl!W87*$M86),"")</f>
        <v/>
      </c>
      <c r="V86" s="8" t="str">
        <f>IFERROR(IF(ISBLANK([1]NLFsmonkeyCompl!X87),"",[1]NLFsmonkeyCompl!X87*$M86),"")</f>
        <v/>
      </c>
      <c r="W86" s="8">
        <f>IFERROR(IF(ISBLANK([1]NLFsmonkeyCompl!Y87),"",[1]NLFsmonkeyCompl!Y87*$M86),"")</f>
        <v>0.29847336600000002</v>
      </c>
      <c r="X86" s="8">
        <f>IFERROR(IF(ISBLANK([1]NLFsmonkeyCompl!Z87),"",[1]NLFsmonkeyCompl!Z87*$M86),"")</f>
        <v>9.9491122000000001E-2</v>
      </c>
      <c r="Y86" s="8" t="str">
        <f>IFERROR(IF(ISBLANK([1]NLFsmonkeyCompl!AA87),"",[1]NLFsmonkeyCompl!AA87*$M86),"")</f>
        <v/>
      </c>
      <c r="Z86" s="8" t="str">
        <f>IFERROR(IF(ISBLANK([1]NLFsmonkeyCompl!AB87),"",[1]NLFsmonkeyCompl!AB87*$M86),"")</f>
        <v/>
      </c>
      <c r="AA86" s="8" t="str">
        <f>IFERROR(IF(ISBLANK([1]NLFsmonkeyCompl!AC87),"",[1]NLFsmonkeyCompl!AC87*$M86),"")</f>
        <v/>
      </c>
      <c r="AB86" s="8" t="str">
        <f>IFERROR(IF(ISBLANK([1]NLFsmonkeyCompl!AD87),"",[1]NLFsmonkeyCompl!AD87),"")</f>
        <v/>
      </c>
      <c r="AC86" s="8" t="str">
        <f>IFERROR(IF(ISBLANK([1]NLFsmonkeyCompl!AE87),"",[1]NLFsmonkeyCompl!AE87),"")</f>
        <v/>
      </c>
      <c r="AD86" s="8">
        <f>IFERROR(IF(ISBLANK([1]NLFsmonkeyCompl!AF87),"",[1]NLFsmonkeyCompl!AF87),"")</f>
        <v>100</v>
      </c>
      <c r="AE86" s="8" t="str">
        <f>IFERROR(IF(ISBLANK([1]NLFsmonkeyCompl!AG87),"",[1]NLFsmonkeyCompl!AG87),"")</f>
        <v/>
      </c>
      <c r="AF86" s="8" t="str">
        <f>IFERROR(IF(ISBLANK([1]NLFsmonkeyCompl!AH87),"",[1]NLFsmonkeyCompl!AH87),"")</f>
        <v>Increase</v>
      </c>
      <c r="AG86" s="8" t="str">
        <f>IFERROR(IF(ISBLANK([1]NLFsmonkeyCompl!AI87),"",[1]NLFsmonkeyCompl!AI87),"")</f>
        <v>No</v>
      </c>
    </row>
    <row r="87" spans="1:33" x14ac:dyDescent="0.2">
      <c r="A87" s="5" t="str">
        <f>IF(OR(ISTEXT([1]NLFsmonkeyCompl!J88),ISNUMBER([1]NLFsmonkeyCompl!J88)),[1]NLFsmonkeyCompl!J88,"")</f>
        <v xml:space="preserve">Invesco Real Estate </v>
      </c>
      <c r="B87" s="6" t="str">
        <f>IF(OR(ISTEXT([1]NLFsmonkeyCompl!K88),ISNUMBER([1]NLFsmonkeyCompl!K88)),[1]NLFsmonkeyCompl!K88,"")</f>
        <v xml:space="preserve">Invesco Real Estate - European Fund </v>
      </c>
      <c r="C87" s="6">
        <v>559</v>
      </c>
      <c r="D87" s="6" t="str">
        <f>IFERROR(INDEX([1]VehiclesUniverse!$B$2:$EU$700,MATCH(C87,[1]VehiclesUniverse!$A$2:$A$700,0),MATCH($D$1,[1]VehiclesUniverse!$B$1:$EU$1,0)),"")</f>
        <v>Core</v>
      </c>
      <c r="E87" s="6" t="str">
        <f>IFERROR(INDEX([1]VehiclesUniverse!$B$2:$EU$700,MATCH(C87,[1]VehiclesUniverse!$A$2:$A$700,0),MATCH($E$1,[1]VehiclesUniverse!$B$1:$EU$1,0)),"")</f>
        <v>multi country</v>
      </c>
      <c r="F87" s="6" t="str">
        <f>IF(IFERROR(INDEX([1]VehiclesUniverse!$B$2:$EU$700,MATCH($C87,[1]VehiclesUniverse!$A$2:$A$700,0),MATCH($F$1,[1]VehiclesUniverse!$B$1:$EU$1,0)),"")&lt;&gt;0,(IFERROR(INDEX([1]VehiclesUniverse!$B$2:$EU$700,MATCH($C87,[1]VehiclesUniverse!$A$2:$A$700,0),MATCH($F$1,[1]VehiclesUniverse!$B$1:$EU$1,0)),"")),"")</f>
        <v/>
      </c>
      <c r="G87" s="6" t="str">
        <f>IF(ISBLANK([1]NLFsmonkeyCompl!L88),"",[1]NLFsmonkeyCompl!L88)</f>
        <v>Open end</v>
      </c>
      <c r="H87" s="6">
        <f>IFERROR(INDEX([1]VehiclesUniverse!$B$2:$EU$700,MATCH(C87,[1]VehiclesUniverse!$A$2:$A$700,0),MATCH($H$1,[1]VehiclesUniverse!$B$1:$EU$1,0)),"")</f>
        <v>2008</v>
      </c>
      <c r="I87" s="6" t="str">
        <f>IF(ISBLANK([1]NLFsmonkeyCompl!M88),"",[1]NLFsmonkeyCompl!M88)</f>
        <v>Yes</v>
      </c>
      <c r="J87" s="6" t="str">
        <f>IF(ISBLANK([1]NLFsmonkeyCompl!N88),"",[1]NLFsmonkeyCompl!N88)</f>
        <v/>
      </c>
      <c r="K87" s="6" t="str">
        <f>IF(ISBLANK([1]NLFsmonkeyCompl!O88),"",[1]NLFsmonkeyCompl!O88)</f>
        <v/>
      </c>
      <c r="L87" s="6" t="str">
        <f>IFERROR(INDEX([1]VehiclesUniverse!$B$2:$EU$700,MATCH(C87,[1]VehiclesUniverse!$A$2:$A$700,0),MATCH($L$1,[1]VehiclesUniverse!$B$1:$EU$1,0)),"")</f>
        <v>EUR</v>
      </c>
      <c r="M87" s="16">
        <f>IFERROR(VLOOKUP(L87,'[1]Xrate31.12.20'!$K$2:$N$25,3,0),"")</f>
        <v>1</v>
      </c>
      <c r="N87" s="8" t="str">
        <f>IFERROR(IF(ISBLANK([1]NLFsmonkeyCompl!P88),"",[1]NLFsmonkeyCompl!P88*$M87),"")</f>
        <v/>
      </c>
      <c r="O87" s="8" t="str">
        <f>IFERROR(IF(ISBLANK([1]NLFsmonkeyCompl!Q88),"",[1]NLFsmonkeyCompl!Q88*$M87),"")</f>
        <v/>
      </c>
      <c r="P87" s="8" t="str">
        <f>IFERROR(IF(ISBLANK([1]NLFsmonkeyCompl!R88),"",[1]NLFsmonkeyCompl!R88*$M87),"")</f>
        <v/>
      </c>
      <c r="Q87" s="8" t="str">
        <f>IFERROR(IF(ISBLANK([1]NLFsmonkeyCompl!S88),"",[1]NLFsmonkeyCompl!S88*$M87),"")</f>
        <v/>
      </c>
      <c r="R87" s="8" t="str">
        <f>IFERROR(IF(ISBLANK([1]NLFsmonkeyCompl!T88),"",[1]NLFsmonkeyCompl!T88*$M87),"")</f>
        <v/>
      </c>
      <c r="S87" s="8" t="str">
        <f>IFERROR(IF(ISBLANK([1]NLFsmonkeyCompl!U88),"",[1]NLFsmonkeyCompl!U88*$M87),"")</f>
        <v/>
      </c>
      <c r="T87" s="8" t="str">
        <f>IFERROR(IF(ISBLANK([1]NLFsmonkeyCompl!V88),"",[1]NLFsmonkeyCompl!V88*$M87),"")</f>
        <v/>
      </c>
      <c r="U87" s="8" t="str">
        <f>IFERROR(IF(ISBLANK([1]NLFsmonkeyCompl!W88),"",[1]NLFsmonkeyCompl!W88*$M87),"")</f>
        <v/>
      </c>
      <c r="V87" s="8" t="str">
        <f>IFERROR(IF(ISBLANK([1]NLFsmonkeyCompl!X88),"",[1]NLFsmonkeyCompl!X88*$M87),"")</f>
        <v/>
      </c>
      <c r="W87" s="8" t="str">
        <f>IFERROR(IF(ISBLANK([1]NLFsmonkeyCompl!Y88),"",[1]NLFsmonkeyCompl!Y88*$M87),"")</f>
        <v/>
      </c>
      <c r="X87" s="8" t="str">
        <f>IFERROR(IF(ISBLANK([1]NLFsmonkeyCompl!Z88),"",[1]NLFsmonkeyCompl!Z88*$M87),"")</f>
        <v/>
      </c>
      <c r="Y87" s="8" t="str">
        <f>IFERROR(IF(ISBLANK([1]NLFsmonkeyCompl!AA88),"",[1]NLFsmonkeyCompl!AA88*$M87),"")</f>
        <v/>
      </c>
      <c r="Z87" s="8" t="str">
        <f>IFERROR(IF(ISBLANK([1]NLFsmonkeyCompl!AB88),"",[1]NLFsmonkeyCompl!AB88*$M87),"")</f>
        <v/>
      </c>
      <c r="AA87" s="8" t="str">
        <f>IFERROR(IF(ISBLANK([1]NLFsmonkeyCompl!AC88),"",[1]NLFsmonkeyCompl!AC88*$M87),"")</f>
        <v/>
      </c>
      <c r="AB87" s="8" t="str">
        <f>IFERROR(IF(ISBLANK([1]NLFsmonkeyCompl!AD88),"",[1]NLFsmonkeyCompl!AD88),"")</f>
        <v/>
      </c>
      <c r="AC87" s="8" t="str">
        <f>IFERROR(IF(ISBLANK([1]NLFsmonkeyCompl!AE88),"",[1]NLFsmonkeyCompl!AE88),"")</f>
        <v/>
      </c>
      <c r="AD87" s="8" t="str">
        <f>IFERROR(IF(ISBLANK([1]NLFsmonkeyCompl!AF88),"",[1]NLFsmonkeyCompl!AF88),"")</f>
        <v/>
      </c>
      <c r="AE87" s="8" t="str">
        <f>IFERROR(IF(ISBLANK([1]NLFsmonkeyCompl!AG88),"",[1]NLFsmonkeyCompl!AG88),"")</f>
        <v/>
      </c>
      <c r="AF87" s="8" t="str">
        <f>IFERROR(IF(ISBLANK([1]NLFsmonkeyCompl!AH88),"",[1]NLFsmonkeyCompl!AH88),"")</f>
        <v/>
      </c>
      <c r="AG87" s="8" t="str">
        <f>IFERROR(IF(ISBLANK([1]NLFsmonkeyCompl!AI88),"",[1]NLFsmonkeyCompl!AI88),"")</f>
        <v/>
      </c>
    </row>
    <row r="88" spans="1:33" x14ac:dyDescent="0.2">
      <c r="A88" s="5" t="str">
        <f>IF(OR(ISTEXT([1]NLFsmonkeyCompl!J89),ISNUMBER([1]NLFsmonkeyCompl!J89)),[1]NLFsmonkeyCompl!J89,"")</f>
        <v>ICG plc</v>
      </c>
      <c r="B88" s="6" t="str">
        <f>IF(OR(ISTEXT([1]NLFsmonkeyCompl!K89),ISNUMBER([1]NLFsmonkeyCompl!K89)),[1]NLFsmonkeyCompl!K89,"")</f>
        <v>ICG European Sales and Leaseback Fund I</v>
      </c>
      <c r="C88" s="6" t="s">
        <v>58</v>
      </c>
      <c r="D88" s="6" t="str">
        <f>IFERROR(INDEX([1]VehiclesUniverse!$B$2:$EU$700,MATCH(C88,[1]VehiclesUniverse!$A$2:$A$700,0),MATCH($D$1,[1]VehiclesUniverse!$B$1:$EU$1,0)),"")</f>
        <v/>
      </c>
      <c r="E88" s="6" t="str">
        <f>IFERROR(INDEX([1]VehiclesUniverse!$B$2:$EU$700,MATCH(C88,[1]VehiclesUniverse!$A$2:$A$700,0),MATCH($E$1,[1]VehiclesUniverse!$B$1:$EU$1,0)),"")</f>
        <v/>
      </c>
      <c r="F88" s="6" t="str">
        <f>IF(IFERROR(INDEX([1]VehiclesUniverse!$B$2:$EU$700,MATCH($C88,[1]VehiclesUniverse!$A$2:$A$700,0),MATCH($F$1,[1]VehiclesUniverse!$B$1:$EU$1,0)),"")&lt;&gt;0,(IFERROR(INDEX([1]VehiclesUniverse!$B$2:$EU$700,MATCH($C88,[1]VehiclesUniverse!$A$2:$A$700,0),MATCH($F$1,[1]VehiclesUniverse!$B$1:$EU$1,0)),"")),"")</f>
        <v/>
      </c>
      <c r="G88" s="6" t="str">
        <f>IF(ISBLANK([1]NLFsmonkeyCompl!L89),"",[1]NLFsmonkeyCompl!L89)</f>
        <v>Closed end</v>
      </c>
      <c r="H88" s="6" t="str">
        <f>IFERROR(INDEX([1]VehiclesUniverse!$B$2:$EU$700,MATCH(C88,[1]VehiclesUniverse!$A$2:$A$700,0),MATCH($H$1,[1]VehiclesUniverse!$B$1:$EU$1,0)),"")</f>
        <v/>
      </c>
      <c r="I88" s="6" t="str">
        <f>IF(ISBLANK([1]NLFsmonkeyCompl!M89),"",[1]NLFsmonkeyCompl!M89)</f>
        <v>Yes</v>
      </c>
      <c r="J88" s="6" t="str">
        <f>IF(ISBLANK([1]NLFsmonkeyCompl!N89),"",[1]NLFsmonkeyCompl!N89)</f>
        <v/>
      </c>
      <c r="K88" s="6" t="str">
        <f>IF(ISBLANK([1]NLFsmonkeyCompl!O89),"",[1]NLFsmonkeyCompl!O89)</f>
        <v/>
      </c>
      <c r="L88" s="6" t="str">
        <f>IFERROR(INDEX([1]VehiclesUniverse!$B$2:$EU$700,MATCH(C88,[1]VehiclesUniverse!$A$2:$A$700,0),MATCH($L$1,[1]VehiclesUniverse!$B$1:$EU$1,0)),"")</f>
        <v/>
      </c>
      <c r="M88" s="16" t="str">
        <f>IFERROR(VLOOKUP(L88,'[1]Xrate31.12.20'!$K$2:$N$25,3,0),"")</f>
        <v/>
      </c>
      <c r="N88" s="8" t="str">
        <f>IFERROR(IF(ISBLANK([1]NLFsmonkeyCompl!P89),"",[1]NLFsmonkeyCompl!P89*$M88),"")</f>
        <v/>
      </c>
      <c r="O88" s="8" t="str">
        <f>IFERROR(IF(ISBLANK([1]NLFsmonkeyCompl!Q89),"",[1]NLFsmonkeyCompl!Q89*$M88),"")</f>
        <v/>
      </c>
      <c r="P88" s="8" t="str">
        <f>IFERROR(IF(ISBLANK([1]NLFsmonkeyCompl!R89),"",[1]NLFsmonkeyCompl!R89*$M88),"")</f>
        <v/>
      </c>
      <c r="Q88" s="8" t="str">
        <f>IFERROR(IF(ISBLANK([1]NLFsmonkeyCompl!S89),"",[1]NLFsmonkeyCompl!S89*$M88),"")</f>
        <v/>
      </c>
      <c r="R88" s="8" t="str">
        <f>IFERROR(IF(ISBLANK([1]NLFsmonkeyCompl!T89),"",[1]NLFsmonkeyCompl!T89*$M88),"")</f>
        <v/>
      </c>
      <c r="S88" s="8" t="str">
        <f>IFERROR(IF(ISBLANK([1]NLFsmonkeyCompl!U89),"",[1]NLFsmonkeyCompl!U89*$M88),"")</f>
        <v/>
      </c>
      <c r="T88" s="8" t="str">
        <f>IFERROR(IF(ISBLANK([1]NLFsmonkeyCompl!V89),"",[1]NLFsmonkeyCompl!V89*$M88),"")</f>
        <v/>
      </c>
      <c r="U88" s="8" t="str">
        <f>IFERROR(IF(ISBLANK([1]NLFsmonkeyCompl!W89),"",[1]NLFsmonkeyCompl!W89*$M88),"")</f>
        <v/>
      </c>
      <c r="V88" s="8" t="str">
        <f>IFERROR(IF(ISBLANK([1]NLFsmonkeyCompl!X89),"",[1]NLFsmonkeyCompl!X89*$M88),"")</f>
        <v/>
      </c>
      <c r="W88" s="8" t="str">
        <f>IFERROR(IF(ISBLANK([1]NLFsmonkeyCompl!Y89),"",[1]NLFsmonkeyCompl!Y89*$M88),"")</f>
        <v/>
      </c>
      <c r="X88" s="8" t="str">
        <f>IFERROR(IF(ISBLANK([1]NLFsmonkeyCompl!Z89),"",[1]NLFsmonkeyCompl!Z89*$M88),"")</f>
        <v/>
      </c>
      <c r="Y88" s="8" t="str">
        <f>IFERROR(IF(ISBLANK([1]NLFsmonkeyCompl!AA89),"",[1]NLFsmonkeyCompl!AA89*$M88),"")</f>
        <v/>
      </c>
      <c r="Z88" s="8" t="str">
        <f>IFERROR(IF(ISBLANK([1]NLFsmonkeyCompl!AB89),"",[1]NLFsmonkeyCompl!AB89*$M88),"")</f>
        <v/>
      </c>
      <c r="AA88" s="8" t="str">
        <f>IFERROR(IF(ISBLANK([1]NLFsmonkeyCompl!AC89),"",[1]NLFsmonkeyCompl!AC89*$M88),"")</f>
        <v/>
      </c>
      <c r="AB88" s="8" t="str">
        <f>IFERROR(IF(ISBLANK([1]NLFsmonkeyCompl!AD89),"",[1]NLFsmonkeyCompl!AD89),"")</f>
        <v/>
      </c>
      <c r="AC88" s="8" t="str">
        <f>IFERROR(IF(ISBLANK([1]NLFsmonkeyCompl!AE89),"",[1]NLFsmonkeyCompl!AE89),"")</f>
        <v/>
      </c>
      <c r="AD88" s="8">
        <f>IFERROR(IF(ISBLANK([1]NLFsmonkeyCompl!AF89),"",[1]NLFsmonkeyCompl!AF89),"")</f>
        <v>100</v>
      </c>
      <c r="AE88" s="8" t="str">
        <f>IFERROR(IF(ISBLANK([1]NLFsmonkeyCompl!AG89),"",[1]NLFsmonkeyCompl!AG89),"")</f>
        <v/>
      </c>
      <c r="AF88" s="8" t="str">
        <f>IFERROR(IF(ISBLANK([1]NLFsmonkeyCompl!AH89),"",[1]NLFsmonkeyCompl!AH89),"")</f>
        <v>Increase</v>
      </c>
      <c r="AG88" s="8" t="str">
        <f>IFERROR(IF(ISBLANK([1]NLFsmonkeyCompl!AI89),"",[1]NLFsmonkeyCompl!AI89),"")</f>
        <v>Yes</v>
      </c>
    </row>
    <row r="89" spans="1:33" x14ac:dyDescent="0.2">
      <c r="A89" s="5" t="str">
        <f>IF(OR(ISTEXT([1]NLFsmonkeyCompl!J90),ISNUMBER([1]NLFsmonkeyCompl!J90)),[1]NLFsmonkeyCompl!J90,"")</f>
        <v>DNB REIM</v>
      </c>
      <c r="B89" s="6" t="str">
        <f>IF(OR(ISTEXT([1]NLFsmonkeyCompl!K90),ISNUMBER([1]NLFsmonkeyCompl!K90)),[1]NLFsmonkeyCompl!K90,"")</f>
        <v>DNB Scandinavian Property Fund</v>
      </c>
      <c r="C89" s="6">
        <v>17499</v>
      </c>
      <c r="D89" s="6" t="str">
        <f>IFERROR(INDEX([1]VehiclesUniverse!$B$2:$EU$700,MATCH(C89,[1]VehiclesUniverse!$A$2:$A$700,0),MATCH($D$1,[1]VehiclesUniverse!$B$1:$EU$1,0)),"")</f>
        <v>Core</v>
      </c>
      <c r="E89" s="6" t="str">
        <f>IFERROR(INDEX([1]VehiclesUniverse!$B$2:$EU$700,MATCH(C89,[1]VehiclesUniverse!$A$2:$A$700,0),MATCH($E$1,[1]VehiclesUniverse!$B$1:$EU$1,0)),"")</f>
        <v>multi country</v>
      </c>
      <c r="F89" s="6" t="str">
        <f>IF(IFERROR(INDEX([1]VehiclesUniverse!$B$2:$EU$700,MATCH($C89,[1]VehiclesUniverse!$A$2:$A$700,0),MATCH($F$1,[1]VehiclesUniverse!$B$1:$EU$1,0)),"")&lt;&gt;0,(IFERROR(INDEX([1]VehiclesUniverse!$B$2:$EU$700,MATCH($C89,[1]VehiclesUniverse!$A$2:$A$700,0),MATCH($F$1,[1]VehiclesUniverse!$B$1:$EU$1,0)),"")),"")</f>
        <v/>
      </c>
      <c r="G89" s="6" t="str">
        <f>IF(ISBLANK([1]NLFsmonkeyCompl!L90),"",[1]NLFsmonkeyCompl!L90)</f>
        <v>Open end</v>
      </c>
      <c r="H89" s="6">
        <f>IFERROR(INDEX([1]VehiclesUniverse!$B$2:$EU$700,MATCH(C89,[1]VehiclesUniverse!$A$2:$A$700,0),MATCH($H$1,[1]VehiclesUniverse!$B$1:$EU$1,0)),"")</f>
        <v>2007</v>
      </c>
      <c r="I89" s="6" t="str">
        <f>IF(ISBLANK([1]NLFsmonkeyCompl!M90),"",[1]NLFsmonkeyCompl!M90)</f>
        <v>No</v>
      </c>
      <c r="J89" s="6" t="str">
        <f>IF(ISBLANK([1]NLFsmonkeyCompl!N90),"",[1]NLFsmonkeyCompl!N90)</f>
        <v>Other (please specify)</v>
      </c>
      <c r="K89" s="6" t="str">
        <f>IF(ISBLANK([1]NLFsmonkeyCompl!O90),"",[1]NLFsmonkeyCompl!O90)</f>
        <v>Covid 19</v>
      </c>
      <c r="L89" s="6" t="str">
        <f>IFERROR(INDEX([1]VehiclesUniverse!$B$2:$EU$700,MATCH(C89,[1]VehiclesUniverse!$A$2:$A$700,0),MATCH($L$1,[1]VehiclesUniverse!$B$1:$EU$1,0)),"")</f>
        <v>NOK</v>
      </c>
      <c r="M89" s="16">
        <f>IFERROR(VLOOKUP(L89,'[1]Xrate31.12.20'!$K$2:$N$25,3,0),"")</f>
        <v>9.5415699000000007E-2</v>
      </c>
      <c r="N89" s="8" t="str">
        <f>IFERROR(IF(ISBLANK([1]NLFsmonkeyCompl!P90),"",[1]NLFsmonkeyCompl!P90*$M89),"")</f>
        <v/>
      </c>
      <c r="O89" s="8" t="str">
        <f>IFERROR(IF(ISBLANK([1]NLFsmonkeyCompl!Q90),"",[1]NLFsmonkeyCompl!Q90*$M89),"")</f>
        <v/>
      </c>
      <c r="P89" s="8" t="str">
        <f>IFERROR(IF(ISBLANK([1]NLFsmonkeyCompl!R90),"",[1]NLFsmonkeyCompl!R90*$M89),"")</f>
        <v/>
      </c>
      <c r="Q89" s="8" t="str">
        <f>IFERROR(IF(ISBLANK([1]NLFsmonkeyCompl!S90),"",[1]NLFsmonkeyCompl!S90*$M89),"")</f>
        <v/>
      </c>
      <c r="R89" s="8" t="str">
        <f>IFERROR(IF(ISBLANK([1]NLFsmonkeyCompl!T90),"",[1]NLFsmonkeyCompl!T90*$M89),"")</f>
        <v/>
      </c>
      <c r="S89" s="8" t="str">
        <f>IFERROR(IF(ISBLANK([1]NLFsmonkeyCompl!U90),"",[1]NLFsmonkeyCompl!U90*$M89),"")</f>
        <v/>
      </c>
      <c r="T89" s="8" t="str">
        <f>IFERROR(IF(ISBLANK([1]NLFsmonkeyCompl!V90),"",[1]NLFsmonkeyCompl!V90*$M89),"")</f>
        <v/>
      </c>
      <c r="U89" s="8" t="str">
        <f>IFERROR(IF(ISBLANK([1]NLFsmonkeyCompl!W90),"",[1]NLFsmonkeyCompl!W90*$M89),"")</f>
        <v/>
      </c>
      <c r="V89" s="8" t="str">
        <f>IFERROR(IF(ISBLANK([1]NLFsmonkeyCompl!X90),"",[1]NLFsmonkeyCompl!X90*$M89),"")</f>
        <v/>
      </c>
      <c r="W89" s="8" t="str">
        <f>IFERROR(IF(ISBLANK([1]NLFsmonkeyCompl!Y90),"",[1]NLFsmonkeyCompl!Y90*$M89),"")</f>
        <v/>
      </c>
      <c r="X89" s="8" t="str">
        <f>IFERROR(IF(ISBLANK([1]NLFsmonkeyCompl!Z90),"",[1]NLFsmonkeyCompl!Z90*$M89),"")</f>
        <v/>
      </c>
      <c r="Y89" s="8" t="str">
        <f>IFERROR(IF(ISBLANK([1]NLFsmonkeyCompl!AA90),"",[1]NLFsmonkeyCompl!AA90*$M89),"")</f>
        <v/>
      </c>
      <c r="Z89" s="8" t="str">
        <f>IFERROR(IF(ISBLANK([1]NLFsmonkeyCompl!AB90),"",[1]NLFsmonkeyCompl!AB90*$M89),"")</f>
        <v/>
      </c>
      <c r="AA89" s="8" t="str">
        <f>IFERROR(IF(ISBLANK([1]NLFsmonkeyCompl!AC90),"",[1]NLFsmonkeyCompl!AC90*$M89),"")</f>
        <v/>
      </c>
      <c r="AB89" s="8" t="str">
        <f>IFERROR(IF(ISBLANK([1]NLFsmonkeyCompl!AD90),"",[1]NLFsmonkeyCompl!AD90),"")</f>
        <v/>
      </c>
      <c r="AC89" s="8" t="str">
        <f>IFERROR(IF(ISBLANK([1]NLFsmonkeyCompl!AE90),"",[1]NLFsmonkeyCompl!AE90),"")</f>
        <v/>
      </c>
      <c r="AD89" s="8" t="str">
        <f>IFERROR(IF(ISBLANK([1]NLFsmonkeyCompl!AF90),"",[1]NLFsmonkeyCompl!AF90),"")</f>
        <v/>
      </c>
      <c r="AE89" s="8" t="str">
        <f>IFERROR(IF(ISBLANK([1]NLFsmonkeyCompl!AG90),"",[1]NLFsmonkeyCompl!AG90),"")</f>
        <v/>
      </c>
      <c r="AF89" s="8" t="str">
        <f>IFERROR(IF(ISBLANK([1]NLFsmonkeyCompl!AH90),"",[1]NLFsmonkeyCompl!AH90),"")</f>
        <v>Increase</v>
      </c>
      <c r="AG89" s="8" t="str">
        <f>IFERROR(IF(ISBLANK([1]NLFsmonkeyCompl!AI90),"",[1]NLFsmonkeyCompl!AI90),"")</f>
        <v>Yes</v>
      </c>
    </row>
    <row r="90" spans="1:33" x14ac:dyDescent="0.2">
      <c r="A90" s="5" t="str">
        <f>IF(OR(ISTEXT([1]NLFsmonkeyCompl!J91),ISNUMBER([1]NLFsmonkeyCompl!J91)),[1]NLFsmonkeyCompl!J91,"")</f>
        <v>DNB REIM</v>
      </c>
      <c r="B90" s="6" t="str">
        <f>IF(OR(ISTEXT([1]NLFsmonkeyCompl!K91),ISNUMBER([1]NLFsmonkeyCompl!K91)),[1]NLFsmonkeyCompl!K91,"")</f>
        <v>DNB Scandinavian Property Fund</v>
      </c>
      <c r="C90" s="6">
        <v>17499</v>
      </c>
      <c r="D90" s="6" t="str">
        <f>IFERROR(INDEX([1]VehiclesUniverse!$B$2:$EU$700,MATCH(C90,[1]VehiclesUniverse!$A$2:$A$700,0),MATCH($D$1,[1]VehiclesUniverse!$B$1:$EU$1,0)),"")</f>
        <v>Core</v>
      </c>
      <c r="E90" s="6" t="str">
        <f>IFERROR(INDEX([1]VehiclesUniverse!$B$2:$EU$700,MATCH(C90,[1]VehiclesUniverse!$A$2:$A$700,0),MATCH($E$1,[1]VehiclesUniverse!$B$1:$EU$1,0)),"")</f>
        <v>multi country</v>
      </c>
      <c r="F90" s="6" t="str">
        <f>IF(IFERROR(INDEX([1]VehiclesUniverse!$B$2:$EU$700,MATCH($C90,[1]VehiclesUniverse!$A$2:$A$700,0),MATCH($F$1,[1]VehiclesUniverse!$B$1:$EU$1,0)),"")&lt;&gt;0,(IFERROR(INDEX([1]VehiclesUniverse!$B$2:$EU$700,MATCH($C90,[1]VehiclesUniverse!$A$2:$A$700,0),MATCH($F$1,[1]VehiclesUniverse!$B$1:$EU$1,0)),"")),"")</f>
        <v/>
      </c>
      <c r="G90" s="6" t="str">
        <f>IF(ISBLANK([1]NLFsmonkeyCompl!L91),"",[1]NLFsmonkeyCompl!L91)</f>
        <v>Open end</v>
      </c>
      <c r="H90" s="6">
        <f>IFERROR(INDEX([1]VehiclesUniverse!$B$2:$EU$700,MATCH(C90,[1]VehiclesUniverse!$A$2:$A$700,0),MATCH($H$1,[1]VehiclesUniverse!$B$1:$EU$1,0)),"")</f>
        <v>2007</v>
      </c>
      <c r="I90" s="6" t="str">
        <f>IF(ISBLANK([1]NLFsmonkeyCompl!M91),"",[1]NLFsmonkeyCompl!M91)</f>
        <v>Yes</v>
      </c>
      <c r="J90" s="6" t="str">
        <f>IF(ISBLANK([1]NLFsmonkeyCompl!N91),"",[1]NLFsmonkeyCompl!N91)</f>
        <v/>
      </c>
      <c r="K90" s="6" t="str">
        <f>IF(ISBLANK([1]NLFsmonkeyCompl!O91),"",[1]NLFsmonkeyCompl!O91)</f>
        <v/>
      </c>
      <c r="L90" s="6" t="str">
        <f>IFERROR(INDEX([1]VehiclesUniverse!$B$2:$EU$700,MATCH(C90,[1]VehiclesUniverse!$A$2:$A$700,0),MATCH($L$1,[1]VehiclesUniverse!$B$1:$EU$1,0)),"")</f>
        <v>NOK</v>
      </c>
      <c r="M90" s="16">
        <f>IFERROR(VLOOKUP(L90,'[1]Xrate31.12.20'!$K$2:$N$25,3,0),"")</f>
        <v>9.5415699000000007E-2</v>
      </c>
      <c r="N90" s="8" t="str">
        <f>IFERROR(IF(ISBLANK([1]NLFsmonkeyCompl!P91),"",[1]NLFsmonkeyCompl!P91*$M90),"")</f>
        <v/>
      </c>
      <c r="O90" s="8" t="str">
        <f>IFERROR(IF(ISBLANK([1]NLFsmonkeyCompl!Q91),"",[1]NLFsmonkeyCompl!Q91*$M90),"")</f>
        <v/>
      </c>
      <c r="P90" s="8" t="str">
        <f>IFERROR(IF(ISBLANK([1]NLFsmonkeyCompl!R91),"",[1]NLFsmonkeyCompl!R91*$M90),"")</f>
        <v/>
      </c>
      <c r="Q90" s="8" t="str">
        <f>IFERROR(IF(ISBLANK([1]NLFsmonkeyCompl!S91),"",[1]NLFsmonkeyCompl!S91*$M90),"")</f>
        <v/>
      </c>
      <c r="R90" s="8" t="str">
        <f>IFERROR(IF(ISBLANK([1]NLFsmonkeyCompl!T91),"",[1]NLFsmonkeyCompl!T91*$M90),"")</f>
        <v/>
      </c>
      <c r="S90" s="8" t="str">
        <f>IFERROR(IF(ISBLANK([1]NLFsmonkeyCompl!U91),"",[1]NLFsmonkeyCompl!U91*$M90),"")</f>
        <v/>
      </c>
      <c r="T90" s="8" t="str">
        <f>IFERROR(IF(ISBLANK([1]NLFsmonkeyCompl!V91),"",[1]NLFsmonkeyCompl!V91*$M90),"")</f>
        <v/>
      </c>
      <c r="U90" s="8" t="str">
        <f>IFERROR(IF(ISBLANK([1]NLFsmonkeyCompl!W91),"",[1]NLFsmonkeyCompl!W91*$M90),"")</f>
        <v/>
      </c>
      <c r="V90" s="8" t="str">
        <f>IFERROR(IF(ISBLANK([1]NLFsmonkeyCompl!X91),"",[1]NLFsmonkeyCompl!X91*$M90),"")</f>
        <v/>
      </c>
      <c r="W90" s="8" t="str">
        <f>IFERROR(IF(ISBLANK([1]NLFsmonkeyCompl!Y91),"",[1]NLFsmonkeyCompl!Y91*$M90),"")</f>
        <v/>
      </c>
      <c r="X90" s="8" t="str">
        <f>IFERROR(IF(ISBLANK([1]NLFsmonkeyCompl!Z91),"",[1]NLFsmonkeyCompl!Z91*$M90),"")</f>
        <v/>
      </c>
      <c r="Y90" s="8" t="str">
        <f>IFERROR(IF(ISBLANK([1]NLFsmonkeyCompl!AA91),"",[1]NLFsmonkeyCompl!AA91*$M90),"")</f>
        <v/>
      </c>
      <c r="Z90" s="8" t="str">
        <f>IFERROR(IF(ISBLANK([1]NLFsmonkeyCompl!AB91),"",[1]NLFsmonkeyCompl!AB91*$M90),"")</f>
        <v/>
      </c>
      <c r="AA90" s="8" t="str">
        <f>IFERROR(IF(ISBLANK([1]NLFsmonkeyCompl!AC91),"",[1]NLFsmonkeyCompl!AC91*$M90),"")</f>
        <v/>
      </c>
      <c r="AB90" s="8" t="str">
        <f>IFERROR(IF(ISBLANK([1]NLFsmonkeyCompl!AD91),"",[1]NLFsmonkeyCompl!AD91),"")</f>
        <v/>
      </c>
      <c r="AC90" s="8" t="str">
        <f>IFERROR(IF(ISBLANK([1]NLFsmonkeyCompl!AE91),"",[1]NLFsmonkeyCompl!AE91),"")</f>
        <v/>
      </c>
      <c r="AD90" s="8" t="str">
        <f>IFERROR(IF(ISBLANK([1]NLFsmonkeyCompl!AF91),"",[1]NLFsmonkeyCompl!AF91),"")</f>
        <v/>
      </c>
      <c r="AE90" s="8" t="str">
        <f>IFERROR(IF(ISBLANK([1]NLFsmonkeyCompl!AG91),"",[1]NLFsmonkeyCompl!AG91),"")</f>
        <v/>
      </c>
      <c r="AF90" s="8" t="str">
        <f>IFERROR(IF(ISBLANK([1]NLFsmonkeyCompl!AH91),"",[1]NLFsmonkeyCompl!AH91),"")</f>
        <v/>
      </c>
      <c r="AG90" s="8" t="str">
        <f>IFERROR(IF(ISBLANK([1]NLFsmonkeyCompl!AI91),"",[1]NLFsmonkeyCompl!AI91),"")</f>
        <v/>
      </c>
    </row>
    <row r="91" spans="1:33" x14ac:dyDescent="0.2">
      <c r="A91" s="5" t="str">
        <f>IF(OR(ISTEXT([1]NLFsmonkeyCompl!J92),ISNUMBER([1]NLFsmonkeyCompl!J92)),[1]NLFsmonkeyCompl!J92,"")</f>
        <v>Harbert Management Corporation ("HMC")</v>
      </c>
      <c r="B91" s="6" t="str">
        <f>IF(OR(ISTEXT([1]NLFsmonkeyCompl!K92),ISNUMBER([1]NLFsmonkeyCompl!K92)),[1]NLFsmonkeyCompl!K92,"")</f>
        <v>Harbert European Real Estate Fund V</v>
      </c>
      <c r="C91" s="6">
        <v>19580</v>
      </c>
      <c r="D91" s="6" t="str">
        <f>IFERROR(INDEX([1]VehiclesUniverse!$B$2:$EU$700,MATCH(C91,[1]VehiclesUniverse!$A$2:$A$700,0),MATCH($D$1,[1]VehiclesUniverse!$B$1:$EU$1,0)),"")</f>
        <v>Value-added</v>
      </c>
      <c r="E91" s="6" t="str">
        <f>IFERROR(INDEX([1]VehiclesUniverse!$B$2:$EU$700,MATCH(C91,[1]VehiclesUniverse!$A$2:$A$700,0),MATCH($E$1,[1]VehiclesUniverse!$B$1:$EU$1,0)),"")</f>
        <v>multi country</v>
      </c>
      <c r="F91" s="6" t="str">
        <f>IF(IFERROR(INDEX([1]VehiclesUniverse!$B$2:$EU$700,MATCH($C91,[1]VehiclesUniverse!$A$2:$A$700,0),MATCH($F$1,[1]VehiclesUniverse!$B$1:$EU$1,0)),"")&lt;&gt;0,(IFERROR(INDEX([1]VehiclesUniverse!$B$2:$EU$700,MATCH($C91,[1]VehiclesUniverse!$A$2:$A$700,0),MATCH($F$1,[1]VehiclesUniverse!$B$1:$EU$1,0)),"")),"")</f>
        <v/>
      </c>
      <c r="G91" s="6" t="str">
        <f>IF(ISBLANK([1]NLFsmonkeyCompl!L92),"",[1]NLFsmonkeyCompl!L92)</f>
        <v>Closed end</v>
      </c>
      <c r="H91" s="6">
        <f>IFERROR(INDEX([1]VehiclesUniverse!$B$2:$EU$700,MATCH(C91,[1]VehiclesUniverse!$A$2:$A$700,0),MATCH($H$1,[1]VehiclesUniverse!$B$1:$EU$1,0)),"")</f>
        <v>2017</v>
      </c>
      <c r="I91" s="6" t="str">
        <f>IF(ISBLANK([1]NLFsmonkeyCompl!M92),"",[1]NLFsmonkeyCompl!M92)</f>
        <v>No</v>
      </c>
      <c r="J91" s="6" t="str">
        <f>IF(ISBLANK([1]NLFsmonkeyCompl!N92),"",[1]NLFsmonkeyCompl!N92)</f>
        <v>Other (please specify)</v>
      </c>
      <c r="K91" s="6" t="str">
        <f>IF(ISBLANK([1]NLFsmonkeyCompl!O92),"",[1]NLFsmonkeyCompl!O92)</f>
        <v>The fund isn't raising capital anymore</v>
      </c>
      <c r="L91" s="6" t="str">
        <f>IFERROR(INDEX([1]VehiclesUniverse!$B$2:$EU$700,MATCH(C91,[1]VehiclesUniverse!$A$2:$A$700,0),MATCH($L$1,[1]VehiclesUniverse!$B$1:$EU$1,0)),"")</f>
        <v>EUR</v>
      </c>
      <c r="M91" s="16">
        <f>IFERROR(VLOOKUP(L91,'[1]Xrate31.12.20'!$K$2:$N$25,3,0),"")</f>
        <v>1</v>
      </c>
      <c r="N91" s="8" t="str">
        <f>IFERROR(IF(ISBLANK([1]NLFsmonkeyCompl!P92),"",[1]NLFsmonkeyCompl!P92*$M91),"")</f>
        <v/>
      </c>
      <c r="O91" s="8" t="str">
        <f>IFERROR(IF(ISBLANK([1]NLFsmonkeyCompl!Q92),"",[1]NLFsmonkeyCompl!Q92*$M91),"")</f>
        <v/>
      </c>
      <c r="P91" s="8" t="str">
        <f>IFERROR(IF(ISBLANK([1]NLFsmonkeyCompl!R92),"",[1]NLFsmonkeyCompl!R92*$M91),"")</f>
        <v/>
      </c>
      <c r="Q91" s="8" t="str">
        <f>IFERROR(IF(ISBLANK([1]NLFsmonkeyCompl!S92),"",[1]NLFsmonkeyCompl!S92*$M91),"")</f>
        <v/>
      </c>
      <c r="R91" s="8" t="str">
        <f>IFERROR(IF(ISBLANK([1]NLFsmonkeyCompl!T92),"",[1]NLFsmonkeyCompl!T92*$M91),"")</f>
        <v/>
      </c>
      <c r="S91" s="8" t="str">
        <f>IFERROR(IF(ISBLANK([1]NLFsmonkeyCompl!U92),"",[1]NLFsmonkeyCompl!U92*$M91),"")</f>
        <v/>
      </c>
      <c r="T91" s="8" t="str">
        <f>IFERROR(IF(ISBLANK([1]NLFsmonkeyCompl!V92),"",[1]NLFsmonkeyCompl!V92*$M91),"")</f>
        <v/>
      </c>
      <c r="U91" s="8" t="str">
        <f>IFERROR(IF(ISBLANK([1]NLFsmonkeyCompl!W92),"",[1]NLFsmonkeyCompl!W92*$M91),"")</f>
        <v/>
      </c>
      <c r="V91" s="8" t="str">
        <f>IFERROR(IF(ISBLANK([1]NLFsmonkeyCompl!X92),"",[1]NLFsmonkeyCompl!X92*$M91),"")</f>
        <v/>
      </c>
      <c r="W91" s="8" t="str">
        <f>IFERROR(IF(ISBLANK([1]NLFsmonkeyCompl!Y92),"",[1]NLFsmonkeyCompl!Y92*$M91),"")</f>
        <v/>
      </c>
      <c r="X91" s="8" t="str">
        <f>IFERROR(IF(ISBLANK([1]NLFsmonkeyCompl!Z92),"",[1]NLFsmonkeyCompl!Z92*$M91),"")</f>
        <v/>
      </c>
      <c r="Y91" s="8" t="str">
        <f>IFERROR(IF(ISBLANK([1]NLFsmonkeyCompl!AA92),"",[1]NLFsmonkeyCompl!AA92*$M91),"")</f>
        <v/>
      </c>
      <c r="Z91" s="8" t="str">
        <f>IFERROR(IF(ISBLANK([1]NLFsmonkeyCompl!AB92),"",[1]NLFsmonkeyCompl!AB92*$M91),"")</f>
        <v/>
      </c>
      <c r="AA91" s="8" t="str">
        <f>IFERROR(IF(ISBLANK([1]NLFsmonkeyCompl!AC92),"",[1]NLFsmonkeyCompl!AC92*$M91),"")</f>
        <v/>
      </c>
      <c r="AB91" s="8" t="str">
        <f>IFERROR(IF(ISBLANK([1]NLFsmonkeyCompl!AD92),"",[1]NLFsmonkeyCompl!AD92),"")</f>
        <v/>
      </c>
      <c r="AC91" s="8" t="str">
        <f>IFERROR(IF(ISBLANK([1]NLFsmonkeyCompl!AE92),"",[1]NLFsmonkeyCompl!AE92),"")</f>
        <v/>
      </c>
      <c r="AD91" s="8" t="str">
        <f>IFERROR(IF(ISBLANK([1]NLFsmonkeyCompl!AF92),"",[1]NLFsmonkeyCompl!AF92),"")</f>
        <v/>
      </c>
      <c r="AE91" s="8" t="str">
        <f>IFERROR(IF(ISBLANK([1]NLFsmonkeyCompl!AG92),"",[1]NLFsmonkeyCompl!AG92),"")</f>
        <v/>
      </c>
      <c r="AF91" s="8" t="str">
        <f>IFERROR(IF(ISBLANK([1]NLFsmonkeyCompl!AH92),"",[1]NLFsmonkeyCompl!AH92),"")</f>
        <v/>
      </c>
      <c r="AG91" s="8" t="str">
        <f>IFERROR(IF(ISBLANK([1]NLFsmonkeyCompl!AI92),"",[1]NLFsmonkeyCompl!AI92),"")</f>
        <v/>
      </c>
    </row>
    <row r="92" spans="1:33" x14ac:dyDescent="0.2">
      <c r="A92" s="5" t="str">
        <f>IF(OR(ISTEXT([1]NLFsmonkeyCompl!J93),ISNUMBER([1]NLFsmonkeyCompl!J93)),[1]NLFsmonkeyCompl!J93,"")</f>
        <v>GLP Management</v>
      </c>
      <c r="B92" s="6" t="str">
        <f>IF(OR(ISTEXT([1]NLFsmonkeyCompl!K93),ISNUMBER([1]NLFsmonkeyCompl!K93)),[1]NLFsmonkeyCompl!K93,"")</f>
        <v>GLP Europe Income Partners II SCSp</v>
      </c>
      <c r="C92" s="6">
        <v>19653</v>
      </c>
      <c r="D92" s="6" t="str">
        <f>IFERROR(INDEX([1]VehiclesUniverse!$B$2:$EU$700,MATCH(C92,[1]VehiclesUniverse!$A$2:$A$700,0),MATCH($D$1,[1]VehiclesUniverse!$B$1:$EU$1,0)),"")</f>
        <v>Core</v>
      </c>
      <c r="E92" s="6" t="str">
        <f>IFERROR(INDEX([1]VehiclesUniverse!$B$2:$EU$700,MATCH(C92,[1]VehiclesUniverse!$A$2:$A$700,0),MATCH($E$1,[1]VehiclesUniverse!$B$1:$EU$1,0)),"")</f>
        <v>multi country</v>
      </c>
      <c r="F92" s="6" t="str">
        <f>IF(IFERROR(INDEX([1]VehiclesUniverse!$B$2:$EU$700,MATCH($C92,[1]VehiclesUniverse!$A$2:$A$700,0),MATCH($F$1,[1]VehiclesUniverse!$B$1:$EU$1,0)),"")&lt;&gt;0,(IFERROR(INDEX([1]VehiclesUniverse!$B$2:$EU$700,MATCH($C92,[1]VehiclesUniverse!$A$2:$A$700,0),MATCH($F$1,[1]VehiclesUniverse!$B$1:$EU$1,0)),"")),"")</f>
        <v/>
      </c>
      <c r="G92" s="6" t="str">
        <f>IF(ISBLANK([1]NLFsmonkeyCompl!L93),"",[1]NLFsmonkeyCompl!L93)</f>
        <v>Closed end</v>
      </c>
      <c r="H92" s="6">
        <f>IFERROR(INDEX([1]VehiclesUniverse!$B$2:$EU$700,MATCH(C92,[1]VehiclesUniverse!$A$2:$A$700,0),MATCH($H$1,[1]VehiclesUniverse!$B$1:$EU$1,0)),"")</f>
        <v>2020</v>
      </c>
      <c r="I92" s="6" t="str">
        <f>IF(ISBLANK([1]NLFsmonkeyCompl!M93),"",[1]NLFsmonkeyCompl!M93)</f>
        <v>Yes</v>
      </c>
      <c r="J92" s="6" t="str">
        <f>IF(ISBLANK([1]NLFsmonkeyCompl!N93),"",[1]NLFsmonkeyCompl!N93)</f>
        <v/>
      </c>
      <c r="K92" s="6" t="str">
        <f>IF(ISBLANK([1]NLFsmonkeyCompl!O93),"",[1]NLFsmonkeyCompl!O93)</f>
        <v/>
      </c>
      <c r="L92" s="6" t="str">
        <f>IFERROR(INDEX([1]VehiclesUniverse!$B$2:$EU$700,MATCH(C92,[1]VehiclesUniverse!$A$2:$A$700,0),MATCH($L$1,[1]VehiclesUniverse!$B$1:$EU$1,0)),"")</f>
        <v>EUR</v>
      </c>
      <c r="M92" s="16">
        <f>IFERROR(VLOOKUP(L92,'[1]Xrate31.12.20'!$K$2:$N$25,3,0),"")</f>
        <v>1</v>
      </c>
      <c r="N92" s="8">
        <f>IFERROR(IF(ISBLANK([1]NLFsmonkeyCompl!P93),"",[1]NLFsmonkeyCompl!P93*$M92),"")</f>
        <v>1382</v>
      </c>
      <c r="O92" s="8">
        <f>IFERROR(IF(ISBLANK([1]NLFsmonkeyCompl!Q93),"",[1]NLFsmonkeyCompl!Q93*$M92),"")</f>
        <v>961</v>
      </c>
      <c r="P92" s="8">
        <f>IFERROR(IF(ISBLANK([1]NLFsmonkeyCompl!R93),"",[1]NLFsmonkeyCompl!R93*$M92),"")</f>
        <v>171</v>
      </c>
      <c r="Q92" s="8">
        <f>IFERROR(IF(ISBLANK([1]NLFsmonkeyCompl!S93),"",[1]NLFsmonkeyCompl!S93*$M92),"")</f>
        <v>250</v>
      </c>
      <c r="R92" s="8" t="str">
        <f>IFERROR(IF(ISBLANK([1]NLFsmonkeyCompl!T93),"",[1]NLFsmonkeyCompl!T93*$M92),"")</f>
        <v/>
      </c>
      <c r="S92" s="8" t="str">
        <f>IFERROR(IF(ISBLANK([1]NLFsmonkeyCompl!U93),"",[1]NLFsmonkeyCompl!U93*$M92),"")</f>
        <v/>
      </c>
      <c r="T92" s="8" t="str">
        <f>IFERROR(IF(ISBLANK([1]NLFsmonkeyCompl!V93),"",[1]NLFsmonkeyCompl!V93*$M92),"")</f>
        <v/>
      </c>
      <c r="U92" s="8" t="str">
        <f>IFERROR(IF(ISBLANK([1]NLFsmonkeyCompl!W93),"",[1]NLFsmonkeyCompl!W93*$M92),"")</f>
        <v/>
      </c>
      <c r="V92" s="8" t="str">
        <f>IFERROR(IF(ISBLANK([1]NLFsmonkeyCompl!X93),"",[1]NLFsmonkeyCompl!X93*$M92),"")</f>
        <v/>
      </c>
      <c r="W92" s="8">
        <f>IFERROR(IF(ISBLANK([1]NLFsmonkeyCompl!Y93),"",[1]NLFsmonkeyCompl!Y93*$M92),"")</f>
        <v>478</v>
      </c>
      <c r="X92" s="8">
        <f>IFERROR(IF(ISBLANK([1]NLFsmonkeyCompl!Z93),"",[1]NLFsmonkeyCompl!Z93*$M92),"")</f>
        <v>904</v>
      </c>
      <c r="Y92" s="8" t="str">
        <f>IFERROR(IF(ISBLANK([1]NLFsmonkeyCompl!AA93),"",[1]NLFsmonkeyCompl!AA93*$M92),"")</f>
        <v/>
      </c>
      <c r="Z92" s="8" t="str">
        <f>IFERROR(IF(ISBLANK([1]NLFsmonkeyCompl!AB93),"",[1]NLFsmonkeyCompl!AB93*$M92),"")</f>
        <v/>
      </c>
      <c r="AA92" s="8" t="str">
        <f>IFERROR(IF(ISBLANK([1]NLFsmonkeyCompl!AC93),"",[1]NLFsmonkeyCompl!AC93*$M92),"")</f>
        <v/>
      </c>
      <c r="AB92" s="8">
        <f>IFERROR(IF(ISBLANK([1]NLFsmonkeyCompl!AD93),"",[1]NLFsmonkeyCompl!AD93),"")</f>
        <v>27</v>
      </c>
      <c r="AC92" s="8" t="str">
        <f>IFERROR(IF(ISBLANK([1]NLFsmonkeyCompl!AE93),"",[1]NLFsmonkeyCompl!AE93),"")</f>
        <v/>
      </c>
      <c r="AD92" s="8">
        <f>IFERROR(IF(ISBLANK([1]NLFsmonkeyCompl!AF93),"",[1]NLFsmonkeyCompl!AF93),"")</f>
        <v>73</v>
      </c>
      <c r="AE92" s="8" t="str">
        <f>IFERROR(IF(ISBLANK([1]NLFsmonkeyCompl!AG93),"",[1]NLFsmonkeyCompl!AG93),"")</f>
        <v/>
      </c>
      <c r="AF92" s="8" t="str">
        <f>IFERROR(IF(ISBLANK([1]NLFsmonkeyCompl!AH93),"",[1]NLFsmonkeyCompl!AH93),"")</f>
        <v>Increase</v>
      </c>
      <c r="AG92" s="8" t="str">
        <f>IFERROR(IF(ISBLANK([1]NLFsmonkeyCompl!AI93),"",[1]NLFsmonkeyCompl!AI93),"")</f>
        <v>Yes</v>
      </c>
    </row>
    <row r="93" spans="1:33" x14ac:dyDescent="0.2">
      <c r="A93" s="5" t="str">
        <f>IF(OR(ISTEXT([1]NLFsmonkeyCompl!J94),ISNUMBER([1]NLFsmonkeyCompl!J94)),[1]NLFsmonkeyCompl!J94,"")</f>
        <v>Harbert Management Corporation ("HMC")</v>
      </c>
      <c r="B93" s="6" t="str">
        <f>IF(OR(ISTEXT([1]NLFsmonkeyCompl!K94),ISNUMBER([1]NLFsmonkeyCompl!K94)),[1]NLFsmonkeyCompl!K94,"")</f>
        <v>Harbert European Real Estate Fund V</v>
      </c>
      <c r="C93" s="6">
        <v>19580</v>
      </c>
      <c r="D93" s="6" t="str">
        <f>IFERROR(INDEX([1]VehiclesUniverse!$B$2:$EU$700,MATCH(C93,[1]VehiclesUniverse!$A$2:$A$700,0),MATCH($D$1,[1]VehiclesUniverse!$B$1:$EU$1,0)),"")</f>
        <v>Value-added</v>
      </c>
      <c r="E93" s="6" t="str">
        <f>IFERROR(INDEX([1]VehiclesUniverse!$B$2:$EU$700,MATCH(C93,[1]VehiclesUniverse!$A$2:$A$700,0),MATCH($E$1,[1]VehiclesUniverse!$B$1:$EU$1,0)),"")</f>
        <v>multi country</v>
      </c>
      <c r="F93" s="6" t="str">
        <f>IF(IFERROR(INDEX([1]VehiclesUniverse!$B$2:$EU$700,MATCH($C93,[1]VehiclesUniverse!$A$2:$A$700,0),MATCH($F$1,[1]VehiclesUniverse!$B$1:$EU$1,0)),"")&lt;&gt;0,(IFERROR(INDEX([1]VehiclesUniverse!$B$2:$EU$700,MATCH($C93,[1]VehiclesUniverse!$A$2:$A$700,0),MATCH($F$1,[1]VehiclesUniverse!$B$1:$EU$1,0)),"")),"")</f>
        <v/>
      </c>
      <c r="G93" s="6" t="str">
        <f>IF(ISBLANK([1]NLFsmonkeyCompl!L94),"",[1]NLFsmonkeyCompl!L94)</f>
        <v>Closed end</v>
      </c>
      <c r="H93" s="6">
        <f>IFERROR(INDEX([1]VehiclesUniverse!$B$2:$EU$700,MATCH(C93,[1]VehiclesUniverse!$A$2:$A$700,0),MATCH($H$1,[1]VehiclesUniverse!$B$1:$EU$1,0)),"")</f>
        <v>2017</v>
      </c>
      <c r="I93" s="6" t="str">
        <f>IF(ISBLANK([1]NLFsmonkeyCompl!M94),"",[1]NLFsmonkeyCompl!M94)</f>
        <v>No</v>
      </c>
      <c r="J93" s="6" t="str">
        <f>IF(ISBLANK([1]NLFsmonkeyCompl!N94),"",[1]NLFsmonkeyCompl!N94)</f>
        <v/>
      </c>
      <c r="K93" s="6" t="str">
        <f>IF(ISBLANK([1]NLFsmonkeyCompl!O94),"",[1]NLFsmonkeyCompl!O94)</f>
        <v/>
      </c>
      <c r="L93" s="6" t="str">
        <f>IFERROR(INDEX([1]VehiclesUniverse!$B$2:$EU$700,MATCH(C93,[1]VehiclesUniverse!$A$2:$A$700,0),MATCH($L$1,[1]VehiclesUniverse!$B$1:$EU$1,0)),"")</f>
        <v>EUR</v>
      </c>
      <c r="M93" s="16">
        <f>IFERROR(VLOOKUP(L93,'[1]Xrate31.12.20'!$K$2:$N$25,3,0),"")</f>
        <v>1</v>
      </c>
      <c r="N93" s="8" t="str">
        <f>IFERROR(IF(ISBLANK([1]NLFsmonkeyCompl!P94),"",[1]NLFsmonkeyCompl!P94*$M93),"")</f>
        <v/>
      </c>
      <c r="O93" s="8" t="str">
        <f>IFERROR(IF(ISBLANK([1]NLFsmonkeyCompl!Q94),"",[1]NLFsmonkeyCompl!Q94*$M93),"")</f>
        <v/>
      </c>
      <c r="P93" s="8" t="str">
        <f>IFERROR(IF(ISBLANK([1]NLFsmonkeyCompl!R94),"",[1]NLFsmonkeyCompl!R94*$M93),"")</f>
        <v/>
      </c>
      <c r="Q93" s="8" t="str">
        <f>IFERROR(IF(ISBLANK([1]NLFsmonkeyCompl!S94),"",[1]NLFsmonkeyCompl!S94*$M93),"")</f>
        <v/>
      </c>
      <c r="R93" s="8" t="str">
        <f>IFERROR(IF(ISBLANK([1]NLFsmonkeyCompl!T94),"",[1]NLFsmonkeyCompl!T94*$M93),"")</f>
        <v/>
      </c>
      <c r="S93" s="8" t="str">
        <f>IFERROR(IF(ISBLANK([1]NLFsmonkeyCompl!U94),"",[1]NLFsmonkeyCompl!U94*$M93),"")</f>
        <v/>
      </c>
      <c r="T93" s="8" t="str">
        <f>IFERROR(IF(ISBLANK([1]NLFsmonkeyCompl!V94),"",[1]NLFsmonkeyCompl!V94*$M93),"")</f>
        <v/>
      </c>
      <c r="U93" s="8" t="str">
        <f>IFERROR(IF(ISBLANK([1]NLFsmonkeyCompl!W94),"",[1]NLFsmonkeyCompl!W94*$M93),"")</f>
        <v/>
      </c>
      <c r="V93" s="8" t="str">
        <f>IFERROR(IF(ISBLANK([1]NLFsmonkeyCompl!X94),"",[1]NLFsmonkeyCompl!X94*$M93),"")</f>
        <v/>
      </c>
      <c r="W93" s="8" t="str">
        <f>IFERROR(IF(ISBLANK([1]NLFsmonkeyCompl!Y94),"",[1]NLFsmonkeyCompl!Y94*$M93),"")</f>
        <v/>
      </c>
      <c r="X93" s="8" t="str">
        <f>IFERROR(IF(ISBLANK([1]NLFsmonkeyCompl!Z94),"",[1]NLFsmonkeyCompl!Z94*$M93),"")</f>
        <v/>
      </c>
      <c r="Y93" s="8" t="str">
        <f>IFERROR(IF(ISBLANK([1]NLFsmonkeyCompl!AA94),"",[1]NLFsmonkeyCompl!AA94*$M93),"")</f>
        <v/>
      </c>
      <c r="Z93" s="8" t="str">
        <f>IFERROR(IF(ISBLANK([1]NLFsmonkeyCompl!AB94),"",[1]NLFsmonkeyCompl!AB94*$M93),"")</f>
        <v/>
      </c>
      <c r="AA93" s="8" t="str">
        <f>IFERROR(IF(ISBLANK([1]NLFsmonkeyCompl!AC94),"",[1]NLFsmonkeyCompl!AC94*$M93),"")</f>
        <v/>
      </c>
      <c r="AB93" s="8" t="str">
        <f>IFERROR(IF(ISBLANK([1]NLFsmonkeyCompl!AD94),"",[1]NLFsmonkeyCompl!AD94),"")</f>
        <v/>
      </c>
      <c r="AC93" s="8" t="str">
        <f>IFERROR(IF(ISBLANK([1]NLFsmonkeyCompl!AE94),"",[1]NLFsmonkeyCompl!AE94),"")</f>
        <v/>
      </c>
      <c r="AD93" s="8" t="str">
        <f>IFERROR(IF(ISBLANK([1]NLFsmonkeyCompl!AF94),"",[1]NLFsmonkeyCompl!AF94),"")</f>
        <v/>
      </c>
      <c r="AE93" s="8" t="str">
        <f>IFERROR(IF(ISBLANK([1]NLFsmonkeyCompl!AG94),"",[1]NLFsmonkeyCompl!AG94),"")</f>
        <v/>
      </c>
      <c r="AF93" s="8" t="str">
        <f>IFERROR(IF(ISBLANK([1]NLFsmonkeyCompl!AH94),"",[1]NLFsmonkeyCompl!AH94),"")</f>
        <v/>
      </c>
      <c r="AG93" s="8" t="str">
        <f>IFERROR(IF(ISBLANK([1]NLFsmonkeyCompl!AI94),"",[1]NLFsmonkeyCompl!AI94),"")</f>
        <v/>
      </c>
    </row>
    <row r="94" spans="1:33" x14ac:dyDescent="0.2">
      <c r="A94" s="5" t="str">
        <f>IF(OR(ISTEXT([1]NLFsmonkeyCompl!J95),ISNUMBER([1]NLFsmonkeyCompl!J95)),[1]NLFsmonkeyCompl!J95,"")</f>
        <v>Optimum Asset Management S.A.</v>
      </c>
      <c r="B94" s="6" t="str">
        <f>IF(OR(ISTEXT([1]NLFsmonkeyCompl!K95),ISNUMBER([1]NLFsmonkeyCompl!K95)),[1]NLFsmonkeyCompl!K95,"")</f>
        <v>Optimum Evolution Fund SIF - Property II</v>
      </c>
      <c r="C94" s="6">
        <v>19623</v>
      </c>
      <c r="D94" s="6" t="s">
        <v>45</v>
      </c>
      <c r="E94" s="6" t="s">
        <v>48</v>
      </c>
      <c r="F94" s="6" t="s">
        <v>57</v>
      </c>
      <c r="G94" s="6" t="str">
        <f>IF(ISBLANK([1]NLFsmonkeyCompl!L95),"",[1]NLFsmonkeyCompl!L95)</f>
        <v>Closed end</v>
      </c>
      <c r="H94" s="6">
        <v>2011</v>
      </c>
      <c r="I94" s="6" t="str">
        <f>IF(ISBLANK([1]NLFsmonkeyCompl!M95),"",[1]NLFsmonkeyCompl!M95)</f>
        <v>No</v>
      </c>
      <c r="J94" s="6" t="str">
        <f>IF(ISBLANK([1]NLFsmonkeyCompl!N95),"",[1]NLFsmonkeyCompl!N95)</f>
        <v>Corporate governance framework</v>
      </c>
      <c r="K94" s="6" t="str">
        <f>IF(ISBLANK([1]NLFsmonkeyCompl!O95),"",[1]NLFsmonkeyCompl!O95)</f>
        <v/>
      </c>
      <c r="L94" s="6" t="str">
        <f>IFERROR(INDEX([1]VehiclesUniverse!$B$2:$EU$700,MATCH(C94,[1]VehiclesUniverse!$A$2:$A$700,0),MATCH($L$1,[1]VehiclesUniverse!$B$1:$EU$1,0)),"")</f>
        <v/>
      </c>
      <c r="M94" s="16" t="str">
        <f>IFERROR(VLOOKUP(L94,'[1]Xrate31.12.20'!$K$2:$N$25,3,0),"")</f>
        <v/>
      </c>
      <c r="N94" s="8" t="str">
        <f>IFERROR(IF(ISBLANK([1]NLFsmonkeyCompl!P95),"",[1]NLFsmonkeyCompl!P95*$M94),"")</f>
        <v/>
      </c>
      <c r="O94" s="8" t="str">
        <f>IFERROR(IF(ISBLANK([1]NLFsmonkeyCompl!Q95),"",[1]NLFsmonkeyCompl!Q95*$M94),"")</f>
        <v/>
      </c>
      <c r="P94" s="8" t="str">
        <f>IFERROR(IF(ISBLANK([1]NLFsmonkeyCompl!R95),"",[1]NLFsmonkeyCompl!R95*$M94),"")</f>
        <v/>
      </c>
      <c r="Q94" s="8" t="str">
        <f>IFERROR(IF(ISBLANK([1]NLFsmonkeyCompl!S95),"",[1]NLFsmonkeyCompl!S95*$M94),"")</f>
        <v/>
      </c>
      <c r="R94" s="8" t="str">
        <f>IFERROR(IF(ISBLANK([1]NLFsmonkeyCompl!T95),"",[1]NLFsmonkeyCompl!T95*$M94),"")</f>
        <v/>
      </c>
      <c r="S94" s="8" t="str">
        <f>IFERROR(IF(ISBLANK([1]NLFsmonkeyCompl!U95),"",[1]NLFsmonkeyCompl!U95*$M94),"")</f>
        <v/>
      </c>
      <c r="T94" s="8" t="str">
        <f>IFERROR(IF(ISBLANK([1]NLFsmonkeyCompl!V95),"",[1]NLFsmonkeyCompl!V95*$M94),"")</f>
        <v/>
      </c>
      <c r="U94" s="8" t="str">
        <f>IFERROR(IF(ISBLANK([1]NLFsmonkeyCompl!W95),"",[1]NLFsmonkeyCompl!W95*$M94),"")</f>
        <v/>
      </c>
      <c r="V94" s="8" t="str">
        <f>IFERROR(IF(ISBLANK([1]NLFsmonkeyCompl!X95),"",[1]NLFsmonkeyCompl!X95*$M94),"")</f>
        <v/>
      </c>
      <c r="W94" s="8" t="str">
        <f>IFERROR(IF(ISBLANK([1]NLFsmonkeyCompl!Y95),"",[1]NLFsmonkeyCompl!Y95*$M94),"")</f>
        <v/>
      </c>
      <c r="X94" s="8" t="str">
        <f>IFERROR(IF(ISBLANK([1]NLFsmonkeyCompl!Z95),"",[1]NLFsmonkeyCompl!Z95*$M94),"")</f>
        <v/>
      </c>
      <c r="Y94" s="8" t="str">
        <f>IFERROR(IF(ISBLANK([1]NLFsmonkeyCompl!AA95),"",[1]NLFsmonkeyCompl!AA95*$M94),"")</f>
        <v/>
      </c>
      <c r="Z94" s="8" t="str">
        <f>IFERROR(IF(ISBLANK([1]NLFsmonkeyCompl!AB95),"",[1]NLFsmonkeyCompl!AB95*$M94),"")</f>
        <v/>
      </c>
      <c r="AA94" s="8" t="str">
        <f>IFERROR(IF(ISBLANK([1]NLFsmonkeyCompl!AC95),"",[1]NLFsmonkeyCompl!AC95*$M94),"")</f>
        <v/>
      </c>
      <c r="AB94" s="8" t="str">
        <f>IFERROR(IF(ISBLANK([1]NLFsmonkeyCompl!AD95),"",[1]NLFsmonkeyCompl!AD95),"")</f>
        <v/>
      </c>
      <c r="AC94" s="8" t="str">
        <f>IFERROR(IF(ISBLANK([1]NLFsmonkeyCompl!AE95),"",[1]NLFsmonkeyCompl!AE95),"")</f>
        <v/>
      </c>
      <c r="AD94" s="8" t="str">
        <f>IFERROR(IF(ISBLANK([1]NLFsmonkeyCompl!AF95),"",[1]NLFsmonkeyCompl!AF95),"")</f>
        <v/>
      </c>
      <c r="AE94" s="8" t="str">
        <f>IFERROR(IF(ISBLANK([1]NLFsmonkeyCompl!AG95),"",[1]NLFsmonkeyCompl!AG95),"")</f>
        <v/>
      </c>
      <c r="AF94" s="8" t="str">
        <f>IFERROR(IF(ISBLANK([1]NLFsmonkeyCompl!AH95),"",[1]NLFsmonkeyCompl!AH95),"")</f>
        <v/>
      </c>
      <c r="AG94" s="8" t="str">
        <f>IFERROR(IF(ISBLANK([1]NLFsmonkeyCompl!AI95),"",[1]NLFsmonkeyCompl!AI95),"")</f>
        <v/>
      </c>
    </row>
    <row r="95" spans="1:33" x14ac:dyDescent="0.2">
      <c r="A95" s="5" t="str">
        <f>IF(OR(ISTEXT([1]NLFsmonkeyCompl!J96),ISNUMBER([1]NLFsmonkeyCompl!J96)),[1]NLFsmonkeyCompl!J96,"")</f>
        <v>Invesco Real Estate</v>
      </c>
      <c r="B95" s="6" t="str">
        <f>IF(OR(ISTEXT([1]NLFsmonkeyCompl!K96),ISNUMBER([1]NLFsmonkeyCompl!K96)),[1]NLFsmonkeyCompl!K96,"")</f>
        <v>Invesco Real Estate - Global Direct Real Estate Fund</v>
      </c>
      <c r="C95" s="6" t="s">
        <v>60</v>
      </c>
      <c r="D95" s="6" t="str">
        <f>IFERROR(INDEX([1]VehiclesUniverse!$B$2:$EU$700,MATCH(C95,[1]VehiclesUniverse!$A$2:$A$700,0),MATCH($D$1,[1]VehiclesUniverse!$B$1:$EU$1,0)),"")</f>
        <v/>
      </c>
      <c r="E95" s="6" t="str">
        <f>IFERROR(INDEX([1]VehiclesUniverse!$B$2:$EU$700,MATCH(C95,[1]VehiclesUniverse!$A$2:$A$700,0),MATCH($E$1,[1]VehiclesUniverse!$B$1:$EU$1,0)),"")</f>
        <v/>
      </c>
      <c r="F95" s="6" t="str">
        <f>IF(IFERROR(INDEX([1]VehiclesUniverse!$B$2:$EU$700,MATCH($C95,[1]VehiclesUniverse!$A$2:$A$700,0),MATCH($F$1,[1]VehiclesUniverse!$B$1:$EU$1,0)),"")&lt;&gt;0,(IFERROR(INDEX([1]VehiclesUniverse!$B$2:$EU$700,MATCH($C95,[1]VehiclesUniverse!$A$2:$A$700,0),MATCH($F$1,[1]VehiclesUniverse!$B$1:$EU$1,0)),"")),"")</f>
        <v/>
      </c>
      <c r="G95" s="6" t="str">
        <f>IF(ISBLANK([1]NLFsmonkeyCompl!L96),"",[1]NLFsmonkeyCompl!L96)</f>
        <v>Open end</v>
      </c>
      <c r="H95" s="6" t="str">
        <f>IFERROR(INDEX([1]VehiclesUniverse!$B$2:$EU$700,MATCH(C95,[1]VehiclesUniverse!$A$2:$A$700,0),MATCH($H$1,[1]VehiclesUniverse!$B$1:$EU$1,0)),"")</f>
        <v/>
      </c>
      <c r="I95" s="6" t="str">
        <f>IF(ISBLANK([1]NLFsmonkeyCompl!M96),"",[1]NLFsmonkeyCompl!M96)</f>
        <v>Yes</v>
      </c>
      <c r="J95" s="6" t="str">
        <f>IF(ISBLANK([1]NLFsmonkeyCompl!N96),"",[1]NLFsmonkeyCompl!N96)</f>
        <v/>
      </c>
      <c r="K95" s="6" t="str">
        <f>IF(ISBLANK([1]NLFsmonkeyCompl!O96),"",[1]NLFsmonkeyCompl!O96)</f>
        <v/>
      </c>
      <c r="L95" s="6" t="str">
        <f>IFERROR(INDEX([1]VehiclesUniverse!$B$2:$EU$700,MATCH(C95,[1]VehiclesUniverse!$A$2:$A$700,0),MATCH($L$1,[1]VehiclesUniverse!$B$1:$EU$1,0)),"")</f>
        <v/>
      </c>
      <c r="M95" s="16" t="str">
        <f>IFERROR(VLOOKUP(L95,'[1]Xrate31.12.20'!$K$2:$N$25,3,0),"")</f>
        <v/>
      </c>
      <c r="N95" s="8" t="str">
        <f>IFERROR(IF(ISBLANK([1]NLFsmonkeyCompl!P96),"",[1]NLFsmonkeyCompl!P96*$M95),"")</f>
        <v/>
      </c>
      <c r="O95" s="8" t="str">
        <f>IFERROR(IF(ISBLANK([1]NLFsmonkeyCompl!Q96),"",[1]NLFsmonkeyCompl!Q96*$M95),"")</f>
        <v/>
      </c>
      <c r="P95" s="8" t="str">
        <f>IFERROR(IF(ISBLANK([1]NLFsmonkeyCompl!R96),"",[1]NLFsmonkeyCompl!R96*$M95),"")</f>
        <v/>
      </c>
      <c r="Q95" s="8" t="str">
        <f>IFERROR(IF(ISBLANK([1]NLFsmonkeyCompl!S96),"",[1]NLFsmonkeyCompl!S96*$M95),"")</f>
        <v/>
      </c>
      <c r="R95" s="8" t="str">
        <f>IFERROR(IF(ISBLANK([1]NLFsmonkeyCompl!T96),"",[1]NLFsmonkeyCompl!T96*$M95),"")</f>
        <v/>
      </c>
      <c r="S95" s="8" t="str">
        <f>IFERROR(IF(ISBLANK([1]NLFsmonkeyCompl!U96),"",[1]NLFsmonkeyCompl!U96*$M95),"")</f>
        <v/>
      </c>
      <c r="T95" s="8" t="str">
        <f>IFERROR(IF(ISBLANK([1]NLFsmonkeyCompl!V96),"",[1]NLFsmonkeyCompl!V96*$M95),"")</f>
        <v/>
      </c>
      <c r="U95" s="8" t="str">
        <f>IFERROR(IF(ISBLANK([1]NLFsmonkeyCompl!W96),"",[1]NLFsmonkeyCompl!W96*$M95),"")</f>
        <v/>
      </c>
      <c r="V95" s="8" t="str">
        <f>IFERROR(IF(ISBLANK([1]NLFsmonkeyCompl!X96),"",[1]NLFsmonkeyCompl!X96*$M95),"")</f>
        <v/>
      </c>
      <c r="W95" s="8" t="str">
        <f>IFERROR(IF(ISBLANK([1]NLFsmonkeyCompl!Y96),"",[1]NLFsmonkeyCompl!Y96*$M95),"")</f>
        <v/>
      </c>
      <c r="X95" s="8" t="str">
        <f>IFERROR(IF(ISBLANK([1]NLFsmonkeyCompl!Z96),"",[1]NLFsmonkeyCompl!Z96*$M95),"")</f>
        <v/>
      </c>
      <c r="Y95" s="8" t="str">
        <f>IFERROR(IF(ISBLANK([1]NLFsmonkeyCompl!AA96),"",[1]NLFsmonkeyCompl!AA96*$M95),"")</f>
        <v/>
      </c>
      <c r="Z95" s="8" t="str">
        <f>IFERROR(IF(ISBLANK([1]NLFsmonkeyCompl!AB96),"",[1]NLFsmonkeyCompl!AB96*$M95),"")</f>
        <v/>
      </c>
      <c r="AA95" s="8" t="str">
        <f>IFERROR(IF(ISBLANK([1]NLFsmonkeyCompl!AC96),"",[1]NLFsmonkeyCompl!AC96*$M95),"")</f>
        <v/>
      </c>
      <c r="AB95" s="8" t="str">
        <f>IFERROR(IF(ISBLANK([1]NLFsmonkeyCompl!AD96),"",[1]NLFsmonkeyCompl!AD96),"")</f>
        <v/>
      </c>
      <c r="AC95" s="8" t="str">
        <f>IFERROR(IF(ISBLANK([1]NLFsmonkeyCompl!AE96),"",[1]NLFsmonkeyCompl!AE96),"")</f>
        <v/>
      </c>
      <c r="AD95" s="8" t="str">
        <f>IFERROR(IF(ISBLANK([1]NLFsmonkeyCompl!AF96),"",[1]NLFsmonkeyCompl!AF96),"")</f>
        <v/>
      </c>
      <c r="AE95" s="8">
        <f>IFERROR(IF(ISBLANK([1]NLFsmonkeyCompl!AG96),"",[1]NLFsmonkeyCompl!AG96),"")</f>
        <v>100</v>
      </c>
      <c r="AF95" s="8" t="str">
        <f>IFERROR(IF(ISBLANK([1]NLFsmonkeyCompl!AH96),"",[1]NLFsmonkeyCompl!AH96),"")</f>
        <v>Increase</v>
      </c>
      <c r="AG95" s="8" t="str">
        <f>IFERROR(IF(ISBLANK([1]NLFsmonkeyCompl!AI96),"",[1]NLFsmonkeyCompl!AI96),"")</f>
        <v>Yes</v>
      </c>
    </row>
    <row r="96" spans="1:33" x14ac:dyDescent="0.2">
      <c r="A96" s="5" t="str">
        <f>IF(OR(ISTEXT([1]NLFsmonkeyCompl!J97),ISNUMBER([1]NLFsmonkeyCompl!J97)),[1]NLFsmonkeyCompl!J97,"")</f>
        <v>Invesco Real Estate</v>
      </c>
      <c r="B96" s="6" t="str">
        <f>IF(OR(ISTEXT([1]NLFsmonkeyCompl!K97),ISNUMBER([1]NLFsmonkeyCompl!K97)),[1]NLFsmonkeyCompl!K97,"")</f>
        <v>Invesco Real Estate - UK Residential Fund FCP-RAIF</v>
      </c>
      <c r="C96" s="6">
        <v>19586</v>
      </c>
      <c r="D96" s="6" t="s">
        <v>45</v>
      </c>
      <c r="E96" s="6" t="s">
        <v>48</v>
      </c>
      <c r="F96" s="6" t="s">
        <v>55</v>
      </c>
      <c r="G96" s="6" t="str">
        <f>IF(ISBLANK([1]NLFsmonkeyCompl!L97),"",[1]NLFsmonkeyCompl!L97)</f>
        <v>Open end</v>
      </c>
      <c r="H96" s="6">
        <v>2016</v>
      </c>
      <c r="I96" s="6" t="str">
        <f>IF(ISBLANK([1]NLFsmonkeyCompl!M97),"",[1]NLFsmonkeyCompl!M97)</f>
        <v>Yes</v>
      </c>
      <c r="J96" s="6" t="str">
        <f>IF(ISBLANK([1]NLFsmonkeyCompl!N97),"",[1]NLFsmonkeyCompl!N97)</f>
        <v/>
      </c>
      <c r="K96" s="6" t="str">
        <f>IF(ISBLANK([1]NLFsmonkeyCompl!O97),"",[1]NLFsmonkeyCompl!O97)</f>
        <v/>
      </c>
      <c r="L96" s="6" t="s">
        <v>56</v>
      </c>
      <c r="M96" s="16">
        <f>IFERROR(VLOOKUP(L96,'[1]Xrate31.12.20'!$K$2:$N$25,3,0),"")</f>
        <v>1.1130927885999999</v>
      </c>
      <c r="N96" s="19">
        <f>IFERROR(IF(ISBLANK([1]NLFsmonkeyCompl!P97),"",[1]NLFsmonkeyCompl!P97*$M96),"")/1000000</f>
        <v>6.8455206498900001</v>
      </c>
      <c r="O96" s="19">
        <f>IFERROR(IF(ISBLANK([1]NLFsmonkeyCompl!Q97),"",[1]NLFsmonkeyCompl!Q97*$M96),"")/1000000</f>
        <v>5.0089175487000004</v>
      </c>
      <c r="P96" s="8" t="str">
        <f>IFERROR(IF(ISBLANK([1]NLFsmonkeyCompl!R97),"",[1]NLFsmonkeyCompl!R97*$M96),"")</f>
        <v/>
      </c>
      <c r="Q96" s="8" t="str">
        <f>IFERROR(IF(ISBLANK([1]NLFsmonkeyCompl!S97),"",[1]NLFsmonkeyCompl!S97*$M96),"")</f>
        <v/>
      </c>
      <c r="R96" s="8" t="str">
        <f>IFERROR(IF(ISBLANK([1]NLFsmonkeyCompl!T97),"",[1]NLFsmonkeyCompl!T97*$M96),"")</f>
        <v/>
      </c>
      <c r="S96" s="8" t="str">
        <f>IFERROR(IF(ISBLANK([1]NLFsmonkeyCompl!U97),"",[1]NLFsmonkeyCompl!U97*$M96),"")</f>
        <v/>
      </c>
      <c r="T96" s="19">
        <f>IFERROR(IF(ISBLANK([1]NLFsmonkeyCompl!V97),"",[1]NLFsmonkeyCompl!V97*$M96),"")/1000000</f>
        <v>1.8366031011899999</v>
      </c>
      <c r="U96" s="8" t="str">
        <f>IFERROR(IF(ISBLANK([1]NLFsmonkeyCompl!W97),"",[1]NLFsmonkeyCompl!W97*$M96),"")</f>
        <v/>
      </c>
      <c r="V96" s="8" t="str">
        <f>IFERROR(IF(ISBLANK([1]NLFsmonkeyCompl!X97),"",[1]NLFsmonkeyCompl!X97*$M96),"")</f>
        <v/>
      </c>
      <c r="W96" s="19">
        <f>IFERROR(IF(ISBLANK([1]NLFsmonkeyCompl!Y97),"",[1]NLFsmonkeyCompl!Y97*$M96),"")/1000000</f>
        <v>6.8455206498900001</v>
      </c>
      <c r="X96" s="8" t="str">
        <f>IFERROR(IF(ISBLANK([1]NLFsmonkeyCompl!Z97),"",[1]NLFsmonkeyCompl!Z97*$M96),"")</f>
        <v/>
      </c>
      <c r="Y96" s="8" t="str">
        <f>IFERROR(IF(ISBLANK([1]NLFsmonkeyCompl!AA97),"",[1]NLFsmonkeyCompl!AA97*$M96),"")</f>
        <v/>
      </c>
      <c r="Z96" s="8" t="str">
        <f>IFERROR(IF(ISBLANK([1]NLFsmonkeyCompl!AB97),"",[1]NLFsmonkeyCompl!AB97*$M96),"")</f>
        <v/>
      </c>
      <c r="AA96" s="8" t="str">
        <f>IFERROR(IF(ISBLANK([1]NLFsmonkeyCompl!AC97),"",[1]NLFsmonkeyCompl!AC97*$M96),"")</f>
        <v/>
      </c>
      <c r="AB96" s="8" t="str">
        <f>IFERROR(IF(ISBLANK([1]NLFsmonkeyCompl!AD97),"",[1]NLFsmonkeyCompl!AD97),"")</f>
        <v/>
      </c>
      <c r="AC96" s="8" t="str">
        <f>IFERROR(IF(ISBLANK([1]NLFsmonkeyCompl!AE97),"",[1]NLFsmonkeyCompl!AE97),"")</f>
        <v/>
      </c>
      <c r="AD96" s="8">
        <f>IFERROR(IF(ISBLANK([1]NLFsmonkeyCompl!AF97),"",[1]NLFsmonkeyCompl!AF97),"")</f>
        <v>100</v>
      </c>
      <c r="AE96" s="8" t="str">
        <f>IFERROR(IF(ISBLANK([1]NLFsmonkeyCompl!AG97),"",[1]NLFsmonkeyCompl!AG97),"")</f>
        <v/>
      </c>
      <c r="AF96" s="8" t="str">
        <f>IFERROR(IF(ISBLANK([1]NLFsmonkeyCompl!AH97),"",[1]NLFsmonkeyCompl!AH97),"")</f>
        <v>Increase</v>
      </c>
      <c r="AG96" s="8" t="str">
        <f>IFERROR(IF(ISBLANK([1]NLFsmonkeyCompl!AI97),"",[1]NLFsmonkeyCompl!AI97),"")</f>
        <v>Yes</v>
      </c>
    </row>
    <row r="97" spans="1:33" x14ac:dyDescent="0.2">
      <c r="A97" s="5" t="str">
        <f>IF(OR(ISTEXT([1]NLFsmonkeyCompl!J98),ISNUMBER([1]NLFsmonkeyCompl!J98)),[1]NLFsmonkeyCompl!J98,"")</f>
        <v>Frogmore</v>
      </c>
      <c r="B97" s="6" t="str">
        <f>IF(OR(ISTEXT([1]NLFsmonkeyCompl!K98),ISNUMBER([1]NLFsmonkeyCompl!K98)),[1]NLFsmonkeyCompl!K98,"")</f>
        <v>Frogmore Real Estate Partners IV</v>
      </c>
      <c r="C97" s="6">
        <v>19701</v>
      </c>
      <c r="D97" s="6" t="s">
        <v>47</v>
      </c>
      <c r="E97" s="6" t="s">
        <v>48</v>
      </c>
      <c r="F97" s="6" t="s">
        <v>55</v>
      </c>
      <c r="G97" s="6" t="str">
        <f>IF(ISBLANK([1]NLFsmonkeyCompl!L98),"",[1]NLFsmonkeyCompl!L98)</f>
        <v>Closed end</v>
      </c>
      <c r="H97" s="6">
        <v>2019</v>
      </c>
      <c r="I97" s="6" t="str">
        <f>IF(ISBLANK([1]NLFsmonkeyCompl!M98),"",[1]NLFsmonkeyCompl!M98)</f>
        <v>Yes</v>
      </c>
      <c r="J97" s="6" t="str">
        <f>IF(ISBLANK([1]NLFsmonkeyCompl!N98),"",[1]NLFsmonkeyCompl!N98)</f>
        <v/>
      </c>
      <c r="K97" s="6" t="str">
        <f>IF(ISBLANK([1]NLFsmonkeyCompl!O98),"",[1]NLFsmonkeyCompl!O98)</f>
        <v/>
      </c>
      <c r="L97" s="6" t="str">
        <f>IFERROR(INDEX([1]VehiclesUniverse!$B$2:$EU$700,MATCH(C97,[1]VehiclesUniverse!$A$2:$A$700,0),MATCH($L$1,[1]VehiclesUniverse!$B$1:$EU$1,0)),"")</f>
        <v/>
      </c>
      <c r="M97" s="16" t="str">
        <f>IFERROR(VLOOKUP(L97,'[1]Xrate31.12.20'!$K$2:$N$25,3,0),"")</f>
        <v/>
      </c>
      <c r="N97" s="8" t="str">
        <f>IFERROR(IF(ISBLANK([1]NLFsmonkeyCompl!P98),"",[1]NLFsmonkeyCompl!P98*$M97),"")</f>
        <v/>
      </c>
      <c r="O97" s="8" t="str">
        <f>IFERROR(IF(ISBLANK([1]NLFsmonkeyCompl!Q98),"",[1]NLFsmonkeyCompl!Q98*$M97),"")</f>
        <v/>
      </c>
      <c r="P97" s="8" t="str">
        <f>IFERROR(IF(ISBLANK([1]NLFsmonkeyCompl!R98),"",[1]NLFsmonkeyCompl!R98*$M97),"")</f>
        <v/>
      </c>
      <c r="Q97" s="8" t="str">
        <f>IFERROR(IF(ISBLANK([1]NLFsmonkeyCompl!S98),"",[1]NLFsmonkeyCompl!S98*$M97),"")</f>
        <v/>
      </c>
      <c r="R97" s="8" t="str">
        <f>IFERROR(IF(ISBLANK([1]NLFsmonkeyCompl!T98),"",[1]NLFsmonkeyCompl!T98*$M97),"")</f>
        <v/>
      </c>
      <c r="S97" s="8" t="str">
        <f>IFERROR(IF(ISBLANK([1]NLFsmonkeyCompl!U98),"",[1]NLFsmonkeyCompl!U98*$M97),"")</f>
        <v/>
      </c>
      <c r="T97" s="8" t="str">
        <f>IFERROR(IF(ISBLANK([1]NLFsmonkeyCompl!V98),"",[1]NLFsmonkeyCompl!V98*$M97),"")</f>
        <v/>
      </c>
      <c r="U97" s="8" t="str">
        <f>IFERROR(IF(ISBLANK([1]NLFsmonkeyCompl!W98),"",[1]NLFsmonkeyCompl!W98*$M97),"")</f>
        <v/>
      </c>
      <c r="V97" s="8" t="str">
        <f>IFERROR(IF(ISBLANK([1]NLFsmonkeyCompl!X98),"",[1]NLFsmonkeyCompl!X98*$M97),"")</f>
        <v/>
      </c>
      <c r="W97" s="8" t="str">
        <f>IFERROR(IF(ISBLANK([1]NLFsmonkeyCompl!Y98),"",[1]NLFsmonkeyCompl!Y98*$M97),"")</f>
        <v/>
      </c>
      <c r="X97" s="8" t="str">
        <f>IFERROR(IF(ISBLANK([1]NLFsmonkeyCompl!Z98),"",[1]NLFsmonkeyCompl!Z98*$M97),"")</f>
        <v/>
      </c>
      <c r="Y97" s="8" t="str">
        <f>IFERROR(IF(ISBLANK([1]NLFsmonkeyCompl!AA98),"",[1]NLFsmonkeyCompl!AA98*$M97),"")</f>
        <v/>
      </c>
      <c r="Z97" s="8" t="str">
        <f>IFERROR(IF(ISBLANK([1]NLFsmonkeyCompl!AB98),"",[1]NLFsmonkeyCompl!AB98*$M97),"")</f>
        <v/>
      </c>
      <c r="AA97" s="8" t="str">
        <f>IFERROR(IF(ISBLANK([1]NLFsmonkeyCompl!AC98),"",[1]NLFsmonkeyCompl!AC98*$M97),"")</f>
        <v/>
      </c>
      <c r="AB97" s="8" t="str">
        <f>IFERROR(IF(ISBLANK([1]NLFsmonkeyCompl!AD98),"",[1]NLFsmonkeyCompl!AD98),"")</f>
        <v/>
      </c>
      <c r="AC97" s="8" t="str">
        <f>IFERROR(IF(ISBLANK([1]NLFsmonkeyCompl!AE98),"",[1]NLFsmonkeyCompl!AE98),"")</f>
        <v/>
      </c>
      <c r="AD97" s="8">
        <f>IFERROR(IF(ISBLANK([1]NLFsmonkeyCompl!AF98),"",[1]NLFsmonkeyCompl!AF98),"")</f>
        <v>100</v>
      </c>
      <c r="AE97" s="8" t="str">
        <f>IFERROR(IF(ISBLANK([1]NLFsmonkeyCompl!AG98),"",[1]NLFsmonkeyCompl!AG98),"")</f>
        <v/>
      </c>
      <c r="AF97" s="8" t="str">
        <f>IFERROR(IF(ISBLANK([1]NLFsmonkeyCompl!AH98),"",[1]NLFsmonkeyCompl!AH98),"")</f>
        <v>Increase</v>
      </c>
      <c r="AG97" s="8" t="str">
        <f>IFERROR(IF(ISBLANK([1]NLFsmonkeyCompl!AI98),"",[1]NLFsmonkeyCompl!AI98),"")</f>
        <v>Yes</v>
      </c>
    </row>
    <row r="98" spans="1:33" x14ac:dyDescent="0.2">
      <c r="A98" s="5" t="str">
        <f>IF(OR(ISTEXT([1]NLFsmonkeyCompl!J99),ISNUMBER([1]NLFsmonkeyCompl!J99)),[1]NLFsmonkeyCompl!J99,"")</f>
        <v>Frogmore</v>
      </c>
      <c r="B98" s="6" t="str">
        <f>IF(OR(ISTEXT([1]NLFsmonkeyCompl!K99),ISNUMBER([1]NLFsmonkeyCompl!K99)),[1]NLFsmonkeyCompl!K99,"")</f>
        <v>Frogmore Real Estate Partners IV</v>
      </c>
      <c r="C98" s="6">
        <v>19701</v>
      </c>
      <c r="D98" s="6" t="s">
        <v>47</v>
      </c>
      <c r="E98" s="6" t="s">
        <v>48</v>
      </c>
      <c r="F98" s="6" t="s">
        <v>55</v>
      </c>
      <c r="G98" s="6" t="str">
        <f>IF(ISBLANK([1]NLFsmonkeyCompl!L99),"",[1]NLFsmonkeyCompl!L99)</f>
        <v>Closed end</v>
      </c>
      <c r="H98" s="6">
        <v>2019</v>
      </c>
      <c r="I98" s="6" t="str">
        <f>IF(ISBLANK([1]NLFsmonkeyCompl!M99),"",[1]NLFsmonkeyCompl!M99)</f>
        <v>Yes</v>
      </c>
      <c r="J98" s="6" t="str">
        <f>IF(ISBLANK([1]NLFsmonkeyCompl!N99),"",[1]NLFsmonkeyCompl!N99)</f>
        <v/>
      </c>
      <c r="K98" s="6" t="str">
        <f>IF(ISBLANK([1]NLFsmonkeyCompl!O99),"",[1]NLFsmonkeyCompl!O99)</f>
        <v/>
      </c>
      <c r="L98" s="6" t="str">
        <f>IFERROR(INDEX([1]VehiclesUniverse!$B$2:$EU$700,MATCH(C98,[1]VehiclesUniverse!$A$2:$A$700,0),MATCH($L$1,[1]VehiclesUniverse!$B$1:$EU$1,0)),"")</f>
        <v/>
      </c>
      <c r="M98" s="16" t="str">
        <f>IFERROR(VLOOKUP(L98,'[1]Xrate31.12.20'!$K$2:$N$25,3,0),"")</f>
        <v/>
      </c>
      <c r="N98" s="8" t="str">
        <f>IFERROR(IF(ISBLANK([1]NLFsmonkeyCompl!P99),"",[1]NLFsmonkeyCompl!P99*$M98),"")</f>
        <v/>
      </c>
      <c r="O98" s="8" t="str">
        <f>IFERROR(IF(ISBLANK([1]NLFsmonkeyCompl!Q99),"",[1]NLFsmonkeyCompl!Q99*$M98),"")</f>
        <v/>
      </c>
      <c r="P98" s="8" t="str">
        <f>IFERROR(IF(ISBLANK([1]NLFsmonkeyCompl!R99),"",[1]NLFsmonkeyCompl!R99*$M98),"")</f>
        <v/>
      </c>
      <c r="Q98" s="8" t="str">
        <f>IFERROR(IF(ISBLANK([1]NLFsmonkeyCompl!S99),"",[1]NLFsmonkeyCompl!S99*$M98),"")</f>
        <v/>
      </c>
      <c r="R98" s="8" t="str">
        <f>IFERROR(IF(ISBLANK([1]NLFsmonkeyCompl!T99),"",[1]NLFsmonkeyCompl!T99*$M98),"")</f>
        <v/>
      </c>
      <c r="S98" s="8" t="str">
        <f>IFERROR(IF(ISBLANK([1]NLFsmonkeyCompl!U99),"",[1]NLFsmonkeyCompl!U99*$M98),"")</f>
        <v/>
      </c>
      <c r="T98" s="8" t="str">
        <f>IFERROR(IF(ISBLANK([1]NLFsmonkeyCompl!V99),"",[1]NLFsmonkeyCompl!V99*$M98),"")</f>
        <v/>
      </c>
      <c r="U98" s="8" t="str">
        <f>IFERROR(IF(ISBLANK([1]NLFsmonkeyCompl!W99),"",[1]NLFsmonkeyCompl!W99*$M98),"")</f>
        <v/>
      </c>
      <c r="V98" s="8" t="str">
        <f>IFERROR(IF(ISBLANK([1]NLFsmonkeyCompl!X99),"",[1]NLFsmonkeyCompl!X99*$M98),"")</f>
        <v/>
      </c>
      <c r="W98" s="8" t="str">
        <f>IFERROR(IF(ISBLANK([1]NLFsmonkeyCompl!Y99),"",[1]NLFsmonkeyCompl!Y99*$M98),"")</f>
        <v/>
      </c>
      <c r="X98" s="8" t="str">
        <f>IFERROR(IF(ISBLANK([1]NLFsmonkeyCompl!Z99),"",[1]NLFsmonkeyCompl!Z99*$M98),"")</f>
        <v/>
      </c>
      <c r="Y98" s="8" t="str">
        <f>IFERROR(IF(ISBLANK([1]NLFsmonkeyCompl!AA99),"",[1]NLFsmonkeyCompl!AA99*$M98),"")</f>
        <v/>
      </c>
      <c r="Z98" s="8" t="str">
        <f>IFERROR(IF(ISBLANK([1]NLFsmonkeyCompl!AB99),"",[1]NLFsmonkeyCompl!AB99*$M98),"")</f>
        <v/>
      </c>
      <c r="AA98" s="8" t="str">
        <f>IFERROR(IF(ISBLANK([1]NLFsmonkeyCompl!AC99),"",[1]NLFsmonkeyCompl!AC99*$M98),"")</f>
        <v/>
      </c>
      <c r="AB98" s="8" t="str">
        <f>IFERROR(IF(ISBLANK([1]NLFsmonkeyCompl!AD99),"",[1]NLFsmonkeyCompl!AD99),"")</f>
        <v/>
      </c>
      <c r="AC98" s="8" t="str">
        <f>IFERROR(IF(ISBLANK([1]NLFsmonkeyCompl!AE99),"",[1]NLFsmonkeyCompl!AE99),"")</f>
        <v/>
      </c>
      <c r="AD98" s="8" t="str">
        <f>IFERROR(IF(ISBLANK([1]NLFsmonkeyCompl!AF99),"",[1]NLFsmonkeyCompl!AF99),"")</f>
        <v/>
      </c>
      <c r="AE98" s="8" t="str">
        <f>IFERROR(IF(ISBLANK([1]NLFsmonkeyCompl!AG99),"",[1]NLFsmonkeyCompl!AG99),"")</f>
        <v/>
      </c>
      <c r="AF98" s="8" t="str">
        <f>IFERROR(IF(ISBLANK([1]NLFsmonkeyCompl!AH99),"",[1]NLFsmonkeyCompl!AH99),"")</f>
        <v/>
      </c>
      <c r="AG98" s="8" t="str">
        <f>IFERROR(IF(ISBLANK([1]NLFsmonkeyCompl!AI99),"",[1]NLFsmonkeyCompl!AI99),"")</f>
        <v/>
      </c>
    </row>
    <row r="99" spans="1:33" x14ac:dyDescent="0.2">
      <c r="A99" s="5" t="str">
        <f>IF(OR(ISTEXT([1]NLFsmonkeyCompl!J100),ISNUMBER([1]NLFsmonkeyCompl!J100)),[1]NLFsmonkeyCompl!J100,"")</f>
        <v>Altera Vastgoed</v>
      </c>
      <c r="B99" s="6" t="str">
        <f>IF(OR(ISTEXT([1]NLFsmonkeyCompl!K100),ISNUMBER([1]NLFsmonkeyCompl!K100)),[1]NLFsmonkeyCompl!K100,"")</f>
        <v>Altera Retail</v>
      </c>
      <c r="C99" s="6">
        <v>27</v>
      </c>
      <c r="D99" s="6" t="str">
        <f>IFERROR(INDEX([1]VehiclesUniverse!$B$2:$EU$700,MATCH(C99,[1]VehiclesUniverse!$A$2:$A$700,0),MATCH($D$1,[1]VehiclesUniverse!$B$1:$EU$1,0)),"")</f>
        <v>Core</v>
      </c>
      <c r="E99" s="6" t="str">
        <f>IFERROR(INDEX([1]VehiclesUniverse!$B$2:$EU$700,MATCH(C99,[1]VehiclesUniverse!$A$2:$A$700,0),MATCH($E$1,[1]VehiclesUniverse!$B$1:$EU$1,0)),"")</f>
        <v>single country</v>
      </c>
      <c r="F99" s="6" t="str">
        <f>IF(IFERROR(INDEX([1]VehiclesUniverse!$B$2:$EU$700,MATCH($C99,[1]VehiclesUniverse!$A$2:$A$700,0),MATCH($F$1,[1]VehiclesUniverse!$B$1:$EU$1,0)),"")&lt;&gt;0,(IFERROR(INDEX([1]VehiclesUniverse!$B$2:$EU$700,MATCH($C99,[1]VehiclesUniverse!$A$2:$A$700,0),MATCH($F$1,[1]VehiclesUniverse!$B$1:$EU$1,0)),"")),"")</f>
        <v>Netherlands</v>
      </c>
      <c r="G99" s="6" t="str">
        <f>IF(ISBLANK([1]NLFsmonkeyCompl!L100),"",[1]NLFsmonkeyCompl!L100)</f>
        <v>Open end</v>
      </c>
      <c r="H99" s="6">
        <f>IFERROR(INDEX([1]VehiclesUniverse!$B$2:$EU$700,MATCH(C99,[1]VehiclesUniverse!$A$2:$A$700,0),MATCH($H$1,[1]VehiclesUniverse!$B$1:$EU$1,0)),"")</f>
        <v>2000</v>
      </c>
      <c r="I99" s="6" t="str">
        <f>IF(ISBLANK([1]NLFsmonkeyCompl!M100),"",[1]NLFsmonkeyCompl!M100)</f>
        <v>Yes</v>
      </c>
      <c r="J99" s="6" t="str">
        <f>IF(ISBLANK([1]NLFsmonkeyCompl!N100),"",[1]NLFsmonkeyCompl!N100)</f>
        <v/>
      </c>
      <c r="K99" s="6" t="str">
        <f>IF(ISBLANK([1]NLFsmonkeyCompl!O100),"",[1]NLFsmonkeyCompl!O100)</f>
        <v/>
      </c>
      <c r="L99" s="6" t="str">
        <f>IFERROR(INDEX([1]VehiclesUniverse!$B$2:$EU$700,MATCH(C99,[1]VehiclesUniverse!$A$2:$A$700,0),MATCH($L$1,[1]VehiclesUniverse!$B$1:$EU$1,0)),"")</f>
        <v>EUR</v>
      </c>
      <c r="M99" s="16">
        <f>IFERROR(VLOOKUP(L99,'[1]Xrate31.12.20'!$K$2:$N$25,3,0),"")</f>
        <v>1</v>
      </c>
      <c r="N99" s="8">
        <f>IFERROR(IF(ISBLANK([1]NLFsmonkeyCompl!P100),"",[1]NLFsmonkeyCompl!P100*$M99),"")</f>
        <v>38</v>
      </c>
      <c r="O99" s="8">
        <f>IFERROR(IF(ISBLANK([1]NLFsmonkeyCompl!Q100),"",[1]NLFsmonkeyCompl!Q100*$M99),"")</f>
        <v>3</v>
      </c>
      <c r="P99" s="8" t="str">
        <f>IFERROR(IF(ISBLANK([1]NLFsmonkeyCompl!R100),"",[1]NLFsmonkeyCompl!R100*$M99),"")</f>
        <v/>
      </c>
      <c r="Q99" s="8" t="str">
        <f>IFERROR(IF(ISBLANK([1]NLFsmonkeyCompl!S100),"",[1]NLFsmonkeyCompl!S100*$M99),"")</f>
        <v/>
      </c>
      <c r="R99" s="8" t="str">
        <f>IFERROR(IF(ISBLANK([1]NLFsmonkeyCompl!T100),"",[1]NLFsmonkeyCompl!T100*$M99),"")</f>
        <v/>
      </c>
      <c r="S99" s="8" t="str">
        <f>IFERROR(IF(ISBLANK([1]NLFsmonkeyCompl!U100),"",[1]NLFsmonkeyCompl!U100*$M99),"")</f>
        <v/>
      </c>
      <c r="T99" s="8">
        <f>IFERROR(IF(ISBLANK([1]NLFsmonkeyCompl!V100),"",[1]NLFsmonkeyCompl!V100*$M99),"")</f>
        <v>35</v>
      </c>
      <c r="U99" s="8" t="str">
        <f>IFERROR(IF(ISBLANK([1]NLFsmonkeyCompl!W100),"",[1]NLFsmonkeyCompl!W100*$M99),"")</f>
        <v/>
      </c>
      <c r="V99" s="8" t="str">
        <f>IFERROR(IF(ISBLANK([1]NLFsmonkeyCompl!X100),"",[1]NLFsmonkeyCompl!X100*$M99),"")</f>
        <v/>
      </c>
      <c r="W99" s="8" t="str">
        <f>IFERROR(IF(ISBLANK([1]NLFsmonkeyCompl!Y100),"",[1]NLFsmonkeyCompl!Y100*$M99),"")</f>
        <v/>
      </c>
      <c r="X99" s="8" t="str">
        <f>IFERROR(IF(ISBLANK([1]NLFsmonkeyCompl!Z100),"",[1]NLFsmonkeyCompl!Z100*$M99),"")</f>
        <v/>
      </c>
      <c r="Y99" s="8" t="str">
        <f>IFERROR(IF(ISBLANK([1]NLFsmonkeyCompl!AA100),"",[1]NLFsmonkeyCompl!AA100*$M99),"")</f>
        <v/>
      </c>
      <c r="Z99" s="8" t="str">
        <f>IFERROR(IF(ISBLANK([1]NLFsmonkeyCompl!AB100),"",[1]NLFsmonkeyCompl!AB100*$M99),"")</f>
        <v/>
      </c>
      <c r="AA99" s="8" t="str">
        <f>IFERROR(IF(ISBLANK([1]NLFsmonkeyCompl!AC100),"",[1]NLFsmonkeyCompl!AC100*$M99),"")</f>
        <v/>
      </c>
      <c r="AB99" s="8">
        <f>IFERROR(IF(ISBLANK([1]NLFsmonkeyCompl!AD100),"",[1]NLFsmonkeyCompl!AD100),"")</f>
        <v>90</v>
      </c>
      <c r="AC99" s="8" t="str">
        <f>IFERROR(IF(ISBLANK([1]NLFsmonkeyCompl!AE100),"",[1]NLFsmonkeyCompl!AE100),"")</f>
        <v/>
      </c>
      <c r="AD99" s="8">
        <f>IFERROR(IF(ISBLANK([1]NLFsmonkeyCompl!AF100),"",[1]NLFsmonkeyCompl!AF100),"")</f>
        <v>10</v>
      </c>
      <c r="AE99" s="8" t="str">
        <f>IFERROR(IF(ISBLANK([1]NLFsmonkeyCompl!AG100),"",[1]NLFsmonkeyCompl!AG100),"")</f>
        <v/>
      </c>
      <c r="AF99" s="8" t="str">
        <f>IFERROR(IF(ISBLANK([1]NLFsmonkeyCompl!AH100),"",[1]NLFsmonkeyCompl!AH100),"")</f>
        <v>Increase</v>
      </c>
      <c r="AG99" s="8" t="str">
        <f>IFERROR(IF(ISBLANK([1]NLFsmonkeyCompl!AI100),"",[1]NLFsmonkeyCompl!AI100),"")</f>
        <v>Yes</v>
      </c>
    </row>
    <row r="100" spans="1:33" x14ac:dyDescent="0.2">
      <c r="A100" s="5" t="str">
        <f>IF(OR(ISTEXT([1]NLFsmonkeyCompl!J101),ISNUMBER([1]NLFsmonkeyCompl!J101)),[1]NLFsmonkeyCompl!J101,"")</f>
        <v>Altera Vastgoed</v>
      </c>
      <c r="B100" s="6" t="str">
        <f>IF(OR(ISTEXT([1]NLFsmonkeyCompl!K101),ISNUMBER([1]NLFsmonkeyCompl!K101)),[1]NLFsmonkeyCompl!K101,"")</f>
        <v>Altera Residential</v>
      </c>
      <c r="C100" s="6">
        <v>26</v>
      </c>
      <c r="D100" s="6" t="str">
        <f>IFERROR(INDEX([1]VehiclesUniverse!$B$2:$EU$700,MATCH(C100,[1]VehiclesUniverse!$A$2:$A$700,0),MATCH($D$1,[1]VehiclesUniverse!$B$1:$EU$1,0)),"")</f>
        <v>Core</v>
      </c>
      <c r="E100" s="6" t="str">
        <f>IFERROR(INDEX([1]VehiclesUniverse!$B$2:$EU$700,MATCH(C100,[1]VehiclesUniverse!$A$2:$A$700,0),MATCH($E$1,[1]VehiclesUniverse!$B$1:$EU$1,0)),"")</f>
        <v>single country</v>
      </c>
      <c r="F100" s="6" t="str">
        <f>IF(IFERROR(INDEX([1]VehiclesUniverse!$B$2:$EU$700,MATCH($C100,[1]VehiclesUniverse!$A$2:$A$700,0),MATCH($F$1,[1]VehiclesUniverse!$B$1:$EU$1,0)),"")&lt;&gt;0,(IFERROR(INDEX([1]VehiclesUniverse!$B$2:$EU$700,MATCH($C100,[1]VehiclesUniverse!$A$2:$A$700,0),MATCH($F$1,[1]VehiclesUniverse!$B$1:$EU$1,0)),"")),"")</f>
        <v>Netherlands</v>
      </c>
      <c r="G100" s="6" t="str">
        <f>IF(ISBLANK([1]NLFsmonkeyCompl!L101),"",[1]NLFsmonkeyCompl!L101)</f>
        <v>Open end</v>
      </c>
      <c r="H100" s="6">
        <f>IFERROR(INDEX([1]VehiclesUniverse!$B$2:$EU$700,MATCH(C100,[1]VehiclesUniverse!$A$2:$A$700,0),MATCH($H$1,[1]VehiclesUniverse!$B$1:$EU$1,0)),"")</f>
        <v>2000</v>
      </c>
      <c r="I100" s="6" t="str">
        <f>IF(ISBLANK([1]NLFsmonkeyCompl!M101),"",[1]NLFsmonkeyCompl!M101)</f>
        <v>Yes</v>
      </c>
      <c r="J100" s="6" t="str">
        <f>IF(ISBLANK([1]NLFsmonkeyCompl!N101),"",[1]NLFsmonkeyCompl!N101)</f>
        <v/>
      </c>
      <c r="K100" s="6" t="str">
        <f>IF(ISBLANK([1]NLFsmonkeyCompl!O101),"",[1]NLFsmonkeyCompl!O101)</f>
        <v/>
      </c>
      <c r="L100" s="6" t="str">
        <f>IFERROR(INDEX([1]VehiclesUniverse!$B$2:$EU$700,MATCH(C100,[1]VehiclesUniverse!$A$2:$A$700,0),MATCH($L$1,[1]VehiclesUniverse!$B$1:$EU$1,0)),"")</f>
        <v>EUR</v>
      </c>
      <c r="M100" s="16">
        <f>IFERROR(VLOOKUP(L100,'[1]Xrate31.12.20'!$K$2:$N$25,3,0),"")</f>
        <v>1</v>
      </c>
      <c r="N100" s="8">
        <f>IFERROR(IF(ISBLANK([1]NLFsmonkeyCompl!P101),"",[1]NLFsmonkeyCompl!P101*$M100),"")</f>
        <v>209</v>
      </c>
      <c r="O100" s="19">
        <f>IFERROR(IF(ISBLANK([1]NLFsmonkeyCompl!Q101),"",[1]NLFsmonkeyCompl!Q101*$M100),"")/1000000</f>
        <v>186.81</v>
      </c>
      <c r="P100" s="8">
        <f>IFERROR(IF(ISBLANK([1]NLFsmonkeyCompl!R101),"",[1]NLFsmonkeyCompl!R101*$M100),"")/1000000</f>
        <v>0.97</v>
      </c>
      <c r="Q100" s="19">
        <f>IFERROR(IF(ISBLANK([1]NLFsmonkeyCompl!S101),"",[1]NLFsmonkeyCompl!S101*$M100),"")/1000000</f>
        <v>1.3</v>
      </c>
      <c r="R100" s="8" t="str">
        <f>IFERROR(IF(ISBLANK([1]NLFsmonkeyCompl!T101),"",[1]NLFsmonkeyCompl!T101*$M100),"")</f>
        <v/>
      </c>
      <c r="S100" s="8" t="str">
        <f>IFERROR(IF(ISBLANK([1]NLFsmonkeyCompl!U101),"",[1]NLFsmonkeyCompl!U101*$M100),"")</f>
        <v/>
      </c>
      <c r="T100" s="19">
        <f>IFERROR(IF(ISBLANK([1]NLFsmonkeyCompl!V101),"",[1]NLFsmonkeyCompl!V101*$M100),"")/1000000</f>
        <v>20</v>
      </c>
      <c r="U100" s="8" t="str">
        <f>IFERROR(IF(ISBLANK([1]NLFsmonkeyCompl!W101),"",[1]NLFsmonkeyCompl!W101*$M100),"")</f>
        <v/>
      </c>
      <c r="V100" s="8" t="str">
        <f>IFERROR(IF(ISBLANK([1]NLFsmonkeyCompl!X101),"",[1]NLFsmonkeyCompl!X101*$M100),"")</f>
        <v/>
      </c>
      <c r="W100" s="19">
        <f>IFERROR(IF(ISBLANK([1]NLFsmonkeyCompl!Y101),"",[1]NLFsmonkeyCompl!Y101*$M100),"")/1000000</f>
        <v>209.08</v>
      </c>
      <c r="X100" s="8" t="str">
        <f>IFERROR(IF(ISBLANK([1]NLFsmonkeyCompl!Z101),"",[1]NLFsmonkeyCompl!Z101*$M100),"")</f>
        <v/>
      </c>
      <c r="Y100" s="8" t="str">
        <f>IFERROR(IF(ISBLANK([1]NLFsmonkeyCompl!AA101),"",[1]NLFsmonkeyCompl!AA101*$M100),"")</f>
        <v/>
      </c>
      <c r="Z100" s="8" t="str">
        <f>IFERROR(IF(ISBLANK([1]NLFsmonkeyCompl!AB101),"",[1]NLFsmonkeyCompl!AB101*$M100),"")</f>
        <v/>
      </c>
      <c r="AA100" s="8" t="str">
        <f>IFERROR(IF(ISBLANK([1]NLFsmonkeyCompl!AC101),"",[1]NLFsmonkeyCompl!AC101*$M100),"")</f>
        <v/>
      </c>
      <c r="AB100" s="8" t="str">
        <f>IFERROR(IF(ISBLANK([1]NLFsmonkeyCompl!AD101),"",[1]NLFsmonkeyCompl!AD101),"")</f>
        <v/>
      </c>
      <c r="AC100" s="8" t="str">
        <f>IFERROR(IF(ISBLANK([1]NLFsmonkeyCompl!AE101),"",[1]NLFsmonkeyCompl!AE101),"")</f>
        <v/>
      </c>
      <c r="AD100" s="8">
        <f>IFERROR(IF(ISBLANK([1]NLFsmonkeyCompl!AF101),"",[1]NLFsmonkeyCompl!AF101),"")</f>
        <v>100</v>
      </c>
      <c r="AE100" s="8" t="str">
        <f>IFERROR(IF(ISBLANK([1]NLFsmonkeyCompl!AG101),"",[1]NLFsmonkeyCompl!AG101),"")</f>
        <v/>
      </c>
      <c r="AF100" s="8" t="str">
        <f>IFERROR(IF(ISBLANK([1]NLFsmonkeyCompl!AH101),"",[1]NLFsmonkeyCompl!AH101),"")</f>
        <v>Increase</v>
      </c>
      <c r="AG100" s="8" t="str">
        <f>IFERROR(IF(ISBLANK([1]NLFsmonkeyCompl!AI101),"",[1]NLFsmonkeyCompl!AI101),"")</f>
        <v>Yes</v>
      </c>
    </row>
    <row r="101" spans="1:33" x14ac:dyDescent="0.2">
      <c r="A101" s="5" t="str">
        <f>IF(OR(ISTEXT([1]NLFsmonkeyCompl!J102),ISNUMBER([1]NLFsmonkeyCompl!J102)),[1]NLFsmonkeyCompl!J102,"")</f>
        <v>Union Investment Real Estate GmbH</v>
      </c>
      <c r="B101" s="6" t="str">
        <f>IF(OR(ISTEXT([1]NLFsmonkeyCompl!K102),ISNUMBER([1]NLFsmonkeyCompl!K102)),[1]NLFsmonkeyCompl!K102,"")</f>
        <v>Real Estate Funds</v>
      </c>
      <c r="C101" s="6" t="s">
        <v>54</v>
      </c>
      <c r="D101" s="6" t="str">
        <f>IFERROR(INDEX([1]VehiclesUniverse!$B$2:$EU$700,MATCH(C101,[1]VehiclesUniverse!$A$2:$A$700,0),MATCH($D$1,[1]VehiclesUniverse!$B$1:$EU$1,0)),"")</f>
        <v/>
      </c>
      <c r="E101" s="6" t="str">
        <f>IFERROR(INDEX([1]VehiclesUniverse!$B$2:$EU$700,MATCH(C101,[1]VehiclesUniverse!$A$2:$A$700,0),MATCH($E$1,[1]VehiclesUniverse!$B$1:$EU$1,0)),"")</f>
        <v/>
      </c>
      <c r="F101" s="6" t="str">
        <f>IF(IFERROR(INDEX([1]VehiclesUniverse!$B$2:$EU$700,MATCH($C101,[1]VehiclesUniverse!$A$2:$A$700,0),MATCH($F$1,[1]VehiclesUniverse!$B$1:$EU$1,0)),"")&lt;&gt;0,(IFERROR(INDEX([1]VehiclesUniverse!$B$2:$EU$700,MATCH($C101,[1]VehiclesUniverse!$A$2:$A$700,0),MATCH($F$1,[1]VehiclesUniverse!$B$1:$EU$1,0)),"")),"")</f>
        <v/>
      </c>
      <c r="G101" s="6" t="str">
        <f>IF(ISBLANK([1]NLFsmonkeyCompl!L102),"",[1]NLFsmonkeyCompl!L102)</f>
        <v>Open end</v>
      </c>
      <c r="H101" s="6" t="str">
        <f>IFERROR(INDEX([1]VehiclesUniverse!$B$2:$EU$700,MATCH(C101,[1]VehiclesUniverse!$A$2:$A$700,0),MATCH($H$1,[1]VehiclesUniverse!$B$1:$EU$1,0)),"")</f>
        <v/>
      </c>
      <c r="I101" s="6" t="str">
        <f>IF(ISBLANK([1]NLFsmonkeyCompl!M102),"",[1]NLFsmonkeyCompl!M102)</f>
        <v>Yes</v>
      </c>
      <c r="J101" s="6" t="str">
        <f>IF(ISBLANK([1]NLFsmonkeyCompl!N102),"",[1]NLFsmonkeyCompl!N102)</f>
        <v/>
      </c>
      <c r="K101" s="6" t="str">
        <f>IF(ISBLANK([1]NLFsmonkeyCompl!O102),"",[1]NLFsmonkeyCompl!O102)</f>
        <v/>
      </c>
      <c r="L101" s="6" t="str">
        <f>IFERROR(INDEX([1]VehiclesUniverse!$B$2:$EU$700,MATCH(C101,[1]VehiclesUniverse!$A$2:$A$700,0),MATCH($L$1,[1]VehiclesUniverse!$B$1:$EU$1,0)),"")</f>
        <v/>
      </c>
      <c r="M101" s="16" t="str">
        <f>IFERROR(VLOOKUP(L101,'[1]Xrate31.12.20'!$K$2:$N$25,3,0),"")</f>
        <v/>
      </c>
      <c r="N101" s="8" t="str">
        <f>IFERROR(IF(ISBLANK([1]NLFsmonkeyCompl!P102),"",[1]NLFsmonkeyCompl!P102*$M101),"")</f>
        <v/>
      </c>
      <c r="O101" s="8" t="str">
        <f>IFERROR(IF(ISBLANK([1]NLFsmonkeyCompl!Q102),"",[1]NLFsmonkeyCompl!Q102*$M101),"")</f>
        <v/>
      </c>
      <c r="P101" s="8" t="str">
        <f>IFERROR(IF(ISBLANK([1]NLFsmonkeyCompl!R102),"",[1]NLFsmonkeyCompl!R102*$M101),"")</f>
        <v/>
      </c>
      <c r="Q101" s="8" t="str">
        <f>IFERROR(IF(ISBLANK([1]NLFsmonkeyCompl!S102),"",[1]NLFsmonkeyCompl!S102*$M101),"")</f>
        <v/>
      </c>
      <c r="R101" s="8" t="str">
        <f>IFERROR(IF(ISBLANK([1]NLFsmonkeyCompl!T102),"",[1]NLFsmonkeyCompl!T102*$M101),"")</f>
        <v/>
      </c>
      <c r="S101" s="8" t="str">
        <f>IFERROR(IF(ISBLANK([1]NLFsmonkeyCompl!U102),"",[1]NLFsmonkeyCompl!U102*$M101),"")</f>
        <v/>
      </c>
      <c r="T101" s="8" t="str">
        <f>IFERROR(IF(ISBLANK([1]NLFsmonkeyCompl!V102),"",[1]NLFsmonkeyCompl!V102*$M101),"")</f>
        <v/>
      </c>
      <c r="U101" s="8" t="str">
        <f>IFERROR(IF(ISBLANK([1]NLFsmonkeyCompl!W102),"",[1]NLFsmonkeyCompl!W102*$M101),"")</f>
        <v/>
      </c>
      <c r="V101" s="8" t="str">
        <f>IFERROR(IF(ISBLANK([1]NLFsmonkeyCompl!X102),"",[1]NLFsmonkeyCompl!X102*$M101),"")</f>
        <v/>
      </c>
      <c r="W101" s="8" t="str">
        <f>IFERROR(IF(ISBLANK([1]NLFsmonkeyCompl!Y102),"",[1]NLFsmonkeyCompl!Y102*$M101),"")</f>
        <v/>
      </c>
      <c r="X101" s="8" t="str">
        <f>IFERROR(IF(ISBLANK([1]NLFsmonkeyCompl!Z102),"",[1]NLFsmonkeyCompl!Z102*$M101),"")</f>
        <v/>
      </c>
      <c r="Y101" s="8" t="str">
        <f>IFERROR(IF(ISBLANK([1]NLFsmonkeyCompl!AA102),"",[1]NLFsmonkeyCompl!AA102*$M101),"")</f>
        <v/>
      </c>
      <c r="Z101" s="8" t="str">
        <f>IFERROR(IF(ISBLANK([1]NLFsmonkeyCompl!AB102),"",[1]NLFsmonkeyCompl!AB102*$M101),"")</f>
        <v/>
      </c>
      <c r="AA101" s="8" t="str">
        <f>IFERROR(IF(ISBLANK([1]NLFsmonkeyCompl!AC102),"",[1]NLFsmonkeyCompl!AC102*$M101),"")</f>
        <v/>
      </c>
      <c r="AB101" s="8" t="str">
        <f>IFERROR(IF(ISBLANK([1]NLFsmonkeyCompl!AD102),"",[1]NLFsmonkeyCompl!AD102),"")</f>
        <v/>
      </c>
      <c r="AC101" s="8" t="str">
        <f>IFERROR(IF(ISBLANK([1]NLFsmonkeyCompl!AE102),"",[1]NLFsmonkeyCompl!AE102),"")</f>
        <v/>
      </c>
      <c r="AD101" s="8" t="str">
        <f>IFERROR(IF(ISBLANK([1]NLFsmonkeyCompl!AF102),"",[1]NLFsmonkeyCompl!AF102),"")</f>
        <v/>
      </c>
      <c r="AE101" s="8" t="str">
        <f>IFERROR(IF(ISBLANK([1]NLFsmonkeyCompl!AG102),"",[1]NLFsmonkeyCompl!AG102),"")</f>
        <v/>
      </c>
      <c r="AF101" s="8" t="str">
        <f>IFERROR(IF(ISBLANK([1]NLFsmonkeyCompl!AH102),"",[1]NLFsmonkeyCompl!AH102),"")</f>
        <v/>
      </c>
      <c r="AG101" s="8" t="str">
        <f>IFERROR(IF(ISBLANK([1]NLFsmonkeyCompl!AI102),"",[1]NLFsmonkeyCompl!AI102),"")</f>
        <v/>
      </c>
    </row>
    <row r="102" spans="1:33" x14ac:dyDescent="0.2">
      <c r="A102" s="5" t="str">
        <f>IF(OR(ISTEXT([1]NLFsmonkeyCompl!J103),ISNUMBER([1]NLFsmonkeyCompl!J103)),[1]NLFsmonkeyCompl!J103,"")</f>
        <v>CapMan Real Estate</v>
      </c>
      <c r="B102" s="6" t="str">
        <f>IF(OR(ISTEXT([1]NLFsmonkeyCompl!K103),ISNUMBER([1]NLFsmonkeyCompl!K103)),[1]NLFsmonkeyCompl!K103,"")</f>
        <v>CapMan Nordic Real Estate III FCP-RAIF</v>
      </c>
      <c r="C102" s="6" t="s">
        <v>58</v>
      </c>
      <c r="D102" s="6" t="str">
        <f>IFERROR(INDEX([1]VehiclesUniverse!$B$2:$EU$700,MATCH(C102,[1]VehiclesUniverse!$A$2:$A$700,0),MATCH($D$1,[1]VehiclesUniverse!$B$1:$EU$1,0)),"")</f>
        <v/>
      </c>
      <c r="E102" s="6" t="str">
        <f>IFERROR(INDEX([1]VehiclesUniverse!$B$2:$EU$700,MATCH(C102,[1]VehiclesUniverse!$A$2:$A$700,0),MATCH($E$1,[1]VehiclesUniverse!$B$1:$EU$1,0)),"")</f>
        <v/>
      </c>
      <c r="F102" s="6" t="str">
        <f>IF(IFERROR(INDEX([1]VehiclesUniverse!$B$2:$EU$700,MATCH($C102,[1]VehiclesUniverse!$A$2:$A$700,0),MATCH($F$1,[1]VehiclesUniverse!$B$1:$EU$1,0)),"")&lt;&gt;0,(IFERROR(INDEX([1]VehiclesUniverse!$B$2:$EU$700,MATCH($C102,[1]VehiclesUniverse!$A$2:$A$700,0),MATCH($F$1,[1]VehiclesUniverse!$B$1:$EU$1,0)),"")),"")</f>
        <v/>
      </c>
      <c r="G102" s="6" t="str">
        <f>IF(ISBLANK([1]NLFsmonkeyCompl!L103),"",[1]NLFsmonkeyCompl!L103)</f>
        <v>Closed end</v>
      </c>
      <c r="H102" s="6" t="str">
        <f>IFERROR(INDEX([1]VehiclesUniverse!$B$2:$EU$700,MATCH(C102,[1]VehiclesUniverse!$A$2:$A$700,0),MATCH($H$1,[1]VehiclesUniverse!$B$1:$EU$1,0)),"")</f>
        <v/>
      </c>
      <c r="I102" s="6" t="str">
        <f>IF(ISBLANK([1]NLFsmonkeyCompl!M103),"",[1]NLFsmonkeyCompl!M103)</f>
        <v>Yes</v>
      </c>
      <c r="J102" s="6" t="str">
        <f>IF(ISBLANK([1]NLFsmonkeyCompl!N103),"",[1]NLFsmonkeyCompl!N103)</f>
        <v/>
      </c>
      <c r="K102" s="6" t="str">
        <f>IF(ISBLANK([1]NLFsmonkeyCompl!O103),"",[1]NLFsmonkeyCompl!O103)</f>
        <v/>
      </c>
      <c r="L102" s="6" t="str">
        <f>IFERROR(INDEX([1]VehiclesUniverse!$B$2:$EU$700,MATCH(C102,[1]VehiclesUniverse!$A$2:$A$700,0),MATCH($L$1,[1]VehiclesUniverse!$B$1:$EU$1,0)),"")</f>
        <v/>
      </c>
      <c r="M102" s="16" t="str">
        <f>IFERROR(VLOOKUP(L102,'[1]Xrate31.12.20'!$K$2:$N$25,3,0),"")</f>
        <v/>
      </c>
      <c r="N102" s="8" t="str">
        <f>IFERROR(IF(ISBLANK([1]NLFsmonkeyCompl!P103),"",[1]NLFsmonkeyCompl!P103*$M102),"")</f>
        <v/>
      </c>
      <c r="O102" s="8" t="str">
        <f>IFERROR(IF(ISBLANK([1]NLFsmonkeyCompl!Q103),"",[1]NLFsmonkeyCompl!Q103*$M102),"")</f>
        <v/>
      </c>
      <c r="P102" s="8" t="str">
        <f>IFERROR(IF(ISBLANK([1]NLFsmonkeyCompl!R103),"",[1]NLFsmonkeyCompl!R103*$M102),"")</f>
        <v/>
      </c>
      <c r="Q102" s="8" t="str">
        <f>IFERROR(IF(ISBLANK([1]NLFsmonkeyCompl!S103),"",[1]NLFsmonkeyCompl!S103*$M102),"")</f>
        <v/>
      </c>
      <c r="R102" s="8" t="str">
        <f>IFERROR(IF(ISBLANK([1]NLFsmonkeyCompl!T103),"",[1]NLFsmonkeyCompl!T103*$M102),"")</f>
        <v/>
      </c>
      <c r="S102" s="8" t="str">
        <f>IFERROR(IF(ISBLANK([1]NLFsmonkeyCompl!U103),"",[1]NLFsmonkeyCompl!U103*$M102),"")</f>
        <v/>
      </c>
      <c r="T102" s="8" t="str">
        <f>IFERROR(IF(ISBLANK([1]NLFsmonkeyCompl!V103),"",[1]NLFsmonkeyCompl!V103*$M102),"")</f>
        <v/>
      </c>
      <c r="U102" s="8" t="str">
        <f>IFERROR(IF(ISBLANK([1]NLFsmonkeyCompl!W103),"",[1]NLFsmonkeyCompl!W103*$M102),"")</f>
        <v/>
      </c>
      <c r="V102" s="8" t="str">
        <f>IFERROR(IF(ISBLANK([1]NLFsmonkeyCompl!X103),"",[1]NLFsmonkeyCompl!X103*$M102),"")</f>
        <v/>
      </c>
      <c r="W102" s="8" t="str">
        <f>IFERROR(IF(ISBLANK([1]NLFsmonkeyCompl!Y103),"",[1]NLFsmonkeyCompl!Y103*$M102),"")</f>
        <v/>
      </c>
      <c r="X102" s="8" t="str">
        <f>IFERROR(IF(ISBLANK([1]NLFsmonkeyCompl!Z103),"",[1]NLFsmonkeyCompl!Z103*$M102),"")</f>
        <v/>
      </c>
      <c r="Y102" s="8" t="str">
        <f>IFERROR(IF(ISBLANK([1]NLFsmonkeyCompl!AA103),"",[1]NLFsmonkeyCompl!AA103*$M102),"")</f>
        <v/>
      </c>
      <c r="Z102" s="8" t="str">
        <f>IFERROR(IF(ISBLANK([1]NLFsmonkeyCompl!AB103),"",[1]NLFsmonkeyCompl!AB103*$M102),"")</f>
        <v/>
      </c>
      <c r="AA102" s="8" t="str">
        <f>IFERROR(IF(ISBLANK([1]NLFsmonkeyCompl!AC103),"",[1]NLFsmonkeyCompl!AC103*$M102),"")</f>
        <v/>
      </c>
      <c r="AB102" s="8">
        <f>IFERROR(IF(ISBLANK([1]NLFsmonkeyCompl!AD103),"",[1]NLFsmonkeyCompl!AD103),"")</f>
        <v>15</v>
      </c>
      <c r="AC102" s="8" t="str">
        <f>IFERROR(IF(ISBLANK([1]NLFsmonkeyCompl!AE103),"",[1]NLFsmonkeyCompl!AE103),"")</f>
        <v/>
      </c>
      <c r="AD102" s="8">
        <f>IFERROR(IF(ISBLANK([1]NLFsmonkeyCompl!AF103),"",[1]NLFsmonkeyCompl!AF103),"")</f>
        <v>85</v>
      </c>
      <c r="AE102" s="8" t="str">
        <f>IFERROR(IF(ISBLANK([1]NLFsmonkeyCompl!AG103),"",[1]NLFsmonkeyCompl!AG103),"")</f>
        <v/>
      </c>
      <c r="AF102" s="8" t="str">
        <f>IFERROR(IF(ISBLANK([1]NLFsmonkeyCompl!AH103),"",[1]NLFsmonkeyCompl!AH103),"")</f>
        <v>Increase</v>
      </c>
      <c r="AG102" s="8" t="str">
        <f>IFERROR(IF(ISBLANK([1]NLFsmonkeyCompl!AI103),"",[1]NLFsmonkeyCompl!AI103),"")</f>
        <v>Yes</v>
      </c>
    </row>
    <row r="103" spans="1:33" x14ac:dyDescent="0.2">
      <c r="A103" s="5" t="str">
        <f>IF(OR(ISTEXT([1]NLFsmonkeyCompl!J104),ISNUMBER([1]NLFsmonkeyCompl!J104)),[1]NLFsmonkeyCompl!J104,"")</f>
        <v>sonae sierra</v>
      </c>
      <c r="B103" s="6" t="str">
        <f>IF(OR(ISTEXT([1]NLFsmonkeyCompl!K104),ISNUMBER([1]NLFsmonkeyCompl!K104)),[1]NLFsmonkeyCompl!K104,"")</f>
        <v>sierra retail ventures</v>
      </c>
      <c r="C103" s="6">
        <v>19558</v>
      </c>
      <c r="D103" s="6" t="str">
        <f>IFERROR(INDEX([1]VehiclesUniverse!$B$2:$EU$700,MATCH(C103,[1]VehiclesUniverse!$A$2:$A$700,0),MATCH($D$1,[1]VehiclesUniverse!$B$1:$EU$1,0)),"")</f>
        <v>Value-added</v>
      </c>
      <c r="E103" s="6" t="str">
        <f>IFERROR(INDEX([1]VehiclesUniverse!$B$2:$EU$700,MATCH(C103,[1]VehiclesUniverse!$A$2:$A$700,0),MATCH($E$1,[1]VehiclesUniverse!$B$1:$EU$1,0)),"")</f>
        <v>single country</v>
      </c>
      <c r="F103" s="6" t="str">
        <f>IF(IFERROR(INDEX([1]VehiclesUniverse!$B$2:$EU$700,MATCH($C103,[1]VehiclesUniverse!$A$2:$A$700,0),MATCH($F$1,[1]VehiclesUniverse!$B$1:$EU$1,0)),"")&lt;&gt;0,(IFERROR(INDEX([1]VehiclesUniverse!$B$2:$EU$700,MATCH($C103,[1]VehiclesUniverse!$A$2:$A$700,0),MATCH($F$1,[1]VehiclesUniverse!$B$1:$EU$1,0)),"")),"")</f>
        <v>Portugal</v>
      </c>
      <c r="G103" s="6" t="str">
        <f>IF(ISBLANK([1]NLFsmonkeyCompl!L104),"",[1]NLFsmonkeyCompl!L104)</f>
        <v>Closed end</v>
      </c>
      <c r="H103" s="6">
        <f>IFERROR(INDEX([1]VehiclesUniverse!$B$2:$EU$700,MATCH(C103,[1]VehiclesUniverse!$A$2:$A$700,0),MATCH($H$1,[1]VehiclesUniverse!$B$1:$EU$1,0)),"")</f>
        <v>2020</v>
      </c>
      <c r="I103" s="6" t="str">
        <f>IF(ISBLANK([1]NLFsmonkeyCompl!M104),"",[1]NLFsmonkeyCompl!M104)</f>
        <v>No</v>
      </c>
      <c r="J103" s="6" t="str">
        <f>IF(ISBLANK([1]NLFsmonkeyCompl!N104),"",[1]NLFsmonkeyCompl!N104)</f>
        <v>Other (please specify)</v>
      </c>
      <c r="K103" s="6" t="str">
        <f>IF(ISBLANK([1]NLFsmonkeyCompl!O104),"",[1]NLFsmonkeyCompl!O104)</f>
        <v>investments monetizing stage</v>
      </c>
      <c r="L103" s="6" t="str">
        <f>IFERROR(INDEX([1]VehiclesUniverse!$B$2:$EU$700,MATCH(C103,[1]VehiclesUniverse!$A$2:$A$700,0),MATCH($L$1,[1]VehiclesUniverse!$B$1:$EU$1,0)),"")</f>
        <v>EUR</v>
      </c>
      <c r="M103" s="16">
        <f>IFERROR(VLOOKUP(L103,'[1]Xrate31.12.20'!$K$2:$N$25,3,0),"")</f>
        <v>1</v>
      </c>
      <c r="N103" s="8" t="str">
        <f>IFERROR(IF(ISBLANK([1]NLFsmonkeyCompl!P104),"",[1]NLFsmonkeyCompl!P104*$M103),"")</f>
        <v/>
      </c>
      <c r="O103" s="8" t="str">
        <f>IFERROR(IF(ISBLANK([1]NLFsmonkeyCompl!Q104),"",[1]NLFsmonkeyCompl!Q104*$M103),"")</f>
        <v/>
      </c>
      <c r="P103" s="8" t="str">
        <f>IFERROR(IF(ISBLANK([1]NLFsmonkeyCompl!R104),"",[1]NLFsmonkeyCompl!R104*$M103),"")</f>
        <v/>
      </c>
      <c r="Q103" s="8" t="str">
        <f>IFERROR(IF(ISBLANK([1]NLFsmonkeyCompl!S104),"",[1]NLFsmonkeyCompl!S104*$M103),"")</f>
        <v/>
      </c>
      <c r="R103" s="8" t="str">
        <f>IFERROR(IF(ISBLANK([1]NLFsmonkeyCompl!T104),"",[1]NLFsmonkeyCompl!T104*$M103),"")</f>
        <v/>
      </c>
      <c r="S103" s="8" t="str">
        <f>IFERROR(IF(ISBLANK([1]NLFsmonkeyCompl!U104),"",[1]NLFsmonkeyCompl!U104*$M103),"")</f>
        <v/>
      </c>
      <c r="T103" s="8" t="str">
        <f>IFERROR(IF(ISBLANK([1]NLFsmonkeyCompl!V104),"",[1]NLFsmonkeyCompl!V104*$M103),"")</f>
        <v/>
      </c>
      <c r="U103" s="8" t="str">
        <f>IFERROR(IF(ISBLANK([1]NLFsmonkeyCompl!W104),"",[1]NLFsmonkeyCompl!W104*$M103),"")</f>
        <v/>
      </c>
      <c r="V103" s="8" t="str">
        <f>IFERROR(IF(ISBLANK([1]NLFsmonkeyCompl!X104),"",[1]NLFsmonkeyCompl!X104*$M103),"")</f>
        <v/>
      </c>
      <c r="W103" s="8" t="str">
        <f>IFERROR(IF(ISBLANK([1]NLFsmonkeyCompl!Y104),"",[1]NLFsmonkeyCompl!Y104*$M103),"")</f>
        <v/>
      </c>
      <c r="X103" s="8" t="str">
        <f>IFERROR(IF(ISBLANK([1]NLFsmonkeyCompl!Z104),"",[1]NLFsmonkeyCompl!Z104*$M103),"")</f>
        <v/>
      </c>
      <c r="Y103" s="8" t="str">
        <f>IFERROR(IF(ISBLANK([1]NLFsmonkeyCompl!AA104),"",[1]NLFsmonkeyCompl!AA104*$M103),"")</f>
        <v/>
      </c>
      <c r="Z103" s="8" t="str">
        <f>IFERROR(IF(ISBLANK([1]NLFsmonkeyCompl!AB104),"",[1]NLFsmonkeyCompl!AB104*$M103),"")</f>
        <v/>
      </c>
      <c r="AA103" s="8" t="str">
        <f>IFERROR(IF(ISBLANK([1]NLFsmonkeyCompl!AC104),"",[1]NLFsmonkeyCompl!AC104*$M103),"")</f>
        <v/>
      </c>
      <c r="AB103" s="8" t="str">
        <f>IFERROR(IF(ISBLANK([1]NLFsmonkeyCompl!AD104),"",[1]NLFsmonkeyCompl!AD104),"")</f>
        <v/>
      </c>
      <c r="AC103" s="8" t="str">
        <f>IFERROR(IF(ISBLANK([1]NLFsmonkeyCompl!AE104),"",[1]NLFsmonkeyCompl!AE104),"")</f>
        <v/>
      </c>
      <c r="AD103" s="8" t="str">
        <f>IFERROR(IF(ISBLANK([1]NLFsmonkeyCompl!AF104),"",[1]NLFsmonkeyCompl!AF104),"")</f>
        <v/>
      </c>
      <c r="AE103" s="8" t="str">
        <f>IFERROR(IF(ISBLANK([1]NLFsmonkeyCompl!AG104),"",[1]NLFsmonkeyCompl!AG104),"")</f>
        <v/>
      </c>
      <c r="AF103" s="8" t="str">
        <f>IFERROR(IF(ISBLANK([1]NLFsmonkeyCompl!AH104),"",[1]NLFsmonkeyCompl!AH104),"")</f>
        <v>Decrease</v>
      </c>
      <c r="AG103" s="8" t="str">
        <f>IFERROR(IF(ISBLANK([1]NLFsmonkeyCompl!AI104),"",[1]NLFsmonkeyCompl!AI104),"")</f>
        <v>Yes</v>
      </c>
    </row>
    <row r="104" spans="1:33" x14ac:dyDescent="0.2">
      <c r="A104" s="5" t="str">
        <f>IF(OR(ISTEXT([1]NLFsmonkeyCompl!J105),ISNUMBER([1]NLFsmonkeyCompl!J105)),[1]NLFsmonkeyCompl!J105,"")</f>
        <v>sonae sierra</v>
      </c>
      <c r="B104" s="6" t="str">
        <f>IF(OR(ISTEXT([1]NLFsmonkeyCompl!K105),ISNUMBER([1]NLFsmonkeyCompl!K105)),[1]NLFsmonkeyCompl!K105,"")</f>
        <v>iberia coop</v>
      </c>
      <c r="C104" s="6">
        <v>18106</v>
      </c>
      <c r="D104" s="6" t="str">
        <f>IFERROR(INDEX([1]VehiclesUniverse!$B$2:$EU$700,MATCH(C104,[1]VehiclesUniverse!$A$2:$A$700,0),MATCH($D$1,[1]VehiclesUniverse!$B$1:$EU$1,0)),"")</f>
        <v>Core</v>
      </c>
      <c r="E104" s="6" t="str">
        <f>IFERROR(INDEX([1]VehiclesUniverse!$B$2:$EU$700,MATCH(C104,[1]VehiclesUniverse!$A$2:$A$700,0),MATCH($E$1,[1]VehiclesUniverse!$B$1:$EU$1,0)),"")</f>
        <v>multi country</v>
      </c>
      <c r="F104" s="6" t="str">
        <f>IF(IFERROR(INDEX([1]VehiclesUniverse!$B$2:$EU$700,MATCH($C104,[1]VehiclesUniverse!$A$2:$A$700,0),MATCH($F$1,[1]VehiclesUniverse!$B$1:$EU$1,0)),"")&lt;&gt;0,(IFERROR(INDEX([1]VehiclesUniverse!$B$2:$EU$700,MATCH($C104,[1]VehiclesUniverse!$A$2:$A$700,0),MATCH($F$1,[1]VehiclesUniverse!$B$1:$EU$1,0)),"")),"")</f>
        <v/>
      </c>
      <c r="G104" s="6" t="str">
        <f>IF(ISBLANK([1]NLFsmonkeyCompl!L105),"",[1]NLFsmonkeyCompl!L105)</f>
        <v>Closed end</v>
      </c>
      <c r="H104" s="6">
        <f>IFERROR(INDEX([1]VehiclesUniverse!$B$2:$EU$700,MATCH(C104,[1]VehiclesUniverse!$A$2:$A$700,0),MATCH($H$1,[1]VehiclesUniverse!$B$1:$EU$1,0)),"")</f>
        <v>2016</v>
      </c>
      <c r="I104" s="6" t="str">
        <f>IF(ISBLANK([1]NLFsmonkeyCompl!M105),"",[1]NLFsmonkeyCompl!M105)</f>
        <v>No</v>
      </c>
      <c r="J104" s="6" t="str">
        <f>IF(ISBLANK([1]NLFsmonkeyCompl!N105),"",[1]NLFsmonkeyCompl!N105)</f>
        <v>Other (please specify)</v>
      </c>
      <c r="K104" s="6" t="str">
        <f>IF(ISBLANK([1]NLFsmonkeyCompl!O105),"",[1]NLFsmonkeyCompl!O105)</f>
        <v>investment period has elapsed</v>
      </c>
      <c r="L104" s="6" t="str">
        <f>IFERROR(INDEX([1]VehiclesUniverse!$B$2:$EU$700,MATCH(C104,[1]VehiclesUniverse!$A$2:$A$700,0),MATCH($L$1,[1]VehiclesUniverse!$B$1:$EU$1,0)),"")</f>
        <v>EUR</v>
      </c>
      <c r="M104" s="16">
        <f>IFERROR(VLOOKUP(L104,'[1]Xrate31.12.20'!$K$2:$N$25,3,0),"")</f>
        <v>1</v>
      </c>
      <c r="N104" s="8" t="str">
        <f>IFERROR(IF(ISBLANK([1]NLFsmonkeyCompl!P105),"",[1]NLFsmonkeyCompl!P105*$M104),"")</f>
        <v/>
      </c>
      <c r="O104" s="8" t="str">
        <f>IFERROR(IF(ISBLANK([1]NLFsmonkeyCompl!Q105),"",[1]NLFsmonkeyCompl!Q105*$M104),"")</f>
        <v/>
      </c>
      <c r="P104" s="8" t="str">
        <f>IFERROR(IF(ISBLANK([1]NLFsmonkeyCompl!R105),"",[1]NLFsmonkeyCompl!R105*$M104),"")</f>
        <v/>
      </c>
      <c r="Q104" s="8" t="str">
        <f>IFERROR(IF(ISBLANK([1]NLFsmonkeyCompl!S105),"",[1]NLFsmonkeyCompl!S105*$M104),"")</f>
        <v/>
      </c>
      <c r="R104" s="8" t="str">
        <f>IFERROR(IF(ISBLANK([1]NLFsmonkeyCompl!T105),"",[1]NLFsmonkeyCompl!T105*$M104),"")</f>
        <v/>
      </c>
      <c r="S104" s="8" t="str">
        <f>IFERROR(IF(ISBLANK([1]NLFsmonkeyCompl!U105),"",[1]NLFsmonkeyCompl!U105*$M104),"")</f>
        <v/>
      </c>
      <c r="T104" s="8" t="str">
        <f>IFERROR(IF(ISBLANK([1]NLFsmonkeyCompl!V105),"",[1]NLFsmonkeyCompl!V105*$M104),"")</f>
        <v/>
      </c>
      <c r="U104" s="8" t="str">
        <f>IFERROR(IF(ISBLANK([1]NLFsmonkeyCompl!W105),"",[1]NLFsmonkeyCompl!W105*$M104),"")</f>
        <v/>
      </c>
      <c r="V104" s="8" t="str">
        <f>IFERROR(IF(ISBLANK([1]NLFsmonkeyCompl!X105),"",[1]NLFsmonkeyCompl!X105*$M104),"")</f>
        <v/>
      </c>
      <c r="W104" s="8" t="str">
        <f>IFERROR(IF(ISBLANK([1]NLFsmonkeyCompl!Y105),"",[1]NLFsmonkeyCompl!Y105*$M104),"")</f>
        <v/>
      </c>
      <c r="X104" s="8" t="str">
        <f>IFERROR(IF(ISBLANK([1]NLFsmonkeyCompl!Z105),"",[1]NLFsmonkeyCompl!Z105*$M104),"")</f>
        <v/>
      </c>
      <c r="Y104" s="8" t="str">
        <f>IFERROR(IF(ISBLANK([1]NLFsmonkeyCompl!AA105),"",[1]NLFsmonkeyCompl!AA105*$M104),"")</f>
        <v/>
      </c>
      <c r="Z104" s="8" t="str">
        <f>IFERROR(IF(ISBLANK([1]NLFsmonkeyCompl!AB105),"",[1]NLFsmonkeyCompl!AB105*$M104),"")</f>
        <v/>
      </c>
      <c r="AA104" s="8" t="str">
        <f>IFERROR(IF(ISBLANK([1]NLFsmonkeyCompl!AC105),"",[1]NLFsmonkeyCompl!AC105*$M104),"")</f>
        <v/>
      </c>
      <c r="AB104" s="8" t="str">
        <f>IFERROR(IF(ISBLANK([1]NLFsmonkeyCompl!AD105),"",[1]NLFsmonkeyCompl!AD105),"")</f>
        <v/>
      </c>
      <c r="AC104" s="8" t="str">
        <f>IFERROR(IF(ISBLANK([1]NLFsmonkeyCompl!AE105),"",[1]NLFsmonkeyCompl!AE105),"")</f>
        <v/>
      </c>
      <c r="AD104" s="8" t="str">
        <f>IFERROR(IF(ISBLANK([1]NLFsmonkeyCompl!AF105),"",[1]NLFsmonkeyCompl!AF105),"")</f>
        <v/>
      </c>
      <c r="AE104" s="8" t="str">
        <f>IFERROR(IF(ISBLANK([1]NLFsmonkeyCompl!AG105),"",[1]NLFsmonkeyCompl!AG105),"")</f>
        <v/>
      </c>
      <c r="AF104" s="8" t="str">
        <f>IFERROR(IF(ISBLANK([1]NLFsmonkeyCompl!AH105),"",[1]NLFsmonkeyCompl!AH105),"")</f>
        <v>Decrease</v>
      </c>
      <c r="AG104" s="8" t="str">
        <f>IFERROR(IF(ISBLANK([1]NLFsmonkeyCompl!AI105),"",[1]NLFsmonkeyCompl!AI105),"")</f>
        <v>Yes</v>
      </c>
    </row>
    <row r="105" spans="1:33" x14ac:dyDescent="0.2">
      <c r="A105" s="5" t="str">
        <f>IF(OR(ISTEXT([1]NLFsmonkeyCompl!J106),ISNUMBER([1]NLFsmonkeyCompl!J106)),[1]NLFsmonkeyCompl!J106,"")</f>
        <v>sonae sierra</v>
      </c>
      <c r="B105" s="6" t="str">
        <f>IF(OR(ISTEXT([1]NLFsmonkeyCompl!K106),ISNUMBER([1]NLFsmonkeyCompl!K106)),[1]NLFsmonkeyCompl!K106,"")</f>
        <v>sierra portugal fund</v>
      </c>
      <c r="C105" s="6">
        <v>421</v>
      </c>
      <c r="D105" s="6" t="str">
        <f>IFERROR(INDEX([1]VehiclesUniverse!$B$2:$EU$700,MATCH(C105,[1]VehiclesUniverse!$A$2:$A$700,0),MATCH($D$1,[1]VehiclesUniverse!$B$1:$EU$1,0)),"")</f>
        <v>Core</v>
      </c>
      <c r="E105" s="6" t="str">
        <f>IFERROR(INDEX([1]VehiclesUniverse!$B$2:$EU$700,MATCH(C105,[1]VehiclesUniverse!$A$2:$A$700,0),MATCH($E$1,[1]VehiclesUniverse!$B$1:$EU$1,0)),"")</f>
        <v>single country</v>
      </c>
      <c r="F105" s="6" t="str">
        <f>IF(IFERROR(INDEX([1]VehiclesUniverse!$B$2:$EU$700,MATCH($C105,[1]VehiclesUniverse!$A$2:$A$700,0),MATCH($F$1,[1]VehiclesUniverse!$B$1:$EU$1,0)),"")&lt;&gt;0,(IFERROR(INDEX([1]VehiclesUniverse!$B$2:$EU$700,MATCH($C105,[1]VehiclesUniverse!$A$2:$A$700,0),MATCH($F$1,[1]VehiclesUniverse!$B$1:$EU$1,0)),"")),"")</f>
        <v>Portugal</v>
      </c>
      <c r="G105" s="6" t="str">
        <f>IF(ISBLANK([1]NLFsmonkeyCompl!L106),"",[1]NLFsmonkeyCompl!L106)</f>
        <v>Closed end</v>
      </c>
      <c r="H105" s="6">
        <f>IFERROR(INDEX([1]VehiclesUniverse!$B$2:$EU$700,MATCH(C105,[1]VehiclesUniverse!$A$2:$A$700,0),MATCH($H$1,[1]VehiclesUniverse!$B$1:$EU$1,0)),"")</f>
        <v>2008</v>
      </c>
      <c r="I105" s="6" t="str">
        <f>IF(ISBLANK([1]NLFsmonkeyCompl!M106),"",[1]NLFsmonkeyCompl!M106)</f>
        <v>No</v>
      </c>
      <c r="J105" s="6" t="str">
        <f>IF(ISBLANK([1]NLFsmonkeyCompl!N106),"",[1]NLFsmonkeyCompl!N106)</f>
        <v>Other (please specify)</v>
      </c>
      <c r="K105" s="6" t="str">
        <f>IF(ISBLANK([1]NLFsmonkeyCompl!O106),"",[1]NLFsmonkeyCompl!O106)</f>
        <v>investments monetizing stage</v>
      </c>
      <c r="L105" s="6" t="str">
        <f>IFERROR(INDEX([1]VehiclesUniverse!$B$2:$EU$700,MATCH(C105,[1]VehiclesUniverse!$A$2:$A$700,0),MATCH($L$1,[1]VehiclesUniverse!$B$1:$EU$1,0)),"")</f>
        <v>EUR</v>
      </c>
      <c r="M105" s="16">
        <f>IFERROR(VLOOKUP(L105,'[1]Xrate31.12.20'!$K$2:$N$25,3,0),"")</f>
        <v>1</v>
      </c>
      <c r="N105" s="8" t="str">
        <f>IFERROR(IF(ISBLANK([1]NLFsmonkeyCompl!P106),"",[1]NLFsmonkeyCompl!P106*$M105),"")</f>
        <v/>
      </c>
      <c r="O105" s="8" t="str">
        <f>IFERROR(IF(ISBLANK([1]NLFsmonkeyCompl!Q106),"",[1]NLFsmonkeyCompl!Q106*$M105),"")</f>
        <v/>
      </c>
      <c r="P105" s="8" t="str">
        <f>IFERROR(IF(ISBLANK([1]NLFsmonkeyCompl!R106),"",[1]NLFsmonkeyCompl!R106*$M105),"")</f>
        <v/>
      </c>
      <c r="Q105" s="8" t="str">
        <f>IFERROR(IF(ISBLANK([1]NLFsmonkeyCompl!S106),"",[1]NLFsmonkeyCompl!S106*$M105),"")</f>
        <v/>
      </c>
      <c r="R105" s="8" t="str">
        <f>IFERROR(IF(ISBLANK([1]NLFsmonkeyCompl!T106),"",[1]NLFsmonkeyCompl!T106*$M105),"")</f>
        <v/>
      </c>
      <c r="S105" s="8" t="str">
        <f>IFERROR(IF(ISBLANK([1]NLFsmonkeyCompl!U106),"",[1]NLFsmonkeyCompl!U106*$M105),"")</f>
        <v/>
      </c>
      <c r="T105" s="8" t="str">
        <f>IFERROR(IF(ISBLANK([1]NLFsmonkeyCompl!V106),"",[1]NLFsmonkeyCompl!V106*$M105),"")</f>
        <v/>
      </c>
      <c r="U105" s="8" t="str">
        <f>IFERROR(IF(ISBLANK([1]NLFsmonkeyCompl!W106),"",[1]NLFsmonkeyCompl!W106*$M105),"")</f>
        <v/>
      </c>
      <c r="V105" s="8" t="str">
        <f>IFERROR(IF(ISBLANK([1]NLFsmonkeyCompl!X106),"",[1]NLFsmonkeyCompl!X106*$M105),"")</f>
        <v/>
      </c>
      <c r="W105" s="8" t="str">
        <f>IFERROR(IF(ISBLANK([1]NLFsmonkeyCompl!Y106),"",[1]NLFsmonkeyCompl!Y106*$M105),"")</f>
        <v/>
      </c>
      <c r="X105" s="8" t="str">
        <f>IFERROR(IF(ISBLANK([1]NLFsmonkeyCompl!Z106),"",[1]NLFsmonkeyCompl!Z106*$M105),"")</f>
        <v/>
      </c>
      <c r="Y105" s="8" t="str">
        <f>IFERROR(IF(ISBLANK([1]NLFsmonkeyCompl!AA106),"",[1]NLFsmonkeyCompl!AA106*$M105),"")</f>
        <v/>
      </c>
      <c r="Z105" s="8" t="str">
        <f>IFERROR(IF(ISBLANK([1]NLFsmonkeyCompl!AB106),"",[1]NLFsmonkeyCompl!AB106*$M105),"")</f>
        <v/>
      </c>
      <c r="AA105" s="8" t="str">
        <f>IFERROR(IF(ISBLANK([1]NLFsmonkeyCompl!AC106),"",[1]NLFsmonkeyCompl!AC106*$M105),"")</f>
        <v/>
      </c>
      <c r="AB105" s="8" t="str">
        <f>IFERROR(IF(ISBLANK([1]NLFsmonkeyCompl!AD106),"",[1]NLFsmonkeyCompl!AD106),"")</f>
        <v/>
      </c>
      <c r="AC105" s="8" t="str">
        <f>IFERROR(IF(ISBLANK([1]NLFsmonkeyCompl!AE106),"",[1]NLFsmonkeyCompl!AE106),"")</f>
        <v/>
      </c>
      <c r="AD105" s="8" t="str">
        <f>IFERROR(IF(ISBLANK([1]NLFsmonkeyCompl!AF106),"",[1]NLFsmonkeyCompl!AF106),"")</f>
        <v/>
      </c>
      <c r="AE105" s="8" t="str">
        <f>IFERROR(IF(ISBLANK([1]NLFsmonkeyCompl!AG106),"",[1]NLFsmonkeyCompl!AG106),"")</f>
        <v/>
      </c>
      <c r="AF105" s="8" t="str">
        <f>IFERROR(IF(ISBLANK([1]NLFsmonkeyCompl!AH106),"",[1]NLFsmonkeyCompl!AH106),"")</f>
        <v>Decrease</v>
      </c>
      <c r="AG105" s="8" t="str">
        <f>IFERROR(IF(ISBLANK([1]NLFsmonkeyCompl!AI106),"",[1]NLFsmonkeyCompl!AI106),"")</f>
        <v>Yes</v>
      </c>
    </row>
    <row r="106" spans="1:33" x14ac:dyDescent="0.2">
      <c r="A106" s="5" t="str">
        <f>IF(OR(ISTEXT([1]NLFsmonkeyCompl!J107),ISNUMBER([1]NLFsmonkeyCompl!J107)),[1]NLFsmonkeyCompl!J107,"")</f>
        <v>sonae sierra</v>
      </c>
      <c r="B106" s="6" t="str">
        <f>IF(OR(ISTEXT([1]NLFsmonkeyCompl!K107),ISNUMBER([1]NLFsmonkeyCompl!K107)),[1]NLFsmonkeyCompl!K107,"")</f>
        <v>sierra prime</v>
      </c>
      <c r="C106" s="6">
        <v>415</v>
      </c>
      <c r="D106" s="6" t="str">
        <f>IFERROR(INDEX([1]VehiclesUniverse!$B$2:$EU$700,MATCH(C106,[1]VehiclesUniverse!$A$2:$A$700,0),MATCH($D$1,[1]VehiclesUniverse!$B$1:$EU$1,0)),"")</f>
        <v>Core</v>
      </c>
      <c r="E106" s="6" t="str">
        <f>IFERROR(INDEX([1]VehiclesUniverse!$B$2:$EU$700,MATCH(C106,[1]VehiclesUniverse!$A$2:$A$700,0),MATCH($E$1,[1]VehiclesUniverse!$B$1:$EU$1,0)),"")</f>
        <v>multi country</v>
      </c>
      <c r="F106" s="6" t="str">
        <f>IF(IFERROR(INDEX([1]VehiclesUniverse!$B$2:$EU$700,MATCH($C106,[1]VehiclesUniverse!$A$2:$A$700,0),MATCH($F$1,[1]VehiclesUniverse!$B$1:$EU$1,0)),"")&lt;&gt;0,(IFERROR(INDEX([1]VehiclesUniverse!$B$2:$EU$700,MATCH($C106,[1]VehiclesUniverse!$A$2:$A$700,0),MATCH($F$1,[1]VehiclesUniverse!$B$1:$EU$1,0)),"")),"")</f>
        <v/>
      </c>
      <c r="G106" s="6" t="str">
        <f>IF(ISBLANK([1]NLFsmonkeyCompl!L107),"",[1]NLFsmonkeyCompl!L107)</f>
        <v>Closed end</v>
      </c>
      <c r="H106" s="6">
        <f>IFERROR(INDEX([1]VehiclesUniverse!$B$2:$EU$700,MATCH(C106,[1]VehiclesUniverse!$A$2:$A$700,0),MATCH($H$1,[1]VehiclesUniverse!$B$1:$EU$1,0)),"")</f>
        <v>2003</v>
      </c>
      <c r="I106" s="6" t="str">
        <f>IF(ISBLANK([1]NLFsmonkeyCompl!M107),"",[1]NLFsmonkeyCompl!M107)</f>
        <v>Yes</v>
      </c>
      <c r="J106" s="6" t="str">
        <f>IF(ISBLANK([1]NLFsmonkeyCompl!N107),"",[1]NLFsmonkeyCompl!N107)</f>
        <v/>
      </c>
      <c r="K106" s="6" t="str">
        <f>IF(ISBLANK([1]NLFsmonkeyCompl!O107),"",[1]NLFsmonkeyCompl!O107)</f>
        <v/>
      </c>
      <c r="L106" s="6" t="str">
        <f>IFERROR(INDEX([1]VehiclesUniverse!$B$2:$EU$700,MATCH(C106,[1]VehiclesUniverse!$A$2:$A$700,0),MATCH($L$1,[1]VehiclesUniverse!$B$1:$EU$1,0)),"")</f>
        <v>EUR</v>
      </c>
      <c r="M106" s="16">
        <f>IFERROR(VLOOKUP(L106,'[1]Xrate31.12.20'!$K$2:$N$25,3,0),"")</f>
        <v>1</v>
      </c>
      <c r="N106" s="8">
        <f>IFERROR(IF(ISBLANK([1]NLFsmonkeyCompl!P107),"",[1]NLFsmonkeyCompl!P107*$M106),"")</f>
        <v>520</v>
      </c>
      <c r="O106" s="8">
        <f>IFERROR(IF(ISBLANK([1]NLFsmonkeyCompl!Q107),"",[1]NLFsmonkeyCompl!Q107*$M106),"")</f>
        <v>260</v>
      </c>
      <c r="P106" s="8">
        <f>IFERROR(IF(ISBLANK([1]NLFsmonkeyCompl!R107),"",[1]NLFsmonkeyCompl!R107*$M106),"")</f>
        <v>260</v>
      </c>
      <c r="Q106" s="8" t="str">
        <f>IFERROR(IF(ISBLANK([1]NLFsmonkeyCompl!S107),"",[1]NLFsmonkeyCompl!S107*$M106),"")</f>
        <v/>
      </c>
      <c r="R106" s="8" t="str">
        <f>IFERROR(IF(ISBLANK([1]NLFsmonkeyCompl!T107),"",[1]NLFsmonkeyCompl!T107*$M106),"")</f>
        <v/>
      </c>
      <c r="S106" s="8" t="str">
        <f>IFERROR(IF(ISBLANK([1]NLFsmonkeyCompl!U107),"",[1]NLFsmonkeyCompl!U107*$M106),"")</f>
        <v/>
      </c>
      <c r="T106" s="8" t="str">
        <f>IFERROR(IF(ISBLANK([1]NLFsmonkeyCompl!V107),"",[1]NLFsmonkeyCompl!V107*$M106),"")</f>
        <v/>
      </c>
      <c r="U106" s="8" t="str">
        <f>IFERROR(IF(ISBLANK([1]NLFsmonkeyCompl!W107),"",[1]NLFsmonkeyCompl!W107*$M106),"")</f>
        <v/>
      </c>
      <c r="V106" s="8" t="str">
        <f>IFERROR(IF(ISBLANK([1]NLFsmonkeyCompl!X107),"",[1]NLFsmonkeyCompl!X107*$M106),"")</f>
        <v/>
      </c>
      <c r="W106" s="8">
        <f>IFERROR(IF(ISBLANK([1]NLFsmonkeyCompl!Y107),"",[1]NLFsmonkeyCompl!Y107*$M106),"")</f>
        <v>520</v>
      </c>
      <c r="X106" s="8" t="str">
        <f>IFERROR(IF(ISBLANK([1]NLFsmonkeyCompl!Z107),"",[1]NLFsmonkeyCompl!Z107*$M106),"")</f>
        <v/>
      </c>
      <c r="Y106" s="8" t="str">
        <f>IFERROR(IF(ISBLANK([1]NLFsmonkeyCompl!AA107),"",[1]NLFsmonkeyCompl!AA107*$M106),"")</f>
        <v/>
      </c>
      <c r="Z106" s="8" t="str">
        <f>IFERROR(IF(ISBLANK([1]NLFsmonkeyCompl!AB107),"",[1]NLFsmonkeyCompl!AB107*$M106),"")</f>
        <v/>
      </c>
      <c r="AA106" s="8" t="str">
        <f>IFERROR(IF(ISBLANK([1]NLFsmonkeyCompl!AC107),"",[1]NLFsmonkeyCompl!AC107*$M106),"")</f>
        <v/>
      </c>
      <c r="AB106" s="8">
        <f>IFERROR(IF(ISBLANK([1]NLFsmonkeyCompl!AD107),"",[1]NLFsmonkeyCompl!AD107),"")</f>
        <v>100</v>
      </c>
      <c r="AC106" s="8" t="str">
        <f>IFERROR(IF(ISBLANK([1]NLFsmonkeyCompl!AE107),"",[1]NLFsmonkeyCompl!AE107),"")</f>
        <v/>
      </c>
      <c r="AD106" s="8" t="str">
        <f>IFERROR(IF(ISBLANK([1]NLFsmonkeyCompl!AF107),"",[1]NLFsmonkeyCompl!AF107),"")</f>
        <v/>
      </c>
      <c r="AE106" s="8" t="str">
        <f>IFERROR(IF(ISBLANK([1]NLFsmonkeyCompl!AG107),"",[1]NLFsmonkeyCompl!AG107),"")</f>
        <v/>
      </c>
      <c r="AF106" s="8" t="str">
        <f>IFERROR(IF(ISBLANK([1]NLFsmonkeyCompl!AH107),"",[1]NLFsmonkeyCompl!AH107),"")</f>
        <v>No change</v>
      </c>
      <c r="AG106" s="8" t="str">
        <f>IFERROR(IF(ISBLANK([1]NLFsmonkeyCompl!AI107),"",[1]NLFsmonkeyCompl!AI107),"")</f>
        <v>Yes</v>
      </c>
    </row>
    <row r="107" spans="1:33" x14ac:dyDescent="0.2">
      <c r="A107" s="5" t="str">
        <f>IF(OR(ISTEXT([1]NLFsmonkeyCompl!J108),ISNUMBER([1]NLFsmonkeyCompl!J108)),[1]NLFsmonkeyCompl!J108,"")</f>
        <v>Amvest Management B.V.</v>
      </c>
      <c r="B107" s="6" t="str">
        <f>IF(OR(ISTEXT([1]NLFsmonkeyCompl!K108),ISNUMBER([1]NLFsmonkeyCompl!K108)),[1]NLFsmonkeyCompl!K108,"")</f>
        <v>Amvest Living and Care Fund</v>
      </c>
      <c r="C107" s="6">
        <v>19273</v>
      </c>
      <c r="D107" s="6" t="str">
        <f>IFERROR(INDEX([1]VehiclesUniverse!$B$2:$EU$700,MATCH(C107,[1]VehiclesUniverse!$A$2:$A$700,0),MATCH($D$1,[1]VehiclesUniverse!$B$1:$EU$1,0)),"")</f>
        <v>Core</v>
      </c>
      <c r="E107" s="6" t="str">
        <f>IFERROR(INDEX([1]VehiclesUniverse!$B$2:$EU$700,MATCH(C107,[1]VehiclesUniverse!$A$2:$A$700,0),MATCH($E$1,[1]VehiclesUniverse!$B$1:$EU$1,0)),"")</f>
        <v>single country</v>
      </c>
      <c r="F107" s="6" t="str">
        <f>IF(IFERROR(INDEX([1]VehiclesUniverse!$B$2:$EU$700,MATCH($C107,[1]VehiclesUniverse!$A$2:$A$700,0),MATCH($F$1,[1]VehiclesUniverse!$B$1:$EU$1,0)),"")&lt;&gt;0,(IFERROR(INDEX([1]VehiclesUniverse!$B$2:$EU$700,MATCH($C107,[1]VehiclesUniverse!$A$2:$A$700,0),MATCH($F$1,[1]VehiclesUniverse!$B$1:$EU$1,0)),"")),"")</f>
        <v>Netherlands</v>
      </c>
      <c r="G107" s="6" t="str">
        <f>IF(ISBLANK([1]NLFsmonkeyCompl!L108),"",[1]NLFsmonkeyCompl!L108)</f>
        <v>Open end</v>
      </c>
      <c r="H107" s="6">
        <f>IFERROR(INDEX([1]VehiclesUniverse!$B$2:$EU$700,MATCH(C107,[1]VehiclesUniverse!$A$2:$A$700,0),MATCH($H$1,[1]VehiclesUniverse!$B$1:$EU$1,0)),"")</f>
        <v>2016</v>
      </c>
      <c r="I107" s="6" t="str">
        <f>IF(ISBLANK([1]NLFsmonkeyCompl!M108),"",[1]NLFsmonkeyCompl!M108)</f>
        <v>No</v>
      </c>
      <c r="J107" s="6" t="str">
        <f>IF(ISBLANK([1]NLFsmonkeyCompl!N108),"",[1]NLFsmonkeyCompl!N108)</f>
        <v>Other (please specify)</v>
      </c>
      <c r="K107" s="6" t="str">
        <f>IF(ISBLANK([1]NLFsmonkeyCompl!O108),"",[1]NLFsmonkeyCompl!O108)</f>
        <v>Sufficient capital for coming periods</v>
      </c>
      <c r="L107" s="6" t="str">
        <f>IFERROR(INDEX([1]VehiclesUniverse!$B$2:$EU$700,MATCH(C107,[1]VehiclesUniverse!$A$2:$A$700,0),MATCH($L$1,[1]VehiclesUniverse!$B$1:$EU$1,0)),"")</f>
        <v>EUR</v>
      </c>
      <c r="M107" s="16">
        <f>IFERROR(VLOOKUP(L107,'[1]Xrate31.12.20'!$K$2:$N$25,3,0),"")</f>
        <v>1</v>
      </c>
      <c r="N107" s="8" t="str">
        <f>IFERROR(IF(ISBLANK([1]NLFsmonkeyCompl!P108),"",[1]NLFsmonkeyCompl!P108*$M107),"")</f>
        <v/>
      </c>
      <c r="O107" s="8" t="str">
        <f>IFERROR(IF(ISBLANK([1]NLFsmonkeyCompl!Q108),"",[1]NLFsmonkeyCompl!Q108*$M107),"")</f>
        <v/>
      </c>
      <c r="P107" s="8" t="str">
        <f>IFERROR(IF(ISBLANK([1]NLFsmonkeyCompl!R108),"",[1]NLFsmonkeyCompl!R108*$M107),"")</f>
        <v/>
      </c>
      <c r="Q107" s="8" t="str">
        <f>IFERROR(IF(ISBLANK([1]NLFsmonkeyCompl!S108),"",[1]NLFsmonkeyCompl!S108*$M107),"")</f>
        <v/>
      </c>
      <c r="R107" s="8" t="str">
        <f>IFERROR(IF(ISBLANK([1]NLFsmonkeyCompl!T108),"",[1]NLFsmonkeyCompl!T108*$M107),"")</f>
        <v/>
      </c>
      <c r="S107" s="8" t="str">
        <f>IFERROR(IF(ISBLANK([1]NLFsmonkeyCompl!U108),"",[1]NLFsmonkeyCompl!U108*$M107),"")</f>
        <v/>
      </c>
      <c r="T107" s="8" t="str">
        <f>IFERROR(IF(ISBLANK([1]NLFsmonkeyCompl!V108),"",[1]NLFsmonkeyCompl!V108*$M107),"")</f>
        <v/>
      </c>
      <c r="U107" s="8" t="str">
        <f>IFERROR(IF(ISBLANK([1]NLFsmonkeyCompl!W108),"",[1]NLFsmonkeyCompl!W108*$M107),"")</f>
        <v/>
      </c>
      <c r="V107" s="8" t="str">
        <f>IFERROR(IF(ISBLANK([1]NLFsmonkeyCompl!X108),"",[1]NLFsmonkeyCompl!X108*$M107),"")</f>
        <v/>
      </c>
      <c r="W107" s="8" t="str">
        <f>IFERROR(IF(ISBLANK([1]NLFsmonkeyCompl!Y108),"",[1]NLFsmonkeyCompl!Y108*$M107),"")</f>
        <v/>
      </c>
      <c r="X107" s="8" t="str">
        <f>IFERROR(IF(ISBLANK([1]NLFsmonkeyCompl!Z108),"",[1]NLFsmonkeyCompl!Z108*$M107),"")</f>
        <v/>
      </c>
      <c r="Y107" s="8" t="str">
        <f>IFERROR(IF(ISBLANK([1]NLFsmonkeyCompl!AA108),"",[1]NLFsmonkeyCompl!AA108*$M107),"")</f>
        <v/>
      </c>
      <c r="Z107" s="8" t="str">
        <f>IFERROR(IF(ISBLANK([1]NLFsmonkeyCompl!AB108),"",[1]NLFsmonkeyCompl!AB108*$M107),"")</f>
        <v/>
      </c>
      <c r="AA107" s="8" t="str">
        <f>IFERROR(IF(ISBLANK([1]NLFsmonkeyCompl!AC108),"",[1]NLFsmonkeyCompl!AC108*$M107),"")</f>
        <v/>
      </c>
      <c r="AB107" s="8" t="str">
        <f>IFERROR(IF(ISBLANK([1]NLFsmonkeyCompl!AD108),"",[1]NLFsmonkeyCompl!AD108),"")</f>
        <v/>
      </c>
      <c r="AC107" s="8" t="str">
        <f>IFERROR(IF(ISBLANK([1]NLFsmonkeyCompl!AE108),"",[1]NLFsmonkeyCompl!AE108),"")</f>
        <v/>
      </c>
      <c r="AD107" s="8" t="str">
        <f>IFERROR(IF(ISBLANK([1]NLFsmonkeyCompl!AF108),"",[1]NLFsmonkeyCompl!AF108),"")</f>
        <v/>
      </c>
      <c r="AE107" s="8" t="str">
        <f>IFERROR(IF(ISBLANK([1]NLFsmonkeyCompl!AG108),"",[1]NLFsmonkeyCompl!AG108),"")</f>
        <v/>
      </c>
      <c r="AF107" s="8" t="str">
        <f>IFERROR(IF(ISBLANK([1]NLFsmonkeyCompl!AH108),"",[1]NLFsmonkeyCompl!AH108),"")</f>
        <v>Increase</v>
      </c>
      <c r="AG107" s="8" t="str">
        <f>IFERROR(IF(ISBLANK([1]NLFsmonkeyCompl!AI108),"",[1]NLFsmonkeyCompl!AI108),"")</f>
        <v>No</v>
      </c>
    </row>
    <row r="108" spans="1:33" x14ac:dyDescent="0.2">
      <c r="A108" s="5" t="str">
        <f>IF(OR(ISTEXT([1]NLFsmonkeyCompl!J109),ISNUMBER([1]NLFsmonkeyCompl!J109)),[1]NLFsmonkeyCompl!J109,"")</f>
        <v>Amvest Management B.V.</v>
      </c>
      <c r="B108" s="6" t="str">
        <f>IF(OR(ISTEXT([1]NLFsmonkeyCompl!K109),ISNUMBER([1]NLFsmonkeyCompl!K109)),[1]NLFsmonkeyCompl!K109,"")</f>
        <v>Amvest Residential Core Fund</v>
      </c>
      <c r="C108" s="6">
        <v>16092</v>
      </c>
      <c r="D108" s="6" t="str">
        <f>IFERROR(INDEX([1]VehiclesUniverse!$B$2:$EU$700,MATCH(C108,[1]VehiclesUniverse!$A$2:$A$700,0),MATCH($D$1,[1]VehiclesUniverse!$B$1:$EU$1,0)),"")</f>
        <v>Core</v>
      </c>
      <c r="E108" s="6" t="str">
        <f>IFERROR(INDEX([1]VehiclesUniverse!$B$2:$EU$700,MATCH(C108,[1]VehiclesUniverse!$A$2:$A$700,0),MATCH($E$1,[1]VehiclesUniverse!$B$1:$EU$1,0)),"")</f>
        <v>single country</v>
      </c>
      <c r="F108" s="6" t="str">
        <f>IF(IFERROR(INDEX([1]VehiclesUniverse!$B$2:$EU$700,MATCH($C108,[1]VehiclesUniverse!$A$2:$A$700,0),MATCH($F$1,[1]VehiclesUniverse!$B$1:$EU$1,0)),"")&lt;&gt;0,(IFERROR(INDEX([1]VehiclesUniverse!$B$2:$EU$700,MATCH($C108,[1]VehiclesUniverse!$A$2:$A$700,0),MATCH($F$1,[1]VehiclesUniverse!$B$1:$EU$1,0)),"")),"")</f>
        <v>Netherlands</v>
      </c>
      <c r="G108" s="6" t="str">
        <f>IF(ISBLANK([1]NLFsmonkeyCompl!L109),"",[1]NLFsmonkeyCompl!L109)</f>
        <v>Open end</v>
      </c>
      <c r="H108" s="6">
        <f>IFERROR(INDEX([1]VehiclesUniverse!$B$2:$EU$700,MATCH(C108,[1]VehiclesUniverse!$A$2:$A$700,0),MATCH($H$1,[1]VehiclesUniverse!$B$1:$EU$1,0)),"")</f>
        <v>2010</v>
      </c>
      <c r="I108" s="6" t="str">
        <f>IF(ISBLANK([1]NLFsmonkeyCompl!M109),"",[1]NLFsmonkeyCompl!M109)</f>
        <v>No</v>
      </c>
      <c r="J108" s="6" t="str">
        <f>IF(ISBLANK([1]NLFsmonkeyCompl!N109),"",[1]NLFsmonkeyCompl!N109)</f>
        <v>Other (please specify)</v>
      </c>
      <c r="K108" s="6" t="str">
        <f>IF(ISBLANK([1]NLFsmonkeyCompl!O109),"",[1]NLFsmonkeyCompl!O109)</f>
        <v>Sufficient capital for coming periods and capital raising expires in 3 years after signing</v>
      </c>
      <c r="L108" s="6" t="str">
        <f>IFERROR(INDEX([1]VehiclesUniverse!$B$2:$EU$700,MATCH(C108,[1]VehiclesUniverse!$A$2:$A$700,0),MATCH($L$1,[1]VehiclesUniverse!$B$1:$EU$1,0)),"")</f>
        <v>EUR</v>
      </c>
      <c r="M108" s="16">
        <f>IFERROR(VLOOKUP(L108,'[1]Xrate31.12.20'!$K$2:$N$25,3,0),"")</f>
        <v>1</v>
      </c>
      <c r="N108" s="8" t="str">
        <f>IFERROR(IF(ISBLANK([1]NLFsmonkeyCompl!P109),"",[1]NLFsmonkeyCompl!P109*$M108),"")</f>
        <v/>
      </c>
      <c r="O108" s="8" t="str">
        <f>IFERROR(IF(ISBLANK([1]NLFsmonkeyCompl!Q109),"",[1]NLFsmonkeyCompl!Q109*$M108),"")</f>
        <v/>
      </c>
      <c r="P108" s="8" t="str">
        <f>IFERROR(IF(ISBLANK([1]NLFsmonkeyCompl!R109),"",[1]NLFsmonkeyCompl!R109*$M108),"")</f>
        <v/>
      </c>
      <c r="Q108" s="8" t="str">
        <f>IFERROR(IF(ISBLANK([1]NLFsmonkeyCompl!S109),"",[1]NLFsmonkeyCompl!S109*$M108),"")</f>
        <v/>
      </c>
      <c r="R108" s="8" t="str">
        <f>IFERROR(IF(ISBLANK([1]NLFsmonkeyCompl!T109),"",[1]NLFsmonkeyCompl!T109*$M108),"")</f>
        <v/>
      </c>
      <c r="S108" s="8" t="str">
        <f>IFERROR(IF(ISBLANK([1]NLFsmonkeyCompl!U109),"",[1]NLFsmonkeyCompl!U109*$M108),"")</f>
        <v/>
      </c>
      <c r="T108" s="8" t="str">
        <f>IFERROR(IF(ISBLANK([1]NLFsmonkeyCompl!V109),"",[1]NLFsmonkeyCompl!V109*$M108),"")</f>
        <v/>
      </c>
      <c r="U108" s="8" t="str">
        <f>IFERROR(IF(ISBLANK([1]NLFsmonkeyCompl!W109),"",[1]NLFsmonkeyCompl!W109*$M108),"")</f>
        <v/>
      </c>
      <c r="V108" s="8" t="str">
        <f>IFERROR(IF(ISBLANK([1]NLFsmonkeyCompl!X109),"",[1]NLFsmonkeyCompl!X109*$M108),"")</f>
        <v/>
      </c>
      <c r="W108" s="8" t="str">
        <f>IFERROR(IF(ISBLANK([1]NLFsmonkeyCompl!Y109),"",[1]NLFsmonkeyCompl!Y109*$M108),"")</f>
        <v/>
      </c>
      <c r="X108" s="8" t="str">
        <f>IFERROR(IF(ISBLANK([1]NLFsmonkeyCompl!Z109),"",[1]NLFsmonkeyCompl!Z109*$M108),"")</f>
        <v/>
      </c>
      <c r="Y108" s="8" t="str">
        <f>IFERROR(IF(ISBLANK([1]NLFsmonkeyCompl!AA109),"",[1]NLFsmonkeyCompl!AA109*$M108),"")</f>
        <v/>
      </c>
      <c r="Z108" s="8" t="str">
        <f>IFERROR(IF(ISBLANK([1]NLFsmonkeyCompl!AB109),"",[1]NLFsmonkeyCompl!AB109*$M108),"")</f>
        <v/>
      </c>
      <c r="AA108" s="8" t="str">
        <f>IFERROR(IF(ISBLANK([1]NLFsmonkeyCompl!AC109),"",[1]NLFsmonkeyCompl!AC109*$M108),"")</f>
        <v/>
      </c>
      <c r="AB108" s="8" t="str">
        <f>IFERROR(IF(ISBLANK([1]NLFsmonkeyCompl!AD109),"",[1]NLFsmonkeyCompl!AD109),"")</f>
        <v/>
      </c>
      <c r="AC108" s="8" t="str">
        <f>IFERROR(IF(ISBLANK([1]NLFsmonkeyCompl!AE109),"",[1]NLFsmonkeyCompl!AE109),"")</f>
        <v/>
      </c>
      <c r="AD108" s="8" t="str">
        <f>IFERROR(IF(ISBLANK([1]NLFsmonkeyCompl!AF109),"",[1]NLFsmonkeyCompl!AF109),"")</f>
        <v/>
      </c>
      <c r="AE108" s="8" t="str">
        <f>IFERROR(IF(ISBLANK([1]NLFsmonkeyCompl!AG109),"",[1]NLFsmonkeyCompl!AG109),"")</f>
        <v/>
      </c>
      <c r="AF108" s="8" t="str">
        <f>IFERROR(IF(ISBLANK([1]NLFsmonkeyCompl!AH109),"",[1]NLFsmonkeyCompl!AH109),"")</f>
        <v>Increase</v>
      </c>
      <c r="AG108" s="8" t="str">
        <f>IFERROR(IF(ISBLANK([1]NLFsmonkeyCompl!AI109),"",[1]NLFsmonkeyCompl!AI109),"")</f>
        <v>No</v>
      </c>
    </row>
    <row r="109" spans="1:33" x14ac:dyDescent="0.2">
      <c r="A109" s="5" t="str">
        <f>IF(OR(ISTEXT([1]NLFsmonkeyCompl!J110),ISNUMBER([1]NLFsmonkeyCompl!J110)),[1]NLFsmonkeyCompl!J110,"")</f>
        <v>Aberdeen Standard Investments Deutschland AG</v>
      </c>
      <c r="B109" s="6" t="str">
        <f>IF(OR(ISTEXT([1]NLFsmonkeyCompl!K110),ISNUMBER([1]NLFsmonkeyCompl!K110)),[1]NLFsmonkeyCompl!K110,"")</f>
        <v>Aberdeen Standard German Urbanisation Property Fund</v>
      </c>
      <c r="C109" s="6">
        <v>18094</v>
      </c>
      <c r="D109" s="6" t="str">
        <f>IFERROR(INDEX([1]VehiclesUniverse!$B$2:$EU$700,MATCH(C109,[1]VehiclesUniverse!$A$2:$A$700,0),MATCH($D$1,[1]VehiclesUniverse!$B$1:$EU$1,0)),"")</f>
        <v>Core</v>
      </c>
      <c r="E109" s="6" t="str">
        <f>IFERROR(INDEX([1]VehiclesUniverse!$B$2:$EU$700,MATCH(C109,[1]VehiclesUniverse!$A$2:$A$700,0),MATCH($E$1,[1]VehiclesUniverse!$B$1:$EU$1,0)),"")</f>
        <v>single country</v>
      </c>
      <c r="F109" s="6" t="str">
        <f>IF(IFERROR(INDEX([1]VehiclesUniverse!$B$2:$EU$700,MATCH($C109,[1]VehiclesUniverse!$A$2:$A$700,0),MATCH($F$1,[1]VehiclesUniverse!$B$1:$EU$1,0)),"")&lt;&gt;0,(IFERROR(INDEX([1]VehiclesUniverse!$B$2:$EU$700,MATCH($C109,[1]VehiclesUniverse!$A$2:$A$700,0),MATCH($F$1,[1]VehiclesUniverse!$B$1:$EU$1,0)),"")),"")</f>
        <v>Germany</v>
      </c>
      <c r="G109" s="6" t="str">
        <f>IF(ISBLANK([1]NLFsmonkeyCompl!L110),"",[1]NLFsmonkeyCompl!L110)</f>
        <v>Open end</v>
      </c>
      <c r="H109" s="6">
        <f>IFERROR(INDEX([1]VehiclesUniverse!$B$2:$EU$700,MATCH(C109,[1]VehiclesUniverse!$A$2:$A$700,0),MATCH($H$1,[1]VehiclesUniverse!$B$1:$EU$1,0)),"")</f>
        <v>2016</v>
      </c>
      <c r="I109" s="6" t="str">
        <f>IF(ISBLANK([1]NLFsmonkeyCompl!M110),"",[1]NLFsmonkeyCompl!M110)</f>
        <v>Yes</v>
      </c>
      <c r="J109" s="6" t="str">
        <f>IF(ISBLANK([1]NLFsmonkeyCompl!N110),"",[1]NLFsmonkeyCompl!N110)</f>
        <v/>
      </c>
      <c r="K109" s="6" t="str">
        <f>IF(ISBLANK([1]NLFsmonkeyCompl!O110),"",[1]NLFsmonkeyCompl!O110)</f>
        <v/>
      </c>
      <c r="L109" s="6" t="str">
        <f>IFERROR(INDEX([1]VehiclesUniverse!$B$2:$EU$700,MATCH(C109,[1]VehiclesUniverse!$A$2:$A$700,0),MATCH($L$1,[1]VehiclesUniverse!$B$1:$EU$1,0)),"")</f>
        <v>EUR</v>
      </c>
      <c r="M109" s="16">
        <f>IFERROR(VLOOKUP(L109,'[1]Xrate31.12.20'!$K$2:$N$25,3,0),"")</f>
        <v>1</v>
      </c>
      <c r="N109" s="8">
        <f>IFERROR(IF(ISBLANK([1]NLFsmonkeyCompl!P110),"",[1]NLFsmonkeyCompl!P110*$M109),"")</f>
        <v>1</v>
      </c>
      <c r="O109" s="8" t="str">
        <f>IFERROR(IF(ISBLANK([1]NLFsmonkeyCompl!Q110),"",[1]NLFsmonkeyCompl!Q110*$M109),"")</f>
        <v/>
      </c>
      <c r="P109" s="8" t="str">
        <f>IFERROR(IF(ISBLANK([1]NLFsmonkeyCompl!R110),"",[1]NLFsmonkeyCompl!R110*$M109),"")</f>
        <v/>
      </c>
      <c r="Q109" s="8" t="str">
        <f>IFERROR(IF(ISBLANK([1]NLFsmonkeyCompl!S110),"",[1]NLFsmonkeyCompl!S110*$M109),"")</f>
        <v/>
      </c>
      <c r="R109" s="8" t="str">
        <f>IFERROR(IF(ISBLANK([1]NLFsmonkeyCompl!T110),"",[1]NLFsmonkeyCompl!T110*$M109),"")</f>
        <v/>
      </c>
      <c r="S109" s="8" t="str">
        <f>IFERROR(IF(ISBLANK([1]NLFsmonkeyCompl!U110),"",[1]NLFsmonkeyCompl!U110*$M109),"")</f>
        <v/>
      </c>
      <c r="T109" s="8" t="str">
        <f>IFERROR(IF(ISBLANK([1]NLFsmonkeyCompl!V110),"",[1]NLFsmonkeyCompl!V110*$M109),"")</f>
        <v/>
      </c>
      <c r="U109" s="8" t="str">
        <f>IFERROR(IF(ISBLANK([1]NLFsmonkeyCompl!W110),"",[1]NLFsmonkeyCompl!W110*$M109),"")</f>
        <v/>
      </c>
      <c r="V109" s="8">
        <f>IFERROR(IF(ISBLANK([1]NLFsmonkeyCompl!X110),"",[1]NLFsmonkeyCompl!X110*$M109),"")</f>
        <v>1</v>
      </c>
      <c r="W109" s="8">
        <f>IFERROR(IF(ISBLANK([1]NLFsmonkeyCompl!Y110),"",[1]NLFsmonkeyCompl!Y110*$M109),"")</f>
        <v>1</v>
      </c>
      <c r="X109" s="8" t="str">
        <f>IFERROR(IF(ISBLANK([1]NLFsmonkeyCompl!Z110),"",[1]NLFsmonkeyCompl!Z110*$M109),"")</f>
        <v/>
      </c>
      <c r="Y109" s="8" t="str">
        <f>IFERROR(IF(ISBLANK([1]NLFsmonkeyCompl!AA110),"",[1]NLFsmonkeyCompl!AA110*$M109),"")</f>
        <v/>
      </c>
      <c r="Z109" s="8" t="str">
        <f>IFERROR(IF(ISBLANK([1]NLFsmonkeyCompl!AB110),"",[1]NLFsmonkeyCompl!AB110*$M109),"")</f>
        <v/>
      </c>
      <c r="AA109" s="8" t="str">
        <f>IFERROR(IF(ISBLANK([1]NLFsmonkeyCompl!AC110),"",[1]NLFsmonkeyCompl!AC110*$M109),"")</f>
        <v/>
      </c>
      <c r="AB109" s="8" t="str">
        <f>IFERROR(IF(ISBLANK([1]NLFsmonkeyCompl!AD110),"",[1]NLFsmonkeyCompl!AD110),"")</f>
        <v/>
      </c>
      <c r="AC109" s="8" t="str">
        <f>IFERROR(IF(ISBLANK([1]NLFsmonkeyCompl!AE110),"",[1]NLFsmonkeyCompl!AE110),"")</f>
        <v/>
      </c>
      <c r="AD109" s="8">
        <f>IFERROR(IF(ISBLANK([1]NLFsmonkeyCompl!AF110),"",[1]NLFsmonkeyCompl!AF110),"")</f>
        <v>100</v>
      </c>
      <c r="AE109" s="8" t="str">
        <f>IFERROR(IF(ISBLANK([1]NLFsmonkeyCompl!AG110),"",[1]NLFsmonkeyCompl!AG110),"")</f>
        <v/>
      </c>
      <c r="AF109" s="8" t="str">
        <f>IFERROR(IF(ISBLANK([1]NLFsmonkeyCompl!AH110),"",[1]NLFsmonkeyCompl!AH110),"")</f>
        <v>Increase</v>
      </c>
      <c r="AG109" s="8" t="str">
        <f>IFERROR(IF(ISBLANK([1]NLFsmonkeyCompl!AI110),"",[1]NLFsmonkeyCompl!AI110),"")</f>
        <v>No</v>
      </c>
    </row>
    <row r="110" spans="1:33" x14ac:dyDescent="0.2">
      <c r="A110" s="5" t="str">
        <f>IF(OR(ISTEXT([1]NLFsmonkeyCompl!J111),ISNUMBER([1]NLFsmonkeyCompl!J111)),[1]NLFsmonkeyCompl!J111,"")</f>
        <v>Niam AB</v>
      </c>
      <c r="B110" s="6" t="str">
        <f>IF(OR(ISTEXT([1]NLFsmonkeyCompl!K111),ISNUMBER([1]NLFsmonkeyCompl!K111)),[1]NLFsmonkeyCompl!K111,"")</f>
        <v>Niam Core-Plus III</v>
      </c>
      <c r="C110" s="6">
        <v>19700</v>
      </c>
      <c r="D110" s="6" t="s">
        <v>45</v>
      </c>
      <c r="E110" s="6" t="s">
        <v>46</v>
      </c>
      <c r="F110" s="6" t="str">
        <f>IF(IFERROR(INDEX([1]VehiclesUniverse!$B$2:$EU$700,MATCH($C110,[1]VehiclesUniverse!$A$2:$A$700,0),MATCH($F$1,[1]VehiclesUniverse!$B$1:$EU$1,0)),"")&lt;&gt;0,(IFERROR(INDEX([1]VehiclesUniverse!$B$2:$EU$700,MATCH($C110,[1]VehiclesUniverse!$A$2:$A$700,0),MATCH($F$1,[1]VehiclesUniverse!$B$1:$EU$1,0)),"")),"")</f>
        <v/>
      </c>
      <c r="G110" s="6" t="str">
        <f>IF(ISBLANK([1]NLFsmonkeyCompl!L111),"",[1]NLFsmonkeyCompl!L111)</f>
        <v>Closed end</v>
      </c>
      <c r="H110" s="6">
        <v>2021</v>
      </c>
      <c r="I110" s="6" t="str">
        <f>IF(ISBLANK([1]NLFsmonkeyCompl!M111),"",[1]NLFsmonkeyCompl!M111)</f>
        <v>No</v>
      </c>
      <c r="J110" s="6" t="str">
        <f>IF(ISBLANK([1]NLFsmonkeyCompl!N111),"",[1]NLFsmonkeyCompl!N111)</f>
        <v>Other (please specify)</v>
      </c>
      <c r="K110" s="6" t="str">
        <f>IF(ISBLANK([1]NLFsmonkeyCompl!O111),"",[1]NLFsmonkeyCompl!O111)</f>
        <v>Expected first close Q1 2021</v>
      </c>
      <c r="L110" s="6" t="str">
        <f>IFERROR(INDEX([1]VehiclesUniverse!$B$2:$EU$700,MATCH(C110,[1]VehiclesUniverse!$A$2:$A$700,0),MATCH($L$1,[1]VehiclesUniverse!$B$1:$EU$1,0)),"")</f>
        <v/>
      </c>
      <c r="M110" s="16" t="str">
        <f>IFERROR(VLOOKUP(L110,'[1]Xrate31.12.20'!$K$2:$N$25,3,0),"")</f>
        <v/>
      </c>
      <c r="N110" s="8" t="str">
        <f>IFERROR(IF(ISBLANK([1]NLFsmonkeyCompl!P111),"",[1]NLFsmonkeyCompl!P111*$M110),"")</f>
        <v/>
      </c>
      <c r="O110" s="8" t="str">
        <f>IFERROR(IF(ISBLANK([1]NLFsmonkeyCompl!Q111),"",[1]NLFsmonkeyCompl!Q111*$M110),"")</f>
        <v/>
      </c>
      <c r="P110" s="8" t="str">
        <f>IFERROR(IF(ISBLANK([1]NLFsmonkeyCompl!R111),"",[1]NLFsmonkeyCompl!R111*$M110),"")</f>
        <v/>
      </c>
      <c r="Q110" s="8" t="str">
        <f>IFERROR(IF(ISBLANK([1]NLFsmonkeyCompl!S111),"",[1]NLFsmonkeyCompl!S111*$M110),"")</f>
        <v/>
      </c>
      <c r="R110" s="8" t="str">
        <f>IFERROR(IF(ISBLANK([1]NLFsmonkeyCompl!T111),"",[1]NLFsmonkeyCompl!T111*$M110),"")</f>
        <v/>
      </c>
      <c r="S110" s="8" t="str">
        <f>IFERROR(IF(ISBLANK([1]NLFsmonkeyCompl!U111),"",[1]NLFsmonkeyCompl!U111*$M110),"")</f>
        <v/>
      </c>
      <c r="T110" s="8" t="str">
        <f>IFERROR(IF(ISBLANK([1]NLFsmonkeyCompl!V111),"",[1]NLFsmonkeyCompl!V111*$M110),"")</f>
        <v/>
      </c>
      <c r="U110" s="8" t="str">
        <f>IFERROR(IF(ISBLANK([1]NLFsmonkeyCompl!W111),"",[1]NLFsmonkeyCompl!W111*$M110),"")</f>
        <v/>
      </c>
      <c r="V110" s="8" t="str">
        <f>IFERROR(IF(ISBLANK([1]NLFsmonkeyCompl!X111),"",[1]NLFsmonkeyCompl!X111*$M110),"")</f>
        <v/>
      </c>
      <c r="W110" s="8" t="str">
        <f>IFERROR(IF(ISBLANK([1]NLFsmonkeyCompl!Y111),"",[1]NLFsmonkeyCompl!Y111*$M110),"")</f>
        <v/>
      </c>
      <c r="X110" s="8" t="str">
        <f>IFERROR(IF(ISBLANK([1]NLFsmonkeyCompl!Z111),"",[1]NLFsmonkeyCompl!Z111*$M110),"")</f>
        <v/>
      </c>
      <c r="Y110" s="8" t="str">
        <f>IFERROR(IF(ISBLANK([1]NLFsmonkeyCompl!AA111),"",[1]NLFsmonkeyCompl!AA111*$M110),"")</f>
        <v/>
      </c>
      <c r="Z110" s="8" t="str">
        <f>IFERROR(IF(ISBLANK([1]NLFsmonkeyCompl!AB111),"",[1]NLFsmonkeyCompl!AB111*$M110),"")</f>
        <v/>
      </c>
      <c r="AA110" s="8" t="str">
        <f>IFERROR(IF(ISBLANK([1]NLFsmonkeyCompl!AC111),"",[1]NLFsmonkeyCompl!AC111*$M110),"")</f>
        <v/>
      </c>
      <c r="AB110" s="8" t="str">
        <f>IFERROR(IF(ISBLANK([1]NLFsmonkeyCompl!AD111),"",[1]NLFsmonkeyCompl!AD111),"")</f>
        <v/>
      </c>
      <c r="AC110" s="8" t="str">
        <f>IFERROR(IF(ISBLANK([1]NLFsmonkeyCompl!AE111),"",[1]NLFsmonkeyCompl!AE111),"")</f>
        <v/>
      </c>
      <c r="AD110" s="8" t="str">
        <f>IFERROR(IF(ISBLANK([1]NLFsmonkeyCompl!AF111),"",[1]NLFsmonkeyCompl!AF111),"")</f>
        <v/>
      </c>
      <c r="AE110" s="8" t="str">
        <f>IFERROR(IF(ISBLANK([1]NLFsmonkeyCompl!AG111),"",[1]NLFsmonkeyCompl!AG111),"")</f>
        <v/>
      </c>
      <c r="AF110" s="8" t="str">
        <f>IFERROR(IF(ISBLANK([1]NLFsmonkeyCompl!AH111),"",[1]NLFsmonkeyCompl!AH111),"")</f>
        <v>Increase</v>
      </c>
      <c r="AG110" s="8" t="str">
        <f>IFERROR(IF(ISBLANK([1]NLFsmonkeyCompl!AI111),"",[1]NLFsmonkeyCompl!AI111),"")</f>
        <v>Yes</v>
      </c>
    </row>
    <row r="111" spans="1:33" x14ac:dyDescent="0.2">
      <c r="A111" s="5" t="str">
        <f>IF(OR(ISTEXT([1]NLFsmonkeyCompl!J112),ISNUMBER([1]NLFsmonkeyCompl!J112)),[1]NLFsmonkeyCompl!J112,"")</f>
        <v>AXA Investment Managers Deutschland GmbH</v>
      </c>
      <c r="B111" s="6" t="str">
        <f>IF(OR(ISTEXT([1]NLFsmonkeyCompl!K112),ISNUMBER([1]NLFsmonkeyCompl!K112)),[1]NLFsmonkeyCompl!K112,"")</f>
        <v>AXA Real Invest HPK</v>
      </c>
      <c r="C111" s="6">
        <v>18178</v>
      </c>
      <c r="D111" s="6" t="s">
        <v>45</v>
      </c>
      <c r="E111" s="6" t="s">
        <v>46</v>
      </c>
      <c r="F111" s="6" t="str">
        <f>IF(IFERROR(INDEX([1]VehiclesUniverse!$B$2:$EU$700,MATCH($C111,[1]VehiclesUniverse!$A$2:$A$700,0),MATCH($F$1,[1]VehiclesUniverse!$B$1:$EU$1,0)),"")&lt;&gt;0,(IFERROR(INDEX([1]VehiclesUniverse!$B$2:$EU$700,MATCH($C111,[1]VehiclesUniverse!$A$2:$A$700,0),MATCH($F$1,[1]VehiclesUniverse!$B$1:$EU$1,0)),"")),"")</f>
        <v/>
      </c>
      <c r="G111" s="6" t="str">
        <f>IF(ISBLANK([1]NLFsmonkeyCompl!L112),"",[1]NLFsmonkeyCompl!L112)</f>
        <v>Open end</v>
      </c>
      <c r="H111" s="6">
        <v>2001</v>
      </c>
      <c r="I111" s="6" t="str">
        <f>IF(ISBLANK([1]NLFsmonkeyCompl!M112),"",[1]NLFsmonkeyCompl!M112)</f>
        <v>Yes</v>
      </c>
      <c r="J111" s="6" t="str">
        <f>IF(ISBLANK([1]NLFsmonkeyCompl!N112),"",[1]NLFsmonkeyCompl!N112)</f>
        <v/>
      </c>
      <c r="K111" s="6" t="str">
        <f>IF(ISBLANK([1]NLFsmonkeyCompl!O112),"",[1]NLFsmonkeyCompl!O112)</f>
        <v/>
      </c>
      <c r="L111" s="6" t="str">
        <f>IFERROR(INDEX([1]VehiclesUniverse!$B$2:$EU$700,MATCH(C111,[1]VehiclesUniverse!$A$2:$A$700,0),MATCH($L$1,[1]VehiclesUniverse!$B$1:$EU$1,0)),"")</f>
        <v/>
      </c>
      <c r="M111" s="16" t="str">
        <f>IFERROR(VLOOKUP(L111,'[1]Xrate31.12.20'!$K$2:$N$25,3,0),"")</f>
        <v/>
      </c>
      <c r="N111" s="8" t="str">
        <f>IFERROR(IF(ISBLANK([1]NLFsmonkeyCompl!P112),"",[1]NLFsmonkeyCompl!P112*$M111),"")</f>
        <v/>
      </c>
      <c r="O111" s="8" t="str">
        <f>IFERROR(IF(ISBLANK([1]NLFsmonkeyCompl!Q112),"",[1]NLFsmonkeyCompl!Q112*$M111),"")</f>
        <v/>
      </c>
      <c r="P111" s="8" t="str">
        <f>IFERROR(IF(ISBLANK([1]NLFsmonkeyCompl!R112),"",[1]NLFsmonkeyCompl!R112*$M111),"")</f>
        <v/>
      </c>
      <c r="Q111" s="8" t="str">
        <f>IFERROR(IF(ISBLANK([1]NLFsmonkeyCompl!S112),"",[1]NLFsmonkeyCompl!S112*$M111),"")</f>
        <v/>
      </c>
      <c r="R111" s="8" t="str">
        <f>IFERROR(IF(ISBLANK([1]NLFsmonkeyCompl!T112),"",[1]NLFsmonkeyCompl!T112*$M111),"")</f>
        <v/>
      </c>
      <c r="S111" s="8" t="str">
        <f>IFERROR(IF(ISBLANK([1]NLFsmonkeyCompl!U112),"",[1]NLFsmonkeyCompl!U112*$M111),"")</f>
        <v/>
      </c>
      <c r="T111" s="8" t="str">
        <f>IFERROR(IF(ISBLANK([1]NLFsmonkeyCompl!V112),"",[1]NLFsmonkeyCompl!V112*$M111),"")</f>
        <v/>
      </c>
      <c r="U111" s="8" t="str">
        <f>IFERROR(IF(ISBLANK([1]NLFsmonkeyCompl!W112),"",[1]NLFsmonkeyCompl!W112*$M111),"")</f>
        <v/>
      </c>
      <c r="V111" s="8" t="str">
        <f>IFERROR(IF(ISBLANK([1]NLFsmonkeyCompl!X112),"",[1]NLFsmonkeyCompl!X112*$M111),"")</f>
        <v/>
      </c>
      <c r="W111" s="8" t="str">
        <f>IFERROR(IF(ISBLANK([1]NLFsmonkeyCompl!Y112),"",[1]NLFsmonkeyCompl!Y112*$M111),"")</f>
        <v/>
      </c>
      <c r="X111" s="8" t="str">
        <f>IFERROR(IF(ISBLANK([1]NLFsmonkeyCompl!Z112),"",[1]NLFsmonkeyCompl!Z112*$M111),"")</f>
        <v/>
      </c>
      <c r="Y111" s="8" t="str">
        <f>IFERROR(IF(ISBLANK([1]NLFsmonkeyCompl!AA112),"",[1]NLFsmonkeyCompl!AA112*$M111),"")</f>
        <v/>
      </c>
      <c r="Z111" s="8" t="str">
        <f>IFERROR(IF(ISBLANK([1]NLFsmonkeyCompl!AB112),"",[1]NLFsmonkeyCompl!AB112*$M111),"")</f>
        <v/>
      </c>
      <c r="AA111" s="8" t="str">
        <f>IFERROR(IF(ISBLANK([1]NLFsmonkeyCompl!AC112),"",[1]NLFsmonkeyCompl!AC112*$M111),"")</f>
        <v/>
      </c>
      <c r="AB111" s="8" t="str">
        <f>IFERROR(IF(ISBLANK([1]NLFsmonkeyCompl!AD112),"",[1]NLFsmonkeyCompl!AD112),"")</f>
        <v/>
      </c>
      <c r="AC111" s="8" t="str">
        <f>IFERROR(IF(ISBLANK([1]NLFsmonkeyCompl!AE112),"",[1]NLFsmonkeyCompl!AE112),"")</f>
        <v/>
      </c>
      <c r="AD111" s="8">
        <f>IFERROR(IF(ISBLANK([1]NLFsmonkeyCompl!AF112),"",[1]NLFsmonkeyCompl!AF112),"")</f>
        <v>100</v>
      </c>
      <c r="AE111" s="8" t="str">
        <f>IFERROR(IF(ISBLANK([1]NLFsmonkeyCompl!AG112),"",[1]NLFsmonkeyCompl!AG112),"")</f>
        <v/>
      </c>
      <c r="AF111" s="8" t="str">
        <f>IFERROR(IF(ISBLANK([1]NLFsmonkeyCompl!AH112),"",[1]NLFsmonkeyCompl!AH112),"")</f>
        <v>No change</v>
      </c>
      <c r="AG111" s="8" t="str">
        <f>IFERROR(IF(ISBLANK([1]NLFsmonkeyCompl!AI112),"",[1]NLFsmonkeyCompl!AI112),"")</f>
        <v>No</v>
      </c>
    </row>
    <row r="112" spans="1:33" x14ac:dyDescent="0.2">
      <c r="A112" s="5" t="str">
        <f>IF(OR(ISTEXT([1]NLFsmonkeyCompl!J113),ISNUMBER([1]NLFsmonkeyCompl!J113)),[1]NLFsmonkeyCompl!J113,"")</f>
        <v>Pro</v>
      </c>
      <c r="B112" s="6" t="str">
        <f>IF(OR(ISTEXT([1]NLFsmonkeyCompl!K113),ISNUMBER([1]NLFsmonkeyCompl!K113)),[1]NLFsmonkeyCompl!K113,"")</f>
        <v>s</v>
      </c>
      <c r="C112" s="6" t="s">
        <v>61</v>
      </c>
      <c r="D112" s="6" t="str">
        <f>IFERROR(INDEX([1]VehiclesUniverse!$B$2:$EU$700,MATCH(C112,[1]VehiclesUniverse!$A$2:$A$700,0),MATCH($D$1,[1]VehiclesUniverse!$B$1:$EU$1,0)),"")</f>
        <v/>
      </c>
      <c r="E112" s="6" t="str">
        <f>IFERROR(INDEX([1]VehiclesUniverse!$B$2:$EU$700,MATCH(C112,[1]VehiclesUniverse!$A$2:$A$700,0),MATCH($E$1,[1]VehiclesUniverse!$B$1:$EU$1,0)),"")</f>
        <v/>
      </c>
      <c r="F112" s="6" t="str">
        <f>IF(IFERROR(INDEX([1]VehiclesUniverse!$B$2:$EU$700,MATCH($C112,[1]VehiclesUniverse!$A$2:$A$700,0),MATCH($F$1,[1]VehiclesUniverse!$B$1:$EU$1,0)),"")&lt;&gt;0,(IFERROR(INDEX([1]VehiclesUniverse!$B$2:$EU$700,MATCH($C112,[1]VehiclesUniverse!$A$2:$A$700,0),MATCH($F$1,[1]VehiclesUniverse!$B$1:$EU$1,0)),"")),"")</f>
        <v/>
      </c>
      <c r="G112" s="6" t="str">
        <f>IF(ISBLANK([1]NLFsmonkeyCompl!L113),"",[1]NLFsmonkeyCompl!L113)</f>
        <v>Open end</v>
      </c>
      <c r="H112" s="6" t="str">
        <f>IFERROR(INDEX([1]VehiclesUniverse!$B$2:$EU$700,MATCH(C112,[1]VehiclesUniverse!$A$2:$A$700,0),MATCH($H$1,[1]VehiclesUniverse!$B$1:$EU$1,0)),"")</f>
        <v/>
      </c>
      <c r="I112" s="6" t="str">
        <f>IF(ISBLANK([1]NLFsmonkeyCompl!M113),"",[1]NLFsmonkeyCompl!M113)</f>
        <v>Yes</v>
      </c>
      <c r="J112" s="6" t="str">
        <f>IF(ISBLANK([1]NLFsmonkeyCompl!N113),"",[1]NLFsmonkeyCompl!N113)</f>
        <v/>
      </c>
      <c r="K112" s="6" t="str">
        <f>IF(ISBLANK([1]NLFsmonkeyCompl!O113),"",[1]NLFsmonkeyCompl!O113)</f>
        <v/>
      </c>
      <c r="L112" s="6" t="str">
        <f>IFERROR(INDEX([1]VehiclesUniverse!$B$2:$EU$700,MATCH(C112,[1]VehiclesUniverse!$A$2:$A$700,0),MATCH($L$1,[1]VehiclesUniverse!$B$1:$EU$1,0)),"")</f>
        <v/>
      </c>
      <c r="M112" s="16" t="str">
        <f>IFERROR(VLOOKUP(L112,'[1]Xrate31.12.20'!$K$2:$N$25,3,0),"")</f>
        <v/>
      </c>
      <c r="N112" s="8" t="str">
        <f>IFERROR(IF(ISBLANK([1]NLFsmonkeyCompl!P113),"",[1]NLFsmonkeyCompl!P113*$M112),"")</f>
        <v/>
      </c>
      <c r="O112" s="8" t="str">
        <f>IFERROR(IF(ISBLANK([1]NLFsmonkeyCompl!Q113),"",[1]NLFsmonkeyCompl!Q113*$M112),"")</f>
        <v/>
      </c>
      <c r="P112" s="8" t="str">
        <f>IFERROR(IF(ISBLANK([1]NLFsmonkeyCompl!R113),"",[1]NLFsmonkeyCompl!R113*$M112),"")</f>
        <v/>
      </c>
      <c r="Q112" s="8" t="str">
        <f>IFERROR(IF(ISBLANK([1]NLFsmonkeyCompl!S113),"",[1]NLFsmonkeyCompl!S113*$M112),"")</f>
        <v/>
      </c>
      <c r="R112" s="8" t="str">
        <f>IFERROR(IF(ISBLANK([1]NLFsmonkeyCompl!T113),"",[1]NLFsmonkeyCompl!T113*$M112),"")</f>
        <v/>
      </c>
      <c r="S112" s="8" t="str">
        <f>IFERROR(IF(ISBLANK([1]NLFsmonkeyCompl!U113),"",[1]NLFsmonkeyCompl!U113*$M112),"")</f>
        <v/>
      </c>
      <c r="T112" s="8" t="str">
        <f>IFERROR(IF(ISBLANK([1]NLFsmonkeyCompl!V113),"",[1]NLFsmonkeyCompl!V113*$M112),"")</f>
        <v/>
      </c>
      <c r="U112" s="8" t="str">
        <f>IFERROR(IF(ISBLANK([1]NLFsmonkeyCompl!W113),"",[1]NLFsmonkeyCompl!W113*$M112),"")</f>
        <v/>
      </c>
      <c r="V112" s="8" t="str">
        <f>IFERROR(IF(ISBLANK([1]NLFsmonkeyCompl!X113),"",[1]NLFsmonkeyCompl!X113*$M112),"")</f>
        <v/>
      </c>
      <c r="W112" s="8" t="str">
        <f>IFERROR(IF(ISBLANK([1]NLFsmonkeyCompl!Y113),"",[1]NLFsmonkeyCompl!Y113*$M112),"")</f>
        <v/>
      </c>
      <c r="X112" s="8" t="str">
        <f>IFERROR(IF(ISBLANK([1]NLFsmonkeyCompl!Z113),"",[1]NLFsmonkeyCompl!Z113*$M112),"")</f>
        <v/>
      </c>
      <c r="Y112" s="8" t="str">
        <f>IFERROR(IF(ISBLANK([1]NLFsmonkeyCompl!AA113),"",[1]NLFsmonkeyCompl!AA113*$M112),"")</f>
        <v/>
      </c>
      <c r="Z112" s="8" t="str">
        <f>IFERROR(IF(ISBLANK([1]NLFsmonkeyCompl!AB113),"",[1]NLFsmonkeyCompl!AB113*$M112),"")</f>
        <v/>
      </c>
      <c r="AA112" s="8" t="str">
        <f>IFERROR(IF(ISBLANK([1]NLFsmonkeyCompl!AC113),"",[1]NLFsmonkeyCompl!AC113*$M112),"")</f>
        <v/>
      </c>
      <c r="AB112" s="8" t="str">
        <f>IFERROR(IF(ISBLANK([1]NLFsmonkeyCompl!AD113),"",[1]NLFsmonkeyCompl!AD113),"")</f>
        <v/>
      </c>
      <c r="AC112" s="8" t="str">
        <f>IFERROR(IF(ISBLANK([1]NLFsmonkeyCompl!AE113),"",[1]NLFsmonkeyCompl!AE113),"")</f>
        <v/>
      </c>
      <c r="AD112" s="8" t="str">
        <f>IFERROR(IF(ISBLANK([1]NLFsmonkeyCompl!AF113),"",[1]NLFsmonkeyCompl!AF113),"")</f>
        <v/>
      </c>
      <c r="AE112" s="8" t="str">
        <f>IFERROR(IF(ISBLANK([1]NLFsmonkeyCompl!AG113),"",[1]NLFsmonkeyCompl!AG113),"")</f>
        <v/>
      </c>
      <c r="AF112" s="8" t="str">
        <f>IFERROR(IF(ISBLANK([1]NLFsmonkeyCompl!AH113),"",[1]NLFsmonkeyCompl!AH113),"")</f>
        <v/>
      </c>
      <c r="AG112" s="8" t="str">
        <f>IFERROR(IF(ISBLANK([1]NLFsmonkeyCompl!AI113),"",[1]NLFsmonkeyCompl!AI113),"")</f>
        <v/>
      </c>
    </row>
    <row r="113" spans="1:33" x14ac:dyDescent="0.2">
      <c r="A113" s="5" t="str">
        <f>IF(OR(ISTEXT([1]NLFsmonkeyCompl!J114),ISNUMBER([1]NLFsmonkeyCompl!J114)),[1]NLFsmonkeyCompl!J114,"")</f>
        <v>Moorfield</v>
      </c>
      <c r="B113" s="6" t="str">
        <f>IF(OR(ISTEXT([1]NLFsmonkeyCompl!K114),ISNUMBER([1]NLFsmonkeyCompl!K114)),[1]NLFsmonkeyCompl!K114,"")</f>
        <v>MRIF</v>
      </c>
      <c r="C113" s="6" t="s">
        <v>61</v>
      </c>
      <c r="D113" s="6" t="str">
        <f>IFERROR(INDEX([1]VehiclesUniverse!$B$2:$EU$700,MATCH(C113,[1]VehiclesUniverse!$A$2:$A$700,0),MATCH($D$1,[1]VehiclesUniverse!$B$1:$EU$1,0)),"")</f>
        <v/>
      </c>
      <c r="E113" s="6" t="str">
        <f>IFERROR(INDEX([1]VehiclesUniverse!$B$2:$EU$700,MATCH(C113,[1]VehiclesUniverse!$A$2:$A$700,0),MATCH($E$1,[1]VehiclesUniverse!$B$1:$EU$1,0)),"")</f>
        <v/>
      </c>
      <c r="F113" s="6" t="str">
        <f>IF(IFERROR(INDEX([1]VehiclesUniverse!$B$2:$EU$700,MATCH($C113,[1]VehiclesUniverse!$A$2:$A$700,0),MATCH($F$1,[1]VehiclesUniverse!$B$1:$EU$1,0)),"")&lt;&gt;0,(IFERROR(INDEX([1]VehiclesUniverse!$B$2:$EU$700,MATCH($C113,[1]VehiclesUniverse!$A$2:$A$700,0),MATCH($F$1,[1]VehiclesUniverse!$B$1:$EU$1,0)),"")),"")</f>
        <v/>
      </c>
      <c r="G113" s="6" t="str">
        <f>IF(ISBLANK([1]NLFsmonkeyCompl!L114),"",[1]NLFsmonkeyCompl!L114)</f>
        <v>Open end</v>
      </c>
      <c r="H113" s="6" t="str">
        <f>IFERROR(INDEX([1]VehiclesUniverse!$B$2:$EU$700,MATCH(C113,[1]VehiclesUniverse!$A$2:$A$700,0),MATCH($H$1,[1]VehiclesUniverse!$B$1:$EU$1,0)),"")</f>
        <v/>
      </c>
      <c r="I113" s="6" t="str">
        <f>IF(ISBLANK([1]NLFsmonkeyCompl!M114),"",[1]NLFsmonkeyCompl!M114)</f>
        <v>No</v>
      </c>
      <c r="J113" s="6" t="str">
        <f>IF(ISBLANK([1]NLFsmonkeyCompl!N114),"",[1]NLFsmonkeyCompl!N114)</f>
        <v/>
      </c>
      <c r="K113" s="6" t="str">
        <f>IF(ISBLANK([1]NLFsmonkeyCompl!O114),"",[1]NLFsmonkeyCompl!O114)</f>
        <v/>
      </c>
      <c r="L113" s="6" t="str">
        <f>IFERROR(INDEX([1]VehiclesUniverse!$B$2:$EU$700,MATCH(C113,[1]VehiclesUniverse!$A$2:$A$700,0),MATCH($L$1,[1]VehiclesUniverse!$B$1:$EU$1,0)),"")</f>
        <v/>
      </c>
      <c r="M113" s="16" t="str">
        <f>IFERROR(VLOOKUP(L113,'[1]Xrate31.12.20'!$K$2:$N$25,3,0),"")</f>
        <v/>
      </c>
      <c r="N113" s="8" t="str">
        <f>IFERROR(IF(ISBLANK([1]NLFsmonkeyCompl!P114),"",[1]NLFsmonkeyCompl!P114*$M113),"")</f>
        <v/>
      </c>
      <c r="O113" s="8" t="str">
        <f>IFERROR(IF(ISBLANK([1]NLFsmonkeyCompl!Q114),"",[1]NLFsmonkeyCompl!Q114*$M113),"")</f>
        <v/>
      </c>
      <c r="P113" s="8" t="str">
        <f>IFERROR(IF(ISBLANK([1]NLFsmonkeyCompl!R114),"",[1]NLFsmonkeyCompl!R114*$M113),"")</f>
        <v/>
      </c>
      <c r="Q113" s="8" t="str">
        <f>IFERROR(IF(ISBLANK([1]NLFsmonkeyCompl!S114),"",[1]NLFsmonkeyCompl!S114*$M113),"")</f>
        <v/>
      </c>
      <c r="R113" s="8" t="str">
        <f>IFERROR(IF(ISBLANK([1]NLFsmonkeyCompl!T114),"",[1]NLFsmonkeyCompl!T114*$M113),"")</f>
        <v/>
      </c>
      <c r="S113" s="8" t="str">
        <f>IFERROR(IF(ISBLANK([1]NLFsmonkeyCompl!U114),"",[1]NLFsmonkeyCompl!U114*$M113),"")</f>
        <v/>
      </c>
      <c r="T113" s="8" t="str">
        <f>IFERROR(IF(ISBLANK([1]NLFsmonkeyCompl!V114),"",[1]NLFsmonkeyCompl!V114*$M113),"")</f>
        <v/>
      </c>
      <c r="U113" s="8" t="str">
        <f>IFERROR(IF(ISBLANK([1]NLFsmonkeyCompl!W114),"",[1]NLFsmonkeyCompl!W114*$M113),"")</f>
        <v/>
      </c>
      <c r="V113" s="8" t="str">
        <f>IFERROR(IF(ISBLANK([1]NLFsmonkeyCompl!X114),"",[1]NLFsmonkeyCompl!X114*$M113),"")</f>
        <v/>
      </c>
      <c r="W113" s="8" t="str">
        <f>IFERROR(IF(ISBLANK([1]NLFsmonkeyCompl!Y114),"",[1]NLFsmonkeyCompl!Y114*$M113),"")</f>
        <v/>
      </c>
      <c r="X113" s="8" t="str">
        <f>IFERROR(IF(ISBLANK([1]NLFsmonkeyCompl!Z114),"",[1]NLFsmonkeyCompl!Z114*$M113),"")</f>
        <v/>
      </c>
      <c r="Y113" s="8" t="str">
        <f>IFERROR(IF(ISBLANK([1]NLFsmonkeyCompl!AA114),"",[1]NLFsmonkeyCompl!AA114*$M113),"")</f>
        <v/>
      </c>
      <c r="Z113" s="8" t="str">
        <f>IFERROR(IF(ISBLANK([1]NLFsmonkeyCompl!AB114),"",[1]NLFsmonkeyCompl!AB114*$M113),"")</f>
        <v/>
      </c>
      <c r="AA113" s="8" t="str">
        <f>IFERROR(IF(ISBLANK([1]NLFsmonkeyCompl!AC114),"",[1]NLFsmonkeyCompl!AC114*$M113),"")</f>
        <v/>
      </c>
      <c r="AB113" s="8" t="str">
        <f>IFERROR(IF(ISBLANK([1]NLFsmonkeyCompl!AD114),"",[1]NLFsmonkeyCompl!AD114),"")</f>
        <v/>
      </c>
      <c r="AC113" s="8" t="str">
        <f>IFERROR(IF(ISBLANK([1]NLFsmonkeyCompl!AE114),"",[1]NLFsmonkeyCompl!AE114),"")</f>
        <v/>
      </c>
      <c r="AD113" s="8" t="str">
        <f>IFERROR(IF(ISBLANK([1]NLFsmonkeyCompl!AF114),"",[1]NLFsmonkeyCompl!AF114),"")</f>
        <v/>
      </c>
      <c r="AE113" s="8" t="str">
        <f>IFERROR(IF(ISBLANK([1]NLFsmonkeyCompl!AG114),"",[1]NLFsmonkeyCompl!AG114),"")</f>
        <v/>
      </c>
      <c r="AF113" s="8" t="str">
        <f>IFERROR(IF(ISBLANK([1]NLFsmonkeyCompl!AH114),"",[1]NLFsmonkeyCompl!AH114),"")</f>
        <v/>
      </c>
      <c r="AG113" s="8" t="str">
        <f>IFERROR(IF(ISBLANK([1]NLFsmonkeyCompl!AI114),"",[1]NLFsmonkeyCompl!AI114),"")</f>
        <v/>
      </c>
    </row>
    <row r="114" spans="1:33" x14ac:dyDescent="0.2">
      <c r="A114" s="5" t="str">
        <f>IF(OR(ISTEXT([1]NLFsmonkeyCompl!J115),ISNUMBER([1]NLFsmonkeyCompl!J115)),[1]NLFsmonkeyCompl!J115,"")</f>
        <v>Heitman</v>
      </c>
      <c r="B114" s="6" t="str">
        <f>IF(OR(ISTEXT([1]NLFsmonkeyCompl!K115),ISNUMBER([1]NLFsmonkeyCompl!K115)),[1]NLFsmonkeyCompl!K115,"")</f>
        <v>Heitman Value Partners V</v>
      </c>
      <c r="C114" s="6" t="s">
        <v>58</v>
      </c>
      <c r="D114" s="6" t="str">
        <f>IFERROR(INDEX([1]VehiclesUniverse!$B$2:$EU$700,MATCH(C114,[1]VehiclesUniverse!$A$2:$A$700,0),MATCH($D$1,[1]VehiclesUniverse!$B$1:$EU$1,0)),"")</f>
        <v/>
      </c>
      <c r="E114" s="6" t="str">
        <f>IFERROR(INDEX([1]VehiclesUniverse!$B$2:$EU$700,MATCH(C114,[1]VehiclesUniverse!$A$2:$A$700,0),MATCH($E$1,[1]VehiclesUniverse!$B$1:$EU$1,0)),"")</f>
        <v/>
      </c>
      <c r="F114" s="6" t="str">
        <f>IF(IFERROR(INDEX([1]VehiclesUniverse!$B$2:$EU$700,MATCH($C114,[1]VehiclesUniverse!$A$2:$A$700,0),MATCH($F$1,[1]VehiclesUniverse!$B$1:$EU$1,0)),"")&lt;&gt;0,(IFERROR(INDEX([1]VehiclesUniverse!$B$2:$EU$700,MATCH($C114,[1]VehiclesUniverse!$A$2:$A$700,0),MATCH($F$1,[1]VehiclesUniverse!$B$1:$EU$1,0)),"")),"")</f>
        <v/>
      </c>
      <c r="G114" s="6" t="str">
        <f>IF(ISBLANK([1]NLFsmonkeyCompl!L115),"",[1]NLFsmonkeyCompl!L115)</f>
        <v>Closed end</v>
      </c>
      <c r="H114" s="6" t="str">
        <f>IFERROR(INDEX([1]VehiclesUniverse!$B$2:$EU$700,MATCH(C114,[1]VehiclesUniverse!$A$2:$A$700,0),MATCH($H$1,[1]VehiclesUniverse!$B$1:$EU$1,0)),"")</f>
        <v/>
      </c>
      <c r="I114" s="6" t="str">
        <f>IF(ISBLANK([1]NLFsmonkeyCompl!M115),"",[1]NLFsmonkeyCompl!M115)</f>
        <v>Yes</v>
      </c>
      <c r="J114" s="6" t="str">
        <f>IF(ISBLANK([1]NLFsmonkeyCompl!N115),"",[1]NLFsmonkeyCompl!N115)</f>
        <v/>
      </c>
      <c r="K114" s="6" t="str">
        <f>IF(ISBLANK([1]NLFsmonkeyCompl!O115),"",[1]NLFsmonkeyCompl!O115)</f>
        <v/>
      </c>
      <c r="L114" s="6" t="str">
        <f>IFERROR(INDEX([1]VehiclesUniverse!$B$2:$EU$700,MATCH(C114,[1]VehiclesUniverse!$A$2:$A$700,0),MATCH($L$1,[1]VehiclesUniverse!$B$1:$EU$1,0)),"")</f>
        <v/>
      </c>
      <c r="M114" s="16" t="str">
        <f>IFERROR(VLOOKUP(L114,'[1]Xrate31.12.20'!$K$2:$N$25,3,0),"")</f>
        <v/>
      </c>
      <c r="N114" s="8" t="str">
        <f>IFERROR(IF(ISBLANK([1]NLFsmonkeyCompl!P115),"",[1]NLFsmonkeyCompl!P115*$M114),"")</f>
        <v/>
      </c>
      <c r="O114" s="8" t="str">
        <f>IFERROR(IF(ISBLANK([1]NLFsmonkeyCompl!Q115),"",[1]NLFsmonkeyCompl!Q115*$M114),"")</f>
        <v/>
      </c>
      <c r="P114" s="8" t="str">
        <f>IFERROR(IF(ISBLANK([1]NLFsmonkeyCompl!R115),"",[1]NLFsmonkeyCompl!R115*$M114),"")</f>
        <v/>
      </c>
      <c r="Q114" s="8" t="str">
        <f>IFERROR(IF(ISBLANK([1]NLFsmonkeyCompl!S115),"",[1]NLFsmonkeyCompl!S115*$M114),"")</f>
        <v/>
      </c>
      <c r="R114" s="8" t="str">
        <f>IFERROR(IF(ISBLANK([1]NLFsmonkeyCompl!T115),"",[1]NLFsmonkeyCompl!T115*$M114),"")</f>
        <v/>
      </c>
      <c r="S114" s="8" t="str">
        <f>IFERROR(IF(ISBLANK([1]NLFsmonkeyCompl!U115),"",[1]NLFsmonkeyCompl!U115*$M114),"")</f>
        <v/>
      </c>
      <c r="T114" s="8" t="str">
        <f>IFERROR(IF(ISBLANK([1]NLFsmonkeyCompl!V115),"",[1]NLFsmonkeyCompl!V115*$M114),"")</f>
        <v/>
      </c>
      <c r="U114" s="8" t="str">
        <f>IFERROR(IF(ISBLANK([1]NLFsmonkeyCompl!W115),"",[1]NLFsmonkeyCompl!W115*$M114),"")</f>
        <v/>
      </c>
      <c r="V114" s="8" t="str">
        <f>IFERROR(IF(ISBLANK([1]NLFsmonkeyCompl!X115),"",[1]NLFsmonkeyCompl!X115*$M114),"")</f>
        <v/>
      </c>
      <c r="W114" s="8" t="str">
        <f>IFERROR(IF(ISBLANK([1]NLFsmonkeyCompl!Y115),"",[1]NLFsmonkeyCompl!Y115*$M114),"")</f>
        <v/>
      </c>
      <c r="X114" s="8" t="str">
        <f>IFERROR(IF(ISBLANK([1]NLFsmonkeyCompl!Z115),"",[1]NLFsmonkeyCompl!Z115*$M114),"")</f>
        <v/>
      </c>
      <c r="Y114" s="8" t="str">
        <f>IFERROR(IF(ISBLANK([1]NLFsmonkeyCompl!AA115),"",[1]NLFsmonkeyCompl!AA115*$M114),"")</f>
        <v/>
      </c>
      <c r="Z114" s="8" t="str">
        <f>IFERROR(IF(ISBLANK([1]NLFsmonkeyCompl!AB115),"",[1]NLFsmonkeyCompl!AB115*$M114),"")</f>
        <v/>
      </c>
      <c r="AA114" s="8" t="str">
        <f>IFERROR(IF(ISBLANK([1]NLFsmonkeyCompl!AC115),"",[1]NLFsmonkeyCompl!AC115*$M114),"")</f>
        <v/>
      </c>
      <c r="AB114" s="8" t="str">
        <f>IFERROR(IF(ISBLANK([1]NLFsmonkeyCompl!AD115),"",[1]NLFsmonkeyCompl!AD115),"")</f>
        <v/>
      </c>
      <c r="AC114" s="8" t="str">
        <f>IFERROR(IF(ISBLANK([1]NLFsmonkeyCompl!AE115),"",[1]NLFsmonkeyCompl!AE115),"")</f>
        <v/>
      </c>
      <c r="AD114" s="8" t="str">
        <f>IFERROR(IF(ISBLANK([1]NLFsmonkeyCompl!AF115),"",[1]NLFsmonkeyCompl!AF115),"")</f>
        <v/>
      </c>
      <c r="AE114" s="8" t="str">
        <f>IFERROR(IF(ISBLANK([1]NLFsmonkeyCompl!AG115),"",[1]NLFsmonkeyCompl!AG115),"")</f>
        <v/>
      </c>
      <c r="AF114" s="8" t="str">
        <f>IFERROR(IF(ISBLANK([1]NLFsmonkeyCompl!AH115),"",[1]NLFsmonkeyCompl!AH115),"")</f>
        <v/>
      </c>
      <c r="AG114" s="8" t="str">
        <f>IFERROR(IF(ISBLANK([1]NLFsmonkeyCompl!AI115),"",[1]NLFsmonkeyCompl!AI115),"")</f>
        <v/>
      </c>
    </row>
    <row r="115" spans="1:33" x14ac:dyDescent="0.2">
      <c r="A115" s="5" t="str">
        <f>IF(OR(ISTEXT([1]NLFsmonkeyCompl!J116),ISNUMBER([1]NLFsmonkeyCompl!J116)),[1]NLFsmonkeyCompl!J116,"")</f>
        <v>Invesco</v>
      </c>
      <c r="B115" s="6" t="str">
        <f>IF(OR(ISTEXT([1]NLFsmonkeyCompl!K116),ISNUMBER([1]NLFsmonkeyCompl!K116)),[1]NLFsmonkeyCompl!K116,"")</f>
        <v>European Hotel Fund</v>
      </c>
      <c r="C115" s="6">
        <v>18386</v>
      </c>
      <c r="D115" s="6" t="str">
        <f>IFERROR(INDEX([1]VehiclesUniverse!$B$2:$EU$700,MATCH(C115,[1]VehiclesUniverse!$A$2:$A$700,0),MATCH($D$1,[1]VehiclesUniverse!$B$1:$EU$1,0)),"")</f>
        <v>Core</v>
      </c>
      <c r="E115" s="6" t="str">
        <f>IFERROR(INDEX([1]VehiclesUniverse!$B$2:$EU$700,MATCH(C115,[1]VehiclesUniverse!$A$2:$A$700,0),MATCH($E$1,[1]VehiclesUniverse!$B$1:$EU$1,0)),"")</f>
        <v>multi country</v>
      </c>
      <c r="F115" s="6" t="str">
        <f>IF(IFERROR(INDEX([1]VehiclesUniverse!$B$2:$EU$700,MATCH($C115,[1]VehiclesUniverse!$A$2:$A$700,0),MATCH($F$1,[1]VehiclesUniverse!$B$1:$EU$1,0)),"")&lt;&gt;0,(IFERROR(INDEX([1]VehiclesUniverse!$B$2:$EU$700,MATCH($C115,[1]VehiclesUniverse!$A$2:$A$700,0),MATCH($F$1,[1]VehiclesUniverse!$B$1:$EU$1,0)),"")),"")</f>
        <v/>
      </c>
      <c r="G115" s="6" t="str">
        <f>IF(ISBLANK([1]NLFsmonkeyCompl!L116),"",[1]NLFsmonkeyCompl!L116)</f>
        <v>Open end</v>
      </c>
      <c r="H115" s="6">
        <f>IFERROR(INDEX([1]VehiclesUniverse!$B$2:$EU$700,MATCH(C115,[1]VehiclesUniverse!$A$2:$A$700,0),MATCH($H$1,[1]VehiclesUniverse!$B$1:$EU$1,0)),"")</f>
        <v>2017</v>
      </c>
      <c r="I115" s="6" t="str">
        <f>IF(ISBLANK([1]NLFsmonkeyCompl!M116),"",[1]NLFsmonkeyCompl!M116)</f>
        <v>Yes</v>
      </c>
      <c r="J115" s="6" t="str">
        <f>IF(ISBLANK([1]NLFsmonkeyCompl!N116),"",[1]NLFsmonkeyCompl!N116)</f>
        <v/>
      </c>
      <c r="K115" s="6" t="str">
        <f>IF(ISBLANK([1]NLFsmonkeyCompl!O116),"",[1]NLFsmonkeyCompl!O116)</f>
        <v/>
      </c>
      <c r="L115" s="6" t="str">
        <f>IFERROR(INDEX([1]VehiclesUniverse!$B$2:$EU$700,MATCH(C115,[1]VehiclesUniverse!$A$2:$A$700,0),MATCH($L$1,[1]VehiclesUniverse!$B$1:$EU$1,0)),"")</f>
        <v>EUR</v>
      </c>
      <c r="M115" s="16">
        <f>IFERROR(VLOOKUP(L115,'[1]Xrate31.12.20'!$K$2:$N$25,3,0),"")</f>
        <v>1</v>
      </c>
      <c r="N115" s="19">
        <f>IFERROR(IF(ISBLANK([1]NLFsmonkeyCompl!P116),"",[1]NLFsmonkeyCompl!P116*$M115),"")/1000000</f>
        <v>5.3399929999999998</v>
      </c>
      <c r="O115" s="19">
        <f>IFERROR(IF(ISBLANK([1]NLFsmonkeyCompl!Q116),"",[1]NLFsmonkeyCompl!Q116*$M115),"")/1000000</f>
        <v>5</v>
      </c>
      <c r="P115" s="8" t="str">
        <f>IFERROR(IF(ISBLANK([1]NLFsmonkeyCompl!R116),"",[1]NLFsmonkeyCompl!R116*$M115),"")</f>
        <v/>
      </c>
      <c r="Q115" s="8" t="str">
        <f>IFERROR(IF(ISBLANK([1]NLFsmonkeyCompl!S116),"",[1]NLFsmonkeyCompl!S116*$M115),"")</f>
        <v/>
      </c>
      <c r="R115" s="8" t="str">
        <f>IFERROR(IF(ISBLANK([1]NLFsmonkeyCompl!T116),"",[1]NLFsmonkeyCompl!T116*$M115),"")</f>
        <v/>
      </c>
      <c r="S115" s="8" t="str">
        <f>IFERROR(IF(ISBLANK([1]NLFsmonkeyCompl!U116),"",[1]NLFsmonkeyCompl!U116*$M115),"")</f>
        <v/>
      </c>
      <c r="T115" s="8" t="str">
        <f>IFERROR(IF(ISBLANK([1]NLFsmonkeyCompl!V116),"",[1]NLFsmonkeyCompl!V116*$M115),"")</f>
        <v/>
      </c>
      <c r="U115" s="8" t="str">
        <f>IFERROR(IF(ISBLANK([1]NLFsmonkeyCompl!W116),"",[1]NLFsmonkeyCompl!W116*$M115),"")</f>
        <v/>
      </c>
      <c r="V115" s="19">
        <f>IFERROR(IF(ISBLANK([1]NLFsmonkeyCompl!X116),"",[1]NLFsmonkeyCompl!X116*$M115),"")/1000000</f>
        <v>0.33999299999999999</v>
      </c>
      <c r="W115" s="19">
        <f>IFERROR(IF(ISBLANK([1]NLFsmonkeyCompl!Y116),"",[1]NLFsmonkeyCompl!Y116*$M115),"")/1000000</f>
        <v>5.3399929999999998</v>
      </c>
      <c r="X115" s="8" t="str">
        <f>IFERROR(IF(ISBLANK([1]NLFsmonkeyCompl!Z116),"",[1]NLFsmonkeyCompl!Z116*$M115),"")</f>
        <v/>
      </c>
      <c r="Y115" s="8" t="str">
        <f>IFERROR(IF(ISBLANK([1]NLFsmonkeyCompl!AA116),"",[1]NLFsmonkeyCompl!AA116*$M115),"")</f>
        <v/>
      </c>
      <c r="Z115" s="8" t="str">
        <f>IFERROR(IF(ISBLANK([1]NLFsmonkeyCompl!AB116),"",[1]NLFsmonkeyCompl!AB116*$M115),"")</f>
        <v/>
      </c>
      <c r="AA115" s="8" t="str">
        <f>IFERROR(IF(ISBLANK([1]NLFsmonkeyCompl!AC116),"",[1]NLFsmonkeyCompl!AC116*$M115),"")</f>
        <v/>
      </c>
      <c r="AB115" s="8" t="str">
        <f>IFERROR(IF(ISBLANK([1]NLFsmonkeyCompl!AD116),"",[1]NLFsmonkeyCompl!AD116),"")</f>
        <v/>
      </c>
      <c r="AC115" s="8" t="str">
        <f>IFERROR(IF(ISBLANK([1]NLFsmonkeyCompl!AE116),"",[1]NLFsmonkeyCompl!AE116),"")</f>
        <v/>
      </c>
      <c r="AD115" s="8">
        <f>IFERROR(IF(ISBLANK([1]NLFsmonkeyCompl!AF116),"",[1]NLFsmonkeyCompl!AF116),"")</f>
        <v>100</v>
      </c>
      <c r="AE115" s="8" t="str">
        <f>IFERROR(IF(ISBLANK([1]NLFsmonkeyCompl!AG116),"",[1]NLFsmonkeyCompl!AG116),"")</f>
        <v/>
      </c>
      <c r="AF115" s="8" t="str">
        <f>IFERROR(IF(ISBLANK([1]NLFsmonkeyCompl!AH116),"",[1]NLFsmonkeyCompl!AH116),"")</f>
        <v>Increase</v>
      </c>
      <c r="AG115" s="8" t="str">
        <f>IFERROR(IF(ISBLANK([1]NLFsmonkeyCompl!AI116),"",[1]NLFsmonkeyCompl!AI116),"")</f>
        <v>Yes</v>
      </c>
    </row>
    <row r="116" spans="1:33" x14ac:dyDescent="0.2">
      <c r="A116" s="5" t="str">
        <f>IF(OR(ISTEXT([1]NLFsmonkeyCompl!J117),ISNUMBER([1]NLFsmonkeyCompl!J117)),[1]NLFsmonkeyCompl!J117,"")</f>
        <v>Sirius Capital Partners</v>
      </c>
      <c r="B116" s="6" t="str">
        <f>IF(OR(ISTEXT([1]NLFsmonkeyCompl!K117),ISNUMBER([1]NLFsmonkeyCompl!K117)),[1]NLFsmonkeyCompl!K117,"")</f>
        <v>Sirius Fund III SCSp</v>
      </c>
      <c r="C116" s="6">
        <v>18596</v>
      </c>
      <c r="D116" s="6" t="str">
        <f>IFERROR(INDEX([1]VehiclesUniverse!$B$2:$EU$700,MATCH(C116,[1]VehiclesUniverse!$A$2:$A$700,0),MATCH($D$1,[1]VehiclesUniverse!$B$1:$EU$1,0)),"")</f>
        <v>Value-added</v>
      </c>
      <c r="E116" s="6" t="str">
        <f>IFERROR(INDEX([1]VehiclesUniverse!$B$2:$EU$700,MATCH(C116,[1]VehiclesUniverse!$A$2:$A$700,0),MATCH($E$1,[1]VehiclesUniverse!$B$1:$EU$1,0)),"")</f>
        <v>single country</v>
      </c>
      <c r="F116" s="6" t="str">
        <f>IF(IFERROR(INDEX([1]VehiclesUniverse!$B$2:$EU$700,MATCH($C116,[1]VehiclesUniverse!$A$2:$A$700,0),MATCH($F$1,[1]VehiclesUniverse!$B$1:$EU$1,0)),"")&lt;&gt;0,(IFERROR(INDEX([1]VehiclesUniverse!$B$2:$EU$700,MATCH($C116,[1]VehiclesUniverse!$A$2:$A$700,0),MATCH($F$1,[1]VehiclesUniverse!$B$1:$EU$1,0)),"")),"")</f>
        <v>Finland</v>
      </c>
      <c r="G116" s="6" t="str">
        <f>IF(ISBLANK([1]NLFsmonkeyCompl!L117),"",[1]NLFsmonkeyCompl!L117)</f>
        <v>Closed end</v>
      </c>
      <c r="H116" s="6">
        <f>IFERROR(INDEX([1]VehiclesUniverse!$B$2:$EU$700,MATCH(C116,[1]VehiclesUniverse!$A$2:$A$700,0),MATCH($H$1,[1]VehiclesUniverse!$B$1:$EU$1,0)),"")</f>
        <v>2018</v>
      </c>
      <c r="I116" s="6" t="str">
        <f>IF(ISBLANK([1]NLFsmonkeyCompl!M117),"",[1]NLFsmonkeyCompl!M117)</f>
        <v>No</v>
      </c>
      <c r="J116" s="6" t="str">
        <f>IF(ISBLANK([1]NLFsmonkeyCompl!N117),"",[1]NLFsmonkeyCompl!N117)</f>
        <v>Other (please specify)</v>
      </c>
      <c r="K116" s="6" t="str">
        <f>IF(ISBLANK([1]NLFsmonkeyCompl!O117),"",[1]NLFsmonkeyCompl!O117)</f>
        <v>Fund was closed 2018</v>
      </c>
      <c r="L116" s="6" t="str">
        <f>IFERROR(INDEX([1]VehiclesUniverse!$B$2:$EU$700,MATCH(C116,[1]VehiclesUniverse!$A$2:$A$700,0),MATCH($L$1,[1]VehiclesUniverse!$B$1:$EU$1,0)),"")</f>
        <v>EUR</v>
      </c>
      <c r="M116" s="16">
        <f>IFERROR(VLOOKUP(L116,'[1]Xrate31.12.20'!$K$2:$N$25,3,0),"")</f>
        <v>1</v>
      </c>
      <c r="N116" s="8" t="str">
        <f>IFERROR(IF(ISBLANK([1]NLFsmonkeyCompl!P117),"",[1]NLFsmonkeyCompl!P117*$M116),"")</f>
        <v/>
      </c>
      <c r="O116" s="8" t="str">
        <f>IFERROR(IF(ISBLANK([1]NLFsmonkeyCompl!Q117),"",[1]NLFsmonkeyCompl!Q117*$M116),"")</f>
        <v/>
      </c>
      <c r="P116" s="8" t="str">
        <f>IFERROR(IF(ISBLANK([1]NLFsmonkeyCompl!R117),"",[1]NLFsmonkeyCompl!R117*$M116),"")</f>
        <v/>
      </c>
      <c r="Q116" s="8" t="str">
        <f>IFERROR(IF(ISBLANK([1]NLFsmonkeyCompl!S117),"",[1]NLFsmonkeyCompl!S117*$M116),"")</f>
        <v/>
      </c>
      <c r="R116" s="8" t="str">
        <f>IFERROR(IF(ISBLANK([1]NLFsmonkeyCompl!T117),"",[1]NLFsmonkeyCompl!T117*$M116),"")</f>
        <v/>
      </c>
      <c r="S116" s="8" t="str">
        <f>IFERROR(IF(ISBLANK([1]NLFsmonkeyCompl!U117),"",[1]NLFsmonkeyCompl!U117*$M116),"")</f>
        <v/>
      </c>
      <c r="T116" s="8" t="str">
        <f>IFERROR(IF(ISBLANK([1]NLFsmonkeyCompl!V117),"",[1]NLFsmonkeyCompl!V117*$M116),"")</f>
        <v/>
      </c>
      <c r="U116" s="8" t="str">
        <f>IFERROR(IF(ISBLANK([1]NLFsmonkeyCompl!W117),"",[1]NLFsmonkeyCompl!W117*$M116),"")</f>
        <v/>
      </c>
      <c r="V116" s="8" t="str">
        <f>IFERROR(IF(ISBLANK([1]NLFsmonkeyCompl!X117),"",[1]NLFsmonkeyCompl!X117*$M116),"")</f>
        <v/>
      </c>
      <c r="W116" s="8" t="str">
        <f>IFERROR(IF(ISBLANK([1]NLFsmonkeyCompl!Y117),"",[1]NLFsmonkeyCompl!Y117*$M116),"")</f>
        <v/>
      </c>
      <c r="X116" s="8" t="str">
        <f>IFERROR(IF(ISBLANK([1]NLFsmonkeyCompl!Z117),"",[1]NLFsmonkeyCompl!Z117*$M116),"")</f>
        <v/>
      </c>
      <c r="Y116" s="8" t="str">
        <f>IFERROR(IF(ISBLANK([1]NLFsmonkeyCompl!AA117),"",[1]NLFsmonkeyCompl!AA117*$M116),"")</f>
        <v/>
      </c>
      <c r="Z116" s="8" t="str">
        <f>IFERROR(IF(ISBLANK([1]NLFsmonkeyCompl!AB117),"",[1]NLFsmonkeyCompl!AB117*$M116),"")</f>
        <v/>
      </c>
      <c r="AA116" s="8" t="str">
        <f>IFERROR(IF(ISBLANK([1]NLFsmonkeyCompl!AC117),"",[1]NLFsmonkeyCompl!AC117*$M116),"")</f>
        <v/>
      </c>
      <c r="AB116" s="8" t="str">
        <f>IFERROR(IF(ISBLANK([1]NLFsmonkeyCompl!AD117),"",[1]NLFsmonkeyCompl!AD117),"")</f>
        <v/>
      </c>
      <c r="AC116" s="8" t="str">
        <f>IFERROR(IF(ISBLANK([1]NLFsmonkeyCompl!AE117),"",[1]NLFsmonkeyCompl!AE117),"")</f>
        <v/>
      </c>
      <c r="AD116" s="8" t="str">
        <f>IFERROR(IF(ISBLANK([1]NLFsmonkeyCompl!AF117),"",[1]NLFsmonkeyCompl!AF117),"")</f>
        <v/>
      </c>
      <c r="AE116" s="8" t="str">
        <f>IFERROR(IF(ISBLANK([1]NLFsmonkeyCompl!AG117),"",[1]NLFsmonkeyCompl!AG117),"")</f>
        <v/>
      </c>
      <c r="AF116" s="8" t="str">
        <f>IFERROR(IF(ISBLANK([1]NLFsmonkeyCompl!AH117),"",[1]NLFsmonkeyCompl!AH117),"")</f>
        <v>Increase</v>
      </c>
      <c r="AG116" s="8" t="str">
        <f>IFERROR(IF(ISBLANK([1]NLFsmonkeyCompl!AI117),"",[1]NLFsmonkeyCompl!AI117),"")</f>
        <v>Yes</v>
      </c>
    </row>
    <row r="117" spans="1:33" x14ac:dyDescent="0.2">
      <c r="A117" s="5" t="str">
        <f>IF(OR(ISTEXT([1]NLFsmonkeyCompl!J118),ISNUMBER([1]NLFsmonkeyCompl!J118)),[1]NLFsmonkeyCompl!J118,"")</f>
        <v>Coima Sgr</v>
      </c>
      <c r="B117" s="6" t="str">
        <f>IF(OR(ISTEXT([1]NLFsmonkeyCompl!K118),ISNUMBER([1]NLFsmonkeyCompl!K118)),[1]NLFsmonkeyCompl!K118,"")</f>
        <v>COIMA CORE FUND VII</v>
      </c>
      <c r="C117" s="6">
        <v>19311</v>
      </c>
      <c r="D117" s="6" t="str">
        <f>IFERROR(INDEX([1]VehiclesUniverse!$B$2:$EU$700,MATCH(C117,[1]VehiclesUniverse!$A$2:$A$700,0),MATCH($D$1,[1]VehiclesUniverse!$B$1:$EU$1,0)),"")</f>
        <v>Value-added</v>
      </c>
      <c r="E117" s="6" t="str">
        <f>IFERROR(INDEX([1]VehiclesUniverse!$B$2:$EU$700,MATCH(C117,[1]VehiclesUniverse!$A$2:$A$700,0),MATCH($E$1,[1]VehiclesUniverse!$B$1:$EU$1,0)),"")</f>
        <v>single country</v>
      </c>
      <c r="F117" s="6" t="str">
        <f>IF(IFERROR(INDEX([1]VehiclesUniverse!$B$2:$EU$700,MATCH($C117,[1]VehiclesUniverse!$A$2:$A$700,0),MATCH($F$1,[1]VehiclesUniverse!$B$1:$EU$1,0)),"")&lt;&gt;0,(IFERROR(INDEX([1]VehiclesUniverse!$B$2:$EU$700,MATCH($C117,[1]VehiclesUniverse!$A$2:$A$700,0),MATCH($F$1,[1]VehiclesUniverse!$B$1:$EU$1,0)),"")),"")</f>
        <v>Italy</v>
      </c>
      <c r="G117" s="6" t="str">
        <f>IF(ISBLANK([1]NLFsmonkeyCompl!L118),"",[1]NLFsmonkeyCompl!L118)</f>
        <v>Closed end</v>
      </c>
      <c r="H117" s="6">
        <f>IFERROR(INDEX([1]VehiclesUniverse!$B$2:$EU$700,MATCH(C117,[1]VehiclesUniverse!$A$2:$A$700,0),MATCH($H$1,[1]VehiclesUniverse!$B$1:$EU$1,0)),"")</f>
        <v>2019</v>
      </c>
      <c r="I117" s="6" t="str">
        <f>IF(ISBLANK([1]NLFsmonkeyCompl!M118),"",[1]NLFsmonkeyCompl!M118)</f>
        <v>No</v>
      </c>
      <c r="J117" s="6" t="str">
        <f>IF(ISBLANK([1]NLFsmonkeyCompl!N118),"",[1]NLFsmonkeyCompl!N118)</f>
        <v>Other (please specify)</v>
      </c>
      <c r="K117" s="6" t="str">
        <f>IF(ISBLANK([1]NLFsmonkeyCompl!O118),"",[1]NLFsmonkeyCompl!O118)</f>
        <v>the fund regulation did not provide for additional capital calls</v>
      </c>
      <c r="L117" s="6" t="str">
        <f>IFERROR(INDEX([1]VehiclesUniverse!$B$2:$EU$700,MATCH(C117,[1]VehiclesUniverse!$A$2:$A$700,0),MATCH($L$1,[1]VehiclesUniverse!$B$1:$EU$1,0)),"")</f>
        <v>EUR</v>
      </c>
      <c r="M117" s="16">
        <f>IFERROR(VLOOKUP(L117,'[1]Xrate31.12.20'!$K$2:$N$25,3,0),"")</f>
        <v>1</v>
      </c>
      <c r="N117" s="8" t="str">
        <f>IFERROR(IF(ISBLANK([1]NLFsmonkeyCompl!P118),"",[1]NLFsmonkeyCompl!P118*$M117),"")</f>
        <v/>
      </c>
      <c r="O117" s="8" t="str">
        <f>IFERROR(IF(ISBLANK([1]NLFsmonkeyCompl!Q118),"",[1]NLFsmonkeyCompl!Q118*$M117),"")</f>
        <v/>
      </c>
      <c r="P117" s="8" t="str">
        <f>IFERROR(IF(ISBLANK([1]NLFsmonkeyCompl!R118),"",[1]NLFsmonkeyCompl!R118*$M117),"")</f>
        <v/>
      </c>
      <c r="Q117" s="8" t="str">
        <f>IFERROR(IF(ISBLANK([1]NLFsmonkeyCompl!S118),"",[1]NLFsmonkeyCompl!S118*$M117),"")</f>
        <v/>
      </c>
      <c r="R117" s="8" t="str">
        <f>IFERROR(IF(ISBLANK([1]NLFsmonkeyCompl!T118),"",[1]NLFsmonkeyCompl!T118*$M117),"")</f>
        <v/>
      </c>
      <c r="S117" s="8" t="str">
        <f>IFERROR(IF(ISBLANK([1]NLFsmonkeyCompl!U118),"",[1]NLFsmonkeyCompl!U118*$M117),"")</f>
        <v/>
      </c>
      <c r="T117" s="8" t="str">
        <f>IFERROR(IF(ISBLANK([1]NLFsmonkeyCompl!V118),"",[1]NLFsmonkeyCompl!V118*$M117),"")</f>
        <v/>
      </c>
      <c r="U117" s="8" t="str">
        <f>IFERROR(IF(ISBLANK([1]NLFsmonkeyCompl!W118),"",[1]NLFsmonkeyCompl!W118*$M117),"")</f>
        <v/>
      </c>
      <c r="V117" s="8" t="str">
        <f>IFERROR(IF(ISBLANK([1]NLFsmonkeyCompl!X118),"",[1]NLFsmonkeyCompl!X118*$M117),"")</f>
        <v/>
      </c>
      <c r="W117" s="8" t="str">
        <f>IFERROR(IF(ISBLANK([1]NLFsmonkeyCompl!Y118),"",[1]NLFsmonkeyCompl!Y118*$M117),"")</f>
        <v/>
      </c>
      <c r="X117" s="8" t="str">
        <f>IFERROR(IF(ISBLANK([1]NLFsmonkeyCompl!Z118),"",[1]NLFsmonkeyCompl!Z118*$M117),"")</f>
        <v/>
      </c>
      <c r="Y117" s="8" t="str">
        <f>IFERROR(IF(ISBLANK([1]NLFsmonkeyCompl!AA118),"",[1]NLFsmonkeyCompl!AA118*$M117),"")</f>
        <v/>
      </c>
      <c r="Z117" s="8" t="str">
        <f>IFERROR(IF(ISBLANK([1]NLFsmonkeyCompl!AB118),"",[1]NLFsmonkeyCompl!AB118*$M117),"")</f>
        <v/>
      </c>
      <c r="AA117" s="8" t="str">
        <f>IFERROR(IF(ISBLANK([1]NLFsmonkeyCompl!AC118),"",[1]NLFsmonkeyCompl!AC118*$M117),"")</f>
        <v/>
      </c>
      <c r="AB117" s="8" t="str">
        <f>IFERROR(IF(ISBLANK([1]NLFsmonkeyCompl!AD118),"",[1]NLFsmonkeyCompl!AD118),"")</f>
        <v/>
      </c>
      <c r="AC117" s="8" t="str">
        <f>IFERROR(IF(ISBLANK([1]NLFsmonkeyCompl!AE118),"",[1]NLFsmonkeyCompl!AE118),"")</f>
        <v/>
      </c>
      <c r="AD117" s="8" t="str">
        <f>IFERROR(IF(ISBLANK([1]NLFsmonkeyCompl!AF118),"",[1]NLFsmonkeyCompl!AF118),"")</f>
        <v/>
      </c>
      <c r="AE117" s="8" t="str">
        <f>IFERROR(IF(ISBLANK([1]NLFsmonkeyCompl!AG118),"",[1]NLFsmonkeyCompl!AG118),"")</f>
        <v/>
      </c>
      <c r="AF117" s="8" t="str">
        <f>IFERROR(IF(ISBLANK([1]NLFsmonkeyCompl!AH118),"",[1]NLFsmonkeyCompl!AH118),"")</f>
        <v>Increase</v>
      </c>
      <c r="AG117" s="8" t="str">
        <f>IFERROR(IF(ISBLANK([1]NLFsmonkeyCompl!AI118),"",[1]NLFsmonkeyCompl!AI118),"")</f>
        <v>No</v>
      </c>
    </row>
    <row r="118" spans="1:33" x14ac:dyDescent="0.2">
      <c r="A118" s="5" t="str">
        <f>IF(OR(ISTEXT([1]NLFsmonkeyCompl!J119),ISNUMBER([1]NLFsmonkeyCompl!J119)),[1]NLFsmonkeyCompl!J119,"")</f>
        <v>Aberdeen Standard Investments</v>
      </c>
      <c r="B118" s="6" t="str">
        <f>IF(OR(ISTEXT([1]NLFsmonkeyCompl!K119),ISNUMBER([1]NLFsmonkeyCompl!K119)),[1]NLFsmonkeyCompl!K119,"")</f>
        <v>Long Lease Property</v>
      </c>
      <c r="C118" s="6">
        <v>318</v>
      </c>
      <c r="D118" s="6" t="str">
        <f>IFERROR(INDEX([1]VehiclesUniverse!$B$2:$EU$700,MATCH(C118,[1]VehiclesUniverse!$A$2:$A$700,0),MATCH($D$1,[1]VehiclesUniverse!$B$1:$EU$1,0)),"")</f>
        <v>Core</v>
      </c>
      <c r="E118" s="6" t="str">
        <f>IFERROR(INDEX([1]VehiclesUniverse!$B$2:$EU$700,MATCH(C118,[1]VehiclesUniverse!$A$2:$A$700,0),MATCH($E$1,[1]VehiclesUniverse!$B$1:$EU$1,0)),"")</f>
        <v>single country</v>
      </c>
      <c r="F118" s="6" t="str">
        <f>IF(IFERROR(INDEX([1]VehiclesUniverse!$B$2:$EU$700,MATCH($C118,[1]VehiclesUniverse!$A$2:$A$700,0),MATCH($F$1,[1]VehiclesUniverse!$B$1:$EU$1,0)),"")&lt;&gt;0,(IFERROR(INDEX([1]VehiclesUniverse!$B$2:$EU$700,MATCH($C118,[1]VehiclesUniverse!$A$2:$A$700,0),MATCH($F$1,[1]VehiclesUniverse!$B$1:$EU$1,0)),"")),"")</f>
        <v>United Kingdom</v>
      </c>
      <c r="G118" s="6" t="str">
        <f>IF(ISBLANK([1]NLFsmonkeyCompl!L119),"",[1]NLFsmonkeyCompl!L119)</f>
        <v>Open end</v>
      </c>
      <c r="H118" s="6">
        <f>IFERROR(INDEX([1]VehiclesUniverse!$B$2:$EU$700,MATCH(C118,[1]VehiclesUniverse!$A$2:$A$700,0),MATCH($H$1,[1]VehiclesUniverse!$B$1:$EU$1,0)),"")</f>
        <v>2003</v>
      </c>
      <c r="I118" s="6" t="str">
        <f>IF(ISBLANK([1]NLFsmonkeyCompl!M119),"",[1]NLFsmonkeyCompl!M119)</f>
        <v>Yes</v>
      </c>
      <c r="J118" s="6" t="str">
        <f>IF(ISBLANK([1]NLFsmonkeyCompl!N119),"",[1]NLFsmonkeyCompl!N119)</f>
        <v/>
      </c>
      <c r="K118" s="6" t="str">
        <f>IF(ISBLANK([1]NLFsmonkeyCompl!O119),"",[1]NLFsmonkeyCompl!O119)</f>
        <v/>
      </c>
      <c r="L118" s="6" t="str">
        <f>IFERROR(INDEX([1]VehiclesUniverse!$B$2:$EU$700,MATCH(C118,[1]VehiclesUniverse!$A$2:$A$700,0),MATCH($L$1,[1]VehiclesUniverse!$B$1:$EU$1,0)),"")</f>
        <v>GBP</v>
      </c>
      <c r="M118" s="16">
        <f>IFERROR(VLOOKUP(L118,'[1]Xrate31.12.20'!$K$2:$N$25,3,0),"")</f>
        <v>1.1130927885999999</v>
      </c>
      <c r="N118" s="8" t="str">
        <f>IFERROR(IF(ISBLANK([1]NLFsmonkeyCompl!P119),"",[1]NLFsmonkeyCompl!P119*$M118),"")</f>
        <v/>
      </c>
      <c r="O118" s="8" t="str">
        <f>IFERROR(IF(ISBLANK([1]NLFsmonkeyCompl!Q119),"",[1]NLFsmonkeyCompl!Q119*$M118),"")</f>
        <v/>
      </c>
      <c r="P118" s="8" t="str">
        <f>IFERROR(IF(ISBLANK([1]NLFsmonkeyCompl!R119),"",[1]NLFsmonkeyCompl!R119*$M118),"")</f>
        <v/>
      </c>
      <c r="Q118" s="8" t="str">
        <f>IFERROR(IF(ISBLANK([1]NLFsmonkeyCompl!S119),"",[1]NLFsmonkeyCompl!S119*$M118),"")</f>
        <v/>
      </c>
      <c r="R118" s="8" t="str">
        <f>IFERROR(IF(ISBLANK([1]NLFsmonkeyCompl!T119),"",[1]NLFsmonkeyCompl!T119*$M118),"")</f>
        <v/>
      </c>
      <c r="S118" s="8" t="str">
        <f>IFERROR(IF(ISBLANK([1]NLFsmonkeyCompl!U119),"",[1]NLFsmonkeyCompl!U119*$M118),"")</f>
        <v/>
      </c>
      <c r="T118" s="8" t="str">
        <f>IFERROR(IF(ISBLANK([1]NLFsmonkeyCompl!V119),"",[1]NLFsmonkeyCompl!V119*$M118),"")</f>
        <v/>
      </c>
      <c r="U118" s="8" t="str">
        <f>IFERROR(IF(ISBLANK([1]NLFsmonkeyCompl!W119),"",[1]NLFsmonkeyCompl!W119*$M118),"")</f>
        <v/>
      </c>
      <c r="V118" s="8" t="str">
        <f>IFERROR(IF(ISBLANK([1]NLFsmonkeyCompl!X119),"",[1]NLFsmonkeyCompl!X119*$M118),"")</f>
        <v/>
      </c>
      <c r="W118" s="8" t="str">
        <f>IFERROR(IF(ISBLANK([1]NLFsmonkeyCompl!Y119),"",[1]NLFsmonkeyCompl!Y119*$M118),"")</f>
        <v/>
      </c>
      <c r="X118" s="8" t="str">
        <f>IFERROR(IF(ISBLANK([1]NLFsmonkeyCompl!Z119),"",[1]NLFsmonkeyCompl!Z119*$M118),"")</f>
        <v/>
      </c>
      <c r="Y118" s="8" t="str">
        <f>IFERROR(IF(ISBLANK([1]NLFsmonkeyCompl!AA119),"",[1]NLFsmonkeyCompl!AA119*$M118),"")</f>
        <v/>
      </c>
      <c r="Z118" s="8" t="str">
        <f>IFERROR(IF(ISBLANK([1]NLFsmonkeyCompl!AB119),"",[1]NLFsmonkeyCompl!AB119*$M118),"")</f>
        <v/>
      </c>
      <c r="AA118" s="8" t="str">
        <f>IFERROR(IF(ISBLANK([1]NLFsmonkeyCompl!AC119),"",[1]NLFsmonkeyCompl!AC119*$M118),"")</f>
        <v/>
      </c>
      <c r="AB118" s="8" t="str">
        <f>IFERROR(IF(ISBLANK([1]NLFsmonkeyCompl!AD119),"",[1]NLFsmonkeyCompl!AD119),"")</f>
        <v/>
      </c>
      <c r="AC118" s="8" t="str">
        <f>IFERROR(IF(ISBLANK([1]NLFsmonkeyCompl!AE119),"",[1]NLFsmonkeyCompl!AE119),"")</f>
        <v/>
      </c>
      <c r="AD118" s="8" t="str">
        <f>IFERROR(IF(ISBLANK([1]NLFsmonkeyCompl!AF119),"",[1]NLFsmonkeyCompl!AF119),"")</f>
        <v/>
      </c>
      <c r="AE118" s="8" t="str">
        <f>IFERROR(IF(ISBLANK([1]NLFsmonkeyCompl!AG119),"",[1]NLFsmonkeyCompl!AG119),"")</f>
        <v/>
      </c>
      <c r="AF118" s="8" t="str">
        <f>IFERROR(IF(ISBLANK([1]NLFsmonkeyCompl!AH119),"",[1]NLFsmonkeyCompl!AH119),"")</f>
        <v/>
      </c>
      <c r="AG118" s="8" t="str">
        <f>IFERROR(IF(ISBLANK([1]NLFsmonkeyCompl!AI119),"",[1]NLFsmonkeyCompl!AI119),"")</f>
        <v/>
      </c>
    </row>
    <row r="119" spans="1:33" x14ac:dyDescent="0.2">
      <c r="A119" s="5" t="str">
        <f>IF(OR(ISTEXT([1]NLFsmonkeyCompl!J120),ISNUMBER([1]NLFsmonkeyCompl!J120)),[1]NLFsmonkeyCompl!J120,"")</f>
        <v>Areim AB</v>
      </c>
      <c r="B119" s="6" t="str">
        <f>IF(OR(ISTEXT([1]NLFsmonkeyCompl!K120),ISNUMBER([1]NLFsmonkeyCompl!K120)),[1]NLFsmonkeyCompl!K120,"")</f>
        <v>Areim Fastigheter 2 AB</v>
      </c>
      <c r="C119" s="6">
        <v>16070</v>
      </c>
      <c r="D119" s="6" t="str">
        <f>IFERROR(INDEX([1]VehiclesUniverse!$B$2:$EU$700,MATCH(C119,[1]VehiclesUniverse!$A$2:$A$700,0),MATCH($D$1,[1]VehiclesUniverse!$B$1:$EU$1,0)),"")</f>
        <v>Value-added</v>
      </c>
      <c r="E119" s="6" t="str">
        <f>IFERROR(INDEX([1]VehiclesUniverse!$B$2:$EU$700,MATCH(C119,[1]VehiclesUniverse!$A$2:$A$700,0),MATCH($E$1,[1]VehiclesUniverse!$B$1:$EU$1,0)),"")</f>
        <v>single country</v>
      </c>
      <c r="F119" s="6" t="str">
        <f>IF(IFERROR(INDEX([1]VehiclesUniverse!$B$2:$EU$700,MATCH($C119,[1]VehiclesUniverse!$A$2:$A$700,0),MATCH($F$1,[1]VehiclesUniverse!$B$1:$EU$1,0)),"")&lt;&gt;0,(IFERROR(INDEX([1]VehiclesUniverse!$B$2:$EU$700,MATCH($C119,[1]VehiclesUniverse!$A$2:$A$700,0),MATCH($F$1,[1]VehiclesUniverse!$B$1:$EU$1,0)),"")),"")</f>
        <v>Sweden</v>
      </c>
      <c r="G119" s="6" t="str">
        <f>IF(ISBLANK([1]NLFsmonkeyCompl!L120),"",[1]NLFsmonkeyCompl!L120)</f>
        <v>Closed end</v>
      </c>
      <c r="H119" s="6">
        <f>IFERROR(INDEX([1]VehiclesUniverse!$B$2:$EU$700,MATCH(C119,[1]VehiclesUniverse!$A$2:$A$700,0),MATCH($H$1,[1]VehiclesUniverse!$B$1:$EU$1,0)),"")</f>
        <v>2012</v>
      </c>
      <c r="I119" s="6" t="str">
        <f>IF(ISBLANK([1]NLFsmonkeyCompl!M120),"",[1]NLFsmonkeyCompl!M120)</f>
        <v>No</v>
      </c>
      <c r="J119" s="6" t="str">
        <f>IF(ISBLANK([1]NLFsmonkeyCompl!N120),"",[1]NLFsmonkeyCompl!N120)</f>
        <v/>
      </c>
      <c r="K119" s="6" t="str">
        <f>IF(ISBLANK([1]NLFsmonkeyCompl!O120),"",[1]NLFsmonkeyCompl!O120)</f>
        <v/>
      </c>
      <c r="L119" s="6" t="str">
        <f>IFERROR(INDEX([1]VehiclesUniverse!$B$2:$EU$700,MATCH(C119,[1]VehiclesUniverse!$A$2:$A$700,0),MATCH($L$1,[1]VehiclesUniverse!$B$1:$EU$1,0)),"")</f>
        <v>SEK</v>
      </c>
      <c r="M119" s="16">
        <f>IFERROR(VLOOKUP(L119,'[1]Xrate31.12.20'!$K$2:$N$25,3,0),"")</f>
        <v>9.9491122000000001E-2</v>
      </c>
      <c r="N119" s="8" t="str">
        <f>IFERROR(IF(ISBLANK([1]NLFsmonkeyCompl!P120),"",[1]NLFsmonkeyCompl!P120*$M119),"")</f>
        <v/>
      </c>
      <c r="O119" s="8" t="str">
        <f>IFERROR(IF(ISBLANK([1]NLFsmonkeyCompl!Q120),"",[1]NLFsmonkeyCompl!Q120*$M119),"")</f>
        <v/>
      </c>
      <c r="P119" s="8" t="str">
        <f>IFERROR(IF(ISBLANK([1]NLFsmonkeyCompl!R120),"",[1]NLFsmonkeyCompl!R120*$M119),"")</f>
        <v/>
      </c>
      <c r="Q119" s="8" t="str">
        <f>IFERROR(IF(ISBLANK([1]NLFsmonkeyCompl!S120),"",[1]NLFsmonkeyCompl!S120*$M119),"")</f>
        <v/>
      </c>
      <c r="R119" s="8" t="str">
        <f>IFERROR(IF(ISBLANK([1]NLFsmonkeyCompl!T120),"",[1]NLFsmonkeyCompl!T120*$M119),"")</f>
        <v/>
      </c>
      <c r="S119" s="8" t="str">
        <f>IFERROR(IF(ISBLANK([1]NLFsmonkeyCompl!U120),"",[1]NLFsmonkeyCompl!U120*$M119),"")</f>
        <v/>
      </c>
      <c r="T119" s="8" t="str">
        <f>IFERROR(IF(ISBLANK([1]NLFsmonkeyCompl!V120),"",[1]NLFsmonkeyCompl!V120*$M119),"")</f>
        <v/>
      </c>
      <c r="U119" s="8" t="str">
        <f>IFERROR(IF(ISBLANK([1]NLFsmonkeyCompl!W120),"",[1]NLFsmonkeyCompl!W120*$M119),"")</f>
        <v/>
      </c>
      <c r="V119" s="8" t="str">
        <f>IFERROR(IF(ISBLANK([1]NLFsmonkeyCompl!X120),"",[1]NLFsmonkeyCompl!X120*$M119),"")</f>
        <v/>
      </c>
      <c r="W119" s="8" t="str">
        <f>IFERROR(IF(ISBLANK([1]NLFsmonkeyCompl!Y120),"",[1]NLFsmonkeyCompl!Y120*$M119),"")</f>
        <v/>
      </c>
      <c r="X119" s="8" t="str">
        <f>IFERROR(IF(ISBLANK([1]NLFsmonkeyCompl!Z120),"",[1]NLFsmonkeyCompl!Z120*$M119),"")</f>
        <v/>
      </c>
      <c r="Y119" s="8" t="str">
        <f>IFERROR(IF(ISBLANK([1]NLFsmonkeyCompl!AA120),"",[1]NLFsmonkeyCompl!AA120*$M119),"")</f>
        <v/>
      </c>
      <c r="Z119" s="8" t="str">
        <f>IFERROR(IF(ISBLANK([1]NLFsmonkeyCompl!AB120),"",[1]NLFsmonkeyCompl!AB120*$M119),"")</f>
        <v/>
      </c>
      <c r="AA119" s="8" t="str">
        <f>IFERROR(IF(ISBLANK([1]NLFsmonkeyCompl!AC120),"",[1]NLFsmonkeyCompl!AC120*$M119),"")</f>
        <v/>
      </c>
      <c r="AB119" s="8" t="str">
        <f>IFERROR(IF(ISBLANK([1]NLFsmonkeyCompl!AD120),"",[1]NLFsmonkeyCompl!AD120),"")</f>
        <v/>
      </c>
      <c r="AC119" s="8" t="str">
        <f>IFERROR(IF(ISBLANK([1]NLFsmonkeyCompl!AE120),"",[1]NLFsmonkeyCompl!AE120),"")</f>
        <v/>
      </c>
      <c r="AD119" s="8" t="str">
        <f>IFERROR(IF(ISBLANK([1]NLFsmonkeyCompl!AF120),"",[1]NLFsmonkeyCompl!AF120),"")</f>
        <v/>
      </c>
      <c r="AE119" s="8" t="str">
        <f>IFERROR(IF(ISBLANK([1]NLFsmonkeyCompl!AG120),"",[1]NLFsmonkeyCompl!AG120),"")</f>
        <v/>
      </c>
      <c r="AF119" s="8" t="str">
        <f>IFERROR(IF(ISBLANK([1]NLFsmonkeyCompl!AH120),"",[1]NLFsmonkeyCompl!AH120),"")</f>
        <v/>
      </c>
      <c r="AG119" s="8" t="str">
        <f>IFERROR(IF(ISBLANK([1]NLFsmonkeyCompl!AI120),"",[1]NLFsmonkeyCompl!AI120),"")</f>
        <v/>
      </c>
    </row>
    <row r="120" spans="1:33" x14ac:dyDescent="0.2">
      <c r="A120" s="5" t="str">
        <f>IF(OR(ISTEXT([1]NLFsmonkeyCompl!J121),ISNUMBER([1]NLFsmonkeyCompl!J121)),[1]NLFsmonkeyCompl!J121,"")</f>
        <v>DNB Real Estate Investment Management</v>
      </c>
      <c r="B120" s="6" t="str">
        <f>IF(OR(ISTEXT([1]NLFsmonkeyCompl!K121),ISNUMBER([1]NLFsmonkeyCompl!K121)),[1]NLFsmonkeyCompl!K121,"")</f>
        <v>DNB Scandinavian Property Fund</v>
      </c>
      <c r="C120" s="6">
        <v>17499</v>
      </c>
      <c r="D120" s="6" t="str">
        <f>IFERROR(INDEX([1]VehiclesUniverse!$B$2:$EU$700,MATCH(C120,[1]VehiclesUniverse!$A$2:$A$700,0),MATCH($D$1,[1]VehiclesUniverse!$B$1:$EU$1,0)),"")</f>
        <v>Core</v>
      </c>
      <c r="E120" s="6" t="str">
        <f>IFERROR(INDEX([1]VehiclesUniverse!$B$2:$EU$700,MATCH(C120,[1]VehiclesUniverse!$A$2:$A$700,0),MATCH($E$1,[1]VehiclesUniverse!$B$1:$EU$1,0)),"")</f>
        <v>multi country</v>
      </c>
      <c r="F120" s="6" t="str">
        <f>IF(IFERROR(INDEX([1]VehiclesUniverse!$B$2:$EU$700,MATCH($C120,[1]VehiclesUniverse!$A$2:$A$700,0),MATCH($F$1,[1]VehiclesUniverse!$B$1:$EU$1,0)),"")&lt;&gt;0,(IFERROR(INDEX([1]VehiclesUniverse!$B$2:$EU$700,MATCH($C120,[1]VehiclesUniverse!$A$2:$A$700,0),MATCH($F$1,[1]VehiclesUniverse!$B$1:$EU$1,0)),"")),"")</f>
        <v/>
      </c>
      <c r="G120" s="6" t="str">
        <f>IF(ISBLANK([1]NLFsmonkeyCompl!L121),"",[1]NLFsmonkeyCompl!L121)</f>
        <v>Open end</v>
      </c>
      <c r="H120" s="6">
        <f>IFERROR(INDEX([1]VehiclesUniverse!$B$2:$EU$700,MATCH(C120,[1]VehiclesUniverse!$A$2:$A$700,0),MATCH($H$1,[1]VehiclesUniverse!$B$1:$EU$1,0)),"")</f>
        <v>2007</v>
      </c>
      <c r="I120" s="6" t="str">
        <f>IF(ISBLANK([1]NLFsmonkeyCompl!M121),"",[1]NLFsmonkeyCompl!M121)</f>
        <v>Yes</v>
      </c>
      <c r="J120" s="6" t="str">
        <f>IF(ISBLANK([1]NLFsmonkeyCompl!N121),"",[1]NLFsmonkeyCompl!N121)</f>
        <v/>
      </c>
      <c r="K120" s="6" t="str">
        <f>IF(ISBLANK([1]NLFsmonkeyCompl!O121),"",[1]NLFsmonkeyCompl!O121)</f>
        <v/>
      </c>
      <c r="L120" s="6" t="str">
        <f>IFERROR(INDEX([1]VehiclesUniverse!$B$2:$EU$700,MATCH(C120,[1]VehiclesUniverse!$A$2:$A$700,0),MATCH($L$1,[1]VehiclesUniverse!$B$1:$EU$1,0)),"")</f>
        <v>NOK</v>
      </c>
      <c r="M120" s="16">
        <f>IFERROR(VLOOKUP(L120,'[1]Xrate31.12.20'!$K$2:$N$25,3,0),"")</f>
        <v>9.5415699000000007E-2</v>
      </c>
      <c r="N120" s="8">
        <f>IFERROR(IF(ISBLANK([1]NLFsmonkeyCompl!P121),"",[1]NLFsmonkeyCompl!P121*$M120),"")</f>
        <v>69.27179747400001</v>
      </c>
      <c r="O120" s="8">
        <f>IFERROR(IF(ISBLANK([1]NLFsmonkeyCompl!Q121),"",[1]NLFsmonkeyCompl!Q121*$M120),"")</f>
        <v>28.910956797000001</v>
      </c>
      <c r="P120" s="8">
        <f>IFERROR(IF(ISBLANK([1]NLFsmonkeyCompl!R121),"",[1]NLFsmonkeyCompl!R121*$M120),"")</f>
        <v>24.426418944000002</v>
      </c>
      <c r="Q120" s="8">
        <f>IFERROR(IF(ISBLANK([1]NLFsmonkeyCompl!S121),"",[1]NLFsmonkeyCompl!S121*$M120),"")</f>
        <v>0</v>
      </c>
      <c r="R120" s="8">
        <f>IFERROR(IF(ISBLANK([1]NLFsmonkeyCompl!T121),"",[1]NLFsmonkeyCompl!T121*$M120),"")</f>
        <v>0</v>
      </c>
      <c r="S120" s="8">
        <f>IFERROR(IF(ISBLANK([1]NLFsmonkeyCompl!U121),"",[1]NLFsmonkeyCompl!U121*$M120),"")</f>
        <v>5.4386948430000004</v>
      </c>
      <c r="T120" s="8">
        <f>IFERROR(IF(ISBLANK([1]NLFsmonkeyCompl!V121),"",[1]NLFsmonkeyCompl!V121*$M120),"")</f>
        <v>0</v>
      </c>
      <c r="U120" s="8">
        <f>IFERROR(IF(ISBLANK([1]NLFsmonkeyCompl!W121),"",[1]NLFsmonkeyCompl!W121*$M120),"")</f>
        <v>9.5415699000000007E-2</v>
      </c>
      <c r="V120" s="8">
        <f>IFERROR(IF(ISBLANK([1]NLFsmonkeyCompl!X121),"",[1]NLFsmonkeyCompl!X121*$M120),"")</f>
        <v>13.549029258000001</v>
      </c>
      <c r="W120" s="8">
        <f>IFERROR(IF(ISBLANK([1]NLFsmonkeyCompl!Y121),"",[1]NLFsmonkeyCompl!Y121*$M120),"")</f>
        <v>69.27179747400001</v>
      </c>
      <c r="X120" s="8">
        <f>IFERROR(IF(ISBLANK([1]NLFsmonkeyCompl!Z121),"",[1]NLFsmonkeyCompl!Z121*$M120),"")</f>
        <v>0</v>
      </c>
      <c r="Y120" s="8">
        <f>IFERROR(IF(ISBLANK([1]NLFsmonkeyCompl!AA121),"",[1]NLFsmonkeyCompl!AA121*$M120),"")</f>
        <v>0</v>
      </c>
      <c r="Z120" s="8">
        <f>IFERROR(IF(ISBLANK([1]NLFsmonkeyCompl!AB121),"",[1]NLFsmonkeyCompl!AB121*$M120),"")</f>
        <v>0</v>
      </c>
      <c r="AA120" s="8">
        <f>IFERROR(IF(ISBLANK([1]NLFsmonkeyCompl!AC121),"",[1]NLFsmonkeyCompl!AC121*$M120),"")</f>
        <v>0</v>
      </c>
      <c r="AB120" s="8">
        <f>IFERROR(IF(ISBLANK([1]NLFsmonkeyCompl!AD121),"",[1]NLFsmonkeyCompl!AD121),"")</f>
        <v>0</v>
      </c>
      <c r="AC120" s="8">
        <f>IFERROR(IF(ISBLANK([1]NLFsmonkeyCompl!AE121),"",[1]NLFsmonkeyCompl!AE121),"")</f>
        <v>0</v>
      </c>
      <c r="AD120" s="8">
        <f>IFERROR(IF(ISBLANK([1]NLFsmonkeyCompl!AF121),"",[1]NLFsmonkeyCompl!AF121),"")</f>
        <v>100</v>
      </c>
      <c r="AE120" s="8">
        <f>IFERROR(IF(ISBLANK([1]NLFsmonkeyCompl!AG121),"",[1]NLFsmonkeyCompl!AG121),"")</f>
        <v>0</v>
      </c>
      <c r="AF120" s="8" t="str">
        <f>IFERROR(IF(ISBLANK([1]NLFsmonkeyCompl!AH121),"",[1]NLFsmonkeyCompl!AH121),"")</f>
        <v/>
      </c>
      <c r="AG120" s="8" t="str">
        <f>IFERROR(IF(ISBLANK([1]NLFsmonkeyCompl!AI121),"",[1]NLFsmonkeyCompl!AI121),"")</f>
        <v/>
      </c>
    </row>
    <row r="121" spans="1:33" x14ac:dyDescent="0.2">
      <c r="A121" s="5" t="str">
        <f>IF(OR(ISTEXT([1]NLFsmonkeyCompl!J122),ISNUMBER([1]NLFsmonkeyCompl!J122)),[1]NLFsmonkeyCompl!J122,"")</f>
        <v>Northern Horizon</v>
      </c>
      <c r="B121" s="6" t="str">
        <f>IF(OR(ISTEXT([1]NLFsmonkeyCompl!K122),ISNUMBER([1]NLFsmonkeyCompl!K122)),[1]NLFsmonkeyCompl!K122,"")</f>
        <v xml:space="preserve">Northern Horizon Aged Care IV </v>
      </c>
      <c r="C121" s="6">
        <v>19702</v>
      </c>
      <c r="D121" s="6" t="s">
        <v>45</v>
      </c>
      <c r="E121" s="6" t="s">
        <v>46</v>
      </c>
      <c r="F121" s="6" t="str">
        <f>IF(IFERROR(INDEX([1]VehiclesUniverse!$B$2:$EU$700,MATCH($C121,[1]VehiclesUniverse!$A$2:$A$700,0),MATCH($F$1,[1]VehiclesUniverse!$B$1:$EU$1,0)),"")&lt;&gt;0,(IFERROR(INDEX([1]VehiclesUniverse!$B$2:$EU$700,MATCH($C121,[1]VehiclesUniverse!$A$2:$A$700,0),MATCH($F$1,[1]VehiclesUniverse!$B$1:$EU$1,0)),"")),"")</f>
        <v/>
      </c>
      <c r="G121" s="6" t="str">
        <f>IF(ISBLANK([1]NLFsmonkeyCompl!L122),"",[1]NLFsmonkeyCompl!L122)</f>
        <v>Closed end</v>
      </c>
      <c r="H121" s="6">
        <v>2020</v>
      </c>
      <c r="I121" s="6" t="str">
        <f>IF(ISBLANK([1]NLFsmonkeyCompl!M122),"",[1]NLFsmonkeyCompl!M122)</f>
        <v>Yes</v>
      </c>
      <c r="J121" s="6" t="str">
        <f>IF(ISBLANK([1]NLFsmonkeyCompl!N122),"",[1]NLFsmonkeyCompl!N122)</f>
        <v/>
      </c>
      <c r="K121" s="6" t="str">
        <f>IF(ISBLANK([1]NLFsmonkeyCompl!O122),"",[1]NLFsmonkeyCompl!O122)</f>
        <v/>
      </c>
      <c r="L121" s="6" t="str">
        <f>IFERROR(INDEX([1]VehiclesUniverse!$B$2:$EU$700,MATCH(C121,[1]VehiclesUniverse!$A$2:$A$700,0),MATCH($L$1,[1]VehiclesUniverse!$B$1:$EU$1,0)),"")</f>
        <v/>
      </c>
      <c r="M121" s="16" t="str">
        <f>IFERROR(VLOOKUP(L121,'[1]Xrate31.12.20'!$K$2:$N$25,3,0),"")</f>
        <v/>
      </c>
      <c r="N121" s="8" t="str">
        <f>IFERROR(IF(ISBLANK([1]NLFsmonkeyCompl!P122),"",[1]NLFsmonkeyCompl!P122*$M121),"")</f>
        <v/>
      </c>
      <c r="O121" s="8" t="str">
        <f>IFERROR(IF(ISBLANK([1]NLFsmonkeyCompl!Q122),"",[1]NLFsmonkeyCompl!Q122*$M121),"")</f>
        <v/>
      </c>
      <c r="P121" s="8" t="str">
        <f>IFERROR(IF(ISBLANK([1]NLFsmonkeyCompl!R122),"",[1]NLFsmonkeyCompl!R122*$M121),"")</f>
        <v/>
      </c>
      <c r="Q121" s="8" t="str">
        <f>IFERROR(IF(ISBLANK([1]NLFsmonkeyCompl!S122),"",[1]NLFsmonkeyCompl!S122*$M121),"")</f>
        <v/>
      </c>
      <c r="R121" s="8" t="str">
        <f>IFERROR(IF(ISBLANK([1]NLFsmonkeyCompl!T122),"",[1]NLFsmonkeyCompl!T122*$M121),"")</f>
        <v/>
      </c>
      <c r="S121" s="8" t="str">
        <f>IFERROR(IF(ISBLANK([1]NLFsmonkeyCompl!U122),"",[1]NLFsmonkeyCompl!U122*$M121),"")</f>
        <v/>
      </c>
      <c r="T121" s="8" t="str">
        <f>IFERROR(IF(ISBLANK([1]NLFsmonkeyCompl!V122),"",[1]NLFsmonkeyCompl!V122*$M121),"")</f>
        <v/>
      </c>
      <c r="U121" s="8" t="str">
        <f>IFERROR(IF(ISBLANK([1]NLFsmonkeyCompl!W122),"",[1]NLFsmonkeyCompl!W122*$M121),"")</f>
        <v/>
      </c>
      <c r="V121" s="8" t="str">
        <f>IFERROR(IF(ISBLANK([1]NLFsmonkeyCompl!X122),"",[1]NLFsmonkeyCompl!X122*$M121),"")</f>
        <v/>
      </c>
      <c r="W121" s="8" t="str">
        <f>IFERROR(IF(ISBLANK([1]NLFsmonkeyCompl!Y122),"",[1]NLFsmonkeyCompl!Y122*$M121),"")</f>
        <v/>
      </c>
      <c r="X121" s="8" t="str">
        <f>IFERROR(IF(ISBLANK([1]NLFsmonkeyCompl!Z122),"",[1]NLFsmonkeyCompl!Z122*$M121),"")</f>
        <v/>
      </c>
      <c r="Y121" s="8" t="str">
        <f>IFERROR(IF(ISBLANK([1]NLFsmonkeyCompl!AA122),"",[1]NLFsmonkeyCompl!AA122*$M121),"")</f>
        <v/>
      </c>
      <c r="Z121" s="8" t="str">
        <f>IFERROR(IF(ISBLANK([1]NLFsmonkeyCompl!AB122),"",[1]NLFsmonkeyCompl!AB122*$M121),"")</f>
        <v/>
      </c>
      <c r="AA121" s="8" t="str">
        <f>IFERROR(IF(ISBLANK([1]NLFsmonkeyCompl!AC122),"",[1]NLFsmonkeyCompl!AC122*$M121),"")</f>
        <v/>
      </c>
      <c r="AB121" s="8">
        <f>IFERROR(IF(ISBLANK([1]NLFsmonkeyCompl!AD122),"",[1]NLFsmonkeyCompl!AD122),"")</f>
        <v>4</v>
      </c>
      <c r="AC121" s="8">
        <f>IFERROR(IF(ISBLANK([1]NLFsmonkeyCompl!AE122),"",[1]NLFsmonkeyCompl!AE122),"")</f>
        <v>96</v>
      </c>
      <c r="AD121" s="8" t="str">
        <f>IFERROR(IF(ISBLANK([1]NLFsmonkeyCompl!AF122),"",[1]NLFsmonkeyCompl!AF122),"")</f>
        <v/>
      </c>
      <c r="AE121" s="8" t="str">
        <f>IFERROR(IF(ISBLANK([1]NLFsmonkeyCompl!AG122),"",[1]NLFsmonkeyCompl!AG122),"")</f>
        <v/>
      </c>
      <c r="AF121" s="8" t="str">
        <f>IFERROR(IF(ISBLANK([1]NLFsmonkeyCompl!AH122),"",[1]NLFsmonkeyCompl!AH122),"")</f>
        <v>Increase</v>
      </c>
      <c r="AG121" s="8" t="str">
        <f>IFERROR(IF(ISBLANK([1]NLFsmonkeyCompl!AI122),"",[1]NLFsmonkeyCompl!AI122),"")</f>
        <v>No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5EFE-696E-4DE4-89B0-1154C013B58A}">
  <sheetPr>
    <tabColor rgb="FFC6A1CF"/>
  </sheetPr>
  <dimension ref="A1:AH121"/>
  <sheetViews>
    <sheetView workbookViewId="0">
      <selection activeCell="A63" sqref="A63:A121"/>
    </sheetView>
  </sheetViews>
  <sheetFormatPr defaultRowHeight="12.75" x14ac:dyDescent="0.2"/>
  <cols>
    <col min="1" max="1" width="29.85546875" customWidth="1"/>
    <col min="2" max="2" width="42.85546875" customWidth="1"/>
    <col min="3" max="3" width="15.85546875" bestFit="1" customWidth="1"/>
    <col min="4" max="4" width="22.140625" bestFit="1" customWidth="1"/>
    <col min="5" max="6" width="22.140625" customWidth="1"/>
    <col min="7" max="7" width="16.85546875" bestFit="1" customWidth="1"/>
    <col min="8" max="8" width="18.5703125" bestFit="1" customWidth="1"/>
    <col min="9" max="9" width="13.85546875" bestFit="1" customWidth="1"/>
    <col min="10" max="10" width="15.85546875" customWidth="1"/>
    <col min="11" max="11" width="20.140625" customWidth="1"/>
    <col min="12" max="12" width="21.140625" bestFit="1" customWidth="1"/>
    <col min="13" max="13" width="18.5703125" customWidth="1"/>
    <col min="14" max="15" width="13.85546875" bestFit="1" customWidth="1"/>
    <col min="16" max="16" width="20.140625" bestFit="1" customWidth="1"/>
    <col min="17" max="17" width="9.5703125" bestFit="1" customWidth="1"/>
    <col min="18" max="18" width="12.140625" bestFit="1" customWidth="1"/>
    <col min="19" max="19" width="9" bestFit="1" customWidth="1"/>
    <col min="20" max="20" width="13.140625" bestFit="1" customWidth="1"/>
    <col min="21" max="21" width="6" bestFit="1" customWidth="1"/>
    <col min="22" max="22" width="14.140625" bestFit="1" customWidth="1"/>
    <col min="23" max="23" width="7.42578125" bestFit="1" customWidth="1"/>
    <col min="24" max="24" width="8.42578125" bestFit="1" customWidth="1"/>
    <col min="25" max="25" width="13.5703125" bestFit="1" customWidth="1"/>
    <col min="26" max="26" width="14" bestFit="1" customWidth="1"/>
    <col min="27" max="27" width="6.140625" bestFit="1" customWidth="1"/>
    <col min="28" max="28" width="16.140625" bestFit="1" customWidth="1"/>
    <col min="29" max="29" width="19" bestFit="1" customWidth="1"/>
    <col min="30" max="30" width="16.5703125" bestFit="1" customWidth="1"/>
    <col min="31" max="31" width="12.85546875" bestFit="1" customWidth="1"/>
    <col min="32" max="32" width="12.5703125" bestFit="1" customWidth="1"/>
    <col min="33" max="33" width="6.140625" bestFit="1" customWidth="1"/>
    <col min="34" max="34" width="36.5703125" bestFit="1" customWidth="1"/>
  </cols>
  <sheetData>
    <row r="1" spans="1:34" ht="14.25" thickTop="1" thickBot="1" x14ac:dyDescent="0.25">
      <c r="A1" s="1" t="s">
        <v>32</v>
      </c>
      <c r="B1" s="1" t="s">
        <v>33</v>
      </c>
      <c r="C1" s="1" t="s">
        <v>2</v>
      </c>
      <c r="D1" s="1" t="s">
        <v>34</v>
      </c>
      <c r="E1" s="1" t="s">
        <v>39</v>
      </c>
      <c r="F1" s="1" t="s">
        <v>40</v>
      </c>
      <c r="G1" s="1" t="s">
        <v>5</v>
      </c>
      <c r="H1" s="1" t="s">
        <v>35</v>
      </c>
      <c r="I1" s="1" t="s">
        <v>7</v>
      </c>
      <c r="J1" s="1" t="s">
        <v>8</v>
      </c>
      <c r="K1" s="1" t="s">
        <v>20</v>
      </c>
      <c r="L1" s="1" t="s">
        <v>10</v>
      </c>
      <c r="M1" s="1" t="s">
        <v>11</v>
      </c>
      <c r="N1" s="1" t="s">
        <v>36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37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38</v>
      </c>
      <c r="AF1" s="1" t="s">
        <v>30</v>
      </c>
      <c r="AG1" s="1" t="s">
        <v>31</v>
      </c>
      <c r="AH1" s="1" t="s">
        <v>487</v>
      </c>
    </row>
    <row r="2" spans="1:34" ht="13.5" thickTop="1" x14ac:dyDescent="0.2">
      <c r="A2" s="5" t="str">
        <f>IF(OR(ISTEXT([2]NLFsmonkeyCompl!J3),ISNUMBER([2]NLFsmonkeyCompl!J3)),[2]NLFsmonkeyCompl!J3,"")</f>
        <v>PGIM Real Estate</v>
      </c>
      <c r="B2" s="6" t="str">
        <f>IF(OR(ISTEXT([2]NLFsmonkeyCompl!K3),ISNUMBER([2]NLFsmonkeyCompl!K3)),[2]NLFsmonkeyCompl!K3,"")</f>
        <v>Pan-European Real Estate Fund II</v>
      </c>
      <c r="C2">
        <v>18578</v>
      </c>
      <c r="D2" s="6" t="str">
        <f>IFERROR(INDEX([2]VehiclesUniverse!$B$2:$EU$700,MATCH(C2,[2]VehiclesUniverse!$A$2:$A$700,0),MATCH($D$1,[2]VehiclesUniverse!$B$1:$EU$1,0)),"")</f>
        <v>Core</v>
      </c>
      <c r="E2" s="6" t="str">
        <f>IFERROR(INDEX([2]VehiclesUniverse!$B$2:$EU$700,MATCH($C$2,[2]VehiclesUniverse!$A$2:$A$700,0),MATCH($E$1,[2]VehiclesUniverse!$B$1:$EU$1,0)),"")</f>
        <v>multi country</v>
      </c>
      <c r="F2" s="6" t="str">
        <f>IF(IFERROR(INDEX([2]VehiclesUniverse!$B$2:$EU$700,MATCH($C2,[2]VehiclesUniverse!$A$2:$A$700,0),MATCH($F$1,[2]VehiclesUniverse!$B$1:$EU$1,0)),"")&lt;&gt;0,(IFERROR(INDEX([2]VehiclesUniverse!$B$2:$EU$700,MATCH($C2,[2]VehiclesUniverse!$A$2:$A$700,0),MATCH($F$1,[2]VehiclesUniverse!$B$1:$EU$1,0)),"")),"")</f>
        <v/>
      </c>
      <c r="G2" s="6" t="str">
        <f>IF(ISBLANK([2]NLFsmonkeyCompl!L3),"",[2]NLFsmonkeyCompl!L3)</f>
        <v>Open end</v>
      </c>
      <c r="H2" s="6">
        <f>IFERROR(INDEX([2]VehiclesUniverse!$B$2:$EU$700,MATCH(C2,[2]VehiclesUniverse!$A$2:$A$700,0),MATCH($H$1,[2]VehiclesUniverse!$B$1:$EU$1,0)),"")</f>
        <v>2018</v>
      </c>
      <c r="I2" s="6" t="str">
        <f>IF(ISBLANK([2]NLFsmonkeyCompl!M3),"",[2]NLFsmonkeyCompl!M3)</f>
        <v>Yes</v>
      </c>
      <c r="J2" s="6" t="str">
        <f>IF(ISBLANK([2]NLFsmonkeyCompl!N3),"",[2]NLFsmonkeyCompl!N3)</f>
        <v/>
      </c>
      <c r="K2" s="6" t="str">
        <f>IF(ISBLANK([2]NLFsmonkeyCompl!O3),"",[2]NLFsmonkeyCompl!O3)</f>
        <v/>
      </c>
      <c r="L2" s="6" t="str">
        <f>IFERROR(INDEX([2]VehiclesUniverse!$B$2:$EU$700,MATCH(C2,[2]VehiclesUniverse!$A$2:$A$700,0),MATCH($L$1,[2]VehiclesUniverse!$B$1:$EU$1,0)),"")</f>
        <v>EUR</v>
      </c>
      <c r="M2" s="16">
        <f>IFERROR(VLOOKUP(L2,'[2]Xrate31.12.20'!$K$2:$N$25,3,0),"")</f>
        <v>1</v>
      </c>
      <c r="N2" s="8">
        <f>IFERROR(IF(ISBLANK([2]NLFsmonkeyCompl!P3),"",[2]NLFsmonkeyCompl!P3*$M2),"")</f>
        <v>63</v>
      </c>
      <c r="O2" s="8">
        <f>IFERROR(IF(ISBLANK([2]NLFsmonkeyCompl!Q3),"",[2]NLFsmonkeyCompl!Q3*$M2),"")</f>
        <v>11</v>
      </c>
      <c r="P2" s="8">
        <f>IFERROR(IF(ISBLANK([2]NLFsmonkeyCompl!R3),"",[2]NLFsmonkeyCompl!R3*$M2),"")</f>
        <v>52</v>
      </c>
      <c r="Q2" s="8" t="str">
        <f>IFERROR(IF(ISBLANK([2]NLFsmonkeyCompl!S3),"",[2]NLFsmonkeyCompl!S3*$M2),"")</f>
        <v/>
      </c>
      <c r="R2" s="8" t="str">
        <f>IFERROR(IF(ISBLANK([2]NLFsmonkeyCompl!T3),"",[2]NLFsmonkeyCompl!T3*$M2),"")</f>
        <v/>
      </c>
      <c r="S2" s="8" t="str">
        <f>IFERROR(IF(ISBLANK([2]NLFsmonkeyCompl!U3),"",[2]NLFsmonkeyCompl!U3*$M2),"")</f>
        <v/>
      </c>
      <c r="T2" s="8" t="str">
        <f>IFERROR(IF(ISBLANK([2]NLFsmonkeyCompl!V3),"",[2]NLFsmonkeyCompl!V3*$M2),"")</f>
        <v/>
      </c>
      <c r="U2" s="8" t="str">
        <f>IFERROR(IF(ISBLANK([2]NLFsmonkeyCompl!W3),"",[2]NLFsmonkeyCompl!W3*$M2),"")</f>
        <v/>
      </c>
      <c r="V2" s="8" t="str">
        <f>IFERROR(IF(ISBLANK([2]NLFsmonkeyCompl!X3),"",[2]NLFsmonkeyCompl!X3*$M2),"")</f>
        <v/>
      </c>
      <c r="W2" s="8">
        <f>IFERROR(IF(ISBLANK([2]NLFsmonkeyCompl!Y3),"",[2]NLFsmonkeyCompl!Y3*$M2),"")</f>
        <v>63</v>
      </c>
      <c r="X2" s="8" t="str">
        <f>IFERROR(IF(ISBLANK([2]NLFsmonkeyCompl!Z3),"",[2]NLFsmonkeyCompl!Z3*$M2),"")</f>
        <v/>
      </c>
      <c r="Y2" s="8" t="str">
        <f>IFERROR(IF(ISBLANK([2]NLFsmonkeyCompl!AA3),"",[2]NLFsmonkeyCompl!AA3*$M2),"")</f>
        <v/>
      </c>
      <c r="Z2" s="8" t="str">
        <f>IFERROR(IF(ISBLANK([2]NLFsmonkeyCompl!AB3),"",[2]NLFsmonkeyCompl!AB3*$M2),"")</f>
        <v/>
      </c>
      <c r="AA2" s="8" t="str">
        <f>IFERROR(IF(ISBLANK([2]NLFsmonkeyCompl!AC3),"",[2]NLFsmonkeyCompl!AC3*$M2),"")</f>
        <v/>
      </c>
      <c r="AB2" s="8">
        <f>IFERROR(IF(ISBLANK([2]NLFsmonkeyCompl!AD3),"",[2]NLFsmonkeyCompl!AD3),"")</f>
        <v>72</v>
      </c>
      <c r="AC2" s="8" t="str">
        <f>IFERROR(IF(ISBLANK([2]NLFsmonkeyCompl!AE3),"",[2]NLFsmonkeyCompl!AE3),"")</f>
        <v/>
      </c>
      <c r="AD2" s="8">
        <f>IFERROR(IF(ISBLANK([2]NLFsmonkeyCompl!AF3),"",[2]NLFsmonkeyCompl!AF3),"")</f>
        <v>28</v>
      </c>
      <c r="AE2" s="8" t="str">
        <f>IFERROR(IF(ISBLANK([2]NLFsmonkeyCompl!AG3),"",[2]NLFsmonkeyCompl!AG3),"")</f>
        <v/>
      </c>
      <c r="AF2" s="8" t="str">
        <f>IFERROR(IF(ISBLANK([2]NLFsmonkeyCompl!AH3),"",[2]NLFsmonkeyCompl!AH3),"")</f>
        <v>Increase</v>
      </c>
      <c r="AG2" s="8" t="str">
        <f>IFERROR(IF(ISBLANK([2]NLFsmonkeyCompl!AI3),"",[2]NLFsmonkeyCompl!AI3),"")</f>
        <v>Yes</v>
      </c>
      <c r="AH2">
        <f>IFERROR(INDEX([2]VehiclesUniverse!$B$2:$EU$700,MATCH($C2,[2]VehiclesUniverse!$A$2:$A$700,0),MATCH($AH$1,[2]VehiclesUniverse!$B$1:$EU$1,0)),"")</f>
        <v>304217925</v>
      </c>
    </row>
    <row r="3" spans="1:34" x14ac:dyDescent="0.2">
      <c r="A3" s="5" t="str">
        <f>IF(OR(ISTEXT([2]NLFsmonkeyCompl!J4),ISNUMBER([2]NLFsmonkeyCompl!J4)),[2]NLFsmonkeyCompl!J4,"")</f>
        <v>PGIM Real Estate</v>
      </c>
      <c r="B3" s="6" t="str">
        <f>IF(OR(ISTEXT([2]NLFsmonkeyCompl!K4),ISNUMBER([2]NLFsmonkeyCompl!K4)),[2]NLFsmonkeyCompl!K4,"")</f>
        <v>European Value Partners II</v>
      </c>
      <c r="C3" s="6" t="s">
        <v>41</v>
      </c>
      <c r="D3" s="6" t="str">
        <f>IFERROR(INDEX([2]VehiclesUniverse!$B$2:$EU$700,MATCH(C3,[2]VehiclesUniverse!$A$2:$A$700,0),MATCH($D$1,[2]VehiclesUniverse!$B$1:$EU$1,0)),"")</f>
        <v/>
      </c>
      <c r="E3" s="6" t="str">
        <f>IFERROR(INDEX([2]VehiclesUniverse!$B$2:$EU$700,MATCH(C3,[2]VehiclesUniverse!$A$2:$A$700,0),MATCH($E$1,[2]VehiclesUniverse!$B$1:$EU$1,0)),"")</f>
        <v/>
      </c>
      <c r="F3" s="6" t="str">
        <f>IF(IFERROR(INDEX([2]VehiclesUniverse!$B$2:$EU$700,MATCH($C3,[2]VehiclesUniverse!$A$2:$A$700,0),MATCH($F$1,[2]VehiclesUniverse!$B$1:$EU$1,0)),"")&lt;&gt;0,(IFERROR(INDEX([2]VehiclesUniverse!$B$2:$EU$700,MATCH($C3,[2]VehiclesUniverse!$A$2:$A$700,0),MATCH($F$1,[2]VehiclesUniverse!$B$1:$EU$1,0)),"")),"")</f>
        <v/>
      </c>
      <c r="G3" s="6"/>
      <c r="H3" s="6" t="str">
        <f>IFERROR(INDEX([2]VehiclesUniverse!$B$2:$EU$700,MATCH(C3,[2]VehiclesUniverse!$A$2:$A$700,0),MATCH($H$1,[2]VehiclesUniverse!$B$1:$EU$1,0)),"")</f>
        <v/>
      </c>
      <c r="I3" s="6" t="str">
        <f>IF(ISBLANK([2]NLFsmonkeyCompl!M4),"",[2]NLFsmonkeyCompl!M4)</f>
        <v>Yes</v>
      </c>
      <c r="J3" s="6" t="str">
        <f>IF(ISBLANK([2]NLFsmonkeyCompl!N4),"",[2]NLFsmonkeyCompl!N4)</f>
        <v/>
      </c>
      <c r="K3" s="6" t="str">
        <f>IF(ISBLANK([2]NLFsmonkeyCompl!O4),"",[2]NLFsmonkeyCompl!O4)</f>
        <v/>
      </c>
      <c r="L3" s="6" t="str">
        <f>IFERROR(INDEX([2]VehiclesUniverse!$B$2:$EU$700,MATCH(C3,[2]VehiclesUniverse!$A$2:$A$700,0),MATCH($L$1,[2]VehiclesUniverse!$B$1:$EU$1,0)),"")</f>
        <v/>
      </c>
      <c r="M3" s="16" t="str">
        <f>IFERROR(VLOOKUP(L3,'[2]Xrate31.12.20'!$K$2:$N$25,3,0),"")</f>
        <v/>
      </c>
      <c r="N3" s="8" t="str">
        <f>IFERROR(IF(ISBLANK([2]NLFsmonkeyCompl!P4),"",[2]NLFsmonkeyCompl!P4*$M3),"")</f>
        <v/>
      </c>
      <c r="O3" s="8" t="str">
        <f>IFERROR(IF(ISBLANK([2]NLFsmonkeyCompl!Q4),"",[2]NLFsmonkeyCompl!Q4*$M3),"")</f>
        <v/>
      </c>
      <c r="P3" s="8" t="str">
        <f>IFERROR(IF(ISBLANK([2]NLFsmonkeyCompl!R4),"",[2]NLFsmonkeyCompl!R4*$M3),"")</f>
        <v/>
      </c>
      <c r="Q3" s="8" t="str">
        <f>IFERROR(IF(ISBLANK([2]NLFsmonkeyCompl!S4),"",[2]NLFsmonkeyCompl!S4*$M3),"")</f>
        <v/>
      </c>
      <c r="R3" s="8" t="str">
        <f>IFERROR(IF(ISBLANK([2]NLFsmonkeyCompl!T4),"",[2]NLFsmonkeyCompl!T4*$M3),"")</f>
        <v/>
      </c>
      <c r="S3" s="8" t="str">
        <f>IFERROR(IF(ISBLANK([2]NLFsmonkeyCompl!U4),"",[2]NLFsmonkeyCompl!U4*$M3),"")</f>
        <v/>
      </c>
      <c r="T3" s="8" t="str">
        <f>IFERROR(IF(ISBLANK([2]NLFsmonkeyCompl!V4),"",[2]NLFsmonkeyCompl!V4*$M3),"")</f>
        <v/>
      </c>
      <c r="U3" s="8" t="str">
        <f>IFERROR(IF(ISBLANK([2]NLFsmonkeyCompl!W4),"",[2]NLFsmonkeyCompl!W4*$M3),"")</f>
        <v/>
      </c>
      <c r="V3" s="8" t="str">
        <f>IFERROR(IF(ISBLANK([2]NLFsmonkeyCompl!X4),"",[2]NLFsmonkeyCompl!X4*$M3),"")</f>
        <v/>
      </c>
      <c r="W3" s="8" t="str">
        <f>IFERROR(IF(ISBLANK([2]NLFsmonkeyCompl!Y4),"",[2]NLFsmonkeyCompl!Y4*$M3),"")</f>
        <v/>
      </c>
      <c r="X3" s="8" t="str">
        <f>IFERROR(IF(ISBLANK([2]NLFsmonkeyCompl!Z4),"",[2]NLFsmonkeyCompl!Z4*$M3),"")</f>
        <v/>
      </c>
      <c r="Y3" s="8" t="str">
        <f>IFERROR(IF(ISBLANK([2]NLFsmonkeyCompl!AA4),"",[2]NLFsmonkeyCompl!AA4*$M3),"")</f>
        <v/>
      </c>
      <c r="Z3" s="8" t="str">
        <f>IFERROR(IF(ISBLANK([2]NLFsmonkeyCompl!AB4),"",[2]NLFsmonkeyCompl!AB4*$M3),"")</f>
        <v/>
      </c>
      <c r="AA3" s="8" t="str">
        <f>IFERROR(IF(ISBLANK([2]NLFsmonkeyCompl!AC4),"",[2]NLFsmonkeyCompl!AC4*$M3),"")</f>
        <v/>
      </c>
      <c r="AB3" s="8">
        <f>IFERROR(IF(ISBLANK([2]NLFsmonkeyCompl!AD4),"",[2]NLFsmonkeyCompl!AD4),"")</f>
        <v>16</v>
      </c>
      <c r="AC3" s="8" t="str">
        <f>IFERROR(IF(ISBLANK([2]NLFsmonkeyCompl!AE4),"",[2]NLFsmonkeyCompl!AE4),"")</f>
        <v/>
      </c>
      <c r="AD3" s="8">
        <f>IFERROR(IF(ISBLANK([2]NLFsmonkeyCompl!AF4),"",[2]NLFsmonkeyCompl!AF4),"")</f>
        <v>84</v>
      </c>
      <c r="AE3" s="8" t="str">
        <f>IFERROR(IF(ISBLANK([2]NLFsmonkeyCompl!AG4),"",[2]NLFsmonkeyCompl!AG4),"")</f>
        <v/>
      </c>
      <c r="AF3" s="8" t="str">
        <f>IFERROR(IF(ISBLANK([2]NLFsmonkeyCompl!AH4),"",[2]NLFsmonkeyCompl!AH4),"")</f>
        <v>Increase</v>
      </c>
      <c r="AG3" s="8" t="str">
        <f>IFERROR(IF(ISBLANK([2]NLFsmonkeyCompl!AI4),"",[2]NLFsmonkeyCompl!AI4),"")</f>
        <v>Yes</v>
      </c>
      <c r="AH3" t="str">
        <f>IFERROR(INDEX([2]VehiclesUniverse!$B$2:$EU$700,MATCH($C3,[2]VehiclesUniverse!$A$2:$A$700,0),MATCH($AH$1,[2]VehiclesUniverse!$B$1:$EU$1,0)),"")</f>
        <v/>
      </c>
    </row>
    <row r="4" spans="1:34" x14ac:dyDescent="0.2">
      <c r="A4" s="5" t="str">
        <f>IF(OR(ISTEXT([2]NLFsmonkeyCompl!J5),ISNUMBER([2]NLFsmonkeyCompl!J5)),[2]NLFsmonkeyCompl!J5,"")</f>
        <v>PGIM Real Estate</v>
      </c>
      <c r="B4" s="6" t="str">
        <f>IF(OR(ISTEXT([2]NLFsmonkeyCompl!K5),ISNUMBER([2]NLFsmonkeyCompl!K5)),[2]NLFsmonkeyCompl!K5,"")</f>
        <v>PGIM Real Estate UK Affordable Housing Fund</v>
      </c>
      <c r="C4" s="6" t="s">
        <v>41</v>
      </c>
      <c r="D4" s="6" t="str">
        <f>IFERROR(INDEX([2]VehiclesUniverse!$B$2:$EU$700,MATCH(C4,[2]VehiclesUniverse!$A$2:$A$700,0),MATCH($D$1,[2]VehiclesUniverse!$B$1:$EU$1,0)),"")</f>
        <v/>
      </c>
      <c r="E4" s="6" t="str">
        <f>IFERROR(INDEX([2]VehiclesUniverse!$B$2:$EU$700,MATCH(C4,[2]VehiclesUniverse!$A$2:$A$700,0),MATCH($E$1,[2]VehiclesUniverse!$B$1:$EU$1,0)),"")</f>
        <v/>
      </c>
      <c r="F4" s="6" t="str">
        <f>IF(IFERROR(INDEX([2]VehiclesUniverse!$B$2:$EU$700,MATCH($C4,[2]VehiclesUniverse!$A$2:$A$700,0),MATCH($F$1,[2]VehiclesUniverse!$B$1:$EU$1,0)),"")&lt;&gt;0,(IFERROR(INDEX([2]VehiclesUniverse!$B$2:$EU$700,MATCH($C4,[2]VehiclesUniverse!$A$2:$A$700,0),MATCH($F$1,[2]VehiclesUniverse!$B$1:$EU$1,0)),"")),"")</f>
        <v/>
      </c>
      <c r="G4" s="6"/>
      <c r="H4" s="6" t="str">
        <f>IFERROR(INDEX([2]VehiclesUniverse!$B$2:$EU$700,MATCH(C4,[2]VehiclesUniverse!$A$2:$A$700,0),MATCH($H$1,[2]VehiclesUniverse!$B$1:$EU$1,0)),"")</f>
        <v/>
      </c>
      <c r="I4" s="6" t="str">
        <f>IF(ISBLANK([2]NLFsmonkeyCompl!M5),"",[2]NLFsmonkeyCompl!M5)</f>
        <v>Yes</v>
      </c>
      <c r="J4" s="6" t="str">
        <f>IF(ISBLANK([2]NLFsmonkeyCompl!N5),"",[2]NLFsmonkeyCompl!N5)</f>
        <v/>
      </c>
      <c r="K4" s="6" t="str">
        <f>IF(ISBLANK([2]NLFsmonkeyCompl!O5),"",[2]NLFsmonkeyCompl!O5)</f>
        <v/>
      </c>
      <c r="L4" s="6" t="str">
        <f>IFERROR(INDEX([2]VehiclesUniverse!$B$2:$EU$700,MATCH(C4,[2]VehiclesUniverse!$A$2:$A$700,0),MATCH($L$1,[2]VehiclesUniverse!$B$1:$EU$1,0)),"")</f>
        <v/>
      </c>
      <c r="M4" s="16" t="str">
        <f>IFERROR(VLOOKUP(L4,'[2]Xrate31.12.20'!$K$2:$N$25,3,0),"")</f>
        <v/>
      </c>
      <c r="N4" s="8" t="str">
        <f>IFERROR(IF(ISBLANK([2]NLFsmonkeyCompl!P5),"",[2]NLFsmonkeyCompl!P5*$M4),"")</f>
        <v/>
      </c>
      <c r="O4" s="8" t="str">
        <f>IFERROR(IF(ISBLANK([2]NLFsmonkeyCompl!Q5),"",[2]NLFsmonkeyCompl!Q5*$M4),"")</f>
        <v/>
      </c>
      <c r="P4" s="8" t="str">
        <f>IFERROR(IF(ISBLANK([2]NLFsmonkeyCompl!R5),"",[2]NLFsmonkeyCompl!R5*$M4),"")</f>
        <v/>
      </c>
      <c r="Q4" s="8" t="str">
        <f>IFERROR(IF(ISBLANK([2]NLFsmonkeyCompl!S5),"",[2]NLFsmonkeyCompl!S5*$M4),"")</f>
        <v/>
      </c>
      <c r="R4" s="8" t="str">
        <f>IFERROR(IF(ISBLANK([2]NLFsmonkeyCompl!T5),"",[2]NLFsmonkeyCompl!T5*$M4),"")</f>
        <v/>
      </c>
      <c r="S4" s="8" t="str">
        <f>IFERROR(IF(ISBLANK([2]NLFsmonkeyCompl!U5),"",[2]NLFsmonkeyCompl!U5*$M4),"")</f>
        <v/>
      </c>
      <c r="T4" s="8" t="str">
        <f>IFERROR(IF(ISBLANK([2]NLFsmonkeyCompl!V5),"",[2]NLFsmonkeyCompl!V5*$M4),"")</f>
        <v/>
      </c>
      <c r="U4" s="8" t="str">
        <f>IFERROR(IF(ISBLANK([2]NLFsmonkeyCompl!W5),"",[2]NLFsmonkeyCompl!W5*$M4),"")</f>
        <v/>
      </c>
      <c r="V4" s="8" t="str">
        <f>IFERROR(IF(ISBLANK([2]NLFsmonkeyCompl!X5),"",[2]NLFsmonkeyCompl!X5*$M4),"")</f>
        <v/>
      </c>
      <c r="W4" s="8" t="str">
        <f>IFERROR(IF(ISBLANK([2]NLFsmonkeyCompl!Y5),"",[2]NLFsmonkeyCompl!Y5*$M4),"")</f>
        <v/>
      </c>
      <c r="X4" s="8" t="str">
        <f>IFERROR(IF(ISBLANK([2]NLFsmonkeyCompl!Z5),"",[2]NLFsmonkeyCompl!Z5*$M4),"")</f>
        <v/>
      </c>
      <c r="Y4" s="8" t="str">
        <f>IFERROR(IF(ISBLANK([2]NLFsmonkeyCompl!AA5),"",[2]NLFsmonkeyCompl!AA5*$M4),"")</f>
        <v/>
      </c>
      <c r="Z4" s="8" t="str">
        <f>IFERROR(IF(ISBLANK([2]NLFsmonkeyCompl!AB5),"",[2]NLFsmonkeyCompl!AB5*$M4),"")</f>
        <v/>
      </c>
      <c r="AA4" s="8" t="str">
        <f>IFERROR(IF(ISBLANK([2]NLFsmonkeyCompl!AC5),"",[2]NLFsmonkeyCompl!AC5*$M4),"")</f>
        <v/>
      </c>
      <c r="AB4" s="8" t="str">
        <f>IFERROR(IF(ISBLANK([2]NLFsmonkeyCompl!AD5),"",[2]NLFsmonkeyCompl!AD5),"")</f>
        <v/>
      </c>
      <c r="AC4" s="8" t="str">
        <f>IFERROR(IF(ISBLANK([2]NLFsmonkeyCompl!AE5),"",[2]NLFsmonkeyCompl!AE5),"")</f>
        <v/>
      </c>
      <c r="AD4" s="8">
        <f>IFERROR(IF(ISBLANK([2]NLFsmonkeyCompl!AF5),"",[2]NLFsmonkeyCompl!AF5),"")</f>
        <v>100</v>
      </c>
      <c r="AE4" s="8" t="str">
        <f>IFERROR(IF(ISBLANK([2]NLFsmonkeyCompl!AG5),"",[2]NLFsmonkeyCompl!AG5),"")</f>
        <v/>
      </c>
      <c r="AF4" s="8" t="str">
        <f>IFERROR(IF(ISBLANK([2]NLFsmonkeyCompl!AH5),"",[2]NLFsmonkeyCompl!AH5),"")</f>
        <v>Increase</v>
      </c>
      <c r="AG4" s="8" t="str">
        <f>IFERROR(IF(ISBLANK([2]NLFsmonkeyCompl!AI5),"",[2]NLFsmonkeyCompl!AI5),"")</f>
        <v>Yes</v>
      </c>
      <c r="AH4" t="str">
        <f>IFERROR(INDEX([2]VehiclesUniverse!$B$2:$EU$700,MATCH($C4,[2]VehiclesUniverse!$A$2:$A$700,0),MATCH($AH$1,[2]VehiclesUniverse!$B$1:$EU$1,0)),"")</f>
        <v/>
      </c>
    </row>
    <row r="5" spans="1:34" x14ac:dyDescent="0.2">
      <c r="A5" s="5" t="str">
        <f>IF(OR(ISTEXT([2]NLFsmonkeyCompl!J6),ISNUMBER([2]NLFsmonkeyCompl!J6)),[2]NLFsmonkeyCompl!J6,"")</f>
        <v>PGIM Real Estate</v>
      </c>
      <c r="B5" s="6" t="str">
        <f>IF(OR(ISTEXT([2]NLFsmonkeyCompl!K6),ISNUMBER([2]NLFsmonkeyCompl!K6)),[2]NLFsmonkeyCompl!K6,"")</f>
        <v>Eurocore</v>
      </c>
      <c r="C5" s="17">
        <v>19359</v>
      </c>
      <c r="D5" s="6" t="str">
        <f>IFERROR(INDEX([2]VehiclesUniverse!$B$2:$EU$700,MATCH(C5,[2]VehiclesUniverse!$A$2:$A$700,0),MATCH($D$1,[2]VehiclesUniverse!$B$1:$EU$1,0)),"")</f>
        <v>Core</v>
      </c>
      <c r="E5" s="6" t="str">
        <f>IFERROR(INDEX([2]VehiclesUniverse!$B$2:$EU$700,MATCH(C5,[2]VehiclesUniverse!$A$2:$A$700,0),MATCH($E$1,[2]VehiclesUniverse!$B$1:$EU$1,0)),"")</f>
        <v>multi country</v>
      </c>
      <c r="F5" s="6" t="str">
        <f>IF(IFERROR(INDEX([2]VehiclesUniverse!$B$2:$EU$700,MATCH($C5,[2]VehiclesUniverse!$A$2:$A$700,0),MATCH($F$1,[2]VehiclesUniverse!$B$1:$EU$1,0)),"")&lt;&gt;0,(IFERROR(INDEX([2]VehiclesUniverse!$B$2:$EU$700,MATCH($C5,[2]VehiclesUniverse!$A$2:$A$700,0),MATCH($F$1,[2]VehiclesUniverse!$B$1:$EU$1,0)),"")),"")</f>
        <v/>
      </c>
      <c r="G5" s="6" t="str">
        <f>IF(ISBLANK([2]NLFsmonkeyCompl!L6),"",[2]NLFsmonkeyCompl!L6)</f>
        <v>Open end</v>
      </c>
      <c r="H5" s="6">
        <f>IFERROR(INDEX([2]VehiclesUniverse!$B$2:$EU$700,MATCH(C5,[2]VehiclesUniverse!$A$2:$A$700,0),MATCH($H$1,[2]VehiclesUniverse!$B$1:$EU$1,0)),"")</f>
        <v>2019</v>
      </c>
      <c r="I5" s="6" t="str">
        <f>IF(ISBLANK([2]NLFsmonkeyCompl!M6),"",[2]NLFsmonkeyCompl!M6)</f>
        <v>Yes</v>
      </c>
      <c r="J5" s="6" t="str">
        <f>IF(ISBLANK([2]NLFsmonkeyCompl!N6),"",[2]NLFsmonkeyCompl!N6)</f>
        <v/>
      </c>
      <c r="K5" s="6" t="str">
        <f>IF(ISBLANK([2]NLFsmonkeyCompl!O6),"",[2]NLFsmonkeyCompl!O6)</f>
        <v/>
      </c>
      <c r="L5" s="6" t="str">
        <f>IFERROR(INDEX([2]VehiclesUniverse!$B$2:$EU$700,MATCH(C5,[2]VehiclesUniverse!$A$2:$A$700,0),MATCH($L$1,[2]VehiclesUniverse!$B$1:$EU$1,0)),"")</f>
        <v>EUR</v>
      </c>
      <c r="M5" s="16">
        <f>IFERROR(VLOOKUP(L5,'[2]Xrate31.12.20'!$K$2:$N$25,3,0),"")</f>
        <v>1</v>
      </c>
      <c r="N5" s="8">
        <f>IFERROR(IF(ISBLANK([2]NLFsmonkeyCompl!P6),"",[2]NLFsmonkeyCompl!P6*$M5),"")</f>
        <v>319</v>
      </c>
      <c r="O5" s="8">
        <f>IFERROR(IF(ISBLANK([2]NLFsmonkeyCompl!Q6),"",[2]NLFsmonkeyCompl!Q6*$M5),"")</f>
        <v>274</v>
      </c>
      <c r="P5" s="8">
        <f>IFERROR(IF(ISBLANK([2]NLFsmonkeyCompl!R6),"",[2]NLFsmonkeyCompl!R6*$M5),"")</f>
        <v>11</v>
      </c>
      <c r="Q5" s="8" t="str">
        <f>IFERROR(IF(ISBLANK([2]NLFsmonkeyCompl!S6),"",[2]NLFsmonkeyCompl!S6*$M5),"")</f>
        <v/>
      </c>
      <c r="R5" s="8" t="str">
        <f>IFERROR(IF(ISBLANK([2]NLFsmonkeyCompl!T6),"",[2]NLFsmonkeyCompl!T6*$M5),"")</f>
        <v/>
      </c>
      <c r="S5" s="8" t="str">
        <f>IFERROR(IF(ISBLANK([2]NLFsmonkeyCompl!U6),"",[2]NLFsmonkeyCompl!U6*$M5),"")</f>
        <v/>
      </c>
      <c r="T5" s="8" t="str">
        <f>IFERROR(IF(ISBLANK([2]NLFsmonkeyCompl!V6),"",[2]NLFsmonkeyCompl!V6*$M5),"")</f>
        <v/>
      </c>
      <c r="U5" s="8" t="str">
        <f>IFERROR(IF(ISBLANK([2]NLFsmonkeyCompl!W6),"",[2]NLFsmonkeyCompl!W6*$M5),"")</f>
        <v/>
      </c>
      <c r="V5" s="8">
        <f>IFERROR(IF(ISBLANK([2]NLFsmonkeyCompl!X6),"",[2]NLFsmonkeyCompl!X6*$M5),"")</f>
        <v>34</v>
      </c>
      <c r="W5" s="8">
        <f>IFERROR(IF(ISBLANK([2]NLFsmonkeyCompl!Y6),"",[2]NLFsmonkeyCompl!Y6*$M5),"")</f>
        <v>319</v>
      </c>
      <c r="X5" s="8" t="str">
        <f>IFERROR(IF(ISBLANK([2]NLFsmonkeyCompl!Z6),"",[2]NLFsmonkeyCompl!Z6*$M5),"")</f>
        <v/>
      </c>
      <c r="Y5" s="8" t="str">
        <f>IFERROR(IF(ISBLANK([2]NLFsmonkeyCompl!AA6),"",[2]NLFsmonkeyCompl!AA6*$M5),"")</f>
        <v/>
      </c>
      <c r="Z5" s="8" t="str">
        <f>IFERROR(IF(ISBLANK([2]NLFsmonkeyCompl!AB6),"",[2]NLFsmonkeyCompl!AB6*$M5),"")</f>
        <v/>
      </c>
      <c r="AA5" s="8" t="str">
        <f>IFERROR(IF(ISBLANK([2]NLFsmonkeyCompl!AC6),"",[2]NLFsmonkeyCompl!AC6*$M5),"")</f>
        <v/>
      </c>
      <c r="AB5" s="8" t="str">
        <f>IFERROR(IF(ISBLANK([2]NLFsmonkeyCompl!AD6),"",[2]NLFsmonkeyCompl!AD6),"")</f>
        <v/>
      </c>
      <c r="AC5" s="8" t="str">
        <f>IFERROR(IF(ISBLANK([2]NLFsmonkeyCompl!AE6),"",[2]NLFsmonkeyCompl!AE6),"")</f>
        <v/>
      </c>
      <c r="AD5" s="8">
        <f>IFERROR(IF(ISBLANK([2]NLFsmonkeyCompl!AF6),"",[2]NLFsmonkeyCompl!AF6),"")</f>
        <v>100</v>
      </c>
      <c r="AE5" s="8" t="str">
        <f>IFERROR(IF(ISBLANK([2]NLFsmonkeyCompl!AG6),"",[2]NLFsmonkeyCompl!AG6),"")</f>
        <v/>
      </c>
      <c r="AF5" s="8" t="str">
        <f>IFERROR(IF(ISBLANK([2]NLFsmonkeyCompl!AH6),"",[2]NLFsmonkeyCompl!AH6),"")</f>
        <v>Increase</v>
      </c>
      <c r="AG5" s="8" t="str">
        <f>IFERROR(IF(ISBLANK([2]NLFsmonkeyCompl!AI6),"",[2]NLFsmonkeyCompl!AI6),"")</f>
        <v>Yes</v>
      </c>
      <c r="AH5">
        <f>IFERROR(INDEX([2]VehiclesUniverse!$B$2:$EU$700,MATCH($C5,[2]VehiclesUniverse!$A$2:$A$700,0),MATCH($AH$1,[2]VehiclesUniverse!$B$1:$EU$1,0)),"")</f>
        <v>982673305.69000006</v>
      </c>
    </row>
    <row r="6" spans="1:34" x14ac:dyDescent="0.2">
      <c r="A6" s="5" t="str">
        <f>IF(OR(ISTEXT([2]NLFsmonkeyCompl!J7),ISNUMBER([2]NLFsmonkeyCompl!J7)),[2]NLFsmonkeyCompl!J7,"")</f>
        <v>CBRE GI</v>
      </c>
      <c r="B6" s="6" t="str">
        <f>IF(OR(ISTEXT([2]NLFsmonkeyCompl!K7),ISNUMBER([2]NLFsmonkeyCompl!K7)),[2]NLFsmonkeyCompl!K7,"")</f>
        <v>Strategic Partners U.S. Value 9, L.P.</v>
      </c>
      <c r="C6" s="6" t="s">
        <v>42</v>
      </c>
      <c r="D6" s="6" t="str">
        <f>IFERROR(INDEX([2]VehiclesUniverse!$B$2:$EU$700,MATCH(C6,[2]VehiclesUniverse!$A$2:$A$700,0),MATCH($D$1,[2]VehiclesUniverse!$B$1:$EU$1,0)),"")</f>
        <v/>
      </c>
      <c r="E6" s="6" t="str">
        <f>IFERROR(INDEX([2]VehiclesUniverse!$B$2:$EU$700,MATCH(C6,[2]VehiclesUniverse!$A$2:$A$700,0),MATCH($E$1,[2]VehiclesUniverse!$B$1:$EU$1,0)),"")</f>
        <v/>
      </c>
      <c r="F6" s="6" t="str">
        <f>IF(IFERROR(INDEX([2]VehiclesUniverse!$B$2:$EU$700,MATCH($C6,[2]VehiclesUniverse!$A$2:$A$700,0),MATCH($F$1,[2]VehiclesUniverse!$B$1:$EU$1,0)),"")&lt;&gt;0,(IFERROR(INDEX([2]VehiclesUniverse!$B$2:$EU$700,MATCH($C6,[2]VehiclesUniverse!$A$2:$A$700,0),MATCH($F$1,[2]VehiclesUniverse!$B$1:$EU$1,0)),"")),"")</f>
        <v/>
      </c>
      <c r="G6" s="6"/>
      <c r="H6" s="6" t="str">
        <f>IFERROR(INDEX([2]VehiclesUniverse!$B$2:$EU$700,MATCH(C6,[2]VehiclesUniverse!$A$2:$A$700,0),MATCH($H$1,[2]VehiclesUniverse!$B$1:$EU$1,0)),"")</f>
        <v/>
      </c>
      <c r="I6" s="6" t="str">
        <f>IF(ISBLANK([2]NLFsmonkeyCompl!M7),"",[2]NLFsmonkeyCompl!M7)</f>
        <v>Yes</v>
      </c>
      <c r="J6" s="6" t="str">
        <f>IF(ISBLANK([2]NLFsmonkeyCompl!N7),"",[2]NLFsmonkeyCompl!N7)</f>
        <v/>
      </c>
      <c r="K6" s="6" t="str">
        <f>IF(ISBLANK([2]NLFsmonkeyCompl!O7),"",[2]NLFsmonkeyCompl!O7)</f>
        <v/>
      </c>
      <c r="L6" s="6" t="str">
        <f>IFERROR(INDEX([2]VehiclesUniverse!$B$2:$EU$700,MATCH(C6,[2]VehiclesUniverse!$A$2:$A$700,0),MATCH($L$1,[2]VehiclesUniverse!$B$1:$EU$1,0)),"")</f>
        <v/>
      </c>
      <c r="M6" s="16" t="str">
        <f>IFERROR(VLOOKUP(L6,'[2]Xrate31.12.20'!$K$2:$N$25,3,0),"")</f>
        <v/>
      </c>
      <c r="N6" s="8" t="str">
        <f>IFERROR(IF(ISBLANK([2]NLFsmonkeyCompl!P7),"",[2]NLFsmonkeyCompl!P7*$M6),"")</f>
        <v/>
      </c>
      <c r="O6" s="8" t="str">
        <f>IFERROR(IF(ISBLANK([2]NLFsmonkeyCompl!Q7),"",[2]NLFsmonkeyCompl!Q7*$M6),"")</f>
        <v/>
      </c>
      <c r="P6" s="8" t="str">
        <f>IFERROR(IF(ISBLANK([2]NLFsmonkeyCompl!R7),"",[2]NLFsmonkeyCompl!R7*$M6),"")</f>
        <v/>
      </c>
      <c r="Q6" s="8" t="str">
        <f>IFERROR(IF(ISBLANK([2]NLFsmonkeyCompl!S7),"",[2]NLFsmonkeyCompl!S7*$M6),"")</f>
        <v/>
      </c>
      <c r="R6" s="8" t="str">
        <f>IFERROR(IF(ISBLANK([2]NLFsmonkeyCompl!T7),"",[2]NLFsmonkeyCompl!T7*$M6),"")</f>
        <v/>
      </c>
      <c r="S6" s="8" t="str">
        <f>IFERROR(IF(ISBLANK([2]NLFsmonkeyCompl!U7),"",[2]NLFsmonkeyCompl!U7*$M6),"")</f>
        <v/>
      </c>
      <c r="T6" s="8" t="str">
        <f>IFERROR(IF(ISBLANK([2]NLFsmonkeyCompl!V7),"",[2]NLFsmonkeyCompl!V7*$M6),"")</f>
        <v/>
      </c>
      <c r="U6" s="8" t="str">
        <f>IFERROR(IF(ISBLANK([2]NLFsmonkeyCompl!W7),"",[2]NLFsmonkeyCompl!W7*$M6),"")</f>
        <v/>
      </c>
      <c r="V6" s="8" t="str">
        <f>IFERROR(IF(ISBLANK([2]NLFsmonkeyCompl!X7),"",[2]NLFsmonkeyCompl!X7*$M6),"")</f>
        <v/>
      </c>
      <c r="W6" s="8" t="str">
        <f>IFERROR(IF(ISBLANK([2]NLFsmonkeyCompl!Y7),"",[2]NLFsmonkeyCompl!Y7*$M6),"")</f>
        <v/>
      </c>
      <c r="X6" s="8" t="str">
        <f>IFERROR(IF(ISBLANK([2]NLFsmonkeyCompl!Z7),"",[2]NLFsmonkeyCompl!Z7*$M6),"")</f>
        <v/>
      </c>
      <c r="Y6" s="8" t="str">
        <f>IFERROR(IF(ISBLANK([2]NLFsmonkeyCompl!AA7),"",[2]NLFsmonkeyCompl!AA7*$M6),"")</f>
        <v/>
      </c>
      <c r="Z6" s="8" t="str">
        <f>IFERROR(IF(ISBLANK([2]NLFsmonkeyCompl!AB7),"",[2]NLFsmonkeyCompl!AB7*$M6),"")</f>
        <v/>
      </c>
      <c r="AA6" s="8" t="str">
        <f>IFERROR(IF(ISBLANK([2]NLFsmonkeyCompl!AC7),"",[2]NLFsmonkeyCompl!AC7*$M6),"")</f>
        <v/>
      </c>
      <c r="AB6" s="8" t="str">
        <f>IFERROR(IF(ISBLANK([2]NLFsmonkeyCompl!AD7),"",[2]NLFsmonkeyCompl!AD7),"")</f>
        <v/>
      </c>
      <c r="AC6" s="8" t="str">
        <f>IFERROR(IF(ISBLANK([2]NLFsmonkeyCompl!AE7),"",[2]NLFsmonkeyCompl!AE7),"")</f>
        <v/>
      </c>
      <c r="AD6" s="8">
        <f>IFERROR(IF(ISBLANK([2]NLFsmonkeyCompl!AF7),"",[2]NLFsmonkeyCompl!AF7),"")</f>
        <v>100</v>
      </c>
      <c r="AE6" s="8" t="str">
        <f>IFERROR(IF(ISBLANK([2]NLFsmonkeyCompl!AG7),"",[2]NLFsmonkeyCompl!AG7),"")</f>
        <v/>
      </c>
      <c r="AF6" s="8" t="str">
        <f>IFERROR(IF(ISBLANK([2]NLFsmonkeyCompl!AH7),"",[2]NLFsmonkeyCompl!AH7),"")</f>
        <v>Increase</v>
      </c>
      <c r="AG6" s="8" t="str">
        <f>IFERROR(IF(ISBLANK([2]NLFsmonkeyCompl!AI7),"",[2]NLFsmonkeyCompl!AI7),"")</f>
        <v>Yes</v>
      </c>
      <c r="AH6" t="str">
        <f>IFERROR(INDEX([2]VehiclesUniverse!$B$2:$EU$700,MATCH($C6,[2]VehiclesUniverse!$A$2:$A$700,0),MATCH($AH$1,[2]VehiclesUniverse!$B$1:$EU$1,0)),"")</f>
        <v/>
      </c>
    </row>
    <row r="7" spans="1:34" x14ac:dyDescent="0.2">
      <c r="A7" s="5" t="str">
        <f>IF(OR(ISTEXT([2]NLFsmonkeyCompl!J8),ISNUMBER([2]NLFsmonkeyCompl!J8)),[2]NLFsmonkeyCompl!J8,"")</f>
        <v>CBRE GI</v>
      </c>
      <c r="B7" s="6" t="str">
        <f>IF(OR(ISTEXT([2]NLFsmonkeyCompl!K8),ISNUMBER([2]NLFsmonkeyCompl!K8)),[2]NLFsmonkeyCompl!K8,"")</f>
        <v>US Core Partners</v>
      </c>
      <c r="C7" s="6" t="s">
        <v>42</v>
      </c>
      <c r="D7" s="6" t="str">
        <f>IFERROR(INDEX([2]VehiclesUniverse!$B$2:$EU$700,MATCH(C7,[2]VehiclesUniverse!$A$2:$A$700,0),MATCH($D$1,[2]VehiclesUniverse!$B$1:$EU$1,0)),"")</f>
        <v/>
      </c>
      <c r="E7" s="6" t="str">
        <f>IFERROR(INDEX([2]VehiclesUniverse!$B$2:$EU$700,MATCH(C7,[2]VehiclesUniverse!$A$2:$A$700,0),MATCH($E$1,[2]VehiclesUniverse!$B$1:$EU$1,0)),"")</f>
        <v/>
      </c>
      <c r="F7" s="6" t="str">
        <f>IF(IFERROR(INDEX([2]VehiclesUniverse!$B$2:$EU$700,MATCH($C7,[2]VehiclesUniverse!$A$2:$A$700,0),MATCH($F$1,[2]VehiclesUniverse!$B$1:$EU$1,0)),"")&lt;&gt;0,(IFERROR(INDEX([2]VehiclesUniverse!$B$2:$EU$700,MATCH($C7,[2]VehiclesUniverse!$A$2:$A$700,0),MATCH($F$1,[2]VehiclesUniverse!$B$1:$EU$1,0)),"")),"")</f>
        <v/>
      </c>
      <c r="G7" s="6"/>
      <c r="H7" s="6" t="str">
        <f>IFERROR(INDEX([2]VehiclesUniverse!$B$2:$EU$700,MATCH(C7,[2]VehiclesUniverse!$A$2:$A$700,0),MATCH($H$1,[2]VehiclesUniverse!$B$1:$EU$1,0)),"")</f>
        <v/>
      </c>
      <c r="I7" s="6" t="str">
        <f>IF(ISBLANK([2]NLFsmonkeyCompl!M8),"",[2]NLFsmonkeyCompl!M8)</f>
        <v>Yes</v>
      </c>
      <c r="J7" s="6" t="str">
        <f>IF(ISBLANK([2]NLFsmonkeyCompl!N8),"",[2]NLFsmonkeyCompl!N8)</f>
        <v/>
      </c>
      <c r="K7" s="6" t="str">
        <f>IF(ISBLANK([2]NLFsmonkeyCompl!O8),"",[2]NLFsmonkeyCompl!O8)</f>
        <v/>
      </c>
      <c r="L7" s="6" t="str">
        <f>IFERROR(INDEX([2]VehiclesUniverse!$B$2:$EU$700,MATCH(C7,[2]VehiclesUniverse!$A$2:$A$700,0),MATCH($L$1,[2]VehiclesUniverse!$B$1:$EU$1,0)),"")</f>
        <v/>
      </c>
      <c r="M7" s="16" t="str">
        <f>IFERROR(VLOOKUP(L7,'[2]Xrate31.12.20'!$K$2:$N$25,3,0),"")</f>
        <v/>
      </c>
      <c r="N7" s="8" t="str">
        <f>IFERROR(IF(ISBLANK([2]NLFsmonkeyCompl!P8),"",[2]NLFsmonkeyCompl!P8*$M7),"")</f>
        <v/>
      </c>
      <c r="O7" s="8" t="str">
        <f>IFERROR(IF(ISBLANK([2]NLFsmonkeyCompl!Q8),"",[2]NLFsmonkeyCompl!Q8*$M7),"")</f>
        <v/>
      </c>
      <c r="P7" s="8" t="str">
        <f>IFERROR(IF(ISBLANK([2]NLFsmonkeyCompl!R8),"",[2]NLFsmonkeyCompl!R8*$M7),"")</f>
        <v/>
      </c>
      <c r="Q7" s="8" t="str">
        <f>IFERROR(IF(ISBLANK([2]NLFsmonkeyCompl!S8),"",[2]NLFsmonkeyCompl!S8*$M7),"")</f>
        <v/>
      </c>
      <c r="R7" s="8" t="str">
        <f>IFERROR(IF(ISBLANK([2]NLFsmonkeyCompl!T8),"",[2]NLFsmonkeyCompl!T8*$M7),"")</f>
        <v/>
      </c>
      <c r="S7" s="8" t="str">
        <f>IFERROR(IF(ISBLANK([2]NLFsmonkeyCompl!U8),"",[2]NLFsmonkeyCompl!U8*$M7),"")</f>
        <v/>
      </c>
      <c r="T7" s="8" t="str">
        <f>IFERROR(IF(ISBLANK([2]NLFsmonkeyCompl!V8),"",[2]NLFsmonkeyCompl!V8*$M7),"")</f>
        <v/>
      </c>
      <c r="U7" s="8" t="str">
        <f>IFERROR(IF(ISBLANK([2]NLFsmonkeyCompl!W8),"",[2]NLFsmonkeyCompl!W8*$M7),"")</f>
        <v/>
      </c>
      <c r="V7" s="8" t="str">
        <f>IFERROR(IF(ISBLANK([2]NLFsmonkeyCompl!X8),"",[2]NLFsmonkeyCompl!X8*$M7),"")</f>
        <v/>
      </c>
      <c r="W7" s="8" t="str">
        <f>IFERROR(IF(ISBLANK([2]NLFsmonkeyCompl!Y8),"",[2]NLFsmonkeyCompl!Y8*$M7),"")</f>
        <v/>
      </c>
      <c r="X7" s="8" t="str">
        <f>IFERROR(IF(ISBLANK([2]NLFsmonkeyCompl!Z8),"",[2]NLFsmonkeyCompl!Z8*$M7),"")</f>
        <v/>
      </c>
      <c r="Y7" s="8" t="str">
        <f>IFERROR(IF(ISBLANK([2]NLFsmonkeyCompl!AA8),"",[2]NLFsmonkeyCompl!AA8*$M7),"")</f>
        <v/>
      </c>
      <c r="Z7" s="8" t="str">
        <f>IFERROR(IF(ISBLANK([2]NLFsmonkeyCompl!AB8),"",[2]NLFsmonkeyCompl!AB8*$M7),"")</f>
        <v/>
      </c>
      <c r="AA7" s="8" t="str">
        <f>IFERROR(IF(ISBLANK([2]NLFsmonkeyCompl!AC8),"",[2]NLFsmonkeyCompl!AC8*$M7),"")</f>
        <v/>
      </c>
      <c r="AB7" s="8" t="str">
        <f>IFERROR(IF(ISBLANK([2]NLFsmonkeyCompl!AD8),"",[2]NLFsmonkeyCompl!AD8),"")</f>
        <v/>
      </c>
      <c r="AC7" s="8" t="str">
        <f>IFERROR(IF(ISBLANK([2]NLFsmonkeyCompl!AE8),"",[2]NLFsmonkeyCompl!AE8),"")</f>
        <v/>
      </c>
      <c r="AD7" s="8">
        <f>IFERROR(IF(ISBLANK([2]NLFsmonkeyCompl!AF8),"",[2]NLFsmonkeyCompl!AF8),"")</f>
        <v>100</v>
      </c>
      <c r="AE7" s="8" t="str">
        <f>IFERROR(IF(ISBLANK([2]NLFsmonkeyCompl!AG8),"",[2]NLFsmonkeyCompl!AG8),"")</f>
        <v/>
      </c>
      <c r="AF7" s="8" t="str">
        <f>IFERROR(IF(ISBLANK([2]NLFsmonkeyCompl!AH8),"",[2]NLFsmonkeyCompl!AH8),"")</f>
        <v>Increase</v>
      </c>
      <c r="AG7" s="8" t="str">
        <f>IFERROR(IF(ISBLANK([2]NLFsmonkeyCompl!AI8),"",[2]NLFsmonkeyCompl!AI8),"")</f>
        <v>Yes</v>
      </c>
      <c r="AH7" t="str">
        <f>IFERROR(INDEX([2]VehiclesUniverse!$B$2:$EU$700,MATCH($C7,[2]VehiclesUniverse!$A$2:$A$700,0),MATCH($AH$1,[2]VehiclesUniverse!$B$1:$EU$1,0)),"")</f>
        <v/>
      </c>
    </row>
    <row r="8" spans="1:34" x14ac:dyDescent="0.2">
      <c r="A8" s="5" t="str">
        <f>IF(OR(ISTEXT([2]NLFsmonkeyCompl!J9),ISNUMBER([2]NLFsmonkeyCompl!J9)),[2]NLFsmonkeyCompl!J9,"")</f>
        <v>CBRE GI</v>
      </c>
      <c r="B8" s="6" t="str">
        <f>IF(OR(ISTEXT([2]NLFsmonkeyCompl!K9),ISNUMBER([2]NLFsmonkeyCompl!K9)),[2]NLFsmonkeyCompl!K9,"")</f>
        <v>Asia Value Partners V SCSp SICAV-RAIF</v>
      </c>
      <c r="C8" s="6" t="s">
        <v>43</v>
      </c>
      <c r="D8" s="6" t="str">
        <f>IFERROR(INDEX([2]VehiclesUniverse!$B$2:$EU$700,MATCH(C8,[2]VehiclesUniverse!$A$2:$A$700,0),MATCH($D$1,[2]VehiclesUniverse!$B$1:$EU$1,0)),"")</f>
        <v/>
      </c>
      <c r="E8" s="6" t="str">
        <f>IFERROR(INDEX([2]VehiclesUniverse!$B$2:$EU$700,MATCH(C8,[2]VehiclesUniverse!$A$2:$A$700,0),MATCH($E$1,[2]VehiclesUniverse!$B$1:$EU$1,0)),"")</f>
        <v/>
      </c>
      <c r="F8" s="6" t="str">
        <f>IF(IFERROR(INDEX([2]VehiclesUniverse!$B$2:$EU$700,MATCH($C8,[2]VehiclesUniverse!$A$2:$A$700,0),MATCH($F$1,[2]VehiclesUniverse!$B$1:$EU$1,0)),"")&lt;&gt;0,(IFERROR(INDEX([2]VehiclesUniverse!$B$2:$EU$700,MATCH($C8,[2]VehiclesUniverse!$A$2:$A$700,0),MATCH($F$1,[2]VehiclesUniverse!$B$1:$EU$1,0)),"")),"")</f>
        <v/>
      </c>
      <c r="G8" s="6"/>
      <c r="H8" s="6" t="str">
        <f>IFERROR(INDEX([2]VehiclesUniverse!$B$2:$EU$700,MATCH(C8,[2]VehiclesUniverse!$A$2:$A$700,0),MATCH($H$1,[2]VehiclesUniverse!$B$1:$EU$1,0)),"")</f>
        <v/>
      </c>
      <c r="I8" s="6" t="str">
        <f>IF(ISBLANK([2]NLFsmonkeyCompl!M9),"",[2]NLFsmonkeyCompl!M9)</f>
        <v>Yes</v>
      </c>
      <c r="J8" s="6" t="str">
        <f>IF(ISBLANK([2]NLFsmonkeyCompl!N9),"",[2]NLFsmonkeyCompl!N9)</f>
        <v/>
      </c>
      <c r="K8" s="6" t="str">
        <f>IF(ISBLANK([2]NLFsmonkeyCompl!O9),"",[2]NLFsmonkeyCompl!O9)</f>
        <v/>
      </c>
      <c r="L8" s="6" t="str">
        <f>IFERROR(INDEX([2]VehiclesUniverse!$B$2:$EU$700,MATCH(C8,[2]VehiclesUniverse!$A$2:$A$700,0),MATCH($L$1,[2]VehiclesUniverse!$B$1:$EU$1,0)),"")</f>
        <v/>
      </c>
      <c r="M8" s="16" t="str">
        <f>IFERROR(VLOOKUP(L8,'[2]Xrate31.12.20'!$K$2:$N$25,3,0),"")</f>
        <v/>
      </c>
      <c r="N8" s="8" t="str">
        <f>IFERROR(IF(ISBLANK([2]NLFsmonkeyCompl!P9),"",[2]NLFsmonkeyCompl!P9*$M8),"")</f>
        <v/>
      </c>
      <c r="O8" s="8" t="str">
        <f>IFERROR(IF(ISBLANK([2]NLFsmonkeyCompl!Q9),"",[2]NLFsmonkeyCompl!Q9*$M8),"")</f>
        <v/>
      </c>
      <c r="P8" s="8" t="str">
        <f>IFERROR(IF(ISBLANK([2]NLFsmonkeyCompl!R9),"",[2]NLFsmonkeyCompl!R9*$M8),"")</f>
        <v/>
      </c>
      <c r="Q8" s="8" t="str">
        <f>IFERROR(IF(ISBLANK([2]NLFsmonkeyCompl!S9),"",[2]NLFsmonkeyCompl!S9*$M8),"")</f>
        <v/>
      </c>
      <c r="R8" s="8" t="str">
        <f>IFERROR(IF(ISBLANK([2]NLFsmonkeyCompl!T9),"",[2]NLFsmonkeyCompl!T9*$M8),"")</f>
        <v/>
      </c>
      <c r="S8" s="8" t="str">
        <f>IFERROR(IF(ISBLANK([2]NLFsmonkeyCompl!U9),"",[2]NLFsmonkeyCompl!U9*$M8),"")</f>
        <v/>
      </c>
      <c r="T8" s="8" t="str">
        <f>IFERROR(IF(ISBLANK([2]NLFsmonkeyCompl!V9),"",[2]NLFsmonkeyCompl!V9*$M8),"")</f>
        <v/>
      </c>
      <c r="U8" s="8" t="str">
        <f>IFERROR(IF(ISBLANK([2]NLFsmonkeyCompl!W9),"",[2]NLFsmonkeyCompl!W9*$M8),"")</f>
        <v/>
      </c>
      <c r="V8" s="8" t="str">
        <f>IFERROR(IF(ISBLANK([2]NLFsmonkeyCompl!X9),"",[2]NLFsmonkeyCompl!X9*$M8),"")</f>
        <v/>
      </c>
      <c r="W8" s="8" t="str">
        <f>IFERROR(IF(ISBLANK([2]NLFsmonkeyCompl!Y9),"",[2]NLFsmonkeyCompl!Y9*$M8),"")</f>
        <v/>
      </c>
      <c r="X8" s="8" t="str">
        <f>IFERROR(IF(ISBLANK([2]NLFsmonkeyCompl!Z9),"",[2]NLFsmonkeyCompl!Z9*$M8),"")</f>
        <v/>
      </c>
      <c r="Y8" s="8" t="str">
        <f>IFERROR(IF(ISBLANK([2]NLFsmonkeyCompl!AA9),"",[2]NLFsmonkeyCompl!AA9*$M8),"")</f>
        <v/>
      </c>
      <c r="Z8" s="8" t="str">
        <f>IFERROR(IF(ISBLANK([2]NLFsmonkeyCompl!AB9),"",[2]NLFsmonkeyCompl!AB9*$M8),"")</f>
        <v/>
      </c>
      <c r="AA8" s="8" t="str">
        <f>IFERROR(IF(ISBLANK([2]NLFsmonkeyCompl!AC9),"",[2]NLFsmonkeyCompl!AC9*$M8),"")</f>
        <v/>
      </c>
      <c r="AB8" s="8" t="str">
        <f>IFERROR(IF(ISBLANK([2]NLFsmonkeyCompl!AD9),"",[2]NLFsmonkeyCompl!AD9),"")</f>
        <v/>
      </c>
      <c r="AC8" s="8" t="str">
        <f>IFERROR(IF(ISBLANK([2]NLFsmonkeyCompl!AE9),"",[2]NLFsmonkeyCompl!AE9),"")</f>
        <v/>
      </c>
      <c r="AD8" s="8">
        <f>IFERROR(IF(ISBLANK([2]NLFsmonkeyCompl!AF9),"",[2]NLFsmonkeyCompl!AF9),"")</f>
        <v>100</v>
      </c>
      <c r="AE8" s="8" t="str">
        <f>IFERROR(IF(ISBLANK([2]NLFsmonkeyCompl!AG9),"",[2]NLFsmonkeyCompl!AG9),"")</f>
        <v/>
      </c>
      <c r="AF8" s="8" t="str">
        <f>IFERROR(IF(ISBLANK([2]NLFsmonkeyCompl!AH9),"",[2]NLFsmonkeyCompl!AH9),"")</f>
        <v>Increase</v>
      </c>
      <c r="AG8" s="8" t="str">
        <f>IFERROR(IF(ISBLANK([2]NLFsmonkeyCompl!AI9),"",[2]NLFsmonkeyCompl!AI9),"")</f>
        <v>Yes</v>
      </c>
      <c r="AH8" t="str">
        <f>IFERROR(INDEX([2]VehiclesUniverse!$B$2:$EU$700,MATCH($C8,[2]VehiclesUniverse!$A$2:$A$700,0),MATCH($AH$1,[2]VehiclesUniverse!$B$1:$EU$1,0)),"")</f>
        <v/>
      </c>
    </row>
    <row r="9" spans="1:34" x14ac:dyDescent="0.2">
      <c r="A9" s="5" t="str">
        <f>IF(OR(ISTEXT([2]NLFsmonkeyCompl!J10),ISNUMBER([2]NLFsmonkeyCompl!J10)),[2]NLFsmonkeyCompl!J10,"")</f>
        <v>CBRE GI</v>
      </c>
      <c r="B9" s="6" t="str">
        <f>IF(OR(ISTEXT([2]NLFsmonkeyCompl!K10),ISNUMBER([2]NLFsmonkeyCompl!K10)),[2]NLFsmonkeyCompl!K10,"")</f>
        <v>Dutch Residential Fund</v>
      </c>
      <c r="C9" s="6">
        <v>18277</v>
      </c>
      <c r="D9" s="6" t="str">
        <f>IFERROR(INDEX([2]VehiclesUniverse!$B$2:$EU$700,MATCH(C9,[2]VehiclesUniverse!$A$2:$A$700,0),MATCH($D$1,[2]VehiclesUniverse!$B$1:$EU$1,0)),"")</f>
        <v>Core</v>
      </c>
      <c r="E9" s="6" t="str">
        <f>IFERROR(INDEX([2]VehiclesUniverse!$B$2:$EU$700,MATCH(C9,[2]VehiclesUniverse!$A$2:$A$700,0),MATCH($E$1,[2]VehiclesUniverse!$B$1:$EU$1,0)),"")</f>
        <v>single country</v>
      </c>
      <c r="F9" s="6" t="str">
        <f>IF(IFERROR(INDEX([2]VehiclesUniverse!$B$2:$EU$700,MATCH($C9,[2]VehiclesUniverse!$A$2:$A$700,0),MATCH($F$1,[2]VehiclesUniverse!$B$1:$EU$1,0)),"")&lt;&gt;0,(IFERROR(INDEX([2]VehiclesUniverse!$B$2:$EU$700,MATCH($C9,[2]VehiclesUniverse!$A$2:$A$700,0),MATCH($F$1,[2]VehiclesUniverse!$B$1:$EU$1,0)),"")),"")</f>
        <v>Netherlands</v>
      </c>
      <c r="G9" s="6" t="str">
        <f>IF(ISBLANK([2]NLFsmonkeyCompl!L10),"",[2]NLFsmonkeyCompl!L10)</f>
        <v>Open end</v>
      </c>
      <c r="H9" s="6">
        <f>IFERROR(INDEX([2]VehiclesUniverse!$B$2:$EU$700,MATCH(C9,[2]VehiclesUniverse!$A$2:$A$700,0),MATCH($H$1,[2]VehiclesUniverse!$B$1:$EU$1,0)),"")</f>
        <v>2017</v>
      </c>
      <c r="I9" s="6" t="str">
        <f>IF(ISBLANK([2]NLFsmonkeyCompl!M10),"",[2]NLFsmonkeyCompl!M10)</f>
        <v>Yes</v>
      </c>
      <c r="J9" s="6" t="str">
        <f>IF(ISBLANK([2]NLFsmonkeyCompl!N10),"",[2]NLFsmonkeyCompl!N10)</f>
        <v/>
      </c>
      <c r="K9" s="6" t="str">
        <f>IF(ISBLANK([2]NLFsmonkeyCompl!O10),"",[2]NLFsmonkeyCompl!O10)</f>
        <v/>
      </c>
      <c r="L9" s="6" t="str">
        <f>IFERROR(INDEX([2]VehiclesUniverse!$B$2:$EU$700,MATCH(C9,[2]VehiclesUniverse!$A$2:$A$700,0),MATCH($L$1,[2]VehiclesUniverse!$B$1:$EU$1,0)),"")</f>
        <v>EUR</v>
      </c>
      <c r="M9" s="16">
        <f>IFERROR(VLOOKUP(L9,'[2]Xrate31.12.20'!$K$2:$N$25,3,0),"")</f>
        <v>1</v>
      </c>
      <c r="N9" s="8">
        <f>IFERROR(IF(ISBLANK([2]NLFsmonkeyCompl!P10),"",[2]NLFsmonkeyCompl!P10*$M9),"")</f>
        <v>602</v>
      </c>
      <c r="O9" s="8">
        <f>IFERROR(IF(ISBLANK([2]NLFsmonkeyCompl!Q10),"",[2]NLFsmonkeyCompl!Q10*$M9),"")</f>
        <v>602</v>
      </c>
      <c r="P9" s="8" t="str">
        <f>IFERROR(IF(ISBLANK([2]NLFsmonkeyCompl!R10),"",[2]NLFsmonkeyCompl!R10*$M9),"")</f>
        <v/>
      </c>
      <c r="Q9" s="8" t="str">
        <f>IFERROR(IF(ISBLANK([2]NLFsmonkeyCompl!S10),"",[2]NLFsmonkeyCompl!S10*$M9),"")</f>
        <v/>
      </c>
      <c r="R9" s="8" t="str">
        <f>IFERROR(IF(ISBLANK([2]NLFsmonkeyCompl!T10),"",[2]NLFsmonkeyCompl!T10*$M9),"")</f>
        <v/>
      </c>
      <c r="S9" s="8" t="str">
        <f>IFERROR(IF(ISBLANK([2]NLFsmonkeyCompl!U10),"",[2]NLFsmonkeyCompl!U10*$M9),"")</f>
        <v/>
      </c>
      <c r="T9" s="8" t="str">
        <f>IFERROR(IF(ISBLANK([2]NLFsmonkeyCompl!V10),"",[2]NLFsmonkeyCompl!V10*$M9),"")</f>
        <v/>
      </c>
      <c r="U9" s="8" t="str">
        <f>IFERROR(IF(ISBLANK([2]NLFsmonkeyCompl!W10),"",[2]NLFsmonkeyCompl!W10*$M9),"")</f>
        <v/>
      </c>
      <c r="V9" s="8" t="str">
        <f>IFERROR(IF(ISBLANK([2]NLFsmonkeyCompl!X10),"",[2]NLFsmonkeyCompl!X10*$M9),"")</f>
        <v/>
      </c>
      <c r="W9" s="8">
        <f>IFERROR(IF(ISBLANK([2]NLFsmonkeyCompl!Y10),"",[2]NLFsmonkeyCompl!Y10*$M9),"")</f>
        <v>602</v>
      </c>
      <c r="X9" s="8" t="str">
        <f>IFERROR(IF(ISBLANK([2]NLFsmonkeyCompl!Z10),"",[2]NLFsmonkeyCompl!Z10*$M9),"")</f>
        <v/>
      </c>
      <c r="Y9" s="8" t="str">
        <f>IFERROR(IF(ISBLANK([2]NLFsmonkeyCompl!AA10),"",[2]NLFsmonkeyCompl!AA10*$M9),"")</f>
        <v/>
      </c>
      <c r="Z9" s="8" t="str">
        <f>IFERROR(IF(ISBLANK([2]NLFsmonkeyCompl!AB10),"",[2]NLFsmonkeyCompl!AB10*$M9),"")</f>
        <v/>
      </c>
      <c r="AA9" s="8" t="str">
        <f>IFERROR(IF(ISBLANK([2]NLFsmonkeyCompl!AC10),"",[2]NLFsmonkeyCompl!AC10*$M9),"")</f>
        <v/>
      </c>
      <c r="AB9" s="8" t="str">
        <f>IFERROR(IF(ISBLANK([2]NLFsmonkeyCompl!AD10),"",[2]NLFsmonkeyCompl!AD10),"")</f>
        <v/>
      </c>
      <c r="AC9" s="8" t="str">
        <f>IFERROR(IF(ISBLANK([2]NLFsmonkeyCompl!AE10),"",[2]NLFsmonkeyCompl!AE10),"")</f>
        <v/>
      </c>
      <c r="AD9" s="8">
        <f>IFERROR(IF(ISBLANK([2]NLFsmonkeyCompl!AF10),"",[2]NLFsmonkeyCompl!AF10),"")</f>
        <v>100</v>
      </c>
      <c r="AE9" s="8" t="str">
        <f>IFERROR(IF(ISBLANK([2]NLFsmonkeyCompl!AG10),"",[2]NLFsmonkeyCompl!AG10),"")</f>
        <v/>
      </c>
      <c r="AF9" s="8" t="str">
        <f>IFERROR(IF(ISBLANK([2]NLFsmonkeyCompl!AH10),"",[2]NLFsmonkeyCompl!AH10),"")</f>
        <v>Increase</v>
      </c>
      <c r="AG9" s="8" t="str">
        <f>IFERROR(IF(ISBLANK([2]NLFsmonkeyCompl!AI10),"",[2]NLFsmonkeyCompl!AI10),"")</f>
        <v>Yes</v>
      </c>
      <c r="AH9">
        <f>IFERROR(INDEX([2]VehiclesUniverse!$B$2:$EU$700,MATCH($C9,[2]VehiclesUniverse!$A$2:$A$700,0),MATCH($AH$1,[2]VehiclesUniverse!$B$1:$EU$1,0)),"")</f>
        <v>2588214000</v>
      </c>
    </row>
    <row r="10" spans="1:34" x14ac:dyDescent="0.2">
      <c r="A10" s="5" t="str">
        <f>IF(OR(ISTEXT([2]NLFsmonkeyCompl!J11),ISNUMBER([2]NLFsmonkeyCompl!J11)),[2]NLFsmonkeyCompl!J11,"")</f>
        <v>CBRE GI</v>
      </c>
      <c r="B10" s="6" t="str">
        <f>IF(OR(ISTEXT([2]NLFsmonkeyCompl!K11),ISNUMBER([2]NLFsmonkeyCompl!K11)),[2]NLFsmonkeyCompl!K11,"")</f>
        <v>Europe Value Partners 2</v>
      </c>
      <c r="C10" s="6">
        <v>18564</v>
      </c>
      <c r="D10" s="6" t="str">
        <f>IFERROR(INDEX([2]VehiclesUniverse!$B$2:$EU$700,MATCH(C10,[2]VehiclesUniverse!$A$2:$A$700,0),MATCH($D$1,[2]VehiclesUniverse!$B$1:$EU$1,0)),"")</f>
        <v>Value-added</v>
      </c>
      <c r="E10" s="6" t="str">
        <f>IFERROR(INDEX([2]VehiclesUniverse!$B$2:$EU$700,MATCH(C10,[2]VehiclesUniverse!$A$2:$A$700,0),MATCH($E$1,[2]VehiclesUniverse!$B$1:$EU$1,0)),"")</f>
        <v>multi country</v>
      </c>
      <c r="F10" s="6" t="str">
        <f>IF(IFERROR(INDEX([2]VehiclesUniverse!$B$2:$EU$700,MATCH($C10,[2]VehiclesUniverse!$A$2:$A$700,0),MATCH($F$1,[2]VehiclesUniverse!$B$1:$EU$1,0)),"")&lt;&gt;0,(IFERROR(INDEX([2]VehiclesUniverse!$B$2:$EU$700,MATCH($C10,[2]VehiclesUniverse!$A$2:$A$700,0),MATCH($F$1,[2]VehiclesUniverse!$B$1:$EU$1,0)),"")),"")</f>
        <v/>
      </c>
      <c r="G10" s="6" t="str">
        <f>IF(ISBLANK([2]NLFsmonkeyCompl!L11),"",[2]NLFsmonkeyCompl!L11)</f>
        <v>Closed end</v>
      </c>
      <c r="H10" s="6">
        <f>IFERROR(INDEX([2]VehiclesUniverse!$B$2:$EU$700,MATCH(C10,[2]VehiclesUniverse!$A$2:$A$700,0),MATCH($H$1,[2]VehiclesUniverse!$B$1:$EU$1,0)),"")</f>
        <v>2017</v>
      </c>
      <c r="I10" s="6" t="str">
        <f>IF(ISBLANK([2]NLFsmonkeyCompl!M11),"",[2]NLFsmonkeyCompl!M11)</f>
        <v>Yes</v>
      </c>
      <c r="J10" s="6" t="str">
        <f>IF(ISBLANK([2]NLFsmonkeyCompl!N11),"",[2]NLFsmonkeyCompl!N11)</f>
        <v/>
      </c>
      <c r="K10" s="6" t="str">
        <f>IF(ISBLANK([2]NLFsmonkeyCompl!O11),"",[2]NLFsmonkeyCompl!O11)</f>
        <v/>
      </c>
      <c r="L10" s="6" t="str">
        <f>IFERROR(INDEX([2]VehiclesUniverse!$B$2:$EU$700,MATCH(C10,[2]VehiclesUniverse!$A$2:$A$700,0),MATCH($L$1,[2]VehiclesUniverse!$B$1:$EU$1,0)),"")</f>
        <v>EUR</v>
      </c>
      <c r="M10" s="16">
        <f>IFERROR(VLOOKUP(L10,'[2]Xrate31.12.20'!$K$2:$N$25,3,0),"")</f>
        <v>1</v>
      </c>
      <c r="N10" s="8">
        <f>IFERROR(IF(ISBLANK([2]NLFsmonkeyCompl!P11),"",[2]NLFsmonkeyCompl!P11*$M10),"")</f>
        <v>4</v>
      </c>
      <c r="O10" s="8">
        <f>IFERROR(IF(ISBLANK([2]NLFsmonkeyCompl!Q11),"",[2]NLFsmonkeyCompl!Q11*$M10),"")</f>
        <v>2</v>
      </c>
      <c r="P10" s="8">
        <f>IFERROR(IF(ISBLANK([2]NLFsmonkeyCompl!R11),"",[2]NLFsmonkeyCompl!R11*$M10),"")</f>
        <v>2</v>
      </c>
      <c r="Q10" s="8" t="str">
        <f>IFERROR(IF(ISBLANK([2]NLFsmonkeyCompl!S11),"",[2]NLFsmonkeyCompl!S11*$M10),"")</f>
        <v/>
      </c>
      <c r="R10" s="8" t="str">
        <f>IFERROR(IF(ISBLANK([2]NLFsmonkeyCompl!T11),"",[2]NLFsmonkeyCompl!T11*$M10),"")</f>
        <v/>
      </c>
      <c r="S10" s="8" t="str">
        <f>IFERROR(IF(ISBLANK([2]NLFsmonkeyCompl!U11),"",[2]NLFsmonkeyCompl!U11*$M10),"")</f>
        <v/>
      </c>
      <c r="T10" s="8" t="str">
        <f>IFERROR(IF(ISBLANK([2]NLFsmonkeyCompl!V11),"",[2]NLFsmonkeyCompl!V11*$M10),"")</f>
        <v/>
      </c>
      <c r="U10" s="8" t="str">
        <f>IFERROR(IF(ISBLANK([2]NLFsmonkeyCompl!W11),"",[2]NLFsmonkeyCompl!W11*$M10),"")</f>
        <v/>
      </c>
      <c r="V10" s="8" t="str">
        <f>IFERROR(IF(ISBLANK([2]NLFsmonkeyCompl!X11),"",[2]NLFsmonkeyCompl!X11*$M10),"")</f>
        <v/>
      </c>
      <c r="W10" s="8" t="str">
        <f>IFERROR(IF(ISBLANK([2]NLFsmonkeyCompl!Y11),"",[2]NLFsmonkeyCompl!Y11*$M10),"")</f>
        <v/>
      </c>
      <c r="X10" s="8">
        <f>IFERROR(IF(ISBLANK([2]NLFsmonkeyCompl!Z11),"",[2]NLFsmonkeyCompl!Z11*$M10),"")</f>
        <v>3</v>
      </c>
      <c r="Y10" s="8">
        <f>IFERROR(IF(ISBLANK([2]NLFsmonkeyCompl!AA11),"",[2]NLFsmonkeyCompl!AA11*$M10),"")</f>
        <v>1</v>
      </c>
      <c r="Z10" s="8" t="str">
        <f>IFERROR(IF(ISBLANK([2]NLFsmonkeyCompl!AB11),"",[2]NLFsmonkeyCompl!AB11*$M10),"")</f>
        <v/>
      </c>
      <c r="AA10" s="8" t="str">
        <f>IFERROR(IF(ISBLANK([2]NLFsmonkeyCompl!AC11),"",[2]NLFsmonkeyCompl!AC11*$M10),"")</f>
        <v/>
      </c>
      <c r="AB10" s="8" t="str">
        <f>IFERROR(IF(ISBLANK([2]NLFsmonkeyCompl!AD11),"",[2]NLFsmonkeyCompl!AD11),"")</f>
        <v/>
      </c>
      <c r="AC10" s="8" t="str">
        <f>IFERROR(IF(ISBLANK([2]NLFsmonkeyCompl!AE11),"",[2]NLFsmonkeyCompl!AE11),"")</f>
        <v/>
      </c>
      <c r="AD10" s="8">
        <f>IFERROR(IF(ISBLANK([2]NLFsmonkeyCompl!AF11),"",[2]NLFsmonkeyCompl!AF11),"")</f>
        <v>100</v>
      </c>
      <c r="AE10" s="8" t="str">
        <f>IFERROR(IF(ISBLANK([2]NLFsmonkeyCompl!AG11),"",[2]NLFsmonkeyCompl!AG11),"")</f>
        <v/>
      </c>
      <c r="AF10" s="8" t="str">
        <f>IFERROR(IF(ISBLANK([2]NLFsmonkeyCompl!AH11),"",[2]NLFsmonkeyCompl!AH11),"")</f>
        <v>Increase</v>
      </c>
      <c r="AG10" s="8" t="str">
        <f>IFERROR(IF(ISBLANK([2]NLFsmonkeyCompl!AI11),"",[2]NLFsmonkeyCompl!AI11),"")</f>
        <v>Yes</v>
      </c>
      <c r="AH10">
        <f>IFERROR(INDEX([2]VehiclesUniverse!$B$2:$EU$700,MATCH($C10,[2]VehiclesUniverse!$A$2:$A$700,0),MATCH($AH$1,[2]VehiclesUniverse!$B$1:$EU$1,0)),"")</f>
        <v>908732000</v>
      </c>
    </row>
    <row r="11" spans="1:34" x14ac:dyDescent="0.2">
      <c r="A11" s="5" t="str">
        <f>IF(OR(ISTEXT([2]NLFsmonkeyCompl!J12),ISNUMBER([2]NLFsmonkeyCompl!J12)),[2]NLFsmonkeyCompl!J12,"")</f>
        <v>CBRE GI</v>
      </c>
      <c r="B11" s="6" t="str">
        <f>IF(OR(ISTEXT([2]NLFsmonkeyCompl!K12),ISNUMBER([2]NLFsmonkeyCompl!K12)),[2]NLFsmonkeyCompl!K12,"")</f>
        <v>European Industrial Fund</v>
      </c>
      <c r="C11" s="6">
        <v>278</v>
      </c>
      <c r="D11" s="6" t="str">
        <f>IFERROR(INDEX([2]VehiclesUniverse!$B$2:$EU$700,MATCH(C11,[2]VehiclesUniverse!$A$2:$A$700,0),MATCH($D$1,[2]VehiclesUniverse!$B$1:$EU$1,0)),"")</f>
        <v>Core</v>
      </c>
      <c r="E11" s="6" t="str">
        <f>IFERROR(INDEX([2]VehiclesUniverse!$B$2:$EU$700,MATCH(C11,[2]VehiclesUniverse!$A$2:$A$700,0),MATCH($E$1,[2]VehiclesUniverse!$B$1:$EU$1,0)),"")</f>
        <v>multi country</v>
      </c>
      <c r="F11" s="6" t="str">
        <f>IF(IFERROR(INDEX([2]VehiclesUniverse!$B$2:$EU$700,MATCH($C11,[2]VehiclesUniverse!$A$2:$A$700,0),MATCH($F$1,[2]VehiclesUniverse!$B$1:$EU$1,0)),"")&lt;&gt;0,(IFERROR(INDEX([2]VehiclesUniverse!$B$2:$EU$700,MATCH($C11,[2]VehiclesUniverse!$A$2:$A$700,0),MATCH($F$1,[2]VehiclesUniverse!$B$1:$EU$1,0)),"")),"")</f>
        <v/>
      </c>
      <c r="G11" s="6" t="str">
        <f>IF(ISBLANK([2]NLFsmonkeyCompl!L12),"",[2]NLFsmonkeyCompl!L12)</f>
        <v>Open end</v>
      </c>
      <c r="H11" s="6">
        <f>IFERROR(INDEX([2]VehiclesUniverse!$B$2:$EU$700,MATCH(C11,[2]VehiclesUniverse!$A$2:$A$700,0),MATCH($H$1,[2]VehiclesUniverse!$B$1:$EU$1,0)),"")</f>
        <v>2005</v>
      </c>
      <c r="I11" s="6" t="str">
        <f>IF(ISBLANK([2]NLFsmonkeyCompl!M12),"",[2]NLFsmonkeyCompl!M12)</f>
        <v>Yes</v>
      </c>
      <c r="J11" s="6" t="str">
        <f>IF(ISBLANK([2]NLFsmonkeyCompl!N12),"",[2]NLFsmonkeyCompl!N12)</f>
        <v/>
      </c>
      <c r="K11" s="6" t="str">
        <f>IF(ISBLANK([2]NLFsmonkeyCompl!O12),"",[2]NLFsmonkeyCompl!O12)</f>
        <v/>
      </c>
      <c r="L11" s="6" t="str">
        <f>IFERROR(INDEX([2]VehiclesUniverse!$B$2:$EU$700,MATCH(C11,[2]VehiclesUniverse!$A$2:$A$700,0),MATCH($L$1,[2]VehiclesUniverse!$B$1:$EU$1,0)),"")</f>
        <v>EUR</v>
      </c>
      <c r="M11" s="16">
        <f>IFERROR(VLOOKUP(L11,'[2]Xrate31.12.20'!$K$2:$N$25,3,0),"")</f>
        <v>1</v>
      </c>
      <c r="N11" s="8">
        <f>IFERROR(IF(ISBLANK([2]NLFsmonkeyCompl!P12),"",[2]NLFsmonkeyCompl!P12*$M11),"")</f>
        <v>122</v>
      </c>
      <c r="O11" s="8">
        <f>IFERROR(IF(ISBLANK([2]NLFsmonkeyCompl!Q12),"",[2]NLFsmonkeyCompl!Q12*$M11),"")</f>
        <v>32</v>
      </c>
      <c r="P11" s="8">
        <f>IFERROR(IF(ISBLANK([2]NLFsmonkeyCompl!R12),"",[2]NLFsmonkeyCompl!R12*$M11),"")</f>
        <v>90</v>
      </c>
      <c r="Q11" s="8" t="str">
        <f>IFERROR(IF(ISBLANK([2]NLFsmonkeyCompl!S12),"",[2]NLFsmonkeyCompl!S12*$M11),"")</f>
        <v/>
      </c>
      <c r="R11" s="8" t="str">
        <f>IFERROR(IF(ISBLANK([2]NLFsmonkeyCompl!T12),"",[2]NLFsmonkeyCompl!T12*$M11),"")</f>
        <v/>
      </c>
      <c r="S11" s="8" t="str">
        <f>IFERROR(IF(ISBLANK([2]NLFsmonkeyCompl!U12),"",[2]NLFsmonkeyCompl!U12*$M11),"")</f>
        <v/>
      </c>
      <c r="T11" s="8" t="str">
        <f>IFERROR(IF(ISBLANK([2]NLFsmonkeyCompl!V12),"",[2]NLFsmonkeyCompl!V12*$M11),"")</f>
        <v/>
      </c>
      <c r="U11" s="8" t="str">
        <f>IFERROR(IF(ISBLANK([2]NLFsmonkeyCompl!W12),"",[2]NLFsmonkeyCompl!W12*$M11),"")</f>
        <v/>
      </c>
      <c r="V11" s="8" t="str">
        <f>IFERROR(IF(ISBLANK([2]NLFsmonkeyCompl!X12),"",[2]NLFsmonkeyCompl!X12*$M11),"")</f>
        <v/>
      </c>
      <c r="W11" s="8">
        <f>IFERROR(IF(ISBLANK([2]NLFsmonkeyCompl!Y12),"",[2]NLFsmonkeyCompl!Y12*$M11),"")</f>
        <v>122</v>
      </c>
      <c r="X11" s="8" t="str">
        <f>IFERROR(IF(ISBLANK([2]NLFsmonkeyCompl!Z12),"",[2]NLFsmonkeyCompl!Z12*$M11),"")</f>
        <v/>
      </c>
      <c r="Y11" s="8" t="str">
        <f>IFERROR(IF(ISBLANK([2]NLFsmonkeyCompl!AA12),"",[2]NLFsmonkeyCompl!AA12*$M11),"")</f>
        <v/>
      </c>
      <c r="Z11" s="8" t="str">
        <f>IFERROR(IF(ISBLANK([2]NLFsmonkeyCompl!AB12),"",[2]NLFsmonkeyCompl!AB12*$M11),"")</f>
        <v/>
      </c>
      <c r="AA11" s="8" t="str">
        <f>IFERROR(IF(ISBLANK([2]NLFsmonkeyCompl!AC12),"",[2]NLFsmonkeyCompl!AC12*$M11),"")</f>
        <v/>
      </c>
      <c r="AB11" s="8" t="str">
        <f>IFERROR(IF(ISBLANK([2]NLFsmonkeyCompl!AD12),"",[2]NLFsmonkeyCompl!AD12),"")</f>
        <v/>
      </c>
      <c r="AC11" s="8" t="str">
        <f>IFERROR(IF(ISBLANK([2]NLFsmonkeyCompl!AE12),"",[2]NLFsmonkeyCompl!AE12),"")</f>
        <v/>
      </c>
      <c r="AD11" s="8">
        <f>IFERROR(IF(ISBLANK([2]NLFsmonkeyCompl!AF12),"",[2]NLFsmonkeyCompl!AF12),"")</f>
        <v>100</v>
      </c>
      <c r="AE11" s="8" t="str">
        <f>IFERROR(IF(ISBLANK([2]NLFsmonkeyCompl!AG12),"",[2]NLFsmonkeyCompl!AG12),"")</f>
        <v/>
      </c>
      <c r="AF11" s="8" t="str">
        <f>IFERROR(IF(ISBLANK([2]NLFsmonkeyCompl!AH12),"",[2]NLFsmonkeyCompl!AH12),"")</f>
        <v>Increase</v>
      </c>
      <c r="AG11" s="8" t="str">
        <f>IFERROR(IF(ISBLANK([2]NLFsmonkeyCompl!AI12),"",[2]NLFsmonkeyCompl!AI12),"")</f>
        <v>Yes</v>
      </c>
      <c r="AH11">
        <f>IFERROR(INDEX([2]VehiclesUniverse!$B$2:$EU$700,MATCH($C11,[2]VehiclesUniverse!$A$2:$A$700,0),MATCH($AH$1,[2]VehiclesUniverse!$B$1:$EU$1,0)),"")</f>
        <v>1342846670</v>
      </c>
    </row>
    <row r="12" spans="1:34" x14ac:dyDescent="0.2">
      <c r="A12" s="5" t="str">
        <f>IF(OR(ISTEXT([2]NLFsmonkeyCompl!J13),ISNUMBER([2]NLFsmonkeyCompl!J13)),[2]NLFsmonkeyCompl!J13,"")</f>
        <v>CBRE GI</v>
      </c>
      <c r="B12" s="6" t="str">
        <f>IF(OR(ISTEXT([2]NLFsmonkeyCompl!K13),ISNUMBER([2]NLFsmonkeyCompl!K13)),[2]NLFsmonkeyCompl!K13,"")</f>
        <v>Pan-European Core Fund (PEC)</v>
      </c>
      <c r="C12" s="6">
        <v>554</v>
      </c>
      <c r="D12" s="6" t="str">
        <f>IFERROR(INDEX([2]VehiclesUniverse!$B$2:$EU$700,MATCH(C12,[2]VehiclesUniverse!$A$2:$A$700,0),MATCH($D$1,[2]VehiclesUniverse!$B$1:$EU$1,0)),"")</f>
        <v>Core</v>
      </c>
      <c r="E12" s="6" t="str">
        <f>IFERROR(INDEX([2]VehiclesUniverse!$B$2:$EU$700,MATCH(C12,[2]VehiclesUniverse!$A$2:$A$700,0),MATCH($E$1,[2]VehiclesUniverse!$B$1:$EU$1,0)),"")</f>
        <v>multi country</v>
      </c>
      <c r="F12" s="6" t="str">
        <f>IF(IFERROR(INDEX([2]VehiclesUniverse!$B$2:$EU$700,MATCH($C12,[2]VehiclesUniverse!$A$2:$A$700,0),MATCH($F$1,[2]VehiclesUniverse!$B$1:$EU$1,0)),"")&lt;&gt;0,(IFERROR(INDEX([2]VehiclesUniverse!$B$2:$EU$700,MATCH($C12,[2]VehiclesUniverse!$A$2:$A$700,0),MATCH($F$1,[2]VehiclesUniverse!$B$1:$EU$1,0)),"")),"")</f>
        <v/>
      </c>
      <c r="G12" s="6" t="str">
        <f>IF(ISBLANK([2]NLFsmonkeyCompl!L13),"",[2]NLFsmonkeyCompl!L13)</f>
        <v>Open end</v>
      </c>
      <c r="H12" s="6">
        <f>IFERROR(INDEX([2]VehiclesUniverse!$B$2:$EU$700,MATCH(C12,[2]VehiclesUniverse!$A$2:$A$700,0),MATCH($H$1,[2]VehiclesUniverse!$B$1:$EU$1,0)),"")</f>
        <v>2010</v>
      </c>
      <c r="I12" s="6" t="str">
        <f>IF(ISBLANK([2]NLFsmonkeyCompl!M13),"",[2]NLFsmonkeyCompl!M13)</f>
        <v>Yes</v>
      </c>
      <c r="J12" s="6" t="str">
        <f>IF(ISBLANK([2]NLFsmonkeyCompl!N13),"",[2]NLFsmonkeyCompl!N13)</f>
        <v/>
      </c>
      <c r="K12" s="6" t="str">
        <f>IF(ISBLANK([2]NLFsmonkeyCompl!O13),"",[2]NLFsmonkeyCompl!O13)</f>
        <v/>
      </c>
      <c r="L12" s="6" t="str">
        <f>IFERROR(INDEX([2]VehiclesUniverse!$B$2:$EU$700,MATCH(C12,[2]VehiclesUniverse!$A$2:$A$700,0),MATCH($L$1,[2]VehiclesUniverse!$B$1:$EU$1,0)),"")</f>
        <v>EUR</v>
      </c>
      <c r="M12" s="16">
        <f>IFERROR(VLOOKUP(L12,'[2]Xrate31.12.20'!$K$2:$N$25,3,0),"")</f>
        <v>1</v>
      </c>
      <c r="N12" s="8">
        <f>IFERROR(IF(ISBLANK([2]NLFsmonkeyCompl!P13),"",[2]NLFsmonkeyCompl!P13*$M12),"")</f>
        <v>417</v>
      </c>
      <c r="O12" s="8">
        <f>IFERROR(IF(ISBLANK([2]NLFsmonkeyCompl!Q13),"",[2]NLFsmonkeyCompl!Q13*$M12),"")</f>
        <v>404</v>
      </c>
      <c r="P12" s="8">
        <f>IFERROR(IF(ISBLANK([2]NLFsmonkeyCompl!R13),"",[2]NLFsmonkeyCompl!R13*$M12),"")</f>
        <v>13</v>
      </c>
      <c r="Q12" s="8" t="str">
        <f>IFERROR(IF(ISBLANK([2]NLFsmonkeyCompl!S13),"",[2]NLFsmonkeyCompl!S13*$M12),"")</f>
        <v/>
      </c>
      <c r="R12" s="8" t="str">
        <f>IFERROR(IF(ISBLANK([2]NLFsmonkeyCompl!T13),"",[2]NLFsmonkeyCompl!T13*$M12),"")</f>
        <v/>
      </c>
      <c r="S12" s="8" t="str">
        <f>IFERROR(IF(ISBLANK([2]NLFsmonkeyCompl!U13),"",[2]NLFsmonkeyCompl!U13*$M12),"")</f>
        <v/>
      </c>
      <c r="T12" s="8" t="str">
        <f>IFERROR(IF(ISBLANK([2]NLFsmonkeyCompl!V13),"",[2]NLFsmonkeyCompl!V13*$M12),"")</f>
        <v/>
      </c>
      <c r="U12" s="8" t="str">
        <f>IFERROR(IF(ISBLANK([2]NLFsmonkeyCompl!W13),"",[2]NLFsmonkeyCompl!W13*$M12),"")</f>
        <v/>
      </c>
      <c r="V12" s="8" t="str">
        <f>IFERROR(IF(ISBLANK([2]NLFsmonkeyCompl!X13),"",[2]NLFsmonkeyCompl!X13*$M12),"")</f>
        <v/>
      </c>
      <c r="W12" s="8">
        <f>IFERROR(IF(ISBLANK([2]NLFsmonkeyCompl!Y13),"",[2]NLFsmonkeyCompl!Y13*$M12),"")</f>
        <v>384</v>
      </c>
      <c r="X12" s="8">
        <f>IFERROR(IF(ISBLANK([2]NLFsmonkeyCompl!Z13),"",[2]NLFsmonkeyCompl!Z13*$M12),"")</f>
        <v>33</v>
      </c>
      <c r="Y12" s="8" t="str">
        <f>IFERROR(IF(ISBLANK([2]NLFsmonkeyCompl!AA13),"",[2]NLFsmonkeyCompl!AA13*$M12),"")</f>
        <v/>
      </c>
      <c r="Z12" s="8" t="str">
        <f>IFERROR(IF(ISBLANK([2]NLFsmonkeyCompl!AB13),"",[2]NLFsmonkeyCompl!AB13*$M12),"")</f>
        <v/>
      </c>
      <c r="AA12" s="8" t="str">
        <f>IFERROR(IF(ISBLANK([2]NLFsmonkeyCompl!AC13),"",[2]NLFsmonkeyCompl!AC13*$M12),"")</f>
        <v/>
      </c>
      <c r="AB12" s="8" t="str">
        <f>IFERROR(IF(ISBLANK([2]NLFsmonkeyCompl!AD13),"",[2]NLFsmonkeyCompl!AD13),"")</f>
        <v/>
      </c>
      <c r="AC12" s="8" t="str">
        <f>IFERROR(IF(ISBLANK([2]NLFsmonkeyCompl!AE13),"",[2]NLFsmonkeyCompl!AE13),"")</f>
        <v/>
      </c>
      <c r="AD12" s="8">
        <f>IFERROR(IF(ISBLANK([2]NLFsmonkeyCompl!AF13),"",[2]NLFsmonkeyCompl!AF13),"")</f>
        <v>100</v>
      </c>
      <c r="AE12" s="8" t="str">
        <f>IFERROR(IF(ISBLANK([2]NLFsmonkeyCompl!AG13),"",[2]NLFsmonkeyCompl!AG13),"")</f>
        <v/>
      </c>
      <c r="AF12" s="8" t="str">
        <f>IFERROR(IF(ISBLANK([2]NLFsmonkeyCompl!AH13),"",[2]NLFsmonkeyCompl!AH13),"")</f>
        <v>Increase</v>
      </c>
      <c r="AG12" s="8" t="str">
        <f>IFERROR(IF(ISBLANK([2]NLFsmonkeyCompl!AI13),"",[2]NLFsmonkeyCompl!AI13),"")</f>
        <v>Yes</v>
      </c>
      <c r="AH12">
        <f>IFERROR(INDEX([2]VehiclesUniverse!$B$2:$EU$700,MATCH($C12,[2]VehiclesUniverse!$A$2:$A$700,0),MATCH($AH$1,[2]VehiclesUniverse!$B$1:$EU$1,0)),"")</f>
        <v>5328000000</v>
      </c>
    </row>
    <row r="13" spans="1:34" x14ac:dyDescent="0.2">
      <c r="A13" s="5" t="str">
        <f>IF(OR(ISTEXT([2]NLFsmonkeyCompl!J14),ISNUMBER([2]NLFsmonkeyCompl!J14)),[2]NLFsmonkeyCompl!J14,"")</f>
        <v>CBRE GI</v>
      </c>
      <c r="B13" s="6" t="str">
        <f>IF(OR(ISTEXT([2]NLFsmonkeyCompl!K14),ISNUMBER([2]NLFsmonkeyCompl!K14)),[2]NLFsmonkeyCompl!K14,"")</f>
        <v>UK Long Income Fund</v>
      </c>
      <c r="C13" s="6">
        <v>19147</v>
      </c>
      <c r="D13" s="6" t="str">
        <f>IFERROR(INDEX([2]VehiclesUniverse!$B$2:$EU$700,MATCH(C13,[2]VehiclesUniverse!$A$2:$A$700,0),MATCH($D$1,[2]VehiclesUniverse!$B$1:$EU$1,0)),"")</f>
        <v>Core</v>
      </c>
      <c r="E13" s="6" t="str">
        <f>IFERROR(INDEX([2]VehiclesUniverse!$B$2:$EU$700,MATCH(C13,[2]VehiclesUniverse!$A$2:$A$700,0),MATCH($E$1,[2]VehiclesUniverse!$B$1:$EU$1,0)),"")</f>
        <v>single country</v>
      </c>
      <c r="F13" s="6" t="str">
        <f>IF(IFERROR(INDEX([2]VehiclesUniverse!$B$2:$EU$700,MATCH($C13,[2]VehiclesUniverse!$A$2:$A$700,0),MATCH($F$1,[2]VehiclesUniverse!$B$1:$EU$1,0)),"")&lt;&gt;0,(IFERROR(INDEX([2]VehiclesUniverse!$B$2:$EU$700,MATCH($C13,[2]VehiclesUniverse!$A$2:$A$700,0),MATCH($F$1,[2]VehiclesUniverse!$B$1:$EU$1,0)),"")),"")</f>
        <v>United Kingdom</v>
      </c>
      <c r="G13" s="6" t="str">
        <f>IF(ISBLANK([2]NLFsmonkeyCompl!L14),"",[2]NLFsmonkeyCompl!L14)</f>
        <v>Open end</v>
      </c>
      <c r="H13" s="6">
        <f>IFERROR(INDEX([2]VehiclesUniverse!$B$2:$EU$700,MATCH(C13,[2]VehiclesUniverse!$A$2:$A$700,0),MATCH($H$1,[2]VehiclesUniverse!$B$1:$EU$1,0)),"")</f>
        <v>2018</v>
      </c>
      <c r="I13" s="6" t="str">
        <f>IF(ISBLANK([2]NLFsmonkeyCompl!M14),"",[2]NLFsmonkeyCompl!M14)</f>
        <v>Yes</v>
      </c>
      <c r="J13" s="6" t="str">
        <f>IF(ISBLANK([2]NLFsmonkeyCompl!N14),"",[2]NLFsmonkeyCompl!N14)</f>
        <v/>
      </c>
      <c r="K13" s="6" t="str">
        <f>IF(ISBLANK([2]NLFsmonkeyCompl!O14),"",[2]NLFsmonkeyCompl!O14)</f>
        <v/>
      </c>
      <c r="L13" s="6" t="str">
        <f>IFERROR(INDEX([2]VehiclesUniverse!$B$2:$EU$700,MATCH(C13,[2]VehiclesUniverse!$A$2:$A$700,0),MATCH($L$1,[2]VehiclesUniverse!$B$1:$EU$1,0)),"")</f>
        <v>GBP</v>
      </c>
      <c r="M13" s="16">
        <f>IFERROR(VLOOKUP(L13,'[2]Xrate31.12.20'!$K$2:$N$25,3,0),"")</f>
        <v>1.1130927885999999</v>
      </c>
      <c r="N13" s="8">
        <f>IFERROR(IF(ISBLANK([2]NLFsmonkeyCompl!P14),"",[2]NLFsmonkeyCompl!P14*$M13),"")</f>
        <v>91.273608665200001</v>
      </c>
      <c r="O13" s="8">
        <f>IFERROR(IF(ISBLANK([2]NLFsmonkeyCompl!Q14),"",[2]NLFsmonkeyCompl!Q14*$M13),"")</f>
        <v>91.273608665200001</v>
      </c>
      <c r="P13" s="8" t="str">
        <f>IFERROR(IF(ISBLANK([2]NLFsmonkeyCompl!R14),"",[2]NLFsmonkeyCompl!R14*$M13),"")</f>
        <v/>
      </c>
      <c r="Q13" s="8" t="str">
        <f>IFERROR(IF(ISBLANK([2]NLFsmonkeyCompl!S14),"",[2]NLFsmonkeyCompl!S14*$M13),"")</f>
        <v/>
      </c>
      <c r="R13" s="8" t="str">
        <f>IFERROR(IF(ISBLANK([2]NLFsmonkeyCompl!T14),"",[2]NLFsmonkeyCompl!T14*$M13),"")</f>
        <v/>
      </c>
      <c r="S13" s="8" t="str">
        <f>IFERROR(IF(ISBLANK([2]NLFsmonkeyCompl!U14),"",[2]NLFsmonkeyCompl!U14*$M13),"")</f>
        <v/>
      </c>
      <c r="T13" s="8" t="str">
        <f>IFERROR(IF(ISBLANK([2]NLFsmonkeyCompl!V14),"",[2]NLFsmonkeyCompl!V14*$M13),"")</f>
        <v/>
      </c>
      <c r="U13" s="8" t="str">
        <f>IFERROR(IF(ISBLANK([2]NLFsmonkeyCompl!W14),"",[2]NLFsmonkeyCompl!W14*$M13),"")</f>
        <v/>
      </c>
      <c r="V13" s="8" t="str">
        <f>IFERROR(IF(ISBLANK([2]NLFsmonkeyCompl!X14),"",[2]NLFsmonkeyCompl!X14*$M13),"")</f>
        <v/>
      </c>
      <c r="W13" s="8">
        <f>IFERROR(IF(ISBLANK([2]NLFsmonkeyCompl!Y14),"",[2]NLFsmonkeyCompl!Y14*$M13),"")</f>
        <v>91.273608665200001</v>
      </c>
      <c r="X13" s="8" t="str">
        <f>IFERROR(IF(ISBLANK([2]NLFsmonkeyCompl!Z14),"",[2]NLFsmonkeyCompl!Z14*$M13),"")</f>
        <v/>
      </c>
      <c r="Y13" s="8" t="str">
        <f>IFERROR(IF(ISBLANK([2]NLFsmonkeyCompl!AA14),"",[2]NLFsmonkeyCompl!AA14*$M13),"")</f>
        <v/>
      </c>
      <c r="Z13" s="8" t="str">
        <f>IFERROR(IF(ISBLANK([2]NLFsmonkeyCompl!AB14),"",[2]NLFsmonkeyCompl!AB14*$M13),"")</f>
        <v/>
      </c>
      <c r="AA13" s="8" t="str">
        <f>IFERROR(IF(ISBLANK([2]NLFsmonkeyCompl!AC14),"",[2]NLFsmonkeyCompl!AC14*$M13),"")</f>
        <v/>
      </c>
      <c r="AB13" s="8" t="str">
        <f>IFERROR(IF(ISBLANK([2]NLFsmonkeyCompl!AD14),"",[2]NLFsmonkeyCompl!AD14),"")</f>
        <v/>
      </c>
      <c r="AC13" s="8" t="str">
        <f>IFERROR(IF(ISBLANK([2]NLFsmonkeyCompl!AE14),"",[2]NLFsmonkeyCompl!AE14),"")</f>
        <v/>
      </c>
      <c r="AD13" s="8">
        <f>IFERROR(IF(ISBLANK([2]NLFsmonkeyCompl!AF14),"",[2]NLFsmonkeyCompl!AF14),"")</f>
        <v>100</v>
      </c>
      <c r="AE13" s="8" t="str">
        <f>IFERROR(IF(ISBLANK([2]NLFsmonkeyCompl!AG14),"",[2]NLFsmonkeyCompl!AG14),"")</f>
        <v/>
      </c>
      <c r="AF13" s="8" t="str">
        <f>IFERROR(IF(ISBLANK([2]NLFsmonkeyCompl!AH14),"",[2]NLFsmonkeyCompl!AH14),"")</f>
        <v>Increase</v>
      </c>
      <c r="AG13" s="8" t="str">
        <f>IFERROR(IF(ISBLANK([2]NLFsmonkeyCompl!AI14),"",[2]NLFsmonkeyCompl!AI14),"")</f>
        <v>Yes</v>
      </c>
      <c r="AH13">
        <f>IFERROR(INDEX([2]VehiclesUniverse!$B$2:$EU$700,MATCH($C13,[2]VehiclesUniverse!$A$2:$A$700,0),MATCH($AH$1,[2]VehiclesUniverse!$B$1:$EU$1,0)),"")</f>
        <v>193179268.67478561</v>
      </c>
    </row>
    <row r="14" spans="1:34" x14ac:dyDescent="0.2">
      <c r="A14" s="5" t="str">
        <f>IF(OR(ISTEXT([2]NLFsmonkeyCompl!J15),ISNUMBER([2]NLFsmonkeyCompl!J15)),[2]NLFsmonkeyCompl!J15,"")</f>
        <v>CBRE GI</v>
      </c>
      <c r="B14" s="6" t="str">
        <f>IF(OR(ISTEXT([2]NLFsmonkeyCompl!K15),ISNUMBER([2]NLFsmonkeyCompl!K15)),[2]NLFsmonkeyCompl!K15,"")</f>
        <v>Caledon Global Infrastructure Fund (CGIF)</v>
      </c>
      <c r="C14" s="6" t="s">
        <v>44</v>
      </c>
      <c r="D14" s="6" t="str">
        <f>IFERROR(INDEX([2]VehiclesUniverse!$B$2:$EU$700,MATCH(C14,[2]VehiclesUniverse!$A$2:$A$700,0),MATCH($D$1,[2]VehiclesUniverse!$B$1:$EU$1,0)),"")</f>
        <v/>
      </c>
      <c r="E14" s="6" t="str">
        <f>IFERROR(INDEX([2]VehiclesUniverse!$B$2:$EU$700,MATCH(C14,[2]VehiclesUniverse!$A$2:$A$700,0),MATCH($E$1,[2]VehiclesUniverse!$B$1:$EU$1,0)),"")</f>
        <v/>
      </c>
      <c r="F14" s="6" t="str">
        <f>IF(IFERROR(INDEX([2]VehiclesUniverse!$B$2:$EU$700,MATCH($C14,[2]VehiclesUniverse!$A$2:$A$700,0),MATCH($F$1,[2]VehiclesUniverse!$B$1:$EU$1,0)),"")&lt;&gt;0,(IFERROR(INDEX([2]VehiclesUniverse!$B$2:$EU$700,MATCH($C14,[2]VehiclesUniverse!$A$2:$A$700,0),MATCH($F$1,[2]VehiclesUniverse!$B$1:$EU$1,0)),"")),"")</f>
        <v/>
      </c>
      <c r="G14" s="6"/>
      <c r="H14" s="6" t="str">
        <f>IFERROR(INDEX([2]VehiclesUniverse!$B$2:$EU$700,MATCH(C14,[2]VehiclesUniverse!$A$2:$A$700,0),MATCH($H$1,[2]VehiclesUniverse!$B$1:$EU$1,0)),"")</f>
        <v/>
      </c>
      <c r="I14" s="6" t="str">
        <f>IF(ISBLANK([2]NLFsmonkeyCompl!M15),"",[2]NLFsmonkeyCompl!M15)</f>
        <v>Yes</v>
      </c>
      <c r="J14" s="6" t="str">
        <f>IF(ISBLANK([2]NLFsmonkeyCompl!N15),"",[2]NLFsmonkeyCompl!N15)</f>
        <v/>
      </c>
      <c r="K14" s="6" t="str">
        <f>IF(ISBLANK([2]NLFsmonkeyCompl!O15),"",[2]NLFsmonkeyCompl!O15)</f>
        <v/>
      </c>
      <c r="L14" s="6" t="str">
        <f>IFERROR(INDEX([2]VehiclesUniverse!$B$2:$EU$700,MATCH(C14,[2]VehiclesUniverse!$A$2:$A$700,0),MATCH($L$1,[2]VehiclesUniverse!$B$1:$EU$1,0)),"")</f>
        <v/>
      </c>
      <c r="M14" s="16" t="str">
        <f>IFERROR(VLOOKUP(L14,'[2]Xrate31.12.20'!$K$2:$N$25,3,0),"")</f>
        <v/>
      </c>
      <c r="N14" s="8" t="str">
        <f>IFERROR(IF(ISBLANK([2]NLFsmonkeyCompl!P15),"",[2]NLFsmonkeyCompl!P15*$M14),"")</f>
        <v/>
      </c>
      <c r="O14" s="8" t="str">
        <f>IFERROR(IF(ISBLANK([2]NLFsmonkeyCompl!Q15),"",[2]NLFsmonkeyCompl!Q15*$M14),"")</f>
        <v/>
      </c>
      <c r="P14" s="8" t="str">
        <f>IFERROR(IF(ISBLANK([2]NLFsmonkeyCompl!R15),"",[2]NLFsmonkeyCompl!R15*$M14),"")</f>
        <v/>
      </c>
      <c r="Q14" s="8" t="str">
        <f>IFERROR(IF(ISBLANK([2]NLFsmonkeyCompl!S15),"",[2]NLFsmonkeyCompl!S15*$M14),"")</f>
        <v/>
      </c>
      <c r="R14" s="8" t="str">
        <f>IFERROR(IF(ISBLANK([2]NLFsmonkeyCompl!T15),"",[2]NLFsmonkeyCompl!T15*$M14),"")</f>
        <v/>
      </c>
      <c r="S14" s="8" t="str">
        <f>IFERROR(IF(ISBLANK([2]NLFsmonkeyCompl!U15),"",[2]NLFsmonkeyCompl!U15*$M14),"")</f>
        <v/>
      </c>
      <c r="T14" s="8" t="str">
        <f>IFERROR(IF(ISBLANK([2]NLFsmonkeyCompl!V15),"",[2]NLFsmonkeyCompl!V15*$M14),"")</f>
        <v/>
      </c>
      <c r="U14" s="8" t="str">
        <f>IFERROR(IF(ISBLANK([2]NLFsmonkeyCompl!W15),"",[2]NLFsmonkeyCompl!W15*$M14),"")</f>
        <v/>
      </c>
      <c r="V14" s="8" t="str">
        <f>IFERROR(IF(ISBLANK([2]NLFsmonkeyCompl!X15),"",[2]NLFsmonkeyCompl!X15*$M14),"")</f>
        <v/>
      </c>
      <c r="W14" s="8" t="str">
        <f>IFERROR(IF(ISBLANK([2]NLFsmonkeyCompl!Y15),"",[2]NLFsmonkeyCompl!Y15*$M14),"")</f>
        <v/>
      </c>
      <c r="X14" s="8" t="str">
        <f>IFERROR(IF(ISBLANK([2]NLFsmonkeyCompl!Z15),"",[2]NLFsmonkeyCompl!Z15*$M14),"")</f>
        <v/>
      </c>
      <c r="Y14" s="8" t="str">
        <f>IFERROR(IF(ISBLANK([2]NLFsmonkeyCompl!AA15),"",[2]NLFsmonkeyCompl!AA15*$M14),"")</f>
        <v/>
      </c>
      <c r="Z14" s="8" t="str">
        <f>IFERROR(IF(ISBLANK([2]NLFsmonkeyCompl!AB15),"",[2]NLFsmonkeyCompl!AB15*$M14),"")</f>
        <v/>
      </c>
      <c r="AA14" s="8" t="str">
        <f>IFERROR(IF(ISBLANK([2]NLFsmonkeyCompl!AC15),"",[2]NLFsmonkeyCompl!AC15*$M14),"")</f>
        <v/>
      </c>
      <c r="AB14" s="8" t="str">
        <f>IFERROR(IF(ISBLANK([2]NLFsmonkeyCompl!AD15),"",[2]NLFsmonkeyCompl!AD15),"")</f>
        <v/>
      </c>
      <c r="AC14" s="8" t="str">
        <f>IFERROR(IF(ISBLANK([2]NLFsmonkeyCompl!AE15),"",[2]NLFsmonkeyCompl!AE15),"")</f>
        <v/>
      </c>
      <c r="AD14" s="8">
        <f>IFERROR(IF(ISBLANK([2]NLFsmonkeyCompl!AF15),"",[2]NLFsmonkeyCompl!AF15),"")</f>
        <v>100</v>
      </c>
      <c r="AE14" s="8" t="str">
        <f>IFERROR(IF(ISBLANK([2]NLFsmonkeyCompl!AG15),"",[2]NLFsmonkeyCompl!AG15),"")</f>
        <v/>
      </c>
      <c r="AF14" s="8" t="str">
        <f>IFERROR(IF(ISBLANK([2]NLFsmonkeyCompl!AH15),"",[2]NLFsmonkeyCompl!AH15),"")</f>
        <v>Increase</v>
      </c>
      <c r="AG14" s="8" t="str">
        <f>IFERROR(IF(ISBLANK([2]NLFsmonkeyCompl!AI15),"",[2]NLFsmonkeyCompl!AI15),"")</f>
        <v>Yes</v>
      </c>
      <c r="AH14" t="str">
        <f>IFERROR(INDEX([2]VehiclesUniverse!$B$2:$EU$700,MATCH($C14,[2]VehiclesUniverse!$A$2:$A$700,0),MATCH($AH$1,[2]VehiclesUniverse!$B$1:$EU$1,0)),"")</f>
        <v/>
      </c>
    </row>
    <row r="15" spans="1:34" x14ac:dyDescent="0.2">
      <c r="A15" s="5" t="str">
        <f>IF(OR(ISTEXT([2]NLFsmonkeyCompl!J16),ISNUMBER([2]NLFsmonkeyCompl!J16)),[2]NLFsmonkeyCompl!J16,"")</f>
        <v>DWS Alternatives GmbH</v>
      </c>
      <c r="B15" s="6" t="str">
        <f>IF(OR(ISTEXT([2]NLFsmonkeyCompl!K16),ISNUMBER([2]NLFsmonkeyCompl!K16)),[2]NLFsmonkeyCompl!K16,"")</f>
        <v>Transatlantik fonds</v>
      </c>
      <c r="C15" s="6">
        <v>17785</v>
      </c>
      <c r="D15" s="7" t="s">
        <v>45</v>
      </c>
      <c r="E15" s="7" t="s">
        <v>46</v>
      </c>
      <c r="F15" s="7" t="str">
        <f>IF(IFERROR(INDEX([2]VehiclesUniverse!$B$2:$EU$700,MATCH($C15,[2]VehiclesUniverse!$A$2:$A$700,0),MATCH($F$1,[2]VehiclesUniverse!$B$1:$EU$1,0)),"")&lt;&gt;0,(IFERROR(INDEX([2]VehiclesUniverse!$B$2:$EU$700,MATCH($C15,[2]VehiclesUniverse!$A$2:$A$700,0),MATCH($F$1,[2]VehiclesUniverse!$B$1:$EU$1,0)),"")),"")</f>
        <v/>
      </c>
      <c r="G15" s="7" t="str">
        <f>IF(ISBLANK([2]NLFsmonkeyCompl!L16),"",[2]NLFsmonkeyCompl!L16)</f>
        <v>Open end</v>
      </c>
      <c r="H15" s="7">
        <v>2015</v>
      </c>
      <c r="I15" s="7" t="str">
        <f>IF(ISBLANK([2]NLFsmonkeyCompl!M16),"",[2]NLFsmonkeyCompl!M16)</f>
        <v>Yes</v>
      </c>
      <c r="J15" s="7" t="str">
        <f>IF(ISBLANK([2]NLFsmonkeyCompl!N16),"",[2]NLFsmonkeyCompl!N16)</f>
        <v/>
      </c>
      <c r="K15" s="7" t="str">
        <f>IF(ISBLANK([2]NLFsmonkeyCompl!O16),"",[2]NLFsmonkeyCompl!O16)</f>
        <v/>
      </c>
      <c r="L15" s="6" t="str">
        <f>IFERROR(INDEX([2]VehiclesUniverse!$B$2:$EU$700,MATCH(C15,[2]VehiclesUniverse!$A$2:$A$700,0),MATCH($L$1,[2]VehiclesUniverse!$B$1:$EU$1,0)),"")</f>
        <v/>
      </c>
      <c r="M15" s="16" t="str">
        <f>IFERROR(VLOOKUP(L15,'[2]Xrate31.12.20'!$K$2:$N$25,3,0),"")</f>
        <v/>
      </c>
      <c r="N15" s="8" t="str">
        <f>IFERROR(IF(ISBLANK([2]NLFsmonkeyCompl!P16),"",[2]NLFsmonkeyCompl!P16*$M15),"")</f>
        <v/>
      </c>
      <c r="O15" s="8" t="str">
        <f>IFERROR(IF(ISBLANK([2]NLFsmonkeyCompl!Q16),"",[2]NLFsmonkeyCompl!Q16*$M15),"")</f>
        <v/>
      </c>
      <c r="P15" s="8" t="str">
        <f>IFERROR(IF(ISBLANK([2]NLFsmonkeyCompl!R16),"",[2]NLFsmonkeyCompl!R16*$M15),"")</f>
        <v/>
      </c>
      <c r="Q15" s="8" t="str">
        <f>IFERROR(IF(ISBLANK([2]NLFsmonkeyCompl!S16),"",[2]NLFsmonkeyCompl!S16*$M15),"")</f>
        <v/>
      </c>
      <c r="R15" s="8" t="str">
        <f>IFERROR(IF(ISBLANK([2]NLFsmonkeyCompl!T16),"",[2]NLFsmonkeyCompl!T16*$M15),"")</f>
        <v/>
      </c>
      <c r="S15" s="8" t="str">
        <f>IFERROR(IF(ISBLANK([2]NLFsmonkeyCompl!U16),"",[2]NLFsmonkeyCompl!U16*$M15),"")</f>
        <v/>
      </c>
      <c r="T15" s="8" t="str">
        <f>IFERROR(IF(ISBLANK([2]NLFsmonkeyCompl!V16),"",[2]NLFsmonkeyCompl!V16*$M15),"")</f>
        <v/>
      </c>
      <c r="U15" s="8" t="str">
        <f>IFERROR(IF(ISBLANK([2]NLFsmonkeyCompl!W16),"",[2]NLFsmonkeyCompl!W16*$M15),"")</f>
        <v/>
      </c>
      <c r="V15" s="8" t="str">
        <f>IFERROR(IF(ISBLANK([2]NLFsmonkeyCompl!X16),"",[2]NLFsmonkeyCompl!X16*$M15),"")</f>
        <v/>
      </c>
      <c r="W15" s="8" t="str">
        <f>IFERROR(IF(ISBLANK([2]NLFsmonkeyCompl!Y16),"",[2]NLFsmonkeyCompl!Y16*$M15),"")</f>
        <v/>
      </c>
      <c r="X15" s="8" t="str">
        <f>IFERROR(IF(ISBLANK([2]NLFsmonkeyCompl!Z16),"",[2]NLFsmonkeyCompl!Z16*$M15),"")</f>
        <v/>
      </c>
      <c r="Y15" s="8" t="str">
        <f>IFERROR(IF(ISBLANK([2]NLFsmonkeyCompl!AA16),"",[2]NLFsmonkeyCompl!AA16*$M15),"")</f>
        <v/>
      </c>
      <c r="Z15" s="8" t="str">
        <f>IFERROR(IF(ISBLANK([2]NLFsmonkeyCompl!AB16),"",[2]NLFsmonkeyCompl!AB16*$M15),"")</f>
        <v/>
      </c>
      <c r="AA15" s="8" t="str">
        <f>IFERROR(IF(ISBLANK([2]NLFsmonkeyCompl!AC16),"",[2]NLFsmonkeyCompl!AC16*$M15),"")</f>
        <v/>
      </c>
      <c r="AB15" s="8" t="str">
        <f>IFERROR(IF(ISBLANK([2]NLFsmonkeyCompl!AD16),"",[2]NLFsmonkeyCompl!AD16),"")</f>
        <v/>
      </c>
      <c r="AC15" s="8" t="str">
        <f>IFERROR(IF(ISBLANK([2]NLFsmonkeyCompl!AE16),"",[2]NLFsmonkeyCompl!AE16),"")</f>
        <v/>
      </c>
      <c r="AD15" s="8">
        <f>IFERROR(IF(ISBLANK([2]NLFsmonkeyCompl!AF16),"",[2]NLFsmonkeyCompl!AF16),"")</f>
        <v>100</v>
      </c>
      <c r="AE15" s="8" t="str">
        <f>IFERROR(IF(ISBLANK([2]NLFsmonkeyCompl!AG16),"",[2]NLFsmonkeyCompl!AG16),"")</f>
        <v/>
      </c>
      <c r="AF15" s="8" t="str">
        <f>IFERROR(IF(ISBLANK([2]NLFsmonkeyCompl!AH16),"",[2]NLFsmonkeyCompl!AH16),"")</f>
        <v>Increase</v>
      </c>
      <c r="AG15" s="8" t="str">
        <f>IFERROR(IF(ISBLANK([2]NLFsmonkeyCompl!AI16),"",[2]NLFsmonkeyCompl!AI16),"")</f>
        <v>No</v>
      </c>
      <c r="AH15" t="str">
        <f>IFERROR(INDEX([2]VehiclesUniverse!$B$2:$EU$700,MATCH($C15,[2]VehiclesUniverse!$A$2:$A$700,0),MATCH($AH$1,[2]VehiclesUniverse!$B$1:$EU$1,0)),"")</f>
        <v/>
      </c>
    </row>
    <row r="16" spans="1:34" x14ac:dyDescent="0.2">
      <c r="A16" s="5" t="str">
        <f>IF(OR(ISTEXT([2]NLFsmonkeyCompl!J17),ISNUMBER([2]NLFsmonkeyCompl!J17)),[2]NLFsmonkeyCompl!J17,"")</f>
        <v>Invesco Real Estate</v>
      </c>
      <c r="B16" s="6" t="str">
        <f>IF(OR(ISTEXT([2]NLFsmonkeyCompl!K17),ISNUMBER([2]NLFsmonkeyCompl!K17)),[2]NLFsmonkeyCompl!K17,"")</f>
        <v>Invesco Real Estate - European Value-Add Fund II</v>
      </c>
      <c r="C16" s="6">
        <v>19583</v>
      </c>
      <c r="D16" s="7" t="s">
        <v>47</v>
      </c>
      <c r="E16" s="7" t="s">
        <v>46</v>
      </c>
      <c r="F16" s="7" t="str">
        <f>IF(IFERROR(INDEX([2]VehiclesUniverse!$B$2:$EU$700,MATCH($C16,[2]VehiclesUniverse!$A$2:$A$700,0),MATCH($F$1,[2]VehiclesUniverse!$B$1:$EU$1,0)),"")&lt;&gt;0,(IFERROR(INDEX([2]VehiclesUniverse!$B$2:$EU$700,MATCH($C16,[2]VehiclesUniverse!$A$2:$A$700,0),MATCH($F$1,[2]VehiclesUniverse!$B$1:$EU$1,0)),"")),"")</f>
        <v/>
      </c>
      <c r="G16" s="7" t="str">
        <f>IF(ISBLANK([2]NLFsmonkeyCompl!L17),"",[2]NLFsmonkeyCompl!L17)</f>
        <v>Closed end</v>
      </c>
      <c r="H16" s="7">
        <v>2019</v>
      </c>
      <c r="I16" s="7" t="str">
        <f>IF(ISBLANK([2]NLFsmonkeyCompl!M17),"",[2]NLFsmonkeyCompl!M17)</f>
        <v>Yes</v>
      </c>
      <c r="J16" s="7" t="str">
        <f>IF(ISBLANK([2]NLFsmonkeyCompl!N17),"",[2]NLFsmonkeyCompl!N17)</f>
        <v/>
      </c>
      <c r="K16" s="7" t="str">
        <f>IF(ISBLANK([2]NLFsmonkeyCompl!O17),"",[2]NLFsmonkeyCompl!O17)</f>
        <v/>
      </c>
      <c r="L16" s="6" t="str">
        <f>IFERROR(INDEX([2]VehiclesUniverse!$B$2:$EU$700,MATCH(C16,[2]VehiclesUniverse!$A$2:$A$700,0),MATCH($L$1,[2]VehiclesUniverse!$B$1:$EU$1,0)),"")</f>
        <v/>
      </c>
      <c r="M16" s="16" t="str">
        <f>IFERROR(VLOOKUP(L16,'[2]Xrate31.12.20'!$K$2:$N$25,3,0),"")</f>
        <v/>
      </c>
      <c r="N16" s="8" t="str">
        <f>IFERROR(IF(ISBLANK([2]NLFsmonkeyCompl!P17),"",[2]NLFsmonkeyCompl!P17*$M16),"")</f>
        <v/>
      </c>
      <c r="O16" s="8" t="str">
        <f>IFERROR(IF(ISBLANK([2]NLFsmonkeyCompl!Q17),"",[2]NLFsmonkeyCompl!Q17*$M16),"")</f>
        <v/>
      </c>
      <c r="P16" s="8" t="str">
        <f>IFERROR(IF(ISBLANK([2]NLFsmonkeyCompl!R17),"",[2]NLFsmonkeyCompl!R17*$M16),"")</f>
        <v/>
      </c>
      <c r="Q16" s="8" t="str">
        <f>IFERROR(IF(ISBLANK([2]NLFsmonkeyCompl!S17),"",[2]NLFsmonkeyCompl!S17*$M16),"")</f>
        <v/>
      </c>
      <c r="R16" s="8" t="str">
        <f>IFERROR(IF(ISBLANK([2]NLFsmonkeyCompl!T17),"",[2]NLFsmonkeyCompl!T17*$M16),"")</f>
        <v/>
      </c>
      <c r="S16" s="8" t="str">
        <f>IFERROR(IF(ISBLANK([2]NLFsmonkeyCompl!U17),"",[2]NLFsmonkeyCompl!U17*$M16),"")</f>
        <v/>
      </c>
      <c r="T16" s="8" t="str">
        <f>IFERROR(IF(ISBLANK([2]NLFsmonkeyCompl!V17),"",[2]NLFsmonkeyCompl!V17*$M16),"")</f>
        <v/>
      </c>
      <c r="U16" s="8" t="str">
        <f>IFERROR(IF(ISBLANK([2]NLFsmonkeyCompl!W17),"",[2]NLFsmonkeyCompl!W17*$M16),"")</f>
        <v/>
      </c>
      <c r="V16" s="8" t="str">
        <f>IFERROR(IF(ISBLANK([2]NLFsmonkeyCompl!X17),"",[2]NLFsmonkeyCompl!X17*$M16),"")</f>
        <v/>
      </c>
      <c r="W16" s="8" t="str">
        <f>IFERROR(IF(ISBLANK([2]NLFsmonkeyCompl!Y17),"",[2]NLFsmonkeyCompl!Y17*$M16),"")</f>
        <v/>
      </c>
      <c r="X16" s="8" t="str">
        <f>IFERROR(IF(ISBLANK([2]NLFsmonkeyCompl!Z17),"",[2]NLFsmonkeyCompl!Z17*$M16),"")</f>
        <v/>
      </c>
      <c r="Y16" s="8" t="str">
        <f>IFERROR(IF(ISBLANK([2]NLFsmonkeyCompl!AA17),"",[2]NLFsmonkeyCompl!AA17*$M16),"")</f>
        <v/>
      </c>
      <c r="Z16" s="8" t="str">
        <f>IFERROR(IF(ISBLANK([2]NLFsmonkeyCompl!AB17),"",[2]NLFsmonkeyCompl!AB17*$M16),"")</f>
        <v/>
      </c>
      <c r="AA16" s="8" t="str">
        <f>IFERROR(IF(ISBLANK([2]NLFsmonkeyCompl!AC17),"",[2]NLFsmonkeyCompl!AC17*$M16),"")</f>
        <v/>
      </c>
      <c r="AB16" s="8" t="str">
        <f>IFERROR(IF(ISBLANK([2]NLFsmonkeyCompl!AD17),"",[2]NLFsmonkeyCompl!AD17),"")</f>
        <v/>
      </c>
      <c r="AC16" s="8" t="str">
        <f>IFERROR(IF(ISBLANK([2]NLFsmonkeyCompl!AE17),"",[2]NLFsmonkeyCompl!AE17),"")</f>
        <v/>
      </c>
      <c r="AD16" s="8">
        <f>IFERROR(IF(ISBLANK([2]NLFsmonkeyCompl!AF17),"",[2]NLFsmonkeyCompl!AF17),"")</f>
        <v>100</v>
      </c>
      <c r="AE16" s="8" t="str">
        <f>IFERROR(IF(ISBLANK([2]NLFsmonkeyCompl!AG17),"",[2]NLFsmonkeyCompl!AG17),"")</f>
        <v/>
      </c>
      <c r="AF16" s="8" t="str">
        <f>IFERROR(IF(ISBLANK([2]NLFsmonkeyCompl!AH17),"",[2]NLFsmonkeyCompl!AH17),"")</f>
        <v>No change</v>
      </c>
      <c r="AG16" s="8" t="str">
        <f>IFERROR(IF(ISBLANK([2]NLFsmonkeyCompl!AI17),"",[2]NLFsmonkeyCompl!AI17),"")</f>
        <v>Yes</v>
      </c>
      <c r="AH16" t="str">
        <f>IFERROR(INDEX([2]VehiclesUniverse!$B$2:$EU$700,MATCH($C16,[2]VehiclesUniverse!$A$2:$A$700,0),MATCH($AH$1,[2]VehiclesUniverse!$B$1:$EU$1,0)),"")</f>
        <v/>
      </c>
    </row>
    <row r="17" spans="1:34" x14ac:dyDescent="0.2">
      <c r="A17" s="5" t="str">
        <f>IF(OR(ISTEXT([2]NLFsmonkeyCompl!J18),ISNUMBER([2]NLFsmonkeyCompl!J18)),[2]NLFsmonkeyCompl!J18,"")</f>
        <v>Hearthstone Investment Management Ltd</v>
      </c>
      <c r="B17" s="6" t="str">
        <f>IF(OR(ISTEXT([2]NLFsmonkeyCompl!K18),ISNUMBER([2]NLFsmonkeyCompl!K18)),[2]NLFsmonkeyCompl!K18,"")</f>
        <v>Hearthstone Residential Fund 2</v>
      </c>
      <c r="C17" s="6">
        <v>19618</v>
      </c>
      <c r="D17" s="6" t="str">
        <f>IFERROR(INDEX([2]VehiclesUniverse!$B$2:$EU$700,MATCH(C17,[2]VehiclesUniverse!$A$2:$A$700,0),MATCH($D$1,[2]VehiclesUniverse!$B$1:$EU$1,0)),"")</f>
        <v>Core</v>
      </c>
      <c r="E17" s="6" t="str">
        <f>IFERROR(INDEX([2]VehiclesUniverse!$B$2:$EU$700,MATCH(C17,[2]VehiclesUniverse!$A$2:$A$700,0),MATCH($E$1,[2]VehiclesUniverse!$B$1:$EU$1,0)),"")</f>
        <v>single country</v>
      </c>
      <c r="F17" s="6" t="str">
        <f>IF(IFERROR(INDEX([2]VehiclesUniverse!$B$2:$EU$700,MATCH($C17,[2]VehiclesUniverse!$A$2:$A$700,0),MATCH($F$1,[2]VehiclesUniverse!$B$1:$EU$1,0)),"")&lt;&gt;0,(IFERROR(INDEX([2]VehiclesUniverse!$B$2:$EU$700,MATCH($C17,[2]VehiclesUniverse!$A$2:$A$700,0),MATCH($F$1,[2]VehiclesUniverse!$B$1:$EU$1,0)),"")),"")</f>
        <v>United Kingdom</v>
      </c>
      <c r="G17" s="6" t="str">
        <f>IF(ISBLANK([2]NLFsmonkeyCompl!L18),"",[2]NLFsmonkeyCompl!L18)</f>
        <v>Closed end</v>
      </c>
      <c r="H17" s="6">
        <f>IFERROR(INDEX([2]VehiclesUniverse!$B$2:$EU$700,MATCH(C17,[2]VehiclesUniverse!$A$2:$A$700,0),MATCH($H$1,[2]VehiclesUniverse!$B$1:$EU$1,0)),"")</f>
        <v>2020</v>
      </c>
      <c r="I17" s="6" t="str">
        <f>IF(ISBLANK([2]NLFsmonkeyCompl!M18),"",[2]NLFsmonkeyCompl!M18)</f>
        <v>Yes</v>
      </c>
      <c r="J17" s="6" t="str">
        <f>IF(ISBLANK([2]NLFsmonkeyCompl!N18),"",[2]NLFsmonkeyCompl!N18)</f>
        <v/>
      </c>
      <c r="K17" s="6" t="str">
        <f>IF(ISBLANK([2]NLFsmonkeyCompl!O18),"",[2]NLFsmonkeyCompl!O18)</f>
        <v/>
      </c>
      <c r="L17" s="6" t="str">
        <f>IFERROR(INDEX([2]VehiclesUniverse!$B$2:$EU$700,MATCH(C17,[2]VehiclesUniverse!$A$2:$A$700,0),MATCH($L$1,[2]VehiclesUniverse!$B$1:$EU$1,0)),"")</f>
        <v>GBP</v>
      </c>
      <c r="M17" s="16">
        <f>IFERROR(VLOOKUP(L17,'[2]Xrate31.12.20'!$K$2:$N$25,3,0),"")</f>
        <v>1.1130927885999999</v>
      </c>
      <c r="N17" s="8">
        <f>IFERROR(IF(ISBLANK([2]NLFsmonkeyCompl!P18),"",[2]NLFsmonkeyCompl!P18*$M17),"")</f>
        <v>107.97000049419999</v>
      </c>
      <c r="O17" s="8">
        <f>IFERROR(IF(ISBLANK([2]NLFsmonkeyCompl!Q18),"",[2]NLFsmonkeyCompl!Q18*$M17),"")</f>
        <v>107.97000049419999</v>
      </c>
      <c r="P17" s="8" t="str">
        <f>IFERROR(IF(ISBLANK([2]NLFsmonkeyCompl!R18),"",[2]NLFsmonkeyCompl!R18*$M17),"")</f>
        <v/>
      </c>
      <c r="Q17" s="8" t="str">
        <f>IFERROR(IF(ISBLANK([2]NLFsmonkeyCompl!S18),"",[2]NLFsmonkeyCompl!S18*$M17),"")</f>
        <v/>
      </c>
      <c r="R17" s="8" t="str">
        <f>IFERROR(IF(ISBLANK([2]NLFsmonkeyCompl!T18),"",[2]NLFsmonkeyCompl!T18*$M17),"")</f>
        <v/>
      </c>
      <c r="S17" s="8" t="str">
        <f>IFERROR(IF(ISBLANK([2]NLFsmonkeyCompl!U18),"",[2]NLFsmonkeyCompl!U18*$M17),"")</f>
        <v/>
      </c>
      <c r="T17" s="8" t="str">
        <f>IFERROR(IF(ISBLANK([2]NLFsmonkeyCompl!V18),"",[2]NLFsmonkeyCompl!V18*$M17),"")</f>
        <v/>
      </c>
      <c r="U17" s="8" t="str">
        <f>IFERROR(IF(ISBLANK([2]NLFsmonkeyCompl!W18),"",[2]NLFsmonkeyCompl!W18*$M17),"")</f>
        <v/>
      </c>
      <c r="V17" s="8" t="str">
        <f>IFERROR(IF(ISBLANK([2]NLFsmonkeyCompl!X18),"",[2]NLFsmonkeyCompl!X18*$M17),"")</f>
        <v/>
      </c>
      <c r="W17" s="8">
        <f>IFERROR(IF(ISBLANK([2]NLFsmonkeyCompl!Y18),"",[2]NLFsmonkeyCompl!Y18*$M17),"")</f>
        <v>107.97000049419999</v>
      </c>
      <c r="X17" s="8" t="str">
        <f>IFERROR(IF(ISBLANK([2]NLFsmonkeyCompl!Z18),"",[2]NLFsmonkeyCompl!Z18*$M17),"")</f>
        <v/>
      </c>
      <c r="Y17" s="8" t="str">
        <f>IFERROR(IF(ISBLANK([2]NLFsmonkeyCompl!AA18),"",[2]NLFsmonkeyCompl!AA18*$M17),"")</f>
        <v/>
      </c>
      <c r="Z17" s="8" t="str">
        <f>IFERROR(IF(ISBLANK([2]NLFsmonkeyCompl!AB18),"",[2]NLFsmonkeyCompl!AB18*$M17),"")</f>
        <v/>
      </c>
      <c r="AA17" s="8" t="str">
        <f>IFERROR(IF(ISBLANK([2]NLFsmonkeyCompl!AC18),"",[2]NLFsmonkeyCompl!AC18*$M17),"")</f>
        <v/>
      </c>
      <c r="AB17" s="8" t="str">
        <f>IFERROR(IF(ISBLANK([2]NLFsmonkeyCompl!AD18),"",[2]NLFsmonkeyCompl!AD18),"")</f>
        <v/>
      </c>
      <c r="AC17" s="8" t="str">
        <f>IFERROR(IF(ISBLANK([2]NLFsmonkeyCompl!AE18),"",[2]NLFsmonkeyCompl!AE18),"")</f>
        <v/>
      </c>
      <c r="AD17" s="8">
        <f>IFERROR(IF(ISBLANK([2]NLFsmonkeyCompl!AF18),"",[2]NLFsmonkeyCompl!AF18),"")</f>
        <v>100</v>
      </c>
      <c r="AE17" s="8" t="str">
        <f>IFERROR(IF(ISBLANK([2]NLFsmonkeyCompl!AG18),"",[2]NLFsmonkeyCompl!AG18),"")</f>
        <v/>
      </c>
      <c r="AF17" s="8" t="str">
        <f>IFERROR(IF(ISBLANK([2]NLFsmonkeyCompl!AH18),"",[2]NLFsmonkeyCompl!AH18),"")</f>
        <v>Increase</v>
      </c>
      <c r="AG17" s="8" t="str">
        <f>IFERROR(IF(ISBLANK([2]NLFsmonkeyCompl!AI18),"",[2]NLFsmonkeyCompl!AI18),"")</f>
        <v>Yes</v>
      </c>
      <c r="AH17">
        <f>IFERROR(INDEX([2]VehiclesUniverse!$B$2:$EU$700,MATCH($C17,[2]VehiclesUniverse!$A$2:$A$700,0),MATCH($AH$1,[2]VehiclesUniverse!$B$1:$EU$1,0)),"")</f>
        <v>0</v>
      </c>
    </row>
    <row r="18" spans="1:34" x14ac:dyDescent="0.2">
      <c r="A18" s="5" t="str">
        <f>IF(OR(ISTEXT([2]NLFsmonkeyCompl!J19),ISNUMBER([2]NLFsmonkeyCompl!J19)),[2]NLFsmonkeyCompl!J19,"")</f>
        <v>Bouwinvest</v>
      </c>
      <c r="B18" s="18" t="str">
        <f>IF(OR(ISTEXT([2]NLFsmonkeyCompl!K19),ISNUMBER([2]NLFsmonkeyCompl!K19)),[2]NLFsmonkeyCompl!K19,"")</f>
        <v>Hotel Fund</v>
      </c>
      <c r="C18" s="6"/>
      <c r="D18" s="6" t="s">
        <v>45</v>
      </c>
      <c r="E18" s="6" t="s">
        <v>48</v>
      </c>
      <c r="F18" s="6" t="s">
        <v>49</v>
      </c>
      <c r="G18" s="6" t="str">
        <f>IF(ISBLANK([4]NLFsmonkeyCompl!L19),"",[4]NLFsmonkeyCompl!L19)</f>
        <v>Closed end</v>
      </c>
      <c r="H18" s="6">
        <v>2015</v>
      </c>
      <c r="I18" s="6" t="str">
        <f>IF(ISBLANK([2]NLFsmonkeyCompl!M19),"",[2]NLFsmonkeyCompl!M19)</f>
        <v>No</v>
      </c>
      <c r="J18" s="6" t="str">
        <f>IF(ISBLANK([2]NLFsmonkeyCompl!N19),"",[2]NLFsmonkeyCompl!N19)</f>
        <v>Other (please specify)</v>
      </c>
      <c r="K18" s="6" t="str">
        <f>IF(ISBLANK([2]NLFsmonkeyCompl!O19),"",[2]NLFsmonkeyCompl!O19)</f>
        <v>Because the fund is closed ended.</v>
      </c>
      <c r="L18" s="6" t="s">
        <v>11</v>
      </c>
      <c r="M18" s="16">
        <f>IFERROR(VLOOKUP(L18,'[2]Xrate31.12.20'!$K$2:$N$25,3,0),"")</f>
        <v>1</v>
      </c>
      <c r="N18" s="8" t="str">
        <f>IFERROR(IF(ISBLANK([2]NLFsmonkeyCompl!P19),"",[2]NLFsmonkeyCompl!P19*$M18),"")</f>
        <v/>
      </c>
      <c r="O18" s="8" t="str">
        <f>IFERROR(IF(ISBLANK([2]NLFsmonkeyCompl!Q19),"",[2]NLFsmonkeyCompl!Q19*$M18),"")</f>
        <v/>
      </c>
      <c r="P18" s="8" t="str">
        <f>IFERROR(IF(ISBLANK([2]NLFsmonkeyCompl!R19),"",[2]NLFsmonkeyCompl!R19*$M18),"")</f>
        <v/>
      </c>
      <c r="Q18" s="8" t="str">
        <f>IFERROR(IF(ISBLANK([2]NLFsmonkeyCompl!S19),"",[2]NLFsmonkeyCompl!S19*$M18),"")</f>
        <v/>
      </c>
      <c r="R18" s="8" t="str">
        <f>IFERROR(IF(ISBLANK([2]NLFsmonkeyCompl!T19),"",[2]NLFsmonkeyCompl!T19*$M18),"")</f>
        <v/>
      </c>
      <c r="S18" s="8" t="str">
        <f>IFERROR(IF(ISBLANK([2]NLFsmonkeyCompl!U19),"",[2]NLFsmonkeyCompl!U19*$M18),"")</f>
        <v/>
      </c>
      <c r="T18" s="8" t="str">
        <f>IFERROR(IF(ISBLANK([2]NLFsmonkeyCompl!V19),"",[2]NLFsmonkeyCompl!V19*$M18),"")</f>
        <v/>
      </c>
      <c r="U18" s="8" t="str">
        <f>IFERROR(IF(ISBLANK([2]NLFsmonkeyCompl!W19),"",[2]NLFsmonkeyCompl!W19*$M18),"")</f>
        <v/>
      </c>
      <c r="V18" s="8" t="str">
        <f>IFERROR(IF(ISBLANK([2]NLFsmonkeyCompl!X19),"",[2]NLFsmonkeyCompl!X19*$M18),"")</f>
        <v/>
      </c>
      <c r="W18" s="8" t="str">
        <f>IFERROR(IF(ISBLANK([2]NLFsmonkeyCompl!Y19),"",[2]NLFsmonkeyCompl!Y19*$M18),"")</f>
        <v/>
      </c>
      <c r="X18" s="8" t="str">
        <f>IFERROR(IF(ISBLANK([2]NLFsmonkeyCompl!Z19),"",[2]NLFsmonkeyCompl!Z19*$M18),"")</f>
        <v/>
      </c>
      <c r="Y18" s="8" t="str">
        <f>IFERROR(IF(ISBLANK([2]NLFsmonkeyCompl!AA19),"",[2]NLFsmonkeyCompl!AA19*$M18),"")</f>
        <v/>
      </c>
      <c r="Z18" s="8" t="str">
        <f>IFERROR(IF(ISBLANK([2]NLFsmonkeyCompl!AB19),"",[2]NLFsmonkeyCompl!AB19*$M18),"")</f>
        <v/>
      </c>
      <c r="AA18" s="8" t="str">
        <f>IFERROR(IF(ISBLANK([2]NLFsmonkeyCompl!AC19),"",[2]NLFsmonkeyCompl!AC19*$M18),"")</f>
        <v/>
      </c>
      <c r="AB18" s="8" t="str">
        <f>IFERROR(IF(ISBLANK([2]NLFsmonkeyCompl!AD19),"",[2]NLFsmonkeyCompl!AD19),"")</f>
        <v/>
      </c>
      <c r="AC18" s="8" t="str">
        <f>IFERROR(IF(ISBLANK([2]NLFsmonkeyCompl!AE19),"",[2]NLFsmonkeyCompl!AE19),"")</f>
        <v/>
      </c>
      <c r="AD18" s="8" t="str">
        <f>IFERROR(IF(ISBLANK([2]NLFsmonkeyCompl!AF19),"",[2]NLFsmonkeyCompl!AF19),"")</f>
        <v/>
      </c>
      <c r="AE18" s="8" t="str">
        <f>IFERROR(IF(ISBLANK([2]NLFsmonkeyCompl!AG19),"",[2]NLFsmonkeyCompl!AG19),"")</f>
        <v/>
      </c>
      <c r="AF18" s="8" t="str">
        <f>IFERROR(IF(ISBLANK([2]NLFsmonkeyCompl!AH19),"",[2]NLFsmonkeyCompl!AH19),"")</f>
        <v>Decrease</v>
      </c>
      <c r="AG18" s="8" t="str">
        <f>IFERROR(IF(ISBLANK([2]NLFsmonkeyCompl!AI19),"",[2]NLFsmonkeyCompl!AI19),"")</f>
        <v>Yes</v>
      </c>
      <c r="AH18" t="str">
        <f>IFERROR(INDEX([2]VehiclesUniverse!$B$2:$EU$700,MATCH($C18,[2]VehiclesUniverse!$A$2:$A$700,0),MATCH($AH$1,[2]VehiclesUniverse!$B$1:$EU$1,0)),"")</f>
        <v/>
      </c>
    </row>
    <row r="19" spans="1:34" x14ac:dyDescent="0.2">
      <c r="A19" s="5" t="str">
        <f>IF(OR(ISTEXT([2]NLFsmonkeyCompl!J20),ISNUMBER([2]NLFsmonkeyCompl!J20)),[2]NLFsmonkeyCompl!J20,"")</f>
        <v>Bouwinvest</v>
      </c>
      <c r="B19" s="18" t="str">
        <f>IF(OR(ISTEXT([2]NLFsmonkeyCompl!K20),ISNUMBER([2]NLFsmonkeyCompl!K20)),[2]NLFsmonkeyCompl!K20,"")</f>
        <v>Healthcare Fund</v>
      </c>
      <c r="C19" s="6"/>
      <c r="D19" s="6" t="s">
        <v>45</v>
      </c>
      <c r="E19" s="6" t="s">
        <v>48</v>
      </c>
      <c r="F19" s="6" t="s">
        <v>49</v>
      </c>
      <c r="G19" s="6" t="str">
        <f>IF(ISBLANK([4]NLFsmonkeyCompl!L20),"",[4]NLFsmonkeyCompl!L20)</f>
        <v>Closed end</v>
      </c>
      <c r="H19" s="6">
        <v>2014</v>
      </c>
      <c r="I19" s="6" t="str">
        <f>IF(ISBLANK([2]NLFsmonkeyCompl!M20),"",[2]NLFsmonkeyCompl!M20)</f>
        <v>No</v>
      </c>
      <c r="J19" s="6" t="str">
        <f>IF(ISBLANK([2]NLFsmonkeyCompl!N20),"",[2]NLFsmonkeyCompl!N20)</f>
        <v>Other (please specify)</v>
      </c>
      <c r="K19" s="6" t="str">
        <f>IF(ISBLANK([2]NLFsmonkeyCompl!O20),"",[2]NLFsmonkeyCompl!O20)</f>
        <v>Because the Fund is closed ended.</v>
      </c>
      <c r="L19" s="6" t="s">
        <v>11</v>
      </c>
      <c r="M19" s="16">
        <f>IFERROR(VLOOKUP(L19,'[2]Xrate31.12.20'!$K$2:$N$25,3,0),"")</f>
        <v>1</v>
      </c>
      <c r="N19" s="8" t="str">
        <f>IFERROR(IF(ISBLANK([2]NLFsmonkeyCompl!P20),"",[2]NLFsmonkeyCompl!P20*$M19),"")</f>
        <v/>
      </c>
      <c r="O19" s="8" t="str">
        <f>IFERROR(IF(ISBLANK([2]NLFsmonkeyCompl!Q20),"",[2]NLFsmonkeyCompl!Q20*$M19),"")</f>
        <v/>
      </c>
      <c r="P19" s="8" t="str">
        <f>IFERROR(IF(ISBLANK([2]NLFsmonkeyCompl!R20),"",[2]NLFsmonkeyCompl!R20*$M19),"")</f>
        <v/>
      </c>
      <c r="Q19" s="8" t="str">
        <f>IFERROR(IF(ISBLANK([2]NLFsmonkeyCompl!S20),"",[2]NLFsmonkeyCompl!S20*$M19),"")</f>
        <v/>
      </c>
      <c r="R19" s="8" t="str">
        <f>IFERROR(IF(ISBLANK([2]NLFsmonkeyCompl!T20),"",[2]NLFsmonkeyCompl!T20*$M19),"")</f>
        <v/>
      </c>
      <c r="S19" s="8" t="str">
        <f>IFERROR(IF(ISBLANK([2]NLFsmonkeyCompl!U20),"",[2]NLFsmonkeyCompl!U20*$M19),"")</f>
        <v/>
      </c>
      <c r="T19" s="8" t="str">
        <f>IFERROR(IF(ISBLANK([2]NLFsmonkeyCompl!V20),"",[2]NLFsmonkeyCompl!V20*$M19),"")</f>
        <v/>
      </c>
      <c r="U19" s="8" t="str">
        <f>IFERROR(IF(ISBLANK([2]NLFsmonkeyCompl!W20),"",[2]NLFsmonkeyCompl!W20*$M19),"")</f>
        <v/>
      </c>
      <c r="V19" s="8" t="str">
        <f>IFERROR(IF(ISBLANK([2]NLFsmonkeyCompl!X20),"",[2]NLFsmonkeyCompl!X20*$M19),"")</f>
        <v/>
      </c>
      <c r="W19" s="8" t="str">
        <f>IFERROR(IF(ISBLANK([2]NLFsmonkeyCompl!Y20),"",[2]NLFsmonkeyCompl!Y20*$M19),"")</f>
        <v/>
      </c>
      <c r="X19" s="8" t="str">
        <f>IFERROR(IF(ISBLANK([2]NLFsmonkeyCompl!Z20),"",[2]NLFsmonkeyCompl!Z20*$M19),"")</f>
        <v/>
      </c>
      <c r="Y19" s="8" t="str">
        <f>IFERROR(IF(ISBLANK([2]NLFsmonkeyCompl!AA20),"",[2]NLFsmonkeyCompl!AA20*$M19),"")</f>
        <v/>
      </c>
      <c r="Z19" s="8" t="str">
        <f>IFERROR(IF(ISBLANK([2]NLFsmonkeyCompl!AB20),"",[2]NLFsmonkeyCompl!AB20*$M19),"")</f>
        <v/>
      </c>
      <c r="AA19" s="8" t="str">
        <f>IFERROR(IF(ISBLANK([2]NLFsmonkeyCompl!AC20),"",[2]NLFsmonkeyCompl!AC20*$M19),"")</f>
        <v/>
      </c>
      <c r="AB19" s="8" t="str">
        <f>IFERROR(IF(ISBLANK([2]NLFsmonkeyCompl!AD20),"",[2]NLFsmonkeyCompl!AD20),"")</f>
        <v/>
      </c>
      <c r="AC19" s="8" t="str">
        <f>IFERROR(IF(ISBLANK([2]NLFsmonkeyCompl!AE20),"",[2]NLFsmonkeyCompl!AE20),"")</f>
        <v/>
      </c>
      <c r="AD19" s="8" t="str">
        <f>IFERROR(IF(ISBLANK([2]NLFsmonkeyCompl!AF20),"",[2]NLFsmonkeyCompl!AF20),"")</f>
        <v/>
      </c>
      <c r="AE19" s="8" t="str">
        <f>IFERROR(IF(ISBLANK([2]NLFsmonkeyCompl!AG20),"",[2]NLFsmonkeyCompl!AG20),"")</f>
        <v/>
      </c>
      <c r="AF19" s="8" t="str">
        <f>IFERROR(IF(ISBLANK([2]NLFsmonkeyCompl!AH20),"",[2]NLFsmonkeyCompl!AH20),"")</f>
        <v>Increase</v>
      </c>
      <c r="AG19" s="8" t="str">
        <f>IFERROR(IF(ISBLANK([2]NLFsmonkeyCompl!AI20),"",[2]NLFsmonkeyCompl!AI20),"")</f>
        <v>Yes</v>
      </c>
      <c r="AH19" t="str">
        <f>IFERROR(INDEX([2]VehiclesUniverse!$B$2:$EU$700,MATCH($C19,[2]VehiclesUniverse!$A$2:$A$700,0),MATCH($AH$1,[2]VehiclesUniverse!$B$1:$EU$1,0)),"")</f>
        <v/>
      </c>
    </row>
    <row r="20" spans="1:34" x14ac:dyDescent="0.2">
      <c r="A20" s="5" t="str">
        <f>IF(OR(ISTEXT([2]NLFsmonkeyCompl!J21),ISNUMBER([2]NLFsmonkeyCompl!J21)),[2]NLFsmonkeyCompl!J21,"")</f>
        <v>Bouwinvest</v>
      </c>
      <c r="B20" s="6" t="str">
        <f>IF(OR(ISTEXT([2]NLFsmonkeyCompl!K21),ISNUMBER([2]NLFsmonkeyCompl!K21)),[2]NLFsmonkeyCompl!K21,"")</f>
        <v>Office Fund</v>
      </c>
      <c r="C20" s="6">
        <v>590</v>
      </c>
      <c r="D20" s="6" t="str">
        <f>IFERROR(INDEX([2]VehiclesUniverse!$B$2:$EU$700,MATCH(C20,[2]VehiclesUniverse!$A$2:$A$700,0),MATCH($D$1,[2]VehiclesUniverse!$B$1:$EU$1,0)),"")</f>
        <v>Core</v>
      </c>
      <c r="E20" s="6" t="str">
        <f>IFERROR(INDEX([2]VehiclesUniverse!$B$2:$EU$700,MATCH(C20,[2]VehiclesUniverse!$A$2:$A$700,0),MATCH($E$1,[2]VehiclesUniverse!$B$1:$EU$1,0)),"")</f>
        <v>single country</v>
      </c>
      <c r="F20" s="6" t="str">
        <f>IF(IFERROR(INDEX([2]VehiclesUniverse!$B$2:$EU$700,MATCH($C20,[2]VehiclesUniverse!$A$2:$A$700,0),MATCH($F$1,[2]VehiclesUniverse!$B$1:$EU$1,0)),"")&lt;&gt;0,(IFERROR(INDEX([2]VehiclesUniverse!$B$2:$EU$700,MATCH($C20,[2]VehiclesUniverse!$A$2:$A$700,0),MATCH($F$1,[2]VehiclesUniverse!$B$1:$EU$1,0)),"")),"")</f>
        <v>Netherlands</v>
      </c>
      <c r="G20" s="6" t="str">
        <f>IF(ISBLANK([2]NLFsmonkeyCompl!L21),"",[2]NLFsmonkeyCompl!L21)</f>
        <v>Open end</v>
      </c>
      <c r="H20" s="6">
        <f>IFERROR(INDEX([2]VehiclesUniverse!$B$2:$EU$700,MATCH(C20,[2]VehiclesUniverse!$A$2:$A$700,0),MATCH($H$1,[2]VehiclesUniverse!$B$1:$EU$1,0)),"")</f>
        <v>2010</v>
      </c>
      <c r="I20" s="6" t="str">
        <f>IF(ISBLANK([2]NLFsmonkeyCompl!M21),"",[2]NLFsmonkeyCompl!M21)</f>
        <v>Yes</v>
      </c>
      <c r="J20" s="6" t="str">
        <f>IF(ISBLANK([2]NLFsmonkeyCompl!N21),"",[2]NLFsmonkeyCompl!N21)</f>
        <v/>
      </c>
      <c r="K20" s="6" t="str">
        <f>IF(ISBLANK([2]NLFsmonkeyCompl!O21),"",[2]NLFsmonkeyCompl!O21)</f>
        <v/>
      </c>
      <c r="L20" s="6" t="str">
        <f>IFERROR(INDEX([2]VehiclesUniverse!$B$2:$EU$700,MATCH(C20,[2]VehiclesUniverse!$A$2:$A$700,0),MATCH($L$1,[2]VehiclesUniverse!$B$1:$EU$1,0)),"")</f>
        <v>EUR</v>
      </c>
      <c r="M20" s="16">
        <f>IFERROR(VLOOKUP(L20,'[2]Xrate31.12.20'!$K$2:$N$25,3,0),"")</f>
        <v>1</v>
      </c>
      <c r="N20" s="8">
        <f>IFERROR(IF(ISBLANK([2]NLFsmonkeyCompl!P21),"",[2]NLFsmonkeyCompl!P21*$M20),"")</f>
        <v>47</v>
      </c>
      <c r="O20" s="8">
        <f>IFERROR(IF(ISBLANK([2]NLFsmonkeyCompl!Q21),"",[2]NLFsmonkeyCompl!Q21*$M20),"")</f>
        <v>45</v>
      </c>
      <c r="P20" s="8">
        <f>IFERROR(IF(ISBLANK([2]NLFsmonkeyCompl!R21),"",[2]NLFsmonkeyCompl!R21*$M20),"")</f>
        <v>2</v>
      </c>
      <c r="Q20" s="8" t="str">
        <f>IFERROR(IF(ISBLANK([2]NLFsmonkeyCompl!S21),"",[2]NLFsmonkeyCompl!S21*$M20),"")</f>
        <v/>
      </c>
      <c r="R20" s="8" t="str">
        <f>IFERROR(IF(ISBLANK([2]NLFsmonkeyCompl!T21),"",[2]NLFsmonkeyCompl!T21*$M20),"")</f>
        <v/>
      </c>
      <c r="S20" s="8" t="str">
        <f>IFERROR(IF(ISBLANK([2]NLFsmonkeyCompl!U21),"",[2]NLFsmonkeyCompl!U21*$M20),"")</f>
        <v/>
      </c>
      <c r="T20" s="8" t="str">
        <f>IFERROR(IF(ISBLANK([2]NLFsmonkeyCompl!V21),"",[2]NLFsmonkeyCompl!V21*$M20),"")</f>
        <v/>
      </c>
      <c r="U20" s="8" t="str">
        <f>IFERROR(IF(ISBLANK([2]NLFsmonkeyCompl!W21),"",[2]NLFsmonkeyCompl!W21*$M20),"")</f>
        <v/>
      </c>
      <c r="V20" s="8" t="str">
        <f>IFERROR(IF(ISBLANK([2]NLFsmonkeyCompl!X21),"",[2]NLFsmonkeyCompl!X21*$M20),"")</f>
        <v/>
      </c>
      <c r="W20" s="8">
        <f>IFERROR(IF(ISBLANK([2]NLFsmonkeyCompl!Y21),"",[2]NLFsmonkeyCompl!Y21*$M20),"")</f>
        <v>47</v>
      </c>
      <c r="X20" s="8" t="str">
        <f>IFERROR(IF(ISBLANK([2]NLFsmonkeyCompl!Z21),"",[2]NLFsmonkeyCompl!Z21*$M20),"")</f>
        <v/>
      </c>
      <c r="Y20" s="8" t="str">
        <f>IFERROR(IF(ISBLANK([2]NLFsmonkeyCompl!AA21),"",[2]NLFsmonkeyCompl!AA21*$M20),"")</f>
        <v/>
      </c>
      <c r="Z20" s="8" t="str">
        <f>IFERROR(IF(ISBLANK([2]NLFsmonkeyCompl!AB21),"",[2]NLFsmonkeyCompl!AB21*$M20),"")</f>
        <v/>
      </c>
      <c r="AA20" s="8" t="str">
        <f>IFERROR(IF(ISBLANK([2]NLFsmonkeyCompl!AC21),"",[2]NLFsmonkeyCompl!AC21*$M20),"")</f>
        <v/>
      </c>
      <c r="AB20" s="8" t="str">
        <f>IFERROR(IF(ISBLANK([2]NLFsmonkeyCompl!AD21),"",[2]NLFsmonkeyCompl!AD21),"")</f>
        <v/>
      </c>
      <c r="AC20" s="8" t="str">
        <f>IFERROR(IF(ISBLANK([2]NLFsmonkeyCompl!AE21),"",[2]NLFsmonkeyCompl!AE21),"")</f>
        <v/>
      </c>
      <c r="AD20" s="8">
        <f>IFERROR(IF(ISBLANK([2]NLFsmonkeyCompl!AF21),"",[2]NLFsmonkeyCompl!AF21),"")</f>
        <v>100</v>
      </c>
      <c r="AE20" s="8" t="str">
        <f>IFERROR(IF(ISBLANK([2]NLFsmonkeyCompl!AG21),"",[2]NLFsmonkeyCompl!AG21),"")</f>
        <v/>
      </c>
      <c r="AF20" s="8" t="str">
        <f>IFERROR(IF(ISBLANK([2]NLFsmonkeyCompl!AH21),"",[2]NLFsmonkeyCompl!AH21),"")</f>
        <v>Increase</v>
      </c>
      <c r="AG20" s="8" t="str">
        <f>IFERROR(IF(ISBLANK([2]NLFsmonkeyCompl!AI21),"",[2]NLFsmonkeyCompl!AI21),"")</f>
        <v>Yes</v>
      </c>
      <c r="AH20">
        <f>IFERROR(INDEX([2]VehiclesUniverse!$B$2:$EU$700,MATCH($C20,[2]VehiclesUniverse!$A$2:$A$700,0),MATCH($AH$1,[2]VehiclesUniverse!$B$1:$EU$1,0)),"")</f>
        <v>1252446000</v>
      </c>
    </row>
    <row r="21" spans="1:34" x14ac:dyDescent="0.2">
      <c r="A21" s="5" t="str">
        <f>IF(OR(ISTEXT([2]NLFsmonkeyCompl!J22),ISNUMBER([2]NLFsmonkeyCompl!J22)),[2]NLFsmonkeyCompl!J22,"")</f>
        <v>Bouwinvest</v>
      </c>
      <c r="B21" s="6" t="str">
        <f>IF(OR(ISTEXT([2]NLFsmonkeyCompl!K22),ISNUMBER([2]NLFsmonkeyCompl!K22)),[2]NLFsmonkeyCompl!K22,"")</f>
        <v>Retail Fund</v>
      </c>
      <c r="C21" s="6">
        <v>589</v>
      </c>
      <c r="D21" s="6" t="str">
        <f>IFERROR(INDEX([2]VehiclesUniverse!$B$2:$EU$700,MATCH(C21,[2]VehiclesUniverse!$A$2:$A$700,0),MATCH($D$1,[2]VehiclesUniverse!$B$1:$EU$1,0)),"")</f>
        <v>Core</v>
      </c>
      <c r="E21" s="6" t="str">
        <f>IFERROR(INDEX([2]VehiclesUniverse!$B$2:$EU$700,MATCH(C21,[2]VehiclesUniverse!$A$2:$A$700,0),MATCH($E$1,[2]VehiclesUniverse!$B$1:$EU$1,0)),"")</f>
        <v>single country</v>
      </c>
      <c r="F21" s="6" t="str">
        <f>IF(IFERROR(INDEX([2]VehiclesUniverse!$B$2:$EU$700,MATCH($C21,[2]VehiclesUniverse!$A$2:$A$700,0),MATCH($F$1,[2]VehiclesUniverse!$B$1:$EU$1,0)),"")&lt;&gt;0,(IFERROR(INDEX([2]VehiclesUniverse!$B$2:$EU$700,MATCH($C21,[2]VehiclesUniverse!$A$2:$A$700,0),MATCH($F$1,[2]VehiclesUniverse!$B$1:$EU$1,0)),"")),"")</f>
        <v>Netherlands</v>
      </c>
      <c r="G21" s="6" t="str">
        <f>IF(ISBLANK([2]NLFsmonkeyCompl!L22),"",[2]NLFsmonkeyCompl!L22)</f>
        <v>Open end</v>
      </c>
      <c r="H21" s="6">
        <f>IFERROR(INDEX([2]VehiclesUniverse!$B$2:$EU$700,MATCH(C21,[2]VehiclesUniverse!$A$2:$A$700,0),MATCH($H$1,[2]VehiclesUniverse!$B$1:$EU$1,0)),"")</f>
        <v>2010</v>
      </c>
      <c r="I21" s="6" t="str">
        <f>IF(ISBLANK([2]NLFsmonkeyCompl!M22),"",[2]NLFsmonkeyCompl!M22)</f>
        <v>Yes</v>
      </c>
      <c r="J21" s="6" t="str">
        <f>IF(ISBLANK([2]NLFsmonkeyCompl!N22),"",[2]NLFsmonkeyCompl!N22)</f>
        <v/>
      </c>
      <c r="K21" s="6" t="str">
        <f>IF(ISBLANK([2]NLFsmonkeyCompl!O22),"",[2]NLFsmonkeyCompl!O22)</f>
        <v/>
      </c>
      <c r="L21" s="6" t="str">
        <f>IFERROR(INDEX([2]VehiclesUniverse!$B$2:$EU$700,MATCH(C21,[2]VehiclesUniverse!$A$2:$A$700,0),MATCH($L$1,[2]VehiclesUniverse!$B$1:$EU$1,0)),"")</f>
        <v>EUR</v>
      </c>
      <c r="M21" s="16">
        <f>IFERROR(VLOOKUP(L21,'[2]Xrate31.12.20'!$K$2:$N$25,3,0),"")</f>
        <v>1</v>
      </c>
      <c r="N21" s="8">
        <f>IFERROR(IF(ISBLANK([2]NLFsmonkeyCompl!P22),"",[2]NLFsmonkeyCompl!P22*$M21),"")</f>
        <v>78</v>
      </c>
      <c r="O21" s="8">
        <f>IFERROR(IF(ISBLANK([2]NLFsmonkeyCompl!Q22),"",[2]NLFsmonkeyCompl!Q22*$M21),"")</f>
        <v>78</v>
      </c>
      <c r="P21" s="8" t="str">
        <f>IFERROR(IF(ISBLANK([2]NLFsmonkeyCompl!R22),"",[2]NLFsmonkeyCompl!R22*$M21),"")</f>
        <v/>
      </c>
      <c r="Q21" s="8" t="str">
        <f>IFERROR(IF(ISBLANK([2]NLFsmonkeyCompl!S22),"",[2]NLFsmonkeyCompl!S22*$M21),"")</f>
        <v/>
      </c>
      <c r="R21" s="8" t="str">
        <f>IFERROR(IF(ISBLANK([2]NLFsmonkeyCompl!T22),"",[2]NLFsmonkeyCompl!T22*$M21),"")</f>
        <v/>
      </c>
      <c r="S21" s="8" t="str">
        <f>IFERROR(IF(ISBLANK([2]NLFsmonkeyCompl!U22),"",[2]NLFsmonkeyCompl!U22*$M21),"")</f>
        <v/>
      </c>
      <c r="T21" s="8" t="str">
        <f>IFERROR(IF(ISBLANK([2]NLFsmonkeyCompl!V22),"",[2]NLFsmonkeyCompl!V22*$M21),"")</f>
        <v/>
      </c>
      <c r="U21" s="8" t="str">
        <f>IFERROR(IF(ISBLANK([2]NLFsmonkeyCompl!W22),"",[2]NLFsmonkeyCompl!W22*$M21),"")</f>
        <v/>
      </c>
      <c r="V21" s="8" t="str">
        <f>IFERROR(IF(ISBLANK([2]NLFsmonkeyCompl!X22),"",[2]NLFsmonkeyCompl!X22*$M21),"")</f>
        <v/>
      </c>
      <c r="W21" s="8">
        <f>IFERROR(IF(ISBLANK([2]NLFsmonkeyCompl!Y22),"",[2]NLFsmonkeyCompl!Y22*$M21),"")</f>
        <v>78</v>
      </c>
      <c r="X21" s="8" t="str">
        <f>IFERROR(IF(ISBLANK([2]NLFsmonkeyCompl!Z22),"",[2]NLFsmonkeyCompl!Z22*$M21),"")</f>
        <v/>
      </c>
      <c r="Y21" s="8" t="str">
        <f>IFERROR(IF(ISBLANK([2]NLFsmonkeyCompl!AA22),"",[2]NLFsmonkeyCompl!AA22*$M21),"")</f>
        <v/>
      </c>
      <c r="Z21" s="8" t="str">
        <f>IFERROR(IF(ISBLANK([2]NLFsmonkeyCompl!AB22),"",[2]NLFsmonkeyCompl!AB22*$M21),"")</f>
        <v/>
      </c>
      <c r="AA21" s="8" t="str">
        <f>IFERROR(IF(ISBLANK([2]NLFsmonkeyCompl!AC22),"",[2]NLFsmonkeyCompl!AC22*$M21),"")</f>
        <v/>
      </c>
      <c r="AB21" s="8" t="str">
        <f>IFERROR(IF(ISBLANK([2]NLFsmonkeyCompl!AD22),"",[2]NLFsmonkeyCompl!AD22),"")</f>
        <v/>
      </c>
      <c r="AC21" s="8" t="str">
        <f>IFERROR(IF(ISBLANK([2]NLFsmonkeyCompl!AE22),"",[2]NLFsmonkeyCompl!AE22),"")</f>
        <v/>
      </c>
      <c r="AD21" s="8">
        <f>IFERROR(IF(ISBLANK([2]NLFsmonkeyCompl!AF22),"",[2]NLFsmonkeyCompl!AF22),"")</f>
        <v>100</v>
      </c>
      <c r="AE21" s="8" t="str">
        <f>IFERROR(IF(ISBLANK([2]NLFsmonkeyCompl!AG22),"",[2]NLFsmonkeyCompl!AG22),"")</f>
        <v/>
      </c>
      <c r="AF21" s="8" t="str">
        <f>IFERROR(IF(ISBLANK([2]NLFsmonkeyCompl!AH22),"",[2]NLFsmonkeyCompl!AH22),"")</f>
        <v>Decrease</v>
      </c>
      <c r="AG21" s="8" t="str">
        <f>IFERROR(IF(ISBLANK([2]NLFsmonkeyCompl!AI22),"",[2]NLFsmonkeyCompl!AI22),"")</f>
        <v>Yes</v>
      </c>
      <c r="AH21">
        <f>IFERROR(INDEX([2]VehiclesUniverse!$B$2:$EU$700,MATCH($C21,[2]VehiclesUniverse!$A$2:$A$700,0),MATCH($AH$1,[2]VehiclesUniverse!$B$1:$EU$1,0)),"")</f>
        <v>967500000</v>
      </c>
    </row>
    <row r="22" spans="1:34" x14ac:dyDescent="0.2">
      <c r="A22" s="5" t="str">
        <f>IF(OR(ISTEXT([2]NLFsmonkeyCompl!J23),ISNUMBER([2]NLFsmonkeyCompl!J23)),[2]NLFsmonkeyCompl!J23,"")</f>
        <v>Bouwinvest</v>
      </c>
      <c r="B22" s="6" t="str">
        <f>IF(OR(ISTEXT([2]NLFsmonkeyCompl!K23),ISNUMBER([2]NLFsmonkeyCompl!K23)),[2]NLFsmonkeyCompl!K23,"")</f>
        <v>Residential Fund</v>
      </c>
      <c r="C22" s="6">
        <v>588</v>
      </c>
      <c r="D22" s="6" t="str">
        <f>IFERROR(INDEX([2]VehiclesUniverse!$B$2:$EU$700,MATCH(C22,[2]VehiclesUniverse!$A$2:$A$700,0),MATCH($D$1,[2]VehiclesUniverse!$B$1:$EU$1,0)),"")</f>
        <v>Core</v>
      </c>
      <c r="E22" s="6" t="str">
        <f>IFERROR(INDEX([2]VehiclesUniverse!$B$2:$EU$700,MATCH(C22,[2]VehiclesUniverse!$A$2:$A$700,0),MATCH($E$1,[2]VehiclesUniverse!$B$1:$EU$1,0)),"")</f>
        <v>single country</v>
      </c>
      <c r="F22" s="6" t="str">
        <f>IF(IFERROR(INDEX([2]VehiclesUniverse!$B$2:$EU$700,MATCH($C22,[2]VehiclesUniverse!$A$2:$A$700,0),MATCH($F$1,[2]VehiclesUniverse!$B$1:$EU$1,0)),"")&lt;&gt;0,(IFERROR(INDEX([2]VehiclesUniverse!$B$2:$EU$700,MATCH($C22,[2]VehiclesUniverse!$A$2:$A$700,0),MATCH($F$1,[2]VehiclesUniverse!$B$1:$EU$1,0)),"")),"")</f>
        <v>Netherlands</v>
      </c>
      <c r="G22" s="6" t="str">
        <f>IF(ISBLANK([2]NLFsmonkeyCompl!L23),"",[2]NLFsmonkeyCompl!L23)</f>
        <v>Open end</v>
      </c>
      <c r="H22" s="6">
        <f>IFERROR(INDEX([2]VehiclesUniverse!$B$2:$EU$700,MATCH(C22,[2]VehiclesUniverse!$A$2:$A$700,0),MATCH($H$1,[2]VehiclesUniverse!$B$1:$EU$1,0)),"")</f>
        <v>2010</v>
      </c>
      <c r="I22" s="6" t="str">
        <f>IF(ISBLANK([2]NLFsmonkeyCompl!M23),"",[2]NLFsmonkeyCompl!M23)</f>
        <v>Yes</v>
      </c>
      <c r="J22" s="6" t="str">
        <f>IF(ISBLANK([2]NLFsmonkeyCompl!N23),"",[2]NLFsmonkeyCompl!N23)</f>
        <v/>
      </c>
      <c r="K22" s="6" t="str">
        <f>IF(ISBLANK([2]NLFsmonkeyCompl!O23),"",[2]NLFsmonkeyCompl!O23)</f>
        <v/>
      </c>
      <c r="L22" s="6" t="str">
        <f>IFERROR(INDEX([2]VehiclesUniverse!$B$2:$EU$700,MATCH(C22,[2]VehiclesUniverse!$A$2:$A$700,0),MATCH($L$1,[2]VehiclesUniverse!$B$1:$EU$1,0)),"")</f>
        <v>EUR</v>
      </c>
      <c r="M22" s="16">
        <f>IFERROR(VLOOKUP(L22,'[2]Xrate31.12.20'!$K$2:$N$25,3,0),"")</f>
        <v>1</v>
      </c>
      <c r="N22" s="8">
        <f>IFERROR(IF(ISBLANK([2]NLFsmonkeyCompl!P23),"",[2]NLFsmonkeyCompl!P23*$M22),"")</f>
        <v>100</v>
      </c>
      <c r="O22" s="8">
        <f>IFERROR(IF(ISBLANK([2]NLFsmonkeyCompl!Q23),"",[2]NLFsmonkeyCompl!Q23*$M22),"")</f>
        <v>100</v>
      </c>
      <c r="P22" s="8" t="str">
        <f>IFERROR(IF(ISBLANK([2]NLFsmonkeyCompl!R23),"",[2]NLFsmonkeyCompl!R23*$M22),"")</f>
        <v/>
      </c>
      <c r="Q22" s="8" t="str">
        <f>IFERROR(IF(ISBLANK([2]NLFsmonkeyCompl!S23),"",[2]NLFsmonkeyCompl!S23*$M22),"")</f>
        <v/>
      </c>
      <c r="R22" s="8" t="str">
        <f>IFERROR(IF(ISBLANK([2]NLFsmonkeyCompl!T23),"",[2]NLFsmonkeyCompl!T23*$M22),"")</f>
        <v/>
      </c>
      <c r="S22" s="8" t="str">
        <f>IFERROR(IF(ISBLANK([2]NLFsmonkeyCompl!U23),"",[2]NLFsmonkeyCompl!U23*$M22),"")</f>
        <v/>
      </c>
      <c r="T22" s="8" t="str">
        <f>IFERROR(IF(ISBLANK([2]NLFsmonkeyCompl!V23),"",[2]NLFsmonkeyCompl!V23*$M22),"")</f>
        <v/>
      </c>
      <c r="U22" s="8" t="str">
        <f>IFERROR(IF(ISBLANK([2]NLFsmonkeyCompl!W23),"",[2]NLFsmonkeyCompl!W23*$M22),"")</f>
        <v/>
      </c>
      <c r="V22" s="8" t="str">
        <f>IFERROR(IF(ISBLANK([2]NLFsmonkeyCompl!X23),"",[2]NLFsmonkeyCompl!X23*$M22),"")</f>
        <v/>
      </c>
      <c r="W22" s="8">
        <f>IFERROR(IF(ISBLANK([2]NLFsmonkeyCompl!Y23),"",[2]NLFsmonkeyCompl!Y23*$M22),"")</f>
        <v>100</v>
      </c>
      <c r="X22" s="8" t="str">
        <f>IFERROR(IF(ISBLANK([2]NLFsmonkeyCompl!Z23),"",[2]NLFsmonkeyCompl!Z23*$M22),"")</f>
        <v/>
      </c>
      <c r="Y22" s="8" t="str">
        <f>IFERROR(IF(ISBLANK([2]NLFsmonkeyCompl!AA23),"",[2]NLFsmonkeyCompl!AA23*$M22),"")</f>
        <v/>
      </c>
      <c r="Z22" s="8" t="str">
        <f>IFERROR(IF(ISBLANK([2]NLFsmonkeyCompl!AB23),"",[2]NLFsmonkeyCompl!AB23*$M22),"")</f>
        <v/>
      </c>
      <c r="AA22" s="8" t="str">
        <f>IFERROR(IF(ISBLANK([2]NLFsmonkeyCompl!AC23),"",[2]NLFsmonkeyCompl!AC23*$M22),"")</f>
        <v/>
      </c>
      <c r="AB22" s="8" t="str">
        <f>IFERROR(IF(ISBLANK([2]NLFsmonkeyCompl!AD23),"",[2]NLFsmonkeyCompl!AD23),"")</f>
        <v/>
      </c>
      <c r="AC22" s="8" t="str">
        <f>IFERROR(IF(ISBLANK([2]NLFsmonkeyCompl!AE23),"",[2]NLFsmonkeyCompl!AE23),"")</f>
        <v/>
      </c>
      <c r="AD22" s="8">
        <f>IFERROR(IF(ISBLANK([2]NLFsmonkeyCompl!AF23),"",[2]NLFsmonkeyCompl!AF23),"")</f>
        <v>100</v>
      </c>
      <c r="AE22" s="8" t="str">
        <f>IFERROR(IF(ISBLANK([2]NLFsmonkeyCompl!AG23),"",[2]NLFsmonkeyCompl!AG23),"")</f>
        <v/>
      </c>
      <c r="AF22" s="8" t="str">
        <f>IFERROR(IF(ISBLANK([2]NLFsmonkeyCompl!AH23),"",[2]NLFsmonkeyCompl!AH23),"")</f>
        <v>Increase</v>
      </c>
      <c r="AG22" s="8" t="str">
        <f>IFERROR(IF(ISBLANK([2]NLFsmonkeyCompl!AI23),"",[2]NLFsmonkeyCompl!AI23),"")</f>
        <v>Yes</v>
      </c>
      <c r="AH22">
        <f>IFERROR(INDEX([2]VehiclesUniverse!$B$2:$EU$700,MATCH($C22,[2]VehiclesUniverse!$A$2:$A$700,0),MATCH($AH$1,[2]VehiclesUniverse!$B$1:$EU$1,0)),"")</f>
        <v>7087309000</v>
      </c>
    </row>
    <row r="23" spans="1:34" x14ac:dyDescent="0.2">
      <c r="A23" s="5" t="str">
        <f>IF(OR(ISTEXT([2]NLFsmonkeyCompl!J24),ISNUMBER([2]NLFsmonkeyCompl!J24)),[2]NLFsmonkeyCompl!J24,"")</f>
        <v>Bouwinvest</v>
      </c>
      <c r="B23" s="6" t="str">
        <f>IF(OR(ISTEXT([2]NLFsmonkeyCompl!K24),ISNUMBER([2]NLFsmonkeyCompl!K24)),[2]NLFsmonkeyCompl!K24,"")</f>
        <v>Europe</v>
      </c>
      <c r="C23" s="6" t="s">
        <v>50</v>
      </c>
      <c r="D23" s="6" t="str">
        <f>IFERROR(INDEX([2]VehiclesUniverse!$B$2:$EU$700,MATCH(C23,[2]VehiclesUniverse!$A$2:$A$700,0),MATCH($D$1,[2]VehiclesUniverse!$B$1:$EU$1,0)),"")</f>
        <v/>
      </c>
      <c r="E23" s="6" t="str">
        <f>IFERROR(INDEX([2]VehiclesUniverse!$B$2:$EU$700,MATCH(C23,[2]VehiclesUniverse!$A$2:$A$700,0),MATCH($E$1,[2]VehiclesUniverse!$B$1:$EU$1,0)),"")</f>
        <v/>
      </c>
      <c r="F23" s="6" t="str">
        <f>IF(IFERROR(INDEX([2]VehiclesUniverse!$B$2:$EU$700,MATCH($C23,[2]VehiclesUniverse!$A$2:$A$700,0),MATCH($F$1,[2]VehiclesUniverse!$B$1:$EU$1,0)),"")&lt;&gt;0,(IFERROR(INDEX([2]VehiclesUniverse!$B$2:$EU$700,MATCH($C23,[2]VehiclesUniverse!$A$2:$A$700,0),MATCH($F$1,[2]VehiclesUniverse!$B$1:$EU$1,0)),"")),"")</f>
        <v/>
      </c>
      <c r="G23" s="6"/>
      <c r="H23" s="6" t="str">
        <f>IFERROR(INDEX([2]VehiclesUniverse!$B$2:$EU$700,MATCH(C23,[2]VehiclesUniverse!$A$2:$A$700,0),MATCH($H$1,[2]VehiclesUniverse!$B$1:$EU$1,0)),"")</f>
        <v/>
      </c>
      <c r="I23" s="6" t="str">
        <f>IF(ISBLANK([2]NLFsmonkeyCompl!M24),"",[2]NLFsmonkeyCompl!M24)</f>
        <v>Yes</v>
      </c>
      <c r="J23" s="6" t="str">
        <f>IF(ISBLANK([2]NLFsmonkeyCompl!N24),"",[2]NLFsmonkeyCompl!N24)</f>
        <v/>
      </c>
      <c r="K23" s="6" t="str">
        <f>IF(ISBLANK([2]NLFsmonkeyCompl!O24),"",[2]NLFsmonkeyCompl!O24)</f>
        <v/>
      </c>
      <c r="L23" s="6" t="str">
        <f>IFERROR(INDEX([2]VehiclesUniverse!$B$2:$EU$700,MATCH(C23,[2]VehiclesUniverse!$A$2:$A$700,0),MATCH($L$1,[2]VehiclesUniverse!$B$1:$EU$1,0)),"")</f>
        <v/>
      </c>
      <c r="M23" s="16" t="str">
        <f>IFERROR(VLOOKUP(L23,'[2]Xrate31.12.20'!$K$2:$N$25,3,0),"")</f>
        <v/>
      </c>
      <c r="N23" s="8" t="str">
        <f>IFERROR(IF(ISBLANK([2]NLFsmonkeyCompl!P24),"",[2]NLFsmonkeyCompl!P24*$M23),"")</f>
        <v/>
      </c>
      <c r="O23" s="8" t="str">
        <f>IFERROR(IF(ISBLANK([2]NLFsmonkeyCompl!Q24),"",[2]NLFsmonkeyCompl!Q24*$M23),"")</f>
        <v/>
      </c>
      <c r="P23" s="8" t="str">
        <f>IFERROR(IF(ISBLANK([2]NLFsmonkeyCompl!R24),"",[2]NLFsmonkeyCompl!R24*$M23),"")</f>
        <v/>
      </c>
      <c r="Q23" s="8" t="str">
        <f>IFERROR(IF(ISBLANK([2]NLFsmonkeyCompl!S24),"",[2]NLFsmonkeyCompl!S24*$M23),"")</f>
        <v/>
      </c>
      <c r="R23" s="8" t="str">
        <f>IFERROR(IF(ISBLANK([2]NLFsmonkeyCompl!T24),"",[2]NLFsmonkeyCompl!T24*$M23),"")</f>
        <v/>
      </c>
      <c r="S23" s="8" t="str">
        <f>IFERROR(IF(ISBLANK([2]NLFsmonkeyCompl!U24),"",[2]NLFsmonkeyCompl!U24*$M23),"")</f>
        <v/>
      </c>
      <c r="T23" s="8" t="str">
        <f>IFERROR(IF(ISBLANK([2]NLFsmonkeyCompl!V24),"",[2]NLFsmonkeyCompl!V24*$M23),"")</f>
        <v/>
      </c>
      <c r="U23" s="8" t="str">
        <f>IFERROR(IF(ISBLANK([2]NLFsmonkeyCompl!W24),"",[2]NLFsmonkeyCompl!W24*$M23),"")</f>
        <v/>
      </c>
      <c r="V23" s="8" t="str">
        <f>IFERROR(IF(ISBLANK([2]NLFsmonkeyCompl!X24),"",[2]NLFsmonkeyCompl!X24*$M23),"")</f>
        <v/>
      </c>
      <c r="W23" s="8" t="str">
        <f>IFERROR(IF(ISBLANK([2]NLFsmonkeyCompl!Y24),"",[2]NLFsmonkeyCompl!Y24*$M23),"")</f>
        <v/>
      </c>
      <c r="X23" s="8" t="str">
        <f>IFERROR(IF(ISBLANK([2]NLFsmonkeyCompl!Z24),"",[2]NLFsmonkeyCompl!Z24*$M23),"")</f>
        <v/>
      </c>
      <c r="Y23" s="8" t="str">
        <f>IFERROR(IF(ISBLANK([2]NLFsmonkeyCompl!AA24),"",[2]NLFsmonkeyCompl!AA24*$M23),"")</f>
        <v/>
      </c>
      <c r="Z23" s="8" t="str">
        <f>IFERROR(IF(ISBLANK([2]NLFsmonkeyCompl!AB24),"",[2]NLFsmonkeyCompl!AB24*$M23),"")</f>
        <v/>
      </c>
      <c r="AA23" s="8" t="str">
        <f>IFERROR(IF(ISBLANK([2]NLFsmonkeyCompl!AC24),"",[2]NLFsmonkeyCompl!AC24*$M23),"")</f>
        <v/>
      </c>
      <c r="AB23" s="8" t="str">
        <f>IFERROR(IF(ISBLANK([2]NLFsmonkeyCompl!AD24),"",[2]NLFsmonkeyCompl!AD24),"")</f>
        <v/>
      </c>
      <c r="AC23" s="8" t="str">
        <f>IFERROR(IF(ISBLANK([2]NLFsmonkeyCompl!AE24),"",[2]NLFsmonkeyCompl!AE24),"")</f>
        <v/>
      </c>
      <c r="AD23" s="8">
        <f>IFERROR(IF(ISBLANK([2]NLFsmonkeyCompl!AF24),"",[2]NLFsmonkeyCompl!AF24),"")</f>
        <v>100</v>
      </c>
      <c r="AE23" s="8" t="str">
        <f>IFERROR(IF(ISBLANK([2]NLFsmonkeyCompl!AG24),"",[2]NLFsmonkeyCompl!AG24),"")</f>
        <v/>
      </c>
      <c r="AF23" s="8" t="str">
        <f>IFERROR(IF(ISBLANK([2]NLFsmonkeyCompl!AH24),"",[2]NLFsmonkeyCompl!AH24),"")</f>
        <v>Increase</v>
      </c>
      <c r="AG23" s="8" t="str">
        <f>IFERROR(IF(ISBLANK([2]NLFsmonkeyCompl!AI24),"",[2]NLFsmonkeyCompl!AI24),"")</f>
        <v>Yes</v>
      </c>
      <c r="AH23" t="str">
        <f>IFERROR(INDEX([2]VehiclesUniverse!$B$2:$EU$700,MATCH($C23,[2]VehiclesUniverse!$A$2:$A$700,0),MATCH($AH$1,[2]VehiclesUniverse!$B$1:$EU$1,0)),"")</f>
        <v/>
      </c>
    </row>
    <row r="24" spans="1:34" x14ac:dyDescent="0.2">
      <c r="A24" s="5" t="str">
        <f>IF(OR(ISTEXT([2]NLFsmonkeyCompl!J25),ISNUMBER([2]NLFsmonkeyCompl!J25)),[2]NLFsmonkeyCompl!J25,"")</f>
        <v>Bouwinvest</v>
      </c>
      <c r="B24" s="6" t="str">
        <f>IF(OR(ISTEXT([2]NLFsmonkeyCompl!K25),ISNUMBER([2]NLFsmonkeyCompl!K25)),[2]NLFsmonkeyCompl!K25,"")</f>
        <v>APAC</v>
      </c>
      <c r="C24" s="6" t="s">
        <v>50</v>
      </c>
      <c r="D24" s="6" t="str">
        <f>IFERROR(INDEX([2]VehiclesUniverse!$B$2:$EU$700,MATCH(C24,[2]VehiclesUniverse!$A$2:$A$700,0),MATCH($D$1,[2]VehiclesUniverse!$B$1:$EU$1,0)),"")</f>
        <v/>
      </c>
      <c r="E24" s="6" t="str">
        <f>IFERROR(INDEX([2]VehiclesUniverse!$B$2:$EU$700,MATCH(C24,[2]VehiclesUniverse!$A$2:$A$700,0),MATCH($E$1,[2]VehiclesUniverse!$B$1:$EU$1,0)),"")</f>
        <v/>
      </c>
      <c r="F24" s="6" t="str">
        <f>IF(IFERROR(INDEX([2]VehiclesUniverse!$B$2:$EU$700,MATCH($C24,[2]VehiclesUniverse!$A$2:$A$700,0),MATCH($F$1,[2]VehiclesUniverse!$B$1:$EU$1,0)),"")&lt;&gt;0,(IFERROR(INDEX([2]VehiclesUniverse!$B$2:$EU$700,MATCH($C24,[2]VehiclesUniverse!$A$2:$A$700,0),MATCH($F$1,[2]VehiclesUniverse!$B$1:$EU$1,0)),"")),"")</f>
        <v/>
      </c>
      <c r="G24" s="6"/>
      <c r="H24" s="6" t="str">
        <f>IFERROR(INDEX([2]VehiclesUniverse!$B$2:$EU$700,MATCH(C24,[2]VehiclesUniverse!$A$2:$A$700,0),MATCH($H$1,[2]VehiclesUniverse!$B$1:$EU$1,0)),"")</f>
        <v/>
      </c>
      <c r="I24" s="6" t="str">
        <f>IF(ISBLANK([2]NLFsmonkeyCompl!M25),"",[2]NLFsmonkeyCompl!M25)</f>
        <v>Yes</v>
      </c>
      <c r="J24" s="6" t="str">
        <f>IF(ISBLANK([2]NLFsmonkeyCompl!N25),"",[2]NLFsmonkeyCompl!N25)</f>
        <v/>
      </c>
      <c r="K24" s="6" t="str">
        <f>IF(ISBLANK([2]NLFsmonkeyCompl!O25),"",[2]NLFsmonkeyCompl!O25)</f>
        <v/>
      </c>
      <c r="L24" s="6" t="str">
        <f>IFERROR(INDEX([2]VehiclesUniverse!$B$2:$EU$700,MATCH(C24,[2]VehiclesUniverse!$A$2:$A$700,0),MATCH($L$1,[2]VehiclesUniverse!$B$1:$EU$1,0)),"")</f>
        <v/>
      </c>
      <c r="M24" s="16" t="str">
        <f>IFERROR(VLOOKUP(L24,'[2]Xrate31.12.20'!$K$2:$N$25,3,0),"")</f>
        <v/>
      </c>
      <c r="N24" s="8" t="str">
        <f>IFERROR(IF(ISBLANK([2]NLFsmonkeyCompl!P25),"",[2]NLFsmonkeyCompl!P25*$M24),"")</f>
        <v/>
      </c>
      <c r="O24" s="8" t="str">
        <f>IFERROR(IF(ISBLANK([2]NLFsmonkeyCompl!Q25),"",[2]NLFsmonkeyCompl!Q25*$M24),"")</f>
        <v/>
      </c>
      <c r="P24" s="8" t="str">
        <f>IFERROR(IF(ISBLANK([2]NLFsmonkeyCompl!R25),"",[2]NLFsmonkeyCompl!R25*$M24),"")</f>
        <v/>
      </c>
      <c r="Q24" s="8" t="str">
        <f>IFERROR(IF(ISBLANK([2]NLFsmonkeyCompl!S25),"",[2]NLFsmonkeyCompl!S25*$M24),"")</f>
        <v/>
      </c>
      <c r="R24" s="8" t="str">
        <f>IFERROR(IF(ISBLANK([2]NLFsmonkeyCompl!T25),"",[2]NLFsmonkeyCompl!T25*$M24),"")</f>
        <v/>
      </c>
      <c r="S24" s="8" t="str">
        <f>IFERROR(IF(ISBLANK([2]NLFsmonkeyCompl!U25),"",[2]NLFsmonkeyCompl!U25*$M24),"")</f>
        <v/>
      </c>
      <c r="T24" s="8" t="str">
        <f>IFERROR(IF(ISBLANK([2]NLFsmonkeyCompl!V25),"",[2]NLFsmonkeyCompl!V25*$M24),"")</f>
        <v/>
      </c>
      <c r="U24" s="8" t="str">
        <f>IFERROR(IF(ISBLANK([2]NLFsmonkeyCompl!W25),"",[2]NLFsmonkeyCompl!W25*$M24),"")</f>
        <v/>
      </c>
      <c r="V24" s="8" t="str">
        <f>IFERROR(IF(ISBLANK([2]NLFsmonkeyCompl!X25),"",[2]NLFsmonkeyCompl!X25*$M24),"")</f>
        <v/>
      </c>
      <c r="W24" s="8" t="str">
        <f>IFERROR(IF(ISBLANK([2]NLFsmonkeyCompl!Y25),"",[2]NLFsmonkeyCompl!Y25*$M24),"")</f>
        <v/>
      </c>
      <c r="X24" s="8" t="str">
        <f>IFERROR(IF(ISBLANK([2]NLFsmonkeyCompl!Z25),"",[2]NLFsmonkeyCompl!Z25*$M24),"")</f>
        <v/>
      </c>
      <c r="Y24" s="8" t="str">
        <f>IFERROR(IF(ISBLANK([2]NLFsmonkeyCompl!AA25),"",[2]NLFsmonkeyCompl!AA25*$M24),"")</f>
        <v/>
      </c>
      <c r="Z24" s="8" t="str">
        <f>IFERROR(IF(ISBLANK([2]NLFsmonkeyCompl!AB25),"",[2]NLFsmonkeyCompl!AB25*$M24),"")</f>
        <v/>
      </c>
      <c r="AA24" s="8" t="str">
        <f>IFERROR(IF(ISBLANK([2]NLFsmonkeyCompl!AC25),"",[2]NLFsmonkeyCompl!AC25*$M24),"")</f>
        <v/>
      </c>
      <c r="AB24" s="8" t="str">
        <f>IFERROR(IF(ISBLANK([2]NLFsmonkeyCompl!AD25),"",[2]NLFsmonkeyCompl!AD25),"")</f>
        <v/>
      </c>
      <c r="AC24" s="8" t="str">
        <f>IFERROR(IF(ISBLANK([2]NLFsmonkeyCompl!AE25),"",[2]NLFsmonkeyCompl!AE25),"")</f>
        <v/>
      </c>
      <c r="AD24" s="8">
        <f>IFERROR(IF(ISBLANK([2]NLFsmonkeyCompl!AF25),"",[2]NLFsmonkeyCompl!AF25),"")</f>
        <v>100</v>
      </c>
      <c r="AE24" s="8" t="str">
        <f>IFERROR(IF(ISBLANK([2]NLFsmonkeyCompl!AG25),"",[2]NLFsmonkeyCompl!AG25),"")</f>
        <v/>
      </c>
      <c r="AF24" s="8" t="str">
        <f>IFERROR(IF(ISBLANK([2]NLFsmonkeyCompl!AH25),"",[2]NLFsmonkeyCompl!AH25),"")</f>
        <v>Increase</v>
      </c>
      <c r="AG24" s="8" t="str">
        <f>IFERROR(IF(ISBLANK([2]NLFsmonkeyCompl!AI25),"",[2]NLFsmonkeyCompl!AI25),"")</f>
        <v>Yes</v>
      </c>
      <c r="AH24" t="str">
        <f>IFERROR(INDEX([2]VehiclesUniverse!$B$2:$EU$700,MATCH($C24,[2]VehiclesUniverse!$A$2:$A$700,0),MATCH($AH$1,[2]VehiclesUniverse!$B$1:$EU$1,0)),"")</f>
        <v/>
      </c>
    </row>
    <row r="25" spans="1:34" x14ac:dyDescent="0.2">
      <c r="A25" s="5" t="str">
        <f>IF(OR(ISTEXT([2]NLFsmonkeyCompl!J26),ISNUMBER([2]NLFsmonkeyCompl!J26)),[2]NLFsmonkeyCompl!J26,"")</f>
        <v>Bouwinvest</v>
      </c>
      <c r="B25" s="6" t="str">
        <f>IF(OR(ISTEXT([2]NLFsmonkeyCompl!K26),ISNUMBER([2]NLFsmonkeyCompl!K26)),[2]NLFsmonkeyCompl!K26,"")</f>
        <v>North America</v>
      </c>
      <c r="C25" s="6" t="s">
        <v>50</v>
      </c>
      <c r="D25" s="6" t="str">
        <f>IFERROR(INDEX([2]VehiclesUniverse!$B$2:$EU$700,MATCH(C25,[2]VehiclesUniverse!$A$2:$A$700,0),MATCH($D$1,[2]VehiclesUniverse!$B$1:$EU$1,0)),"")</f>
        <v/>
      </c>
      <c r="E25" s="6" t="str">
        <f>IFERROR(INDEX([2]VehiclesUniverse!$B$2:$EU$700,MATCH(C25,[2]VehiclesUniverse!$A$2:$A$700,0),MATCH($E$1,[2]VehiclesUniverse!$B$1:$EU$1,0)),"")</f>
        <v/>
      </c>
      <c r="F25" s="6" t="str">
        <f>IF(IFERROR(INDEX([2]VehiclesUniverse!$B$2:$EU$700,MATCH($C25,[2]VehiclesUniverse!$A$2:$A$700,0),MATCH($F$1,[2]VehiclesUniverse!$B$1:$EU$1,0)),"")&lt;&gt;0,(IFERROR(INDEX([2]VehiclesUniverse!$B$2:$EU$700,MATCH($C25,[2]VehiclesUniverse!$A$2:$A$700,0),MATCH($F$1,[2]VehiclesUniverse!$B$1:$EU$1,0)),"")),"")</f>
        <v/>
      </c>
      <c r="G25" s="6"/>
      <c r="H25" s="6" t="str">
        <f>IFERROR(INDEX([2]VehiclesUniverse!$B$2:$EU$700,MATCH(C25,[2]VehiclesUniverse!$A$2:$A$700,0),MATCH($H$1,[2]VehiclesUniverse!$B$1:$EU$1,0)),"")</f>
        <v/>
      </c>
      <c r="I25" s="6" t="str">
        <f>IF(ISBLANK([2]NLFsmonkeyCompl!M26),"",[2]NLFsmonkeyCompl!M26)</f>
        <v>Yes</v>
      </c>
      <c r="J25" s="6" t="str">
        <f>IF(ISBLANK([2]NLFsmonkeyCompl!N26),"",[2]NLFsmonkeyCompl!N26)</f>
        <v/>
      </c>
      <c r="K25" s="6" t="str">
        <f>IF(ISBLANK([2]NLFsmonkeyCompl!O26),"",[2]NLFsmonkeyCompl!O26)</f>
        <v/>
      </c>
      <c r="L25" s="6" t="str">
        <f>IFERROR(INDEX([2]VehiclesUniverse!$B$2:$EU$700,MATCH(C25,[2]VehiclesUniverse!$A$2:$A$700,0),MATCH($L$1,[2]VehiclesUniverse!$B$1:$EU$1,0)),"")</f>
        <v/>
      </c>
      <c r="M25" s="16" t="str">
        <f>IFERROR(VLOOKUP(L25,'[2]Xrate31.12.20'!$K$2:$N$25,3,0),"")</f>
        <v/>
      </c>
      <c r="N25" s="8" t="str">
        <f>IFERROR(IF(ISBLANK([2]NLFsmonkeyCompl!P26),"",[2]NLFsmonkeyCompl!P26*$M25),"")</f>
        <v/>
      </c>
      <c r="O25" s="8" t="str">
        <f>IFERROR(IF(ISBLANK([2]NLFsmonkeyCompl!Q26),"",[2]NLFsmonkeyCompl!Q26*$M25),"")</f>
        <v/>
      </c>
      <c r="P25" s="8" t="str">
        <f>IFERROR(IF(ISBLANK([2]NLFsmonkeyCompl!R26),"",[2]NLFsmonkeyCompl!R26*$M25),"")</f>
        <v/>
      </c>
      <c r="Q25" s="8" t="str">
        <f>IFERROR(IF(ISBLANK([2]NLFsmonkeyCompl!S26),"",[2]NLFsmonkeyCompl!S26*$M25),"")</f>
        <v/>
      </c>
      <c r="R25" s="8" t="str">
        <f>IFERROR(IF(ISBLANK([2]NLFsmonkeyCompl!T26),"",[2]NLFsmonkeyCompl!T26*$M25),"")</f>
        <v/>
      </c>
      <c r="S25" s="8" t="str">
        <f>IFERROR(IF(ISBLANK([2]NLFsmonkeyCompl!U26),"",[2]NLFsmonkeyCompl!U26*$M25),"")</f>
        <v/>
      </c>
      <c r="T25" s="8" t="str">
        <f>IFERROR(IF(ISBLANK([2]NLFsmonkeyCompl!V26),"",[2]NLFsmonkeyCompl!V26*$M25),"")</f>
        <v/>
      </c>
      <c r="U25" s="8" t="str">
        <f>IFERROR(IF(ISBLANK([2]NLFsmonkeyCompl!W26),"",[2]NLFsmonkeyCompl!W26*$M25),"")</f>
        <v/>
      </c>
      <c r="V25" s="8" t="str">
        <f>IFERROR(IF(ISBLANK([2]NLFsmonkeyCompl!X26),"",[2]NLFsmonkeyCompl!X26*$M25),"")</f>
        <v/>
      </c>
      <c r="W25" s="8" t="str">
        <f>IFERROR(IF(ISBLANK([2]NLFsmonkeyCompl!Y26),"",[2]NLFsmonkeyCompl!Y26*$M25),"")</f>
        <v/>
      </c>
      <c r="X25" s="8" t="str">
        <f>IFERROR(IF(ISBLANK([2]NLFsmonkeyCompl!Z26),"",[2]NLFsmonkeyCompl!Z26*$M25),"")</f>
        <v/>
      </c>
      <c r="Y25" s="8" t="str">
        <f>IFERROR(IF(ISBLANK([2]NLFsmonkeyCompl!AA26),"",[2]NLFsmonkeyCompl!AA26*$M25),"")</f>
        <v/>
      </c>
      <c r="Z25" s="8" t="str">
        <f>IFERROR(IF(ISBLANK([2]NLFsmonkeyCompl!AB26),"",[2]NLFsmonkeyCompl!AB26*$M25),"")</f>
        <v/>
      </c>
      <c r="AA25" s="8" t="str">
        <f>IFERROR(IF(ISBLANK([2]NLFsmonkeyCompl!AC26),"",[2]NLFsmonkeyCompl!AC26*$M25),"")</f>
        <v/>
      </c>
      <c r="AB25" s="8" t="str">
        <f>IFERROR(IF(ISBLANK([2]NLFsmonkeyCompl!AD26),"",[2]NLFsmonkeyCompl!AD26),"")</f>
        <v/>
      </c>
      <c r="AC25" s="8" t="str">
        <f>IFERROR(IF(ISBLANK([2]NLFsmonkeyCompl!AE26),"",[2]NLFsmonkeyCompl!AE26),"")</f>
        <v/>
      </c>
      <c r="AD25" s="8">
        <f>IFERROR(IF(ISBLANK([2]NLFsmonkeyCompl!AF26),"",[2]NLFsmonkeyCompl!AF26),"")</f>
        <v>100</v>
      </c>
      <c r="AE25" s="8" t="str">
        <f>IFERROR(IF(ISBLANK([2]NLFsmonkeyCompl!AG26),"",[2]NLFsmonkeyCompl!AG26),"")</f>
        <v/>
      </c>
      <c r="AF25" s="8" t="str">
        <f>IFERROR(IF(ISBLANK([2]NLFsmonkeyCompl!AH26),"",[2]NLFsmonkeyCompl!AH26),"")</f>
        <v>Increase</v>
      </c>
      <c r="AG25" s="8" t="str">
        <f>IFERROR(IF(ISBLANK([2]NLFsmonkeyCompl!AI26),"",[2]NLFsmonkeyCompl!AI26),"")</f>
        <v>Yes</v>
      </c>
      <c r="AH25" t="str">
        <f>IFERROR(INDEX([2]VehiclesUniverse!$B$2:$EU$700,MATCH($C25,[2]VehiclesUniverse!$A$2:$A$700,0),MATCH($AH$1,[2]VehiclesUniverse!$B$1:$EU$1,0)),"")</f>
        <v/>
      </c>
    </row>
    <row r="26" spans="1:34" x14ac:dyDescent="0.2">
      <c r="A26" s="5" t="str">
        <f>IF(OR(ISTEXT([2]NLFsmonkeyCompl!J27),ISNUMBER([2]NLFsmonkeyCompl!J27)),[2]NLFsmonkeyCompl!J27,"")</f>
        <v>AXA Investment Managers Deutschland GmbH</v>
      </c>
      <c r="B26" s="6" t="str">
        <f>IF(OR(ISTEXT([2]NLFsmonkeyCompl!K27),ISNUMBER([2]NLFsmonkeyCompl!K27)),[2]NLFsmonkeyCompl!K27,"")</f>
        <v>ImmoWert</v>
      </c>
      <c r="C26" s="6">
        <v>18179</v>
      </c>
      <c r="D26" s="6" t="str">
        <f>IFERROR(INDEX([2]VehiclesUniverse!$B$2:$EU$700,MATCH(C26,[2]VehiclesUniverse!$A$2:$A$700,0),MATCH($D$1,[2]VehiclesUniverse!$B$1:$EU$1,0)),"")</f>
        <v>Core</v>
      </c>
      <c r="E26" s="6" t="str">
        <f>IFERROR(INDEX([2]VehiclesUniverse!$B$2:$EU$700,MATCH(C26,[2]VehiclesUniverse!$A$2:$A$700,0),MATCH($E$1,[2]VehiclesUniverse!$B$1:$EU$1,0)),"")</f>
        <v>multi country</v>
      </c>
      <c r="F26" s="6" t="str">
        <f>IF(IFERROR(INDEX([2]VehiclesUniverse!$B$2:$EU$700,MATCH($C26,[2]VehiclesUniverse!$A$2:$A$700,0),MATCH($F$1,[2]VehiclesUniverse!$B$1:$EU$1,0)),"")&lt;&gt;0,(IFERROR(INDEX([2]VehiclesUniverse!$B$2:$EU$700,MATCH($C26,[2]VehiclesUniverse!$A$2:$A$700,0),MATCH($F$1,[2]VehiclesUniverse!$B$1:$EU$1,0)),"")),"")</f>
        <v/>
      </c>
      <c r="G26" s="6" t="str">
        <f>IF(ISBLANK([2]NLFsmonkeyCompl!L27),"",[2]NLFsmonkeyCompl!L27)</f>
        <v>Closed end</v>
      </c>
      <c r="H26" s="6">
        <f>IFERROR(INDEX([2]VehiclesUniverse!$B$2:$EU$700,MATCH(C26,[2]VehiclesUniverse!$A$2:$A$700,0),MATCH($H$1,[2]VehiclesUniverse!$B$1:$EU$1,0)),"")</f>
        <v>2012</v>
      </c>
      <c r="I26" s="6" t="str">
        <f>IF(ISBLANK([2]NLFsmonkeyCompl!M27),"",[2]NLFsmonkeyCompl!M27)</f>
        <v>No</v>
      </c>
      <c r="J26" s="6" t="str">
        <f>IF(ISBLANK([2]NLFsmonkeyCompl!N27),"",[2]NLFsmonkeyCompl!N27)</f>
        <v>Other (please specify)</v>
      </c>
      <c r="K26" s="6" t="str">
        <f>IF(ISBLANK([2]NLFsmonkeyCompl!O27),"",[2]NLFsmonkeyCompl!O27)</f>
        <v>We didn't have to raise capital. Extra cash on bank account.</v>
      </c>
      <c r="L26" s="6" t="str">
        <f>IFERROR(INDEX([2]VehiclesUniverse!$B$2:$EU$700,MATCH(C26,[2]VehiclesUniverse!$A$2:$A$700,0),MATCH($L$1,[2]VehiclesUniverse!$B$1:$EU$1,0)),"")</f>
        <v>EUR</v>
      </c>
      <c r="M26" s="16">
        <f>IFERROR(VLOOKUP(L26,'[2]Xrate31.12.20'!$K$2:$N$25,3,0),"")</f>
        <v>1</v>
      </c>
      <c r="N26" s="8" t="str">
        <f>IFERROR(IF(ISBLANK([2]NLFsmonkeyCompl!P27),"",[2]NLFsmonkeyCompl!P27*$M26),"")</f>
        <v/>
      </c>
      <c r="O26" s="8" t="str">
        <f>IFERROR(IF(ISBLANK([2]NLFsmonkeyCompl!Q27),"",[2]NLFsmonkeyCompl!Q27*$M26),"")</f>
        <v/>
      </c>
      <c r="P26" s="8" t="str">
        <f>IFERROR(IF(ISBLANK([2]NLFsmonkeyCompl!R27),"",[2]NLFsmonkeyCompl!R27*$M26),"")</f>
        <v/>
      </c>
      <c r="Q26" s="8" t="str">
        <f>IFERROR(IF(ISBLANK([2]NLFsmonkeyCompl!S27),"",[2]NLFsmonkeyCompl!S27*$M26),"")</f>
        <v/>
      </c>
      <c r="R26" s="8" t="str">
        <f>IFERROR(IF(ISBLANK([2]NLFsmonkeyCompl!T27),"",[2]NLFsmonkeyCompl!T27*$M26),"")</f>
        <v/>
      </c>
      <c r="S26" s="8" t="str">
        <f>IFERROR(IF(ISBLANK([2]NLFsmonkeyCompl!U27),"",[2]NLFsmonkeyCompl!U27*$M26),"")</f>
        <v/>
      </c>
      <c r="T26" s="8" t="str">
        <f>IFERROR(IF(ISBLANK([2]NLFsmonkeyCompl!V27),"",[2]NLFsmonkeyCompl!V27*$M26),"")</f>
        <v/>
      </c>
      <c r="U26" s="8" t="str">
        <f>IFERROR(IF(ISBLANK([2]NLFsmonkeyCompl!W27),"",[2]NLFsmonkeyCompl!W27*$M26),"")</f>
        <v/>
      </c>
      <c r="V26" s="8" t="str">
        <f>IFERROR(IF(ISBLANK([2]NLFsmonkeyCompl!X27),"",[2]NLFsmonkeyCompl!X27*$M26),"")</f>
        <v/>
      </c>
      <c r="W26" s="8" t="str">
        <f>IFERROR(IF(ISBLANK([2]NLFsmonkeyCompl!Y27),"",[2]NLFsmonkeyCompl!Y27*$M26),"")</f>
        <v/>
      </c>
      <c r="X26" s="8" t="str">
        <f>IFERROR(IF(ISBLANK([2]NLFsmonkeyCompl!Z27),"",[2]NLFsmonkeyCompl!Z27*$M26),"")</f>
        <v/>
      </c>
      <c r="Y26" s="8" t="str">
        <f>IFERROR(IF(ISBLANK([2]NLFsmonkeyCompl!AA27),"",[2]NLFsmonkeyCompl!AA27*$M26),"")</f>
        <v/>
      </c>
      <c r="Z26" s="8" t="str">
        <f>IFERROR(IF(ISBLANK([2]NLFsmonkeyCompl!AB27),"",[2]NLFsmonkeyCompl!AB27*$M26),"")</f>
        <v/>
      </c>
      <c r="AA26" s="8" t="str">
        <f>IFERROR(IF(ISBLANK([2]NLFsmonkeyCompl!AC27),"",[2]NLFsmonkeyCompl!AC27*$M26),"")</f>
        <v/>
      </c>
      <c r="AB26" s="8" t="str">
        <f>IFERROR(IF(ISBLANK([2]NLFsmonkeyCompl!AD27),"",[2]NLFsmonkeyCompl!AD27),"")</f>
        <v/>
      </c>
      <c r="AC26" s="8" t="str">
        <f>IFERROR(IF(ISBLANK([2]NLFsmonkeyCompl!AE27),"",[2]NLFsmonkeyCompl!AE27),"")</f>
        <v/>
      </c>
      <c r="AD26" s="8" t="str">
        <f>IFERROR(IF(ISBLANK([2]NLFsmonkeyCompl!AF27),"",[2]NLFsmonkeyCompl!AF27),"")</f>
        <v/>
      </c>
      <c r="AE26" s="8" t="str">
        <f>IFERROR(IF(ISBLANK([2]NLFsmonkeyCompl!AG27),"",[2]NLFsmonkeyCompl!AG27),"")</f>
        <v/>
      </c>
      <c r="AF26" s="8" t="str">
        <f>IFERROR(IF(ISBLANK([2]NLFsmonkeyCompl!AH27),"",[2]NLFsmonkeyCompl!AH27),"")</f>
        <v>Increase</v>
      </c>
      <c r="AG26" s="8" t="str">
        <f>IFERROR(IF(ISBLANK([2]NLFsmonkeyCompl!AI27),"",[2]NLFsmonkeyCompl!AI27),"")</f>
        <v>No</v>
      </c>
      <c r="AH26">
        <f>IFERROR(INDEX([2]VehiclesUniverse!$B$2:$EU$700,MATCH($C26,[2]VehiclesUniverse!$A$2:$A$700,0),MATCH($AH$1,[2]VehiclesUniverse!$B$1:$EU$1,0)),"")</f>
        <v>322380418</v>
      </c>
    </row>
    <row r="27" spans="1:34" x14ac:dyDescent="0.2">
      <c r="A27" s="5" t="str">
        <f>IF(OR(ISTEXT([2]NLFsmonkeyCompl!J28),ISNUMBER([2]NLFsmonkeyCompl!J28)),[2]NLFsmonkeyCompl!J28,"")</f>
        <v>Genesta Nordic Real Estate Fund II FCP-SIF</v>
      </c>
      <c r="B27" s="6" t="str">
        <f>IF(OR(ISTEXT([2]NLFsmonkeyCompl!K28),ISNUMBER([2]NLFsmonkeyCompl!K28)),[2]NLFsmonkeyCompl!K28,"")</f>
        <v>Genesta Nordic Real Estate Fund II FCP-SIF</v>
      </c>
      <c r="C27" s="6">
        <v>18282</v>
      </c>
      <c r="D27" s="6" t="str">
        <f>IFERROR(INDEX([2]VehiclesUniverse!$B$2:$EU$700,MATCH(C27,[2]VehiclesUniverse!$A$2:$A$700,0),MATCH($D$1,[2]VehiclesUniverse!$B$1:$EU$1,0)),"")</f>
        <v>Value-added</v>
      </c>
      <c r="E27" s="6" t="str">
        <f>IFERROR(INDEX([2]VehiclesUniverse!$B$2:$EU$700,MATCH(C27,[2]VehiclesUniverse!$A$2:$A$700,0),MATCH($E$1,[2]VehiclesUniverse!$B$1:$EU$1,0)),"")</f>
        <v>multi country</v>
      </c>
      <c r="F27" s="6" t="str">
        <f>IF(IFERROR(INDEX([2]VehiclesUniverse!$B$2:$EU$700,MATCH($C27,[2]VehiclesUniverse!$A$2:$A$700,0),MATCH($F$1,[2]VehiclesUniverse!$B$1:$EU$1,0)),"")&lt;&gt;0,(IFERROR(INDEX([2]VehiclesUniverse!$B$2:$EU$700,MATCH($C27,[2]VehiclesUniverse!$A$2:$A$700,0),MATCH($F$1,[2]VehiclesUniverse!$B$1:$EU$1,0)),"")),"")</f>
        <v/>
      </c>
      <c r="G27" s="6" t="str">
        <f>IF(ISBLANK([2]NLFsmonkeyCompl!L28),"",[2]NLFsmonkeyCompl!L28)</f>
        <v>Closed end</v>
      </c>
      <c r="H27" s="6">
        <f>IFERROR(INDEX([2]VehiclesUniverse!$B$2:$EU$700,MATCH(C27,[2]VehiclesUniverse!$A$2:$A$700,0),MATCH($H$1,[2]VehiclesUniverse!$B$1:$EU$1,0)),"")</f>
        <v>2015</v>
      </c>
      <c r="I27" s="6" t="str">
        <f>IF(ISBLANK([2]NLFsmonkeyCompl!M28),"",[2]NLFsmonkeyCompl!M28)</f>
        <v>No</v>
      </c>
      <c r="J27" s="6" t="str">
        <f>IF(ISBLANK([2]NLFsmonkeyCompl!N28),"",[2]NLFsmonkeyCompl!N28)</f>
        <v>Other (please specify)</v>
      </c>
      <c r="K27" s="6" t="str">
        <f>IF(ISBLANK([2]NLFsmonkeyCompl!O28),"",[2]NLFsmonkeyCompl!O28)</f>
        <v>No capital raising needed</v>
      </c>
      <c r="L27" s="6" t="str">
        <f>IFERROR(INDEX([2]VehiclesUniverse!$B$2:$EU$700,MATCH(C27,[2]VehiclesUniverse!$A$2:$A$700,0),MATCH($L$1,[2]VehiclesUniverse!$B$1:$EU$1,0)),"")</f>
        <v>EUR</v>
      </c>
      <c r="M27" s="16">
        <f>IFERROR(VLOOKUP(L27,'[2]Xrate31.12.20'!$K$2:$N$25,3,0),"")</f>
        <v>1</v>
      </c>
      <c r="N27" s="8" t="str">
        <f>IFERROR(IF(ISBLANK([2]NLFsmonkeyCompl!P28),"",[2]NLFsmonkeyCompl!P28*$M27),"")</f>
        <v/>
      </c>
      <c r="O27" s="8" t="str">
        <f>IFERROR(IF(ISBLANK([2]NLFsmonkeyCompl!Q28),"",[2]NLFsmonkeyCompl!Q28*$M27),"")</f>
        <v/>
      </c>
      <c r="P27" s="8" t="str">
        <f>IFERROR(IF(ISBLANK([2]NLFsmonkeyCompl!R28),"",[2]NLFsmonkeyCompl!R28*$M27),"")</f>
        <v/>
      </c>
      <c r="Q27" s="8" t="str">
        <f>IFERROR(IF(ISBLANK([2]NLFsmonkeyCompl!S28),"",[2]NLFsmonkeyCompl!S28*$M27),"")</f>
        <v/>
      </c>
      <c r="R27" s="8" t="str">
        <f>IFERROR(IF(ISBLANK([2]NLFsmonkeyCompl!T28),"",[2]NLFsmonkeyCompl!T28*$M27),"")</f>
        <v/>
      </c>
      <c r="S27" s="8" t="str">
        <f>IFERROR(IF(ISBLANK([2]NLFsmonkeyCompl!U28),"",[2]NLFsmonkeyCompl!U28*$M27),"")</f>
        <v/>
      </c>
      <c r="T27" s="8" t="str">
        <f>IFERROR(IF(ISBLANK([2]NLFsmonkeyCompl!V28),"",[2]NLFsmonkeyCompl!V28*$M27),"")</f>
        <v/>
      </c>
      <c r="U27" s="8" t="str">
        <f>IFERROR(IF(ISBLANK([2]NLFsmonkeyCompl!W28),"",[2]NLFsmonkeyCompl!W28*$M27),"")</f>
        <v/>
      </c>
      <c r="V27" s="8" t="str">
        <f>IFERROR(IF(ISBLANK([2]NLFsmonkeyCompl!X28),"",[2]NLFsmonkeyCompl!X28*$M27),"")</f>
        <v/>
      </c>
      <c r="W27" s="8" t="str">
        <f>IFERROR(IF(ISBLANK([2]NLFsmonkeyCompl!Y28),"",[2]NLFsmonkeyCompl!Y28*$M27),"")</f>
        <v/>
      </c>
      <c r="X27" s="8" t="str">
        <f>IFERROR(IF(ISBLANK([2]NLFsmonkeyCompl!Z28),"",[2]NLFsmonkeyCompl!Z28*$M27),"")</f>
        <v/>
      </c>
      <c r="Y27" s="8" t="str">
        <f>IFERROR(IF(ISBLANK([2]NLFsmonkeyCompl!AA28),"",[2]NLFsmonkeyCompl!AA28*$M27),"")</f>
        <v/>
      </c>
      <c r="Z27" s="8" t="str">
        <f>IFERROR(IF(ISBLANK([2]NLFsmonkeyCompl!AB28),"",[2]NLFsmonkeyCompl!AB28*$M27),"")</f>
        <v/>
      </c>
      <c r="AA27" s="8" t="str">
        <f>IFERROR(IF(ISBLANK([2]NLFsmonkeyCompl!AC28),"",[2]NLFsmonkeyCompl!AC28*$M27),"")</f>
        <v/>
      </c>
      <c r="AB27" s="8" t="str">
        <f>IFERROR(IF(ISBLANK([2]NLFsmonkeyCompl!AD28),"",[2]NLFsmonkeyCompl!AD28),"")</f>
        <v/>
      </c>
      <c r="AC27" s="8" t="str">
        <f>IFERROR(IF(ISBLANK([2]NLFsmonkeyCompl!AE28),"",[2]NLFsmonkeyCompl!AE28),"")</f>
        <v/>
      </c>
      <c r="AD27" s="8" t="str">
        <f>IFERROR(IF(ISBLANK([2]NLFsmonkeyCompl!AF28),"",[2]NLFsmonkeyCompl!AF28),"")</f>
        <v/>
      </c>
      <c r="AE27" s="8" t="str">
        <f>IFERROR(IF(ISBLANK([2]NLFsmonkeyCompl!AG28),"",[2]NLFsmonkeyCompl!AG28),"")</f>
        <v/>
      </c>
      <c r="AF27" s="8" t="str">
        <f>IFERROR(IF(ISBLANK([2]NLFsmonkeyCompl!AH28),"",[2]NLFsmonkeyCompl!AH28),"")</f>
        <v>Increase</v>
      </c>
      <c r="AG27" s="8" t="str">
        <f>IFERROR(IF(ISBLANK([2]NLFsmonkeyCompl!AI28),"",[2]NLFsmonkeyCompl!AI28),"")</f>
        <v>No</v>
      </c>
      <c r="AH27">
        <f>IFERROR(INDEX([2]VehiclesUniverse!$B$2:$EU$700,MATCH($C27,[2]VehiclesUniverse!$A$2:$A$700,0),MATCH($AH$1,[2]VehiclesUniverse!$B$1:$EU$1,0)),"")</f>
        <v>509482500</v>
      </c>
    </row>
    <row r="28" spans="1:34" x14ac:dyDescent="0.2">
      <c r="A28" s="5" t="str">
        <f>IF(OR(ISTEXT([2]NLFsmonkeyCompl!J29),ISNUMBER([2]NLFsmonkeyCompl!J29)),[2]NLFsmonkeyCompl!J29,"")</f>
        <v>Genesta Nordic Real Estate Fund II FCP-SIF</v>
      </c>
      <c r="B28" s="6" t="str">
        <f>IF(OR(ISTEXT([2]NLFsmonkeyCompl!K29),ISNUMBER([2]NLFsmonkeyCompl!K29)),[2]NLFsmonkeyCompl!K29,"")</f>
        <v>Genesta Nordic Real Estate Fund II FCP-SIF</v>
      </c>
      <c r="C28" s="6">
        <v>18282</v>
      </c>
      <c r="D28" s="6" t="str">
        <f>IFERROR(INDEX([2]VehiclesUniverse!$B$2:$EU$700,MATCH(C28,[2]VehiclesUniverse!$A$2:$A$700,0),MATCH($D$1,[2]VehiclesUniverse!$B$1:$EU$1,0)),"")</f>
        <v>Value-added</v>
      </c>
      <c r="E28" s="6" t="str">
        <f>IFERROR(INDEX([2]VehiclesUniverse!$B$2:$EU$700,MATCH(C28,[2]VehiclesUniverse!$A$2:$A$700,0),MATCH($E$1,[2]VehiclesUniverse!$B$1:$EU$1,0)),"")</f>
        <v>multi country</v>
      </c>
      <c r="F28" s="6" t="str">
        <f>IF(IFERROR(INDEX([2]VehiclesUniverse!$B$2:$EU$700,MATCH($C28,[2]VehiclesUniverse!$A$2:$A$700,0),MATCH($F$1,[2]VehiclesUniverse!$B$1:$EU$1,0)),"")&lt;&gt;0,(IFERROR(INDEX([2]VehiclesUniverse!$B$2:$EU$700,MATCH($C28,[2]VehiclesUniverse!$A$2:$A$700,0),MATCH($F$1,[2]VehiclesUniverse!$B$1:$EU$1,0)),"")),"")</f>
        <v/>
      </c>
      <c r="G28" s="6" t="str">
        <f>IF(ISBLANK([2]NLFsmonkeyCompl!L29),"",[2]NLFsmonkeyCompl!L29)</f>
        <v>Closed end</v>
      </c>
      <c r="H28" s="6">
        <f>IFERROR(INDEX([2]VehiclesUniverse!$B$2:$EU$700,MATCH(C28,[2]VehiclesUniverse!$A$2:$A$700,0),MATCH($H$1,[2]VehiclesUniverse!$B$1:$EU$1,0)),"")</f>
        <v>2015</v>
      </c>
      <c r="I28" s="6" t="str">
        <f>IF(ISBLANK([2]NLFsmonkeyCompl!M29),"",[2]NLFsmonkeyCompl!M29)</f>
        <v>No</v>
      </c>
      <c r="J28" s="6" t="str">
        <f>IF(ISBLANK([2]NLFsmonkeyCompl!N29),"",[2]NLFsmonkeyCompl!N29)</f>
        <v>Other (please specify)</v>
      </c>
      <c r="K28" s="6" t="str">
        <f>IF(ISBLANK([2]NLFsmonkeyCompl!O29),"",[2]NLFsmonkeyCompl!O29)</f>
        <v>No capital raising required</v>
      </c>
      <c r="L28" s="6" t="str">
        <f>IFERROR(INDEX([2]VehiclesUniverse!$B$2:$EU$700,MATCH(C28,[2]VehiclesUniverse!$A$2:$A$700,0),MATCH($L$1,[2]VehiclesUniverse!$B$1:$EU$1,0)),"")</f>
        <v>EUR</v>
      </c>
      <c r="M28" s="16">
        <f>IFERROR(VLOOKUP(L28,'[2]Xrate31.12.20'!$K$2:$N$25,3,0),"")</f>
        <v>1</v>
      </c>
      <c r="N28" s="8" t="str">
        <f>IFERROR(IF(ISBLANK([2]NLFsmonkeyCompl!P29),"",[2]NLFsmonkeyCompl!P29*$M28),"")</f>
        <v/>
      </c>
      <c r="O28" s="8" t="str">
        <f>IFERROR(IF(ISBLANK([2]NLFsmonkeyCompl!Q29),"",[2]NLFsmonkeyCompl!Q29*$M28),"")</f>
        <v/>
      </c>
      <c r="P28" s="8" t="str">
        <f>IFERROR(IF(ISBLANK([2]NLFsmonkeyCompl!R29),"",[2]NLFsmonkeyCompl!R29*$M28),"")</f>
        <v/>
      </c>
      <c r="Q28" s="8" t="str">
        <f>IFERROR(IF(ISBLANK([2]NLFsmonkeyCompl!S29),"",[2]NLFsmonkeyCompl!S29*$M28),"")</f>
        <v/>
      </c>
      <c r="R28" s="8" t="str">
        <f>IFERROR(IF(ISBLANK([2]NLFsmonkeyCompl!T29),"",[2]NLFsmonkeyCompl!T29*$M28),"")</f>
        <v/>
      </c>
      <c r="S28" s="8" t="str">
        <f>IFERROR(IF(ISBLANK([2]NLFsmonkeyCompl!U29),"",[2]NLFsmonkeyCompl!U29*$M28),"")</f>
        <v/>
      </c>
      <c r="T28" s="8" t="str">
        <f>IFERROR(IF(ISBLANK([2]NLFsmonkeyCompl!V29),"",[2]NLFsmonkeyCompl!V29*$M28),"")</f>
        <v/>
      </c>
      <c r="U28" s="8" t="str">
        <f>IFERROR(IF(ISBLANK([2]NLFsmonkeyCompl!W29),"",[2]NLFsmonkeyCompl!W29*$M28),"")</f>
        <v/>
      </c>
      <c r="V28" s="8" t="str">
        <f>IFERROR(IF(ISBLANK([2]NLFsmonkeyCompl!X29),"",[2]NLFsmonkeyCompl!X29*$M28),"")</f>
        <v/>
      </c>
      <c r="W28" s="8" t="str">
        <f>IFERROR(IF(ISBLANK([2]NLFsmonkeyCompl!Y29),"",[2]NLFsmonkeyCompl!Y29*$M28),"")</f>
        <v/>
      </c>
      <c r="X28" s="8" t="str">
        <f>IFERROR(IF(ISBLANK([2]NLFsmonkeyCompl!Z29),"",[2]NLFsmonkeyCompl!Z29*$M28),"")</f>
        <v/>
      </c>
      <c r="Y28" s="8" t="str">
        <f>IFERROR(IF(ISBLANK([2]NLFsmonkeyCompl!AA29),"",[2]NLFsmonkeyCompl!AA29*$M28),"")</f>
        <v/>
      </c>
      <c r="Z28" s="8" t="str">
        <f>IFERROR(IF(ISBLANK([2]NLFsmonkeyCompl!AB29),"",[2]NLFsmonkeyCompl!AB29*$M28),"")</f>
        <v/>
      </c>
      <c r="AA28" s="8" t="str">
        <f>IFERROR(IF(ISBLANK([2]NLFsmonkeyCompl!AC29),"",[2]NLFsmonkeyCompl!AC29*$M28),"")</f>
        <v/>
      </c>
      <c r="AB28" s="8" t="str">
        <f>IFERROR(IF(ISBLANK([2]NLFsmonkeyCompl!AD29),"",[2]NLFsmonkeyCompl!AD29),"")</f>
        <v/>
      </c>
      <c r="AC28" s="8" t="str">
        <f>IFERROR(IF(ISBLANK([2]NLFsmonkeyCompl!AE29),"",[2]NLFsmonkeyCompl!AE29),"")</f>
        <v/>
      </c>
      <c r="AD28" s="8" t="str">
        <f>IFERROR(IF(ISBLANK([2]NLFsmonkeyCompl!AF29),"",[2]NLFsmonkeyCompl!AF29),"")</f>
        <v/>
      </c>
      <c r="AE28" s="8" t="str">
        <f>IFERROR(IF(ISBLANK([2]NLFsmonkeyCompl!AG29),"",[2]NLFsmonkeyCompl!AG29),"")</f>
        <v/>
      </c>
      <c r="AF28" s="8" t="str">
        <f>IFERROR(IF(ISBLANK([2]NLFsmonkeyCompl!AH29),"",[2]NLFsmonkeyCompl!AH29),"")</f>
        <v>Increase</v>
      </c>
      <c r="AG28" s="8" t="str">
        <f>IFERROR(IF(ISBLANK([2]NLFsmonkeyCompl!AI29),"",[2]NLFsmonkeyCompl!AI29),"")</f>
        <v>No</v>
      </c>
      <c r="AH28">
        <f>IFERROR(INDEX([2]VehiclesUniverse!$B$2:$EU$700,MATCH($C28,[2]VehiclesUniverse!$A$2:$A$700,0),MATCH($AH$1,[2]VehiclesUniverse!$B$1:$EU$1,0)),"")</f>
        <v>509482500</v>
      </c>
    </row>
    <row r="29" spans="1:34" x14ac:dyDescent="0.2">
      <c r="A29" s="5" t="str">
        <f>IF(OR(ISTEXT([2]NLFsmonkeyCompl!J30),ISNUMBER([2]NLFsmonkeyCompl!J30)),[2]NLFsmonkeyCompl!J30,"")</f>
        <v>Hearthstone Investment Management</v>
      </c>
      <c r="B29" s="6" t="str">
        <f>IF(OR(ISTEXT([2]NLFsmonkeyCompl!K30),ISNUMBER([2]NLFsmonkeyCompl!K30)),[2]NLFsmonkeyCompl!K30,"")</f>
        <v>Hearthstone Residential Fund 2</v>
      </c>
      <c r="C29" s="6">
        <v>19618</v>
      </c>
      <c r="D29" s="6" t="str">
        <f>IFERROR(INDEX([2]VehiclesUniverse!$B$2:$EU$700,MATCH(C29,[2]VehiclesUniverse!$A$2:$A$700,0),MATCH($D$1,[2]VehiclesUniverse!$B$1:$EU$1,0)),"")</f>
        <v>Core</v>
      </c>
      <c r="E29" s="6" t="str">
        <f>IFERROR(INDEX([2]VehiclesUniverse!$B$2:$EU$700,MATCH(C29,[2]VehiclesUniverse!$A$2:$A$700,0),MATCH($E$1,[2]VehiclesUniverse!$B$1:$EU$1,0)),"")</f>
        <v>single country</v>
      </c>
      <c r="F29" s="6" t="str">
        <f>IF(IFERROR(INDEX([2]VehiclesUniverse!$B$2:$EU$700,MATCH($C29,[2]VehiclesUniverse!$A$2:$A$700,0),MATCH($F$1,[2]VehiclesUniverse!$B$1:$EU$1,0)),"")&lt;&gt;0,(IFERROR(INDEX([2]VehiclesUniverse!$B$2:$EU$700,MATCH($C29,[2]VehiclesUniverse!$A$2:$A$700,0),MATCH($F$1,[2]VehiclesUniverse!$B$1:$EU$1,0)),"")),"")</f>
        <v>United Kingdom</v>
      </c>
      <c r="G29" s="6" t="str">
        <f>IF(ISBLANK([2]NLFsmonkeyCompl!L30),"",[2]NLFsmonkeyCompl!L30)</f>
        <v>Closed end</v>
      </c>
      <c r="H29" s="6">
        <f>IFERROR(INDEX([2]VehiclesUniverse!$B$2:$EU$700,MATCH(C29,[2]VehiclesUniverse!$A$2:$A$700,0),MATCH($H$1,[2]VehiclesUniverse!$B$1:$EU$1,0)),"")</f>
        <v>2020</v>
      </c>
      <c r="I29" s="6" t="str">
        <f>IF(ISBLANK([2]NLFsmonkeyCompl!M30),"",[2]NLFsmonkeyCompl!M30)</f>
        <v>Yes</v>
      </c>
      <c r="J29" s="6" t="str">
        <f>IF(ISBLANK([2]NLFsmonkeyCompl!N30),"",[2]NLFsmonkeyCompl!N30)</f>
        <v/>
      </c>
      <c r="K29" s="6" t="str">
        <f>IF(ISBLANK([2]NLFsmonkeyCompl!O30),"",[2]NLFsmonkeyCompl!O30)</f>
        <v/>
      </c>
      <c r="L29" s="6" t="str">
        <f>IFERROR(INDEX([2]VehiclesUniverse!$B$2:$EU$700,MATCH(C29,[2]VehiclesUniverse!$A$2:$A$700,0),MATCH($L$1,[2]VehiclesUniverse!$B$1:$EU$1,0)),"")</f>
        <v>GBP</v>
      </c>
      <c r="M29" s="16">
        <f>IFERROR(VLOOKUP(L29,'[2]Xrate31.12.20'!$K$2:$N$25,3,0),"")</f>
        <v>1.1130927885999999</v>
      </c>
      <c r="N29" s="8">
        <f>IFERROR(IF(ISBLANK([2]NLFsmonkeyCompl!P30),"",[2]NLFsmonkeyCompl!P30*$M29),"")</f>
        <v>107.97000049419999</v>
      </c>
      <c r="O29" s="8">
        <f>IFERROR(IF(ISBLANK([2]NLFsmonkeyCompl!Q30),"",[2]NLFsmonkeyCompl!Q30*$M29),"")</f>
        <v>107.97000049419999</v>
      </c>
      <c r="P29" s="8" t="str">
        <f>IFERROR(IF(ISBLANK([2]NLFsmonkeyCompl!R30),"",[2]NLFsmonkeyCompl!R30*$M29),"")</f>
        <v/>
      </c>
      <c r="Q29" s="8" t="str">
        <f>IFERROR(IF(ISBLANK([2]NLFsmonkeyCompl!S30),"",[2]NLFsmonkeyCompl!S30*$M29),"")</f>
        <v/>
      </c>
      <c r="R29" s="8" t="str">
        <f>IFERROR(IF(ISBLANK([2]NLFsmonkeyCompl!T30),"",[2]NLFsmonkeyCompl!T30*$M29),"")</f>
        <v/>
      </c>
      <c r="S29" s="8" t="str">
        <f>IFERROR(IF(ISBLANK([2]NLFsmonkeyCompl!U30),"",[2]NLFsmonkeyCompl!U30*$M29),"")</f>
        <v/>
      </c>
      <c r="T29" s="8" t="str">
        <f>IFERROR(IF(ISBLANK([2]NLFsmonkeyCompl!V30),"",[2]NLFsmonkeyCompl!V30*$M29),"")</f>
        <v/>
      </c>
      <c r="U29" s="8" t="str">
        <f>IFERROR(IF(ISBLANK([2]NLFsmonkeyCompl!W30),"",[2]NLFsmonkeyCompl!W30*$M29),"")</f>
        <v/>
      </c>
      <c r="V29" s="8" t="str">
        <f>IFERROR(IF(ISBLANK([2]NLFsmonkeyCompl!X30),"",[2]NLFsmonkeyCompl!X30*$M29),"")</f>
        <v/>
      </c>
      <c r="W29" s="8">
        <f>IFERROR(IF(ISBLANK([2]NLFsmonkeyCompl!Y30),"",[2]NLFsmonkeyCompl!Y30*$M29),"")</f>
        <v>107.97000049419999</v>
      </c>
      <c r="X29" s="8" t="str">
        <f>IFERROR(IF(ISBLANK([2]NLFsmonkeyCompl!Z30),"",[2]NLFsmonkeyCompl!Z30*$M29),"")</f>
        <v/>
      </c>
      <c r="Y29" s="8" t="str">
        <f>IFERROR(IF(ISBLANK([2]NLFsmonkeyCompl!AA30),"",[2]NLFsmonkeyCompl!AA30*$M29),"")</f>
        <v/>
      </c>
      <c r="Z29" s="8" t="str">
        <f>IFERROR(IF(ISBLANK([2]NLFsmonkeyCompl!AB30),"",[2]NLFsmonkeyCompl!AB30*$M29),"")</f>
        <v/>
      </c>
      <c r="AA29" s="8" t="str">
        <f>IFERROR(IF(ISBLANK([2]NLFsmonkeyCompl!AC30),"",[2]NLFsmonkeyCompl!AC30*$M29),"")</f>
        <v/>
      </c>
      <c r="AB29" s="8" t="str">
        <f>IFERROR(IF(ISBLANK([2]NLFsmonkeyCompl!AD30),"",[2]NLFsmonkeyCompl!AD30),"")</f>
        <v/>
      </c>
      <c r="AC29" s="8" t="str">
        <f>IFERROR(IF(ISBLANK([2]NLFsmonkeyCompl!AE30),"",[2]NLFsmonkeyCompl!AE30),"")</f>
        <v/>
      </c>
      <c r="AD29" s="8">
        <f>IFERROR(IF(ISBLANK([2]NLFsmonkeyCompl!AF30),"",[2]NLFsmonkeyCompl!AF30),"")</f>
        <v>100</v>
      </c>
      <c r="AE29" s="8" t="str">
        <f>IFERROR(IF(ISBLANK([2]NLFsmonkeyCompl!AG30),"",[2]NLFsmonkeyCompl!AG30),"")</f>
        <v/>
      </c>
      <c r="AF29" s="8" t="str">
        <f>IFERROR(IF(ISBLANK([2]NLFsmonkeyCompl!AH30),"",[2]NLFsmonkeyCompl!AH30),"")</f>
        <v>Increase</v>
      </c>
      <c r="AG29" s="8" t="str">
        <f>IFERROR(IF(ISBLANK([2]NLFsmonkeyCompl!AI30),"",[2]NLFsmonkeyCompl!AI30),"")</f>
        <v>Yes</v>
      </c>
      <c r="AH29">
        <f>IFERROR(INDEX([2]VehiclesUniverse!$B$2:$EU$700,MATCH($C29,[2]VehiclesUniverse!$A$2:$A$700,0),MATCH($AH$1,[2]VehiclesUniverse!$B$1:$EU$1,0)),"")</f>
        <v>0</v>
      </c>
    </row>
    <row r="30" spans="1:34" x14ac:dyDescent="0.2">
      <c r="A30" s="5" t="str">
        <f>IF(OR(ISTEXT([2]NLFsmonkeyCompl!J31),ISNUMBER([2]NLFsmonkeyCompl!J31)),[2]NLFsmonkeyCompl!J31,"")</f>
        <v>Prologis</v>
      </c>
      <c r="B30" s="6" t="str">
        <f>IF(OR(ISTEXT([2]NLFsmonkeyCompl!K31),ISNUMBER([2]NLFsmonkeyCompl!K31)),[2]NLFsmonkeyCompl!K31,"")</f>
        <v>Prologis Targeted U.S. Logistics Fund, L.P.</v>
      </c>
      <c r="C30" s="6" t="s">
        <v>42</v>
      </c>
      <c r="D30" s="6" t="str">
        <f>IFERROR(INDEX([2]VehiclesUniverse!$B$2:$EU$700,MATCH(C30,[2]VehiclesUniverse!$A$2:$A$700,0),MATCH($D$1,[2]VehiclesUniverse!$B$1:$EU$1,0)),"")</f>
        <v/>
      </c>
      <c r="E30" s="6" t="str">
        <f>IFERROR(INDEX([2]VehiclesUniverse!$B$2:$EU$700,MATCH(C30,[2]VehiclesUniverse!$A$2:$A$700,0),MATCH($E$1,[2]VehiclesUniverse!$B$1:$EU$1,0)),"")</f>
        <v/>
      </c>
      <c r="F30" s="6" t="str">
        <f>IF(IFERROR(INDEX([2]VehiclesUniverse!$B$2:$EU$700,MATCH($C30,[2]VehiclesUniverse!$A$2:$A$700,0),MATCH($F$1,[2]VehiclesUniverse!$B$1:$EU$1,0)),"")&lt;&gt;0,(IFERROR(INDEX([2]VehiclesUniverse!$B$2:$EU$700,MATCH($C30,[2]VehiclesUniverse!$A$2:$A$700,0),MATCH($F$1,[2]VehiclesUniverse!$B$1:$EU$1,0)),"")),"")</f>
        <v/>
      </c>
      <c r="G30" s="6"/>
      <c r="H30" s="6" t="str">
        <f>IFERROR(INDEX([2]VehiclesUniverse!$B$2:$EU$700,MATCH(C30,[2]VehiclesUniverse!$A$2:$A$700,0),MATCH($H$1,[2]VehiclesUniverse!$B$1:$EU$1,0)),"")</f>
        <v/>
      </c>
      <c r="I30" s="6" t="str">
        <f>IF(ISBLANK([2]NLFsmonkeyCompl!M31),"",[2]NLFsmonkeyCompl!M31)</f>
        <v>Yes</v>
      </c>
      <c r="J30" s="6" t="str">
        <f>IF(ISBLANK([2]NLFsmonkeyCompl!N31),"",[2]NLFsmonkeyCompl!N31)</f>
        <v/>
      </c>
      <c r="K30" s="6" t="str">
        <f>IF(ISBLANK([2]NLFsmonkeyCompl!O31),"",[2]NLFsmonkeyCompl!O31)</f>
        <v/>
      </c>
      <c r="L30" s="6" t="str">
        <f>IFERROR(INDEX([2]VehiclesUniverse!$B$2:$EU$700,MATCH(C30,[2]VehiclesUniverse!$A$2:$A$700,0),MATCH($L$1,[2]VehiclesUniverse!$B$1:$EU$1,0)),"")</f>
        <v/>
      </c>
      <c r="M30" s="16" t="str">
        <f>IFERROR(VLOOKUP(L30,'[2]Xrate31.12.20'!$K$2:$N$25,3,0),"")</f>
        <v/>
      </c>
      <c r="N30" s="8" t="str">
        <f>IFERROR(IF(ISBLANK([2]NLFsmonkeyCompl!P31),"",[2]NLFsmonkeyCompl!P31*$M30),"")</f>
        <v/>
      </c>
      <c r="O30" s="8" t="str">
        <f>IFERROR(IF(ISBLANK([2]NLFsmonkeyCompl!Q31),"",[2]NLFsmonkeyCompl!Q31*$M30),"")</f>
        <v/>
      </c>
      <c r="P30" s="8" t="str">
        <f>IFERROR(IF(ISBLANK([2]NLFsmonkeyCompl!R31),"",[2]NLFsmonkeyCompl!R31*$M30),"")</f>
        <v/>
      </c>
      <c r="Q30" s="8" t="str">
        <f>IFERROR(IF(ISBLANK([2]NLFsmonkeyCompl!S31),"",[2]NLFsmonkeyCompl!S31*$M30),"")</f>
        <v/>
      </c>
      <c r="R30" s="8" t="str">
        <f>IFERROR(IF(ISBLANK([2]NLFsmonkeyCompl!T31),"",[2]NLFsmonkeyCompl!T31*$M30),"")</f>
        <v/>
      </c>
      <c r="S30" s="8" t="str">
        <f>IFERROR(IF(ISBLANK([2]NLFsmonkeyCompl!U31),"",[2]NLFsmonkeyCompl!U31*$M30),"")</f>
        <v/>
      </c>
      <c r="T30" s="8" t="str">
        <f>IFERROR(IF(ISBLANK([2]NLFsmonkeyCompl!V31),"",[2]NLFsmonkeyCompl!V31*$M30),"")</f>
        <v/>
      </c>
      <c r="U30" s="8" t="str">
        <f>IFERROR(IF(ISBLANK([2]NLFsmonkeyCompl!W31),"",[2]NLFsmonkeyCompl!W31*$M30),"")</f>
        <v/>
      </c>
      <c r="V30" s="8" t="str">
        <f>IFERROR(IF(ISBLANK([2]NLFsmonkeyCompl!X31),"",[2]NLFsmonkeyCompl!X31*$M30),"")</f>
        <v/>
      </c>
      <c r="W30" s="8" t="str">
        <f>IFERROR(IF(ISBLANK([2]NLFsmonkeyCompl!Y31),"",[2]NLFsmonkeyCompl!Y31*$M30),"")</f>
        <v/>
      </c>
      <c r="X30" s="8" t="str">
        <f>IFERROR(IF(ISBLANK([2]NLFsmonkeyCompl!Z31),"",[2]NLFsmonkeyCompl!Z31*$M30),"")</f>
        <v/>
      </c>
      <c r="Y30" s="8" t="str">
        <f>IFERROR(IF(ISBLANK([2]NLFsmonkeyCompl!AA31),"",[2]NLFsmonkeyCompl!AA31*$M30),"")</f>
        <v/>
      </c>
      <c r="Z30" s="8" t="str">
        <f>IFERROR(IF(ISBLANK([2]NLFsmonkeyCompl!AB31),"",[2]NLFsmonkeyCompl!AB31*$M30),"")</f>
        <v/>
      </c>
      <c r="AA30" s="8" t="str">
        <f>IFERROR(IF(ISBLANK([2]NLFsmonkeyCompl!AC31),"",[2]NLFsmonkeyCompl!AC31*$M30),"")</f>
        <v/>
      </c>
      <c r="AB30" s="8" t="str">
        <f>IFERROR(IF(ISBLANK([2]NLFsmonkeyCompl!AD31),"",[2]NLFsmonkeyCompl!AD31),"")</f>
        <v/>
      </c>
      <c r="AC30" s="8" t="str">
        <f>IFERROR(IF(ISBLANK([2]NLFsmonkeyCompl!AE31),"",[2]NLFsmonkeyCompl!AE31),"")</f>
        <v/>
      </c>
      <c r="AD30" s="8">
        <f>IFERROR(IF(ISBLANK([2]NLFsmonkeyCompl!AF31),"",[2]NLFsmonkeyCompl!AF31),"")</f>
        <v>100</v>
      </c>
      <c r="AE30" s="8" t="str">
        <f>IFERROR(IF(ISBLANK([2]NLFsmonkeyCompl!AG31),"",[2]NLFsmonkeyCompl!AG31),"")</f>
        <v/>
      </c>
      <c r="AF30" s="8" t="str">
        <f>IFERROR(IF(ISBLANK([2]NLFsmonkeyCompl!AH31),"",[2]NLFsmonkeyCompl!AH31),"")</f>
        <v>Increase</v>
      </c>
      <c r="AG30" s="8" t="str">
        <f>IFERROR(IF(ISBLANK([2]NLFsmonkeyCompl!AI31),"",[2]NLFsmonkeyCompl!AI31),"")</f>
        <v>Yes</v>
      </c>
      <c r="AH30" t="str">
        <f>IFERROR(INDEX([2]VehiclesUniverse!$B$2:$EU$700,MATCH($C30,[2]VehiclesUniverse!$A$2:$A$700,0),MATCH($AH$1,[2]VehiclesUniverse!$B$1:$EU$1,0)),"")</f>
        <v/>
      </c>
    </row>
    <row r="31" spans="1:34" x14ac:dyDescent="0.2">
      <c r="A31" s="5" t="str">
        <f>IF(OR(ISTEXT([2]NLFsmonkeyCompl!J32),ISNUMBER([2]NLFsmonkeyCompl!J32)),[2]NLFsmonkeyCompl!J32,"")</f>
        <v>Prologis</v>
      </c>
      <c r="B31" s="6" t="str">
        <f>IF(OR(ISTEXT([2]NLFsmonkeyCompl!K32),ISNUMBER([2]NLFsmonkeyCompl!K32)),[2]NLFsmonkeyCompl!K32,"")</f>
        <v>Prologis China Core Logistics Fund, LP</v>
      </c>
      <c r="C31" s="6" t="s">
        <v>43</v>
      </c>
      <c r="D31" s="6" t="str">
        <f>IFERROR(INDEX([2]VehiclesUniverse!$B$2:$EU$700,MATCH(C31,[2]VehiclesUniverse!$A$2:$A$700,0),MATCH($D$1,[2]VehiclesUniverse!$B$1:$EU$1,0)),"")</f>
        <v/>
      </c>
      <c r="E31" s="6" t="str">
        <f>IFERROR(INDEX([2]VehiclesUniverse!$B$2:$EU$700,MATCH(C31,[2]VehiclesUniverse!$A$2:$A$700,0),MATCH($E$1,[2]VehiclesUniverse!$B$1:$EU$1,0)),"")</f>
        <v/>
      </c>
      <c r="F31" s="6" t="str">
        <f>IF(IFERROR(INDEX([2]VehiclesUniverse!$B$2:$EU$700,MATCH($C31,[2]VehiclesUniverse!$A$2:$A$700,0),MATCH($F$1,[2]VehiclesUniverse!$B$1:$EU$1,0)),"")&lt;&gt;0,(IFERROR(INDEX([2]VehiclesUniverse!$B$2:$EU$700,MATCH($C31,[2]VehiclesUniverse!$A$2:$A$700,0),MATCH($F$1,[2]VehiclesUniverse!$B$1:$EU$1,0)),"")),"")</f>
        <v/>
      </c>
      <c r="G31" s="6"/>
      <c r="H31" s="6" t="str">
        <f>IFERROR(INDEX([2]VehiclesUniverse!$B$2:$EU$700,MATCH(C31,[2]VehiclesUniverse!$A$2:$A$700,0),MATCH($H$1,[2]VehiclesUniverse!$B$1:$EU$1,0)),"")</f>
        <v/>
      </c>
      <c r="I31" s="6" t="str">
        <f>IF(ISBLANK([2]NLFsmonkeyCompl!M32),"",[2]NLFsmonkeyCompl!M32)</f>
        <v>Yes</v>
      </c>
      <c r="J31" s="6" t="str">
        <f>IF(ISBLANK([2]NLFsmonkeyCompl!N32),"",[2]NLFsmonkeyCompl!N32)</f>
        <v/>
      </c>
      <c r="K31" s="6" t="str">
        <f>IF(ISBLANK([2]NLFsmonkeyCompl!O32),"",[2]NLFsmonkeyCompl!O32)</f>
        <v/>
      </c>
      <c r="L31" s="6" t="str">
        <f>IFERROR(INDEX([2]VehiclesUniverse!$B$2:$EU$700,MATCH(C31,[2]VehiclesUniverse!$A$2:$A$700,0),MATCH($L$1,[2]VehiclesUniverse!$B$1:$EU$1,0)),"")</f>
        <v/>
      </c>
      <c r="M31" s="16" t="str">
        <f>IFERROR(VLOOKUP(L31,'[2]Xrate31.12.20'!$K$2:$N$25,3,0),"")</f>
        <v/>
      </c>
      <c r="N31" s="8" t="str">
        <f>IFERROR(IF(ISBLANK([2]NLFsmonkeyCompl!P32),"",[2]NLFsmonkeyCompl!P32*$M31),"")</f>
        <v/>
      </c>
      <c r="O31" s="8" t="str">
        <f>IFERROR(IF(ISBLANK([2]NLFsmonkeyCompl!Q32),"",[2]NLFsmonkeyCompl!Q32*$M31),"")</f>
        <v/>
      </c>
      <c r="P31" s="8" t="str">
        <f>IFERROR(IF(ISBLANK([2]NLFsmonkeyCompl!R32),"",[2]NLFsmonkeyCompl!R32*$M31),"")</f>
        <v/>
      </c>
      <c r="Q31" s="8" t="str">
        <f>IFERROR(IF(ISBLANK([2]NLFsmonkeyCompl!S32),"",[2]NLFsmonkeyCompl!S32*$M31),"")</f>
        <v/>
      </c>
      <c r="R31" s="8" t="str">
        <f>IFERROR(IF(ISBLANK([2]NLFsmonkeyCompl!T32),"",[2]NLFsmonkeyCompl!T32*$M31),"")</f>
        <v/>
      </c>
      <c r="S31" s="8" t="str">
        <f>IFERROR(IF(ISBLANK([2]NLFsmonkeyCompl!U32),"",[2]NLFsmonkeyCompl!U32*$M31),"")</f>
        <v/>
      </c>
      <c r="T31" s="8" t="str">
        <f>IFERROR(IF(ISBLANK([2]NLFsmonkeyCompl!V32),"",[2]NLFsmonkeyCompl!V32*$M31),"")</f>
        <v/>
      </c>
      <c r="U31" s="8" t="str">
        <f>IFERROR(IF(ISBLANK([2]NLFsmonkeyCompl!W32),"",[2]NLFsmonkeyCompl!W32*$M31),"")</f>
        <v/>
      </c>
      <c r="V31" s="8" t="str">
        <f>IFERROR(IF(ISBLANK([2]NLFsmonkeyCompl!X32),"",[2]NLFsmonkeyCompl!X32*$M31),"")</f>
        <v/>
      </c>
      <c r="W31" s="8" t="str">
        <f>IFERROR(IF(ISBLANK([2]NLFsmonkeyCompl!Y32),"",[2]NLFsmonkeyCompl!Y32*$M31),"")</f>
        <v/>
      </c>
      <c r="X31" s="8" t="str">
        <f>IFERROR(IF(ISBLANK([2]NLFsmonkeyCompl!Z32),"",[2]NLFsmonkeyCompl!Z32*$M31),"")</f>
        <v/>
      </c>
      <c r="Y31" s="8" t="str">
        <f>IFERROR(IF(ISBLANK([2]NLFsmonkeyCompl!AA32),"",[2]NLFsmonkeyCompl!AA32*$M31),"")</f>
        <v/>
      </c>
      <c r="Z31" s="8" t="str">
        <f>IFERROR(IF(ISBLANK([2]NLFsmonkeyCompl!AB32),"",[2]NLFsmonkeyCompl!AB32*$M31),"")</f>
        <v/>
      </c>
      <c r="AA31" s="8" t="str">
        <f>IFERROR(IF(ISBLANK([2]NLFsmonkeyCompl!AC32),"",[2]NLFsmonkeyCompl!AC32*$M31),"")</f>
        <v/>
      </c>
      <c r="AB31" s="8" t="str">
        <f>IFERROR(IF(ISBLANK([2]NLFsmonkeyCompl!AD32),"",[2]NLFsmonkeyCompl!AD32),"")</f>
        <v/>
      </c>
      <c r="AC31" s="8" t="str">
        <f>IFERROR(IF(ISBLANK([2]NLFsmonkeyCompl!AE32),"",[2]NLFsmonkeyCompl!AE32),"")</f>
        <v/>
      </c>
      <c r="AD31" s="8">
        <f>IFERROR(IF(ISBLANK([2]NLFsmonkeyCompl!AF32),"",[2]NLFsmonkeyCompl!AF32),"")</f>
        <v>100</v>
      </c>
      <c r="AE31" s="8" t="str">
        <f>IFERROR(IF(ISBLANK([2]NLFsmonkeyCompl!AG32),"",[2]NLFsmonkeyCompl!AG32),"")</f>
        <v/>
      </c>
      <c r="AF31" s="8" t="str">
        <f>IFERROR(IF(ISBLANK([2]NLFsmonkeyCompl!AH32),"",[2]NLFsmonkeyCompl!AH32),"")</f>
        <v>Increase</v>
      </c>
      <c r="AG31" s="8" t="str">
        <f>IFERROR(IF(ISBLANK([2]NLFsmonkeyCompl!AI32),"",[2]NLFsmonkeyCompl!AI32),"")</f>
        <v>Yes</v>
      </c>
      <c r="AH31" t="str">
        <f>IFERROR(INDEX([2]VehiclesUniverse!$B$2:$EU$700,MATCH($C31,[2]VehiclesUniverse!$A$2:$A$700,0),MATCH($AH$1,[2]VehiclesUniverse!$B$1:$EU$1,0)),"")</f>
        <v/>
      </c>
    </row>
    <row r="32" spans="1:34" x14ac:dyDescent="0.2">
      <c r="A32" s="5" t="str">
        <f>IF(OR(ISTEXT([2]NLFsmonkeyCompl!J33),ISNUMBER([2]NLFsmonkeyCompl!J33)),[2]NLFsmonkeyCompl!J33,"")</f>
        <v>Prologis</v>
      </c>
      <c r="B32" s="6" t="str">
        <f>IF(OR(ISTEXT([2]NLFsmonkeyCompl!K33),ISNUMBER([2]NLFsmonkeyCompl!K33)),[2]NLFsmonkeyCompl!K33,"")</f>
        <v>Prologis European Logistics Fund, FCP-FIS</v>
      </c>
      <c r="C32" s="6">
        <v>375</v>
      </c>
      <c r="D32" s="6" t="str">
        <f>IFERROR(INDEX([2]VehiclesUniverse!$B$2:$EU$700,MATCH(C32,[2]VehiclesUniverse!$A$2:$A$700,0),MATCH($D$1,[2]VehiclesUniverse!$B$1:$EU$1,0)),"")</f>
        <v>Core</v>
      </c>
      <c r="E32" s="6" t="str">
        <f>IFERROR(INDEX([2]VehiclesUniverse!$B$2:$EU$700,MATCH(C32,[2]VehiclesUniverse!$A$2:$A$700,0),MATCH($E$1,[2]VehiclesUniverse!$B$1:$EU$1,0)),"")</f>
        <v>multi country</v>
      </c>
      <c r="F32" s="6" t="str">
        <f>IF(IFERROR(INDEX([2]VehiclesUniverse!$B$2:$EU$700,MATCH($C32,[2]VehiclesUniverse!$A$2:$A$700,0),MATCH($F$1,[2]VehiclesUniverse!$B$1:$EU$1,0)),"")&lt;&gt;0,(IFERROR(INDEX([2]VehiclesUniverse!$B$2:$EU$700,MATCH($C32,[2]VehiclesUniverse!$A$2:$A$700,0),MATCH($F$1,[2]VehiclesUniverse!$B$1:$EU$1,0)),"")),"")</f>
        <v/>
      </c>
      <c r="G32" s="6" t="str">
        <f>IF(ISBLANK([2]NLFsmonkeyCompl!L33),"",[2]NLFsmonkeyCompl!L33)</f>
        <v>Open end</v>
      </c>
      <c r="H32" s="6">
        <f>IFERROR(INDEX([2]VehiclesUniverse!$B$2:$EU$700,MATCH(C32,[2]VehiclesUniverse!$A$2:$A$700,0),MATCH($H$1,[2]VehiclesUniverse!$B$1:$EU$1,0)),"")</f>
        <v>2007</v>
      </c>
      <c r="I32" s="6" t="str">
        <f>IF(ISBLANK([2]NLFsmonkeyCompl!M33),"",[2]NLFsmonkeyCompl!M33)</f>
        <v>Yes</v>
      </c>
      <c r="J32" s="6" t="str">
        <f>IF(ISBLANK([2]NLFsmonkeyCompl!N33),"",[2]NLFsmonkeyCompl!N33)</f>
        <v/>
      </c>
      <c r="K32" s="6" t="str">
        <f>IF(ISBLANK([2]NLFsmonkeyCompl!O33),"",[2]NLFsmonkeyCompl!O33)</f>
        <v/>
      </c>
      <c r="L32" s="6" t="str">
        <f>IFERROR(INDEX([2]VehiclesUniverse!$B$2:$EU$700,MATCH(C32,[2]VehiclesUniverse!$A$2:$A$700,0),MATCH($L$1,[2]VehiclesUniverse!$B$1:$EU$1,0)),"")</f>
        <v>EUR</v>
      </c>
      <c r="M32" s="16">
        <f>IFERROR(VLOOKUP(L32,'[2]Xrate31.12.20'!$K$2:$N$25,3,0),"")</f>
        <v>1</v>
      </c>
      <c r="N32" s="8">
        <f>IFERROR(IF(ISBLANK([2]NLFsmonkeyCompl!P33),"",[2]NLFsmonkeyCompl!P33*$M32),"")</f>
        <v>1151</v>
      </c>
      <c r="O32" s="8">
        <f>IFERROR(IF(ISBLANK([2]NLFsmonkeyCompl!Q33),"",[2]NLFsmonkeyCompl!Q33*$M32),"")</f>
        <v>196</v>
      </c>
      <c r="P32" s="8">
        <f>IFERROR(IF(ISBLANK([2]NLFsmonkeyCompl!R33),"",[2]NLFsmonkeyCompl!R33*$M32),"")</f>
        <v>185</v>
      </c>
      <c r="Q32" s="8">
        <f>IFERROR(IF(ISBLANK([2]NLFsmonkeyCompl!S33),"",[2]NLFsmonkeyCompl!S33*$M32),"")</f>
        <v>3</v>
      </c>
      <c r="R32" s="8" t="str">
        <f>IFERROR(IF(ISBLANK([2]NLFsmonkeyCompl!T33),"",[2]NLFsmonkeyCompl!T33*$M32),"")</f>
        <v/>
      </c>
      <c r="S32" s="8">
        <f>IFERROR(IF(ISBLANK([2]NLFsmonkeyCompl!U33),"",[2]NLFsmonkeyCompl!U33*$M32),"")</f>
        <v>279</v>
      </c>
      <c r="T32" s="8">
        <f>IFERROR(IF(ISBLANK([2]NLFsmonkeyCompl!V33),"",[2]NLFsmonkeyCompl!V33*$M32),"")</f>
        <v>200</v>
      </c>
      <c r="U32" s="8" t="str">
        <f>IFERROR(IF(ISBLANK([2]NLFsmonkeyCompl!W33),"",[2]NLFsmonkeyCompl!W33*$M32),"")</f>
        <v/>
      </c>
      <c r="V32" s="8">
        <f>IFERROR(IF(ISBLANK([2]NLFsmonkeyCompl!X33),"",[2]NLFsmonkeyCompl!X33*$M32),"")</f>
        <v>288</v>
      </c>
      <c r="W32" s="8">
        <f>IFERROR(IF(ISBLANK([2]NLFsmonkeyCompl!Y33),"",[2]NLFsmonkeyCompl!Y33*$M32),"")</f>
        <v>822</v>
      </c>
      <c r="X32" s="8">
        <f>IFERROR(IF(ISBLANK([2]NLFsmonkeyCompl!Z33),"",[2]NLFsmonkeyCompl!Z33*$M32),"")</f>
        <v>329</v>
      </c>
      <c r="Y32" s="8" t="str">
        <f>IFERROR(IF(ISBLANK([2]NLFsmonkeyCompl!AA33),"",[2]NLFsmonkeyCompl!AA33*$M32),"")</f>
        <v/>
      </c>
      <c r="Z32" s="8" t="str">
        <f>IFERROR(IF(ISBLANK([2]NLFsmonkeyCompl!AB33),"",[2]NLFsmonkeyCompl!AB33*$M32),"")</f>
        <v/>
      </c>
      <c r="AA32" s="8" t="str">
        <f>IFERROR(IF(ISBLANK([2]NLFsmonkeyCompl!AC33),"",[2]NLFsmonkeyCompl!AC33*$M32),"")</f>
        <v/>
      </c>
      <c r="AB32" s="8" t="str">
        <f>IFERROR(IF(ISBLANK([2]NLFsmonkeyCompl!AD33),"",[2]NLFsmonkeyCompl!AD33),"")</f>
        <v/>
      </c>
      <c r="AC32" s="8" t="str">
        <f>IFERROR(IF(ISBLANK([2]NLFsmonkeyCompl!AE33),"",[2]NLFsmonkeyCompl!AE33),"")</f>
        <v/>
      </c>
      <c r="AD32" s="8">
        <f>IFERROR(IF(ISBLANK([2]NLFsmonkeyCompl!AF33),"",[2]NLFsmonkeyCompl!AF33),"")</f>
        <v>100</v>
      </c>
      <c r="AE32" s="8" t="str">
        <f>IFERROR(IF(ISBLANK([2]NLFsmonkeyCompl!AG33),"",[2]NLFsmonkeyCompl!AG33),"")</f>
        <v/>
      </c>
      <c r="AF32" s="8" t="str">
        <f>IFERROR(IF(ISBLANK([2]NLFsmonkeyCompl!AH33),"",[2]NLFsmonkeyCompl!AH33),"")</f>
        <v>Increase</v>
      </c>
      <c r="AG32" s="8" t="str">
        <f>IFERROR(IF(ISBLANK([2]NLFsmonkeyCompl!AI33),"",[2]NLFsmonkeyCompl!AI33),"")</f>
        <v>Yes</v>
      </c>
      <c r="AH32">
        <f>IFERROR(INDEX([2]VehiclesUniverse!$B$2:$EU$700,MATCH($C32,[2]VehiclesUniverse!$A$2:$A$700,0),MATCH($AH$1,[2]VehiclesUniverse!$B$1:$EU$1,0)),"")</f>
        <v>14089303897</v>
      </c>
    </row>
    <row r="33" spans="1:34" x14ac:dyDescent="0.2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 t="str">
        <f>IFERROR(INDEX([2]VehiclesUniverse!$B$2:$EU$700,MATCH(C33,[2]VehiclesUniverse!$A$2:$A$700,0),MATCH($L$1,[2]VehiclesUniverse!$B$1:$EU$1,0)),"")</f>
        <v/>
      </c>
      <c r="M33" s="16" t="str">
        <f>IFERROR(VLOOKUP(L33,'[2]Xrate31.12.20'!$K$2:$N$25,3,0),"")</f>
        <v/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t="str">
        <f>IFERROR(INDEX([2]VehiclesUniverse!$B$2:$EU$700,MATCH($C33,[2]VehiclesUniverse!$A$2:$A$700,0),MATCH($AH$1,[2]VehiclesUniverse!$B$1:$EU$1,0)),"")</f>
        <v/>
      </c>
    </row>
    <row r="34" spans="1:34" x14ac:dyDescent="0.2">
      <c r="A34" s="5" t="str">
        <f>IF(OR(ISTEXT([2]NLFsmonkeyCompl!J35),ISNUMBER([2]NLFsmonkeyCompl!J35)),[2]NLFsmonkeyCompl!J35,"")</f>
        <v>Harbert Management Corporation ("HMC")</v>
      </c>
      <c r="B34" s="6" t="str">
        <f>IF(OR(ISTEXT([2]NLFsmonkeyCompl!K35),ISNUMBER([2]NLFsmonkeyCompl!K35)),[2]NLFsmonkeyCompl!K35,"")</f>
        <v>Harbert United States Real Estate Fund VII, LP</v>
      </c>
      <c r="C34" s="6" t="s">
        <v>42</v>
      </c>
      <c r="D34" s="6" t="str">
        <f>IFERROR(INDEX([2]VehiclesUniverse!$B$2:$EU$700,MATCH(C34,[2]VehiclesUniverse!$A$2:$A$700,0),MATCH($D$1,[2]VehiclesUniverse!$B$1:$EU$1,0)),"")</f>
        <v/>
      </c>
      <c r="E34" s="6" t="str">
        <f>IFERROR(INDEX([2]VehiclesUniverse!$B$2:$EU$700,MATCH(C34,[2]VehiclesUniverse!$A$2:$A$700,0),MATCH($E$1,[2]VehiclesUniverse!$B$1:$EU$1,0)),"")</f>
        <v/>
      </c>
      <c r="F34" s="6" t="str">
        <f>IF(IFERROR(INDEX([2]VehiclesUniverse!$B$2:$EU$700,MATCH($C34,[2]VehiclesUniverse!$A$2:$A$700,0),MATCH($F$1,[2]VehiclesUniverse!$B$1:$EU$1,0)),"")&lt;&gt;0,(IFERROR(INDEX([2]VehiclesUniverse!$B$2:$EU$700,MATCH($C34,[2]VehiclesUniverse!$A$2:$A$700,0),MATCH($F$1,[2]VehiclesUniverse!$B$1:$EU$1,0)),"")),"")</f>
        <v/>
      </c>
      <c r="G34" s="6"/>
      <c r="H34" s="6" t="str">
        <f>IFERROR(INDEX([2]VehiclesUniverse!$B$2:$EU$700,MATCH(C34,[2]VehiclesUniverse!$A$2:$A$700,0),MATCH($H$1,[2]VehiclesUniverse!$B$1:$EU$1,0)),"")</f>
        <v/>
      </c>
      <c r="I34" s="6" t="str">
        <f>IF(ISBLANK([2]NLFsmonkeyCompl!M35),"",[2]NLFsmonkeyCompl!M35)</f>
        <v>Yes</v>
      </c>
      <c r="J34" s="6" t="str">
        <f>IF(ISBLANK([2]NLFsmonkeyCompl!N35),"",[2]NLFsmonkeyCompl!N35)</f>
        <v/>
      </c>
      <c r="K34" s="6" t="str">
        <f>IF(ISBLANK([2]NLFsmonkeyCompl!O35),"",[2]NLFsmonkeyCompl!O35)</f>
        <v/>
      </c>
      <c r="L34" s="6" t="str">
        <f>IFERROR(INDEX([2]VehiclesUniverse!$B$2:$EU$700,MATCH(C34,[2]VehiclesUniverse!$A$2:$A$700,0),MATCH($L$1,[2]VehiclesUniverse!$B$1:$EU$1,0)),"")</f>
        <v/>
      </c>
      <c r="M34" s="16" t="str">
        <f>IFERROR(VLOOKUP(L34,'[2]Xrate31.12.20'!$K$2:$N$25,3,0),"")</f>
        <v/>
      </c>
      <c r="N34" s="8" t="str">
        <f>IFERROR(IF(ISBLANK([2]NLFsmonkeyCompl!P35),"",[2]NLFsmonkeyCompl!P35*$M34),"")</f>
        <v/>
      </c>
      <c r="O34" s="8" t="str">
        <f>IFERROR(IF(ISBLANK([2]NLFsmonkeyCompl!Q35),"",[2]NLFsmonkeyCompl!Q35*$M34),"")</f>
        <v/>
      </c>
      <c r="P34" s="8" t="str">
        <f>IFERROR(IF(ISBLANK([2]NLFsmonkeyCompl!R35),"",[2]NLFsmonkeyCompl!R35*$M34),"")</f>
        <v/>
      </c>
      <c r="Q34" s="8" t="str">
        <f>IFERROR(IF(ISBLANK([2]NLFsmonkeyCompl!S35),"",[2]NLFsmonkeyCompl!S35*$M34),"")</f>
        <v/>
      </c>
      <c r="R34" s="8" t="str">
        <f>IFERROR(IF(ISBLANK([2]NLFsmonkeyCompl!T35),"",[2]NLFsmonkeyCompl!T35*$M34),"")</f>
        <v/>
      </c>
      <c r="S34" s="8" t="str">
        <f>IFERROR(IF(ISBLANK([2]NLFsmonkeyCompl!U35),"",[2]NLFsmonkeyCompl!U35*$M34),"")</f>
        <v/>
      </c>
      <c r="T34" s="8" t="str">
        <f>IFERROR(IF(ISBLANK([2]NLFsmonkeyCompl!V35),"",[2]NLFsmonkeyCompl!V35*$M34),"")</f>
        <v/>
      </c>
      <c r="U34" s="8" t="str">
        <f>IFERROR(IF(ISBLANK([2]NLFsmonkeyCompl!W35),"",[2]NLFsmonkeyCompl!W35*$M34),"")</f>
        <v/>
      </c>
      <c r="V34" s="8" t="str">
        <f>IFERROR(IF(ISBLANK([2]NLFsmonkeyCompl!X35),"",[2]NLFsmonkeyCompl!X35*$M34),"")</f>
        <v/>
      </c>
      <c r="W34" s="8" t="str">
        <f>IFERROR(IF(ISBLANK([2]NLFsmonkeyCompl!Y35),"",[2]NLFsmonkeyCompl!Y35*$M34),"")</f>
        <v/>
      </c>
      <c r="X34" s="8" t="str">
        <f>IFERROR(IF(ISBLANK([2]NLFsmonkeyCompl!Z35),"",[2]NLFsmonkeyCompl!Z35*$M34),"")</f>
        <v/>
      </c>
      <c r="Y34" s="8" t="str">
        <f>IFERROR(IF(ISBLANK([2]NLFsmonkeyCompl!AA35),"",[2]NLFsmonkeyCompl!AA35*$M34),"")</f>
        <v/>
      </c>
      <c r="Z34" s="8" t="str">
        <f>IFERROR(IF(ISBLANK([2]NLFsmonkeyCompl!AB35),"",[2]NLFsmonkeyCompl!AB35*$M34),"")</f>
        <v/>
      </c>
      <c r="AA34" s="8" t="str">
        <f>IFERROR(IF(ISBLANK([2]NLFsmonkeyCompl!AC35),"",[2]NLFsmonkeyCompl!AC35*$M34),"")</f>
        <v/>
      </c>
      <c r="AB34" s="8" t="str">
        <f>IFERROR(IF(ISBLANK([2]NLFsmonkeyCompl!AD35),"",[2]NLFsmonkeyCompl!AD35),"")</f>
        <v/>
      </c>
      <c r="AC34" s="8" t="str">
        <f>IFERROR(IF(ISBLANK([2]NLFsmonkeyCompl!AE35),"",[2]NLFsmonkeyCompl!AE35),"")</f>
        <v/>
      </c>
      <c r="AD34" s="8" t="str">
        <f>IFERROR(IF(ISBLANK([2]NLFsmonkeyCompl!AF35),"",[2]NLFsmonkeyCompl!AF35),"")</f>
        <v/>
      </c>
      <c r="AE34" s="8" t="str">
        <f>IFERROR(IF(ISBLANK([2]NLFsmonkeyCompl!AG35),"",[2]NLFsmonkeyCompl!AG35),"")</f>
        <v/>
      </c>
      <c r="AF34" s="8" t="str">
        <f>IFERROR(IF(ISBLANK([2]NLFsmonkeyCompl!AH35),"",[2]NLFsmonkeyCompl!AH35),"")</f>
        <v/>
      </c>
      <c r="AG34" s="8" t="str">
        <f>IFERROR(IF(ISBLANK([2]NLFsmonkeyCompl!AI35),"",[2]NLFsmonkeyCompl!AI35),"")</f>
        <v/>
      </c>
      <c r="AH34" t="str">
        <f>IFERROR(INDEX([2]VehiclesUniverse!$B$2:$EU$700,MATCH($C34,[2]VehiclesUniverse!$A$2:$A$700,0),MATCH($AH$1,[2]VehiclesUniverse!$B$1:$EU$1,0)),"")</f>
        <v/>
      </c>
    </row>
    <row r="35" spans="1:34" x14ac:dyDescent="0.2">
      <c r="A35" s="5" t="str">
        <f>IF(OR(ISTEXT([2]NLFsmonkeyCompl!J36),ISNUMBER([2]NLFsmonkeyCompl!J36)),[2]NLFsmonkeyCompl!J36,"")</f>
        <v>Invesco Real Estate</v>
      </c>
      <c r="B35" s="6" t="str">
        <f>IF(OR(ISTEXT([2]NLFsmonkeyCompl!K36),ISNUMBER([2]NLFsmonkeyCompl!K36)),[2]NLFsmonkeyCompl!K36,"")</f>
        <v xml:space="preserve">Invesco Real Estate - European Fund </v>
      </c>
      <c r="C35" s="6">
        <v>559</v>
      </c>
      <c r="D35" s="6" t="str">
        <f>IFERROR(INDEX([2]VehiclesUniverse!$B$2:$EU$700,MATCH(C35,[2]VehiclesUniverse!$A$2:$A$700,0),MATCH($D$1,[2]VehiclesUniverse!$B$1:$EU$1,0)),"")</f>
        <v>Core</v>
      </c>
      <c r="E35" s="6" t="str">
        <f>IFERROR(INDEX([2]VehiclesUniverse!$B$2:$EU$700,MATCH(C35,[2]VehiclesUniverse!$A$2:$A$700,0),MATCH($E$1,[2]VehiclesUniverse!$B$1:$EU$1,0)),"")</f>
        <v>multi country</v>
      </c>
      <c r="F35" s="6" t="str">
        <f>IF(IFERROR(INDEX([2]VehiclesUniverse!$B$2:$EU$700,MATCH($C35,[2]VehiclesUniverse!$A$2:$A$700,0),MATCH($F$1,[2]VehiclesUniverse!$B$1:$EU$1,0)),"")&lt;&gt;0,(IFERROR(INDEX([2]VehiclesUniverse!$B$2:$EU$700,MATCH($C35,[2]VehiclesUniverse!$A$2:$A$700,0),MATCH($F$1,[2]VehiclesUniverse!$B$1:$EU$1,0)),"")),"")</f>
        <v/>
      </c>
      <c r="G35" s="6" t="str">
        <f>IF(ISBLANK([2]NLFsmonkeyCompl!L36),"",[2]NLFsmonkeyCompl!L36)</f>
        <v>Open end</v>
      </c>
      <c r="H35" s="6">
        <f>IFERROR(INDEX([2]VehiclesUniverse!$B$2:$EU$700,MATCH(C35,[2]VehiclesUniverse!$A$2:$A$700,0),MATCH($H$1,[2]VehiclesUniverse!$B$1:$EU$1,0)),"")</f>
        <v>2008</v>
      </c>
      <c r="I35" s="6" t="str">
        <f>IF(ISBLANK([2]NLFsmonkeyCompl!M36),"",[2]NLFsmonkeyCompl!M36)</f>
        <v>Yes</v>
      </c>
      <c r="J35" s="6" t="str">
        <f>IF(ISBLANK([2]NLFsmonkeyCompl!N36),"",[2]NLFsmonkeyCompl!N36)</f>
        <v/>
      </c>
      <c r="K35" s="6" t="str">
        <f>IF(ISBLANK([2]NLFsmonkeyCompl!O36),"",[2]NLFsmonkeyCompl!O36)</f>
        <v/>
      </c>
      <c r="L35" s="6" t="str">
        <f>IFERROR(INDEX([2]VehiclesUniverse!$B$2:$EU$700,MATCH(C35,[2]VehiclesUniverse!$A$2:$A$700,0),MATCH($L$1,[2]VehiclesUniverse!$B$1:$EU$1,0)),"")</f>
        <v>EUR</v>
      </c>
      <c r="M35" s="16">
        <f>IFERROR(VLOOKUP(L35,'[2]Xrate31.12.20'!$K$2:$N$25,3,0),"")</f>
        <v>1</v>
      </c>
      <c r="N35" s="8">
        <f>IFERROR(IF(ISBLANK([2]NLFsmonkeyCompl!P36),"",[2]NLFsmonkeyCompl!P36*$M35),"")</f>
        <v>127</v>
      </c>
      <c r="O35" s="8">
        <f>IFERROR(IF(ISBLANK([2]NLFsmonkeyCompl!Q36),"",[2]NLFsmonkeyCompl!Q36*$M35),"")</f>
        <v>42</v>
      </c>
      <c r="P35" s="8">
        <f>IFERROR(IF(ISBLANK([2]NLFsmonkeyCompl!R36),"",[2]NLFsmonkeyCompl!R36*$M35),"")</f>
        <v>51</v>
      </c>
      <c r="Q35" s="8" t="str">
        <f>IFERROR(IF(ISBLANK([2]NLFsmonkeyCompl!S36),"",[2]NLFsmonkeyCompl!S36*$M35),"")</f>
        <v/>
      </c>
      <c r="R35" s="8" t="str">
        <f>IFERROR(IF(ISBLANK([2]NLFsmonkeyCompl!T36),"",[2]NLFsmonkeyCompl!T36*$M35),"")</f>
        <v/>
      </c>
      <c r="S35" s="8" t="str">
        <f>IFERROR(IF(ISBLANK([2]NLFsmonkeyCompl!U36),"",[2]NLFsmonkeyCompl!U36*$M35),"")</f>
        <v/>
      </c>
      <c r="T35" s="8" t="str">
        <f>IFERROR(IF(ISBLANK([2]NLFsmonkeyCompl!V36),"",[2]NLFsmonkeyCompl!V36*$M35),"")</f>
        <v/>
      </c>
      <c r="U35" s="8" t="str">
        <f>IFERROR(IF(ISBLANK([2]NLFsmonkeyCompl!W36),"",[2]NLFsmonkeyCompl!W36*$M35),"")</f>
        <v/>
      </c>
      <c r="V35" s="8">
        <f>IFERROR(IF(ISBLANK([2]NLFsmonkeyCompl!X36),"",[2]NLFsmonkeyCompl!X36*$M35),"")</f>
        <v>33</v>
      </c>
      <c r="W35" s="8">
        <f>IFERROR(IF(ISBLANK([2]NLFsmonkeyCompl!Y36),"",[2]NLFsmonkeyCompl!Y36*$M35),"")</f>
        <v>110</v>
      </c>
      <c r="X35" s="8">
        <f>IFERROR(IF(ISBLANK([2]NLFsmonkeyCompl!Z36),"",[2]NLFsmonkeyCompl!Z36*$M35),"")</f>
        <v>17</v>
      </c>
      <c r="Y35" s="8" t="str">
        <f>IFERROR(IF(ISBLANK([2]NLFsmonkeyCompl!AA36),"",[2]NLFsmonkeyCompl!AA36*$M35),"")</f>
        <v/>
      </c>
      <c r="Z35" s="8" t="str">
        <f>IFERROR(IF(ISBLANK([2]NLFsmonkeyCompl!AB36),"",[2]NLFsmonkeyCompl!AB36*$M35),"")</f>
        <v/>
      </c>
      <c r="AA35" s="8" t="str">
        <f>IFERROR(IF(ISBLANK([2]NLFsmonkeyCompl!AC36),"",[2]NLFsmonkeyCompl!AC36*$M35),"")</f>
        <v/>
      </c>
      <c r="AB35" s="8" t="str">
        <f>IFERROR(IF(ISBLANK([2]NLFsmonkeyCompl!AD36),"",[2]NLFsmonkeyCompl!AD36),"")</f>
        <v/>
      </c>
      <c r="AC35" s="8" t="str">
        <f>IFERROR(IF(ISBLANK([2]NLFsmonkeyCompl!AE36),"",[2]NLFsmonkeyCompl!AE36),"")</f>
        <v/>
      </c>
      <c r="AD35" s="8">
        <f>IFERROR(IF(ISBLANK([2]NLFsmonkeyCompl!AF36),"",[2]NLFsmonkeyCompl!AF36),"")</f>
        <v>100</v>
      </c>
      <c r="AE35" s="8" t="str">
        <f>IFERROR(IF(ISBLANK([2]NLFsmonkeyCompl!AG36),"",[2]NLFsmonkeyCompl!AG36),"")</f>
        <v/>
      </c>
      <c r="AF35" s="8" t="str">
        <f>IFERROR(IF(ISBLANK([2]NLFsmonkeyCompl!AH36),"",[2]NLFsmonkeyCompl!AH36),"")</f>
        <v>No change</v>
      </c>
      <c r="AG35" s="8" t="str">
        <f>IFERROR(IF(ISBLANK([2]NLFsmonkeyCompl!AI36),"",[2]NLFsmonkeyCompl!AI36),"")</f>
        <v>Yes</v>
      </c>
      <c r="AH35">
        <f>IFERROR(INDEX([2]VehiclesUniverse!$B$2:$EU$700,MATCH($C35,[2]VehiclesUniverse!$A$2:$A$700,0),MATCH($AH$1,[2]VehiclesUniverse!$B$1:$EU$1,0)),"")</f>
        <v>5424436057</v>
      </c>
    </row>
    <row r="36" spans="1:34" x14ac:dyDescent="0.2">
      <c r="A36" s="5" t="str">
        <f>IF(OR(ISTEXT([2]NLFsmonkeyCompl!J37),ISNUMBER([2]NLFsmonkeyCompl!J37)),[2]NLFsmonkeyCompl!J37,"")</f>
        <v>Heitman</v>
      </c>
      <c r="B36" s="6" t="str">
        <f>IF(OR(ISTEXT([2]NLFsmonkeyCompl!K37),ISNUMBER([2]NLFsmonkeyCompl!K37)),[2]NLFsmonkeyCompl!K37,"")</f>
        <v>Heitman US Open-End Core Fund</v>
      </c>
      <c r="C36" s="6" t="s">
        <v>42</v>
      </c>
      <c r="D36" s="6" t="str">
        <f>IFERROR(INDEX([2]VehiclesUniverse!$B$2:$EU$700,MATCH(C36,[2]VehiclesUniverse!$A$2:$A$700,0),MATCH($D$1,[2]VehiclesUniverse!$B$1:$EU$1,0)),"")</f>
        <v/>
      </c>
      <c r="E36" s="6" t="str">
        <f>IFERROR(INDEX([2]VehiclesUniverse!$B$2:$EU$700,MATCH(C36,[2]VehiclesUniverse!$A$2:$A$700,0),MATCH($E$1,[2]VehiclesUniverse!$B$1:$EU$1,0)),"")</f>
        <v/>
      </c>
      <c r="F36" s="6" t="str">
        <f>IF(IFERROR(INDEX([2]VehiclesUniverse!$B$2:$EU$700,MATCH($C36,[2]VehiclesUniverse!$A$2:$A$700,0),MATCH($F$1,[2]VehiclesUniverse!$B$1:$EU$1,0)),"")&lt;&gt;0,(IFERROR(INDEX([2]VehiclesUniverse!$B$2:$EU$700,MATCH($C36,[2]VehiclesUniverse!$A$2:$A$700,0),MATCH($F$1,[2]VehiclesUniverse!$B$1:$EU$1,0)),"")),"")</f>
        <v/>
      </c>
      <c r="G36" s="6"/>
      <c r="H36" s="6" t="str">
        <f>IFERROR(INDEX([2]VehiclesUniverse!$B$2:$EU$700,MATCH(C36,[2]VehiclesUniverse!$A$2:$A$700,0),MATCH($H$1,[2]VehiclesUniverse!$B$1:$EU$1,0)),"")</f>
        <v/>
      </c>
      <c r="I36" s="6" t="str">
        <f>IF(ISBLANK([2]NLFsmonkeyCompl!M37),"",[2]NLFsmonkeyCompl!M37)</f>
        <v>Yes</v>
      </c>
      <c r="J36" s="6" t="str">
        <f>IF(ISBLANK([2]NLFsmonkeyCompl!N37),"",[2]NLFsmonkeyCompl!N37)</f>
        <v/>
      </c>
      <c r="K36" s="6" t="str">
        <f>IF(ISBLANK([2]NLFsmonkeyCompl!O37),"",[2]NLFsmonkeyCompl!O37)</f>
        <v/>
      </c>
      <c r="L36" s="6" t="str">
        <f>IFERROR(INDEX([2]VehiclesUniverse!$B$2:$EU$700,MATCH(C36,[2]VehiclesUniverse!$A$2:$A$700,0),MATCH($L$1,[2]VehiclesUniverse!$B$1:$EU$1,0)),"")</f>
        <v/>
      </c>
      <c r="M36" s="16" t="str">
        <f>IFERROR(VLOOKUP(L36,'[2]Xrate31.12.20'!$K$2:$N$25,3,0),"")</f>
        <v/>
      </c>
      <c r="N36" s="8" t="str">
        <f>IFERROR(IF(ISBLANK([2]NLFsmonkeyCompl!P37),"",[2]NLFsmonkeyCompl!P37*$M36),"")</f>
        <v/>
      </c>
      <c r="O36" s="8" t="str">
        <f>IFERROR(IF(ISBLANK([2]NLFsmonkeyCompl!Q37),"",[2]NLFsmonkeyCompl!Q37*$M36),"")</f>
        <v/>
      </c>
      <c r="P36" s="8" t="str">
        <f>IFERROR(IF(ISBLANK([2]NLFsmonkeyCompl!R37),"",[2]NLFsmonkeyCompl!R37*$M36),"")</f>
        <v/>
      </c>
      <c r="Q36" s="8" t="str">
        <f>IFERROR(IF(ISBLANK([2]NLFsmonkeyCompl!S37),"",[2]NLFsmonkeyCompl!S37*$M36),"")</f>
        <v/>
      </c>
      <c r="R36" s="8" t="str">
        <f>IFERROR(IF(ISBLANK([2]NLFsmonkeyCompl!T37),"",[2]NLFsmonkeyCompl!T37*$M36),"")</f>
        <v/>
      </c>
      <c r="S36" s="8" t="str">
        <f>IFERROR(IF(ISBLANK([2]NLFsmonkeyCompl!U37),"",[2]NLFsmonkeyCompl!U37*$M36),"")</f>
        <v/>
      </c>
      <c r="T36" s="8" t="str">
        <f>IFERROR(IF(ISBLANK([2]NLFsmonkeyCompl!V37),"",[2]NLFsmonkeyCompl!V37*$M36),"")</f>
        <v/>
      </c>
      <c r="U36" s="8" t="str">
        <f>IFERROR(IF(ISBLANK([2]NLFsmonkeyCompl!W37),"",[2]NLFsmonkeyCompl!W37*$M36),"")</f>
        <v/>
      </c>
      <c r="V36" s="8" t="str">
        <f>IFERROR(IF(ISBLANK([2]NLFsmonkeyCompl!X37),"",[2]NLFsmonkeyCompl!X37*$M36),"")</f>
        <v/>
      </c>
      <c r="W36" s="8" t="str">
        <f>IFERROR(IF(ISBLANK([2]NLFsmonkeyCompl!Y37),"",[2]NLFsmonkeyCompl!Y37*$M36),"")</f>
        <v/>
      </c>
      <c r="X36" s="8" t="str">
        <f>IFERROR(IF(ISBLANK([2]NLFsmonkeyCompl!Z37),"",[2]NLFsmonkeyCompl!Z37*$M36),"")</f>
        <v/>
      </c>
      <c r="Y36" s="8" t="str">
        <f>IFERROR(IF(ISBLANK([2]NLFsmonkeyCompl!AA37),"",[2]NLFsmonkeyCompl!AA37*$M36),"")</f>
        <v/>
      </c>
      <c r="Z36" s="8" t="str">
        <f>IFERROR(IF(ISBLANK([2]NLFsmonkeyCompl!AB37),"",[2]NLFsmonkeyCompl!AB37*$M36),"")</f>
        <v/>
      </c>
      <c r="AA36" s="8" t="str">
        <f>IFERROR(IF(ISBLANK([2]NLFsmonkeyCompl!AC37),"",[2]NLFsmonkeyCompl!AC37*$M36),"")</f>
        <v/>
      </c>
      <c r="AB36" s="8">
        <f>IFERROR(IF(ISBLANK([2]NLFsmonkeyCompl!AD37),"",[2]NLFsmonkeyCompl!AD37),"")</f>
        <v>75</v>
      </c>
      <c r="AC36" s="8" t="str">
        <f>IFERROR(IF(ISBLANK([2]NLFsmonkeyCompl!AE37),"",[2]NLFsmonkeyCompl!AE37),"")</f>
        <v/>
      </c>
      <c r="AD36" s="8">
        <f>IFERROR(IF(ISBLANK([2]NLFsmonkeyCompl!AF37),"",[2]NLFsmonkeyCompl!AF37),"")</f>
        <v>25</v>
      </c>
      <c r="AE36" s="8" t="str">
        <f>IFERROR(IF(ISBLANK([2]NLFsmonkeyCompl!AG37),"",[2]NLFsmonkeyCompl!AG37),"")</f>
        <v/>
      </c>
      <c r="AF36" s="8" t="str">
        <f>IFERROR(IF(ISBLANK([2]NLFsmonkeyCompl!AH37),"",[2]NLFsmonkeyCompl!AH37),"")</f>
        <v>Increase</v>
      </c>
      <c r="AG36" s="8" t="str">
        <f>IFERROR(IF(ISBLANK([2]NLFsmonkeyCompl!AI37),"",[2]NLFsmonkeyCompl!AI37),"")</f>
        <v>Yes</v>
      </c>
      <c r="AH36" t="str">
        <f>IFERROR(INDEX([2]VehiclesUniverse!$B$2:$EU$700,MATCH($C36,[2]VehiclesUniverse!$A$2:$A$700,0),MATCH($AH$1,[2]VehiclesUniverse!$B$1:$EU$1,0)),"")</f>
        <v/>
      </c>
    </row>
    <row r="37" spans="1:34" x14ac:dyDescent="0.2">
      <c r="A37" s="5" t="str">
        <f>IF(OR(ISTEXT([2]NLFsmonkeyCompl!J38),ISNUMBER([2]NLFsmonkeyCompl!J38)),[2]NLFsmonkeyCompl!J38,"")</f>
        <v>Heitman</v>
      </c>
      <c r="B37" s="6" t="str">
        <f>IF(OR(ISTEXT([2]NLFsmonkeyCompl!K38),ISNUMBER([2]NLFsmonkeyCompl!K38)),[2]NLFsmonkeyCompl!K38,"")</f>
        <v>Heitman Closed End Debt Fund</v>
      </c>
      <c r="C37" s="6" t="s">
        <v>51</v>
      </c>
      <c r="D37" s="6" t="str">
        <f>IFERROR(INDEX([2]VehiclesUniverse!$B$2:$EU$700,MATCH(C37,[2]VehiclesUniverse!$A$2:$A$700,0),MATCH($D$1,[2]VehiclesUniverse!$B$1:$EU$1,0)),"")</f>
        <v/>
      </c>
      <c r="E37" s="6" t="str">
        <f>IFERROR(INDEX([2]VehiclesUniverse!$B$2:$EU$700,MATCH(C37,[2]VehiclesUniverse!$A$2:$A$700,0),MATCH($E$1,[2]VehiclesUniverse!$B$1:$EU$1,0)),"")</f>
        <v/>
      </c>
      <c r="F37" s="6" t="str">
        <f>IF(IFERROR(INDEX([2]VehiclesUniverse!$B$2:$EU$700,MATCH($C37,[2]VehiclesUniverse!$A$2:$A$700,0),MATCH($F$1,[2]VehiclesUniverse!$B$1:$EU$1,0)),"")&lt;&gt;0,(IFERROR(INDEX([2]VehiclesUniverse!$B$2:$EU$700,MATCH($C37,[2]VehiclesUniverse!$A$2:$A$700,0),MATCH($F$1,[2]VehiclesUniverse!$B$1:$EU$1,0)),"")),"")</f>
        <v/>
      </c>
      <c r="G37" s="6"/>
      <c r="H37" s="6" t="str">
        <f>IFERROR(INDEX([2]VehiclesUniverse!$B$2:$EU$700,MATCH(C37,[2]VehiclesUniverse!$A$2:$A$700,0),MATCH($H$1,[2]VehiclesUniverse!$B$1:$EU$1,0)),"")</f>
        <v/>
      </c>
      <c r="I37" s="6" t="str">
        <f>IF(ISBLANK([2]NLFsmonkeyCompl!M38),"",[2]NLFsmonkeyCompl!M38)</f>
        <v>Yes</v>
      </c>
      <c r="J37" s="6" t="str">
        <f>IF(ISBLANK([2]NLFsmonkeyCompl!N38),"",[2]NLFsmonkeyCompl!N38)</f>
        <v/>
      </c>
      <c r="K37" s="6" t="str">
        <f>IF(ISBLANK([2]NLFsmonkeyCompl!O38),"",[2]NLFsmonkeyCompl!O38)</f>
        <v/>
      </c>
      <c r="L37" s="6" t="str">
        <f>IFERROR(INDEX([2]VehiclesUniverse!$B$2:$EU$700,MATCH(C37,[2]VehiclesUniverse!$A$2:$A$700,0),MATCH($L$1,[2]VehiclesUniverse!$B$1:$EU$1,0)),"")</f>
        <v/>
      </c>
      <c r="M37" s="16" t="str">
        <f>IFERROR(VLOOKUP(L37,'[2]Xrate31.12.20'!$K$2:$N$25,3,0),"")</f>
        <v/>
      </c>
      <c r="N37" s="8" t="str">
        <f>IFERROR(IF(ISBLANK([2]NLFsmonkeyCompl!P38),"",[2]NLFsmonkeyCompl!P38*$M37),"")</f>
        <v/>
      </c>
      <c r="O37" s="8" t="str">
        <f>IFERROR(IF(ISBLANK([2]NLFsmonkeyCompl!Q38),"",[2]NLFsmonkeyCompl!Q38*$M37),"")</f>
        <v/>
      </c>
      <c r="P37" s="8" t="str">
        <f>IFERROR(IF(ISBLANK([2]NLFsmonkeyCompl!R38),"",[2]NLFsmonkeyCompl!R38*$M37),"")</f>
        <v/>
      </c>
      <c r="Q37" s="8" t="str">
        <f>IFERROR(IF(ISBLANK([2]NLFsmonkeyCompl!S38),"",[2]NLFsmonkeyCompl!S38*$M37),"")</f>
        <v/>
      </c>
      <c r="R37" s="8" t="str">
        <f>IFERROR(IF(ISBLANK([2]NLFsmonkeyCompl!T38),"",[2]NLFsmonkeyCompl!T38*$M37),"")</f>
        <v/>
      </c>
      <c r="S37" s="8" t="str">
        <f>IFERROR(IF(ISBLANK([2]NLFsmonkeyCompl!U38),"",[2]NLFsmonkeyCompl!U38*$M37),"")</f>
        <v/>
      </c>
      <c r="T37" s="8" t="str">
        <f>IFERROR(IF(ISBLANK([2]NLFsmonkeyCompl!V38),"",[2]NLFsmonkeyCompl!V38*$M37),"")</f>
        <v/>
      </c>
      <c r="U37" s="8" t="str">
        <f>IFERROR(IF(ISBLANK([2]NLFsmonkeyCompl!W38),"",[2]NLFsmonkeyCompl!W38*$M37),"")</f>
        <v/>
      </c>
      <c r="V37" s="8" t="str">
        <f>IFERROR(IF(ISBLANK([2]NLFsmonkeyCompl!X38),"",[2]NLFsmonkeyCompl!X38*$M37),"")</f>
        <v/>
      </c>
      <c r="W37" s="8" t="str">
        <f>IFERROR(IF(ISBLANK([2]NLFsmonkeyCompl!Y38),"",[2]NLFsmonkeyCompl!Y38*$M37),"")</f>
        <v/>
      </c>
      <c r="X37" s="8" t="str">
        <f>IFERROR(IF(ISBLANK([2]NLFsmonkeyCompl!Z38),"",[2]NLFsmonkeyCompl!Z38*$M37),"")</f>
        <v/>
      </c>
      <c r="Y37" s="8" t="str">
        <f>IFERROR(IF(ISBLANK([2]NLFsmonkeyCompl!AA38),"",[2]NLFsmonkeyCompl!AA38*$M37),"")</f>
        <v/>
      </c>
      <c r="Z37" s="8" t="str">
        <f>IFERROR(IF(ISBLANK([2]NLFsmonkeyCompl!AB38),"",[2]NLFsmonkeyCompl!AB38*$M37),"")</f>
        <v/>
      </c>
      <c r="AA37" s="8" t="str">
        <f>IFERROR(IF(ISBLANK([2]NLFsmonkeyCompl!AC38),"",[2]NLFsmonkeyCompl!AC38*$M37),"")</f>
        <v/>
      </c>
      <c r="AB37" s="8" t="str">
        <f>IFERROR(IF(ISBLANK([2]NLFsmonkeyCompl!AD38),"",[2]NLFsmonkeyCompl!AD38),"")</f>
        <v/>
      </c>
      <c r="AC37" s="8" t="str">
        <f>IFERROR(IF(ISBLANK([2]NLFsmonkeyCompl!AE38),"",[2]NLFsmonkeyCompl!AE38),"")</f>
        <v/>
      </c>
      <c r="AD37" s="8">
        <f>IFERROR(IF(ISBLANK([2]NLFsmonkeyCompl!AF38),"",[2]NLFsmonkeyCompl!AF38),"")</f>
        <v>100</v>
      </c>
      <c r="AE37" s="8" t="str">
        <f>IFERROR(IF(ISBLANK([2]NLFsmonkeyCompl!AG38),"",[2]NLFsmonkeyCompl!AG38),"")</f>
        <v/>
      </c>
      <c r="AF37" s="8" t="str">
        <f>IFERROR(IF(ISBLANK([2]NLFsmonkeyCompl!AH38),"",[2]NLFsmonkeyCompl!AH38),"")</f>
        <v>Increase</v>
      </c>
      <c r="AG37" s="8" t="str">
        <f>IFERROR(IF(ISBLANK([2]NLFsmonkeyCompl!AI38),"",[2]NLFsmonkeyCompl!AI38),"")</f>
        <v>Yes</v>
      </c>
      <c r="AH37" t="str">
        <f>IFERROR(INDEX([2]VehiclesUniverse!$B$2:$EU$700,MATCH($C37,[2]VehiclesUniverse!$A$2:$A$700,0),MATCH($AH$1,[2]VehiclesUniverse!$B$1:$EU$1,0)),"")</f>
        <v/>
      </c>
    </row>
    <row r="38" spans="1:34" x14ac:dyDescent="0.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 t="str">
        <f>IFERROR(INDEX([2]VehiclesUniverse!$B$2:$EU$700,MATCH(C38,[2]VehiclesUniverse!$A$2:$A$700,0),MATCH($L$1,[2]VehiclesUniverse!$B$1:$EU$1,0)),"")</f>
        <v/>
      </c>
      <c r="M38" s="16" t="str">
        <f>IFERROR(VLOOKUP(L38,'[2]Xrate31.12.20'!$K$2:$N$25,3,0),"")</f>
        <v/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t="str">
        <f>IFERROR(INDEX([2]VehiclesUniverse!$B$2:$EU$700,MATCH($C38,[2]VehiclesUniverse!$A$2:$A$700,0),MATCH($AH$1,[2]VehiclesUniverse!$B$1:$EU$1,0)),"")</f>
        <v/>
      </c>
    </row>
    <row r="39" spans="1:34" x14ac:dyDescent="0.2">
      <c r="A39" s="5" t="str">
        <f>IF(OR(ISTEXT([2]NLFsmonkeyCompl!J40),ISNUMBER([2]NLFsmonkeyCompl!J40)),[2]NLFsmonkeyCompl!J40,"")</f>
        <v>LaSalle Investment Management</v>
      </c>
      <c r="B39" s="6" t="str">
        <f>IF(OR(ISTEXT([2]NLFsmonkeyCompl!K40),ISNUMBER([2]NLFsmonkeyCompl!K40)),[2]NLFsmonkeyCompl!K40,"")</f>
        <v>Encore+</v>
      </c>
      <c r="C39" s="6">
        <v>137</v>
      </c>
      <c r="D39" s="6" t="str">
        <f>IFERROR(INDEX([2]VehiclesUniverse!$B$2:$EU$700,MATCH(C39,[2]VehiclesUniverse!$A$2:$A$700,0),MATCH($D$1,[2]VehiclesUniverse!$B$1:$EU$1,0)),"")</f>
        <v>Core</v>
      </c>
      <c r="E39" s="6" t="str">
        <f>IFERROR(INDEX([2]VehiclesUniverse!$B$2:$EU$700,MATCH(C39,[2]VehiclesUniverse!$A$2:$A$700,0),MATCH($E$1,[2]VehiclesUniverse!$B$1:$EU$1,0)),"")</f>
        <v>multi country</v>
      </c>
      <c r="F39" s="6" t="str">
        <f>IF(IFERROR(INDEX([2]VehiclesUniverse!$B$2:$EU$700,MATCH($C39,[2]VehiclesUniverse!$A$2:$A$700,0),MATCH($F$1,[2]VehiclesUniverse!$B$1:$EU$1,0)),"")&lt;&gt;0,(IFERROR(INDEX([2]VehiclesUniverse!$B$2:$EU$700,MATCH($C39,[2]VehiclesUniverse!$A$2:$A$700,0),MATCH($F$1,[2]VehiclesUniverse!$B$1:$EU$1,0)),"")),"")</f>
        <v/>
      </c>
      <c r="G39" s="6" t="str">
        <f>IF(ISBLANK([2]NLFsmonkeyCompl!L40),"",[2]NLFsmonkeyCompl!L40)</f>
        <v>Open end</v>
      </c>
      <c r="H39" s="6">
        <f>IFERROR(INDEX([2]VehiclesUniverse!$B$2:$EU$700,MATCH(C39,[2]VehiclesUniverse!$A$2:$A$700,0),MATCH($H$1,[2]VehiclesUniverse!$B$1:$EU$1,0)),"")</f>
        <v>2006</v>
      </c>
      <c r="I39" s="6" t="str">
        <f>IF(ISBLANK([2]NLFsmonkeyCompl!M40),"",[2]NLFsmonkeyCompl!M40)</f>
        <v>Yes</v>
      </c>
      <c r="J39" s="6" t="str">
        <f>IF(ISBLANK([2]NLFsmonkeyCompl!N40),"",[2]NLFsmonkeyCompl!N40)</f>
        <v/>
      </c>
      <c r="K39" s="6" t="str">
        <f>IF(ISBLANK([2]NLFsmonkeyCompl!O40),"",[2]NLFsmonkeyCompl!O40)</f>
        <v/>
      </c>
      <c r="L39" s="6" t="str">
        <f>IFERROR(INDEX([2]VehiclesUniverse!$B$2:$EU$700,MATCH(C39,[2]VehiclesUniverse!$A$2:$A$700,0),MATCH($L$1,[2]VehiclesUniverse!$B$1:$EU$1,0)),"")</f>
        <v>EUR</v>
      </c>
      <c r="M39" s="16">
        <f>IFERROR(VLOOKUP(L39,'[2]Xrate31.12.20'!$K$2:$N$25,3,0),"")</f>
        <v>1</v>
      </c>
      <c r="N39" s="8">
        <f>IFERROR(IF(ISBLANK([2]NLFsmonkeyCompl!P40),"",[2]NLFsmonkeyCompl!P40*$M39),"")</f>
        <v>836</v>
      </c>
      <c r="O39" s="8">
        <f>IFERROR(IF(ISBLANK([2]NLFsmonkeyCompl!Q40),"",[2]NLFsmonkeyCompl!Q40*$M39),"")</f>
        <v>316</v>
      </c>
      <c r="P39" s="8">
        <f>IFERROR(IF(ISBLANK([2]NLFsmonkeyCompl!R40),"",[2]NLFsmonkeyCompl!R40*$M39),"")</f>
        <v>370</v>
      </c>
      <c r="Q39" s="8" t="str">
        <f>IFERROR(IF(ISBLANK([2]NLFsmonkeyCompl!S40),"",[2]NLFsmonkeyCompl!S40*$M39),"")</f>
        <v/>
      </c>
      <c r="R39" s="8" t="str">
        <f>IFERROR(IF(ISBLANK([2]NLFsmonkeyCompl!T40),"",[2]NLFsmonkeyCompl!T40*$M39),"")</f>
        <v/>
      </c>
      <c r="S39" s="8" t="str">
        <f>IFERROR(IF(ISBLANK([2]NLFsmonkeyCompl!U40),"",[2]NLFsmonkeyCompl!U40*$M39),"")</f>
        <v/>
      </c>
      <c r="T39" s="8">
        <f>IFERROR(IF(ISBLANK([2]NLFsmonkeyCompl!V40),"",[2]NLFsmonkeyCompl!V40*$M39),"")</f>
        <v>65</v>
      </c>
      <c r="U39" s="8" t="str">
        <f>IFERROR(IF(ISBLANK([2]NLFsmonkeyCompl!W40),"",[2]NLFsmonkeyCompl!W40*$M39),"")</f>
        <v/>
      </c>
      <c r="V39" s="8">
        <f>IFERROR(IF(ISBLANK([2]NLFsmonkeyCompl!X40),"",[2]NLFsmonkeyCompl!X40*$M39),"")</f>
        <v>85</v>
      </c>
      <c r="W39" s="8">
        <f>IFERROR(IF(ISBLANK([2]NLFsmonkeyCompl!Y40),"",[2]NLFsmonkeyCompl!Y40*$M39),"")</f>
        <v>720</v>
      </c>
      <c r="X39" s="8">
        <f>IFERROR(IF(ISBLANK([2]NLFsmonkeyCompl!Z40),"",[2]NLFsmonkeyCompl!Z40*$M39),"")</f>
        <v>116</v>
      </c>
      <c r="Y39" s="8" t="str">
        <f>IFERROR(IF(ISBLANK([2]NLFsmonkeyCompl!AA40),"",[2]NLFsmonkeyCompl!AA40*$M39),"")</f>
        <v/>
      </c>
      <c r="Z39" s="8" t="str">
        <f>IFERROR(IF(ISBLANK([2]NLFsmonkeyCompl!AB40),"",[2]NLFsmonkeyCompl!AB40*$M39),"")</f>
        <v/>
      </c>
      <c r="AA39" s="8" t="str">
        <f>IFERROR(IF(ISBLANK([2]NLFsmonkeyCompl!AC40),"",[2]NLFsmonkeyCompl!AC40*$M39),"")</f>
        <v/>
      </c>
      <c r="AB39" s="8" t="str">
        <f>IFERROR(IF(ISBLANK([2]NLFsmonkeyCompl!AD40),"",[2]NLFsmonkeyCompl!AD40),"")</f>
        <v/>
      </c>
      <c r="AC39" s="8" t="str">
        <f>IFERROR(IF(ISBLANK([2]NLFsmonkeyCompl!AE40),"",[2]NLFsmonkeyCompl!AE40),"")</f>
        <v/>
      </c>
      <c r="AD39" s="8">
        <f>IFERROR(IF(ISBLANK([2]NLFsmonkeyCompl!AF40),"",[2]NLFsmonkeyCompl!AF40),"")</f>
        <v>100</v>
      </c>
      <c r="AE39" s="8" t="str">
        <f>IFERROR(IF(ISBLANK([2]NLFsmonkeyCompl!AG40),"",[2]NLFsmonkeyCompl!AG40),"")</f>
        <v/>
      </c>
      <c r="AF39" s="8" t="str">
        <f>IFERROR(IF(ISBLANK([2]NLFsmonkeyCompl!AH40),"",[2]NLFsmonkeyCompl!AH40),"")</f>
        <v>No change</v>
      </c>
      <c r="AG39" s="8" t="str">
        <f>IFERROR(IF(ISBLANK([2]NLFsmonkeyCompl!AI40),"",[2]NLFsmonkeyCompl!AI40),"")</f>
        <v>Yes</v>
      </c>
      <c r="AH39">
        <f>IFERROR(INDEX([2]VehiclesUniverse!$B$2:$EU$700,MATCH($C39,[2]VehiclesUniverse!$A$2:$A$700,0),MATCH($AH$1,[2]VehiclesUniverse!$B$1:$EU$1,0)),"")</f>
        <v>3272313385</v>
      </c>
    </row>
    <row r="40" spans="1:34" x14ac:dyDescent="0.2">
      <c r="A40" s="5" t="str">
        <f>IF(OR(ISTEXT([2]NLFsmonkeyCompl!J41),ISNUMBER([2]NLFsmonkeyCompl!J41)),[2]NLFsmonkeyCompl!J41,"")</f>
        <v>Invesco Real Estate</v>
      </c>
      <c r="B40" s="6" t="str">
        <f>IF(OR(ISTEXT([2]NLFsmonkeyCompl!K41),ISNUMBER([2]NLFsmonkeyCompl!K41)),[2]NLFsmonkeyCompl!K41,"")</f>
        <v>Invesco Real Estate - European Living Fund</v>
      </c>
      <c r="C40" s="6">
        <v>18125</v>
      </c>
      <c r="D40" s="6" t="str">
        <f>IFERROR(INDEX([2]VehiclesUniverse!$B$2:$EU$700,MATCH(C40,[2]VehiclesUniverse!$A$2:$A$700,0),MATCH($D$1,[2]VehiclesUniverse!$B$1:$EU$1,0)),"")</f>
        <v>Core</v>
      </c>
      <c r="E40" s="6" t="str">
        <f>IFERROR(INDEX([2]VehiclesUniverse!$B$2:$EU$700,MATCH(C40,[2]VehiclesUniverse!$A$2:$A$700,0),MATCH($E$1,[2]VehiclesUniverse!$B$1:$EU$1,0)),"")</f>
        <v>multi country</v>
      </c>
      <c r="F40" s="6" t="str">
        <f>IF(IFERROR(INDEX([2]VehiclesUniverse!$B$2:$EU$700,MATCH($C40,[2]VehiclesUniverse!$A$2:$A$700,0),MATCH($F$1,[2]VehiclesUniverse!$B$1:$EU$1,0)),"")&lt;&gt;0,(IFERROR(INDEX([2]VehiclesUniverse!$B$2:$EU$700,MATCH($C40,[2]VehiclesUniverse!$A$2:$A$700,0),MATCH($F$1,[2]VehiclesUniverse!$B$1:$EU$1,0)),"")),"")</f>
        <v/>
      </c>
      <c r="G40" s="6" t="str">
        <f>IF(ISBLANK([2]NLFsmonkeyCompl!L41),"",[2]NLFsmonkeyCompl!L41)</f>
        <v>Open end</v>
      </c>
      <c r="H40" s="6">
        <f>IFERROR(INDEX([2]VehiclesUniverse!$B$2:$EU$700,MATCH(C40,[2]VehiclesUniverse!$A$2:$A$700,0),MATCH($H$1,[2]VehiclesUniverse!$B$1:$EU$1,0)),"")</f>
        <v>2015</v>
      </c>
      <c r="I40" s="6" t="str">
        <f>IF(ISBLANK([2]NLFsmonkeyCompl!M41),"",[2]NLFsmonkeyCompl!M41)</f>
        <v>Yes</v>
      </c>
      <c r="J40" s="6" t="str">
        <f>IF(ISBLANK([2]NLFsmonkeyCompl!N41),"",[2]NLFsmonkeyCompl!N41)</f>
        <v/>
      </c>
      <c r="K40" s="6" t="str">
        <f>IF(ISBLANK([2]NLFsmonkeyCompl!O41),"",[2]NLFsmonkeyCompl!O41)</f>
        <v/>
      </c>
      <c r="L40" s="6" t="str">
        <f>IFERROR(INDEX([2]VehiclesUniverse!$B$2:$EU$700,MATCH(C40,[2]VehiclesUniverse!$A$2:$A$700,0),MATCH($L$1,[2]VehiclesUniverse!$B$1:$EU$1,0)),"")</f>
        <v>EUR</v>
      </c>
      <c r="M40" s="16">
        <f>IFERROR(VLOOKUP(L40,'[2]Xrate31.12.20'!$K$2:$N$25,3,0),"")</f>
        <v>1</v>
      </c>
      <c r="N40" s="8">
        <f>IFERROR(IF(ISBLANK([2]NLFsmonkeyCompl!P41),"",[2]NLFsmonkeyCompl!P41*$M40),"")</f>
        <v>138</v>
      </c>
      <c r="O40" s="8">
        <f>IFERROR(IF(ISBLANK([2]NLFsmonkeyCompl!Q41),"",[2]NLFsmonkeyCompl!Q41*$M40),"")</f>
        <v>98</v>
      </c>
      <c r="P40" s="8" t="str">
        <f>IFERROR(IF(ISBLANK([2]NLFsmonkeyCompl!R41),"",[2]NLFsmonkeyCompl!R41*$M40),"")</f>
        <v/>
      </c>
      <c r="Q40" s="8" t="str">
        <f>IFERROR(IF(ISBLANK([2]NLFsmonkeyCompl!S41),"",[2]NLFsmonkeyCompl!S41*$M40),"")</f>
        <v/>
      </c>
      <c r="R40" s="8" t="str">
        <f>IFERROR(IF(ISBLANK([2]NLFsmonkeyCompl!T41),"",[2]NLFsmonkeyCompl!T41*$M40),"")</f>
        <v/>
      </c>
      <c r="S40" s="8" t="str">
        <f>IFERROR(IF(ISBLANK([2]NLFsmonkeyCompl!U41),"",[2]NLFsmonkeyCompl!U41*$M40),"")</f>
        <v/>
      </c>
      <c r="T40" s="8" t="str">
        <f>IFERROR(IF(ISBLANK([2]NLFsmonkeyCompl!V41),"",[2]NLFsmonkeyCompl!V41*$M40),"")</f>
        <v/>
      </c>
      <c r="U40" s="8" t="str">
        <f>IFERROR(IF(ISBLANK([2]NLFsmonkeyCompl!W41),"",[2]NLFsmonkeyCompl!W41*$M40),"")</f>
        <v/>
      </c>
      <c r="V40" s="8">
        <f>IFERROR(IF(ISBLANK([2]NLFsmonkeyCompl!X41),"",[2]NLFsmonkeyCompl!X41*$M40),"")</f>
        <v>40</v>
      </c>
      <c r="W40" s="8">
        <f>IFERROR(IF(ISBLANK([2]NLFsmonkeyCompl!Y41),"",[2]NLFsmonkeyCompl!Y41*$M40),"")</f>
        <v>138</v>
      </c>
      <c r="X40" s="8" t="str">
        <f>IFERROR(IF(ISBLANK([2]NLFsmonkeyCompl!Z41),"",[2]NLFsmonkeyCompl!Z41*$M40),"")</f>
        <v/>
      </c>
      <c r="Y40" s="8" t="str">
        <f>IFERROR(IF(ISBLANK([2]NLFsmonkeyCompl!AA41),"",[2]NLFsmonkeyCompl!AA41*$M40),"")</f>
        <v/>
      </c>
      <c r="Z40" s="8" t="str">
        <f>IFERROR(IF(ISBLANK([2]NLFsmonkeyCompl!AB41),"",[2]NLFsmonkeyCompl!AB41*$M40),"")</f>
        <v/>
      </c>
      <c r="AA40" s="8" t="str">
        <f>IFERROR(IF(ISBLANK([2]NLFsmonkeyCompl!AC41),"",[2]NLFsmonkeyCompl!AC41*$M40),"")</f>
        <v/>
      </c>
      <c r="AB40" s="8" t="str">
        <f>IFERROR(IF(ISBLANK([2]NLFsmonkeyCompl!AD41),"",[2]NLFsmonkeyCompl!AD41),"")</f>
        <v/>
      </c>
      <c r="AC40" s="8" t="str">
        <f>IFERROR(IF(ISBLANK([2]NLFsmonkeyCompl!AE41),"",[2]NLFsmonkeyCompl!AE41),"")</f>
        <v/>
      </c>
      <c r="AD40" s="8">
        <f>IFERROR(IF(ISBLANK([2]NLFsmonkeyCompl!AF41),"",[2]NLFsmonkeyCompl!AF41),"")</f>
        <v>100</v>
      </c>
      <c r="AE40" s="8" t="str">
        <f>IFERROR(IF(ISBLANK([2]NLFsmonkeyCompl!AG41),"",[2]NLFsmonkeyCompl!AG41),"")</f>
        <v/>
      </c>
      <c r="AF40" s="8" t="str">
        <f>IFERROR(IF(ISBLANK([2]NLFsmonkeyCompl!AH41),"",[2]NLFsmonkeyCompl!AH41),"")</f>
        <v>No change</v>
      </c>
      <c r="AG40" s="8" t="str">
        <f>IFERROR(IF(ISBLANK([2]NLFsmonkeyCompl!AI41),"",[2]NLFsmonkeyCompl!AI41),"")</f>
        <v>Yes</v>
      </c>
      <c r="AH40">
        <f>IFERROR(INDEX([2]VehiclesUniverse!$B$2:$EU$700,MATCH($C40,[2]VehiclesUniverse!$A$2:$A$700,0),MATCH($AH$1,[2]VehiclesUniverse!$B$1:$EU$1,0)),"")</f>
        <v>753905213.47000003</v>
      </c>
    </row>
    <row r="41" spans="1:34" x14ac:dyDescent="0.2">
      <c r="A41" s="5" t="str">
        <f>IF(OR(ISTEXT([2]NLFsmonkeyCompl!J42),ISNUMBER([2]NLFsmonkeyCompl!J42)),[2]NLFsmonkeyCompl!J42,"")</f>
        <v>Invesco Real Estate</v>
      </c>
      <c r="B41" s="6" t="str">
        <f>IF(OR(ISTEXT([2]NLFsmonkeyCompl!K42),ISNUMBER([2]NLFsmonkeyCompl!K42)),[2]NLFsmonkeyCompl!K42,"")</f>
        <v>Invesco Real Estate - European Hotel Fund</v>
      </c>
      <c r="C41" s="6">
        <v>18386</v>
      </c>
      <c r="D41" s="6" t="str">
        <f>IFERROR(INDEX([2]VehiclesUniverse!$B$2:$EU$700,MATCH(C41,[2]VehiclesUniverse!$A$2:$A$700,0),MATCH($D$1,[2]VehiclesUniverse!$B$1:$EU$1,0)),"")</f>
        <v>Core</v>
      </c>
      <c r="E41" s="6" t="str">
        <f>IFERROR(INDEX([2]VehiclesUniverse!$B$2:$EU$700,MATCH(C41,[2]VehiclesUniverse!$A$2:$A$700,0),MATCH($E$1,[2]VehiclesUniverse!$B$1:$EU$1,0)),"")</f>
        <v>multi country</v>
      </c>
      <c r="F41" s="6" t="str">
        <f>IF(IFERROR(INDEX([2]VehiclesUniverse!$B$2:$EU$700,MATCH($C41,[2]VehiclesUniverse!$A$2:$A$700,0),MATCH($F$1,[2]VehiclesUniverse!$B$1:$EU$1,0)),"")&lt;&gt;0,(IFERROR(INDEX([2]VehiclesUniverse!$B$2:$EU$700,MATCH($C41,[2]VehiclesUniverse!$A$2:$A$700,0),MATCH($F$1,[2]VehiclesUniverse!$B$1:$EU$1,0)),"")),"")</f>
        <v/>
      </c>
      <c r="G41" s="6" t="str">
        <f>IF(ISBLANK([2]NLFsmonkeyCompl!L42),"",[2]NLFsmonkeyCompl!L42)</f>
        <v>Open end</v>
      </c>
      <c r="H41" s="6">
        <f>IFERROR(INDEX([2]VehiclesUniverse!$B$2:$EU$700,MATCH(C41,[2]VehiclesUniverse!$A$2:$A$700,0),MATCH($H$1,[2]VehiclesUniverse!$B$1:$EU$1,0)),"")</f>
        <v>2017</v>
      </c>
      <c r="I41" s="6" t="str">
        <f>IF(ISBLANK([2]NLFsmonkeyCompl!M42),"",[2]NLFsmonkeyCompl!M42)</f>
        <v>No</v>
      </c>
      <c r="J41" s="6" t="str">
        <f>IF(ISBLANK([2]NLFsmonkeyCompl!N42),"",[2]NLFsmonkeyCompl!N42)</f>
        <v>Other (please specify)</v>
      </c>
      <c r="K41" s="6" t="str">
        <f>IF(ISBLANK([2]NLFsmonkeyCompl!O42),"",[2]NLFsmonkeyCompl!O42)</f>
        <v>Impact of COVID-19 on Hotel Sector</v>
      </c>
      <c r="L41" s="6" t="str">
        <f>IFERROR(INDEX([2]VehiclesUniverse!$B$2:$EU$700,MATCH(C41,[2]VehiclesUniverse!$A$2:$A$700,0),MATCH($L$1,[2]VehiclesUniverse!$B$1:$EU$1,0)),"")</f>
        <v>EUR</v>
      </c>
      <c r="M41" s="16">
        <f>IFERROR(VLOOKUP(L41,'[2]Xrate31.12.20'!$K$2:$N$25,3,0),"")</f>
        <v>1</v>
      </c>
      <c r="N41" s="8" t="str">
        <f>IFERROR(IF(ISBLANK([2]NLFsmonkeyCompl!P42),"",[2]NLFsmonkeyCompl!P42*$M41),"")</f>
        <v/>
      </c>
      <c r="O41" s="8" t="str">
        <f>IFERROR(IF(ISBLANK([2]NLFsmonkeyCompl!Q42),"",[2]NLFsmonkeyCompl!Q42*$M41),"")</f>
        <v/>
      </c>
      <c r="P41" s="8" t="str">
        <f>IFERROR(IF(ISBLANK([2]NLFsmonkeyCompl!R42),"",[2]NLFsmonkeyCompl!R42*$M41),"")</f>
        <v/>
      </c>
      <c r="Q41" s="8" t="str">
        <f>IFERROR(IF(ISBLANK([2]NLFsmonkeyCompl!S42),"",[2]NLFsmonkeyCompl!S42*$M41),"")</f>
        <v/>
      </c>
      <c r="R41" s="8" t="str">
        <f>IFERROR(IF(ISBLANK([2]NLFsmonkeyCompl!T42),"",[2]NLFsmonkeyCompl!T42*$M41),"")</f>
        <v/>
      </c>
      <c r="S41" s="8" t="str">
        <f>IFERROR(IF(ISBLANK([2]NLFsmonkeyCompl!U42),"",[2]NLFsmonkeyCompl!U42*$M41),"")</f>
        <v/>
      </c>
      <c r="T41" s="8" t="str">
        <f>IFERROR(IF(ISBLANK([2]NLFsmonkeyCompl!V42),"",[2]NLFsmonkeyCompl!V42*$M41),"")</f>
        <v/>
      </c>
      <c r="U41" s="8" t="str">
        <f>IFERROR(IF(ISBLANK([2]NLFsmonkeyCompl!W42),"",[2]NLFsmonkeyCompl!W42*$M41),"")</f>
        <v/>
      </c>
      <c r="V41" s="8" t="str">
        <f>IFERROR(IF(ISBLANK([2]NLFsmonkeyCompl!X42),"",[2]NLFsmonkeyCompl!X42*$M41),"")</f>
        <v/>
      </c>
      <c r="W41" s="8" t="str">
        <f>IFERROR(IF(ISBLANK([2]NLFsmonkeyCompl!Y42),"",[2]NLFsmonkeyCompl!Y42*$M41),"")</f>
        <v/>
      </c>
      <c r="X41" s="8" t="str">
        <f>IFERROR(IF(ISBLANK([2]NLFsmonkeyCompl!Z42),"",[2]NLFsmonkeyCompl!Z42*$M41),"")</f>
        <v/>
      </c>
      <c r="Y41" s="8" t="str">
        <f>IFERROR(IF(ISBLANK([2]NLFsmonkeyCompl!AA42),"",[2]NLFsmonkeyCompl!AA42*$M41),"")</f>
        <v/>
      </c>
      <c r="Z41" s="8" t="str">
        <f>IFERROR(IF(ISBLANK([2]NLFsmonkeyCompl!AB42),"",[2]NLFsmonkeyCompl!AB42*$M41),"")</f>
        <v/>
      </c>
      <c r="AA41" s="8" t="str">
        <f>IFERROR(IF(ISBLANK([2]NLFsmonkeyCompl!AC42),"",[2]NLFsmonkeyCompl!AC42*$M41),"")</f>
        <v/>
      </c>
      <c r="AB41" s="8" t="str">
        <f>IFERROR(IF(ISBLANK([2]NLFsmonkeyCompl!AD42),"",[2]NLFsmonkeyCompl!AD42),"")</f>
        <v/>
      </c>
      <c r="AC41" s="8" t="str">
        <f>IFERROR(IF(ISBLANK([2]NLFsmonkeyCompl!AE42),"",[2]NLFsmonkeyCompl!AE42),"")</f>
        <v/>
      </c>
      <c r="AD41" s="8" t="str">
        <f>IFERROR(IF(ISBLANK([2]NLFsmonkeyCompl!AF42),"",[2]NLFsmonkeyCompl!AF42),"")</f>
        <v/>
      </c>
      <c r="AE41" s="8" t="str">
        <f>IFERROR(IF(ISBLANK([2]NLFsmonkeyCompl!AG42),"",[2]NLFsmonkeyCompl!AG42),"")</f>
        <v/>
      </c>
      <c r="AF41" s="8" t="str">
        <f>IFERROR(IF(ISBLANK([2]NLFsmonkeyCompl!AH42),"",[2]NLFsmonkeyCompl!AH42),"")</f>
        <v>No change</v>
      </c>
      <c r="AG41" s="8" t="str">
        <f>IFERROR(IF(ISBLANK([2]NLFsmonkeyCompl!AI42),"",[2]NLFsmonkeyCompl!AI42),"")</f>
        <v>Yes</v>
      </c>
      <c r="AH41">
        <f>IFERROR(INDEX([2]VehiclesUniverse!$B$2:$EU$700,MATCH($C41,[2]VehiclesUniverse!$A$2:$A$700,0),MATCH($AH$1,[2]VehiclesUniverse!$B$1:$EU$1,0)),"")</f>
        <v>669998810.75</v>
      </c>
    </row>
    <row r="42" spans="1:34" x14ac:dyDescent="0.2">
      <c r="A42" s="5" t="str">
        <f>IF(OR(ISTEXT([2]NLFsmonkeyCompl!J43),ISNUMBER([2]NLFsmonkeyCompl!J43)),[2]NLFsmonkeyCompl!J43,"")</f>
        <v>Savills Investment Management</v>
      </c>
      <c r="B42" s="6" t="str">
        <f>IF(OR(ISTEXT([2]NLFsmonkeyCompl!K43),ISNUMBER([2]NLFsmonkeyCompl!K43)),[2]NLFsmonkeyCompl!K43,"")</f>
        <v>Savills IM Asia Pacific Income and Growth Fund</v>
      </c>
      <c r="C42" s="6" t="s">
        <v>43</v>
      </c>
      <c r="D42" s="6" t="str">
        <f>IFERROR(INDEX([2]VehiclesUniverse!$B$2:$EU$700,MATCH(C42,[2]VehiclesUniverse!$A$2:$A$700,0),MATCH($D$1,[2]VehiclesUniverse!$B$1:$EU$1,0)),"")</f>
        <v/>
      </c>
      <c r="E42" s="6" t="str">
        <f>IFERROR(INDEX([2]VehiclesUniverse!$B$2:$EU$700,MATCH(C42,[2]VehiclesUniverse!$A$2:$A$700,0),MATCH($E$1,[2]VehiclesUniverse!$B$1:$EU$1,0)),"")</f>
        <v/>
      </c>
      <c r="F42" s="6" t="str">
        <f>IF(IFERROR(INDEX([2]VehiclesUniverse!$B$2:$EU$700,MATCH($C42,[2]VehiclesUniverse!$A$2:$A$700,0),MATCH($F$1,[2]VehiclesUniverse!$B$1:$EU$1,0)),"")&lt;&gt;0,(IFERROR(INDEX([2]VehiclesUniverse!$B$2:$EU$700,MATCH($C42,[2]VehiclesUniverse!$A$2:$A$700,0),MATCH($F$1,[2]VehiclesUniverse!$B$1:$EU$1,0)),"")),"")</f>
        <v/>
      </c>
      <c r="G42" s="6"/>
      <c r="H42" s="6" t="str">
        <f>IFERROR(INDEX([2]VehiclesUniverse!$B$2:$EU$700,MATCH(C42,[2]VehiclesUniverse!$A$2:$A$700,0),MATCH($H$1,[2]VehiclesUniverse!$B$1:$EU$1,0)),"")</f>
        <v/>
      </c>
      <c r="I42" s="6" t="str">
        <f>IF(ISBLANK([2]NLFsmonkeyCompl!M43),"",[2]NLFsmonkeyCompl!M43)</f>
        <v>Yes</v>
      </c>
      <c r="J42" s="6" t="str">
        <f>IF(ISBLANK([2]NLFsmonkeyCompl!N43),"",[2]NLFsmonkeyCompl!N43)</f>
        <v/>
      </c>
      <c r="K42" s="6" t="str">
        <f>IF(ISBLANK([2]NLFsmonkeyCompl!O43),"",[2]NLFsmonkeyCompl!O43)</f>
        <v/>
      </c>
      <c r="L42" s="6" t="str">
        <f>IFERROR(INDEX([2]VehiclesUniverse!$B$2:$EU$700,MATCH(C42,[2]VehiclesUniverse!$A$2:$A$700,0),MATCH($L$1,[2]VehiclesUniverse!$B$1:$EU$1,0)),"")</f>
        <v/>
      </c>
      <c r="M42" s="16" t="str">
        <f>IFERROR(VLOOKUP(L42,'[2]Xrate31.12.20'!$K$2:$N$25,3,0),"")</f>
        <v/>
      </c>
      <c r="N42" s="8" t="str">
        <f>IFERROR(IF(ISBLANK([2]NLFsmonkeyCompl!P43),"",[2]NLFsmonkeyCompl!P43*$M42),"")</f>
        <v/>
      </c>
      <c r="O42" s="8" t="str">
        <f>IFERROR(IF(ISBLANK([2]NLFsmonkeyCompl!Q43),"",[2]NLFsmonkeyCompl!Q43*$M42),"")</f>
        <v/>
      </c>
      <c r="P42" s="8" t="str">
        <f>IFERROR(IF(ISBLANK([2]NLFsmonkeyCompl!R43),"",[2]NLFsmonkeyCompl!R43*$M42),"")</f>
        <v/>
      </c>
      <c r="Q42" s="8" t="str">
        <f>IFERROR(IF(ISBLANK([2]NLFsmonkeyCompl!S43),"",[2]NLFsmonkeyCompl!S43*$M42),"")</f>
        <v/>
      </c>
      <c r="R42" s="8" t="str">
        <f>IFERROR(IF(ISBLANK([2]NLFsmonkeyCompl!T43),"",[2]NLFsmonkeyCompl!T43*$M42),"")</f>
        <v/>
      </c>
      <c r="S42" s="8" t="str">
        <f>IFERROR(IF(ISBLANK([2]NLFsmonkeyCompl!U43),"",[2]NLFsmonkeyCompl!U43*$M42),"")</f>
        <v/>
      </c>
      <c r="T42" s="8" t="str">
        <f>IFERROR(IF(ISBLANK([2]NLFsmonkeyCompl!V43),"",[2]NLFsmonkeyCompl!V43*$M42),"")</f>
        <v/>
      </c>
      <c r="U42" s="8" t="str">
        <f>IFERROR(IF(ISBLANK([2]NLFsmonkeyCompl!W43),"",[2]NLFsmonkeyCompl!W43*$M42),"")</f>
        <v/>
      </c>
      <c r="V42" s="8" t="str">
        <f>IFERROR(IF(ISBLANK([2]NLFsmonkeyCompl!X43),"",[2]NLFsmonkeyCompl!X43*$M42),"")</f>
        <v/>
      </c>
      <c r="W42" s="8" t="str">
        <f>IFERROR(IF(ISBLANK([2]NLFsmonkeyCompl!Y43),"",[2]NLFsmonkeyCompl!Y43*$M42),"")</f>
        <v/>
      </c>
      <c r="X42" s="8" t="str">
        <f>IFERROR(IF(ISBLANK([2]NLFsmonkeyCompl!Z43),"",[2]NLFsmonkeyCompl!Z43*$M42),"")</f>
        <v/>
      </c>
      <c r="Y42" s="8" t="str">
        <f>IFERROR(IF(ISBLANK([2]NLFsmonkeyCompl!AA43),"",[2]NLFsmonkeyCompl!AA43*$M42),"")</f>
        <v/>
      </c>
      <c r="Z42" s="8" t="str">
        <f>IFERROR(IF(ISBLANK([2]NLFsmonkeyCompl!AB43),"",[2]NLFsmonkeyCompl!AB43*$M42),"")</f>
        <v/>
      </c>
      <c r="AA42" s="8" t="str">
        <f>IFERROR(IF(ISBLANK([2]NLFsmonkeyCompl!AC43),"",[2]NLFsmonkeyCompl!AC43*$M42),"")</f>
        <v/>
      </c>
      <c r="AB42" s="8">
        <f>IFERROR(IF(ISBLANK([2]NLFsmonkeyCompl!AD43),"",[2]NLFsmonkeyCompl!AD43),"")</f>
        <v>0</v>
      </c>
      <c r="AC42" s="8">
        <f>IFERROR(IF(ISBLANK([2]NLFsmonkeyCompl!AE43),"",[2]NLFsmonkeyCompl!AE43),"")</f>
        <v>0</v>
      </c>
      <c r="AD42" s="8">
        <f>IFERROR(IF(ISBLANK([2]NLFsmonkeyCompl!AF43),"",[2]NLFsmonkeyCompl!AF43),"")</f>
        <v>100</v>
      </c>
      <c r="AE42" s="8">
        <f>IFERROR(IF(ISBLANK([2]NLFsmonkeyCompl!AG43),"",[2]NLFsmonkeyCompl!AG43),"")</f>
        <v>0</v>
      </c>
      <c r="AF42" s="8" t="str">
        <f>IFERROR(IF(ISBLANK([2]NLFsmonkeyCompl!AH43),"",[2]NLFsmonkeyCompl!AH43),"")</f>
        <v>Increase</v>
      </c>
      <c r="AG42" s="8" t="str">
        <f>IFERROR(IF(ISBLANK([2]NLFsmonkeyCompl!AI43),"",[2]NLFsmonkeyCompl!AI43),"")</f>
        <v>Yes</v>
      </c>
      <c r="AH42" t="str">
        <f>IFERROR(INDEX([2]VehiclesUniverse!$B$2:$EU$700,MATCH($C42,[2]VehiclesUniverse!$A$2:$A$700,0),MATCH($AH$1,[2]VehiclesUniverse!$B$1:$EU$1,0)),"")</f>
        <v/>
      </c>
    </row>
    <row r="43" spans="1:34" x14ac:dyDescent="0.2">
      <c r="A43" s="5" t="str">
        <f>IF(OR(ISTEXT([2]NLFsmonkeyCompl!J44),ISNUMBER([2]NLFsmonkeyCompl!J44)),[2]NLFsmonkeyCompl!J44,"")</f>
        <v>Savills Investment Management</v>
      </c>
      <c r="B43" s="6" t="str">
        <f>IF(OR(ISTEXT([2]NLFsmonkeyCompl!K44),ISNUMBER([2]NLFsmonkeyCompl!K44)),[2]NLFsmonkeyCompl!K44,"")</f>
        <v>Savills IM European Commercial Fund</v>
      </c>
      <c r="C43" s="6">
        <v>106</v>
      </c>
      <c r="D43" s="6" t="str">
        <f>IFERROR(INDEX([2]VehiclesUniverse!$B$2:$EU$700,MATCH(C43,[2]VehiclesUniverse!$A$2:$A$700,0),MATCH($D$1,[2]VehiclesUniverse!$B$1:$EU$1,0)),"")</f>
        <v>Core</v>
      </c>
      <c r="E43" s="6" t="str">
        <f>IFERROR(INDEX([2]VehiclesUniverse!$B$2:$EU$700,MATCH(C43,[2]VehiclesUniverse!$A$2:$A$700,0),MATCH($E$1,[2]VehiclesUniverse!$B$1:$EU$1,0)),"")</f>
        <v>multi country</v>
      </c>
      <c r="F43" s="6" t="str">
        <f>IF(IFERROR(INDEX([2]VehiclesUniverse!$B$2:$EU$700,MATCH($C43,[2]VehiclesUniverse!$A$2:$A$700,0),MATCH($F$1,[2]VehiclesUniverse!$B$1:$EU$1,0)),"")&lt;&gt;0,(IFERROR(INDEX([2]VehiclesUniverse!$B$2:$EU$700,MATCH($C43,[2]VehiclesUniverse!$A$2:$A$700,0),MATCH($F$1,[2]VehiclesUniverse!$B$1:$EU$1,0)),"")),"")</f>
        <v/>
      </c>
      <c r="G43" s="6" t="str">
        <f>IF(ISBLANK([2]NLFsmonkeyCompl!L44),"",[2]NLFsmonkeyCompl!L44)</f>
        <v>Open end</v>
      </c>
      <c r="H43" s="6">
        <f>IFERROR(INDEX([2]VehiclesUniverse!$B$2:$EU$700,MATCH(C43,[2]VehiclesUniverse!$A$2:$A$700,0),MATCH($H$1,[2]VehiclesUniverse!$B$1:$EU$1,0)),"")</f>
        <v>2008</v>
      </c>
      <c r="I43" s="6" t="str">
        <f>IF(ISBLANK([2]NLFsmonkeyCompl!M44),"",[2]NLFsmonkeyCompl!M44)</f>
        <v>Yes</v>
      </c>
      <c r="J43" s="6" t="str">
        <f>IF(ISBLANK([2]NLFsmonkeyCompl!N44),"",[2]NLFsmonkeyCompl!N44)</f>
        <v/>
      </c>
      <c r="K43" s="6" t="str">
        <f>IF(ISBLANK([2]NLFsmonkeyCompl!O44),"",[2]NLFsmonkeyCompl!O44)</f>
        <v/>
      </c>
      <c r="L43" s="6" t="str">
        <f>IFERROR(INDEX([2]VehiclesUniverse!$B$2:$EU$700,MATCH(C43,[2]VehiclesUniverse!$A$2:$A$700,0),MATCH($L$1,[2]VehiclesUniverse!$B$1:$EU$1,0)),"")</f>
        <v>EUR</v>
      </c>
      <c r="M43" s="16">
        <f>IFERROR(VLOOKUP(L43,'[2]Xrate31.12.20'!$K$2:$N$25,3,0),"")</f>
        <v>1</v>
      </c>
      <c r="N43" s="8">
        <f>IFERROR(IF(ISBLANK([2]NLFsmonkeyCompl!P44),"",[2]NLFsmonkeyCompl!P44*$M43),"")</f>
        <v>35</v>
      </c>
      <c r="O43" s="8">
        <f>IFERROR(IF(ISBLANK([2]NLFsmonkeyCompl!Q44),"",[2]NLFsmonkeyCompl!Q44*$M43),"")</f>
        <v>0</v>
      </c>
      <c r="P43" s="8">
        <f>IFERROR(IF(ISBLANK([2]NLFsmonkeyCompl!R44),"",[2]NLFsmonkeyCompl!R44*$M43),"")</f>
        <v>35</v>
      </c>
      <c r="Q43" s="8">
        <f>IFERROR(IF(ISBLANK([2]NLFsmonkeyCompl!S44),"",[2]NLFsmonkeyCompl!S44*$M43),"")</f>
        <v>0</v>
      </c>
      <c r="R43" s="8">
        <f>IFERROR(IF(ISBLANK([2]NLFsmonkeyCompl!T44),"",[2]NLFsmonkeyCompl!T44*$M43),"")</f>
        <v>0</v>
      </c>
      <c r="S43" s="8">
        <f>IFERROR(IF(ISBLANK([2]NLFsmonkeyCompl!U44),"",[2]NLFsmonkeyCompl!U44*$M43),"")</f>
        <v>0</v>
      </c>
      <c r="T43" s="8">
        <f>IFERROR(IF(ISBLANK([2]NLFsmonkeyCompl!V44),"",[2]NLFsmonkeyCompl!V44*$M43),"")</f>
        <v>0</v>
      </c>
      <c r="U43" s="8">
        <f>IFERROR(IF(ISBLANK([2]NLFsmonkeyCompl!W44),"",[2]NLFsmonkeyCompl!W44*$M43),"")</f>
        <v>0</v>
      </c>
      <c r="V43" s="8">
        <f>IFERROR(IF(ISBLANK([2]NLFsmonkeyCompl!X44),"",[2]NLFsmonkeyCompl!X44*$M43),"")</f>
        <v>0</v>
      </c>
      <c r="W43" s="8">
        <f>IFERROR(IF(ISBLANK([2]NLFsmonkeyCompl!Y44),"",[2]NLFsmonkeyCompl!Y44*$M43),"")</f>
        <v>35</v>
      </c>
      <c r="X43" s="8">
        <f>IFERROR(IF(ISBLANK([2]NLFsmonkeyCompl!Z44),"",[2]NLFsmonkeyCompl!Z44*$M43),"")</f>
        <v>0</v>
      </c>
      <c r="Y43" s="8">
        <f>IFERROR(IF(ISBLANK([2]NLFsmonkeyCompl!AA44),"",[2]NLFsmonkeyCompl!AA44*$M43),"")</f>
        <v>0</v>
      </c>
      <c r="Z43" s="8">
        <f>IFERROR(IF(ISBLANK([2]NLFsmonkeyCompl!AB44),"",[2]NLFsmonkeyCompl!AB44*$M43),"")</f>
        <v>0</v>
      </c>
      <c r="AA43" s="8">
        <f>IFERROR(IF(ISBLANK([2]NLFsmonkeyCompl!AC44),"",[2]NLFsmonkeyCompl!AC44*$M43),"")</f>
        <v>0</v>
      </c>
      <c r="AB43" s="8">
        <f>IFERROR(IF(ISBLANK([2]NLFsmonkeyCompl!AD44),"",[2]NLFsmonkeyCompl!AD44),"")</f>
        <v>0</v>
      </c>
      <c r="AC43" s="8">
        <f>IFERROR(IF(ISBLANK([2]NLFsmonkeyCompl!AE44),"",[2]NLFsmonkeyCompl!AE44),"")</f>
        <v>0</v>
      </c>
      <c r="AD43" s="8">
        <f>IFERROR(IF(ISBLANK([2]NLFsmonkeyCompl!AF44),"",[2]NLFsmonkeyCompl!AF44),"")</f>
        <v>100</v>
      </c>
      <c r="AE43" s="8">
        <f>IFERROR(IF(ISBLANK([2]NLFsmonkeyCompl!AG44),"",[2]NLFsmonkeyCompl!AG44),"")</f>
        <v>0</v>
      </c>
      <c r="AF43" s="8" t="str">
        <f>IFERROR(IF(ISBLANK([2]NLFsmonkeyCompl!AH44),"",[2]NLFsmonkeyCompl!AH44),"")</f>
        <v>Increase</v>
      </c>
      <c r="AG43" s="8" t="str">
        <f>IFERROR(IF(ISBLANK([2]NLFsmonkeyCompl!AI44),"",[2]NLFsmonkeyCompl!AI44),"")</f>
        <v>Yes</v>
      </c>
      <c r="AH43">
        <f>IFERROR(INDEX([2]VehiclesUniverse!$B$2:$EU$700,MATCH($C43,[2]VehiclesUniverse!$A$2:$A$700,0),MATCH($AH$1,[2]VehiclesUniverse!$B$1:$EU$1,0)),"")</f>
        <v>895002764</v>
      </c>
    </row>
    <row r="44" spans="1:34" x14ac:dyDescent="0.2">
      <c r="A44" s="5" t="str">
        <f>IF(OR(ISTEXT([2]NLFsmonkeyCompl!J45),ISNUMBER([2]NLFsmonkeyCompl!J45)),[2]NLFsmonkeyCompl!J45,"")</f>
        <v>Savills Investment Management</v>
      </c>
      <c r="B44" s="6" t="str">
        <f>IF(OR(ISTEXT([2]NLFsmonkeyCompl!K45),ISNUMBER([2]NLFsmonkeyCompl!K45)),[2]NLFsmonkeyCompl!K45,"")</f>
        <v>Savills IM European Logistics Fund 3</v>
      </c>
      <c r="C44" s="6">
        <v>18125</v>
      </c>
      <c r="D44" s="6" t="str">
        <f>IFERROR(INDEX([2]VehiclesUniverse!$B$2:$EU$700,MATCH(C44,[2]VehiclesUniverse!$A$2:$A$700,0),MATCH($D$1,[2]VehiclesUniverse!$B$1:$EU$1,0)),"")</f>
        <v>Core</v>
      </c>
      <c r="E44" s="6" t="str">
        <f>IFERROR(INDEX([2]VehiclesUniverse!$B$2:$EU$700,MATCH(C44,[2]VehiclesUniverse!$A$2:$A$700,0),MATCH($E$1,[2]VehiclesUniverse!$B$1:$EU$1,0)),"")</f>
        <v>multi country</v>
      </c>
      <c r="F44" s="6" t="str">
        <f>IF(IFERROR(INDEX([2]VehiclesUniverse!$B$2:$EU$700,MATCH($C44,[2]VehiclesUniverse!$A$2:$A$700,0),MATCH($F$1,[2]VehiclesUniverse!$B$1:$EU$1,0)),"")&lt;&gt;0,(IFERROR(INDEX([2]VehiclesUniverse!$B$2:$EU$700,MATCH($C44,[2]VehiclesUniverse!$A$2:$A$700,0),MATCH($F$1,[2]VehiclesUniverse!$B$1:$EU$1,0)),"")),"")</f>
        <v/>
      </c>
      <c r="G44" s="6" t="str">
        <f>IF(ISBLANK([2]NLFsmonkeyCompl!L45),"",[2]NLFsmonkeyCompl!L45)</f>
        <v>Open end</v>
      </c>
      <c r="H44" s="7">
        <v>2019</v>
      </c>
      <c r="I44" s="6" t="str">
        <f>IF(ISBLANK([2]NLFsmonkeyCompl!M45),"",[2]NLFsmonkeyCompl!M45)</f>
        <v>Yes</v>
      </c>
      <c r="J44" s="6" t="str">
        <f>IF(ISBLANK([2]NLFsmonkeyCompl!N45),"",[2]NLFsmonkeyCompl!N45)</f>
        <v/>
      </c>
      <c r="K44" s="6" t="str">
        <f>IF(ISBLANK([2]NLFsmonkeyCompl!O45),"",[2]NLFsmonkeyCompl!O45)</f>
        <v/>
      </c>
      <c r="L44" s="6" t="str">
        <f>IFERROR(INDEX([2]VehiclesUniverse!$B$2:$EU$700,MATCH(C44,[2]VehiclesUniverse!$A$2:$A$700,0),MATCH($L$1,[2]VehiclesUniverse!$B$1:$EU$1,0)),"")</f>
        <v>EUR</v>
      </c>
      <c r="M44" s="16">
        <f>IFERROR(VLOOKUP(L44,'[2]Xrate31.12.20'!$K$2:$N$25,3,0),"")</f>
        <v>1</v>
      </c>
      <c r="N44" s="8">
        <f>IFERROR(IF(ISBLANK([2]NLFsmonkeyCompl!P45),"",[2]NLFsmonkeyCompl!P45*$M44),"")</f>
        <v>224</v>
      </c>
      <c r="O44" s="8">
        <f>IFERROR(IF(ISBLANK([2]NLFsmonkeyCompl!Q45),"",[2]NLFsmonkeyCompl!Q45*$M44),"")</f>
        <v>18</v>
      </c>
      <c r="P44" s="8">
        <f>IFERROR(IF(ISBLANK([2]NLFsmonkeyCompl!R45),"",[2]NLFsmonkeyCompl!R45*$M44),"")</f>
        <v>160</v>
      </c>
      <c r="Q44" s="8">
        <f>IFERROR(IF(ISBLANK([2]NLFsmonkeyCompl!S45),"",[2]NLFsmonkeyCompl!S45*$M44),"")</f>
        <v>0</v>
      </c>
      <c r="R44" s="8">
        <f>IFERROR(IF(ISBLANK([2]NLFsmonkeyCompl!T45),"",[2]NLFsmonkeyCompl!T45*$M44),"")</f>
        <v>0</v>
      </c>
      <c r="S44" s="8">
        <f>IFERROR(IF(ISBLANK([2]NLFsmonkeyCompl!U45),"",[2]NLFsmonkeyCompl!U45*$M44),"")</f>
        <v>0</v>
      </c>
      <c r="T44" s="8">
        <f>IFERROR(IF(ISBLANK([2]NLFsmonkeyCompl!V45),"",[2]NLFsmonkeyCompl!V45*$M44),"")</f>
        <v>10</v>
      </c>
      <c r="U44" s="8">
        <f>IFERROR(IF(ISBLANK([2]NLFsmonkeyCompl!W45),"",[2]NLFsmonkeyCompl!W45*$M44),"")</f>
        <v>0</v>
      </c>
      <c r="V44" s="8">
        <f>IFERROR(IF(ISBLANK([2]NLFsmonkeyCompl!X45),"",[2]NLFsmonkeyCompl!X45*$M44),"")</f>
        <v>36</v>
      </c>
      <c r="W44" s="8">
        <f>IFERROR(IF(ISBLANK([2]NLFsmonkeyCompl!Y45),"",[2]NLFsmonkeyCompl!Y45*$M44),"")</f>
        <v>224</v>
      </c>
      <c r="X44" s="8">
        <f>IFERROR(IF(ISBLANK([2]NLFsmonkeyCompl!Z45),"",[2]NLFsmonkeyCompl!Z45*$M44),"")</f>
        <v>0</v>
      </c>
      <c r="Y44" s="8">
        <f>IFERROR(IF(ISBLANK([2]NLFsmonkeyCompl!AA45),"",[2]NLFsmonkeyCompl!AA45*$M44),"")</f>
        <v>0</v>
      </c>
      <c r="Z44" s="8">
        <f>IFERROR(IF(ISBLANK([2]NLFsmonkeyCompl!AB45),"",[2]NLFsmonkeyCompl!AB45*$M44),"")</f>
        <v>0</v>
      </c>
      <c r="AA44" s="8">
        <f>IFERROR(IF(ISBLANK([2]NLFsmonkeyCompl!AC45),"",[2]NLFsmonkeyCompl!AC45*$M44),"")</f>
        <v>0</v>
      </c>
      <c r="AB44" s="8">
        <f>IFERROR(IF(ISBLANK([2]NLFsmonkeyCompl!AD45),"",[2]NLFsmonkeyCompl!AD45),"")</f>
        <v>0</v>
      </c>
      <c r="AC44" s="8">
        <f>IFERROR(IF(ISBLANK([2]NLFsmonkeyCompl!AE45),"",[2]NLFsmonkeyCompl!AE45),"")</f>
        <v>0</v>
      </c>
      <c r="AD44" s="8">
        <f>IFERROR(IF(ISBLANK([2]NLFsmonkeyCompl!AF45),"",[2]NLFsmonkeyCompl!AF45),"")</f>
        <v>100</v>
      </c>
      <c r="AE44" s="8">
        <f>IFERROR(IF(ISBLANK([2]NLFsmonkeyCompl!AG45),"",[2]NLFsmonkeyCompl!AG45),"")</f>
        <v>0</v>
      </c>
      <c r="AF44" s="8" t="str">
        <f>IFERROR(IF(ISBLANK([2]NLFsmonkeyCompl!AH45),"",[2]NLFsmonkeyCompl!AH45),"")</f>
        <v>Increase</v>
      </c>
      <c r="AG44" s="8" t="str">
        <f>IFERROR(IF(ISBLANK([2]NLFsmonkeyCompl!AI45),"",[2]NLFsmonkeyCompl!AI45),"")</f>
        <v>Yes</v>
      </c>
      <c r="AH44">
        <f>IFERROR(INDEX([2]VehiclesUniverse!$B$2:$EU$700,MATCH($C44,[2]VehiclesUniverse!$A$2:$A$700,0),MATCH($AH$1,[2]VehiclesUniverse!$B$1:$EU$1,0)),"")</f>
        <v>753905213.47000003</v>
      </c>
    </row>
    <row r="45" spans="1:34" x14ac:dyDescent="0.2">
      <c r="A45" s="5" t="str">
        <f>IF(OR(ISTEXT([2]NLFsmonkeyCompl!J46),ISNUMBER([2]NLFsmonkeyCompl!J46)),[2]NLFsmonkeyCompl!J46,"")</f>
        <v xml:space="preserve">Goodman </v>
      </c>
      <c r="B45" s="6" t="str">
        <f>IF(OR(ISTEXT([2]NLFsmonkeyCompl!K46),ISNUMBER([2]NLFsmonkeyCompl!K46)),[2]NLFsmonkeyCompl!K46,"")</f>
        <v>GEP</v>
      </c>
      <c r="C45" s="6"/>
      <c r="D45" s="6" t="str">
        <f>IFERROR(INDEX([2]VehiclesUniverse!$B$2:$EU$700,MATCH(C45,[2]VehiclesUniverse!$A$2:$A$700,0),MATCH($D$1,[2]VehiclesUniverse!$B$1:$EU$1,0)),"")</f>
        <v/>
      </c>
      <c r="E45" s="6" t="str">
        <f>IFERROR(INDEX([2]VehiclesUniverse!$B$2:$EU$700,MATCH(C45,[2]VehiclesUniverse!$A$2:$A$700,0),MATCH($E$1,[2]VehiclesUniverse!$B$1:$EU$1,0)),"")</f>
        <v/>
      </c>
      <c r="F45" s="6" t="str">
        <f>IF(IFERROR(INDEX([2]VehiclesUniverse!$B$2:$EU$700,MATCH($C45,[2]VehiclesUniverse!$A$2:$A$700,0),MATCH($F$1,[2]VehiclesUniverse!$B$1:$EU$1,0)),"")&lt;&gt;0,(IFERROR(INDEX([2]VehiclesUniverse!$B$2:$EU$700,MATCH($C45,[2]VehiclesUniverse!$A$2:$A$700,0),MATCH($F$1,[2]VehiclesUniverse!$B$1:$EU$1,0)),"")),"")</f>
        <v/>
      </c>
      <c r="G45" s="6"/>
      <c r="H45" s="6" t="str">
        <f>IFERROR(INDEX([2]VehiclesUniverse!$B$2:$EU$700,MATCH(C45,[2]VehiclesUniverse!$A$2:$A$700,0),MATCH($H$1,[2]VehiclesUniverse!$B$1:$EU$1,0)),"")</f>
        <v/>
      </c>
      <c r="I45" s="6" t="str">
        <f>IF(ISBLANK([2]NLFsmonkeyCompl!M46),"",[2]NLFsmonkeyCompl!M46)</f>
        <v>No</v>
      </c>
      <c r="J45" s="6" t="str">
        <f>IF(ISBLANK([2]NLFsmonkeyCompl!N46),"",[2]NLFsmonkeyCompl!N46)</f>
        <v>Other (please specify)</v>
      </c>
      <c r="K45" s="6" t="str">
        <f>IF(ISBLANK([2]NLFsmonkeyCompl!O46),"",[2]NLFsmonkeyCompl!O46)</f>
        <v>N/A</v>
      </c>
      <c r="L45" s="6" t="str">
        <f>IFERROR(INDEX([2]VehiclesUniverse!$B$2:$EU$700,MATCH(C45,[2]VehiclesUniverse!$A$2:$A$700,0),MATCH($L$1,[2]VehiclesUniverse!$B$1:$EU$1,0)),"")</f>
        <v/>
      </c>
      <c r="M45" s="16" t="str">
        <f>IFERROR(VLOOKUP(L45,'[2]Xrate31.12.20'!$K$2:$N$25,3,0),"")</f>
        <v/>
      </c>
      <c r="N45" s="8" t="str">
        <f>IFERROR(IF(ISBLANK([2]NLFsmonkeyCompl!P46),"",[2]NLFsmonkeyCompl!P46*$M45),"")</f>
        <v/>
      </c>
      <c r="O45" s="8" t="str">
        <f>IFERROR(IF(ISBLANK([2]NLFsmonkeyCompl!Q46),"",[2]NLFsmonkeyCompl!Q46*$M45),"")</f>
        <v/>
      </c>
      <c r="P45" s="8" t="str">
        <f>IFERROR(IF(ISBLANK([2]NLFsmonkeyCompl!R46),"",[2]NLFsmonkeyCompl!R46*$M45),"")</f>
        <v/>
      </c>
      <c r="Q45" s="8" t="str">
        <f>IFERROR(IF(ISBLANK([2]NLFsmonkeyCompl!S46),"",[2]NLFsmonkeyCompl!S46*$M45),"")</f>
        <v/>
      </c>
      <c r="R45" s="8" t="str">
        <f>IFERROR(IF(ISBLANK([2]NLFsmonkeyCompl!T46),"",[2]NLFsmonkeyCompl!T46*$M45),"")</f>
        <v/>
      </c>
      <c r="S45" s="8" t="str">
        <f>IFERROR(IF(ISBLANK([2]NLFsmonkeyCompl!U46),"",[2]NLFsmonkeyCompl!U46*$M45),"")</f>
        <v/>
      </c>
      <c r="T45" s="8" t="str">
        <f>IFERROR(IF(ISBLANK([2]NLFsmonkeyCompl!V46),"",[2]NLFsmonkeyCompl!V46*$M45),"")</f>
        <v/>
      </c>
      <c r="U45" s="8" t="str">
        <f>IFERROR(IF(ISBLANK([2]NLFsmonkeyCompl!W46),"",[2]NLFsmonkeyCompl!W46*$M45),"")</f>
        <v/>
      </c>
      <c r="V45" s="8" t="str">
        <f>IFERROR(IF(ISBLANK([2]NLFsmonkeyCompl!X46),"",[2]NLFsmonkeyCompl!X46*$M45),"")</f>
        <v/>
      </c>
      <c r="W45" s="8" t="str">
        <f>IFERROR(IF(ISBLANK([2]NLFsmonkeyCompl!Y46),"",[2]NLFsmonkeyCompl!Y46*$M45),"")</f>
        <v/>
      </c>
      <c r="X45" s="8" t="str">
        <f>IFERROR(IF(ISBLANK([2]NLFsmonkeyCompl!Z46),"",[2]NLFsmonkeyCompl!Z46*$M45),"")</f>
        <v/>
      </c>
      <c r="Y45" s="8" t="str">
        <f>IFERROR(IF(ISBLANK([2]NLFsmonkeyCompl!AA46),"",[2]NLFsmonkeyCompl!AA46*$M45),"")</f>
        <v/>
      </c>
      <c r="Z45" s="8" t="str">
        <f>IFERROR(IF(ISBLANK([2]NLFsmonkeyCompl!AB46),"",[2]NLFsmonkeyCompl!AB46*$M45),"")</f>
        <v/>
      </c>
      <c r="AA45" s="8" t="str">
        <f>IFERROR(IF(ISBLANK([2]NLFsmonkeyCompl!AC46),"",[2]NLFsmonkeyCompl!AC46*$M45),"")</f>
        <v/>
      </c>
      <c r="AB45" s="8" t="str">
        <f>IFERROR(IF(ISBLANK([2]NLFsmonkeyCompl!AD46),"",[2]NLFsmonkeyCompl!AD46),"")</f>
        <v/>
      </c>
      <c r="AC45" s="8" t="str">
        <f>IFERROR(IF(ISBLANK([2]NLFsmonkeyCompl!AE46),"",[2]NLFsmonkeyCompl!AE46),"")</f>
        <v/>
      </c>
      <c r="AD45" s="8" t="str">
        <f>IFERROR(IF(ISBLANK([2]NLFsmonkeyCompl!AF46),"",[2]NLFsmonkeyCompl!AF46),"")</f>
        <v/>
      </c>
      <c r="AE45" s="8" t="str">
        <f>IFERROR(IF(ISBLANK([2]NLFsmonkeyCompl!AG46),"",[2]NLFsmonkeyCompl!AG46),"")</f>
        <v/>
      </c>
      <c r="AF45" s="8" t="str">
        <f>IFERROR(IF(ISBLANK([2]NLFsmonkeyCompl!AH46),"",[2]NLFsmonkeyCompl!AH46),"")</f>
        <v>Increase</v>
      </c>
      <c r="AG45" s="8" t="str">
        <f>IFERROR(IF(ISBLANK([2]NLFsmonkeyCompl!AI46),"",[2]NLFsmonkeyCompl!AI46),"")</f>
        <v>No</v>
      </c>
      <c r="AH45" t="str">
        <f>IFERROR(INDEX([2]VehiclesUniverse!$B$2:$EU$700,MATCH($C45,[2]VehiclesUniverse!$A$2:$A$700,0),MATCH($AH$1,[2]VehiclesUniverse!$B$1:$EU$1,0)),"")</f>
        <v/>
      </c>
    </row>
    <row r="46" spans="1:34" x14ac:dyDescent="0.2">
      <c r="A46" s="5" t="str">
        <f>IF(OR(ISTEXT([2]NLFsmonkeyCompl!J47),ISNUMBER([2]NLFsmonkeyCompl!J47)),[2]NLFsmonkeyCompl!J47,"")</f>
        <v>Savills Investment Management SGR SpA</v>
      </c>
      <c r="B46" s="6" t="str">
        <f>IF(OR(ISTEXT([2]NLFsmonkeyCompl!K47),ISNUMBER([2]NLFsmonkeyCompl!K47)),[2]NLFsmonkeyCompl!K47,"")</f>
        <v>Boccaccio - Fondo comune di investimento immobiliare di tipo chiuso</v>
      </c>
      <c r="C46" s="6">
        <v>19629</v>
      </c>
      <c r="D46" s="6" t="str">
        <f>IFERROR(INDEX([2]VehiclesUniverse!$B$2:$EU$700,MATCH(C46,[2]VehiclesUniverse!$A$2:$A$700,0),MATCH($D$1,[2]VehiclesUniverse!$B$1:$EU$1,0)),"")</f>
        <v>Core</v>
      </c>
      <c r="E46" s="6" t="str">
        <f>IFERROR(INDEX([2]VehiclesUniverse!$B$2:$EU$700,MATCH(C46,[2]VehiclesUniverse!$A$2:$A$700,0),MATCH($E$1,[2]VehiclesUniverse!$B$1:$EU$1,0)),"")</f>
        <v>single country</v>
      </c>
      <c r="F46" s="6" t="str">
        <f>IF(IFERROR(INDEX([2]VehiclesUniverse!$B$2:$EU$700,MATCH($C46,[2]VehiclesUniverse!$A$2:$A$700,0),MATCH($F$1,[2]VehiclesUniverse!$B$1:$EU$1,0)),"")&lt;&gt;0,(IFERROR(INDEX([2]VehiclesUniverse!$B$2:$EU$700,MATCH($C46,[2]VehiclesUniverse!$A$2:$A$700,0),MATCH($F$1,[2]VehiclesUniverse!$B$1:$EU$1,0)),"")),"")</f>
        <v>Italy</v>
      </c>
      <c r="G46" s="6" t="str">
        <f>IF(ISBLANK([2]NLFsmonkeyCompl!L47),"",[2]NLFsmonkeyCompl!L47)</f>
        <v>Closed end</v>
      </c>
      <c r="H46" s="6">
        <f>IFERROR(INDEX([2]VehiclesUniverse!$B$2:$EU$700,MATCH(C46,[2]VehiclesUniverse!$A$2:$A$700,0),MATCH($H$1,[2]VehiclesUniverse!$B$1:$EU$1,0)),"")</f>
        <v>2007</v>
      </c>
      <c r="I46" s="6" t="str">
        <f>IF(ISBLANK([2]NLFsmonkeyCompl!M47),"",[2]NLFsmonkeyCompl!M47)</f>
        <v>No</v>
      </c>
      <c r="J46" s="6" t="str">
        <f>IF(ISBLANK([2]NLFsmonkeyCompl!N47),"",[2]NLFsmonkeyCompl!N47)</f>
        <v>Other (please specify)</v>
      </c>
      <c r="K46" s="6" t="str">
        <f>IF(ISBLANK([2]NLFsmonkeyCompl!O47),"",[2]NLFsmonkeyCompl!O47)</f>
        <v>End of the subscription/capital raising period</v>
      </c>
      <c r="L46" s="6" t="str">
        <f>IFERROR(INDEX([2]VehiclesUniverse!$B$2:$EU$700,MATCH(C46,[2]VehiclesUniverse!$A$2:$A$700,0),MATCH($L$1,[2]VehiclesUniverse!$B$1:$EU$1,0)),"")</f>
        <v>EUR</v>
      </c>
      <c r="M46" s="16">
        <f>IFERROR(VLOOKUP(L46,'[2]Xrate31.12.20'!$K$2:$N$25,3,0),"")</f>
        <v>1</v>
      </c>
      <c r="N46" s="8" t="str">
        <f>IFERROR(IF(ISBLANK([2]NLFsmonkeyCompl!P47),"",[2]NLFsmonkeyCompl!P47*$M46),"")</f>
        <v/>
      </c>
      <c r="O46" s="8" t="str">
        <f>IFERROR(IF(ISBLANK([2]NLFsmonkeyCompl!Q47),"",[2]NLFsmonkeyCompl!Q47*$M46),"")</f>
        <v/>
      </c>
      <c r="P46" s="8" t="str">
        <f>IFERROR(IF(ISBLANK([2]NLFsmonkeyCompl!R47),"",[2]NLFsmonkeyCompl!R47*$M46),"")</f>
        <v/>
      </c>
      <c r="Q46" s="8" t="str">
        <f>IFERROR(IF(ISBLANK([2]NLFsmonkeyCompl!S47),"",[2]NLFsmonkeyCompl!S47*$M46),"")</f>
        <v/>
      </c>
      <c r="R46" s="8" t="str">
        <f>IFERROR(IF(ISBLANK([2]NLFsmonkeyCompl!T47),"",[2]NLFsmonkeyCompl!T47*$M46),"")</f>
        <v/>
      </c>
      <c r="S46" s="8" t="str">
        <f>IFERROR(IF(ISBLANK([2]NLFsmonkeyCompl!U47),"",[2]NLFsmonkeyCompl!U47*$M46),"")</f>
        <v/>
      </c>
      <c r="T46" s="8" t="str">
        <f>IFERROR(IF(ISBLANK([2]NLFsmonkeyCompl!V47),"",[2]NLFsmonkeyCompl!V47*$M46),"")</f>
        <v/>
      </c>
      <c r="U46" s="8" t="str">
        <f>IFERROR(IF(ISBLANK([2]NLFsmonkeyCompl!W47),"",[2]NLFsmonkeyCompl!W47*$M46),"")</f>
        <v/>
      </c>
      <c r="V46" s="8" t="str">
        <f>IFERROR(IF(ISBLANK([2]NLFsmonkeyCompl!X47),"",[2]NLFsmonkeyCompl!X47*$M46),"")</f>
        <v/>
      </c>
      <c r="W46" s="8" t="str">
        <f>IFERROR(IF(ISBLANK([2]NLFsmonkeyCompl!Y47),"",[2]NLFsmonkeyCompl!Y47*$M46),"")</f>
        <v/>
      </c>
      <c r="X46" s="8" t="str">
        <f>IFERROR(IF(ISBLANK([2]NLFsmonkeyCompl!Z47),"",[2]NLFsmonkeyCompl!Z47*$M46),"")</f>
        <v/>
      </c>
      <c r="Y46" s="8" t="str">
        <f>IFERROR(IF(ISBLANK([2]NLFsmonkeyCompl!AA47),"",[2]NLFsmonkeyCompl!AA47*$M46),"")</f>
        <v/>
      </c>
      <c r="Z46" s="8" t="str">
        <f>IFERROR(IF(ISBLANK([2]NLFsmonkeyCompl!AB47),"",[2]NLFsmonkeyCompl!AB47*$M46),"")</f>
        <v/>
      </c>
      <c r="AA46" s="8" t="str">
        <f>IFERROR(IF(ISBLANK([2]NLFsmonkeyCompl!AC47),"",[2]NLFsmonkeyCompl!AC47*$M46),"")</f>
        <v/>
      </c>
      <c r="AB46" s="8" t="str">
        <f>IFERROR(IF(ISBLANK([2]NLFsmonkeyCompl!AD47),"",[2]NLFsmonkeyCompl!AD47),"")</f>
        <v/>
      </c>
      <c r="AC46" s="8" t="str">
        <f>IFERROR(IF(ISBLANK([2]NLFsmonkeyCompl!AE47),"",[2]NLFsmonkeyCompl!AE47),"")</f>
        <v/>
      </c>
      <c r="AD46" s="8" t="str">
        <f>IFERROR(IF(ISBLANK([2]NLFsmonkeyCompl!AF47),"",[2]NLFsmonkeyCompl!AF47),"")</f>
        <v/>
      </c>
      <c r="AE46" s="8" t="str">
        <f>IFERROR(IF(ISBLANK([2]NLFsmonkeyCompl!AG47),"",[2]NLFsmonkeyCompl!AG47),"")</f>
        <v/>
      </c>
      <c r="AF46" s="8" t="str">
        <f>IFERROR(IF(ISBLANK([2]NLFsmonkeyCompl!AH47),"",[2]NLFsmonkeyCompl!AH47),"")</f>
        <v>Increase</v>
      </c>
      <c r="AG46" s="8" t="str">
        <f>IFERROR(IF(ISBLANK([2]NLFsmonkeyCompl!AI47),"",[2]NLFsmonkeyCompl!AI47),"")</f>
        <v>No</v>
      </c>
      <c r="AH46">
        <f>IFERROR(INDEX([2]VehiclesUniverse!$B$2:$EU$700,MATCH($C46,[2]VehiclesUniverse!$A$2:$A$700,0),MATCH($AH$1,[2]VehiclesUniverse!$B$1:$EU$1,0)),"")</f>
        <v>248941969.61000001</v>
      </c>
    </row>
    <row r="47" spans="1:34" x14ac:dyDescent="0.2">
      <c r="A47" s="5" t="str">
        <f>IF(OR(ISTEXT([2]NLFsmonkeyCompl!J48),ISNUMBER([2]NLFsmonkeyCompl!J48)),[2]NLFsmonkeyCompl!J48,"")</f>
        <v>Goodman</v>
      </c>
      <c r="B47" s="6" t="str">
        <f>IF(OR(ISTEXT([2]NLFsmonkeyCompl!K48),ISNUMBER([2]NLFsmonkeyCompl!K48)),[2]NLFsmonkeyCompl!K48,"")</f>
        <v>Goodman European Partnership</v>
      </c>
      <c r="C47" s="6" t="s">
        <v>52</v>
      </c>
      <c r="D47" s="6" t="str">
        <f>IFERROR(INDEX([2]VehiclesUniverse!$B$2:$EU$700,MATCH(C47,[2]VehiclesUniverse!$A$2:$A$700,0),MATCH($D$1,[2]VehiclesUniverse!$B$1:$EU$1,0)),"")</f>
        <v/>
      </c>
      <c r="E47" s="6" t="str">
        <f>IFERROR(INDEX([2]VehiclesUniverse!$B$2:$EU$700,MATCH(C47,[2]VehiclesUniverse!$A$2:$A$700,0),MATCH($E$1,[2]VehiclesUniverse!$B$1:$EU$1,0)),"")</f>
        <v/>
      </c>
      <c r="F47" s="6" t="str">
        <f>IF(IFERROR(INDEX([2]VehiclesUniverse!$B$2:$EU$700,MATCH($C47,[2]VehiclesUniverse!$A$2:$A$700,0),MATCH($F$1,[2]VehiclesUniverse!$B$1:$EU$1,0)),"")&lt;&gt;0,(IFERROR(INDEX([2]VehiclesUniverse!$B$2:$EU$700,MATCH($C47,[2]VehiclesUniverse!$A$2:$A$700,0),MATCH($F$1,[2]VehiclesUniverse!$B$1:$EU$1,0)),"")),"")</f>
        <v/>
      </c>
      <c r="G47" s="6"/>
      <c r="H47" s="6" t="str">
        <f>IFERROR(INDEX([2]VehiclesUniverse!$B$2:$EU$700,MATCH(C47,[2]VehiclesUniverse!$A$2:$A$700,0),MATCH($H$1,[2]VehiclesUniverse!$B$1:$EU$1,0)),"")</f>
        <v/>
      </c>
      <c r="I47" s="6" t="str">
        <f>IF(ISBLANK([2]NLFsmonkeyCompl!M48),"",[2]NLFsmonkeyCompl!M48)</f>
        <v>No</v>
      </c>
      <c r="J47" s="6" t="str">
        <f>IF(ISBLANK([2]NLFsmonkeyCompl!N48),"",[2]NLFsmonkeyCompl!N48)</f>
        <v>Other (please specify)</v>
      </c>
      <c r="K47" s="6" t="str">
        <f>IF(ISBLANK([2]NLFsmonkeyCompl!O48),"",[2]NLFsmonkeyCompl!O48)</f>
        <v>Sufficient liquidity and remaining outstanding capital commitment.</v>
      </c>
      <c r="L47" s="6" t="str">
        <f>IFERROR(INDEX([2]VehiclesUniverse!$B$2:$EU$700,MATCH(C47,[2]VehiclesUniverse!$A$2:$A$700,0),MATCH($L$1,[2]VehiclesUniverse!$B$1:$EU$1,0)),"")</f>
        <v/>
      </c>
      <c r="M47" s="16" t="str">
        <f>IFERROR(VLOOKUP(L47,'[2]Xrate31.12.20'!$K$2:$N$25,3,0),"")</f>
        <v/>
      </c>
      <c r="N47" s="8" t="str">
        <f>IFERROR(IF(ISBLANK([2]NLFsmonkeyCompl!P48),"",[2]NLFsmonkeyCompl!P48*$M47),"")</f>
        <v/>
      </c>
      <c r="O47" s="8" t="str">
        <f>IFERROR(IF(ISBLANK([2]NLFsmonkeyCompl!Q48),"",[2]NLFsmonkeyCompl!Q48*$M47),"")</f>
        <v/>
      </c>
      <c r="P47" s="8" t="str">
        <f>IFERROR(IF(ISBLANK([2]NLFsmonkeyCompl!R48),"",[2]NLFsmonkeyCompl!R48*$M47),"")</f>
        <v/>
      </c>
      <c r="Q47" s="8" t="str">
        <f>IFERROR(IF(ISBLANK([2]NLFsmonkeyCompl!S48),"",[2]NLFsmonkeyCompl!S48*$M47),"")</f>
        <v/>
      </c>
      <c r="R47" s="8" t="str">
        <f>IFERROR(IF(ISBLANK([2]NLFsmonkeyCompl!T48),"",[2]NLFsmonkeyCompl!T48*$M47),"")</f>
        <v/>
      </c>
      <c r="S47" s="8" t="str">
        <f>IFERROR(IF(ISBLANK([2]NLFsmonkeyCompl!U48),"",[2]NLFsmonkeyCompl!U48*$M47),"")</f>
        <v/>
      </c>
      <c r="T47" s="8" t="str">
        <f>IFERROR(IF(ISBLANK([2]NLFsmonkeyCompl!V48),"",[2]NLFsmonkeyCompl!V48*$M47),"")</f>
        <v/>
      </c>
      <c r="U47" s="8" t="str">
        <f>IFERROR(IF(ISBLANK([2]NLFsmonkeyCompl!W48),"",[2]NLFsmonkeyCompl!W48*$M47),"")</f>
        <v/>
      </c>
      <c r="V47" s="8" t="str">
        <f>IFERROR(IF(ISBLANK([2]NLFsmonkeyCompl!X48),"",[2]NLFsmonkeyCompl!X48*$M47),"")</f>
        <v/>
      </c>
      <c r="W47" s="8" t="str">
        <f>IFERROR(IF(ISBLANK([2]NLFsmonkeyCompl!Y48),"",[2]NLFsmonkeyCompl!Y48*$M47),"")</f>
        <v/>
      </c>
      <c r="X47" s="8" t="str">
        <f>IFERROR(IF(ISBLANK([2]NLFsmonkeyCompl!Z48),"",[2]NLFsmonkeyCompl!Z48*$M47),"")</f>
        <v/>
      </c>
      <c r="Y47" s="8" t="str">
        <f>IFERROR(IF(ISBLANK([2]NLFsmonkeyCompl!AA48),"",[2]NLFsmonkeyCompl!AA48*$M47),"")</f>
        <v/>
      </c>
      <c r="Z47" s="8" t="str">
        <f>IFERROR(IF(ISBLANK([2]NLFsmonkeyCompl!AB48),"",[2]NLFsmonkeyCompl!AB48*$M47),"")</f>
        <v/>
      </c>
      <c r="AA47" s="8" t="str">
        <f>IFERROR(IF(ISBLANK([2]NLFsmonkeyCompl!AC48),"",[2]NLFsmonkeyCompl!AC48*$M47),"")</f>
        <v/>
      </c>
      <c r="AB47" s="8" t="str">
        <f>IFERROR(IF(ISBLANK([2]NLFsmonkeyCompl!AD48),"",[2]NLFsmonkeyCompl!AD48),"")</f>
        <v/>
      </c>
      <c r="AC47" s="8" t="str">
        <f>IFERROR(IF(ISBLANK([2]NLFsmonkeyCompl!AE48),"",[2]NLFsmonkeyCompl!AE48),"")</f>
        <v/>
      </c>
      <c r="AD47" s="8" t="str">
        <f>IFERROR(IF(ISBLANK([2]NLFsmonkeyCompl!AF48),"",[2]NLFsmonkeyCompl!AF48),"")</f>
        <v/>
      </c>
      <c r="AE47" s="8" t="str">
        <f>IFERROR(IF(ISBLANK([2]NLFsmonkeyCompl!AG48),"",[2]NLFsmonkeyCompl!AG48),"")</f>
        <v/>
      </c>
      <c r="AF47" s="8" t="str">
        <f>IFERROR(IF(ISBLANK([2]NLFsmonkeyCompl!AH48),"",[2]NLFsmonkeyCompl!AH48),"")</f>
        <v>Increase</v>
      </c>
      <c r="AG47" s="8" t="str">
        <f>IFERROR(IF(ISBLANK([2]NLFsmonkeyCompl!AI48),"",[2]NLFsmonkeyCompl!AI48),"")</f>
        <v>No</v>
      </c>
      <c r="AH47" t="str">
        <f>IFERROR(INDEX([2]VehiclesUniverse!$B$2:$EU$700,MATCH($C47,[2]VehiclesUniverse!$A$2:$A$700,0),MATCH($AH$1,[2]VehiclesUniverse!$B$1:$EU$1,0)),"")</f>
        <v/>
      </c>
    </row>
    <row r="48" spans="1:34" x14ac:dyDescent="0.2">
      <c r="A48" s="5" t="str">
        <f>IF(OR(ISTEXT([2]NLFsmonkeyCompl!J49),ISNUMBER([2]NLFsmonkeyCompl!J49)),[2]NLFsmonkeyCompl!J49,"")</f>
        <v>Lendlease</v>
      </c>
      <c r="B48" s="6" t="str">
        <f>IF(OR(ISTEXT([2]NLFsmonkeyCompl!K49),ISNUMBER([2]NLFsmonkeyCompl!K49)),[2]NLFsmonkeyCompl!K49,"")</f>
        <v>Australian Prime Property Commercial</v>
      </c>
      <c r="C48" s="6" t="s">
        <v>43</v>
      </c>
      <c r="D48" s="6" t="str">
        <f>IFERROR(INDEX([2]VehiclesUniverse!$B$2:$EU$700,MATCH(C48,[2]VehiclesUniverse!$A$2:$A$700,0),MATCH($D$1,[2]VehiclesUniverse!$B$1:$EU$1,0)),"")</f>
        <v/>
      </c>
      <c r="E48" s="6" t="str">
        <f>IFERROR(INDEX([2]VehiclesUniverse!$B$2:$EU$700,MATCH(C48,[2]VehiclesUniverse!$A$2:$A$700,0),MATCH($E$1,[2]VehiclesUniverse!$B$1:$EU$1,0)),"")</f>
        <v/>
      </c>
      <c r="F48" s="6" t="str">
        <f>IF(IFERROR(INDEX([2]VehiclesUniverse!$B$2:$EU$700,MATCH($C48,[2]VehiclesUniverse!$A$2:$A$700,0),MATCH($F$1,[2]VehiclesUniverse!$B$1:$EU$1,0)),"")&lt;&gt;0,(IFERROR(INDEX([2]VehiclesUniverse!$B$2:$EU$700,MATCH($C48,[2]VehiclesUniverse!$A$2:$A$700,0),MATCH($F$1,[2]VehiclesUniverse!$B$1:$EU$1,0)),"")),"")</f>
        <v/>
      </c>
      <c r="G48" s="6"/>
      <c r="H48" s="6" t="str">
        <f>IFERROR(INDEX([2]VehiclesUniverse!$B$2:$EU$700,MATCH(C48,[2]VehiclesUniverse!$A$2:$A$700,0),MATCH($H$1,[2]VehiclesUniverse!$B$1:$EU$1,0)),"")</f>
        <v/>
      </c>
      <c r="I48" s="6" t="str">
        <f>IF(ISBLANK([2]NLFsmonkeyCompl!M49),"",[2]NLFsmonkeyCompl!M49)</f>
        <v>No</v>
      </c>
      <c r="J48" s="6" t="str">
        <f>IF(ISBLANK([2]NLFsmonkeyCompl!N49),"",[2]NLFsmonkeyCompl!N49)</f>
        <v>Other (please specify)</v>
      </c>
      <c r="K48" s="6" t="str">
        <f>IF(ISBLANK([2]NLFsmonkeyCompl!O49),"",[2]NLFsmonkeyCompl!O49)</f>
        <v>New equity not required</v>
      </c>
      <c r="L48" s="6" t="str">
        <f>IFERROR(INDEX([2]VehiclesUniverse!$B$2:$EU$700,MATCH(C48,[2]VehiclesUniverse!$A$2:$A$700,0),MATCH($L$1,[2]VehiclesUniverse!$B$1:$EU$1,0)),"")</f>
        <v/>
      </c>
      <c r="M48" s="16" t="str">
        <f>IFERROR(VLOOKUP(L48,'[2]Xrate31.12.20'!$K$2:$N$25,3,0),"")</f>
        <v/>
      </c>
      <c r="N48" s="8" t="str">
        <f>IFERROR(IF(ISBLANK([2]NLFsmonkeyCompl!P49),"",[2]NLFsmonkeyCompl!P49*$M48),"")</f>
        <v/>
      </c>
      <c r="O48" s="8" t="str">
        <f>IFERROR(IF(ISBLANK([2]NLFsmonkeyCompl!Q49),"",[2]NLFsmonkeyCompl!Q49*$M48),"")</f>
        <v/>
      </c>
      <c r="P48" s="8" t="str">
        <f>IFERROR(IF(ISBLANK([2]NLFsmonkeyCompl!R49),"",[2]NLFsmonkeyCompl!R49*$M48),"")</f>
        <v/>
      </c>
      <c r="Q48" s="8" t="str">
        <f>IFERROR(IF(ISBLANK([2]NLFsmonkeyCompl!S49),"",[2]NLFsmonkeyCompl!S49*$M48),"")</f>
        <v/>
      </c>
      <c r="R48" s="8" t="str">
        <f>IFERROR(IF(ISBLANK([2]NLFsmonkeyCompl!T49),"",[2]NLFsmonkeyCompl!T49*$M48),"")</f>
        <v/>
      </c>
      <c r="S48" s="8" t="str">
        <f>IFERROR(IF(ISBLANK([2]NLFsmonkeyCompl!U49),"",[2]NLFsmonkeyCompl!U49*$M48),"")</f>
        <v/>
      </c>
      <c r="T48" s="8" t="str">
        <f>IFERROR(IF(ISBLANK([2]NLFsmonkeyCompl!V49),"",[2]NLFsmonkeyCompl!V49*$M48),"")</f>
        <v/>
      </c>
      <c r="U48" s="8" t="str">
        <f>IFERROR(IF(ISBLANK([2]NLFsmonkeyCompl!W49),"",[2]NLFsmonkeyCompl!W49*$M48),"")</f>
        <v/>
      </c>
      <c r="V48" s="8" t="str">
        <f>IFERROR(IF(ISBLANK([2]NLFsmonkeyCompl!X49),"",[2]NLFsmonkeyCompl!X49*$M48),"")</f>
        <v/>
      </c>
      <c r="W48" s="8" t="str">
        <f>IFERROR(IF(ISBLANK([2]NLFsmonkeyCompl!Y49),"",[2]NLFsmonkeyCompl!Y49*$M48),"")</f>
        <v/>
      </c>
      <c r="X48" s="8" t="str">
        <f>IFERROR(IF(ISBLANK([2]NLFsmonkeyCompl!Z49),"",[2]NLFsmonkeyCompl!Z49*$M48),"")</f>
        <v/>
      </c>
      <c r="Y48" s="8" t="str">
        <f>IFERROR(IF(ISBLANK([2]NLFsmonkeyCompl!AA49),"",[2]NLFsmonkeyCompl!AA49*$M48),"")</f>
        <v/>
      </c>
      <c r="Z48" s="8" t="str">
        <f>IFERROR(IF(ISBLANK([2]NLFsmonkeyCompl!AB49),"",[2]NLFsmonkeyCompl!AB49*$M48),"")</f>
        <v/>
      </c>
      <c r="AA48" s="8" t="str">
        <f>IFERROR(IF(ISBLANK([2]NLFsmonkeyCompl!AC49),"",[2]NLFsmonkeyCompl!AC49*$M48),"")</f>
        <v/>
      </c>
      <c r="AB48" s="8" t="str">
        <f>IFERROR(IF(ISBLANK([2]NLFsmonkeyCompl!AD49),"",[2]NLFsmonkeyCompl!AD49),"")</f>
        <v/>
      </c>
      <c r="AC48" s="8" t="str">
        <f>IFERROR(IF(ISBLANK([2]NLFsmonkeyCompl!AE49),"",[2]NLFsmonkeyCompl!AE49),"")</f>
        <v/>
      </c>
      <c r="AD48" s="8" t="str">
        <f>IFERROR(IF(ISBLANK([2]NLFsmonkeyCompl!AF49),"",[2]NLFsmonkeyCompl!AF49),"")</f>
        <v/>
      </c>
      <c r="AE48" s="8" t="str">
        <f>IFERROR(IF(ISBLANK([2]NLFsmonkeyCompl!AG49),"",[2]NLFsmonkeyCompl!AG49),"")</f>
        <v/>
      </c>
      <c r="AF48" s="8" t="str">
        <f>IFERROR(IF(ISBLANK([2]NLFsmonkeyCompl!AH49),"",[2]NLFsmonkeyCompl!AH49),"")</f>
        <v>No change</v>
      </c>
      <c r="AG48" s="8" t="str">
        <f>IFERROR(IF(ISBLANK([2]NLFsmonkeyCompl!AI49),"",[2]NLFsmonkeyCompl!AI49),"")</f>
        <v>No</v>
      </c>
      <c r="AH48" t="str">
        <f>IFERROR(INDEX([2]VehiclesUniverse!$B$2:$EU$700,MATCH($C48,[2]VehiclesUniverse!$A$2:$A$700,0),MATCH($AH$1,[2]VehiclesUniverse!$B$1:$EU$1,0)),"")</f>
        <v/>
      </c>
    </row>
    <row r="49" spans="1:34" x14ac:dyDescent="0.2">
      <c r="A49" s="5" t="str">
        <f>IF(OR(ISTEXT([2]NLFsmonkeyCompl!J50),ISNUMBER([2]NLFsmonkeyCompl!J50)),[2]NLFsmonkeyCompl!J50,"")</f>
        <v>Lendlease</v>
      </c>
      <c r="B49" s="6" t="str">
        <f>IF(OR(ISTEXT([2]NLFsmonkeyCompl!K50),ISNUMBER([2]NLFsmonkeyCompl!K50)),[2]NLFsmonkeyCompl!K50,"")</f>
        <v>Australian Prime Property Fund Industrial</v>
      </c>
      <c r="C49" s="6" t="s">
        <v>43</v>
      </c>
      <c r="D49" s="6" t="str">
        <f>IFERROR(INDEX([2]VehiclesUniverse!$B$2:$EU$700,MATCH(C49,[2]VehiclesUniverse!$A$2:$A$700,0),MATCH($D$1,[2]VehiclesUniverse!$B$1:$EU$1,0)),"")</f>
        <v/>
      </c>
      <c r="E49" s="6" t="str">
        <f>IFERROR(INDEX([2]VehiclesUniverse!$B$2:$EU$700,MATCH(C49,[2]VehiclesUniverse!$A$2:$A$700,0),MATCH($E$1,[2]VehiclesUniverse!$B$1:$EU$1,0)),"")</f>
        <v/>
      </c>
      <c r="F49" s="6" t="str">
        <f>IF(IFERROR(INDEX([2]VehiclesUniverse!$B$2:$EU$700,MATCH($C49,[2]VehiclesUniverse!$A$2:$A$700,0),MATCH($F$1,[2]VehiclesUniverse!$B$1:$EU$1,0)),"")&lt;&gt;0,(IFERROR(INDEX([2]VehiclesUniverse!$B$2:$EU$700,MATCH($C49,[2]VehiclesUniverse!$A$2:$A$700,0),MATCH($F$1,[2]VehiclesUniverse!$B$1:$EU$1,0)),"")),"")</f>
        <v/>
      </c>
      <c r="G49" s="6"/>
      <c r="H49" s="6" t="str">
        <f>IFERROR(INDEX([2]VehiclesUniverse!$B$2:$EU$700,MATCH(C49,[2]VehiclesUniverse!$A$2:$A$700,0),MATCH($H$1,[2]VehiclesUniverse!$B$1:$EU$1,0)),"")</f>
        <v/>
      </c>
      <c r="I49" s="6" t="str">
        <f>IF(ISBLANK([2]NLFsmonkeyCompl!M50),"",[2]NLFsmonkeyCompl!M50)</f>
        <v>No</v>
      </c>
      <c r="J49" s="6" t="str">
        <f>IF(ISBLANK([2]NLFsmonkeyCompl!N50),"",[2]NLFsmonkeyCompl!N50)</f>
        <v>Other (please specify)</v>
      </c>
      <c r="K49" s="6" t="str">
        <f>IF(ISBLANK([2]NLFsmonkeyCompl!O50),"",[2]NLFsmonkeyCompl!O50)</f>
        <v>New equity not required</v>
      </c>
      <c r="L49" s="6" t="str">
        <f>IFERROR(INDEX([2]VehiclesUniverse!$B$2:$EU$700,MATCH(C49,[2]VehiclesUniverse!$A$2:$A$700,0),MATCH($L$1,[2]VehiclesUniverse!$B$1:$EU$1,0)),"")</f>
        <v/>
      </c>
      <c r="M49" s="16" t="str">
        <f>IFERROR(VLOOKUP(L49,'[2]Xrate31.12.20'!$K$2:$N$25,3,0),"")</f>
        <v/>
      </c>
      <c r="N49" s="8" t="str">
        <f>IFERROR(IF(ISBLANK([2]NLFsmonkeyCompl!P50),"",[2]NLFsmonkeyCompl!P50*$M49),"")</f>
        <v/>
      </c>
      <c r="O49" s="8" t="str">
        <f>IFERROR(IF(ISBLANK([2]NLFsmonkeyCompl!Q50),"",[2]NLFsmonkeyCompl!Q50*$M49),"")</f>
        <v/>
      </c>
      <c r="P49" s="8" t="str">
        <f>IFERROR(IF(ISBLANK([2]NLFsmonkeyCompl!R50),"",[2]NLFsmonkeyCompl!R50*$M49),"")</f>
        <v/>
      </c>
      <c r="Q49" s="8" t="str">
        <f>IFERROR(IF(ISBLANK([2]NLFsmonkeyCompl!S50),"",[2]NLFsmonkeyCompl!S50*$M49),"")</f>
        <v/>
      </c>
      <c r="R49" s="8" t="str">
        <f>IFERROR(IF(ISBLANK([2]NLFsmonkeyCompl!T50),"",[2]NLFsmonkeyCompl!T50*$M49),"")</f>
        <v/>
      </c>
      <c r="S49" s="8" t="str">
        <f>IFERROR(IF(ISBLANK([2]NLFsmonkeyCompl!U50),"",[2]NLFsmonkeyCompl!U50*$M49),"")</f>
        <v/>
      </c>
      <c r="T49" s="8" t="str">
        <f>IFERROR(IF(ISBLANK([2]NLFsmonkeyCompl!V50),"",[2]NLFsmonkeyCompl!V50*$M49),"")</f>
        <v/>
      </c>
      <c r="U49" s="8" t="str">
        <f>IFERROR(IF(ISBLANK([2]NLFsmonkeyCompl!W50),"",[2]NLFsmonkeyCompl!W50*$M49),"")</f>
        <v/>
      </c>
      <c r="V49" s="8" t="str">
        <f>IFERROR(IF(ISBLANK([2]NLFsmonkeyCompl!X50),"",[2]NLFsmonkeyCompl!X50*$M49),"")</f>
        <v/>
      </c>
      <c r="W49" s="8" t="str">
        <f>IFERROR(IF(ISBLANK([2]NLFsmonkeyCompl!Y50),"",[2]NLFsmonkeyCompl!Y50*$M49),"")</f>
        <v/>
      </c>
      <c r="X49" s="8" t="str">
        <f>IFERROR(IF(ISBLANK([2]NLFsmonkeyCompl!Z50),"",[2]NLFsmonkeyCompl!Z50*$M49),"")</f>
        <v/>
      </c>
      <c r="Y49" s="8" t="str">
        <f>IFERROR(IF(ISBLANK([2]NLFsmonkeyCompl!AA50),"",[2]NLFsmonkeyCompl!AA50*$M49),"")</f>
        <v/>
      </c>
      <c r="Z49" s="8" t="str">
        <f>IFERROR(IF(ISBLANK([2]NLFsmonkeyCompl!AB50),"",[2]NLFsmonkeyCompl!AB50*$M49),"")</f>
        <v/>
      </c>
      <c r="AA49" s="8" t="str">
        <f>IFERROR(IF(ISBLANK([2]NLFsmonkeyCompl!AC50),"",[2]NLFsmonkeyCompl!AC50*$M49),"")</f>
        <v/>
      </c>
      <c r="AB49" s="8" t="str">
        <f>IFERROR(IF(ISBLANK([2]NLFsmonkeyCompl!AD50),"",[2]NLFsmonkeyCompl!AD50),"")</f>
        <v/>
      </c>
      <c r="AC49" s="8" t="str">
        <f>IFERROR(IF(ISBLANK([2]NLFsmonkeyCompl!AE50),"",[2]NLFsmonkeyCompl!AE50),"")</f>
        <v/>
      </c>
      <c r="AD49" s="8" t="str">
        <f>IFERROR(IF(ISBLANK([2]NLFsmonkeyCompl!AF50),"",[2]NLFsmonkeyCompl!AF50),"")</f>
        <v/>
      </c>
      <c r="AE49" s="8" t="str">
        <f>IFERROR(IF(ISBLANK([2]NLFsmonkeyCompl!AG50),"",[2]NLFsmonkeyCompl!AG50),"")</f>
        <v/>
      </c>
      <c r="AF49" s="8" t="str">
        <f>IFERROR(IF(ISBLANK([2]NLFsmonkeyCompl!AH50),"",[2]NLFsmonkeyCompl!AH50),"")</f>
        <v>No change</v>
      </c>
      <c r="AG49" s="8" t="str">
        <f>IFERROR(IF(ISBLANK([2]NLFsmonkeyCompl!AI50),"",[2]NLFsmonkeyCompl!AI50),"")</f>
        <v>No</v>
      </c>
      <c r="AH49" t="str">
        <f>IFERROR(INDEX([2]VehiclesUniverse!$B$2:$EU$700,MATCH($C49,[2]VehiclesUniverse!$A$2:$A$700,0),MATCH($AH$1,[2]VehiclesUniverse!$B$1:$EU$1,0)),"")</f>
        <v/>
      </c>
    </row>
    <row r="50" spans="1:34" x14ac:dyDescent="0.2">
      <c r="A50" s="5" t="str">
        <f>IF(OR(ISTEXT([2]NLFsmonkeyCompl!J51),ISNUMBER([2]NLFsmonkeyCompl!J51)),[2]NLFsmonkeyCompl!J51,"")</f>
        <v>Lendlease</v>
      </c>
      <c r="B50" s="6" t="str">
        <f>IF(OR(ISTEXT([2]NLFsmonkeyCompl!K51),ISNUMBER([2]NLFsmonkeyCompl!K51)),[2]NLFsmonkeyCompl!K51,"")</f>
        <v>Australian Prime Property Fund Retail</v>
      </c>
      <c r="C50" s="6" t="s">
        <v>43</v>
      </c>
      <c r="D50" s="6" t="str">
        <f>IFERROR(INDEX([2]VehiclesUniverse!$B$2:$EU$700,MATCH(C50,[2]VehiclesUniverse!$A$2:$A$700,0),MATCH($D$1,[2]VehiclesUniverse!$B$1:$EU$1,0)),"")</f>
        <v/>
      </c>
      <c r="E50" s="6" t="str">
        <f>IFERROR(INDEX([2]VehiclesUniverse!$B$2:$EU$700,MATCH(C50,[2]VehiclesUniverse!$A$2:$A$700,0),MATCH($E$1,[2]VehiclesUniverse!$B$1:$EU$1,0)),"")</f>
        <v/>
      </c>
      <c r="F50" s="6" t="str">
        <f>IF(IFERROR(INDEX([2]VehiclesUniverse!$B$2:$EU$700,MATCH($C50,[2]VehiclesUniverse!$A$2:$A$700,0),MATCH($F$1,[2]VehiclesUniverse!$B$1:$EU$1,0)),"")&lt;&gt;0,(IFERROR(INDEX([2]VehiclesUniverse!$B$2:$EU$700,MATCH($C50,[2]VehiclesUniverse!$A$2:$A$700,0),MATCH($F$1,[2]VehiclesUniverse!$B$1:$EU$1,0)),"")),"")</f>
        <v/>
      </c>
      <c r="G50" s="6"/>
      <c r="H50" s="6" t="str">
        <f>IFERROR(INDEX([2]VehiclesUniverse!$B$2:$EU$700,MATCH(C50,[2]VehiclesUniverse!$A$2:$A$700,0),MATCH($H$1,[2]VehiclesUniverse!$B$1:$EU$1,0)),"")</f>
        <v/>
      </c>
      <c r="I50" s="6" t="str">
        <f>IF(ISBLANK([2]NLFsmonkeyCompl!M51),"",[2]NLFsmonkeyCompl!M51)</f>
        <v>No</v>
      </c>
      <c r="J50" s="6" t="str">
        <f>IF(ISBLANK([2]NLFsmonkeyCompl!N51),"",[2]NLFsmonkeyCompl!N51)</f>
        <v>Other (please specify)</v>
      </c>
      <c r="K50" s="6" t="str">
        <f>IF(ISBLANK([2]NLFsmonkeyCompl!O51),"",[2]NLFsmonkeyCompl!O51)</f>
        <v>New equity not required</v>
      </c>
      <c r="L50" s="6" t="str">
        <f>IFERROR(INDEX([2]VehiclesUniverse!$B$2:$EU$700,MATCH(C50,[2]VehiclesUniverse!$A$2:$A$700,0),MATCH($L$1,[2]VehiclesUniverse!$B$1:$EU$1,0)),"")</f>
        <v/>
      </c>
      <c r="M50" s="16" t="str">
        <f>IFERROR(VLOOKUP(L50,'[2]Xrate31.12.20'!$K$2:$N$25,3,0),"")</f>
        <v/>
      </c>
      <c r="N50" s="8" t="str">
        <f>IFERROR(IF(ISBLANK([2]NLFsmonkeyCompl!P51),"",[2]NLFsmonkeyCompl!P51*$M50),"")</f>
        <v/>
      </c>
      <c r="O50" s="8" t="str">
        <f>IFERROR(IF(ISBLANK([2]NLFsmonkeyCompl!Q51),"",[2]NLFsmonkeyCompl!Q51*$M50),"")</f>
        <v/>
      </c>
      <c r="P50" s="8" t="str">
        <f>IFERROR(IF(ISBLANK([2]NLFsmonkeyCompl!R51),"",[2]NLFsmonkeyCompl!R51*$M50),"")</f>
        <v/>
      </c>
      <c r="Q50" s="8" t="str">
        <f>IFERROR(IF(ISBLANK([2]NLFsmonkeyCompl!S51),"",[2]NLFsmonkeyCompl!S51*$M50),"")</f>
        <v/>
      </c>
      <c r="R50" s="8" t="str">
        <f>IFERROR(IF(ISBLANK([2]NLFsmonkeyCompl!T51),"",[2]NLFsmonkeyCompl!T51*$M50),"")</f>
        <v/>
      </c>
      <c r="S50" s="8" t="str">
        <f>IFERROR(IF(ISBLANK([2]NLFsmonkeyCompl!U51),"",[2]NLFsmonkeyCompl!U51*$M50),"")</f>
        <v/>
      </c>
      <c r="T50" s="8" t="str">
        <f>IFERROR(IF(ISBLANK([2]NLFsmonkeyCompl!V51),"",[2]NLFsmonkeyCompl!V51*$M50),"")</f>
        <v/>
      </c>
      <c r="U50" s="8" t="str">
        <f>IFERROR(IF(ISBLANK([2]NLFsmonkeyCompl!W51),"",[2]NLFsmonkeyCompl!W51*$M50),"")</f>
        <v/>
      </c>
      <c r="V50" s="8" t="str">
        <f>IFERROR(IF(ISBLANK([2]NLFsmonkeyCompl!X51),"",[2]NLFsmonkeyCompl!X51*$M50),"")</f>
        <v/>
      </c>
      <c r="W50" s="8" t="str">
        <f>IFERROR(IF(ISBLANK([2]NLFsmonkeyCompl!Y51),"",[2]NLFsmonkeyCompl!Y51*$M50),"")</f>
        <v/>
      </c>
      <c r="X50" s="8" t="str">
        <f>IFERROR(IF(ISBLANK([2]NLFsmonkeyCompl!Z51),"",[2]NLFsmonkeyCompl!Z51*$M50),"")</f>
        <v/>
      </c>
      <c r="Y50" s="8" t="str">
        <f>IFERROR(IF(ISBLANK([2]NLFsmonkeyCompl!AA51),"",[2]NLFsmonkeyCompl!AA51*$M50),"")</f>
        <v/>
      </c>
      <c r="Z50" s="8" t="str">
        <f>IFERROR(IF(ISBLANK([2]NLFsmonkeyCompl!AB51),"",[2]NLFsmonkeyCompl!AB51*$M50),"")</f>
        <v/>
      </c>
      <c r="AA50" s="8" t="str">
        <f>IFERROR(IF(ISBLANK([2]NLFsmonkeyCompl!AC51),"",[2]NLFsmonkeyCompl!AC51*$M50),"")</f>
        <v/>
      </c>
      <c r="AB50" s="8" t="str">
        <f>IFERROR(IF(ISBLANK([2]NLFsmonkeyCompl!AD51),"",[2]NLFsmonkeyCompl!AD51),"")</f>
        <v/>
      </c>
      <c r="AC50" s="8" t="str">
        <f>IFERROR(IF(ISBLANK([2]NLFsmonkeyCompl!AE51),"",[2]NLFsmonkeyCompl!AE51),"")</f>
        <v/>
      </c>
      <c r="AD50" s="8" t="str">
        <f>IFERROR(IF(ISBLANK([2]NLFsmonkeyCompl!AF51),"",[2]NLFsmonkeyCompl!AF51),"")</f>
        <v/>
      </c>
      <c r="AE50" s="8" t="str">
        <f>IFERROR(IF(ISBLANK([2]NLFsmonkeyCompl!AG51),"",[2]NLFsmonkeyCompl!AG51),"")</f>
        <v/>
      </c>
      <c r="AF50" s="8" t="str">
        <f>IFERROR(IF(ISBLANK([2]NLFsmonkeyCompl!AH51),"",[2]NLFsmonkeyCompl!AH51),"")</f>
        <v>No change</v>
      </c>
      <c r="AG50" s="8" t="str">
        <f>IFERROR(IF(ISBLANK([2]NLFsmonkeyCompl!AI51),"",[2]NLFsmonkeyCompl!AI51),"")</f>
        <v>No</v>
      </c>
      <c r="AH50" t="str">
        <f>IFERROR(INDEX([2]VehiclesUniverse!$B$2:$EU$700,MATCH($C50,[2]VehiclesUniverse!$A$2:$A$700,0),MATCH($AH$1,[2]VehiclesUniverse!$B$1:$EU$1,0)),"")</f>
        <v/>
      </c>
    </row>
    <row r="51" spans="1:34" x14ac:dyDescent="0.2">
      <c r="A51" s="5" t="str">
        <f>IF(OR(ISTEXT([2]NLFsmonkeyCompl!J52),ISNUMBER([2]NLFsmonkeyCompl!J52)),[2]NLFsmonkeyCompl!J52,"")</f>
        <v>Heitman</v>
      </c>
      <c r="B51" s="6" t="str">
        <f>IF(OR(ISTEXT([2]NLFsmonkeyCompl!K52),ISNUMBER([2]NLFsmonkeyCompl!K52)),[2]NLFsmonkeyCompl!K52,"")</f>
        <v xml:space="preserve">Heitman US Closed-End Value Fund </v>
      </c>
      <c r="C51" s="6" t="s">
        <v>42</v>
      </c>
      <c r="D51" s="6" t="str">
        <f>IFERROR(INDEX([2]VehiclesUniverse!$B$2:$EU$700,MATCH(C51,[2]VehiclesUniverse!$A$2:$A$700,0),MATCH($D$1,[2]VehiclesUniverse!$B$1:$EU$1,0)),"")</f>
        <v/>
      </c>
      <c r="E51" s="6" t="str">
        <f>IFERROR(INDEX([2]VehiclesUniverse!$B$2:$EU$700,MATCH(C51,[2]VehiclesUniverse!$A$2:$A$700,0),MATCH($E$1,[2]VehiclesUniverse!$B$1:$EU$1,0)),"")</f>
        <v/>
      </c>
      <c r="F51" s="6" t="str">
        <f>IF(IFERROR(INDEX([2]VehiclesUniverse!$B$2:$EU$700,MATCH($C51,[2]VehiclesUniverse!$A$2:$A$700,0),MATCH($F$1,[2]VehiclesUniverse!$B$1:$EU$1,0)),"")&lt;&gt;0,(IFERROR(INDEX([2]VehiclesUniverse!$B$2:$EU$700,MATCH($C51,[2]VehiclesUniverse!$A$2:$A$700,0),MATCH($F$1,[2]VehiclesUniverse!$B$1:$EU$1,0)),"")),"")</f>
        <v/>
      </c>
      <c r="G51" s="6"/>
      <c r="H51" s="6" t="str">
        <f>IFERROR(INDEX([2]VehiclesUniverse!$B$2:$EU$700,MATCH(C51,[2]VehiclesUniverse!$A$2:$A$700,0),MATCH($H$1,[2]VehiclesUniverse!$B$1:$EU$1,0)),"")</f>
        <v/>
      </c>
      <c r="I51" s="6" t="str">
        <f>IF(ISBLANK([2]NLFsmonkeyCompl!M52),"",[2]NLFsmonkeyCompl!M52)</f>
        <v>Yes</v>
      </c>
      <c r="J51" s="6" t="str">
        <f>IF(ISBLANK([2]NLFsmonkeyCompl!N52),"",[2]NLFsmonkeyCompl!N52)</f>
        <v/>
      </c>
      <c r="K51" s="6" t="str">
        <f>IF(ISBLANK([2]NLFsmonkeyCompl!O52),"",[2]NLFsmonkeyCompl!O52)</f>
        <v/>
      </c>
      <c r="L51" s="6" t="str">
        <f>IFERROR(INDEX([2]VehiclesUniverse!$B$2:$EU$700,MATCH(C51,[2]VehiclesUniverse!$A$2:$A$700,0),MATCH($L$1,[2]VehiclesUniverse!$B$1:$EU$1,0)),"")</f>
        <v/>
      </c>
      <c r="M51" s="16" t="str">
        <f>IFERROR(VLOOKUP(L51,'[2]Xrate31.12.20'!$K$2:$N$25,3,0),"")</f>
        <v/>
      </c>
      <c r="N51" s="8" t="str">
        <f>IFERROR(IF(ISBLANK([2]NLFsmonkeyCompl!P52),"",[2]NLFsmonkeyCompl!P52*$M51),"")</f>
        <v/>
      </c>
      <c r="O51" s="8" t="str">
        <f>IFERROR(IF(ISBLANK([2]NLFsmonkeyCompl!Q52),"",[2]NLFsmonkeyCompl!Q52*$M51),"")</f>
        <v/>
      </c>
      <c r="P51" s="8" t="str">
        <f>IFERROR(IF(ISBLANK([2]NLFsmonkeyCompl!R52),"",[2]NLFsmonkeyCompl!R52*$M51),"")</f>
        <v/>
      </c>
      <c r="Q51" s="8" t="str">
        <f>IFERROR(IF(ISBLANK([2]NLFsmonkeyCompl!S52),"",[2]NLFsmonkeyCompl!S52*$M51),"")</f>
        <v/>
      </c>
      <c r="R51" s="8" t="str">
        <f>IFERROR(IF(ISBLANK([2]NLFsmonkeyCompl!T52),"",[2]NLFsmonkeyCompl!T52*$M51),"")</f>
        <v/>
      </c>
      <c r="S51" s="8" t="str">
        <f>IFERROR(IF(ISBLANK([2]NLFsmonkeyCompl!U52),"",[2]NLFsmonkeyCompl!U52*$M51),"")</f>
        <v/>
      </c>
      <c r="T51" s="8" t="str">
        <f>IFERROR(IF(ISBLANK([2]NLFsmonkeyCompl!V52),"",[2]NLFsmonkeyCompl!V52*$M51),"")</f>
        <v/>
      </c>
      <c r="U51" s="8" t="str">
        <f>IFERROR(IF(ISBLANK([2]NLFsmonkeyCompl!W52),"",[2]NLFsmonkeyCompl!W52*$M51),"")</f>
        <v/>
      </c>
      <c r="V51" s="8" t="str">
        <f>IFERROR(IF(ISBLANK([2]NLFsmonkeyCompl!X52),"",[2]NLFsmonkeyCompl!X52*$M51),"")</f>
        <v/>
      </c>
      <c r="W51" s="8" t="str">
        <f>IFERROR(IF(ISBLANK([2]NLFsmonkeyCompl!Y52),"",[2]NLFsmonkeyCompl!Y52*$M51),"")</f>
        <v/>
      </c>
      <c r="X51" s="8" t="str">
        <f>IFERROR(IF(ISBLANK([2]NLFsmonkeyCompl!Z52),"",[2]NLFsmonkeyCompl!Z52*$M51),"")</f>
        <v/>
      </c>
      <c r="Y51" s="8" t="str">
        <f>IFERROR(IF(ISBLANK([2]NLFsmonkeyCompl!AA52),"",[2]NLFsmonkeyCompl!AA52*$M51),"")</f>
        <v/>
      </c>
      <c r="Z51" s="8" t="str">
        <f>IFERROR(IF(ISBLANK([2]NLFsmonkeyCompl!AB52),"",[2]NLFsmonkeyCompl!AB52*$M51),"")</f>
        <v/>
      </c>
      <c r="AA51" s="8" t="str">
        <f>IFERROR(IF(ISBLANK([2]NLFsmonkeyCompl!AC52),"",[2]NLFsmonkeyCompl!AC52*$M51),"")</f>
        <v/>
      </c>
      <c r="AB51" s="8">
        <f>IFERROR(IF(ISBLANK([2]NLFsmonkeyCompl!AD52),"",[2]NLFsmonkeyCompl!AD52),"")</f>
        <v>75</v>
      </c>
      <c r="AC51" s="8" t="str">
        <f>IFERROR(IF(ISBLANK([2]NLFsmonkeyCompl!AE52),"",[2]NLFsmonkeyCompl!AE52),"")</f>
        <v/>
      </c>
      <c r="AD51" s="8">
        <f>IFERROR(IF(ISBLANK([2]NLFsmonkeyCompl!AF52),"",[2]NLFsmonkeyCompl!AF52),"")</f>
        <v>25</v>
      </c>
      <c r="AE51" s="8" t="str">
        <f>IFERROR(IF(ISBLANK([2]NLFsmonkeyCompl!AG52),"",[2]NLFsmonkeyCompl!AG52),"")</f>
        <v/>
      </c>
      <c r="AF51" s="8" t="str">
        <f>IFERROR(IF(ISBLANK([2]NLFsmonkeyCompl!AH52),"",[2]NLFsmonkeyCompl!AH52),"")</f>
        <v>Increase</v>
      </c>
      <c r="AG51" s="8" t="str">
        <f>IFERROR(IF(ISBLANK([2]NLFsmonkeyCompl!AI52),"",[2]NLFsmonkeyCompl!AI52),"")</f>
        <v>Yes</v>
      </c>
      <c r="AH51" t="str">
        <f>IFERROR(INDEX([2]VehiclesUniverse!$B$2:$EU$700,MATCH($C51,[2]VehiclesUniverse!$A$2:$A$700,0),MATCH($AH$1,[2]VehiclesUniverse!$B$1:$EU$1,0)),"")</f>
        <v/>
      </c>
    </row>
    <row r="52" spans="1:34" x14ac:dyDescent="0.2">
      <c r="A52" s="5" t="str">
        <f>IF(OR(ISTEXT([2]NLFsmonkeyCompl!J53),ISNUMBER([2]NLFsmonkeyCompl!J53)),[2]NLFsmonkeyCompl!J53,"")</f>
        <v>Heitman</v>
      </c>
      <c r="B52" s="6" t="str">
        <f>IF(OR(ISTEXT([2]NLFsmonkeyCompl!K53),ISNUMBER([2]NLFsmonkeyCompl!K53)),[2]NLFsmonkeyCompl!K53,"")</f>
        <v>Heitman Global Open-End Core Fund</v>
      </c>
      <c r="C52" s="6" t="s">
        <v>53</v>
      </c>
      <c r="D52" s="6" t="str">
        <f>IFERROR(INDEX([2]VehiclesUniverse!$B$2:$EU$700,MATCH(C52,[2]VehiclesUniverse!$A$2:$A$700,0),MATCH($D$1,[2]VehiclesUniverse!$B$1:$EU$1,0)),"")</f>
        <v/>
      </c>
      <c r="E52" s="6" t="str">
        <f>IFERROR(INDEX([2]VehiclesUniverse!$B$2:$EU$700,MATCH(C52,[2]VehiclesUniverse!$A$2:$A$700,0),MATCH($E$1,[2]VehiclesUniverse!$B$1:$EU$1,0)),"")</f>
        <v/>
      </c>
      <c r="F52" s="6" t="str">
        <f>IF(IFERROR(INDEX([2]VehiclesUniverse!$B$2:$EU$700,MATCH($C52,[2]VehiclesUniverse!$A$2:$A$700,0),MATCH($F$1,[2]VehiclesUniverse!$B$1:$EU$1,0)),"")&lt;&gt;0,(IFERROR(INDEX([2]VehiclesUniverse!$B$2:$EU$700,MATCH($C52,[2]VehiclesUniverse!$A$2:$A$700,0),MATCH($F$1,[2]VehiclesUniverse!$B$1:$EU$1,0)),"")),"")</f>
        <v/>
      </c>
      <c r="G52" s="6"/>
      <c r="H52" s="6" t="str">
        <f>IFERROR(INDEX([2]VehiclesUniverse!$B$2:$EU$700,MATCH(C52,[2]VehiclesUniverse!$A$2:$A$700,0),MATCH($H$1,[2]VehiclesUniverse!$B$1:$EU$1,0)),"")</f>
        <v/>
      </c>
      <c r="I52" s="6" t="str">
        <f>IF(ISBLANK([2]NLFsmonkeyCompl!M53),"",[2]NLFsmonkeyCompl!M53)</f>
        <v>Yes</v>
      </c>
      <c r="J52" s="6" t="str">
        <f>IF(ISBLANK([2]NLFsmonkeyCompl!N53),"",[2]NLFsmonkeyCompl!N53)</f>
        <v/>
      </c>
      <c r="K52" s="6" t="str">
        <f>IF(ISBLANK([2]NLFsmonkeyCompl!O53),"",[2]NLFsmonkeyCompl!O53)</f>
        <v/>
      </c>
      <c r="L52" s="6" t="str">
        <f>IFERROR(INDEX([2]VehiclesUniverse!$B$2:$EU$700,MATCH(C52,[2]VehiclesUniverse!$A$2:$A$700,0),MATCH($L$1,[2]VehiclesUniverse!$B$1:$EU$1,0)),"")</f>
        <v/>
      </c>
      <c r="M52" s="16" t="str">
        <f>IFERROR(VLOOKUP(L52,'[2]Xrate31.12.20'!$K$2:$N$25,3,0),"")</f>
        <v/>
      </c>
      <c r="N52" s="8" t="str">
        <f>IFERROR(IF(ISBLANK([2]NLFsmonkeyCompl!P53),"",[2]NLFsmonkeyCompl!P53*$M52),"")</f>
        <v/>
      </c>
      <c r="O52" s="8" t="str">
        <f>IFERROR(IF(ISBLANK([2]NLFsmonkeyCompl!Q53),"",[2]NLFsmonkeyCompl!Q53*$M52),"")</f>
        <v/>
      </c>
      <c r="P52" s="8" t="str">
        <f>IFERROR(IF(ISBLANK([2]NLFsmonkeyCompl!R53),"",[2]NLFsmonkeyCompl!R53*$M52),"")</f>
        <v/>
      </c>
      <c r="Q52" s="8" t="str">
        <f>IFERROR(IF(ISBLANK([2]NLFsmonkeyCompl!S53),"",[2]NLFsmonkeyCompl!S53*$M52),"")</f>
        <v/>
      </c>
      <c r="R52" s="8" t="str">
        <f>IFERROR(IF(ISBLANK([2]NLFsmonkeyCompl!T53),"",[2]NLFsmonkeyCompl!T53*$M52),"")</f>
        <v/>
      </c>
      <c r="S52" s="8" t="str">
        <f>IFERROR(IF(ISBLANK([2]NLFsmonkeyCompl!U53),"",[2]NLFsmonkeyCompl!U53*$M52),"")</f>
        <v/>
      </c>
      <c r="T52" s="8" t="str">
        <f>IFERROR(IF(ISBLANK([2]NLFsmonkeyCompl!V53),"",[2]NLFsmonkeyCompl!V53*$M52),"")</f>
        <v/>
      </c>
      <c r="U52" s="8" t="str">
        <f>IFERROR(IF(ISBLANK([2]NLFsmonkeyCompl!W53),"",[2]NLFsmonkeyCompl!W53*$M52),"")</f>
        <v/>
      </c>
      <c r="V52" s="8" t="str">
        <f>IFERROR(IF(ISBLANK([2]NLFsmonkeyCompl!X53),"",[2]NLFsmonkeyCompl!X53*$M52),"")</f>
        <v/>
      </c>
      <c r="W52" s="8" t="str">
        <f>IFERROR(IF(ISBLANK([2]NLFsmonkeyCompl!Y53),"",[2]NLFsmonkeyCompl!Y53*$M52),"")</f>
        <v/>
      </c>
      <c r="X52" s="8" t="str">
        <f>IFERROR(IF(ISBLANK([2]NLFsmonkeyCompl!Z53),"",[2]NLFsmonkeyCompl!Z53*$M52),"")</f>
        <v/>
      </c>
      <c r="Y52" s="8" t="str">
        <f>IFERROR(IF(ISBLANK([2]NLFsmonkeyCompl!AA53),"",[2]NLFsmonkeyCompl!AA53*$M52),"")</f>
        <v/>
      </c>
      <c r="Z52" s="8" t="str">
        <f>IFERROR(IF(ISBLANK([2]NLFsmonkeyCompl!AB53),"",[2]NLFsmonkeyCompl!AB53*$M52),"")</f>
        <v/>
      </c>
      <c r="AA52" s="8" t="str">
        <f>IFERROR(IF(ISBLANK([2]NLFsmonkeyCompl!AC53),"",[2]NLFsmonkeyCompl!AC53*$M52),"")</f>
        <v/>
      </c>
      <c r="AB52" s="8" t="str">
        <f>IFERROR(IF(ISBLANK([2]NLFsmonkeyCompl!AD53),"",[2]NLFsmonkeyCompl!AD53),"")</f>
        <v/>
      </c>
      <c r="AC52" s="8" t="str">
        <f>IFERROR(IF(ISBLANK([2]NLFsmonkeyCompl!AE53),"",[2]NLFsmonkeyCompl!AE53),"")</f>
        <v/>
      </c>
      <c r="AD52" s="8">
        <f>IFERROR(IF(ISBLANK([2]NLFsmonkeyCompl!AF53),"",[2]NLFsmonkeyCompl!AF53),"")</f>
        <v>100</v>
      </c>
      <c r="AE52" s="8" t="str">
        <f>IFERROR(IF(ISBLANK([2]NLFsmonkeyCompl!AG53),"",[2]NLFsmonkeyCompl!AG53),"")</f>
        <v/>
      </c>
      <c r="AF52" s="8" t="str">
        <f>IFERROR(IF(ISBLANK([2]NLFsmonkeyCompl!AH53),"",[2]NLFsmonkeyCompl!AH53),"")</f>
        <v>Increase</v>
      </c>
      <c r="AG52" s="8" t="str">
        <f>IFERROR(IF(ISBLANK([2]NLFsmonkeyCompl!AI53),"",[2]NLFsmonkeyCompl!AI53),"")</f>
        <v>Yes</v>
      </c>
      <c r="AH52" t="str">
        <f>IFERROR(INDEX([2]VehiclesUniverse!$B$2:$EU$700,MATCH($C52,[2]VehiclesUniverse!$A$2:$A$700,0),MATCH($AH$1,[2]VehiclesUniverse!$B$1:$EU$1,0)),"")</f>
        <v/>
      </c>
    </row>
    <row r="53" spans="1:34" x14ac:dyDescent="0.2">
      <c r="A53" s="5" t="str">
        <f>IF(OR(ISTEXT([2]NLFsmonkeyCompl!J54),ISNUMBER([2]NLFsmonkeyCompl!J54)),[2]NLFsmonkeyCompl!J54,"")</f>
        <v>LaSalle Investment Management</v>
      </c>
      <c r="B53" s="6" t="str">
        <f>IF(OR(ISTEXT([2]NLFsmonkeyCompl!K54),ISNUMBER([2]NLFsmonkeyCompl!K54)),[2]NLFsmonkeyCompl!K54,"")</f>
        <v>Encore+</v>
      </c>
      <c r="C53" s="6">
        <v>137</v>
      </c>
      <c r="D53" s="6" t="str">
        <f>IFERROR(INDEX([2]VehiclesUniverse!$B$2:$EU$700,MATCH(C53,[2]VehiclesUniverse!$A$2:$A$700,0),MATCH($D$1,[2]VehiclesUniverse!$B$1:$EU$1,0)),"")</f>
        <v>Core</v>
      </c>
      <c r="E53" s="6" t="str">
        <f>IFERROR(INDEX([2]VehiclesUniverse!$B$2:$EU$700,MATCH(C53,[2]VehiclesUniverse!$A$2:$A$700,0),MATCH($E$1,[2]VehiclesUniverse!$B$1:$EU$1,0)),"")</f>
        <v>multi country</v>
      </c>
      <c r="F53" s="6" t="str">
        <f>IF(IFERROR(INDEX([2]VehiclesUniverse!$B$2:$EU$700,MATCH($C53,[2]VehiclesUniverse!$A$2:$A$700,0),MATCH($F$1,[2]VehiclesUniverse!$B$1:$EU$1,0)),"")&lt;&gt;0,(IFERROR(INDEX([2]VehiclesUniverse!$B$2:$EU$700,MATCH($C53,[2]VehiclesUniverse!$A$2:$A$700,0),MATCH($F$1,[2]VehiclesUniverse!$B$1:$EU$1,0)),"")),"")</f>
        <v/>
      </c>
      <c r="G53" s="6" t="str">
        <f>IF(ISBLANK([2]NLFsmonkeyCompl!L54),"",[2]NLFsmonkeyCompl!L54)</f>
        <v>Open end</v>
      </c>
      <c r="H53" s="6">
        <f>IFERROR(INDEX([2]VehiclesUniverse!$B$2:$EU$700,MATCH(C53,[2]VehiclesUniverse!$A$2:$A$700,0),MATCH($H$1,[2]VehiclesUniverse!$B$1:$EU$1,0)),"")</f>
        <v>2006</v>
      </c>
      <c r="I53" s="6" t="str">
        <f>IF(ISBLANK([2]NLFsmonkeyCompl!M54),"",[2]NLFsmonkeyCompl!M54)</f>
        <v>Yes</v>
      </c>
      <c r="J53" s="6" t="str">
        <f>IF(ISBLANK([2]NLFsmonkeyCompl!N54),"",[2]NLFsmonkeyCompl!N54)</f>
        <v/>
      </c>
      <c r="K53" s="6" t="str">
        <f>IF(ISBLANK([2]NLFsmonkeyCompl!O54),"",[2]NLFsmonkeyCompl!O54)</f>
        <v/>
      </c>
      <c r="L53" s="6" t="str">
        <f>IFERROR(INDEX([2]VehiclesUniverse!$B$2:$EU$700,MATCH(C53,[2]VehiclesUniverse!$A$2:$A$700,0),MATCH($L$1,[2]VehiclesUniverse!$B$1:$EU$1,0)),"")</f>
        <v>EUR</v>
      </c>
      <c r="M53" s="16">
        <f>IFERROR(VLOOKUP(L53,'[2]Xrate31.12.20'!$K$2:$N$25,3,0),"")</f>
        <v>1</v>
      </c>
      <c r="N53" s="8">
        <f>IFERROR(IF(ISBLANK([2]NLFsmonkeyCompl!P54),"",[2]NLFsmonkeyCompl!P54*$M53),"")</f>
        <v>836</v>
      </c>
      <c r="O53" s="8">
        <f>IFERROR(IF(ISBLANK([2]NLFsmonkeyCompl!Q54),"",[2]NLFsmonkeyCompl!Q54*$M53),"")</f>
        <v>315</v>
      </c>
      <c r="P53" s="8">
        <f>IFERROR(IF(ISBLANK([2]NLFsmonkeyCompl!R54),"",[2]NLFsmonkeyCompl!R54*$M53),"")</f>
        <v>371</v>
      </c>
      <c r="Q53" s="8" t="str">
        <f>IFERROR(IF(ISBLANK([2]NLFsmonkeyCompl!S54),"",[2]NLFsmonkeyCompl!S54*$M53),"")</f>
        <v/>
      </c>
      <c r="R53" s="8" t="str">
        <f>IFERROR(IF(ISBLANK([2]NLFsmonkeyCompl!T54),"",[2]NLFsmonkeyCompl!T54*$M53),"")</f>
        <v/>
      </c>
      <c r="S53" s="8" t="str">
        <f>IFERROR(IF(ISBLANK([2]NLFsmonkeyCompl!U54),"",[2]NLFsmonkeyCompl!U54*$M53),"")</f>
        <v/>
      </c>
      <c r="T53" s="8">
        <f>IFERROR(IF(ISBLANK([2]NLFsmonkeyCompl!V54),"",[2]NLFsmonkeyCompl!V54*$M53),"")</f>
        <v>65</v>
      </c>
      <c r="U53" s="8" t="str">
        <f>IFERROR(IF(ISBLANK([2]NLFsmonkeyCompl!W54),"",[2]NLFsmonkeyCompl!W54*$M53),"")</f>
        <v/>
      </c>
      <c r="V53" s="8">
        <f>IFERROR(IF(ISBLANK([2]NLFsmonkeyCompl!X54),"",[2]NLFsmonkeyCompl!X54*$M53),"")</f>
        <v>85</v>
      </c>
      <c r="W53" s="8">
        <f>IFERROR(IF(ISBLANK([2]NLFsmonkeyCompl!Y54),"",[2]NLFsmonkeyCompl!Y54*$M53),"")</f>
        <v>720</v>
      </c>
      <c r="X53" s="8">
        <f>IFERROR(IF(ISBLANK([2]NLFsmonkeyCompl!Z54),"",[2]NLFsmonkeyCompl!Z54*$M53),"")</f>
        <v>116</v>
      </c>
      <c r="Y53" s="8" t="str">
        <f>IFERROR(IF(ISBLANK([2]NLFsmonkeyCompl!AA54),"",[2]NLFsmonkeyCompl!AA54*$M53),"")</f>
        <v/>
      </c>
      <c r="Z53" s="8" t="str">
        <f>IFERROR(IF(ISBLANK([2]NLFsmonkeyCompl!AB54),"",[2]NLFsmonkeyCompl!AB54*$M53),"")</f>
        <v/>
      </c>
      <c r="AA53" s="8" t="str">
        <f>IFERROR(IF(ISBLANK([2]NLFsmonkeyCompl!AC54),"",[2]NLFsmonkeyCompl!AC54*$M53),"")</f>
        <v/>
      </c>
      <c r="AB53" s="8" t="str">
        <f>IFERROR(IF(ISBLANK([2]NLFsmonkeyCompl!AD54),"",[2]NLFsmonkeyCompl!AD54),"")</f>
        <v/>
      </c>
      <c r="AC53" s="8" t="str">
        <f>IFERROR(IF(ISBLANK([2]NLFsmonkeyCompl!AE54),"",[2]NLFsmonkeyCompl!AE54),"")</f>
        <v/>
      </c>
      <c r="AD53" s="8">
        <f>IFERROR(IF(ISBLANK([2]NLFsmonkeyCompl!AF54),"",[2]NLFsmonkeyCompl!AF54),"")</f>
        <v>100</v>
      </c>
      <c r="AE53" s="8" t="str">
        <f>IFERROR(IF(ISBLANK([2]NLFsmonkeyCompl!AG54),"",[2]NLFsmonkeyCompl!AG54),"")</f>
        <v/>
      </c>
      <c r="AF53" s="8" t="str">
        <f>IFERROR(IF(ISBLANK([2]NLFsmonkeyCompl!AH54),"",[2]NLFsmonkeyCompl!AH54),"")</f>
        <v/>
      </c>
      <c r="AG53" s="8" t="str">
        <f>IFERROR(IF(ISBLANK([2]NLFsmonkeyCompl!AI54),"",[2]NLFsmonkeyCompl!AI54),"")</f>
        <v/>
      </c>
      <c r="AH53">
        <f>IFERROR(INDEX([2]VehiclesUniverse!$B$2:$EU$700,MATCH($C53,[2]VehiclesUniverse!$A$2:$A$700,0),MATCH($AH$1,[2]VehiclesUniverse!$B$1:$EU$1,0)),"")</f>
        <v>3272313385</v>
      </c>
    </row>
    <row r="54" spans="1:34" x14ac:dyDescent="0.2">
      <c r="A54" s="5" t="str">
        <f>IF(OR(ISTEXT([2]NLFsmonkeyCompl!J55),ISNUMBER([2]NLFsmonkeyCompl!J55)),[2]NLFsmonkeyCompl!J55,"")</f>
        <v>Vesteda</v>
      </c>
      <c r="B54" s="6" t="str">
        <f>IF(OR(ISTEXT([2]NLFsmonkeyCompl!K55),ISNUMBER([2]NLFsmonkeyCompl!K55)),[2]NLFsmonkeyCompl!K55,"")</f>
        <v>Vesteda Residential Fund</v>
      </c>
      <c r="C54" s="6">
        <v>626</v>
      </c>
      <c r="D54" s="6" t="str">
        <f>IFERROR(INDEX([2]VehiclesUniverse!$B$2:$EU$700,MATCH(C54,[2]VehiclesUniverse!$A$2:$A$700,0),MATCH($D$1,[2]VehiclesUniverse!$B$1:$EU$1,0)),"")</f>
        <v>Core</v>
      </c>
      <c r="E54" s="6" t="str">
        <f>IFERROR(INDEX([2]VehiclesUniverse!$B$2:$EU$700,MATCH(C54,[2]VehiclesUniverse!$A$2:$A$700,0),MATCH($E$1,[2]VehiclesUniverse!$B$1:$EU$1,0)),"")</f>
        <v>single country</v>
      </c>
      <c r="F54" s="6" t="str">
        <f>IF(IFERROR(INDEX([2]VehiclesUniverse!$B$2:$EU$700,MATCH($C54,[2]VehiclesUniverse!$A$2:$A$700,0),MATCH($F$1,[2]VehiclesUniverse!$B$1:$EU$1,0)),"")&lt;&gt;0,(IFERROR(INDEX([2]VehiclesUniverse!$B$2:$EU$700,MATCH($C54,[2]VehiclesUniverse!$A$2:$A$700,0),MATCH($F$1,[2]VehiclesUniverse!$B$1:$EU$1,0)),"")),"")</f>
        <v>Netherlands</v>
      </c>
      <c r="G54" s="6" t="str">
        <f>IF(ISBLANK([2]NLFsmonkeyCompl!L55),"",[2]NLFsmonkeyCompl!L55)</f>
        <v>Open end</v>
      </c>
      <c r="H54" s="6">
        <f>IFERROR(INDEX([2]VehiclesUniverse!$B$2:$EU$700,MATCH(C54,[2]VehiclesUniverse!$A$2:$A$700,0),MATCH($H$1,[2]VehiclesUniverse!$B$1:$EU$1,0)),"")</f>
        <v>2001</v>
      </c>
      <c r="I54" s="6" t="str">
        <f>IF(ISBLANK([2]NLFsmonkeyCompl!M55),"",[2]NLFsmonkeyCompl!M55)</f>
        <v>No</v>
      </c>
      <c r="J54" s="6" t="str">
        <f>IF(ISBLANK([2]NLFsmonkeyCompl!N55),"",[2]NLFsmonkeyCompl!N55)</f>
        <v>Other (please specify)</v>
      </c>
      <c r="K54" s="6" t="str">
        <f>IF(ISBLANK([2]NLFsmonkeyCompl!O55),"",[2]NLFsmonkeyCompl!O55)</f>
        <v>Not necessary. Enough equity and debt facilities available.</v>
      </c>
      <c r="L54" s="6" t="str">
        <f>IFERROR(INDEX([2]VehiclesUniverse!$B$2:$EU$700,MATCH(C54,[2]VehiclesUniverse!$A$2:$A$700,0),MATCH($L$1,[2]VehiclesUniverse!$B$1:$EU$1,0)),"")</f>
        <v>EUR</v>
      </c>
      <c r="M54" s="16">
        <f>IFERROR(VLOOKUP(L54,'[2]Xrate31.12.20'!$K$2:$N$25,3,0),"")</f>
        <v>1</v>
      </c>
      <c r="N54" s="8" t="str">
        <f>IFERROR(IF(ISBLANK([2]NLFsmonkeyCompl!P55),"",[2]NLFsmonkeyCompl!P55*$M54),"")</f>
        <v/>
      </c>
      <c r="O54" s="8" t="str">
        <f>IFERROR(IF(ISBLANK([2]NLFsmonkeyCompl!Q55),"",[2]NLFsmonkeyCompl!Q55*$M54),"")</f>
        <v/>
      </c>
      <c r="P54" s="8" t="str">
        <f>IFERROR(IF(ISBLANK([2]NLFsmonkeyCompl!R55),"",[2]NLFsmonkeyCompl!R55*$M54),"")</f>
        <v/>
      </c>
      <c r="Q54" s="8" t="str">
        <f>IFERROR(IF(ISBLANK([2]NLFsmonkeyCompl!S55),"",[2]NLFsmonkeyCompl!S55*$M54),"")</f>
        <v/>
      </c>
      <c r="R54" s="8" t="str">
        <f>IFERROR(IF(ISBLANK([2]NLFsmonkeyCompl!T55),"",[2]NLFsmonkeyCompl!T55*$M54),"")</f>
        <v/>
      </c>
      <c r="S54" s="8" t="str">
        <f>IFERROR(IF(ISBLANK([2]NLFsmonkeyCompl!U55),"",[2]NLFsmonkeyCompl!U55*$M54),"")</f>
        <v/>
      </c>
      <c r="T54" s="8" t="str">
        <f>IFERROR(IF(ISBLANK([2]NLFsmonkeyCompl!V55),"",[2]NLFsmonkeyCompl!V55*$M54),"")</f>
        <v/>
      </c>
      <c r="U54" s="8" t="str">
        <f>IFERROR(IF(ISBLANK([2]NLFsmonkeyCompl!W55),"",[2]NLFsmonkeyCompl!W55*$M54),"")</f>
        <v/>
      </c>
      <c r="V54" s="8" t="str">
        <f>IFERROR(IF(ISBLANK([2]NLFsmonkeyCompl!X55),"",[2]NLFsmonkeyCompl!X55*$M54),"")</f>
        <v/>
      </c>
      <c r="W54" s="8" t="str">
        <f>IFERROR(IF(ISBLANK([2]NLFsmonkeyCompl!Y55),"",[2]NLFsmonkeyCompl!Y55*$M54),"")</f>
        <v/>
      </c>
      <c r="X54" s="8" t="str">
        <f>IFERROR(IF(ISBLANK([2]NLFsmonkeyCompl!Z55),"",[2]NLFsmonkeyCompl!Z55*$M54),"")</f>
        <v/>
      </c>
      <c r="Y54" s="8" t="str">
        <f>IFERROR(IF(ISBLANK([2]NLFsmonkeyCompl!AA55),"",[2]NLFsmonkeyCompl!AA55*$M54),"")</f>
        <v/>
      </c>
      <c r="Z54" s="8" t="str">
        <f>IFERROR(IF(ISBLANK([2]NLFsmonkeyCompl!AB55),"",[2]NLFsmonkeyCompl!AB55*$M54),"")</f>
        <v/>
      </c>
      <c r="AA54" s="8" t="str">
        <f>IFERROR(IF(ISBLANK([2]NLFsmonkeyCompl!AC55),"",[2]NLFsmonkeyCompl!AC55*$M54),"")</f>
        <v/>
      </c>
      <c r="AB54" s="8" t="str">
        <f>IFERROR(IF(ISBLANK([2]NLFsmonkeyCompl!AD55),"",[2]NLFsmonkeyCompl!AD55),"")</f>
        <v/>
      </c>
      <c r="AC54" s="8" t="str">
        <f>IFERROR(IF(ISBLANK([2]NLFsmonkeyCompl!AE55),"",[2]NLFsmonkeyCompl!AE55),"")</f>
        <v/>
      </c>
      <c r="AD54" s="8" t="str">
        <f>IFERROR(IF(ISBLANK([2]NLFsmonkeyCompl!AF55),"",[2]NLFsmonkeyCompl!AF55),"")</f>
        <v/>
      </c>
      <c r="AE54" s="8" t="str">
        <f>IFERROR(IF(ISBLANK([2]NLFsmonkeyCompl!AG55),"",[2]NLFsmonkeyCompl!AG55),"")</f>
        <v/>
      </c>
      <c r="AF54" s="8" t="str">
        <f>IFERROR(IF(ISBLANK([2]NLFsmonkeyCompl!AH55),"",[2]NLFsmonkeyCompl!AH55),"")</f>
        <v>No change</v>
      </c>
      <c r="AG54" s="8" t="str">
        <f>IFERROR(IF(ISBLANK([2]NLFsmonkeyCompl!AI55),"",[2]NLFsmonkeyCompl!AI55),"")</f>
        <v>Yes</v>
      </c>
      <c r="AH54">
        <f>IFERROR(INDEX([2]VehiclesUniverse!$B$2:$EU$700,MATCH($C54,[2]VehiclesUniverse!$A$2:$A$700,0),MATCH($AH$1,[2]VehiclesUniverse!$B$1:$EU$1,0)),"")</f>
        <v>8464709771</v>
      </c>
    </row>
    <row r="55" spans="1:34" x14ac:dyDescent="0.2">
      <c r="A55" s="5" t="str">
        <f>IF(OR(ISTEXT([2]NLFsmonkeyCompl!J56),ISNUMBER([2]NLFsmonkeyCompl!J56)),[2]NLFsmonkeyCompl!J56,"")</f>
        <v>M&amp;G Plc</v>
      </c>
      <c r="B55" s="6" t="str">
        <f>IF(OR(ISTEXT([2]NLFsmonkeyCompl!K56),ISNUMBER([2]NLFsmonkeyCompl!K56)),[2]NLFsmonkeyCompl!K56,"")</f>
        <v>M&amp;G European Secured Property Income Fund</v>
      </c>
      <c r="C55" s="6">
        <v>321</v>
      </c>
      <c r="D55" s="6" t="str">
        <f>IFERROR(INDEX([2]VehiclesUniverse!$B$2:$EU$700,MATCH(C55,[2]VehiclesUniverse!$A$2:$A$700,0),MATCH($D$1,[2]VehiclesUniverse!$B$1:$EU$1,0)),"")</f>
        <v>Core</v>
      </c>
      <c r="E55" s="6" t="str">
        <f>IFERROR(INDEX([2]VehiclesUniverse!$B$2:$EU$700,MATCH(C55,[2]VehiclesUniverse!$A$2:$A$700,0),MATCH($E$1,[2]VehiclesUniverse!$B$1:$EU$1,0)),"")</f>
        <v>multi country</v>
      </c>
      <c r="F55" s="6" t="str">
        <f>IF(IFERROR(INDEX([2]VehiclesUniverse!$B$2:$EU$700,MATCH($C55,[2]VehiclesUniverse!$A$2:$A$700,0),MATCH($F$1,[2]VehiclesUniverse!$B$1:$EU$1,0)),"")&lt;&gt;0,(IFERROR(INDEX([2]VehiclesUniverse!$B$2:$EU$700,MATCH($C55,[2]VehiclesUniverse!$A$2:$A$700,0),MATCH($F$1,[2]VehiclesUniverse!$B$1:$EU$1,0)),"")),"")</f>
        <v/>
      </c>
      <c r="G55" s="6" t="str">
        <f>IF(ISBLANK([2]NLFsmonkeyCompl!L56),"",[2]NLFsmonkeyCompl!L56)</f>
        <v>Open end</v>
      </c>
      <c r="H55" s="6">
        <f>IFERROR(INDEX([2]VehiclesUniverse!$B$2:$EU$700,MATCH(C55,[2]VehiclesUniverse!$A$2:$A$700,0),MATCH($H$1,[2]VehiclesUniverse!$B$1:$EU$1,0)),"")</f>
        <v>2006</v>
      </c>
      <c r="I55" s="6" t="str">
        <f>IF(ISBLANK([2]NLFsmonkeyCompl!M56),"",[2]NLFsmonkeyCompl!M56)</f>
        <v>Yes</v>
      </c>
      <c r="J55" s="6" t="str">
        <f>IF(ISBLANK([2]NLFsmonkeyCompl!N56),"",[2]NLFsmonkeyCompl!N56)</f>
        <v/>
      </c>
      <c r="K55" s="6" t="str">
        <f>IF(ISBLANK([2]NLFsmonkeyCompl!O56),"",[2]NLFsmonkeyCompl!O56)</f>
        <v/>
      </c>
      <c r="L55" s="6" t="str">
        <f>IFERROR(INDEX([2]VehiclesUniverse!$B$2:$EU$700,MATCH(C55,[2]VehiclesUniverse!$A$2:$A$700,0),MATCH($L$1,[2]VehiclesUniverse!$B$1:$EU$1,0)),"")</f>
        <v>EUR</v>
      </c>
      <c r="M55" s="16">
        <f>IFERROR(VLOOKUP(L55,'[2]Xrate31.12.20'!$K$2:$N$25,3,0),"")</f>
        <v>1</v>
      </c>
      <c r="N55" s="8">
        <f>IFERROR(IF(ISBLANK([2]NLFsmonkeyCompl!P56),"",[2]NLFsmonkeyCompl!P56*$M55),"")</f>
        <v>33</v>
      </c>
      <c r="O55" s="8">
        <f>IFERROR(IF(ISBLANK([2]NLFsmonkeyCompl!Q56),"",[2]NLFsmonkeyCompl!Q56*$M55),"")</f>
        <v>33</v>
      </c>
      <c r="P55" s="8" t="str">
        <f>IFERROR(IF(ISBLANK([2]NLFsmonkeyCompl!R56),"",[2]NLFsmonkeyCompl!R56*$M55),"")</f>
        <v/>
      </c>
      <c r="Q55" s="8" t="str">
        <f>IFERROR(IF(ISBLANK([2]NLFsmonkeyCompl!S56),"",[2]NLFsmonkeyCompl!S56*$M55),"")</f>
        <v/>
      </c>
      <c r="R55" s="8" t="str">
        <f>IFERROR(IF(ISBLANK([2]NLFsmonkeyCompl!T56),"",[2]NLFsmonkeyCompl!T56*$M55),"")</f>
        <v/>
      </c>
      <c r="S55" s="8" t="str">
        <f>IFERROR(IF(ISBLANK([2]NLFsmonkeyCompl!U56),"",[2]NLFsmonkeyCompl!U56*$M55),"")</f>
        <v/>
      </c>
      <c r="T55" s="8" t="str">
        <f>IFERROR(IF(ISBLANK([2]NLFsmonkeyCompl!V56),"",[2]NLFsmonkeyCompl!V56*$M55),"")</f>
        <v/>
      </c>
      <c r="U55" s="8" t="str">
        <f>IFERROR(IF(ISBLANK([2]NLFsmonkeyCompl!W56),"",[2]NLFsmonkeyCompl!W56*$M55),"")</f>
        <v/>
      </c>
      <c r="V55" s="8" t="str">
        <f>IFERROR(IF(ISBLANK([2]NLFsmonkeyCompl!X56),"",[2]NLFsmonkeyCompl!X56*$M55),"")</f>
        <v/>
      </c>
      <c r="W55" s="8">
        <f>IFERROR(IF(ISBLANK([2]NLFsmonkeyCompl!Y56),"",[2]NLFsmonkeyCompl!Y56*$M55),"")</f>
        <v>33</v>
      </c>
      <c r="X55" s="8" t="str">
        <f>IFERROR(IF(ISBLANK([2]NLFsmonkeyCompl!Z56),"",[2]NLFsmonkeyCompl!Z56*$M55),"")</f>
        <v/>
      </c>
      <c r="Y55" s="8" t="str">
        <f>IFERROR(IF(ISBLANK([2]NLFsmonkeyCompl!AA56),"",[2]NLFsmonkeyCompl!AA56*$M55),"")</f>
        <v/>
      </c>
      <c r="Z55" s="8" t="str">
        <f>IFERROR(IF(ISBLANK([2]NLFsmonkeyCompl!AB56),"",[2]NLFsmonkeyCompl!AB56*$M55),"")</f>
        <v/>
      </c>
      <c r="AA55" s="8" t="str">
        <f>IFERROR(IF(ISBLANK([2]NLFsmonkeyCompl!AC56),"",[2]NLFsmonkeyCompl!AC56*$M55),"")</f>
        <v/>
      </c>
      <c r="AB55" s="8" t="str">
        <f>IFERROR(IF(ISBLANK([2]NLFsmonkeyCompl!AD56),"",[2]NLFsmonkeyCompl!AD56),"")</f>
        <v/>
      </c>
      <c r="AC55" s="8" t="str">
        <f>IFERROR(IF(ISBLANK([2]NLFsmonkeyCompl!AE56),"",[2]NLFsmonkeyCompl!AE56),"")</f>
        <v/>
      </c>
      <c r="AD55" s="8" t="str">
        <f>IFERROR(IF(ISBLANK([2]NLFsmonkeyCompl!AF56),"",[2]NLFsmonkeyCompl!AF56),"")</f>
        <v/>
      </c>
      <c r="AE55" s="8">
        <f>IFERROR(IF(ISBLANK([2]NLFsmonkeyCompl!AG56),"",[2]NLFsmonkeyCompl!AG56),"")</f>
        <v>100</v>
      </c>
      <c r="AF55" s="8" t="str">
        <f>IFERROR(IF(ISBLANK([2]NLFsmonkeyCompl!AH56),"",[2]NLFsmonkeyCompl!AH56),"")</f>
        <v>Increase</v>
      </c>
      <c r="AG55" s="8" t="str">
        <f>IFERROR(IF(ISBLANK([2]NLFsmonkeyCompl!AI56),"",[2]NLFsmonkeyCompl!AI56),"")</f>
        <v>No</v>
      </c>
      <c r="AH55">
        <f>IFERROR(INDEX([2]VehiclesUniverse!$B$2:$EU$700,MATCH($C55,[2]VehiclesUniverse!$A$2:$A$700,0),MATCH($AH$1,[2]VehiclesUniverse!$B$1:$EU$1,0)),"")</f>
        <v>4216556453</v>
      </c>
    </row>
    <row r="56" spans="1:34" x14ac:dyDescent="0.2">
      <c r="A56" s="5" t="str">
        <f>IF(OR(ISTEXT([2]NLFsmonkeyCompl!J57),ISNUMBER([2]NLFsmonkeyCompl!J57)),[2]NLFsmonkeyCompl!J57,"")</f>
        <v>M&amp;G Plc</v>
      </c>
      <c r="B56" s="6" t="str">
        <f>IF(OR(ISTEXT([2]NLFsmonkeyCompl!K57),ISNUMBER([2]NLFsmonkeyCompl!K57)),[2]NLFsmonkeyCompl!K57,"")</f>
        <v>M&amp;G Secured Lease Income Fund</v>
      </c>
      <c r="C56" s="6"/>
      <c r="D56" s="6" t="str">
        <f>IFERROR(INDEX([2]VehiclesUniverse!$B$2:$EU$700,MATCH(C56,[2]VehiclesUniverse!$A$2:$A$700,0),MATCH($D$1,[2]VehiclesUniverse!$B$1:$EU$1,0)),"")</f>
        <v/>
      </c>
      <c r="E56" s="6" t="str">
        <f>IFERROR(INDEX([2]VehiclesUniverse!$B$2:$EU$700,MATCH(C56,[2]VehiclesUniverse!$A$2:$A$700,0),MATCH($E$1,[2]VehiclesUniverse!$B$1:$EU$1,0)),"")</f>
        <v/>
      </c>
      <c r="F56" s="6" t="str">
        <f>IF(IFERROR(INDEX([2]VehiclesUniverse!$B$2:$EU$700,MATCH($C56,[2]VehiclesUniverse!$A$2:$A$700,0),MATCH($F$1,[2]VehiclesUniverse!$B$1:$EU$1,0)),"")&lt;&gt;0,(IFERROR(INDEX([2]VehiclesUniverse!$B$2:$EU$700,MATCH($C56,[2]VehiclesUniverse!$A$2:$A$700,0),MATCH($F$1,[2]VehiclesUniverse!$B$1:$EU$1,0)),"")),"")</f>
        <v/>
      </c>
      <c r="G56" s="6"/>
      <c r="H56" s="6" t="str">
        <f>IFERROR(INDEX([2]VehiclesUniverse!$B$2:$EU$700,MATCH(C56,[2]VehiclesUniverse!$A$2:$A$700,0),MATCH($H$1,[2]VehiclesUniverse!$B$1:$EU$1,0)),"")</f>
        <v/>
      </c>
      <c r="I56" s="6" t="str">
        <f>IF(ISBLANK([2]NLFsmonkeyCompl!M57),"",[2]NLFsmonkeyCompl!M57)</f>
        <v>Yes</v>
      </c>
      <c r="J56" s="6" t="str">
        <f>IF(ISBLANK([2]NLFsmonkeyCompl!N57),"",[2]NLFsmonkeyCompl!N57)</f>
        <v/>
      </c>
      <c r="K56" s="6" t="str">
        <f>IF(ISBLANK([2]NLFsmonkeyCompl!O57),"",[2]NLFsmonkeyCompl!O57)</f>
        <v/>
      </c>
      <c r="L56" s="6" t="str">
        <f>IFERROR(INDEX([2]VehiclesUniverse!$B$2:$EU$700,MATCH(C56,[2]VehiclesUniverse!$A$2:$A$700,0),MATCH($L$1,[2]VehiclesUniverse!$B$1:$EU$1,0)),"")</f>
        <v/>
      </c>
      <c r="M56" s="16" t="str">
        <f>IFERROR(VLOOKUP(L56,'[2]Xrate31.12.20'!$K$2:$N$25,3,0),"")</f>
        <v/>
      </c>
      <c r="N56" s="8" t="str">
        <f>IFERROR(IF(ISBLANK([2]NLFsmonkeyCompl!P57),"",[2]NLFsmonkeyCompl!P57*$M56),"")</f>
        <v/>
      </c>
      <c r="O56" s="8" t="str">
        <f>IFERROR(IF(ISBLANK([2]NLFsmonkeyCompl!Q57),"",[2]NLFsmonkeyCompl!Q57*$M56),"")</f>
        <v/>
      </c>
      <c r="P56" s="8" t="str">
        <f>IFERROR(IF(ISBLANK([2]NLFsmonkeyCompl!R57),"",[2]NLFsmonkeyCompl!R57*$M56),"")</f>
        <v/>
      </c>
      <c r="Q56" s="8" t="str">
        <f>IFERROR(IF(ISBLANK([2]NLFsmonkeyCompl!S57),"",[2]NLFsmonkeyCompl!S57*$M56),"")</f>
        <v/>
      </c>
      <c r="R56" s="8" t="str">
        <f>IFERROR(IF(ISBLANK([2]NLFsmonkeyCompl!T57),"",[2]NLFsmonkeyCompl!T57*$M56),"")</f>
        <v/>
      </c>
      <c r="S56" s="8" t="str">
        <f>IFERROR(IF(ISBLANK([2]NLFsmonkeyCompl!U57),"",[2]NLFsmonkeyCompl!U57*$M56),"")</f>
        <v/>
      </c>
      <c r="T56" s="8" t="str">
        <f>IFERROR(IF(ISBLANK([2]NLFsmonkeyCompl!V57),"",[2]NLFsmonkeyCompl!V57*$M56),"")</f>
        <v/>
      </c>
      <c r="U56" s="8" t="str">
        <f>IFERROR(IF(ISBLANK([2]NLFsmonkeyCompl!W57),"",[2]NLFsmonkeyCompl!W57*$M56),"")</f>
        <v/>
      </c>
      <c r="V56" s="8" t="str">
        <f>IFERROR(IF(ISBLANK([2]NLFsmonkeyCompl!X57),"",[2]NLFsmonkeyCompl!X57*$M56),"")</f>
        <v/>
      </c>
      <c r="W56" s="8" t="str">
        <f>IFERROR(IF(ISBLANK([2]NLFsmonkeyCompl!Y57),"",[2]NLFsmonkeyCompl!Y57*$M56),"")</f>
        <v/>
      </c>
      <c r="X56" s="8" t="str">
        <f>IFERROR(IF(ISBLANK([2]NLFsmonkeyCompl!Z57),"",[2]NLFsmonkeyCompl!Z57*$M56),"")</f>
        <v/>
      </c>
      <c r="Y56" s="8" t="str">
        <f>IFERROR(IF(ISBLANK([2]NLFsmonkeyCompl!AA57),"",[2]NLFsmonkeyCompl!AA57*$M56),"")</f>
        <v/>
      </c>
      <c r="Z56" s="8" t="str">
        <f>IFERROR(IF(ISBLANK([2]NLFsmonkeyCompl!AB57),"",[2]NLFsmonkeyCompl!AB57*$M56),"")</f>
        <v/>
      </c>
      <c r="AA56" s="8" t="str">
        <f>IFERROR(IF(ISBLANK([2]NLFsmonkeyCompl!AC57),"",[2]NLFsmonkeyCompl!AC57*$M56),"")</f>
        <v/>
      </c>
      <c r="AB56" s="8" t="str">
        <f>IFERROR(IF(ISBLANK([2]NLFsmonkeyCompl!AD57),"",[2]NLFsmonkeyCompl!AD57),"")</f>
        <v/>
      </c>
      <c r="AC56" s="8" t="str">
        <f>IFERROR(IF(ISBLANK([2]NLFsmonkeyCompl!AE57),"",[2]NLFsmonkeyCompl!AE57),"")</f>
        <v/>
      </c>
      <c r="AD56" s="8" t="str">
        <f>IFERROR(IF(ISBLANK([2]NLFsmonkeyCompl!AF57),"",[2]NLFsmonkeyCompl!AF57),"")</f>
        <v/>
      </c>
      <c r="AE56" s="8">
        <f>IFERROR(IF(ISBLANK([2]NLFsmonkeyCompl!AG57),"",[2]NLFsmonkeyCompl!AG57),"")</f>
        <v>100</v>
      </c>
      <c r="AF56" s="8" t="str">
        <f>IFERROR(IF(ISBLANK([2]NLFsmonkeyCompl!AH57),"",[2]NLFsmonkeyCompl!AH57),"")</f>
        <v>Increase</v>
      </c>
      <c r="AG56" s="8" t="str">
        <f>IFERROR(IF(ISBLANK([2]NLFsmonkeyCompl!AI57),"",[2]NLFsmonkeyCompl!AI57),"")</f>
        <v>No</v>
      </c>
      <c r="AH56" t="str">
        <f>IFERROR(INDEX([2]VehiclesUniverse!$B$2:$EU$700,MATCH($C56,[2]VehiclesUniverse!$A$2:$A$700,0),MATCH($AH$1,[2]VehiclesUniverse!$B$1:$EU$1,0)),"")</f>
        <v/>
      </c>
    </row>
    <row r="57" spans="1:34" x14ac:dyDescent="0.2">
      <c r="A57" s="5" t="str">
        <f>IF(OR(ISTEXT([2]NLFsmonkeyCompl!J58),ISNUMBER([2]NLFsmonkeyCompl!J58)),[2]NLFsmonkeyCompl!J58,"")</f>
        <v>M&amp;G Plc</v>
      </c>
      <c r="B57" s="6" t="str">
        <f>IF(OR(ISTEXT([2]NLFsmonkeyCompl!K58),ISNUMBER([2]NLFsmonkeyCompl!K58)),[2]NLFsmonkeyCompl!K58,"")</f>
        <v>M&amp;G Secured Property Income Fund</v>
      </c>
      <c r="C57" s="6">
        <v>585</v>
      </c>
      <c r="D57" s="6" t="str">
        <f>IFERROR(INDEX([2]VehiclesUniverse!$B$2:$EU$700,MATCH(C57,[2]VehiclesUniverse!$A$2:$A$700,0),MATCH($D$1,[2]VehiclesUniverse!$B$1:$EU$1,0)),"")</f>
        <v>Core</v>
      </c>
      <c r="E57" s="6" t="str">
        <f>IFERROR(INDEX([2]VehiclesUniverse!$B$2:$EU$700,MATCH(C57,[2]VehiclesUniverse!$A$2:$A$700,0),MATCH($E$1,[2]VehiclesUniverse!$B$1:$EU$1,0)),"")</f>
        <v>single country</v>
      </c>
      <c r="F57" s="6" t="str">
        <f>IF(IFERROR(INDEX([2]VehiclesUniverse!$B$2:$EU$700,MATCH($C57,[2]VehiclesUniverse!$A$2:$A$700,0),MATCH($F$1,[2]VehiclesUniverse!$B$1:$EU$1,0)),"")&lt;&gt;0,(IFERROR(INDEX([2]VehiclesUniverse!$B$2:$EU$700,MATCH($C57,[2]VehiclesUniverse!$A$2:$A$700,0),MATCH($F$1,[2]VehiclesUniverse!$B$1:$EU$1,0)),"")),"")</f>
        <v>United Kingdom</v>
      </c>
      <c r="G57" s="6" t="str">
        <f>IF(ISBLANK([2]NLFsmonkeyCompl!L58),"",[2]NLFsmonkeyCompl!L58)</f>
        <v>Open end</v>
      </c>
      <c r="H57" s="6">
        <f>IFERROR(INDEX([2]VehiclesUniverse!$B$2:$EU$700,MATCH(C57,[2]VehiclesUniverse!$A$2:$A$700,0),MATCH($H$1,[2]VehiclesUniverse!$B$1:$EU$1,0)),"")</f>
        <v>2007</v>
      </c>
      <c r="I57" s="6" t="str">
        <f>IF(ISBLANK([2]NLFsmonkeyCompl!M58),"",[2]NLFsmonkeyCompl!M58)</f>
        <v>Yes</v>
      </c>
      <c r="J57" s="6" t="str">
        <f>IF(ISBLANK([2]NLFsmonkeyCompl!N58),"",[2]NLFsmonkeyCompl!N58)</f>
        <v/>
      </c>
      <c r="K57" s="6" t="str">
        <f>IF(ISBLANK([2]NLFsmonkeyCompl!O58),"",[2]NLFsmonkeyCompl!O58)</f>
        <v/>
      </c>
      <c r="L57" s="6" t="str">
        <f>IFERROR(INDEX([2]VehiclesUniverse!$B$2:$EU$700,MATCH(C57,[2]VehiclesUniverse!$A$2:$A$700,0),MATCH($L$1,[2]VehiclesUniverse!$B$1:$EU$1,0)),"")</f>
        <v>GBP</v>
      </c>
      <c r="M57" s="16">
        <f>IFERROR(VLOOKUP(L57,'[2]Xrate31.12.20'!$K$2:$N$25,3,0),"")</f>
        <v>1.1130927885999999</v>
      </c>
      <c r="N57" s="8">
        <f>IFERROR(IF(ISBLANK([2]NLFsmonkeyCompl!P58),"",[2]NLFsmonkeyCompl!P58*$M57),"")</f>
        <v>16.696391829</v>
      </c>
      <c r="O57" s="8">
        <f>IFERROR(IF(ISBLANK([2]NLFsmonkeyCompl!Q58),"",[2]NLFsmonkeyCompl!Q58*$M57),"")</f>
        <v>16.696391829</v>
      </c>
      <c r="P57" s="8" t="str">
        <f>IFERROR(IF(ISBLANK([2]NLFsmonkeyCompl!R58),"",[2]NLFsmonkeyCompl!R58*$M57),"")</f>
        <v/>
      </c>
      <c r="Q57" s="8" t="str">
        <f>IFERROR(IF(ISBLANK([2]NLFsmonkeyCompl!S58),"",[2]NLFsmonkeyCompl!S58*$M57),"")</f>
        <v/>
      </c>
      <c r="R57" s="8" t="str">
        <f>IFERROR(IF(ISBLANK([2]NLFsmonkeyCompl!T58),"",[2]NLFsmonkeyCompl!T58*$M57),"")</f>
        <v/>
      </c>
      <c r="S57" s="8" t="str">
        <f>IFERROR(IF(ISBLANK([2]NLFsmonkeyCompl!U58),"",[2]NLFsmonkeyCompl!U58*$M57),"")</f>
        <v/>
      </c>
      <c r="T57" s="8" t="str">
        <f>IFERROR(IF(ISBLANK([2]NLFsmonkeyCompl!V58),"",[2]NLFsmonkeyCompl!V58*$M57),"")</f>
        <v/>
      </c>
      <c r="U57" s="8" t="str">
        <f>IFERROR(IF(ISBLANK([2]NLFsmonkeyCompl!W58),"",[2]NLFsmonkeyCompl!W58*$M57),"")</f>
        <v/>
      </c>
      <c r="V57" s="8" t="str">
        <f>IFERROR(IF(ISBLANK([2]NLFsmonkeyCompl!X58),"",[2]NLFsmonkeyCompl!X58*$M57),"")</f>
        <v/>
      </c>
      <c r="W57" s="8">
        <f>IFERROR(IF(ISBLANK([2]NLFsmonkeyCompl!Y58),"",[2]NLFsmonkeyCompl!Y58*$M57),"")</f>
        <v>16.696391829</v>
      </c>
      <c r="X57" s="8" t="str">
        <f>IFERROR(IF(ISBLANK([2]NLFsmonkeyCompl!Z58),"",[2]NLFsmonkeyCompl!Z58*$M57),"")</f>
        <v/>
      </c>
      <c r="Y57" s="8" t="str">
        <f>IFERROR(IF(ISBLANK([2]NLFsmonkeyCompl!AA58),"",[2]NLFsmonkeyCompl!AA58*$M57),"")</f>
        <v/>
      </c>
      <c r="Z57" s="8" t="str">
        <f>IFERROR(IF(ISBLANK([2]NLFsmonkeyCompl!AB58),"",[2]NLFsmonkeyCompl!AB58*$M57),"")</f>
        <v/>
      </c>
      <c r="AA57" s="8" t="str">
        <f>IFERROR(IF(ISBLANK([2]NLFsmonkeyCompl!AC58),"",[2]NLFsmonkeyCompl!AC58*$M57),"")</f>
        <v/>
      </c>
      <c r="AB57" s="8" t="str">
        <f>IFERROR(IF(ISBLANK([2]NLFsmonkeyCompl!AD58),"",[2]NLFsmonkeyCompl!AD58),"")</f>
        <v/>
      </c>
      <c r="AC57" s="8" t="str">
        <f>IFERROR(IF(ISBLANK([2]NLFsmonkeyCompl!AE58),"",[2]NLFsmonkeyCompl!AE58),"")</f>
        <v/>
      </c>
      <c r="AD57" s="8" t="str">
        <f>IFERROR(IF(ISBLANK([2]NLFsmonkeyCompl!AF58),"",[2]NLFsmonkeyCompl!AF58),"")</f>
        <v/>
      </c>
      <c r="AE57" s="8">
        <f>IFERROR(IF(ISBLANK([2]NLFsmonkeyCompl!AG58),"",[2]NLFsmonkeyCompl!AG58),"")</f>
        <v>100</v>
      </c>
      <c r="AF57" s="8" t="str">
        <f>IFERROR(IF(ISBLANK([2]NLFsmonkeyCompl!AH58),"",[2]NLFsmonkeyCompl!AH58),"")</f>
        <v>Increase</v>
      </c>
      <c r="AG57" s="8" t="str">
        <f>IFERROR(IF(ISBLANK([2]NLFsmonkeyCompl!AI58),"",[2]NLFsmonkeyCompl!AI58),"")</f>
        <v>No</v>
      </c>
      <c r="AH57">
        <f>IFERROR(INDEX([2]VehiclesUniverse!$B$2:$EU$700,MATCH($C57,[2]VehiclesUniverse!$A$2:$A$700,0),MATCH($AH$1,[2]VehiclesUniverse!$B$1:$EU$1,0)),"")</f>
        <v>4966959424.6607418</v>
      </c>
    </row>
    <row r="58" spans="1:34" x14ac:dyDescent="0.2">
      <c r="A58" s="5" t="str">
        <f>IF(OR(ISTEXT([2]NLFsmonkeyCompl!J59),ISNUMBER([2]NLFsmonkeyCompl!J59)),[2]NLFsmonkeyCompl!J59,"")</f>
        <v>CBRE Global Investors</v>
      </c>
      <c r="B58" s="6" t="str">
        <f>IF(OR(ISTEXT([2]NLFsmonkeyCompl!K59),ISNUMBER([2]NLFsmonkeyCompl!K59)),[2]NLFsmonkeyCompl!K59,"")</f>
        <v>NN Direct Real Estate Engine</v>
      </c>
      <c r="C58" s="6">
        <v>17691</v>
      </c>
      <c r="D58" s="6" t="s">
        <v>45</v>
      </c>
      <c r="E58" s="6" t="s">
        <v>46</v>
      </c>
      <c r="F58" s="6" t="str">
        <f>IF(IFERROR(INDEX([2]VehiclesUniverse!$B$2:$EU$700,MATCH($C58,[2]VehiclesUniverse!$A$2:$A$700,0),MATCH($F$1,[2]VehiclesUniverse!$B$1:$EU$1,0)),"")&lt;&gt;0,(IFERROR(INDEX([2]VehiclesUniverse!$B$2:$EU$700,MATCH($C58,[2]VehiclesUniverse!$A$2:$A$700,0),MATCH($F$1,[2]VehiclesUniverse!$B$1:$EU$1,0)),"")),"")</f>
        <v/>
      </c>
      <c r="G58" s="6" t="str">
        <f>IF(ISBLANK([2]NLFsmonkeyCompl!L59),"",[2]NLFsmonkeyCompl!L59)</f>
        <v>Open end</v>
      </c>
      <c r="H58" s="6">
        <v>1971</v>
      </c>
      <c r="I58" s="6" t="str">
        <f>IF(ISBLANK([2]NLFsmonkeyCompl!M59),"",[2]NLFsmonkeyCompl!M59)</f>
        <v>No</v>
      </c>
      <c r="J58" s="6" t="str">
        <f>IF(ISBLANK([2]NLFsmonkeyCompl!N59),"",[2]NLFsmonkeyCompl!N59)</f>
        <v>Other (please specify)</v>
      </c>
      <c r="K58" s="6" t="str">
        <f>IF(ISBLANK([2]NLFsmonkeyCompl!O59),"",[2]NLFsmonkeyCompl!O59)</f>
        <v>New investments sourced out of disposals</v>
      </c>
      <c r="L58" s="6" t="str">
        <f>IFERROR(INDEX([2]VehiclesUniverse!$B$2:$EU$700,MATCH(C58,[2]VehiclesUniverse!$A$2:$A$700,0),MATCH($L$1,[2]VehiclesUniverse!$B$1:$EU$1,0)),"")</f>
        <v/>
      </c>
      <c r="M58" s="16" t="str">
        <f>IFERROR(VLOOKUP(L58,'[2]Xrate31.12.20'!$K$2:$N$25,3,0),"")</f>
        <v/>
      </c>
      <c r="N58" s="8" t="str">
        <f>IFERROR(IF(ISBLANK([2]NLFsmonkeyCompl!P59),"",[2]NLFsmonkeyCompl!P59*$M58),"")</f>
        <v/>
      </c>
      <c r="O58" s="8" t="str">
        <f>IFERROR(IF(ISBLANK([2]NLFsmonkeyCompl!Q59),"",[2]NLFsmonkeyCompl!Q59*$M58),"")</f>
        <v/>
      </c>
      <c r="P58" s="8" t="str">
        <f>IFERROR(IF(ISBLANK([2]NLFsmonkeyCompl!R59),"",[2]NLFsmonkeyCompl!R59*$M58),"")</f>
        <v/>
      </c>
      <c r="Q58" s="8" t="str">
        <f>IFERROR(IF(ISBLANK([2]NLFsmonkeyCompl!S59),"",[2]NLFsmonkeyCompl!S59*$M58),"")</f>
        <v/>
      </c>
      <c r="R58" s="8" t="str">
        <f>IFERROR(IF(ISBLANK([2]NLFsmonkeyCompl!T59),"",[2]NLFsmonkeyCompl!T59*$M58),"")</f>
        <v/>
      </c>
      <c r="S58" s="8" t="str">
        <f>IFERROR(IF(ISBLANK([2]NLFsmonkeyCompl!U59),"",[2]NLFsmonkeyCompl!U59*$M58),"")</f>
        <v/>
      </c>
      <c r="T58" s="8" t="str">
        <f>IFERROR(IF(ISBLANK([2]NLFsmonkeyCompl!V59),"",[2]NLFsmonkeyCompl!V59*$M58),"")</f>
        <v/>
      </c>
      <c r="U58" s="8" t="str">
        <f>IFERROR(IF(ISBLANK([2]NLFsmonkeyCompl!W59),"",[2]NLFsmonkeyCompl!W59*$M58),"")</f>
        <v/>
      </c>
      <c r="V58" s="8" t="str">
        <f>IFERROR(IF(ISBLANK([2]NLFsmonkeyCompl!X59),"",[2]NLFsmonkeyCompl!X59*$M58),"")</f>
        <v/>
      </c>
      <c r="W58" s="8" t="str">
        <f>IFERROR(IF(ISBLANK([2]NLFsmonkeyCompl!Y59),"",[2]NLFsmonkeyCompl!Y59*$M58),"")</f>
        <v/>
      </c>
      <c r="X58" s="8" t="str">
        <f>IFERROR(IF(ISBLANK([2]NLFsmonkeyCompl!Z59),"",[2]NLFsmonkeyCompl!Z59*$M58),"")</f>
        <v/>
      </c>
      <c r="Y58" s="8" t="str">
        <f>IFERROR(IF(ISBLANK([2]NLFsmonkeyCompl!AA59),"",[2]NLFsmonkeyCompl!AA59*$M58),"")</f>
        <v/>
      </c>
      <c r="Z58" s="8" t="str">
        <f>IFERROR(IF(ISBLANK([2]NLFsmonkeyCompl!AB59),"",[2]NLFsmonkeyCompl!AB59*$M58),"")</f>
        <v/>
      </c>
      <c r="AA58" s="8" t="str">
        <f>IFERROR(IF(ISBLANK([2]NLFsmonkeyCompl!AC59),"",[2]NLFsmonkeyCompl!AC59*$M58),"")</f>
        <v/>
      </c>
      <c r="AB58" s="8" t="str">
        <f>IFERROR(IF(ISBLANK([2]NLFsmonkeyCompl!AD59),"",[2]NLFsmonkeyCompl!AD59),"")</f>
        <v/>
      </c>
      <c r="AC58" s="8" t="str">
        <f>IFERROR(IF(ISBLANK([2]NLFsmonkeyCompl!AE59),"",[2]NLFsmonkeyCompl!AE59),"")</f>
        <v/>
      </c>
      <c r="AD58" s="8" t="str">
        <f>IFERROR(IF(ISBLANK([2]NLFsmonkeyCompl!AF59),"",[2]NLFsmonkeyCompl!AF59),"")</f>
        <v/>
      </c>
      <c r="AE58" s="8" t="str">
        <f>IFERROR(IF(ISBLANK([2]NLFsmonkeyCompl!AG59),"",[2]NLFsmonkeyCompl!AG59),"")</f>
        <v/>
      </c>
      <c r="AF58" s="8" t="str">
        <f>IFERROR(IF(ISBLANK([2]NLFsmonkeyCompl!AH59),"",[2]NLFsmonkeyCompl!AH59),"")</f>
        <v>No change</v>
      </c>
      <c r="AG58" s="8" t="str">
        <f>IFERROR(IF(ISBLANK([2]NLFsmonkeyCompl!AI59),"",[2]NLFsmonkeyCompl!AI59),"")</f>
        <v>No</v>
      </c>
      <c r="AH58" t="str">
        <f>IFERROR(INDEX([2]VehiclesUniverse!$B$2:$EU$700,MATCH($C58,[2]VehiclesUniverse!$A$2:$A$700,0),MATCH($AH$1,[2]VehiclesUniverse!$B$1:$EU$1,0)),"")</f>
        <v/>
      </c>
    </row>
    <row r="59" spans="1:34" x14ac:dyDescent="0.2">
      <c r="A59" s="5" t="str">
        <f>IF(OR(ISTEXT([2]NLFsmonkeyCompl!J60),ISNUMBER([2]NLFsmonkeyCompl!J60)),[2]NLFsmonkeyCompl!J60,"")</f>
        <v>CBRE Global Investors</v>
      </c>
      <c r="B59" s="6" t="str">
        <f>IF(OR(ISTEXT([2]NLFsmonkeyCompl!K60),ISNUMBER([2]NLFsmonkeyCompl!K60)),[2]NLFsmonkeyCompl!K60,"")</f>
        <v>CBRE Dutch Residential Fund</v>
      </c>
      <c r="C59" s="6">
        <v>18277</v>
      </c>
      <c r="D59" s="6" t="str">
        <f>IFERROR(INDEX([2]VehiclesUniverse!$B$2:$EU$700,MATCH(C59,[2]VehiclesUniverse!$A$2:$A$700,0),MATCH($D$1,[2]VehiclesUniverse!$B$1:$EU$1,0)),"")</f>
        <v>Core</v>
      </c>
      <c r="E59" s="6" t="str">
        <f>IFERROR(INDEX([2]VehiclesUniverse!$B$2:$EU$700,MATCH(C59,[2]VehiclesUniverse!$A$2:$A$700,0),MATCH($E$1,[2]VehiclesUniverse!$B$1:$EU$1,0)),"")</f>
        <v>single country</v>
      </c>
      <c r="F59" s="6" t="str">
        <f>IF(IFERROR(INDEX([2]VehiclesUniverse!$B$2:$EU$700,MATCH($C59,[2]VehiclesUniverse!$A$2:$A$700,0),MATCH($F$1,[2]VehiclesUniverse!$B$1:$EU$1,0)),"")&lt;&gt;0,(IFERROR(INDEX([2]VehiclesUniverse!$B$2:$EU$700,MATCH($C59,[2]VehiclesUniverse!$A$2:$A$700,0),MATCH($F$1,[2]VehiclesUniverse!$B$1:$EU$1,0)),"")),"")</f>
        <v>Netherlands</v>
      </c>
      <c r="G59" s="6" t="str">
        <f>IF(ISBLANK([2]NLFsmonkeyCompl!L60),"",[2]NLFsmonkeyCompl!L60)</f>
        <v>Open end</v>
      </c>
      <c r="H59" s="6">
        <f>IFERROR(INDEX([2]VehiclesUniverse!$B$2:$EU$700,MATCH(C59,[2]VehiclesUniverse!$A$2:$A$700,0),MATCH($H$1,[2]VehiclesUniverse!$B$1:$EU$1,0)),"")</f>
        <v>2017</v>
      </c>
      <c r="I59" s="6" t="str">
        <f>IF(ISBLANK([2]NLFsmonkeyCompl!M60),"",[2]NLFsmonkeyCompl!M60)</f>
        <v>Yes</v>
      </c>
      <c r="J59" s="6" t="str">
        <f>IF(ISBLANK([2]NLFsmonkeyCompl!N60),"",[2]NLFsmonkeyCompl!N60)</f>
        <v/>
      </c>
      <c r="K59" s="6" t="str">
        <f>IF(ISBLANK([2]NLFsmonkeyCompl!O60),"",[2]NLFsmonkeyCompl!O60)</f>
        <v/>
      </c>
      <c r="L59" s="6" t="str">
        <f>IFERROR(INDEX([2]VehiclesUniverse!$B$2:$EU$700,MATCH(C59,[2]VehiclesUniverse!$A$2:$A$700,0),MATCH($L$1,[2]VehiclesUniverse!$B$1:$EU$1,0)),"")</f>
        <v>EUR</v>
      </c>
      <c r="M59" s="16">
        <f>IFERROR(VLOOKUP(L59,'[2]Xrate31.12.20'!$K$2:$N$25,3,0),"")</f>
        <v>1</v>
      </c>
      <c r="N59" s="8">
        <f>IFERROR(IF(ISBLANK([2]NLFsmonkeyCompl!P60),"",[2]NLFsmonkeyCompl!P60*$M59),"")</f>
        <v>80</v>
      </c>
      <c r="O59" s="8">
        <f>IFERROR(IF(ISBLANK([2]NLFsmonkeyCompl!Q60),"",[2]NLFsmonkeyCompl!Q60*$M59),"")</f>
        <v>80</v>
      </c>
      <c r="P59" s="8" t="str">
        <f>IFERROR(IF(ISBLANK([2]NLFsmonkeyCompl!R60),"",[2]NLFsmonkeyCompl!R60*$M59),"")</f>
        <v/>
      </c>
      <c r="Q59" s="8" t="str">
        <f>IFERROR(IF(ISBLANK([2]NLFsmonkeyCompl!S60),"",[2]NLFsmonkeyCompl!S60*$M59),"")</f>
        <v/>
      </c>
      <c r="R59" s="8" t="str">
        <f>IFERROR(IF(ISBLANK([2]NLFsmonkeyCompl!T60),"",[2]NLFsmonkeyCompl!T60*$M59),"")</f>
        <v/>
      </c>
      <c r="S59" s="8" t="str">
        <f>IFERROR(IF(ISBLANK([2]NLFsmonkeyCompl!U60),"",[2]NLFsmonkeyCompl!U60*$M59),"")</f>
        <v/>
      </c>
      <c r="T59" s="8" t="str">
        <f>IFERROR(IF(ISBLANK([2]NLFsmonkeyCompl!V60),"",[2]NLFsmonkeyCompl!V60*$M59),"")</f>
        <v/>
      </c>
      <c r="U59" s="8" t="str">
        <f>IFERROR(IF(ISBLANK([2]NLFsmonkeyCompl!W60),"",[2]NLFsmonkeyCompl!W60*$M59),"")</f>
        <v/>
      </c>
      <c r="V59" s="8" t="str">
        <f>IFERROR(IF(ISBLANK([2]NLFsmonkeyCompl!X60),"",[2]NLFsmonkeyCompl!X60*$M59),"")</f>
        <v/>
      </c>
      <c r="W59" s="8">
        <f>IFERROR(IF(ISBLANK([2]NLFsmonkeyCompl!Y60),"",[2]NLFsmonkeyCompl!Y60*$M59),"")</f>
        <v>80</v>
      </c>
      <c r="X59" s="8" t="str">
        <f>IFERROR(IF(ISBLANK([2]NLFsmonkeyCompl!Z60),"",[2]NLFsmonkeyCompl!Z60*$M59),"")</f>
        <v/>
      </c>
      <c r="Y59" s="8" t="str">
        <f>IFERROR(IF(ISBLANK([2]NLFsmonkeyCompl!AA60),"",[2]NLFsmonkeyCompl!AA60*$M59),"")</f>
        <v/>
      </c>
      <c r="Z59" s="8" t="str">
        <f>IFERROR(IF(ISBLANK([2]NLFsmonkeyCompl!AB60),"",[2]NLFsmonkeyCompl!AB60*$M59),"")</f>
        <v/>
      </c>
      <c r="AA59" s="8" t="str">
        <f>IFERROR(IF(ISBLANK([2]NLFsmonkeyCompl!AC60),"",[2]NLFsmonkeyCompl!AC60*$M59),"")</f>
        <v/>
      </c>
      <c r="AB59" s="8">
        <f>IFERROR(IF(ISBLANK([2]NLFsmonkeyCompl!AD60),"",[2]NLFsmonkeyCompl!AD60),"")</f>
        <v>100</v>
      </c>
      <c r="AC59" s="8" t="str">
        <f>IFERROR(IF(ISBLANK([2]NLFsmonkeyCompl!AE60),"",[2]NLFsmonkeyCompl!AE60),"")</f>
        <v/>
      </c>
      <c r="AD59" s="8" t="str">
        <f>IFERROR(IF(ISBLANK([2]NLFsmonkeyCompl!AF60),"",[2]NLFsmonkeyCompl!AF60),"")</f>
        <v/>
      </c>
      <c r="AE59" s="8" t="str">
        <f>IFERROR(IF(ISBLANK([2]NLFsmonkeyCompl!AG60),"",[2]NLFsmonkeyCompl!AG60),"")</f>
        <v/>
      </c>
      <c r="AF59" s="8" t="str">
        <f>IFERROR(IF(ISBLANK([2]NLFsmonkeyCompl!AH60),"",[2]NLFsmonkeyCompl!AH60),"")</f>
        <v/>
      </c>
      <c r="AG59" s="8" t="str">
        <f>IFERROR(IF(ISBLANK([2]NLFsmonkeyCompl!AI60),"",[2]NLFsmonkeyCompl!AI60),"")</f>
        <v/>
      </c>
      <c r="AH59">
        <f>IFERROR(INDEX([2]VehiclesUniverse!$B$2:$EU$700,MATCH($C59,[2]VehiclesUniverse!$A$2:$A$700,0),MATCH($AH$1,[2]VehiclesUniverse!$B$1:$EU$1,0)),"")</f>
        <v>2588214000</v>
      </c>
    </row>
    <row r="60" spans="1:34" x14ac:dyDescent="0.2">
      <c r="A60" s="5" t="str">
        <f>IF(OR(ISTEXT([2]NLFsmonkeyCompl!J61),ISNUMBER([2]NLFsmonkeyCompl!J61)),[2]NLFsmonkeyCompl!J61,"")</f>
        <v>Areim AB</v>
      </c>
      <c r="B60" s="6" t="str">
        <f>IF(OR(ISTEXT([2]NLFsmonkeyCompl!K61),ISNUMBER([2]NLFsmonkeyCompl!K61)),[2]NLFsmonkeyCompl!K61,"")</f>
        <v>Areim Fastigheter 4 (D) AB</v>
      </c>
      <c r="C60" s="6">
        <v>18631</v>
      </c>
      <c r="D60" s="6" t="str">
        <f>IFERROR(INDEX([2]VehiclesUniverse!$B$2:$EU$700,MATCH(C60,[2]VehiclesUniverse!$A$2:$A$700,0),MATCH($D$1,[2]VehiclesUniverse!$B$1:$EU$1,0)),"")</f>
        <v>Value-added</v>
      </c>
      <c r="E60" s="6" t="str">
        <f>IFERROR(INDEX([2]VehiclesUniverse!$B$2:$EU$700,MATCH(C60,[2]VehiclesUniverse!$A$2:$A$700,0),MATCH($E$1,[2]VehiclesUniverse!$B$1:$EU$1,0)),"")</f>
        <v>multi country</v>
      </c>
      <c r="F60" s="6" t="str">
        <f>IF(IFERROR(INDEX([2]VehiclesUniverse!$B$2:$EU$700,MATCH($C60,[2]VehiclesUniverse!$A$2:$A$700,0),MATCH($F$1,[2]VehiclesUniverse!$B$1:$EU$1,0)),"")&lt;&gt;0,(IFERROR(INDEX([2]VehiclesUniverse!$B$2:$EU$700,MATCH($C60,[2]VehiclesUniverse!$A$2:$A$700,0),MATCH($F$1,[2]VehiclesUniverse!$B$1:$EU$1,0)),"")),"")</f>
        <v/>
      </c>
      <c r="G60" s="6" t="str">
        <f>IF(ISBLANK([2]NLFsmonkeyCompl!L61),"",[2]NLFsmonkeyCompl!L61)</f>
        <v>Closed end</v>
      </c>
      <c r="H60" s="6">
        <f>IFERROR(INDEX([2]VehiclesUniverse!$B$2:$EU$700,MATCH(C60,[2]VehiclesUniverse!$A$2:$A$700,0),MATCH($H$1,[2]VehiclesUniverse!$B$1:$EU$1,0)),"")</f>
        <v>2018</v>
      </c>
      <c r="I60" s="6" t="str">
        <f>IF(ISBLANK([2]NLFsmonkeyCompl!M61),"",[2]NLFsmonkeyCompl!M61)</f>
        <v>No</v>
      </c>
      <c r="J60" s="6" t="str">
        <f>IF(ISBLANK([2]NLFsmonkeyCompl!N61),"",[2]NLFsmonkeyCompl!N61)</f>
        <v>Other (please specify)</v>
      </c>
      <c r="K60" s="6" t="str">
        <f>IF(ISBLANK([2]NLFsmonkeyCompl!O61),"",[2]NLFsmonkeyCompl!O61)</f>
        <v>No capital raised in 2020, final closing was in December 2019.</v>
      </c>
      <c r="L60" s="6" t="str">
        <f>IFERROR(INDEX([2]VehiclesUniverse!$B$2:$EU$700,MATCH(C60,[2]VehiclesUniverse!$A$2:$A$700,0),MATCH($L$1,[2]VehiclesUniverse!$B$1:$EU$1,0)),"")</f>
        <v>SEK</v>
      </c>
      <c r="M60" s="16">
        <f>IFERROR(VLOOKUP(L60,'[2]Xrate31.12.20'!$K$2:$N$25,3,0),"")</f>
        <v>9.9491122000000001E-2</v>
      </c>
      <c r="N60" s="8" t="str">
        <f>IFERROR(IF(ISBLANK([2]NLFsmonkeyCompl!P61),"",[2]NLFsmonkeyCompl!P61*$M60),"")</f>
        <v/>
      </c>
      <c r="O60" s="8" t="str">
        <f>IFERROR(IF(ISBLANK([2]NLFsmonkeyCompl!Q61),"",[2]NLFsmonkeyCompl!Q61*$M60),"")</f>
        <v/>
      </c>
      <c r="P60" s="8" t="str">
        <f>IFERROR(IF(ISBLANK([2]NLFsmonkeyCompl!R61),"",[2]NLFsmonkeyCompl!R61*$M60),"")</f>
        <v/>
      </c>
      <c r="Q60" s="8" t="str">
        <f>IFERROR(IF(ISBLANK([2]NLFsmonkeyCompl!S61),"",[2]NLFsmonkeyCompl!S61*$M60),"")</f>
        <v/>
      </c>
      <c r="R60" s="8" t="str">
        <f>IFERROR(IF(ISBLANK([2]NLFsmonkeyCompl!T61),"",[2]NLFsmonkeyCompl!T61*$M60),"")</f>
        <v/>
      </c>
      <c r="S60" s="8" t="str">
        <f>IFERROR(IF(ISBLANK([2]NLFsmonkeyCompl!U61),"",[2]NLFsmonkeyCompl!U61*$M60),"")</f>
        <v/>
      </c>
      <c r="T60" s="8" t="str">
        <f>IFERROR(IF(ISBLANK([2]NLFsmonkeyCompl!V61),"",[2]NLFsmonkeyCompl!V61*$M60),"")</f>
        <v/>
      </c>
      <c r="U60" s="8" t="str">
        <f>IFERROR(IF(ISBLANK([2]NLFsmonkeyCompl!W61),"",[2]NLFsmonkeyCompl!W61*$M60),"")</f>
        <v/>
      </c>
      <c r="V60" s="8" t="str">
        <f>IFERROR(IF(ISBLANK([2]NLFsmonkeyCompl!X61),"",[2]NLFsmonkeyCompl!X61*$M60),"")</f>
        <v/>
      </c>
      <c r="W60" s="8" t="str">
        <f>IFERROR(IF(ISBLANK([2]NLFsmonkeyCompl!Y61),"",[2]NLFsmonkeyCompl!Y61*$M60),"")</f>
        <v/>
      </c>
      <c r="X60" s="8" t="str">
        <f>IFERROR(IF(ISBLANK([2]NLFsmonkeyCompl!Z61),"",[2]NLFsmonkeyCompl!Z61*$M60),"")</f>
        <v/>
      </c>
      <c r="Y60" s="8" t="str">
        <f>IFERROR(IF(ISBLANK([2]NLFsmonkeyCompl!AA61),"",[2]NLFsmonkeyCompl!AA61*$M60),"")</f>
        <v/>
      </c>
      <c r="Z60" s="8" t="str">
        <f>IFERROR(IF(ISBLANK([2]NLFsmonkeyCompl!AB61),"",[2]NLFsmonkeyCompl!AB61*$M60),"")</f>
        <v/>
      </c>
      <c r="AA60" s="8" t="str">
        <f>IFERROR(IF(ISBLANK([2]NLFsmonkeyCompl!AC61),"",[2]NLFsmonkeyCompl!AC61*$M60),"")</f>
        <v/>
      </c>
      <c r="AB60" s="8" t="str">
        <f>IFERROR(IF(ISBLANK([2]NLFsmonkeyCompl!AD61),"",[2]NLFsmonkeyCompl!AD61),"")</f>
        <v/>
      </c>
      <c r="AC60" s="8" t="str">
        <f>IFERROR(IF(ISBLANK([2]NLFsmonkeyCompl!AE61),"",[2]NLFsmonkeyCompl!AE61),"")</f>
        <v/>
      </c>
      <c r="AD60" s="8" t="str">
        <f>IFERROR(IF(ISBLANK([2]NLFsmonkeyCompl!AF61),"",[2]NLFsmonkeyCompl!AF61),"")</f>
        <v/>
      </c>
      <c r="AE60" s="8" t="str">
        <f>IFERROR(IF(ISBLANK([2]NLFsmonkeyCompl!AG61),"",[2]NLFsmonkeyCompl!AG61),"")</f>
        <v/>
      </c>
      <c r="AF60" s="8" t="str">
        <f>IFERROR(IF(ISBLANK([2]NLFsmonkeyCompl!AH61),"",[2]NLFsmonkeyCompl!AH61),"")</f>
        <v>Increase</v>
      </c>
      <c r="AG60" s="8" t="str">
        <f>IFERROR(IF(ISBLANK([2]NLFsmonkeyCompl!AI61),"",[2]NLFsmonkeyCompl!AI61),"")</f>
        <v>Yes</v>
      </c>
      <c r="AH60">
        <f>IFERROR(INDEX([2]VehiclesUniverse!$B$2:$EU$700,MATCH($C60,[2]VehiclesUniverse!$A$2:$A$700,0),MATCH($AH$1,[2]VehiclesUniverse!$B$1:$EU$1,0)),"")</f>
        <v>41475670.307186432</v>
      </c>
    </row>
    <row r="61" spans="1:34" x14ac:dyDescent="0.2">
      <c r="A61" s="5" t="str">
        <f>IF(OR(ISTEXT([2]NLFsmonkeyCompl!J62),ISNUMBER([2]NLFsmonkeyCompl!J62)),[2]NLFsmonkeyCompl!J62,"")</f>
        <v>Areim AB</v>
      </c>
      <c r="B61" s="6" t="str">
        <f>IF(OR(ISTEXT([2]NLFsmonkeyCompl!K62),ISNUMBER([2]NLFsmonkeyCompl!K62)),[2]NLFsmonkeyCompl!K62,"")</f>
        <v>Areim Fastigheter 4 (EQ) AB</v>
      </c>
      <c r="C61" s="6">
        <v>18616</v>
      </c>
      <c r="D61" s="6" t="str">
        <f>IFERROR(INDEX([2]VehiclesUniverse!$B$2:$EU$700,MATCH(C61,[2]VehiclesUniverse!$A$2:$A$700,0),MATCH($D$1,[2]VehiclesUniverse!$B$1:$EU$1,0)),"")</f>
        <v>Value-added</v>
      </c>
      <c r="E61" s="6" t="str">
        <f>IFERROR(INDEX([2]VehiclesUniverse!$B$2:$EU$700,MATCH(C61,[2]VehiclesUniverse!$A$2:$A$700,0),MATCH($E$1,[2]VehiclesUniverse!$B$1:$EU$1,0)),"")</f>
        <v>multi country</v>
      </c>
      <c r="F61" s="6" t="str">
        <f>IF(IFERROR(INDEX([2]VehiclesUniverse!$B$2:$EU$700,MATCH($C61,[2]VehiclesUniverse!$A$2:$A$700,0),MATCH($F$1,[2]VehiclesUniverse!$B$1:$EU$1,0)),"")&lt;&gt;0,(IFERROR(INDEX([2]VehiclesUniverse!$B$2:$EU$700,MATCH($C61,[2]VehiclesUniverse!$A$2:$A$700,0),MATCH($F$1,[2]VehiclesUniverse!$B$1:$EU$1,0)),"")),"")</f>
        <v/>
      </c>
      <c r="G61" s="6" t="str">
        <f>IF(ISBLANK([2]NLFsmonkeyCompl!L62),"",[2]NLFsmonkeyCompl!L62)</f>
        <v>Closed end</v>
      </c>
      <c r="H61" s="6">
        <f>IFERROR(INDEX([2]VehiclesUniverse!$B$2:$EU$700,MATCH(C61,[2]VehiclesUniverse!$A$2:$A$700,0),MATCH($H$1,[2]VehiclesUniverse!$B$1:$EU$1,0)),"")</f>
        <v>2018</v>
      </c>
      <c r="I61" s="6" t="str">
        <f>IF(ISBLANK([2]NLFsmonkeyCompl!M62),"",[2]NLFsmonkeyCompl!M62)</f>
        <v>No</v>
      </c>
      <c r="J61" s="6" t="str">
        <f>IF(ISBLANK([2]NLFsmonkeyCompl!N62),"",[2]NLFsmonkeyCompl!N62)</f>
        <v>Other (please specify)</v>
      </c>
      <c r="K61" s="6" t="str">
        <f>IF(ISBLANK([2]NLFsmonkeyCompl!O62),"",[2]NLFsmonkeyCompl!O62)</f>
        <v>No capital raised in 2020, final closing was in December 2019.</v>
      </c>
      <c r="L61" s="6" t="str">
        <f>IFERROR(INDEX([2]VehiclesUniverse!$B$2:$EU$700,MATCH(C61,[2]VehiclesUniverse!$A$2:$A$700,0),MATCH($L$1,[2]VehiclesUniverse!$B$1:$EU$1,0)),"")</f>
        <v>SEK</v>
      </c>
      <c r="M61" s="16">
        <f>IFERROR(VLOOKUP(L61,'[2]Xrate31.12.20'!$K$2:$N$25,3,0),"")</f>
        <v>9.9491122000000001E-2</v>
      </c>
      <c r="N61" s="8" t="str">
        <f>IFERROR(IF(ISBLANK([2]NLFsmonkeyCompl!P62),"",[2]NLFsmonkeyCompl!P62*$M61),"")</f>
        <v/>
      </c>
      <c r="O61" s="8" t="str">
        <f>IFERROR(IF(ISBLANK([2]NLFsmonkeyCompl!Q62),"",[2]NLFsmonkeyCompl!Q62*$M61),"")</f>
        <v/>
      </c>
      <c r="P61" s="8" t="str">
        <f>IFERROR(IF(ISBLANK([2]NLFsmonkeyCompl!R62),"",[2]NLFsmonkeyCompl!R62*$M61),"")</f>
        <v/>
      </c>
      <c r="Q61" s="8" t="str">
        <f>IFERROR(IF(ISBLANK([2]NLFsmonkeyCompl!S62),"",[2]NLFsmonkeyCompl!S62*$M61),"")</f>
        <v/>
      </c>
      <c r="R61" s="8" t="str">
        <f>IFERROR(IF(ISBLANK([2]NLFsmonkeyCompl!T62),"",[2]NLFsmonkeyCompl!T62*$M61),"")</f>
        <v/>
      </c>
      <c r="S61" s="8" t="str">
        <f>IFERROR(IF(ISBLANK([2]NLFsmonkeyCompl!U62),"",[2]NLFsmonkeyCompl!U62*$M61),"")</f>
        <v/>
      </c>
      <c r="T61" s="8" t="str">
        <f>IFERROR(IF(ISBLANK([2]NLFsmonkeyCompl!V62),"",[2]NLFsmonkeyCompl!V62*$M61),"")</f>
        <v/>
      </c>
      <c r="U61" s="8" t="str">
        <f>IFERROR(IF(ISBLANK([2]NLFsmonkeyCompl!W62),"",[2]NLFsmonkeyCompl!W62*$M61),"")</f>
        <v/>
      </c>
      <c r="V61" s="8" t="str">
        <f>IFERROR(IF(ISBLANK([2]NLFsmonkeyCompl!X62),"",[2]NLFsmonkeyCompl!X62*$M61),"")</f>
        <v/>
      </c>
      <c r="W61" s="8" t="str">
        <f>IFERROR(IF(ISBLANK([2]NLFsmonkeyCompl!Y62),"",[2]NLFsmonkeyCompl!Y62*$M61),"")</f>
        <v/>
      </c>
      <c r="X61" s="8" t="str">
        <f>IFERROR(IF(ISBLANK([2]NLFsmonkeyCompl!Z62),"",[2]NLFsmonkeyCompl!Z62*$M61),"")</f>
        <v/>
      </c>
      <c r="Y61" s="8" t="str">
        <f>IFERROR(IF(ISBLANK([2]NLFsmonkeyCompl!AA62),"",[2]NLFsmonkeyCompl!AA62*$M61),"")</f>
        <v/>
      </c>
      <c r="Z61" s="8" t="str">
        <f>IFERROR(IF(ISBLANK([2]NLFsmonkeyCompl!AB62),"",[2]NLFsmonkeyCompl!AB62*$M61),"")</f>
        <v/>
      </c>
      <c r="AA61" s="8" t="str">
        <f>IFERROR(IF(ISBLANK([2]NLFsmonkeyCompl!AC62),"",[2]NLFsmonkeyCompl!AC62*$M61),"")</f>
        <v/>
      </c>
      <c r="AB61" s="8" t="str">
        <f>IFERROR(IF(ISBLANK([2]NLFsmonkeyCompl!AD62),"",[2]NLFsmonkeyCompl!AD62),"")</f>
        <v/>
      </c>
      <c r="AC61" s="8" t="str">
        <f>IFERROR(IF(ISBLANK([2]NLFsmonkeyCompl!AE62),"",[2]NLFsmonkeyCompl!AE62),"")</f>
        <v/>
      </c>
      <c r="AD61" s="8" t="str">
        <f>IFERROR(IF(ISBLANK([2]NLFsmonkeyCompl!AF62),"",[2]NLFsmonkeyCompl!AF62),"")</f>
        <v/>
      </c>
      <c r="AE61" s="8" t="str">
        <f>IFERROR(IF(ISBLANK([2]NLFsmonkeyCompl!AG62),"",[2]NLFsmonkeyCompl!AG62),"")</f>
        <v/>
      </c>
      <c r="AF61" s="8" t="str">
        <f>IFERROR(IF(ISBLANK([2]NLFsmonkeyCompl!AH62),"",[2]NLFsmonkeyCompl!AH62),"")</f>
        <v>Increase</v>
      </c>
      <c r="AG61" s="8" t="str">
        <f>IFERROR(IF(ISBLANK([2]NLFsmonkeyCompl!AI62),"",[2]NLFsmonkeyCompl!AI62),"")</f>
        <v>Yes</v>
      </c>
      <c r="AH61">
        <f>IFERROR(INDEX([2]VehiclesUniverse!$B$2:$EU$700,MATCH($C61,[2]VehiclesUniverse!$A$2:$A$700,0),MATCH($AH$1,[2]VehiclesUniverse!$B$1:$EU$1,0)),"")</f>
        <v>934450573.14932656</v>
      </c>
    </row>
    <row r="62" spans="1:34" x14ac:dyDescent="0.2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 t="str">
        <f>IFERROR(INDEX([2]VehiclesUniverse!$B$2:$EU$700,MATCH(C62,[2]VehiclesUniverse!$A$2:$A$700,0),MATCH($L$1,[2]VehiclesUniverse!$B$1:$EU$1,0)),"")</f>
        <v/>
      </c>
      <c r="M62" s="16" t="str">
        <f>IFERROR(VLOOKUP(L62,'[2]Xrate31.12.20'!$K$2:$N$25,3,0),"")</f>
        <v/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t="str">
        <f>IFERROR(INDEX([2]VehiclesUniverse!$B$2:$EU$700,MATCH($C62,[2]VehiclesUniverse!$A$2:$A$700,0),MATCH($AH$1,[2]VehiclesUniverse!$B$1:$EU$1,0)),"")</f>
        <v/>
      </c>
    </row>
    <row r="63" spans="1:34" x14ac:dyDescent="0.2">
      <c r="A63" s="5" t="str">
        <f>IF(OR(ISTEXT([2]NLFsmonkeyCompl!J64),ISNUMBER([2]NLFsmonkeyCompl!J64)),[2]NLFsmonkeyCompl!J64,"")</f>
        <v>Union Investment Real Estate GmbH</v>
      </c>
      <c r="B63" s="6" t="str">
        <f>IF(OR(ISTEXT([2]NLFsmonkeyCompl!K64),ISNUMBER([2]NLFsmonkeyCompl!K64)),[2]NLFsmonkeyCompl!K64,"")</f>
        <v>Real Estate Funds</v>
      </c>
      <c r="C63" s="6" t="s">
        <v>54</v>
      </c>
      <c r="D63" s="6" t="str">
        <f>IFERROR(INDEX([2]VehiclesUniverse!$B$2:$EU$700,MATCH(C63,[2]VehiclesUniverse!$A$2:$A$700,0),MATCH($D$1,[2]VehiclesUniverse!$B$1:$EU$1,0)),"")</f>
        <v/>
      </c>
      <c r="E63" s="6" t="str">
        <f>IFERROR(INDEX([2]VehiclesUniverse!$B$2:$EU$700,MATCH(C63,[2]VehiclesUniverse!$A$2:$A$700,0),MATCH($E$1,[2]VehiclesUniverse!$B$1:$EU$1,0)),"")</f>
        <v/>
      </c>
      <c r="F63" s="6" t="str">
        <f>IF(IFERROR(INDEX([2]VehiclesUniverse!$B$2:$EU$700,MATCH($C63,[2]VehiclesUniverse!$A$2:$A$700,0),MATCH($F$1,[2]VehiclesUniverse!$B$1:$EU$1,0)),"")&lt;&gt;0,(IFERROR(INDEX([2]VehiclesUniverse!$B$2:$EU$700,MATCH($C63,[2]VehiclesUniverse!$A$2:$A$700,0),MATCH($F$1,[2]VehiclesUniverse!$B$1:$EU$1,0)),"")),"")</f>
        <v/>
      </c>
      <c r="G63" s="6"/>
      <c r="H63" s="6" t="str">
        <f>IFERROR(INDEX([2]VehiclesUniverse!$B$2:$EU$700,MATCH(C63,[2]VehiclesUniverse!$A$2:$A$700,0),MATCH($H$1,[2]VehiclesUniverse!$B$1:$EU$1,0)),"")</f>
        <v/>
      </c>
      <c r="I63" s="6" t="str">
        <f>IF(ISBLANK([2]NLFsmonkeyCompl!M64),"",[2]NLFsmonkeyCompl!M64)</f>
        <v>Yes</v>
      </c>
      <c r="J63" s="6" t="str">
        <f>IF(ISBLANK([2]NLFsmonkeyCompl!N64),"",[2]NLFsmonkeyCompl!N64)</f>
        <v/>
      </c>
      <c r="K63" s="6" t="str">
        <f>IF(ISBLANK([2]NLFsmonkeyCompl!O64),"",[2]NLFsmonkeyCompl!O64)</f>
        <v/>
      </c>
      <c r="L63" s="6" t="str">
        <f>IFERROR(INDEX([2]VehiclesUniverse!$B$2:$EU$700,MATCH(C63,[2]VehiclesUniverse!$A$2:$A$700,0),MATCH($L$1,[2]VehiclesUniverse!$B$1:$EU$1,0)),"")</f>
        <v/>
      </c>
      <c r="M63" s="16" t="str">
        <f>IFERROR(VLOOKUP(L63,'[2]Xrate31.12.20'!$K$2:$N$25,3,0),"")</f>
        <v/>
      </c>
      <c r="N63" s="8" t="str">
        <f>IFERROR(IF(ISBLANK([2]NLFsmonkeyCompl!P64),"",[2]NLFsmonkeyCompl!P64*$M63),"")</f>
        <v/>
      </c>
      <c r="O63" s="8" t="str">
        <f>IFERROR(IF(ISBLANK([2]NLFsmonkeyCompl!Q64),"",[2]NLFsmonkeyCompl!Q64*$M63),"")</f>
        <v/>
      </c>
      <c r="P63" s="8" t="str">
        <f>IFERROR(IF(ISBLANK([2]NLFsmonkeyCompl!R64),"",[2]NLFsmonkeyCompl!R64*$M63),"")</f>
        <v/>
      </c>
      <c r="Q63" s="8" t="str">
        <f>IFERROR(IF(ISBLANK([2]NLFsmonkeyCompl!S64),"",[2]NLFsmonkeyCompl!S64*$M63),"")</f>
        <v/>
      </c>
      <c r="R63" s="8" t="str">
        <f>IFERROR(IF(ISBLANK([2]NLFsmonkeyCompl!T64),"",[2]NLFsmonkeyCompl!T64*$M63),"")</f>
        <v/>
      </c>
      <c r="S63" s="8" t="str">
        <f>IFERROR(IF(ISBLANK([2]NLFsmonkeyCompl!U64),"",[2]NLFsmonkeyCompl!U64*$M63),"")</f>
        <v/>
      </c>
      <c r="T63" s="8" t="str">
        <f>IFERROR(IF(ISBLANK([2]NLFsmonkeyCompl!V64),"",[2]NLFsmonkeyCompl!V64*$M63),"")</f>
        <v/>
      </c>
      <c r="U63" s="8" t="str">
        <f>IFERROR(IF(ISBLANK([2]NLFsmonkeyCompl!W64),"",[2]NLFsmonkeyCompl!W64*$M63),"")</f>
        <v/>
      </c>
      <c r="V63" s="8" t="str">
        <f>IFERROR(IF(ISBLANK([2]NLFsmonkeyCompl!X64),"",[2]NLFsmonkeyCompl!X64*$M63),"")</f>
        <v/>
      </c>
      <c r="W63" s="8" t="str">
        <f>IFERROR(IF(ISBLANK([2]NLFsmonkeyCompl!Y64),"",[2]NLFsmonkeyCompl!Y64*$M63),"")</f>
        <v/>
      </c>
      <c r="X63" s="8" t="str">
        <f>IFERROR(IF(ISBLANK([2]NLFsmonkeyCompl!Z64),"",[2]NLFsmonkeyCompl!Z64*$M63),"")</f>
        <v/>
      </c>
      <c r="Y63" s="8" t="str">
        <f>IFERROR(IF(ISBLANK([2]NLFsmonkeyCompl!AA64),"",[2]NLFsmonkeyCompl!AA64*$M63),"")</f>
        <v/>
      </c>
      <c r="Z63" s="8" t="str">
        <f>IFERROR(IF(ISBLANK([2]NLFsmonkeyCompl!AB64),"",[2]NLFsmonkeyCompl!AB64*$M63),"")</f>
        <v/>
      </c>
      <c r="AA63" s="8" t="str">
        <f>IFERROR(IF(ISBLANK([2]NLFsmonkeyCompl!AC64),"",[2]NLFsmonkeyCompl!AC64*$M63),"")</f>
        <v/>
      </c>
      <c r="AB63" s="8">
        <f>IFERROR(IF(ISBLANK([2]NLFsmonkeyCompl!AD64),"",[2]NLFsmonkeyCompl!AD64),"")</f>
        <v>0</v>
      </c>
      <c r="AC63" s="8">
        <f>IFERROR(IF(ISBLANK([2]NLFsmonkeyCompl!AE64),"",[2]NLFsmonkeyCompl!AE64),"")</f>
        <v>0</v>
      </c>
      <c r="AD63" s="8">
        <f>IFERROR(IF(ISBLANK([2]NLFsmonkeyCompl!AF64),"",[2]NLFsmonkeyCompl!AF64),"")</f>
        <v>100</v>
      </c>
      <c r="AE63" s="8">
        <f>IFERROR(IF(ISBLANK([2]NLFsmonkeyCompl!AG64),"",[2]NLFsmonkeyCompl!AG64),"")</f>
        <v>0</v>
      </c>
      <c r="AF63" s="8" t="str">
        <f>IFERROR(IF(ISBLANK([2]NLFsmonkeyCompl!AH64),"",[2]NLFsmonkeyCompl!AH64),"")</f>
        <v>Increase</v>
      </c>
      <c r="AG63" s="8" t="str">
        <f>IFERROR(IF(ISBLANK([2]NLFsmonkeyCompl!AI64),"",[2]NLFsmonkeyCompl!AI64),"")</f>
        <v>Yes</v>
      </c>
      <c r="AH63" t="str">
        <f>IFERROR(INDEX([2]VehiclesUniverse!$B$2:$EU$700,MATCH($C63,[2]VehiclesUniverse!$A$2:$A$700,0),MATCH($AH$1,[2]VehiclesUniverse!$B$1:$EU$1,0)),"")</f>
        <v/>
      </c>
    </row>
    <row r="64" spans="1:34" x14ac:dyDescent="0.2">
      <c r="A64" s="5" t="str">
        <f>IF(OR(ISTEXT([2]NLFsmonkeyCompl!J65),ISNUMBER([2]NLFsmonkeyCompl!J65)),[2]NLFsmonkeyCompl!J65,"")</f>
        <v>Quantum Immobilien Kapitalverwaltungsgesellschaft</v>
      </c>
      <c r="B64" s="6" t="str">
        <f>IF(OR(ISTEXT([2]NLFsmonkeyCompl!K65),ISNUMBER([2]NLFsmonkeyCompl!K65)),[2]NLFsmonkeyCompl!K65,"")</f>
        <v>Habitare</v>
      </c>
      <c r="C64" s="6">
        <v>222</v>
      </c>
      <c r="D64" s="6" t="str">
        <f>IFERROR(INDEX([2]VehiclesUniverse!$B$2:$EU$700,MATCH(C64,[2]VehiclesUniverse!$A$2:$A$700,0),MATCH($D$1,[2]VehiclesUniverse!$B$1:$EU$1,0)),"")</f>
        <v>Core</v>
      </c>
      <c r="E64" s="6" t="str">
        <f>IFERROR(INDEX([2]VehiclesUniverse!$B$2:$EU$700,MATCH(C64,[2]VehiclesUniverse!$A$2:$A$700,0),MATCH($E$1,[2]VehiclesUniverse!$B$1:$EU$1,0)),"")</f>
        <v>single country</v>
      </c>
      <c r="F64" s="6" t="str">
        <f>IF(IFERROR(INDEX([2]VehiclesUniverse!$B$2:$EU$700,MATCH($C64,[2]VehiclesUniverse!$A$2:$A$700,0),MATCH($F$1,[2]VehiclesUniverse!$B$1:$EU$1,0)),"")&lt;&gt;0,(IFERROR(INDEX([2]VehiclesUniverse!$B$2:$EU$700,MATCH($C64,[2]VehiclesUniverse!$A$2:$A$700,0),MATCH($F$1,[2]VehiclesUniverse!$B$1:$EU$1,0)),"")),"")</f>
        <v>Germany</v>
      </c>
      <c r="G64" s="6" t="str">
        <f>IF(ISBLANK([2]NLFsmonkeyCompl!L65),"",[2]NLFsmonkeyCompl!L65)</f>
        <v>Open end</v>
      </c>
      <c r="H64" s="6">
        <f>IFERROR(INDEX([2]VehiclesUniverse!$B$2:$EU$700,MATCH(C64,[2]VehiclesUniverse!$A$2:$A$700,0),MATCH($H$1,[2]VehiclesUniverse!$B$1:$EU$1,0)),"")</f>
        <v>2006</v>
      </c>
      <c r="I64" s="6" t="str">
        <f>IF(ISBLANK([2]NLFsmonkeyCompl!M65),"",[2]NLFsmonkeyCompl!M65)</f>
        <v>No</v>
      </c>
      <c r="J64" s="6" t="str">
        <f>IF(ISBLANK([2]NLFsmonkeyCompl!N65),"",[2]NLFsmonkeyCompl!N65)</f>
        <v/>
      </c>
      <c r="K64" s="6" t="str">
        <f>IF(ISBLANK([2]NLFsmonkeyCompl!O65),"",[2]NLFsmonkeyCompl!O65)</f>
        <v/>
      </c>
      <c r="L64" s="6" t="str">
        <f>IFERROR(INDEX([2]VehiclesUniverse!$B$2:$EU$700,MATCH(C64,[2]VehiclesUniverse!$A$2:$A$700,0),MATCH($L$1,[2]VehiclesUniverse!$B$1:$EU$1,0)),"")</f>
        <v>EUR</v>
      </c>
      <c r="M64" s="16">
        <f>IFERROR(VLOOKUP(L64,'[2]Xrate31.12.20'!$K$2:$N$25,3,0),"")</f>
        <v>1</v>
      </c>
      <c r="N64" s="8" t="str">
        <f>IFERROR(IF(ISBLANK([2]NLFsmonkeyCompl!P65),"",[2]NLFsmonkeyCompl!P65*$M64),"")</f>
        <v/>
      </c>
      <c r="O64" s="8" t="str">
        <f>IFERROR(IF(ISBLANK([2]NLFsmonkeyCompl!Q65),"",[2]NLFsmonkeyCompl!Q65*$M64),"")</f>
        <v/>
      </c>
      <c r="P64" s="8" t="str">
        <f>IFERROR(IF(ISBLANK([2]NLFsmonkeyCompl!R65),"",[2]NLFsmonkeyCompl!R65*$M64),"")</f>
        <v/>
      </c>
      <c r="Q64" s="8" t="str">
        <f>IFERROR(IF(ISBLANK([2]NLFsmonkeyCompl!S65),"",[2]NLFsmonkeyCompl!S65*$M64),"")</f>
        <v/>
      </c>
      <c r="R64" s="8" t="str">
        <f>IFERROR(IF(ISBLANK([2]NLFsmonkeyCompl!T65),"",[2]NLFsmonkeyCompl!T65*$M64),"")</f>
        <v/>
      </c>
      <c r="S64" s="8" t="str">
        <f>IFERROR(IF(ISBLANK([2]NLFsmonkeyCompl!U65),"",[2]NLFsmonkeyCompl!U65*$M64),"")</f>
        <v/>
      </c>
      <c r="T64" s="8" t="str">
        <f>IFERROR(IF(ISBLANK([2]NLFsmonkeyCompl!V65),"",[2]NLFsmonkeyCompl!V65*$M64),"")</f>
        <v/>
      </c>
      <c r="U64" s="8" t="str">
        <f>IFERROR(IF(ISBLANK([2]NLFsmonkeyCompl!W65),"",[2]NLFsmonkeyCompl!W65*$M64),"")</f>
        <v/>
      </c>
      <c r="V64" s="8" t="str">
        <f>IFERROR(IF(ISBLANK([2]NLFsmonkeyCompl!X65),"",[2]NLFsmonkeyCompl!X65*$M64),"")</f>
        <v/>
      </c>
      <c r="W64" s="8" t="str">
        <f>IFERROR(IF(ISBLANK([2]NLFsmonkeyCompl!Y65),"",[2]NLFsmonkeyCompl!Y65*$M64),"")</f>
        <v/>
      </c>
      <c r="X64" s="8" t="str">
        <f>IFERROR(IF(ISBLANK([2]NLFsmonkeyCompl!Z65),"",[2]NLFsmonkeyCompl!Z65*$M64),"")</f>
        <v/>
      </c>
      <c r="Y64" s="8" t="str">
        <f>IFERROR(IF(ISBLANK([2]NLFsmonkeyCompl!AA65),"",[2]NLFsmonkeyCompl!AA65*$M64),"")</f>
        <v/>
      </c>
      <c r="Z64" s="8" t="str">
        <f>IFERROR(IF(ISBLANK([2]NLFsmonkeyCompl!AB65),"",[2]NLFsmonkeyCompl!AB65*$M64),"")</f>
        <v/>
      </c>
      <c r="AA64" s="8" t="str">
        <f>IFERROR(IF(ISBLANK([2]NLFsmonkeyCompl!AC65),"",[2]NLFsmonkeyCompl!AC65*$M64),"")</f>
        <v/>
      </c>
      <c r="AB64" s="8" t="str">
        <f>IFERROR(IF(ISBLANK([2]NLFsmonkeyCompl!AD65),"",[2]NLFsmonkeyCompl!AD65),"")</f>
        <v/>
      </c>
      <c r="AC64" s="8" t="str">
        <f>IFERROR(IF(ISBLANK([2]NLFsmonkeyCompl!AE65),"",[2]NLFsmonkeyCompl!AE65),"")</f>
        <v/>
      </c>
      <c r="AD64" s="8" t="str">
        <f>IFERROR(IF(ISBLANK([2]NLFsmonkeyCompl!AF65),"",[2]NLFsmonkeyCompl!AF65),"")</f>
        <v/>
      </c>
      <c r="AE64" s="8" t="str">
        <f>IFERROR(IF(ISBLANK([2]NLFsmonkeyCompl!AG65),"",[2]NLFsmonkeyCompl!AG65),"")</f>
        <v/>
      </c>
      <c r="AF64" s="8" t="str">
        <f>IFERROR(IF(ISBLANK([2]NLFsmonkeyCompl!AH65),"",[2]NLFsmonkeyCompl!AH65),"")</f>
        <v/>
      </c>
      <c r="AG64" s="8" t="str">
        <f>IFERROR(IF(ISBLANK([2]NLFsmonkeyCompl!AI65),"",[2]NLFsmonkeyCompl!AI65),"")</f>
        <v/>
      </c>
      <c r="AH64">
        <f>IFERROR(INDEX([2]VehiclesUniverse!$B$2:$EU$700,MATCH($C64,[2]VehiclesUniverse!$A$2:$A$700,0),MATCH($AH$1,[2]VehiclesUniverse!$B$1:$EU$1,0)),"")</f>
        <v>1264417434</v>
      </c>
    </row>
    <row r="65" spans="1:34" x14ac:dyDescent="0.2">
      <c r="A65" s="5" t="str">
        <f>IF(OR(ISTEXT([2]NLFsmonkeyCompl!J66),ISNUMBER([2]NLFsmonkeyCompl!J66)),[2]NLFsmonkeyCompl!J66,"")</f>
        <v>AEW UK Investment Management LLP</v>
      </c>
      <c r="B65" s="18" t="str">
        <f>IF(OR(ISTEXT([2]NLFsmonkeyCompl!K66),ISNUMBER([2]NLFsmonkeyCompl!K66)),[2]NLFsmonkeyCompl!K66,"")</f>
        <v>AEW UK Urban Real Estate Fund</v>
      </c>
      <c r="C65" s="6" t="s">
        <v>52</v>
      </c>
      <c r="D65" s="6" t="s">
        <v>47</v>
      </c>
      <c r="E65" s="6" t="s">
        <v>48</v>
      </c>
      <c r="F65" s="6" t="s">
        <v>55</v>
      </c>
      <c r="G65" s="6" t="str">
        <f>IF(ISBLANK([4]NLFsmonkeyCompl!L66),"",[4]NLFsmonkeyCompl!L66)</f>
        <v>Closed end</v>
      </c>
      <c r="H65" s="6">
        <v>2019</v>
      </c>
      <c r="I65" s="6" t="str">
        <f>IF(ISBLANK([4]NLFsmonkeyCompl!M66),"",[4]NLFsmonkeyCompl!M66)</f>
        <v>No</v>
      </c>
      <c r="J65" s="6" t="str">
        <f>IF(ISBLANK([4]NLFsmonkeyCompl!N66),"",[4]NLFsmonkeyCompl!N66)</f>
        <v>Other (please specify)</v>
      </c>
      <c r="K65" s="6" t="str">
        <f>IF(ISBLANK([4]NLFsmonkeyCompl!O66),"",[4]NLFsmonkeyCompl!O66)</f>
        <v>Still in capital raising phase</v>
      </c>
      <c r="L65" s="6" t="s">
        <v>56</v>
      </c>
      <c r="M65" s="16">
        <f>IFERROR(VLOOKUP(L65,'[2]Xrate31.12.20'!$K$2:$N$25,3,0),"")</f>
        <v>1.1130927885999999</v>
      </c>
      <c r="N65" s="8" t="str">
        <f>IFERROR(IF(ISBLANK([2]NLFsmonkeyCompl!P66),"",[2]NLFsmonkeyCompl!P66*$M65),"")</f>
        <v/>
      </c>
      <c r="O65" s="8" t="str">
        <f>IFERROR(IF(ISBLANK([2]NLFsmonkeyCompl!Q66),"",[2]NLFsmonkeyCompl!Q66*$M65),"")</f>
        <v/>
      </c>
      <c r="P65" s="8" t="str">
        <f>IFERROR(IF(ISBLANK([2]NLFsmonkeyCompl!R66),"",[2]NLFsmonkeyCompl!R66*$M65),"")</f>
        <v/>
      </c>
      <c r="Q65" s="8" t="str">
        <f>IFERROR(IF(ISBLANK([2]NLFsmonkeyCompl!S66),"",[2]NLFsmonkeyCompl!S66*$M65),"")</f>
        <v/>
      </c>
      <c r="R65" s="8" t="str">
        <f>IFERROR(IF(ISBLANK([2]NLFsmonkeyCompl!T66),"",[2]NLFsmonkeyCompl!T66*$M65),"")</f>
        <v/>
      </c>
      <c r="S65" s="8" t="str">
        <f>IFERROR(IF(ISBLANK([2]NLFsmonkeyCompl!U66),"",[2]NLFsmonkeyCompl!U66*$M65),"")</f>
        <v/>
      </c>
      <c r="T65" s="8" t="str">
        <f>IFERROR(IF(ISBLANK([2]NLFsmonkeyCompl!V66),"",[2]NLFsmonkeyCompl!V66*$M65),"")</f>
        <v/>
      </c>
      <c r="U65" s="8" t="str">
        <f>IFERROR(IF(ISBLANK([2]NLFsmonkeyCompl!W66),"",[2]NLFsmonkeyCompl!W66*$M65),"")</f>
        <v/>
      </c>
      <c r="V65" s="8" t="str">
        <f>IFERROR(IF(ISBLANK([2]NLFsmonkeyCompl!X66),"",[2]NLFsmonkeyCompl!X66*$M65),"")</f>
        <v/>
      </c>
      <c r="W65" s="8" t="str">
        <f>IFERROR(IF(ISBLANK([2]NLFsmonkeyCompl!Y66),"",[2]NLFsmonkeyCompl!Y66*$M65),"")</f>
        <v/>
      </c>
      <c r="X65" s="8" t="str">
        <f>IFERROR(IF(ISBLANK([2]NLFsmonkeyCompl!Z66),"",[2]NLFsmonkeyCompl!Z66*$M65),"")</f>
        <v/>
      </c>
      <c r="Y65" s="8" t="str">
        <f>IFERROR(IF(ISBLANK([2]NLFsmonkeyCompl!AA66),"",[2]NLFsmonkeyCompl!AA66*$M65),"")</f>
        <v/>
      </c>
      <c r="Z65" s="8" t="str">
        <f>IFERROR(IF(ISBLANK([2]NLFsmonkeyCompl!AB66),"",[2]NLFsmonkeyCompl!AB66*$M65),"")</f>
        <v/>
      </c>
      <c r="AA65" s="8" t="str">
        <f>IFERROR(IF(ISBLANK([2]NLFsmonkeyCompl!AC66),"",[2]NLFsmonkeyCompl!AC66*$M65),"")</f>
        <v/>
      </c>
      <c r="AB65" s="8" t="str">
        <f>IFERROR(IF(ISBLANK([2]NLFsmonkeyCompl!AD66),"",[2]NLFsmonkeyCompl!AD66),"")</f>
        <v/>
      </c>
      <c r="AC65" s="8" t="str">
        <f>IFERROR(IF(ISBLANK([2]NLFsmonkeyCompl!AE66),"",[2]NLFsmonkeyCompl!AE66),"")</f>
        <v/>
      </c>
      <c r="AD65" s="8" t="str">
        <f>IFERROR(IF(ISBLANK([2]NLFsmonkeyCompl!AF66),"",[2]NLFsmonkeyCompl!AF66),"")</f>
        <v/>
      </c>
      <c r="AE65" s="8" t="str">
        <f>IFERROR(IF(ISBLANK([2]NLFsmonkeyCompl!AG66),"",[2]NLFsmonkeyCompl!AG66),"")</f>
        <v/>
      </c>
      <c r="AF65" s="8" t="str">
        <f>IFERROR(IF(ISBLANK([2]NLFsmonkeyCompl!AH66),"",[2]NLFsmonkeyCompl!AH66),"")</f>
        <v>Increase</v>
      </c>
      <c r="AG65" s="8" t="str">
        <f>IFERROR(IF(ISBLANK([2]NLFsmonkeyCompl!AI66),"",[2]NLFsmonkeyCompl!AI66),"")</f>
        <v>No</v>
      </c>
      <c r="AH65" t="str">
        <f>IFERROR(INDEX([2]VehiclesUniverse!$B$2:$EU$700,MATCH($C65,[2]VehiclesUniverse!$A$2:$A$700,0),MATCH($AH$1,[2]VehiclesUniverse!$B$1:$EU$1,0)),"")</f>
        <v/>
      </c>
    </row>
    <row r="66" spans="1:34" x14ac:dyDescent="0.2">
      <c r="A66" s="5" t="str">
        <f>IF(OR(ISTEXT([2]NLFsmonkeyCompl!J67),ISNUMBER([2]NLFsmonkeyCompl!J67)),[2]NLFsmonkeyCompl!J67,"")</f>
        <v>AEW UK Investment Management LLP</v>
      </c>
      <c r="B66" s="18" t="str">
        <f>IF(OR(ISTEXT([2]NLFsmonkeyCompl!K67),ISNUMBER([2]NLFsmonkeyCompl!K67)),[2]NLFsmonkeyCompl!K67,"")</f>
        <v>AEW UK Real Return Fund</v>
      </c>
      <c r="C66" s="6" t="s">
        <v>52</v>
      </c>
      <c r="D66" s="6" t="s">
        <v>45</v>
      </c>
      <c r="E66" s="6" t="s">
        <v>48</v>
      </c>
      <c r="F66" s="6" t="s">
        <v>55</v>
      </c>
      <c r="G66" s="6" t="str">
        <f>IF(ISBLANK([4]NLFsmonkeyCompl!L67),"",[4]NLFsmonkeyCompl!L67)</f>
        <v>Open end</v>
      </c>
      <c r="H66" s="6">
        <v>2016</v>
      </c>
      <c r="I66" s="6" t="str">
        <f>IF(ISBLANK([4]NLFsmonkeyCompl!M67),"",[4]NLFsmonkeyCompl!M67)</f>
        <v>Yes</v>
      </c>
      <c r="J66" s="6" t="str">
        <f>IF(ISBLANK([4]NLFsmonkeyCompl!N67),"",[4]NLFsmonkeyCompl!N67)</f>
        <v/>
      </c>
      <c r="K66" s="6" t="str">
        <f>IF(ISBLANK([4]NLFsmonkeyCompl!O67),"",[4]NLFsmonkeyCompl!O67)</f>
        <v/>
      </c>
      <c r="L66" s="6" t="s">
        <v>56</v>
      </c>
      <c r="M66" s="16">
        <f>IFERROR(VLOOKUP(L66,'[2]Xrate31.12.20'!$K$2:$N$25,3,0),"")</f>
        <v>1.1130927885999999</v>
      </c>
      <c r="N66" s="8">
        <f>IFERROR(IF(ISBLANK([2]NLFsmonkeyCompl!P67),"",[2]NLFsmonkeyCompl!P67*$M66),"")</f>
        <v>11.130927885999998</v>
      </c>
      <c r="O66" s="8">
        <f>IFERROR(IF(ISBLANK([2]NLFsmonkeyCompl!Q67),"",[2]NLFsmonkeyCompl!Q67*$M66),"")</f>
        <v>11.130927885999998</v>
      </c>
      <c r="P66" s="8" t="str">
        <f>IFERROR(IF(ISBLANK([2]NLFsmonkeyCompl!R67),"",[2]NLFsmonkeyCompl!R67*$M66),"")</f>
        <v/>
      </c>
      <c r="Q66" s="8" t="str">
        <f>IFERROR(IF(ISBLANK([2]NLFsmonkeyCompl!S67),"",[2]NLFsmonkeyCompl!S67*$M66),"")</f>
        <v/>
      </c>
      <c r="R66" s="8" t="str">
        <f>IFERROR(IF(ISBLANK([2]NLFsmonkeyCompl!T67),"",[2]NLFsmonkeyCompl!T67*$M66),"")</f>
        <v/>
      </c>
      <c r="S66" s="8" t="str">
        <f>IFERROR(IF(ISBLANK([2]NLFsmonkeyCompl!U67),"",[2]NLFsmonkeyCompl!U67*$M66),"")</f>
        <v/>
      </c>
      <c r="T66" s="8" t="str">
        <f>IFERROR(IF(ISBLANK([2]NLFsmonkeyCompl!V67),"",[2]NLFsmonkeyCompl!V67*$M66),"")</f>
        <v/>
      </c>
      <c r="U66" s="8" t="str">
        <f>IFERROR(IF(ISBLANK([2]NLFsmonkeyCompl!W67),"",[2]NLFsmonkeyCompl!W67*$M66),"")</f>
        <v/>
      </c>
      <c r="V66" s="8" t="str">
        <f>IFERROR(IF(ISBLANK([2]NLFsmonkeyCompl!X67),"",[2]NLFsmonkeyCompl!X67*$M66),"")</f>
        <v/>
      </c>
      <c r="W66" s="8">
        <f>IFERROR(IF(ISBLANK([2]NLFsmonkeyCompl!Y67),"",[2]NLFsmonkeyCompl!Y67*$M66),"")</f>
        <v>11.130927885999998</v>
      </c>
      <c r="X66" s="8" t="str">
        <f>IFERROR(IF(ISBLANK([2]NLFsmonkeyCompl!Z67),"",[2]NLFsmonkeyCompl!Z67*$M66),"")</f>
        <v/>
      </c>
      <c r="Y66" s="8" t="str">
        <f>IFERROR(IF(ISBLANK([2]NLFsmonkeyCompl!AA67),"",[2]NLFsmonkeyCompl!AA67*$M66),"")</f>
        <v/>
      </c>
      <c r="Z66" s="8" t="str">
        <f>IFERROR(IF(ISBLANK([2]NLFsmonkeyCompl!AB67),"",[2]NLFsmonkeyCompl!AB67*$M66),"")</f>
        <v/>
      </c>
      <c r="AA66" s="8" t="str">
        <f>IFERROR(IF(ISBLANK([2]NLFsmonkeyCompl!AC67),"",[2]NLFsmonkeyCompl!AC67*$M66),"")</f>
        <v/>
      </c>
      <c r="AB66" s="8" t="str">
        <f>IFERROR(IF(ISBLANK([2]NLFsmonkeyCompl!AD67),"",[2]NLFsmonkeyCompl!AD67),"")</f>
        <v/>
      </c>
      <c r="AC66" s="8" t="str">
        <f>IFERROR(IF(ISBLANK([2]NLFsmonkeyCompl!AE67),"",[2]NLFsmonkeyCompl!AE67),"")</f>
        <v/>
      </c>
      <c r="AD66" s="8">
        <f>IFERROR(IF(ISBLANK([2]NLFsmonkeyCompl!AF67),"",[2]NLFsmonkeyCompl!AF67),"")</f>
        <v>100</v>
      </c>
      <c r="AE66" s="8" t="str">
        <f>IFERROR(IF(ISBLANK([2]NLFsmonkeyCompl!AG67),"",[2]NLFsmonkeyCompl!AG67),"")</f>
        <v/>
      </c>
      <c r="AF66" s="8" t="str">
        <f>IFERROR(IF(ISBLANK([2]NLFsmonkeyCompl!AH67),"",[2]NLFsmonkeyCompl!AH67),"")</f>
        <v>Increase</v>
      </c>
      <c r="AG66" s="8" t="str">
        <f>IFERROR(IF(ISBLANK([2]NLFsmonkeyCompl!AI67),"",[2]NLFsmonkeyCompl!AI67),"")</f>
        <v>No</v>
      </c>
      <c r="AH66" t="str">
        <f>IFERROR(INDEX([2]VehiclesUniverse!$B$2:$EU$700,MATCH($C66,[2]VehiclesUniverse!$A$2:$A$700,0),MATCH($AH$1,[2]VehiclesUniverse!$B$1:$EU$1,0)),"")</f>
        <v/>
      </c>
    </row>
    <row r="67" spans="1:34" x14ac:dyDescent="0.2">
      <c r="A67" s="5" t="str">
        <f>IF(OR(ISTEXT([2]NLFsmonkeyCompl!J68),ISNUMBER([2]NLFsmonkeyCompl!J68)),[2]NLFsmonkeyCompl!J68,"")</f>
        <v>AEW UK Investment Management LLP</v>
      </c>
      <c r="B67" s="6" t="str">
        <f>IF(OR(ISTEXT([2]NLFsmonkeyCompl!K68),ISNUMBER([2]NLFsmonkeyCompl!K68)),[2]NLFsmonkeyCompl!K68,"")</f>
        <v>AEW UK Core Property Fund</v>
      </c>
      <c r="C67" s="6">
        <v>17200</v>
      </c>
      <c r="D67" s="6" t="str">
        <f>IFERROR(INDEX([2]VehiclesUniverse!$B$2:$EU$700,MATCH(C67,[2]VehiclesUniverse!$A$2:$A$700,0),MATCH($D$1,[2]VehiclesUniverse!$B$1:$EU$1,0)),"")</f>
        <v>Core</v>
      </c>
      <c r="E67" s="6" t="str">
        <f>IFERROR(INDEX([2]VehiclesUniverse!$B$2:$EU$700,MATCH(C67,[2]VehiclesUniverse!$A$2:$A$700,0),MATCH($E$1,[2]VehiclesUniverse!$B$1:$EU$1,0)),"")</f>
        <v>single country</v>
      </c>
      <c r="F67" s="6" t="str">
        <f>IF(IFERROR(INDEX([2]VehiclesUniverse!$B$2:$EU$700,MATCH($C67,[2]VehiclesUniverse!$A$2:$A$700,0),MATCH($F$1,[2]VehiclesUniverse!$B$1:$EU$1,0)),"")&lt;&gt;0,(IFERROR(INDEX([2]VehiclesUniverse!$B$2:$EU$700,MATCH($C67,[2]VehiclesUniverse!$A$2:$A$700,0),MATCH($F$1,[2]VehiclesUniverse!$B$1:$EU$1,0)),"")),"")</f>
        <v>United Kingdom</v>
      </c>
      <c r="G67" s="6" t="str">
        <f>IF(ISBLANK([2]NLFsmonkeyCompl!L68),"",[2]NLFsmonkeyCompl!L68)</f>
        <v>Open end</v>
      </c>
      <c r="H67" s="6">
        <f>IFERROR(INDEX([2]VehiclesUniverse!$B$2:$EU$700,MATCH(C67,[2]VehiclesUniverse!$A$2:$A$700,0),MATCH($H$1,[2]VehiclesUniverse!$B$1:$EU$1,0)),"")</f>
        <v>2012</v>
      </c>
      <c r="I67" s="6" t="str">
        <f>IF(ISBLANK([2]NLFsmonkeyCompl!M68),"",[2]NLFsmonkeyCompl!M68)</f>
        <v>Yes</v>
      </c>
      <c r="J67" s="6" t="str">
        <f>IF(ISBLANK([2]NLFsmonkeyCompl!N68),"",[2]NLFsmonkeyCompl!N68)</f>
        <v/>
      </c>
      <c r="K67" s="6" t="str">
        <f>IF(ISBLANK([2]NLFsmonkeyCompl!O68),"",[2]NLFsmonkeyCompl!O68)</f>
        <v/>
      </c>
      <c r="L67" s="6" t="str">
        <f>IFERROR(INDEX([2]VehiclesUniverse!$B$2:$EU$700,MATCH(C67,[2]VehiclesUniverse!$A$2:$A$700,0),MATCH($L$1,[2]VehiclesUniverse!$B$1:$EU$1,0)),"")</f>
        <v>GBP</v>
      </c>
      <c r="M67" s="16">
        <f>IFERROR(VLOOKUP(L67,'[2]Xrate31.12.20'!$K$2:$N$25,3,0),"")</f>
        <v>1.1130927885999999</v>
      </c>
      <c r="N67" s="8">
        <f>IFERROR(IF(ISBLANK([2]NLFsmonkeyCompl!P68),"",[2]NLFsmonkeyCompl!P68*$M67),"")</f>
        <v>5.5654639429999992</v>
      </c>
      <c r="O67" s="8">
        <f>IFERROR(IF(ISBLANK([2]NLFsmonkeyCompl!Q68),"",[2]NLFsmonkeyCompl!Q68*$M67),"")</f>
        <v>5.5654639429999992</v>
      </c>
      <c r="P67" s="8" t="str">
        <f>IFERROR(IF(ISBLANK([2]NLFsmonkeyCompl!R68),"",[2]NLFsmonkeyCompl!R68*$M67),"")</f>
        <v/>
      </c>
      <c r="Q67" s="8" t="str">
        <f>IFERROR(IF(ISBLANK([2]NLFsmonkeyCompl!S68),"",[2]NLFsmonkeyCompl!S68*$M67),"")</f>
        <v/>
      </c>
      <c r="R67" s="8" t="str">
        <f>IFERROR(IF(ISBLANK([2]NLFsmonkeyCompl!T68),"",[2]NLFsmonkeyCompl!T68*$M67),"")</f>
        <v/>
      </c>
      <c r="S67" s="8" t="str">
        <f>IFERROR(IF(ISBLANK([2]NLFsmonkeyCompl!U68),"",[2]NLFsmonkeyCompl!U68*$M67),"")</f>
        <v/>
      </c>
      <c r="T67" s="8" t="str">
        <f>IFERROR(IF(ISBLANK([2]NLFsmonkeyCompl!V68),"",[2]NLFsmonkeyCompl!V68*$M67),"")</f>
        <v/>
      </c>
      <c r="U67" s="8" t="str">
        <f>IFERROR(IF(ISBLANK([2]NLFsmonkeyCompl!W68),"",[2]NLFsmonkeyCompl!W68*$M67),"")</f>
        <v/>
      </c>
      <c r="V67" s="8" t="str">
        <f>IFERROR(IF(ISBLANK([2]NLFsmonkeyCompl!X68),"",[2]NLFsmonkeyCompl!X68*$M67),"")</f>
        <v/>
      </c>
      <c r="W67" s="8">
        <f>IFERROR(IF(ISBLANK([2]NLFsmonkeyCompl!Y68),"",[2]NLFsmonkeyCompl!Y68*$M67),"")</f>
        <v>5.5654639429999992</v>
      </c>
      <c r="X67" s="8" t="str">
        <f>IFERROR(IF(ISBLANK([2]NLFsmonkeyCompl!Z68),"",[2]NLFsmonkeyCompl!Z68*$M67),"")</f>
        <v/>
      </c>
      <c r="Y67" s="8" t="str">
        <f>IFERROR(IF(ISBLANK([2]NLFsmonkeyCompl!AA68),"",[2]NLFsmonkeyCompl!AA68*$M67),"")</f>
        <v/>
      </c>
      <c r="Z67" s="8" t="str">
        <f>IFERROR(IF(ISBLANK([2]NLFsmonkeyCompl!AB68),"",[2]NLFsmonkeyCompl!AB68*$M67),"")</f>
        <v/>
      </c>
      <c r="AA67" s="8" t="str">
        <f>IFERROR(IF(ISBLANK([2]NLFsmonkeyCompl!AC68),"",[2]NLFsmonkeyCompl!AC68*$M67),"")</f>
        <v/>
      </c>
      <c r="AB67" s="8" t="str">
        <f>IFERROR(IF(ISBLANK([2]NLFsmonkeyCompl!AD68),"",[2]NLFsmonkeyCompl!AD68),"")</f>
        <v/>
      </c>
      <c r="AC67" s="8" t="str">
        <f>IFERROR(IF(ISBLANK([2]NLFsmonkeyCompl!AE68),"",[2]NLFsmonkeyCompl!AE68),"")</f>
        <v/>
      </c>
      <c r="AD67" s="8">
        <f>IFERROR(IF(ISBLANK([2]NLFsmonkeyCompl!AF68),"",[2]NLFsmonkeyCompl!AF68),"")</f>
        <v>100</v>
      </c>
      <c r="AE67" s="8" t="str">
        <f>IFERROR(IF(ISBLANK([2]NLFsmonkeyCompl!AG68),"",[2]NLFsmonkeyCompl!AG68),"")</f>
        <v/>
      </c>
      <c r="AF67" s="8" t="str">
        <f>IFERROR(IF(ISBLANK([2]NLFsmonkeyCompl!AH68),"",[2]NLFsmonkeyCompl!AH68),"")</f>
        <v>Increase</v>
      </c>
      <c r="AG67" s="8" t="str">
        <f>IFERROR(IF(ISBLANK([2]NLFsmonkeyCompl!AI68),"",[2]NLFsmonkeyCompl!AI68),"")</f>
        <v>No</v>
      </c>
      <c r="AH67">
        <f>IFERROR(INDEX([2]VehiclesUniverse!$B$2:$EU$700,MATCH($C67,[2]VehiclesUniverse!$A$2:$A$700,0),MATCH($AH$1,[2]VehiclesUniverse!$B$1:$EU$1,0)),"")</f>
        <v>319138073.41934162</v>
      </c>
    </row>
    <row r="68" spans="1:34" x14ac:dyDescent="0.2">
      <c r="A68" s="5" t="str">
        <f>IF(OR(ISTEXT([2]NLFsmonkeyCompl!J69),ISNUMBER([2]NLFsmonkeyCompl!J69)),[2]NLFsmonkeyCompl!J69,"")</f>
        <v>BlackRock Investment Management (UK) Limited</v>
      </c>
      <c r="B68" s="6" t="str">
        <f>IF(OR(ISTEXT([2]NLFsmonkeyCompl!K69),ISNUMBER([2]NLFsmonkeyCompl!K69)),[2]NLFsmonkeyCompl!K69,"")</f>
        <v>BlackRock UK Property Fund</v>
      </c>
      <c r="C68" s="6">
        <v>57</v>
      </c>
      <c r="D68" s="6" t="str">
        <f>IFERROR(INDEX([2]VehiclesUniverse!$B$2:$EU$700,MATCH(C68,[2]VehiclesUniverse!$A$2:$A$700,0),MATCH($D$1,[2]VehiclesUniverse!$B$1:$EU$1,0)),"")</f>
        <v>Core</v>
      </c>
      <c r="E68" s="6" t="str">
        <f>IFERROR(INDEX([2]VehiclesUniverse!$B$2:$EU$700,MATCH(C68,[2]VehiclesUniverse!$A$2:$A$700,0),MATCH($E$1,[2]VehiclesUniverse!$B$1:$EU$1,0)),"")</f>
        <v>single country</v>
      </c>
      <c r="F68" s="6" t="str">
        <f>IF(IFERROR(INDEX([2]VehiclesUniverse!$B$2:$EU$700,MATCH($C68,[2]VehiclesUniverse!$A$2:$A$700,0),MATCH($F$1,[2]VehiclesUniverse!$B$1:$EU$1,0)),"")&lt;&gt;0,(IFERROR(INDEX([2]VehiclesUniverse!$B$2:$EU$700,MATCH($C68,[2]VehiclesUniverse!$A$2:$A$700,0),MATCH($F$1,[2]VehiclesUniverse!$B$1:$EU$1,0)),"")),"")</f>
        <v>United Kingdom</v>
      </c>
      <c r="G68" s="6" t="str">
        <f>IF(ISBLANK([2]NLFsmonkeyCompl!L69),"",[2]NLFsmonkeyCompl!L69)</f>
        <v>Open end</v>
      </c>
      <c r="H68" s="6">
        <f>IFERROR(INDEX([2]VehiclesUniverse!$B$2:$EU$700,MATCH(C68,[2]VehiclesUniverse!$A$2:$A$700,0),MATCH($H$1,[2]VehiclesUniverse!$B$1:$EU$1,0)),"")</f>
        <v>1982</v>
      </c>
      <c r="I68" s="6" t="str">
        <f>IF(ISBLANK([2]NLFsmonkeyCompl!M69),"",[2]NLFsmonkeyCompl!M69)</f>
        <v>No</v>
      </c>
      <c r="J68" s="6" t="str">
        <f>IF(ISBLANK([2]NLFsmonkeyCompl!N69),"",[2]NLFsmonkeyCompl!N69)</f>
        <v>Other (please specify)</v>
      </c>
      <c r="K68" s="6" t="str">
        <f>IF(ISBLANK([2]NLFsmonkeyCompl!O69),"",[2]NLFsmonkeyCompl!O69)</f>
        <v>The Fund is most actively traded in the secondary market.</v>
      </c>
      <c r="L68" s="6" t="str">
        <f>IFERROR(INDEX([2]VehiclesUniverse!$B$2:$EU$700,MATCH(C68,[2]VehiclesUniverse!$A$2:$A$700,0),MATCH($L$1,[2]VehiclesUniverse!$B$1:$EU$1,0)),"")</f>
        <v>GBP</v>
      </c>
      <c r="M68" s="16">
        <f>IFERROR(VLOOKUP(L68,'[2]Xrate31.12.20'!$K$2:$N$25,3,0),"")</f>
        <v>1.1130927885999999</v>
      </c>
      <c r="N68" s="8" t="str">
        <f>IFERROR(IF(ISBLANK([2]NLFsmonkeyCompl!P69),"",[2]NLFsmonkeyCompl!P69*$M68),"")</f>
        <v/>
      </c>
      <c r="O68" s="8" t="str">
        <f>IFERROR(IF(ISBLANK([2]NLFsmonkeyCompl!Q69),"",[2]NLFsmonkeyCompl!Q69*$M68),"")</f>
        <v/>
      </c>
      <c r="P68" s="8" t="str">
        <f>IFERROR(IF(ISBLANK([2]NLFsmonkeyCompl!R69),"",[2]NLFsmonkeyCompl!R69*$M68),"")</f>
        <v/>
      </c>
      <c r="Q68" s="8" t="str">
        <f>IFERROR(IF(ISBLANK([2]NLFsmonkeyCompl!S69),"",[2]NLFsmonkeyCompl!S69*$M68),"")</f>
        <v/>
      </c>
      <c r="R68" s="8" t="str">
        <f>IFERROR(IF(ISBLANK([2]NLFsmonkeyCompl!T69),"",[2]NLFsmonkeyCompl!T69*$M68),"")</f>
        <v/>
      </c>
      <c r="S68" s="8" t="str">
        <f>IFERROR(IF(ISBLANK([2]NLFsmonkeyCompl!U69),"",[2]NLFsmonkeyCompl!U69*$M68),"")</f>
        <v/>
      </c>
      <c r="T68" s="8" t="str">
        <f>IFERROR(IF(ISBLANK([2]NLFsmonkeyCompl!V69),"",[2]NLFsmonkeyCompl!V69*$M68),"")</f>
        <v/>
      </c>
      <c r="U68" s="8" t="str">
        <f>IFERROR(IF(ISBLANK([2]NLFsmonkeyCompl!W69),"",[2]NLFsmonkeyCompl!W69*$M68),"")</f>
        <v/>
      </c>
      <c r="V68" s="8" t="str">
        <f>IFERROR(IF(ISBLANK([2]NLFsmonkeyCompl!X69),"",[2]NLFsmonkeyCompl!X69*$M68),"")</f>
        <v/>
      </c>
      <c r="W68" s="8" t="str">
        <f>IFERROR(IF(ISBLANK([2]NLFsmonkeyCompl!Y69),"",[2]NLFsmonkeyCompl!Y69*$M68),"")</f>
        <v/>
      </c>
      <c r="X68" s="8" t="str">
        <f>IFERROR(IF(ISBLANK([2]NLFsmonkeyCompl!Z69),"",[2]NLFsmonkeyCompl!Z69*$M68),"")</f>
        <v/>
      </c>
      <c r="Y68" s="8" t="str">
        <f>IFERROR(IF(ISBLANK([2]NLFsmonkeyCompl!AA69),"",[2]NLFsmonkeyCompl!AA69*$M68),"")</f>
        <v/>
      </c>
      <c r="Z68" s="8" t="str">
        <f>IFERROR(IF(ISBLANK([2]NLFsmonkeyCompl!AB69),"",[2]NLFsmonkeyCompl!AB69*$M68),"")</f>
        <v/>
      </c>
      <c r="AA68" s="8" t="str">
        <f>IFERROR(IF(ISBLANK([2]NLFsmonkeyCompl!AC69),"",[2]NLFsmonkeyCompl!AC69*$M68),"")</f>
        <v/>
      </c>
      <c r="AB68" s="8" t="str">
        <f>IFERROR(IF(ISBLANK([2]NLFsmonkeyCompl!AD69),"",[2]NLFsmonkeyCompl!AD69),"")</f>
        <v/>
      </c>
      <c r="AC68" s="8" t="str">
        <f>IFERROR(IF(ISBLANK([2]NLFsmonkeyCompl!AE69),"",[2]NLFsmonkeyCompl!AE69),"")</f>
        <v/>
      </c>
      <c r="AD68" s="8" t="str">
        <f>IFERROR(IF(ISBLANK([2]NLFsmonkeyCompl!AF69),"",[2]NLFsmonkeyCompl!AF69),"")</f>
        <v/>
      </c>
      <c r="AE68" s="8" t="str">
        <f>IFERROR(IF(ISBLANK([2]NLFsmonkeyCompl!AG69),"",[2]NLFsmonkeyCompl!AG69),"")</f>
        <v/>
      </c>
      <c r="AF68" s="8" t="str">
        <f>IFERROR(IF(ISBLANK([2]NLFsmonkeyCompl!AH69),"",[2]NLFsmonkeyCompl!AH69),"")</f>
        <v>Increase</v>
      </c>
      <c r="AG68" s="8" t="str">
        <f>IFERROR(IF(ISBLANK([2]NLFsmonkeyCompl!AI69),"",[2]NLFsmonkeyCompl!AI69),"")</f>
        <v>Yes</v>
      </c>
      <c r="AH68">
        <f>IFERROR(INDEX([2]VehiclesUniverse!$B$2:$EU$700,MATCH($C68,[2]VehiclesUniverse!$A$2:$A$700,0),MATCH($AH$1,[2]VehiclesUniverse!$B$1:$EU$1,0)),"")</f>
        <v>3441089784.8282452</v>
      </c>
    </row>
    <row r="69" spans="1:34" x14ac:dyDescent="0.2">
      <c r="A69" s="5" t="str">
        <f>IF(OR(ISTEXT([2]NLFsmonkeyCompl!J70),ISNUMBER([2]NLFsmonkeyCompl!J70)),[2]NLFsmonkeyCompl!J70,"")</f>
        <v>BlackRock Investment Management (UK) Limited</v>
      </c>
      <c r="B69" s="6" t="str">
        <f>IF(OR(ISTEXT([2]NLFsmonkeyCompl!K70),ISNUMBER([2]NLFsmonkeyCompl!K70)),[2]NLFsmonkeyCompl!K70,"")</f>
        <v>BlackRock UK Property Fund</v>
      </c>
      <c r="C69" s="6">
        <v>57</v>
      </c>
      <c r="D69" s="6" t="str">
        <f>IFERROR(INDEX([2]VehiclesUniverse!$B$2:$EU$700,MATCH(C69,[2]VehiclesUniverse!$A$2:$A$700,0),MATCH($D$1,[2]VehiclesUniverse!$B$1:$EU$1,0)),"")</f>
        <v>Core</v>
      </c>
      <c r="E69" s="6" t="str">
        <f>IFERROR(INDEX([2]VehiclesUniverse!$B$2:$EU$700,MATCH(C69,[2]VehiclesUniverse!$A$2:$A$700,0),MATCH($E$1,[2]VehiclesUniverse!$B$1:$EU$1,0)),"")</f>
        <v>single country</v>
      </c>
      <c r="F69" s="6" t="str">
        <f>IF(IFERROR(INDEX([2]VehiclesUniverse!$B$2:$EU$700,MATCH($C69,[2]VehiclesUniverse!$A$2:$A$700,0),MATCH($F$1,[2]VehiclesUniverse!$B$1:$EU$1,0)),"")&lt;&gt;0,(IFERROR(INDEX([2]VehiclesUniverse!$B$2:$EU$700,MATCH($C69,[2]VehiclesUniverse!$A$2:$A$700,0),MATCH($F$1,[2]VehiclesUniverse!$B$1:$EU$1,0)),"")),"")</f>
        <v>United Kingdom</v>
      </c>
      <c r="G69" s="6" t="str">
        <f>IF(ISBLANK([2]NLFsmonkeyCompl!L70),"",[2]NLFsmonkeyCompl!L70)</f>
        <v>Open end</v>
      </c>
      <c r="H69" s="6">
        <f>IFERROR(INDEX([2]VehiclesUniverse!$B$2:$EU$700,MATCH(C69,[2]VehiclesUniverse!$A$2:$A$700,0),MATCH($H$1,[2]VehiclesUniverse!$B$1:$EU$1,0)),"")</f>
        <v>1982</v>
      </c>
      <c r="I69" s="6" t="str">
        <f>IF(ISBLANK([2]NLFsmonkeyCompl!M70),"",[2]NLFsmonkeyCompl!M70)</f>
        <v>No</v>
      </c>
      <c r="J69" s="6" t="str">
        <f>IF(ISBLANK([2]NLFsmonkeyCompl!N70),"",[2]NLFsmonkeyCompl!N70)</f>
        <v>Other (please specify)</v>
      </c>
      <c r="K69" s="6" t="str">
        <f>IF(ISBLANK([2]NLFsmonkeyCompl!O70),"",[2]NLFsmonkeyCompl!O70)</f>
        <v>The Fund is most actively traded in the secondary market.</v>
      </c>
      <c r="L69" s="6" t="str">
        <f>IFERROR(INDEX([2]VehiclesUniverse!$B$2:$EU$700,MATCH(C69,[2]VehiclesUniverse!$A$2:$A$700,0),MATCH($L$1,[2]VehiclesUniverse!$B$1:$EU$1,0)),"")</f>
        <v>GBP</v>
      </c>
      <c r="M69" s="16">
        <f>IFERROR(VLOOKUP(L69,'[2]Xrate31.12.20'!$K$2:$N$25,3,0),"")</f>
        <v>1.1130927885999999</v>
      </c>
      <c r="N69" s="8" t="str">
        <f>IFERROR(IF(ISBLANK([2]NLFsmonkeyCompl!P70),"",[2]NLFsmonkeyCompl!P70*$M69),"")</f>
        <v/>
      </c>
      <c r="O69" s="8" t="str">
        <f>IFERROR(IF(ISBLANK([2]NLFsmonkeyCompl!Q70),"",[2]NLFsmonkeyCompl!Q70*$M69),"")</f>
        <v/>
      </c>
      <c r="P69" s="8" t="str">
        <f>IFERROR(IF(ISBLANK([2]NLFsmonkeyCompl!R70),"",[2]NLFsmonkeyCompl!R70*$M69),"")</f>
        <v/>
      </c>
      <c r="Q69" s="8" t="str">
        <f>IFERROR(IF(ISBLANK([2]NLFsmonkeyCompl!S70),"",[2]NLFsmonkeyCompl!S70*$M69),"")</f>
        <v/>
      </c>
      <c r="R69" s="8" t="str">
        <f>IFERROR(IF(ISBLANK([2]NLFsmonkeyCompl!T70),"",[2]NLFsmonkeyCompl!T70*$M69),"")</f>
        <v/>
      </c>
      <c r="S69" s="8" t="str">
        <f>IFERROR(IF(ISBLANK([2]NLFsmonkeyCompl!U70),"",[2]NLFsmonkeyCompl!U70*$M69),"")</f>
        <v/>
      </c>
      <c r="T69" s="8" t="str">
        <f>IFERROR(IF(ISBLANK([2]NLFsmonkeyCompl!V70),"",[2]NLFsmonkeyCompl!V70*$M69),"")</f>
        <v/>
      </c>
      <c r="U69" s="8" t="str">
        <f>IFERROR(IF(ISBLANK([2]NLFsmonkeyCompl!W70),"",[2]NLFsmonkeyCompl!W70*$M69),"")</f>
        <v/>
      </c>
      <c r="V69" s="8" t="str">
        <f>IFERROR(IF(ISBLANK([2]NLFsmonkeyCompl!X70),"",[2]NLFsmonkeyCompl!X70*$M69),"")</f>
        <v/>
      </c>
      <c r="W69" s="8" t="str">
        <f>IFERROR(IF(ISBLANK([2]NLFsmonkeyCompl!Y70),"",[2]NLFsmonkeyCompl!Y70*$M69),"")</f>
        <v/>
      </c>
      <c r="X69" s="8" t="str">
        <f>IFERROR(IF(ISBLANK([2]NLFsmonkeyCompl!Z70),"",[2]NLFsmonkeyCompl!Z70*$M69),"")</f>
        <v/>
      </c>
      <c r="Y69" s="8" t="str">
        <f>IFERROR(IF(ISBLANK([2]NLFsmonkeyCompl!AA70),"",[2]NLFsmonkeyCompl!AA70*$M69),"")</f>
        <v/>
      </c>
      <c r="Z69" s="8" t="str">
        <f>IFERROR(IF(ISBLANK([2]NLFsmonkeyCompl!AB70),"",[2]NLFsmonkeyCompl!AB70*$M69),"")</f>
        <v/>
      </c>
      <c r="AA69" s="8" t="str">
        <f>IFERROR(IF(ISBLANK([2]NLFsmonkeyCompl!AC70),"",[2]NLFsmonkeyCompl!AC70*$M69),"")</f>
        <v/>
      </c>
      <c r="AB69" s="8" t="str">
        <f>IFERROR(IF(ISBLANK([2]NLFsmonkeyCompl!AD70),"",[2]NLFsmonkeyCompl!AD70),"")</f>
        <v/>
      </c>
      <c r="AC69" s="8" t="str">
        <f>IFERROR(IF(ISBLANK([2]NLFsmonkeyCompl!AE70),"",[2]NLFsmonkeyCompl!AE70),"")</f>
        <v/>
      </c>
      <c r="AD69" s="8" t="str">
        <f>IFERROR(IF(ISBLANK([2]NLFsmonkeyCompl!AF70),"",[2]NLFsmonkeyCompl!AF70),"")</f>
        <v/>
      </c>
      <c r="AE69" s="8" t="str">
        <f>IFERROR(IF(ISBLANK([2]NLFsmonkeyCompl!AG70),"",[2]NLFsmonkeyCompl!AG70),"")</f>
        <v/>
      </c>
      <c r="AF69" s="8" t="str">
        <f>IFERROR(IF(ISBLANK([2]NLFsmonkeyCompl!AH70),"",[2]NLFsmonkeyCompl!AH70),"")</f>
        <v>Increase</v>
      </c>
      <c r="AG69" s="8" t="str">
        <f>IFERROR(IF(ISBLANK([2]NLFsmonkeyCompl!AI70),"",[2]NLFsmonkeyCompl!AI70),"")</f>
        <v>No</v>
      </c>
      <c r="AH69">
        <f>IFERROR(INDEX([2]VehiclesUniverse!$B$2:$EU$700,MATCH($C69,[2]VehiclesUniverse!$A$2:$A$700,0),MATCH($AH$1,[2]VehiclesUniverse!$B$1:$EU$1,0)),"")</f>
        <v>3441089784.8282452</v>
      </c>
    </row>
    <row r="70" spans="1:34" x14ac:dyDescent="0.2">
      <c r="A70" s="5" t="str">
        <f>IF(OR(ISTEXT([2]NLFsmonkeyCompl!J71),ISNUMBER([2]NLFsmonkeyCompl!J71)),[2]NLFsmonkeyCompl!J71,"")</f>
        <v>BlackRock Investment Management (UK) Limited</v>
      </c>
      <c r="B70" s="18" t="str">
        <f>IF(OR(ISTEXT([2]NLFsmonkeyCompl!K71),ISNUMBER([2]NLFsmonkeyCompl!K71)),[2]NLFsmonkeyCompl!K71,"")</f>
        <v>BlackRock UK Long Lease Property Fund</v>
      </c>
      <c r="C70" s="6" t="s">
        <v>52</v>
      </c>
      <c r="D70" s="6" t="s">
        <v>45</v>
      </c>
      <c r="E70" s="6" t="s">
        <v>48</v>
      </c>
      <c r="F70" s="6" t="s">
        <v>55</v>
      </c>
      <c r="G70" s="6" t="str">
        <f>IF(ISBLANK([4]NLFsmonkeyCompl!L71),"",[4]NLFsmonkeyCompl!L71)</f>
        <v>Open end</v>
      </c>
      <c r="H70" s="6">
        <v>2013</v>
      </c>
      <c r="I70" s="6" t="str">
        <f>IF(ISBLANK([4]NLFsmonkeyCompl!M71),"",[4]NLFsmonkeyCompl!M71)</f>
        <v>No</v>
      </c>
      <c r="J70" s="6" t="str">
        <f>IF(ISBLANK([4]NLFsmonkeyCompl!N71),"",[4]NLFsmonkeyCompl!N71)</f>
        <v>Other (please specify)</v>
      </c>
      <c r="K70" s="6" t="str">
        <f>IF(ISBLANK([4]NLFsmonkeyCompl!O71),"",[4]NLFsmonkeyCompl!O71)</f>
        <v>The Fund was not actively fundraising in 2020. Trades took place on the secondary market.</v>
      </c>
      <c r="L70" s="6" t="s">
        <v>56</v>
      </c>
      <c r="M70" s="16">
        <f>IFERROR(VLOOKUP(L70,'[2]Xrate31.12.20'!$K$2:$N$25,3,0),"")</f>
        <v>1.1130927885999999</v>
      </c>
      <c r="N70" s="8" t="str">
        <f>IFERROR(IF(ISBLANK([2]NLFsmonkeyCompl!P71),"",[2]NLFsmonkeyCompl!P71*$M70),"")</f>
        <v/>
      </c>
      <c r="O70" s="8" t="str">
        <f>IFERROR(IF(ISBLANK([2]NLFsmonkeyCompl!Q71),"",[2]NLFsmonkeyCompl!Q71*$M70),"")</f>
        <v/>
      </c>
      <c r="P70" s="8" t="str">
        <f>IFERROR(IF(ISBLANK([2]NLFsmonkeyCompl!R71),"",[2]NLFsmonkeyCompl!R71*$M70),"")</f>
        <v/>
      </c>
      <c r="Q70" s="8" t="str">
        <f>IFERROR(IF(ISBLANK([2]NLFsmonkeyCompl!S71),"",[2]NLFsmonkeyCompl!S71*$M70),"")</f>
        <v/>
      </c>
      <c r="R70" s="8" t="str">
        <f>IFERROR(IF(ISBLANK([2]NLFsmonkeyCompl!T71),"",[2]NLFsmonkeyCompl!T71*$M70),"")</f>
        <v/>
      </c>
      <c r="S70" s="8" t="str">
        <f>IFERROR(IF(ISBLANK([2]NLFsmonkeyCompl!U71),"",[2]NLFsmonkeyCompl!U71*$M70),"")</f>
        <v/>
      </c>
      <c r="T70" s="8" t="str">
        <f>IFERROR(IF(ISBLANK([2]NLFsmonkeyCompl!V71),"",[2]NLFsmonkeyCompl!V71*$M70),"")</f>
        <v/>
      </c>
      <c r="U70" s="8" t="str">
        <f>IFERROR(IF(ISBLANK([2]NLFsmonkeyCompl!W71),"",[2]NLFsmonkeyCompl!W71*$M70),"")</f>
        <v/>
      </c>
      <c r="V70" s="8" t="str">
        <f>IFERROR(IF(ISBLANK([2]NLFsmonkeyCompl!X71),"",[2]NLFsmonkeyCompl!X71*$M70),"")</f>
        <v/>
      </c>
      <c r="W70" s="8" t="str">
        <f>IFERROR(IF(ISBLANK([2]NLFsmonkeyCompl!Y71),"",[2]NLFsmonkeyCompl!Y71*$M70),"")</f>
        <v/>
      </c>
      <c r="X70" s="8" t="str">
        <f>IFERROR(IF(ISBLANK([2]NLFsmonkeyCompl!Z71),"",[2]NLFsmonkeyCompl!Z71*$M70),"")</f>
        <v/>
      </c>
      <c r="Y70" s="8" t="str">
        <f>IFERROR(IF(ISBLANK([2]NLFsmonkeyCompl!AA71),"",[2]NLFsmonkeyCompl!AA71*$M70),"")</f>
        <v/>
      </c>
      <c r="Z70" s="8" t="str">
        <f>IFERROR(IF(ISBLANK([2]NLFsmonkeyCompl!AB71),"",[2]NLFsmonkeyCompl!AB71*$M70),"")</f>
        <v/>
      </c>
      <c r="AA70" s="8" t="str">
        <f>IFERROR(IF(ISBLANK([2]NLFsmonkeyCompl!AC71),"",[2]NLFsmonkeyCompl!AC71*$M70),"")</f>
        <v/>
      </c>
      <c r="AB70" s="8" t="str">
        <f>IFERROR(IF(ISBLANK([2]NLFsmonkeyCompl!AD71),"",[2]NLFsmonkeyCompl!AD71),"")</f>
        <v/>
      </c>
      <c r="AC70" s="8" t="str">
        <f>IFERROR(IF(ISBLANK([2]NLFsmonkeyCompl!AE71),"",[2]NLFsmonkeyCompl!AE71),"")</f>
        <v/>
      </c>
      <c r="AD70" s="8" t="str">
        <f>IFERROR(IF(ISBLANK([2]NLFsmonkeyCompl!AF71),"",[2]NLFsmonkeyCompl!AF71),"")</f>
        <v/>
      </c>
      <c r="AE70" s="8" t="str">
        <f>IFERROR(IF(ISBLANK([2]NLFsmonkeyCompl!AG71),"",[2]NLFsmonkeyCompl!AG71),"")</f>
        <v/>
      </c>
      <c r="AF70" s="8" t="str">
        <f>IFERROR(IF(ISBLANK([2]NLFsmonkeyCompl!AH71),"",[2]NLFsmonkeyCompl!AH71),"")</f>
        <v>Increase</v>
      </c>
      <c r="AG70" s="8" t="str">
        <f>IFERROR(IF(ISBLANK([2]NLFsmonkeyCompl!AI71),"",[2]NLFsmonkeyCompl!AI71),"")</f>
        <v>Yes</v>
      </c>
      <c r="AH70" t="str">
        <f>IFERROR(INDEX([2]VehiclesUniverse!$B$2:$EU$700,MATCH($C70,[2]VehiclesUniverse!$A$2:$A$700,0),MATCH($AH$1,[2]VehiclesUniverse!$B$1:$EU$1,0)),"")</f>
        <v/>
      </c>
    </row>
    <row r="71" spans="1:34" x14ac:dyDescent="0.2">
      <c r="A71" s="5" t="str">
        <f>IF(OR(ISTEXT([2]NLFsmonkeyCompl!J72),ISNUMBER([2]NLFsmonkeyCompl!J72)),[2]NLFsmonkeyCompl!J72,"")</f>
        <v>Hahn Group</v>
      </c>
      <c r="B71" s="6" t="str">
        <f>IF(OR(ISTEXT([2]NLFsmonkeyCompl!K72),ISNUMBER([2]NLFsmonkeyCompl!K72)),[2]NLFsmonkeyCompl!K72,"")</f>
        <v>HAHN German Mixed-Used Fund II</v>
      </c>
      <c r="C71" s="6" t="s">
        <v>52</v>
      </c>
      <c r="D71" s="6" t="str">
        <f>IFERROR(INDEX([2]VehiclesUniverse!$B$2:$EU$700,MATCH(C71,[2]VehiclesUniverse!$A$2:$A$700,0),MATCH($D$1,[2]VehiclesUniverse!$B$1:$EU$1,0)),"")</f>
        <v/>
      </c>
      <c r="E71" s="6" t="str">
        <f>IFERROR(INDEX([2]VehiclesUniverse!$B$2:$EU$700,MATCH(C71,[2]VehiclesUniverse!$A$2:$A$700,0),MATCH($E$1,[2]VehiclesUniverse!$B$1:$EU$1,0)),"")</f>
        <v/>
      </c>
      <c r="F71" s="6" t="str">
        <f>IF(IFERROR(INDEX([2]VehiclesUniverse!$B$2:$EU$700,MATCH($C71,[2]VehiclesUniverse!$A$2:$A$700,0),MATCH($F$1,[2]VehiclesUniverse!$B$1:$EU$1,0)),"")&lt;&gt;0,(IFERROR(INDEX([2]VehiclesUniverse!$B$2:$EU$700,MATCH($C71,[2]VehiclesUniverse!$A$2:$A$700,0),MATCH($F$1,[2]VehiclesUniverse!$B$1:$EU$1,0)),"")),"")</f>
        <v/>
      </c>
      <c r="G71" s="6"/>
      <c r="H71" s="6" t="str">
        <f>IFERROR(INDEX([2]VehiclesUniverse!$B$2:$EU$700,MATCH(C71,[2]VehiclesUniverse!$A$2:$A$700,0),MATCH($H$1,[2]VehiclesUniverse!$B$1:$EU$1,0)),"")</f>
        <v/>
      </c>
      <c r="I71" s="6" t="str">
        <f>IF(ISBLANK([2]NLFsmonkeyCompl!M72),"",[2]NLFsmonkeyCompl!M72)</f>
        <v>Yes</v>
      </c>
      <c r="J71" s="6" t="str">
        <f>IF(ISBLANK([2]NLFsmonkeyCompl!N72),"",[2]NLFsmonkeyCompl!N72)</f>
        <v/>
      </c>
      <c r="K71" s="6" t="str">
        <f>IF(ISBLANK([2]NLFsmonkeyCompl!O72),"",[2]NLFsmonkeyCompl!O72)</f>
        <v/>
      </c>
      <c r="L71" s="6" t="str">
        <f>IFERROR(INDEX([2]VehiclesUniverse!$B$2:$EU$700,MATCH(C71,[2]VehiclesUniverse!$A$2:$A$700,0),MATCH($L$1,[2]VehiclesUniverse!$B$1:$EU$1,0)),"")</f>
        <v/>
      </c>
      <c r="M71" s="16" t="str">
        <f>IFERROR(VLOOKUP(L71,'[2]Xrate31.12.20'!$K$2:$N$25,3,0),"")</f>
        <v/>
      </c>
      <c r="N71" s="8" t="str">
        <f>IFERROR(IF(ISBLANK([2]NLFsmonkeyCompl!P72),"",[2]NLFsmonkeyCompl!P72*$M71),"")</f>
        <v/>
      </c>
      <c r="O71" s="8" t="str">
        <f>IFERROR(IF(ISBLANK([2]NLFsmonkeyCompl!Q72),"",[2]NLFsmonkeyCompl!Q72*$M71),"")</f>
        <v/>
      </c>
      <c r="P71" s="8" t="str">
        <f>IFERROR(IF(ISBLANK([2]NLFsmonkeyCompl!R72),"",[2]NLFsmonkeyCompl!R72*$M71),"")</f>
        <v/>
      </c>
      <c r="Q71" s="8" t="str">
        <f>IFERROR(IF(ISBLANK([2]NLFsmonkeyCompl!S72),"",[2]NLFsmonkeyCompl!S72*$M71),"")</f>
        <v/>
      </c>
      <c r="R71" s="8" t="str">
        <f>IFERROR(IF(ISBLANK([2]NLFsmonkeyCompl!T72),"",[2]NLFsmonkeyCompl!T72*$M71),"")</f>
        <v/>
      </c>
      <c r="S71" s="8" t="str">
        <f>IFERROR(IF(ISBLANK([2]NLFsmonkeyCompl!U72),"",[2]NLFsmonkeyCompl!U72*$M71),"")</f>
        <v/>
      </c>
      <c r="T71" s="8" t="str">
        <f>IFERROR(IF(ISBLANK([2]NLFsmonkeyCompl!V72),"",[2]NLFsmonkeyCompl!V72*$M71),"")</f>
        <v/>
      </c>
      <c r="U71" s="8" t="str">
        <f>IFERROR(IF(ISBLANK([2]NLFsmonkeyCompl!W72),"",[2]NLFsmonkeyCompl!W72*$M71),"")</f>
        <v/>
      </c>
      <c r="V71" s="8" t="str">
        <f>IFERROR(IF(ISBLANK([2]NLFsmonkeyCompl!X72),"",[2]NLFsmonkeyCompl!X72*$M71),"")</f>
        <v/>
      </c>
      <c r="W71" s="8" t="str">
        <f>IFERROR(IF(ISBLANK([2]NLFsmonkeyCompl!Y72),"",[2]NLFsmonkeyCompl!Y72*$M71),"")</f>
        <v/>
      </c>
      <c r="X71" s="8" t="str">
        <f>IFERROR(IF(ISBLANK([2]NLFsmonkeyCompl!Z72),"",[2]NLFsmonkeyCompl!Z72*$M71),"")</f>
        <v/>
      </c>
      <c r="Y71" s="8" t="str">
        <f>IFERROR(IF(ISBLANK([2]NLFsmonkeyCompl!AA72),"",[2]NLFsmonkeyCompl!AA72*$M71),"")</f>
        <v/>
      </c>
      <c r="Z71" s="8" t="str">
        <f>IFERROR(IF(ISBLANK([2]NLFsmonkeyCompl!AB72),"",[2]NLFsmonkeyCompl!AB72*$M71),"")</f>
        <v/>
      </c>
      <c r="AA71" s="8" t="str">
        <f>IFERROR(IF(ISBLANK([2]NLFsmonkeyCompl!AC72),"",[2]NLFsmonkeyCompl!AC72*$M71),"")</f>
        <v/>
      </c>
      <c r="AB71" s="8" t="str">
        <f>IFERROR(IF(ISBLANK([2]NLFsmonkeyCompl!AD72),"",[2]NLFsmonkeyCompl!AD72),"")</f>
        <v/>
      </c>
      <c r="AC71" s="8" t="str">
        <f>IFERROR(IF(ISBLANK([2]NLFsmonkeyCompl!AE72),"",[2]NLFsmonkeyCompl!AE72),"")</f>
        <v/>
      </c>
      <c r="AD71" s="8">
        <f>IFERROR(IF(ISBLANK([2]NLFsmonkeyCompl!AF72),"",[2]NLFsmonkeyCompl!AF72),"")</f>
        <v>100</v>
      </c>
      <c r="AE71" s="8" t="str">
        <f>IFERROR(IF(ISBLANK([2]NLFsmonkeyCompl!AG72),"",[2]NLFsmonkeyCompl!AG72),"")</f>
        <v/>
      </c>
      <c r="AF71" s="8" t="str">
        <f>IFERROR(IF(ISBLANK([2]NLFsmonkeyCompl!AH72),"",[2]NLFsmonkeyCompl!AH72),"")</f>
        <v>No change</v>
      </c>
      <c r="AG71" s="8" t="str">
        <f>IFERROR(IF(ISBLANK([2]NLFsmonkeyCompl!AI72),"",[2]NLFsmonkeyCompl!AI72),"")</f>
        <v>Yes</v>
      </c>
      <c r="AH71" t="str">
        <f>IFERROR(INDEX([2]VehiclesUniverse!$B$2:$EU$700,MATCH($C71,[2]VehiclesUniverse!$A$2:$A$700,0),MATCH($AH$1,[2]VehiclesUniverse!$B$1:$EU$1,0)),"")</f>
        <v/>
      </c>
    </row>
    <row r="72" spans="1:34" x14ac:dyDescent="0.2">
      <c r="A72" s="5" t="str">
        <f>IF(OR(ISTEXT([2]NLFsmonkeyCompl!J73),ISNUMBER([2]NLFsmonkeyCompl!J73)),[2]NLFsmonkeyCompl!J73,"")</f>
        <v>Hahn Group</v>
      </c>
      <c r="B72" s="18" t="str">
        <f>IF(OR(ISTEXT([2]NLFsmonkeyCompl!K73),ISNUMBER([2]NLFsmonkeyCompl!K73)),[2]NLFsmonkeyCompl!K73,"")</f>
        <v>Hahn German Retail Fund IV</v>
      </c>
      <c r="C72" s="6" t="s">
        <v>52</v>
      </c>
      <c r="D72" s="6" t="s">
        <v>45</v>
      </c>
      <c r="E72" s="6" t="s">
        <v>48</v>
      </c>
      <c r="F72" s="6" t="s">
        <v>57</v>
      </c>
      <c r="G72" s="6" t="str">
        <f>IF(ISBLANK([4]NLFsmonkeyCompl!L73),"",[4]NLFsmonkeyCompl!L73)</f>
        <v>Open end</v>
      </c>
      <c r="H72" s="6">
        <v>2020</v>
      </c>
      <c r="I72" s="6" t="str">
        <f>IF(ISBLANK([4]NLFsmonkeyCompl!M73),"",[4]NLFsmonkeyCompl!M73)</f>
        <v>Yes</v>
      </c>
      <c r="J72" s="6" t="str">
        <f>IF(ISBLANK([4]NLFsmonkeyCompl!N73),"",[4]NLFsmonkeyCompl!N73)</f>
        <v/>
      </c>
      <c r="K72" s="6" t="str">
        <f>IF(ISBLANK([4]NLFsmonkeyCompl!O73),"",[4]NLFsmonkeyCompl!O73)</f>
        <v/>
      </c>
      <c r="L72" s="6" t="s">
        <v>11</v>
      </c>
      <c r="M72" s="16">
        <f>IFERROR(VLOOKUP(L72,'[2]Xrate31.12.20'!$K$2:$N$25,3,0),"")</f>
        <v>1</v>
      </c>
      <c r="N72" s="8">
        <f>IFERROR(IF(ISBLANK([2]NLFsmonkeyCompl!P73),"",[2]NLFsmonkeyCompl!P73*$M72),"")</f>
        <v>100</v>
      </c>
      <c r="O72" s="8">
        <f>IFERROR(IF(ISBLANK([2]NLFsmonkeyCompl!Q73),"",[2]NLFsmonkeyCompl!Q73*$M72),"")</f>
        <v>100</v>
      </c>
      <c r="P72" s="8" t="str">
        <f>IFERROR(IF(ISBLANK([2]NLFsmonkeyCompl!R73),"",[2]NLFsmonkeyCompl!R73*$M72),"")</f>
        <v/>
      </c>
      <c r="Q72" s="8" t="str">
        <f>IFERROR(IF(ISBLANK([2]NLFsmonkeyCompl!S73),"",[2]NLFsmonkeyCompl!S73*$M72),"")</f>
        <v/>
      </c>
      <c r="R72" s="8" t="str">
        <f>IFERROR(IF(ISBLANK([2]NLFsmonkeyCompl!T73),"",[2]NLFsmonkeyCompl!T73*$M72),"")</f>
        <v/>
      </c>
      <c r="S72" s="8" t="str">
        <f>IFERROR(IF(ISBLANK([2]NLFsmonkeyCompl!U73),"",[2]NLFsmonkeyCompl!U73*$M72),"")</f>
        <v/>
      </c>
      <c r="T72" s="8" t="str">
        <f>IFERROR(IF(ISBLANK([2]NLFsmonkeyCompl!V73),"",[2]NLFsmonkeyCompl!V73*$M72),"")</f>
        <v/>
      </c>
      <c r="U72" s="8" t="str">
        <f>IFERROR(IF(ISBLANK([2]NLFsmonkeyCompl!W73),"",[2]NLFsmonkeyCompl!W73*$M72),"")</f>
        <v/>
      </c>
      <c r="V72" s="8" t="str">
        <f>IFERROR(IF(ISBLANK([2]NLFsmonkeyCompl!X73),"",[2]NLFsmonkeyCompl!X73*$M72),"")</f>
        <v/>
      </c>
      <c r="W72" s="8">
        <f>IFERROR(IF(ISBLANK([2]NLFsmonkeyCompl!Y73),"",[2]NLFsmonkeyCompl!Y73*$M72),"")</f>
        <v>100</v>
      </c>
      <c r="X72" s="8" t="str">
        <f>IFERROR(IF(ISBLANK([2]NLFsmonkeyCompl!Z73),"",[2]NLFsmonkeyCompl!Z73*$M72),"")</f>
        <v/>
      </c>
      <c r="Y72" s="8" t="str">
        <f>IFERROR(IF(ISBLANK([2]NLFsmonkeyCompl!AA73),"",[2]NLFsmonkeyCompl!AA73*$M72),"")</f>
        <v/>
      </c>
      <c r="Z72" s="8" t="str">
        <f>IFERROR(IF(ISBLANK([2]NLFsmonkeyCompl!AB73),"",[2]NLFsmonkeyCompl!AB73*$M72),"")</f>
        <v/>
      </c>
      <c r="AA72" s="8" t="str">
        <f>IFERROR(IF(ISBLANK([2]NLFsmonkeyCompl!AC73),"",[2]NLFsmonkeyCompl!AC73*$M72),"")</f>
        <v/>
      </c>
      <c r="AB72" s="8" t="str">
        <f>IFERROR(IF(ISBLANK([2]NLFsmonkeyCompl!AD73),"",[2]NLFsmonkeyCompl!AD73),"")</f>
        <v/>
      </c>
      <c r="AC72" s="8" t="str">
        <f>IFERROR(IF(ISBLANK([2]NLFsmonkeyCompl!AE73),"",[2]NLFsmonkeyCompl!AE73),"")</f>
        <v/>
      </c>
      <c r="AD72" s="8">
        <f>IFERROR(IF(ISBLANK([2]NLFsmonkeyCompl!AF73),"",[2]NLFsmonkeyCompl!AF73),"")</f>
        <v>100</v>
      </c>
      <c r="AE72" s="8" t="str">
        <f>IFERROR(IF(ISBLANK([2]NLFsmonkeyCompl!AG73),"",[2]NLFsmonkeyCompl!AG73),"")</f>
        <v/>
      </c>
      <c r="AF72" s="8" t="str">
        <f>IFERROR(IF(ISBLANK([2]NLFsmonkeyCompl!AH73),"",[2]NLFsmonkeyCompl!AH73),"")</f>
        <v>No change</v>
      </c>
      <c r="AG72" s="8" t="str">
        <f>IFERROR(IF(ISBLANK([2]NLFsmonkeyCompl!AI73),"",[2]NLFsmonkeyCompl!AI73),"")</f>
        <v>Yes</v>
      </c>
      <c r="AH72" t="str">
        <f>IFERROR(INDEX([2]VehiclesUniverse!$B$2:$EU$700,MATCH($C72,[2]VehiclesUniverse!$A$2:$A$700,0),MATCH($AH$1,[2]VehiclesUniverse!$B$1:$EU$1,0)),"")</f>
        <v/>
      </c>
    </row>
    <row r="73" spans="1:34" x14ac:dyDescent="0.2">
      <c r="A73" s="5" t="str">
        <f>IF(OR(ISTEXT([2]NLFsmonkeyCompl!J74),ISNUMBER([2]NLFsmonkeyCompl!J74)),[2]NLFsmonkeyCompl!J74,"")</f>
        <v>Hahn Group</v>
      </c>
      <c r="B73" s="6" t="str">
        <f>IF(OR(ISTEXT([2]NLFsmonkeyCompl!K74),ISNUMBER([2]NLFsmonkeyCompl!K74)),[2]NLFsmonkeyCompl!K74,"")</f>
        <v>HAHN German Retail Fund II</v>
      </c>
      <c r="C73" s="6">
        <v>18216</v>
      </c>
      <c r="D73" s="6" t="str">
        <f>IFERROR(INDEX([2]VehiclesUniverse!$B$2:$EU$700,MATCH(C73,[2]VehiclesUniverse!$A$2:$A$700,0),MATCH($D$1,[2]VehiclesUniverse!$B$1:$EU$1,0)),"")</f>
        <v>Core</v>
      </c>
      <c r="E73" s="6" t="str">
        <f>IFERROR(INDEX([2]VehiclesUniverse!$B$2:$EU$700,MATCH(C73,[2]VehiclesUniverse!$A$2:$A$700,0),MATCH($E$1,[2]VehiclesUniverse!$B$1:$EU$1,0)),"")</f>
        <v>single country</v>
      </c>
      <c r="F73" s="6" t="str">
        <f>IF(IFERROR(INDEX([2]VehiclesUniverse!$B$2:$EU$700,MATCH($C73,[2]VehiclesUniverse!$A$2:$A$700,0),MATCH($F$1,[2]VehiclesUniverse!$B$1:$EU$1,0)),"")&lt;&gt;0,(IFERROR(INDEX([2]VehiclesUniverse!$B$2:$EU$700,MATCH($C73,[2]VehiclesUniverse!$A$2:$A$700,0),MATCH($F$1,[2]VehiclesUniverse!$B$1:$EU$1,0)),"")),"")</f>
        <v>Germany</v>
      </c>
      <c r="G73" s="6" t="str">
        <f>IF(ISBLANK([2]NLFsmonkeyCompl!L74),"",[2]NLFsmonkeyCompl!L74)</f>
        <v>Open end</v>
      </c>
      <c r="H73" s="6">
        <f>IFERROR(INDEX([2]VehiclesUniverse!$B$2:$EU$700,MATCH(C73,[2]VehiclesUniverse!$A$2:$A$700,0),MATCH($H$1,[2]VehiclesUniverse!$B$1:$EU$1,0)),"")</f>
        <v>2017</v>
      </c>
      <c r="I73" s="6" t="str">
        <f>IF(ISBLANK([2]NLFsmonkeyCompl!M74),"",[2]NLFsmonkeyCompl!M74)</f>
        <v>Yes</v>
      </c>
      <c r="J73" s="6" t="str">
        <f>IF(ISBLANK([2]NLFsmonkeyCompl!N74),"",[2]NLFsmonkeyCompl!N74)</f>
        <v/>
      </c>
      <c r="K73" s="6" t="str">
        <f>IF(ISBLANK([2]NLFsmonkeyCompl!O74),"",[2]NLFsmonkeyCompl!O74)</f>
        <v/>
      </c>
      <c r="L73" s="6" t="str">
        <f>IFERROR(INDEX([2]VehiclesUniverse!$B$2:$EU$700,MATCH(C73,[2]VehiclesUniverse!$A$2:$A$700,0),MATCH($L$1,[2]VehiclesUniverse!$B$1:$EU$1,0)),"")</f>
        <v>EUR</v>
      </c>
      <c r="M73" s="16">
        <f>IFERROR(VLOOKUP(L73,'[2]Xrate31.12.20'!$K$2:$N$25,3,0),"")</f>
        <v>1</v>
      </c>
      <c r="N73" s="8">
        <f>IFERROR(IF(ISBLANK([2]NLFsmonkeyCompl!P74),"",[2]NLFsmonkeyCompl!P74*$M73),"")</f>
        <v>8</v>
      </c>
      <c r="O73" s="8">
        <f>IFERROR(IF(ISBLANK([2]NLFsmonkeyCompl!Q74),"",[2]NLFsmonkeyCompl!Q74*$M73),"")</f>
        <v>8</v>
      </c>
      <c r="P73" s="8" t="str">
        <f>IFERROR(IF(ISBLANK([2]NLFsmonkeyCompl!R74),"",[2]NLFsmonkeyCompl!R74*$M73),"")</f>
        <v/>
      </c>
      <c r="Q73" s="8" t="str">
        <f>IFERROR(IF(ISBLANK([2]NLFsmonkeyCompl!S74),"",[2]NLFsmonkeyCompl!S74*$M73),"")</f>
        <v/>
      </c>
      <c r="R73" s="8" t="str">
        <f>IFERROR(IF(ISBLANK([2]NLFsmonkeyCompl!T74),"",[2]NLFsmonkeyCompl!T74*$M73),"")</f>
        <v/>
      </c>
      <c r="S73" s="8" t="str">
        <f>IFERROR(IF(ISBLANK([2]NLFsmonkeyCompl!U74),"",[2]NLFsmonkeyCompl!U74*$M73),"")</f>
        <v/>
      </c>
      <c r="T73" s="8" t="str">
        <f>IFERROR(IF(ISBLANK([2]NLFsmonkeyCompl!V74),"",[2]NLFsmonkeyCompl!V74*$M73),"")</f>
        <v/>
      </c>
      <c r="U73" s="8" t="str">
        <f>IFERROR(IF(ISBLANK([2]NLFsmonkeyCompl!W74),"",[2]NLFsmonkeyCompl!W74*$M73),"")</f>
        <v/>
      </c>
      <c r="V73" s="8" t="str">
        <f>IFERROR(IF(ISBLANK([2]NLFsmonkeyCompl!X74),"",[2]NLFsmonkeyCompl!X74*$M73),"")</f>
        <v/>
      </c>
      <c r="W73" s="8">
        <f>IFERROR(IF(ISBLANK([2]NLFsmonkeyCompl!Y74),"",[2]NLFsmonkeyCompl!Y74*$M73),"")</f>
        <v>100</v>
      </c>
      <c r="X73" s="8" t="str">
        <f>IFERROR(IF(ISBLANK([2]NLFsmonkeyCompl!Z74),"",[2]NLFsmonkeyCompl!Z74*$M73),"")</f>
        <v/>
      </c>
      <c r="Y73" s="8" t="str">
        <f>IFERROR(IF(ISBLANK([2]NLFsmonkeyCompl!AA74),"",[2]NLFsmonkeyCompl!AA74*$M73),"")</f>
        <v/>
      </c>
      <c r="Z73" s="8" t="str">
        <f>IFERROR(IF(ISBLANK([2]NLFsmonkeyCompl!AB74),"",[2]NLFsmonkeyCompl!AB74*$M73),"")</f>
        <v/>
      </c>
      <c r="AA73" s="8" t="str">
        <f>IFERROR(IF(ISBLANK([2]NLFsmonkeyCompl!AC74),"",[2]NLFsmonkeyCompl!AC74*$M73),"")</f>
        <v/>
      </c>
      <c r="AB73" s="8" t="str">
        <f>IFERROR(IF(ISBLANK([2]NLFsmonkeyCompl!AD74),"",[2]NLFsmonkeyCompl!AD74),"")</f>
        <v/>
      </c>
      <c r="AC73" s="8">
        <f>IFERROR(IF(ISBLANK([2]NLFsmonkeyCompl!AE74),"",[2]NLFsmonkeyCompl!AE74),"")</f>
        <v>100</v>
      </c>
      <c r="AD73" s="8" t="str">
        <f>IFERROR(IF(ISBLANK([2]NLFsmonkeyCompl!AF74),"",[2]NLFsmonkeyCompl!AF74),"")</f>
        <v/>
      </c>
      <c r="AE73" s="8" t="str">
        <f>IFERROR(IF(ISBLANK([2]NLFsmonkeyCompl!AG74),"",[2]NLFsmonkeyCompl!AG74),"")</f>
        <v/>
      </c>
      <c r="AF73" s="8" t="str">
        <f>IFERROR(IF(ISBLANK([2]NLFsmonkeyCompl!AH74),"",[2]NLFsmonkeyCompl!AH74),"")</f>
        <v>No change</v>
      </c>
      <c r="AG73" s="8" t="str">
        <f>IFERROR(IF(ISBLANK([2]NLFsmonkeyCompl!AI74),"",[2]NLFsmonkeyCompl!AI74),"")</f>
        <v>Yes</v>
      </c>
      <c r="AH73">
        <f>IFERROR(INDEX([2]VehiclesUniverse!$B$2:$EU$700,MATCH($C73,[2]VehiclesUniverse!$A$2:$A$700,0),MATCH($AH$1,[2]VehiclesUniverse!$B$1:$EU$1,0)),"")</f>
        <v>263607346</v>
      </c>
    </row>
    <row r="74" spans="1:34" x14ac:dyDescent="0.2">
      <c r="A74" s="5" t="str">
        <f>IF(OR(ISTEXT([2]NLFsmonkeyCompl!J75),ISNUMBER([2]NLFsmonkeyCompl!J75)),[2]NLFsmonkeyCompl!J75,"")</f>
        <v>Hahn Group</v>
      </c>
      <c r="B74" s="6" t="str">
        <f>IF(OR(ISTEXT([2]NLFsmonkeyCompl!K75),ISNUMBER([2]NLFsmonkeyCompl!K75)),[2]NLFsmonkeyCompl!K75,"")</f>
        <v>HAHN Individual 2</v>
      </c>
      <c r="C74" s="6" t="s">
        <v>52</v>
      </c>
      <c r="D74" s="6" t="str">
        <f>IFERROR(INDEX([2]VehiclesUniverse!$B$2:$EU$700,MATCH(C74,[2]VehiclesUniverse!$A$2:$A$700,0),MATCH($D$1,[2]VehiclesUniverse!$B$1:$EU$1,0)),"")</f>
        <v/>
      </c>
      <c r="E74" s="6" t="str">
        <f>IFERROR(INDEX([2]VehiclesUniverse!$B$2:$EU$700,MATCH(C74,[2]VehiclesUniverse!$A$2:$A$700,0),MATCH($E$1,[2]VehiclesUniverse!$B$1:$EU$1,0)),"")</f>
        <v/>
      </c>
      <c r="F74" s="6" t="str">
        <f>IF(IFERROR(INDEX([2]VehiclesUniverse!$B$2:$EU$700,MATCH($C74,[2]VehiclesUniverse!$A$2:$A$700,0),MATCH($F$1,[2]VehiclesUniverse!$B$1:$EU$1,0)),"")&lt;&gt;0,(IFERROR(INDEX([2]VehiclesUniverse!$B$2:$EU$700,MATCH($C74,[2]VehiclesUniverse!$A$2:$A$700,0),MATCH($F$1,[2]VehiclesUniverse!$B$1:$EU$1,0)),"")),"")</f>
        <v/>
      </c>
      <c r="G74" s="6"/>
      <c r="H74" s="6" t="str">
        <f>IFERROR(INDEX([2]VehiclesUniverse!$B$2:$EU$700,MATCH(C74,[2]VehiclesUniverse!$A$2:$A$700,0),MATCH($H$1,[2]VehiclesUniverse!$B$1:$EU$1,0)),"")</f>
        <v/>
      </c>
      <c r="I74" s="6" t="str">
        <f>IF(ISBLANK([2]NLFsmonkeyCompl!M75),"",[2]NLFsmonkeyCompl!M75)</f>
        <v>Yes</v>
      </c>
      <c r="J74" s="6" t="str">
        <f>IF(ISBLANK([2]NLFsmonkeyCompl!N75),"",[2]NLFsmonkeyCompl!N75)</f>
        <v/>
      </c>
      <c r="K74" s="6" t="str">
        <f>IF(ISBLANK([2]NLFsmonkeyCompl!O75),"",[2]NLFsmonkeyCompl!O75)</f>
        <v/>
      </c>
      <c r="L74" s="6" t="str">
        <f>IFERROR(INDEX([2]VehiclesUniverse!$B$2:$EU$700,MATCH(C74,[2]VehiclesUniverse!$A$2:$A$700,0),MATCH($L$1,[2]VehiclesUniverse!$B$1:$EU$1,0)),"")</f>
        <v/>
      </c>
      <c r="M74" s="16" t="str">
        <f>IFERROR(VLOOKUP(L74,'[2]Xrate31.12.20'!$K$2:$N$25,3,0),"")</f>
        <v/>
      </c>
      <c r="N74" s="8" t="str">
        <f>IFERROR(IF(ISBLANK([2]NLFsmonkeyCompl!P75),"",[2]NLFsmonkeyCompl!P75*$M74),"")</f>
        <v/>
      </c>
      <c r="O74" s="8" t="str">
        <f>IFERROR(IF(ISBLANK([2]NLFsmonkeyCompl!Q75),"",[2]NLFsmonkeyCompl!Q75*$M74),"")</f>
        <v/>
      </c>
      <c r="P74" s="8" t="str">
        <f>IFERROR(IF(ISBLANK([2]NLFsmonkeyCompl!R75),"",[2]NLFsmonkeyCompl!R75*$M74),"")</f>
        <v/>
      </c>
      <c r="Q74" s="8" t="str">
        <f>IFERROR(IF(ISBLANK([2]NLFsmonkeyCompl!S75),"",[2]NLFsmonkeyCompl!S75*$M74),"")</f>
        <v/>
      </c>
      <c r="R74" s="8" t="str">
        <f>IFERROR(IF(ISBLANK([2]NLFsmonkeyCompl!T75),"",[2]NLFsmonkeyCompl!T75*$M74),"")</f>
        <v/>
      </c>
      <c r="S74" s="8" t="str">
        <f>IFERROR(IF(ISBLANK([2]NLFsmonkeyCompl!U75),"",[2]NLFsmonkeyCompl!U75*$M74),"")</f>
        <v/>
      </c>
      <c r="T74" s="8" t="str">
        <f>IFERROR(IF(ISBLANK([2]NLFsmonkeyCompl!V75),"",[2]NLFsmonkeyCompl!V75*$M74),"")</f>
        <v/>
      </c>
      <c r="U74" s="8" t="str">
        <f>IFERROR(IF(ISBLANK([2]NLFsmonkeyCompl!W75),"",[2]NLFsmonkeyCompl!W75*$M74),"")</f>
        <v/>
      </c>
      <c r="V74" s="8" t="str">
        <f>IFERROR(IF(ISBLANK([2]NLFsmonkeyCompl!X75),"",[2]NLFsmonkeyCompl!X75*$M74),"")</f>
        <v/>
      </c>
      <c r="W74" s="8" t="str">
        <f>IFERROR(IF(ISBLANK([2]NLFsmonkeyCompl!Y75),"",[2]NLFsmonkeyCompl!Y75*$M74),"")</f>
        <v/>
      </c>
      <c r="X74" s="8" t="str">
        <f>IFERROR(IF(ISBLANK([2]NLFsmonkeyCompl!Z75),"",[2]NLFsmonkeyCompl!Z75*$M74),"")</f>
        <v/>
      </c>
      <c r="Y74" s="8" t="str">
        <f>IFERROR(IF(ISBLANK([2]NLFsmonkeyCompl!AA75),"",[2]NLFsmonkeyCompl!AA75*$M74),"")</f>
        <v/>
      </c>
      <c r="Z74" s="8" t="str">
        <f>IFERROR(IF(ISBLANK([2]NLFsmonkeyCompl!AB75),"",[2]NLFsmonkeyCompl!AB75*$M74),"")</f>
        <v/>
      </c>
      <c r="AA74" s="8" t="str">
        <f>IFERROR(IF(ISBLANK([2]NLFsmonkeyCompl!AC75),"",[2]NLFsmonkeyCompl!AC75*$M74),"")</f>
        <v/>
      </c>
      <c r="AB74" s="8" t="str">
        <f>IFERROR(IF(ISBLANK([2]NLFsmonkeyCompl!AD75),"",[2]NLFsmonkeyCompl!AD75),"")</f>
        <v/>
      </c>
      <c r="AC74" s="8" t="str">
        <f>IFERROR(IF(ISBLANK([2]NLFsmonkeyCompl!AE75),"",[2]NLFsmonkeyCompl!AE75),"")</f>
        <v/>
      </c>
      <c r="AD74" s="8">
        <f>IFERROR(IF(ISBLANK([2]NLFsmonkeyCompl!AF75),"",[2]NLFsmonkeyCompl!AF75),"")</f>
        <v>100</v>
      </c>
      <c r="AE74" s="8" t="str">
        <f>IFERROR(IF(ISBLANK([2]NLFsmonkeyCompl!AG75),"",[2]NLFsmonkeyCompl!AG75),"")</f>
        <v/>
      </c>
      <c r="AF74" s="8" t="str">
        <f>IFERROR(IF(ISBLANK([2]NLFsmonkeyCompl!AH75),"",[2]NLFsmonkeyCompl!AH75),"")</f>
        <v>No change</v>
      </c>
      <c r="AG74" s="8" t="str">
        <f>IFERROR(IF(ISBLANK([2]NLFsmonkeyCompl!AI75),"",[2]NLFsmonkeyCompl!AI75),"")</f>
        <v>Yes</v>
      </c>
      <c r="AH74" t="str">
        <f>IFERROR(INDEX([2]VehiclesUniverse!$B$2:$EU$700,MATCH($C74,[2]VehiclesUniverse!$A$2:$A$700,0),MATCH($AH$1,[2]VehiclesUniverse!$B$1:$EU$1,0)),"")</f>
        <v/>
      </c>
    </row>
    <row r="75" spans="1:34" x14ac:dyDescent="0.2">
      <c r="A75" s="5" t="str">
        <f>IF(OR(ISTEXT([2]NLFsmonkeyCompl!J76),ISNUMBER([2]NLFsmonkeyCompl!J76)),[2]NLFsmonkeyCompl!J76,"")</f>
        <v>Stam Europe</v>
      </c>
      <c r="B75" s="6" t="str">
        <f>IF(OR(ISTEXT([2]NLFsmonkeyCompl!K76),ISNUMBER([2]NLFsmonkeyCompl!K76)),[2]NLFsmonkeyCompl!K76,"")</f>
        <v>Opera</v>
      </c>
      <c r="C75" s="6">
        <v>19271</v>
      </c>
      <c r="D75" s="6" t="str">
        <f>IFERROR(INDEX([2]VehiclesUniverse!$B$2:$EU$700,MATCH(C75,[2]VehiclesUniverse!$A$2:$A$700,0),MATCH($D$1,[2]VehiclesUniverse!$B$1:$EU$1,0)),"")</f>
        <v>Core</v>
      </c>
      <c r="E75" s="6" t="str">
        <f>IFERROR(INDEX([2]VehiclesUniverse!$B$2:$EU$700,MATCH(C75,[2]VehiclesUniverse!$A$2:$A$700,0),MATCH($E$1,[2]VehiclesUniverse!$B$1:$EU$1,0)),"")</f>
        <v>single country</v>
      </c>
      <c r="F75" s="6" t="str">
        <f>IF(IFERROR(INDEX([2]VehiclesUniverse!$B$2:$EU$700,MATCH($C75,[2]VehiclesUniverse!$A$2:$A$700,0),MATCH($F$1,[2]VehiclesUniverse!$B$1:$EU$1,0)),"")&lt;&gt;0,(IFERROR(INDEX([2]VehiclesUniverse!$B$2:$EU$700,MATCH($C75,[2]VehiclesUniverse!$A$2:$A$700,0),MATCH($F$1,[2]VehiclesUniverse!$B$1:$EU$1,0)),"")),"")</f>
        <v>France</v>
      </c>
      <c r="G75" s="6" t="str">
        <f>IF(ISBLANK([2]NLFsmonkeyCompl!L76),"",[2]NLFsmonkeyCompl!L76)</f>
        <v>Closed end</v>
      </c>
      <c r="H75" s="6">
        <f>IFERROR(INDEX([2]VehiclesUniverse!$B$2:$EU$700,MATCH(C75,[2]VehiclesUniverse!$A$2:$A$700,0),MATCH($H$1,[2]VehiclesUniverse!$B$1:$EU$1,0)),"")</f>
        <v>2018</v>
      </c>
      <c r="I75" s="6" t="str">
        <f>IF(ISBLANK([2]NLFsmonkeyCompl!M76),"",[2]NLFsmonkeyCompl!M76)</f>
        <v>No</v>
      </c>
      <c r="J75" s="6" t="str">
        <f>IF(ISBLANK([2]NLFsmonkeyCompl!N76),"",[2]NLFsmonkeyCompl!N76)</f>
        <v>Other (please specify)</v>
      </c>
      <c r="K75" s="6" t="str">
        <f>IF(ISBLANK([2]NLFsmonkeyCompl!O76),"",[2]NLFsmonkeyCompl!O76)</f>
        <v>Scarcity of investment opportunity</v>
      </c>
      <c r="L75" s="6" t="str">
        <f>IFERROR(INDEX([2]VehiclesUniverse!$B$2:$EU$700,MATCH(C75,[2]VehiclesUniverse!$A$2:$A$700,0),MATCH($L$1,[2]VehiclesUniverse!$B$1:$EU$1,0)),"")</f>
        <v>EUR</v>
      </c>
      <c r="M75" s="16">
        <f>IFERROR(VLOOKUP(L75,'[2]Xrate31.12.20'!$K$2:$N$25,3,0),"")</f>
        <v>1</v>
      </c>
      <c r="N75" s="8" t="str">
        <f>IFERROR(IF(ISBLANK([2]NLFsmonkeyCompl!P76),"",[2]NLFsmonkeyCompl!P76*$M75),"")</f>
        <v/>
      </c>
      <c r="O75" s="8" t="str">
        <f>IFERROR(IF(ISBLANK([2]NLFsmonkeyCompl!Q76),"",[2]NLFsmonkeyCompl!Q76*$M75),"")</f>
        <v/>
      </c>
      <c r="P75" s="8" t="str">
        <f>IFERROR(IF(ISBLANK([2]NLFsmonkeyCompl!R76),"",[2]NLFsmonkeyCompl!R76*$M75),"")</f>
        <v/>
      </c>
      <c r="Q75" s="8" t="str">
        <f>IFERROR(IF(ISBLANK([2]NLFsmonkeyCompl!S76),"",[2]NLFsmonkeyCompl!S76*$M75),"")</f>
        <v/>
      </c>
      <c r="R75" s="8" t="str">
        <f>IFERROR(IF(ISBLANK([2]NLFsmonkeyCompl!T76),"",[2]NLFsmonkeyCompl!T76*$M75),"")</f>
        <v/>
      </c>
      <c r="S75" s="8" t="str">
        <f>IFERROR(IF(ISBLANK([2]NLFsmonkeyCompl!U76),"",[2]NLFsmonkeyCompl!U76*$M75),"")</f>
        <v/>
      </c>
      <c r="T75" s="8" t="str">
        <f>IFERROR(IF(ISBLANK([2]NLFsmonkeyCompl!V76),"",[2]NLFsmonkeyCompl!V76*$M75),"")</f>
        <v/>
      </c>
      <c r="U75" s="8" t="str">
        <f>IFERROR(IF(ISBLANK([2]NLFsmonkeyCompl!W76),"",[2]NLFsmonkeyCompl!W76*$M75),"")</f>
        <v/>
      </c>
      <c r="V75" s="8" t="str">
        <f>IFERROR(IF(ISBLANK([2]NLFsmonkeyCompl!X76),"",[2]NLFsmonkeyCompl!X76*$M75),"")</f>
        <v/>
      </c>
      <c r="W75" s="8" t="str">
        <f>IFERROR(IF(ISBLANK([2]NLFsmonkeyCompl!Y76),"",[2]NLFsmonkeyCompl!Y76*$M75),"")</f>
        <v/>
      </c>
      <c r="X75" s="8" t="str">
        <f>IFERROR(IF(ISBLANK([2]NLFsmonkeyCompl!Z76),"",[2]NLFsmonkeyCompl!Z76*$M75),"")</f>
        <v/>
      </c>
      <c r="Y75" s="8" t="str">
        <f>IFERROR(IF(ISBLANK([2]NLFsmonkeyCompl!AA76),"",[2]NLFsmonkeyCompl!AA76*$M75),"")</f>
        <v/>
      </c>
      <c r="Z75" s="8" t="str">
        <f>IFERROR(IF(ISBLANK([2]NLFsmonkeyCompl!AB76),"",[2]NLFsmonkeyCompl!AB76*$M75),"")</f>
        <v/>
      </c>
      <c r="AA75" s="8" t="str">
        <f>IFERROR(IF(ISBLANK([2]NLFsmonkeyCompl!AC76),"",[2]NLFsmonkeyCompl!AC76*$M75),"")</f>
        <v/>
      </c>
      <c r="AB75" s="8" t="str">
        <f>IFERROR(IF(ISBLANK([2]NLFsmonkeyCompl!AD76),"",[2]NLFsmonkeyCompl!AD76),"")</f>
        <v/>
      </c>
      <c r="AC75" s="8" t="str">
        <f>IFERROR(IF(ISBLANK([2]NLFsmonkeyCompl!AE76),"",[2]NLFsmonkeyCompl!AE76),"")</f>
        <v/>
      </c>
      <c r="AD75" s="8" t="str">
        <f>IFERROR(IF(ISBLANK([2]NLFsmonkeyCompl!AF76),"",[2]NLFsmonkeyCompl!AF76),"")</f>
        <v/>
      </c>
      <c r="AE75" s="8" t="str">
        <f>IFERROR(IF(ISBLANK([2]NLFsmonkeyCompl!AG76),"",[2]NLFsmonkeyCompl!AG76),"")</f>
        <v/>
      </c>
      <c r="AF75" s="8" t="str">
        <f>IFERROR(IF(ISBLANK([2]NLFsmonkeyCompl!AH76),"",[2]NLFsmonkeyCompl!AH76),"")</f>
        <v>Increase</v>
      </c>
      <c r="AG75" s="8" t="str">
        <f>IFERROR(IF(ISBLANK([2]NLFsmonkeyCompl!AI76),"",[2]NLFsmonkeyCompl!AI76),"")</f>
        <v>Yes</v>
      </c>
      <c r="AH75">
        <f>IFERROR(INDEX([2]VehiclesUniverse!$B$2:$EU$700,MATCH($C75,[2]VehiclesUniverse!$A$2:$A$700,0),MATCH($AH$1,[2]VehiclesUniverse!$B$1:$EU$1,0)),"")</f>
        <v>126300000</v>
      </c>
    </row>
    <row r="76" spans="1:34" x14ac:dyDescent="0.2">
      <c r="A76" s="5" t="str">
        <f>IF(OR(ISTEXT([2]NLFsmonkeyCompl!J77),ISNUMBER([2]NLFsmonkeyCompl!J77)),[2]NLFsmonkeyCompl!J77,"")</f>
        <v>Savills Investment Management</v>
      </c>
      <c r="B76" s="6" t="str">
        <f>IF(OR(ISTEXT([2]NLFsmonkeyCompl!K77),ISNUMBER([2]NLFsmonkeyCompl!K77)),[2]NLFsmonkeyCompl!K77,"")</f>
        <v>Savills IM European Food Retail Fund</v>
      </c>
      <c r="C76" s="6" t="s">
        <v>58</v>
      </c>
      <c r="D76" s="6" t="str">
        <f>IFERROR(INDEX([2]VehiclesUniverse!$B$2:$EU$700,MATCH(C76,[2]VehiclesUniverse!$A$2:$A$700,0),MATCH($D$1,[2]VehiclesUniverse!$B$1:$EU$1,0)),"")</f>
        <v/>
      </c>
      <c r="E76" s="6" t="str">
        <f>IFERROR(INDEX([2]VehiclesUniverse!$B$2:$EU$700,MATCH(C76,[2]VehiclesUniverse!$A$2:$A$700,0),MATCH($E$1,[2]VehiclesUniverse!$B$1:$EU$1,0)),"")</f>
        <v/>
      </c>
      <c r="F76" s="6" t="str">
        <f>IF(IFERROR(INDEX([2]VehiclesUniverse!$B$2:$EU$700,MATCH($C76,[2]VehiclesUniverse!$A$2:$A$700,0),MATCH($F$1,[2]VehiclesUniverse!$B$1:$EU$1,0)),"")&lt;&gt;0,(IFERROR(INDEX([2]VehiclesUniverse!$B$2:$EU$700,MATCH($C76,[2]VehiclesUniverse!$A$2:$A$700,0),MATCH($F$1,[2]VehiclesUniverse!$B$1:$EU$1,0)),"")),"")</f>
        <v/>
      </c>
      <c r="G76" s="6"/>
      <c r="H76" s="6" t="str">
        <f>IFERROR(INDEX([2]VehiclesUniverse!$B$2:$EU$700,MATCH(C76,[2]VehiclesUniverse!$A$2:$A$700,0),MATCH($H$1,[2]VehiclesUniverse!$B$1:$EU$1,0)),"")</f>
        <v/>
      </c>
      <c r="I76" s="6" t="str">
        <f>IF(ISBLANK([2]NLFsmonkeyCompl!M77),"",[2]NLFsmonkeyCompl!M77)</f>
        <v>Yes</v>
      </c>
      <c r="J76" s="6" t="str">
        <f>IF(ISBLANK([2]NLFsmonkeyCompl!N77),"",[2]NLFsmonkeyCompl!N77)</f>
        <v/>
      </c>
      <c r="K76" s="6" t="str">
        <f>IF(ISBLANK([2]NLFsmonkeyCompl!O77),"",[2]NLFsmonkeyCompl!O77)</f>
        <v/>
      </c>
      <c r="L76" s="6" t="str">
        <f>IFERROR(INDEX([2]VehiclesUniverse!$B$2:$EU$700,MATCH(C76,[2]VehiclesUniverse!$A$2:$A$700,0),MATCH($L$1,[2]VehiclesUniverse!$B$1:$EU$1,0)),"")</f>
        <v/>
      </c>
      <c r="M76" s="16" t="str">
        <f>IFERROR(VLOOKUP(L76,'[2]Xrate31.12.20'!$K$2:$N$25,3,0),"")</f>
        <v/>
      </c>
      <c r="N76" s="8" t="str">
        <f>IFERROR(IF(ISBLANK([2]NLFsmonkeyCompl!P77),"",[2]NLFsmonkeyCompl!P77*$M76),"")</f>
        <v/>
      </c>
      <c r="O76" s="8" t="str">
        <f>IFERROR(IF(ISBLANK([2]NLFsmonkeyCompl!Q77),"",[2]NLFsmonkeyCompl!Q77*$M76),"")</f>
        <v/>
      </c>
      <c r="P76" s="8" t="str">
        <f>IFERROR(IF(ISBLANK([2]NLFsmonkeyCompl!R77),"",[2]NLFsmonkeyCompl!R77*$M76),"")</f>
        <v/>
      </c>
      <c r="Q76" s="8" t="str">
        <f>IFERROR(IF(ISBLANK([2]NLFsmonkeyCompl!S77),"",[2]NLFsmonkeyCompl!S77*$M76),"")</f>
        <v/>
      </c>
      <c r="R76" s="8" t="str">
        <f>IFERROR(IF(ISBLANK([2]NLFsmonkeyCompl!T77),"",[2]NLFsmonkeyCompl!T77*$M76),"")</f>
        <v/>
      </c>
      <c r="S76" s="8" t="str">
        <f>IFERROR(IF(ISBLANK([2]NLFsmonkeyCompl!U77),"",[2]NLFsmonkeyCompl!U77*$M76),"")</f>
        <v/>
      </c>
      <c r="T76" s="8" t="str">
        <f>IFERROR(IF(ISBLANK([2]NLFsmonkeyCompl!V77),"",[2]NLFsmonkeyCompl!V77*$M76),"")</f>
        <v/>
      </c>
      <c r="U76" s="8" t="str">
        <f>IFERROR(IF(ISBLANK([2]NLFsmonkeyCompl!W77),"",[2]NLFsmonkeyCompl!W77*$M76),"")</f>
        <v/>
      </c>
      <c r="V76" s="8" t="str">
        <f>IFERROR(IF(ISBLANK([2]NLFsmonkeyCompl!X77),"",[2]NLFsmonkeyCompl!X77*$M76),"")</f>
        <v/>
      </c>
      <c r="W76" s="8" t="str">
        <f>IFERROR(IF(ISBLANK([2]NLFsmonkeyCompl!Y77),"",[2]NLFsmonkeyCompl!Y77*$M76),"")</f>
        <v/>
      </c>
      <c r="X76" s="8" t="str">
        <f>IFERROR(IF(ISBLANK([2]NLFsmonkeyCompl!Z77),"",[2]NLFsmonkeyCompl!Z77*$M76),"")</f>
        <v/>
      </c>
      <c r="Y76" s="8" t="str">
        <f>IFERROR(IF(ISBLANK([2]NLFsmonkeyCompl!AA77),"",[2]NLFsmonkeyCompl!AA77*$M76),"")</f>
        <v/>
      </c>
      <c r="Z76" s="8" t="str">
        <f>IFERROR(IF(ISBLANK([2]NLFsmonkeyCompl!AB77),"",[2]NLFsmonkeyCompl!AB77*$M76),"")</f>
        <v/>
      </c>
      <c r="AA76" s="8" t="str">
        <f>IFERROR(IF(ISBLANK([2]NLFsmonkeyCompl!AC77),"",[2]NLFsmonkeyCompl!AC77*$M76),"")</f>
        <v/>
      </c>
      <c r="AB76" s="8" t="str">
        <f>IFERROR(IF(ISBLANK([2]NLFsmonkeyCompl!AD77),"",[2]NLFsmonkeyCompl!AD77),"")</f>
        <v/>
      </c>
      <c r="AC76" s="8" t="str">
        <f>IFERROR(IF(ISBLANK([2]NLFsmonkeyCompl!AE77),"",[2]NLFsmonkeyCompl!AE77),"")</f>
        <v/>
      </c>
      <c r="AD76" s="8">
        <f>IFERROR(IF(ISBLANK([2]NLFsmonkeyCompl!AF77),"",[2]NLFsmonkeyCompl!AF77),"")</f>
        <v>100</v>
      </c>
      <c r="AE76" s="8" t="str">
        <f>IFERROR(IF(ISBLANK([2]NLFsmonkeyCompl!AG77),"",[2]NLFsmonkeyCompl!AG77),"")</f>
        <v/>
      </c>
      <c r="AF76" s="8" t="str">
        <f>IFERROR(IF(ISBLANK([2]NLFsmonkeyCompl!AH77),"",[2]NLFsmonkeyCompl!AH77),"")</f>
        <v>Increase</v>
      </c>
      <c r="AG76" s="8" t="str">
        <f>IFERROR(IF(ISBLANK([2]NLFsmonkeyCompl!AI77),"",[2]NLFsmonkeyCompl!AI77),"")</f>
        <v>Yes</v>
      </c>
      <c r="AH76" t="str">
        <f>IFERROR(INDEX([2]VehiclesUniverse!$B$2:$EU$700,MATCH($C76,[2]VehiclesUniverse!$A$2:$A$700,0),MATCH($AH$1,[2]VehiclesUniverse!$B$1:$EU$1,0)),"")</f>
        <v/>
      </c>
    </row>
    <row r="77" spans="1:34" x14ac:dyDescent="0.2">
      <c r="A77" s="5" t="str">
        <f>IF(OR(ISTEXT([2]NLFsmonkeyCompl!J78),ISNUMBER([2]NLFsmonkeyCompl!J78)),[2]NLFsmonkeyCompl!J78,"")</f>
        <v>Savills Investment Management</v>
      </c>
      <c r="B77" s="6" t="str">
        <f>IF(OR(ISTEXT([2]NLFsmonkeyCompl!K78),ISNUMBER([2]NLFsmonkeyCompl!K78)),[2]NLFsmonkeyCompl!K78,"")</f>
        <v>Savills IM European Retail Fund</v>
      </c>
      <c r="C77" s="6">
        <v>628</v>
      </c>
      <c r="D77" s="6" t="str">
        <f>IFERROR(INDEX([2]VehiclesUniverse!$B$2:$EU$700,MATCH(C77,[2]VehiclesUniverse!$A$2:$A$700,0),MATCH($D$1,[2]VehiclesUniverse!$B$1:$EU$1,0)),"")</f>
        <v>Core</v>
      </c>
      <c r="E77" s="6" t="str">
        <f>IFERROR(INDEX([2]VehiclesUniverse!$B$2:$EU$700,MATCH(C77,[2]VehiclesUniverse!$A$2:$A$700,0),MATCH($E$1,[2]VehiclesUniverse!$B$1:$EU$1,0)),"")</f>
        <v>multi country</v>
      </c>
      <c r="F77" s="6" t="str">
        <f>IF(IFERROR(INDEX([2]VehiclesUniverse!$B$2:$EU$700,MATCH($C77,[2]VehiclesUniverse!$A$2:$A$700,0),MATCH($F$1,[2]VehiclesUniverse!$B$1:$EU$1,0)),"")&lt;&gt;0,(IFERROR(INDEX([2]VehiclesUniverse!$B$2:$EU$700,MATCH($C77,[2]VehiclesUniverse!$A$2:$A$700,0),MATCH($F$1,[2]VehiclesUniverse!$B$1:$EU$1,0)),"")),"")</f>
        <v/>
      </c>
      <c r="G77" s="6" t="str">
        <f>IF(ISBLANK([2]NLFsmonkeyCompl!L78),"",[2]NLFsmonkeyCompl!L78)</f>
        <v>Closed end</v>
      </c>
      <c r="H77" s="6">
        <f>IFERROR(INDEX([2]VehiclesUniverse!$B$2:$EU$700,MATCH(C77,[2]VehiclesUniverse!$A$2:$A$700,0),MATCH($H$1,[2]VehiclesUniverse!$B$1:$EU$1,0)),"")</f>
        <v>2012</v>
      </c>
      <c r="I77" s="6" t="str">
        <f>IF(ISBLANK([2]NLFsmonkeyCompl!M78),"",[2]NLFsmonkeyCompl!M78)</f>
        <v>No</v>
      </c>
      <c r="J77" s="6" t="str">
        <f>IF(ISBLANK([2]NLFsmonkeyCompl!N78),"",[2]NLFsmonkeyCompl!N78)</f>
        <v>Other (please specify)</v>
      </c>
      <c r="K77" s="6" t="str">
        <f>IF(ISBLANK([2]NLFsmonkeyCompl!O78),"",[2]NLFsmonkeyCompl!O78)</f>
        <v>The Fund is closed to new investors</v>
      </c>
      <c r="L77" s="6" t="str">
        <f>IFERROR(INDEX([2]VehiclesUniverse!$B$2:$EU$700,MATCH(C77,[2]VehiclesUniverse!$A$2:$A$700,0),MATCH($L$1,[2]VehiclesUniverse!$B$1:$EU$1,0)),"")</f>
        <v>EUR</v>
      </c>
      <c r="M77" s="16">
        <f>IFERROR(VLOOKUP(L77,'[2]Xrate31.12.20'!$K$2:$N$25,3,0),"")</f>
        <v>1</v>
      </c>
      <c r="N77" s="8" t="str">
        <f>IFERROR(IF(ISBLANK([2]NLFsmonkeyCompl!P78),"",[2]NLFsmonkeyCompl!P78*$M77),"")</f>
        <v/>
      </c>
      <c r="O77" s="8" t="str">
        <f>IFERROR(IF(ISBLANK([2]NLFsmonkeyCompl!Q78),"",[2]NLFsmonkeyCompl!Q78*$M77),"")</f>
        <v/>
      </c>
      <c r="P77" s="8" t="str">
        <f>IFERROR(IF(ISBLANK([2]NLFsmonkeyCompl!R78),"",[2]NLFsmonkeyCompl!R78*$M77),"")</f>
        <v/>
      </c>
      <c r="Q77" s="8" t="str">
        <f>IFERROR(IF(ISBLANK([2]NLFsmonkeyCompl!S78),"",[2]NLFsmonkeyCompl!S78*$M77),"")</f>
        <v/>
      </c>
      <c r="R77" s="8" t="str">
        <f>IFERROR(IF(ISBLANK([2]NLFsmonkeyCompl!T78),"",[2]NLFsmonkeyCompl!T78*$M77),"")</f>
        <v/>
      </c>
      <c r="S77" s="8" t="str">
        <f>IFERROR(IF(ISBLANK([2]NLFsmonkeyCompl!U78),"",[2]NLFsmonkeyCompl!U78*$M77),"")</f>
        <v/>
      </c>
      <c r="T77" s="8" t="str">
        <f>IFERROR(IF(ISBLANK([2]NLFsmonkeyCompl!V78),"",[2]NLFsmonkeyCompl!V78*$M77),"")</f>
        <v/>
      </c>
      <c r="U77" s="8" t="str">
        <f>IFERROR(IF(ISBLANK([2]NLFsmonkeyCompl!W78),"",[2]NLFsmonkeyCompl!W78*$M77),"")</f>
        <v/>
      </c>
      <c r="V77" s="8" t="str">
        <f>IFERROR(IF(ISBLANK([2]NLFsmonkeyCompl!X78),"",[2]NLFsmonkeyCompl!X78*$M77),"")</f>
        <v/>
      </c>
      <c r="W77" s="8" t="str">
        <f>IFERROR(IF(ISBLANK([2]NLFsmonkeyCompl!Y78),"",[2]NLFsmonkeyCompl!Y78*$M77),"")</f>
        <v/>
      </c>
      <c r="X77" s="8" t="str">
        <f>IFERROR(IF(ISBLANK([2]NLFsmonkeyCompl!Z78),"",[2]NLFsmonkeyCompl!Z78*$M77),"")</f>
        <v/>
      </c>
      <c r="Y77" s="8" t="str">
        <f>IFERROR(IF(ISBLANK([2]NLFsmonkeyCompl!AA78),"",[2]NLFsmonkeyCompl!AA78*$M77),"")</f>
        <v/>
      </c>
      <c r="Z77" s="8" t="str">
        <f>IFERROR(IF(ISBLANK([2]NLFsmonkeyCompl!AB78),"",[2]NLFsmonkeyCompl!AB78*$M77),"")</f>
        <v/>
      </c>
      <c r="AA77" s="8" t="str">
        <f>IFERROR(IF(ISBLANK([2]NLFsmonkeyCompl!AC78),"",[2]NLFsmonkeyCompl!AC78*$M77),"")</f>
        <v/>
      </c>
      <c r="AB77" s="8" t="str">
        <f>IFERROR(IF(ISBLANK([2]NLFsmonkeyCompl!AD78),"",[2]NLFsmonkeyCompl!AD78),"")</f>
        <v/>
      </c>
      <c r="AC77" s="8" t="str">
        <f>IFERROR(IF(ISBLANK([2]NLFsmonkeyCompl!AE78),"",[2]NLFsmonkeyCompl!AE78),"")</f>
        <v/>
      </c>
      <c r="AD77" s="8" t="str">
        <f>IFERROR(IF(ISBLANK([2]NLFsmonkeyCompl!AF78),"",[2]NLFsmonkeyCompl!AF78),"")</f>
        <v/>
      </c>
      <c r="AE77" s="8" t="str">
        <f>IFERROR(IF(ISBLANK([2]NLFsmonkeyCompl!AG78),"",[2]NLFsmonkeyCompl!AG78),"")</f>
        <v/>
      </c>
      <c r="AF77" s="8" t="str">
        <f>IFERROR(IF(ISBLANK([2]NLFsmonkeyCompl!AH78),"",[2]NLFsmonkeyCompl!AH78),"")</f>
        <v>Increase</v>
      </c>
      <c r="AG77" s="8" t="str">
        <f>IFERROR(IF(ISBLANK([2]NLFsmonkeyCompl!AI78),"",[2]NLFsmonkeyCompl!AI78),"")</f>
        <v>Yes</v>
      </c>
      <c r="AH77">
        <f>IFERROR(INDEX([2]VehiclesUniverse!$B$2:$EU$700,MATCH($C77,[2]VehiclesUniverse!$A$2:$A$700,0),MATCH($AH$1,[2]VehiclesUniverse!$B$1:$EU$1,0)),"")</f>
        <v>609818642.10000002</v>
      </c>
    </row>
    <row r="78" spans="1:34" x14ac:dyDescent="0.2">
      <c r="A78" s="5" t="str">
        <f>IF(OR(ISTEXT([2]NLFsmonkeyCompl!J79),ISNUMBER([2]NLFsmonkeyCompl!J79)),[2]NLFsmonkeyCompl!J79,"")</f>
        <v>Savills Investment Management</v>
      </c>
      <c r="B78" s="6" t="str">
        <f>IF(OR(ISTEXT([2]NLFsmonkeyCompl!K79),ISNUMBER([2]NLFsmonkeyCompl!K79)),[2]NLFsmonkeyCompl!K79,"")</f>
        <v>Savills IM European Logistics Fund 2</v>
      </c>
      <c r="C78" s="6">
        <v>18125</v>
      </c>
      <c r="D78" s="6" t="str">
        <f>IFERROR(INDEX([2]VehiclesUniverse!$B$2:$EU$700,MATCH(C78,[2]VehiclesUniverse!$A$2:$A$700,0),MATCH($D$1,[2]VehiclesUniverse!$B$1:$EU$1,0)),"")</f>
        <v>Core</v>
      </c>
      <c r="E78" s="6" t="str">
        <f>IFERROR(INDEX([2]VehiclesUniverse!$B$2:$EU$700,MATCH(C78,[2]VehiclesUniverse!$A$2:$A$700,0),MATCH($E$1,[2]VehiclesUniverse!$B$1:$EU$1,0)),"")</f>
        <v>multi country</v>
      </c>
      <c r="F78" s="6" t="str">
        <f>IF(IFERROR(INDEX([2]VehiclesUniverse!$B$2:$EU$700,MATCH($C78,[2]VehiclesUniverse!$A$2:$A$700,0),MATCH($F$1,[2]VehiclesUniverse!$B$1:$EU$1,0)),"")&lt;&gt;0,(IFERROR(INDEX([2]VehiclesUniverse!$B$2:$EU$700,MATCH($C78,[2]VehiclesUniverse!$A$2:$A$700,0),MATCH($F$1,[2]VehiclesUniverse!$B$1:$EU$1,0)),"")),"")</f>
        <v/>
      </c>
      <c r="G78" s="6" t="str">
        <f>IF(ISBLANK([2]NLFsmonkeyCompl!L79),"",[2]NLFsmonkeyCompl!L79)</f>
        <v>Open end</v>
      </c>
      <c r="H78" s="6">
        <f>IFERROR(INDEX([2]VehiclesUniverse!$B$2:$EU$700,MATCH(C78,[2]VehiclesUniverse!$A$2:$A$700,0),MATCH($H$1,[2]VehiclesUniverse!$B$1:$EU$1,0)),"")</f>
        <v>2015</v>
      </c>
      <c r="I78" s="6" t="str">
        <f>IF(ISBLANK([2]NLFsmonkeyCompl!M79),"",[2]NLFsmonkeyCompl!M79)</f>
        <v>No</v>
      </c>
      <c r="J78" s="6" t="str">
        <f>IF(ISBLANK([2]NLFsmonkeyCompl!N79),"",[2]NLFsmonkeyCompl!N79)</f>
        <v>Other (please specify)</v>
      </c>
      <c r="K78" s="6" t="str">
        <f>IF(ISBLANK([2]NLFsmonkeyCompl!O79),"",[2]NLFsmonkeyCompl!O79)</f>
        <v>The Fund is closed to new investors</v>
      </c>
      <c r="L78" s="6" t="str">
        <f>IFERROR(INDEX([2]VehiclesUniverse!$B$2:$EU$700,MATCH(C78,[2]VehiclesUniverse!$A$2:$A$700,0),MATCH($L$1,[2]VehiclesUniverse!$B$1:$EU$1,0)),"")</f>
        <v>EUR</v>
      </c>
      <c r="M78" s="16">
        <f>IFERROR(VLOOKUP(L78,'[2]Xrate31.12.20'!$K$2:$N$25,3,0),"")</f>
        <v>1</v>
      </c>
      <c r="N78" s="8" t="str">
        <f>IFERROR(IF(ISBLANK([2]NLFsmonkeyCompl!P79),"",[2]NLFsmonkeyCompl!P79*$M78),"")</f>
        <v/>
      </c>
      <c r="O78" s="8" t="str">
        <f>IFERROR(IF(ISBLANK([2]NLFsmonkeyCompl!Q79),"",[2]NLFsmonkeyCompl!Q79*$M78),"")</f>
        <v/>
      </c>
      <c r="P78" s="8" t="str">
        <f>IFERROR(IF(ISBLANK([2]NLFsmonkeyCompl!R79),"",[2]NLFsmonkeyCompl!R79*$M78),"")</f>
        <v/>
      </c>
      <c r="Q78" s="8" t="str">
        <f>IFERROR(IF(ISBLANK([2]NLFsmonkeyCompl!S79),"",[2]NLFsmonkeyCompl!S79*$M78),"")</f>
        <v/>
      </c>
      <c r="R78" s="8" t="str">
        <f>IFERROR(IF(ISBLANK([2]NLFsmonkeyCompl!T79),"",[2]NLFsmonkeyCompl!T79*$M78),"")</f>
        <v/>
      </c>
      <c r="S78" s="8" t="str">
        <f>IFERROR(IF(ISBLANK([2]NLFsmonkeyCompl!U79),"",[2]NLFsmonkeyCompl!U79*$M78),"")</f>
        <v/>
      </c>
      <c r="T78" s="8" t="str">
        <f>IFERROR(IF(ISBLANK([2]NLFsmonkeyCompl!V79),"",[2]NLFsmonkeyCompl!V79*$M78),"")</f>
        <v/>
      </c>
      <c r="U78" s="8" t="str">
        <f>IFERROR(IF(ISBLANK([2]NLFsmonkeyCompl!W79),"",[2]NLFsmonkeyCompl!W79*$M78),"")</f>
        <v/>
      </c>
      <c r="V78" s="8" t="str">
        <f>IFERROR(IF(ISBLANK([2]NLFsmonkeyCompl!X79),"",[2]NLFsmonkeyCompl!X79*$M78),"")</f>
        <v/>
      </c>
      <c r="W78" s="8" t="str">
        <f>IFERROR(IF(ISBLANK([2]NLFsmonkeyCompl!Y79),"",[2]NLFsmonkeyCompl!Y79*$M78),"")</f>
        <v/>
      </c>
      <c r="X78" s="8" t="str">
        <f>IFERROR(IF(ISBLANK([2]NLFsmonkeyCompl!Z79),"",[2]NLFsmonkeyCompl!Z79*$M78),"")</f>
        <v/>
      </c>
      <c r="Y78" s="8" t="str">
        <f>IFERROR(IF(ISBLANK([2]NLFsmonkeyCompl!AA79),"",[2]NLFsmonkeyCompl!AA79*$M78),"")</f>
        <v/>
      </c>
      <c r="Z78" s="8" t="str">
        <f>IFERROR(IF(ISBLANK([2]NLFsmonkeyCompl!AB79),"",[2]NLFsmonkeyCompl!AB79*$M78),"")</f>
        <v/>
      </c>
      <c r="AA78" s="8" t="str">
        <f>IFERROR(IF(ISBLANK([2]NLFsmonkeyCompl!AC79),"",[2]NLFsmonkeyCompl!AC79*$M78),"")</f>
        <v/>
      </c>
      <c r="AB78" s="8" t="str">
        <f>IFERROR(IF(ISBLANK([2]NLFsmonkeyCompl!AD79),"",[2]NLFsmonkeyCompl!AD79),"")</f>
        <v/>
      </c>
      <c r="AC78" s="8" t="str">
        <f>IFERROR(IF(ISBLANK([2]NLFsmonkeyCompl!AE79),"",[2]NLFsmonkeyCompl!AE79),"")</f>
        <v/>
      </c>
      <c r="AD78" s="8" t="str">
        <f>IFERROR(IF(ISBLANK([2]NLFsmonkeyCompl!AF79),"",[2]NLFsmonkeyCompl!AF79),"")</f>
        <v/>
      </c>
      <c r="AE78" s="8" t="str">
        <f>IFERROR(IF(ISBLANK([2]NLFsmonkeyCompl!AG79),"",[2]NLFsmonkeyCompl!AG79),"")</f>
        <v/>
      </c>
      <c r="AF78" s="8" t="str">
        <f>IFERROR(IF(ISBLANK([2]NLFsmonkeyCompl!AH79),"",[2]NLFsmonkeyCompl!AH79),"")</f>
        <v>Increase</v>
      </c>
      <c r="AG78" s="8" t="str">
        <f>IFERROR(IF(ISBLANK([2]NLFsmonkeyCompl!AI79),"",[2]NLFsmonkeyCompl!AI79),"")</f>
        <v>Yes</v>
      </c>
      <c r="AH78">
        <f>IFERROR(INDEX([2]VehiclesUniverse!$B$2:$EU$700,MATCH($C78,[2]VehiclesUniverse!$A$2:$A$700,0),MATCH($AH$1,[2]VehiclesUniverse!$B$1:$EU$1,0)),"")</f>
        <v>753905213.47000003</v>
      </c>
    </row>
    <row r="79" spans="1:34" x14ac:dyDescent="0.2">
      <c r="A79" s="5" t="str">
        <f>IF(OR(ISTEXT([2]NLFsmonkeyCompl!J80),ISNUMBER([2]NLFsmonkeyCompl!J80)),[2]NLFsmonkeyCompl!J80,"")</f>
        <v>BC Partners</v>
      </c>
      <c r="B79" s="6" t="str">
        <f>IF(OR(ISTEXT([2]NLFsmonkeyCompl!K80),ISNUMBER([2]NLFsmonkeyCompl!K80)),[2]NLFsmonkeyCompl!K80,"")</f>
        <v>BC Partners European Real Estate I</v>
      </c>
      <c r="C79" s="6">
        <v>19620</v>
      </c>
      <c r="D79" s="6" t="str">
        <f>IFERROR(INDEX([2]VehiclesUniverse!$B$2:$EU$700,MATCH(C79,[2]VehiclesUniverse!$A$2:$A$700,0),MATCH($D$1,[2]VehiclesUniverse!$B$1:$EU$1,0)),"")</f>
        <v>Value-added</v>
      </c>
      <c r="E79" s="6" t="str">
        <f>IFERROR(INDEX([2]VehiclesUniverse!$B$2:$EU$700,MATCH(C79,[2]VehiclesUniverse!$A$2:$A$700,0),MATCH($E$1,[2]VehiclesUniverse!$B$1:$EU$1,0)),"")</f>
        <v>multi country</v>
      </c>
      <c r="F79" s="6" t="str">
        <f>IF(IFERROR(INDEX([2]VehiclesUniverse!$B$2:$EU$700,MATCH($C79,[2]VehiclesUniverse!$A$2:$A$700,0),MATCH($F$1,[2]VehiclesUniverse!$B$1:$EU$1,0)),"")&lt;&gt;0,(IFERROR(INDEX([2]VehiclesUniverse!$B$2:$EU$700,MATCH($C79,[2]VehiclesUniverse!$A$2:$A$700,0),MATCH($F$1,[2]VehiclesUniverse!$B$1:$EU$1,0)),"")),"")</f>
        <v/>
      </c>
      <c r="G79" s="6" t="str">
        <f>IF(ISBLANK([2]NLFsmonkeyCompl!L80),"",[2]NLFsmonkeyCompl!L80)</f>
        <v>Closed end</v>
      </c>
      <c r="H79" s="6">
        <f>IFERROR(INDEX([2]VehiclesUniverse!$B$2:$EU$700,MATCH(C79,[2]VehiclesUniverse!$A$2:$A$700,0),MATCH($H$1,[2]VehiclesUniverse!$B$1:$EU$1,0)),"")</f>
        <v>2019</v>
      </c>
      <c r="I79" s="6" t="str">
        <f>IF(ISBLANK([2]NLFsmonkeyCompl!M80),"",[2]NLFsmonkeyCompl!M80)</f>
        <v>Yes</v>
      </c>
      <c r="J79" s="6" t="str">
        <f>IF(ISBLANK([2]NLFsmonkeyCompl!N80),"",[2]NLFsmonkeyCompl!N80)</f>
        <v/>
      </c>
      <c r="K79" s="6" t="str">
        <f>IF(ISBLANK([2]NLFsmonkeyCompl!O80),"",[2]NLFsmonkeyCompl!O80)</f>
        <v/>
      </c>
      <c r="L79" s="6" t="str">
        <f>IFERROR(INDEX([2]VehiclesUniverse!$B$2:$EU$700,MATCH(C79,[2]VehiclesUniverse!$A$2:$A$700,0),MATCH($L$1,[2]VehiclesUniverse!$B$1:$EU$1,0)),"")</f>
        <v>EUR</v>
      </c>
      <c r="M79" s="16">
        <f>IFERROR(VLOOKUP(L79,'[2]Xrate31.12.20'!$K$2:$N$25,3,0),"")</f>
        <v>1</v>
      </c>
      <c r="N79" s="8">
        <f>IFERROR(IF(ISBLANK([2]NLFsmonkeyCompl!P80),"",[2]NLFsmonkeyCompl!P80*$M79),"")</f>
        <v>129</v>
      </c>
      <c r="O79" s="8" t="str">
        <f>IFERROR(IF(ISBLANK([2]NLFsmonkeyCompl!Q80),"",[2]NLFsmonkeyCompl!Q80*$M79),"")</f>
        <v/>
      </c>
      <c r="P79" s="8">
        <f>IFERROR(IF(ISBLANK([2]NLFsmonkeyCompl!R80),"",[2]NLFsmonkeyCompl!R80*$M79),"")</f>
        <v>15</v>
      </c>
      <c r="Q79" s="8">
        <f>IFERROR(IF(ISBLANK([2]NLFsmonkeyCompl!S80),"",[2]NLFsmonkeyCompl!S80*$M79),"")</f>
        <v>110</v>
      </c>
      <c r="R79" s="8" t="str">
        <f>IFERROR(IF(ISBLANK([2]NLFsmonkeyCompl!T80),"",[2]NLFsmonkeyCompl!T80*$M79),"")</f>
        <v/>
      </c>
      <c r="S79" s="8" t="str">
        <f>IFERROR(IF(ISBLANK([2]NLFsmonkeyCompl!U80),"",[2]NLFsmonkeyCompl!U80*$M79),"")</f>
        <v/>
      </c>
      <c r="T79" s="8" t="str">
        <f>IFERROR(IF(ISBLANK([2]NLFsmonkeyCompl!V80),"",[2]NLFsmonkeyCompl!V80*$M79),"")</f>
        <v/>
      </c>
      <c r="U79" s="8">
        <f>IFERROR(IF(ISBLANK([2]NLFsmonkeyCompl!W80),"",[2]NLFsmonkeyCompl!W80*$M79),"")</f>
        <v>4</v>
      </c>
      <c r="V79" s="8" t="str">
        <f>IFERROR(IF(ISBLANK([2]NLFsmonkeyCompl!X80),"",[2]NLFsmonkeyCompl!X80*$M79),"")</f>
        <v/>
      </c>
      <c r="W79" s="8">
        <f>IFERROR(IF(ISBLANK([2]NLFsmonkeyCompl!Y80),"",[2]NLFsmonkeyCompl!Y80*$M79),"")</f>
        <v>19</v>
      </c>
      <c r="X79" s="8">
        <f>IFERROR(IF(ISBLANK([2]NLFsmonkeyCompl!Z80),"",[2]NLFsmonkeyCompl!Z80*$M79),"")</f>
        <v>110</v>
      </c>
      <c r="Y79" s="8" t="str">
        <f>IFERROR(IF(ISBLANK([2]NLFsmonkeyCompl!AA80),"",[2]NLFsmonkeyCompl!AA80*$M79),"")</f>
        <v/>
      </c>
      <c r="Z79" s="8" t="str">
        <f>IFERROR(IF(ISBLANK([2]NLFsmonkeyCompl!AB80),"",[2]NLFsmonkeyCompl!AB80*$M79),"")</f>
        <v/>
      </c>
      <c r="AA79" s="8" t="str">
        <f>IFERROR(IF(ISBLANK([2]NLFsmonkeyCompl!AC80),"",[2]NLFsmonkeyCompl!AC80*$M79),"")</f>
        <v/>
      </c>
      <c r="AB79" s="8" t="str">
        <f>IFERROR(IF(ISBLANK([2]NLFsmonkeyCompl!AD80),"",[2]NLFsmonkeyCompl!AD80),"")</f>
        <v/>
      </c>
      <c r="AC79" s="8" t="str">
        <f>IFERROR(IF(ISBLANK([2]NLFsmonkeyCompl!AE80),"",[2]NLFsmonkeyCompl!AE80),"")</f>
        <v/>
      </c>
      <c r="AD79" s="8">
        <f>IFERROR(IF(ISBLANK([2]NLFsmonkeyCompl!AF80),"",[2]NLFsmonkeyCompl!AF80),"")</f>
        <v>100</v>
      </c>
      <c r="AE79" s="8" t="str">
        <f>IFERROR(IF(ISBLANK([2]NLFsmonkeyCompl!AG80),"",[2]NLFsmonkeyCompl!AG80),"")</f>
        <v/>
      </c>
      <c r="AF79" s="8" t="str">
        <f>IFERROR(IF(ISBLANK([2]NLFsmonkeyCompl!AH80),"",[2]NLFsmonkeyCompl!AH80),"")</f>
        <v>Increase</v>
      </c>
      <c r="AG79" s="8" t="str">
        <f>IFERROR(IF(ISBLANK([2]NLFsmonkeyCompl!AI80),"",[2]NLFsmonkeyCompl!AI80),"")</f>
        <v>Yes</v>
      </c>
      <c r="AH79">
        <f>IFERROR(INDEX([2]VehiclesUniverse!$B$2:$EU$700,MATCH($C79,[2]VehiclesUniverse!$A$2:$A$700,0),MATCH($AH$1,[2]VehiclesUniverse!$B$1:$EU$1,0)),"")</f>
        <v>90186409</v>
      </c>
    </row>
    <row r="80" spans="1:34" x14ac:dyDescent="0.2">
      <c r="A80" s="5" t="str">
        <f>IF(OR(ISTEXT([2]NLFsmonkeyCompl!J81),ISNUMBER([2]NLFsmonkeyCompl!J81)),[2]NLFsmonkeyCompl!J81,"")</f>
        <v>AEW</v>
      </c>
      <c r="B80" s="6" t="str">
        <f>IF(OR(ISTEXT([2]NLFsmonkeyCompl!K81),ISNUMBER([2]NLFsmonkeyCompl!K81)),[2]NLFsmonkeyCompl!K81,"")</f>
        <v>SELF III</v>
      </c>
      <c r="C80" s="6" t="s">
        <v>59</v>
      </c>
      <c r="D80" s="6" t="str">
        <f>IFERROR(INDEX([2]VehiclesUniverse!$B$2:$EU$700,MATCH(C80,[2]VehiclesUniverse!$A$2:$A$700,0),MATCH($D$1,[2]VehiclesUniverse!$B$1:$EU$1,0)),"")</f>
        <v/>
      </c>
      <c r="E80" s="6" t="str">
        <f>IFERROR(INDEX([2]VehiclesUniverse!$B$2:$EU$700,MATCH(C80,[2]VehiclesUniverse!$A$2:$A$700,0),MATCH($E$1,[2]VehiclesUniverse!$B$1:$EU$1,0)),"")</f>
        <v/>
      </c>
      <c r="F80" s="6" t="str">
        <f>IF(IFERROR(INDEX([2]VehiclesUniverse!$B$2:$EU$700,MATCH($C80,[2]VehiclesUniverse!$A$2:$A$700,0),MATCH($F$1,[2]VehiclesUniverse!$B$1:$EU$1,0)),"")&lt;&gt;0,(IFERROR(INDEX([2]VehiclesUniverse!$B$2:$EU$700,MATCH($C80,[2]VehiclesUniverse!$A$2:$A$700,0),MATCH($F$1,[2]VehiclesUniverse!$B$1:$EU$1,0)),"")),"")</f>
        <v/>
      </c>
      <c r="G80" s="6"/>
      <c r="H80" s="6" t="str">
        <f>IFERROR(INDEX([2]VehiclesUniverse!$B$2:$EU$700,MATCH(C80,[2]VehiclesUniverse!$A$2:$A$700,0),MATCH($H$1,[2]VehiclesUniverse!$B$1:$EU$1,0)),"")</f>
        <v/>
      </c>
      <c r="I80" s="6" t="str">
        <f>IF(ISBLANK([2]NLFsmonkeyCompl!M81),"",[2]NLFsmonkeyCompl!M81)</f>
        <v>Yes</v>
      </c>
      <c r="J80" s="6" t="str">
        <f>IF(ISBLANK([2]NLFsmonkeyCompl!N81),"",[2]NLFsmonkeyCompl!N81)</f>
        <v/>
      </c>
      <c r="K80" s="6" t="str">
        <f>IF(ISBLANK([2]NLFsmonkeyCompl!O81),"",[2]NLFsmonkeyCompl!O81)</f>
        <v/>
      </c>
      <c r="L80" s="6" t="str">
        <f>IFERROR(INDEX([2]VehiclesUniverse!$B$2:$EU$700,MATCH(C80,[2]VehiclesUniverse!$A$2:$A$700,0),MATCH($L$1,[2]VehiclesUniverse!$B$1:$EU$1,0)),"")</f>
        <v/>
      </c>
      <c r="M80" s="16" t="str">
        <f>IFERROR(VLOOKUP(L80,'[2]Xrate31.12.20'!$K$2:$N$25,3,0),"")</f>
        <v/>
      </c>
      <c r="N80" s="8" t="str">
        <f>IFERROR(IF(ISBLANK([2]NLFsmonkeyCompl!P81),"",[2]NLFsmonkeyCompl!P81*$M80),"")</f>
        <v/>
      </c>
      <c r="O80" s="8" t="str">
        <f>IFERROR(IF(ISBLANK([2]NLFsmonkeyCompl!Q81),"",[2]NLFsmonkeyCompl!Q81*$M80),"")</f>
        <v/>
      </c>
      <c r="P80" s="8" t="str">
        <f>IFERROR(IF(ISBLANK([2]NLFsmonkeyCompl!R81),"",[2]NLFsmonkeyCompl!R81*$M80),"")</f>
        <v/>
      </c>
      <c r="Q80" s="8" t="str">
        <f>IFERROR(IF(ISBLANK([2]NLFsmonkeyCompl!S81),"",[2]NLFsmonkeyCompl!S81*$M80),"")</f>
        <v/>
      </c>
      <c r="R80" s="8" t="str">
        <f>IFERROR(IF(ISBLANK([2]NLFsmonkeyCompl!T81),"",[2]NLFsmonkeyCompl!T81*$M80),"")</f>
        <v/>
      </c>
      <c r="S80" s="8" t="str">
        <f>IFERROR(IF(ISBLANK([2]NLFsmonkeyCompl!U81),"",[2]NLFsmonkeyCompl!U81*$M80),"")</f>
        <v/>
      </c>
      <c r="T80" s="8" t="str">
        <f>IFERROR(IF(ISBLANK([2]NLFsmonkeyCompl!V81),"",[2]NLFsmonkeyCompl!V81*$M80),"")</f>
        <v/>
      </c>
      <c r="U80" s="8" t="str">
        <f>IFERROR(IF(ISBLANK([2]NLFsmonkeyCompl!W81),"",[2]NLFsmonkeyCompl!W81*$M80),"")</f>
        <v/>
      </c>
      <c r="V80" s="8" t="str">
        <f>IFERROR(IF(ISBLANK([2]NLFsmonkeyCompl!X81),"",[2]NLFsmonkeyCompl!X81*$M80),"")</f>
        <v/>
      </c>
      <c r="W80" s="8" t="str">
        <f>IFERROR(IF(ISBLANK([2]NLFsmonkeyCompl!Y81),"",[2]NLFsmonkeyCompl!Y81*$M80),"")</f>
        <v/>
      </c>
      <c r="X80" s="8" t="str">
        <f>IFERROR(IF(ISBLANK([2]NLFsmonkeyCompl!Z81),"",[2]NLFsmonkeyCompl!Z81*$M80),"")</f>
        <v/>
      </c>
      <c r="Y80" s="8" t="str">
        <f>IFERROR(IF(ISBLANK([2]NLFsmonkeyCompl!AA81),"",[2]NLFsmonkeyCompl!AA81*$M80),"")</f>
        <v/>
      </c>
      <c r="Z80" s="8" t="str">
        <f>IFERROR(IF(ISBLANK([2]NLFsmonkeyCompl!AB81),"",[2]NLFsmonkeyCompl!AB81*$M80),"")</f>
        <v/>
      </c>
      <c r="AA80" s="8" t="str">
        <f>IFERROR(IF(ISBLANK([2]NLFsmonkeyCompl!AC81),"",[2]NLFsmonkeyCompl!AC81*$M80),"")</f>
        <v/>
      </c>
      <c r="AB80" s="8" t="str">
        <f>IFERROR(IF(ISBLANK([2]NLFsmonkeyCompl!AD81),"",[2]NLFsmonkeyCompl!AD81),"")</f>
        <v/>
      </c>
      <c r="AC80" s="8" t="str">
        <f>IFERROR(IF(ISBLANK([2]NLFsmonkeyCompl!AE81),"",[2]NLFsmonkeyCompl!AE81),"")</f>
        <v/>
      </c>
      <c r="AD80" s="8">
        <f>IFERROR(IF(ISBLANK([2]NLFsmonkeyCompl!AF81),"",[2]NLFsmonkeyCompl!AF81),"")</f>
        <v>100</v>
      </c>
      <c r="AE80" s="8" t="str">
        <f>IFERROR(IF(ISBLANK([2]NLFsmonkeyCompl!AG81),"",[2]NLFsmonkeyCompl!AG81),"")</f>
        <v/>
      </c>
      <c r="AF80" s="8" t="str">
        <f>IFERROR(IF(ISBLANK([2]NLFsmonkeyCompl!AH81),"",[2]NLFsmonkeyCompl!AH81),"")</f>
        <v>Increase</v>
      </c>
      <c r="AG80" s="8" t="str">
        <f>IFERROR(IF(ISBLANK([2]NLFsmonkeyCompl!AI81),"",[2]NLFsmonkeyCompl!AI81),"")</f>
        <v>Yes</v>
      </c>
      <c r="AH80" t="str">
        <f>IFERROR(INDEX([2]VehiclesUniverse!$B$2:$EU$700,MATCH($C80,[2]VehiclesUniverse!$A$2:$A$700,0),MATCH($AH$1,[2]VehiclesUniverse!$B$1:$EU$1,0)),"")</f>
        <v/>
      </c>
    </row>
    <row r="81" spans="1:34" x14ac:dyDescent="0.2">
      <c r="A81" s="5" t="str">
        <f>IF(OR(ISTEXT([2]NLFsmonkeyCompl!J82),ISNUMBER([2]NLFsmonkeyCompl!J82)),[2]NLFsmonkeyCompl!J82,"")</f>
        <v>AEW</v>
      </c>
      <c r="B81" s="6" t="str">
        <f>IF(OR(ISTEXT([2]NLFsmonkeyCompl!K82),ISNUMBER([2]NLFsmonkeyCompl!K82)),[2]NLFsmonkeyCompl!K82,"")</f>
        <v>EUROCORE</v>
      </c>
      <c r="C81" s="6">
        <v>19359</v>
      </c>
      <c r="D81" s="6" t="str">
        <f>IFERROR(INDEX([2]VehiclesUniverse!$B$2:$EU$700,MATCH(C81,[2]VehiclesUniverse!$A$2:$A$700,0),MATCH($D$1,[2]VehiclesUniverse!$B$1:$EU$1,0)),"")</f>
        <v>Core</v>
      </c>
      <c r="E81" s="6" t="str">
        <f>IFERROR(INDEX([2]VehiclesUniverse!$B$2:$EU$700,MATCH(C81,[2]VehiclesUniverse!$A$2:$A$700,0),MATCH($E$1,[2]VehiclesUniverse!$B$1:$EU$1,0)),"")</f>
        <v>multi country</v>
      </c>
      <c r="F81" s="6" t="str">
        <f>IF(IFERROR(INDEX([2]VehiclesUniverse!$B$2:$EU$700,MATCH($C81,[2]VehiclesUniverse!$A$2:$A$700,0),MATCH($F$1,[2]VehiclesUniverse!$B$1:$EU$1,0)),"")&lt;&gt;0,(IFERROR(INDEX([2]VehiclesUniverse!$B$2:$EU$700,MATCH($C81,[2]VehiclesUniverse!$A$2:$A$700,0),MATCH($F$1,[2]VehiclesUniverse!$B$1:$EU$1,0)),"")),"")</f>
        <v/>
      </c>
      <c r="G81" s="6" t="str">
        <f>IF(ISBLANK([2]NLFsmonkeyCompl!L82),"",[2]NLFsmonkeyCompl!L82)</f>
        <v>Open end</v>
      </c>
      <c r="H81" s="6">
        <f>IFERROR(INDEX([2]VehiclesUniverse!$B$2:$EU$700,MATCH(C81,[2]VehiclesUniverse!$A$2:$A$700,0),MATCH($H$1,[2]VehiclesUniverse!$B$1:$EU$1,0)),"")</f>
        <v>2019</v>
      </c>
      <c r="I81" s="6" t="str">
        <f>IF(ISBLANK([2]NLFsmonkeyCompl!M82),"",[2]NLFsmonkeyCompl!M82)</f>
        <v>Yes</v>
      </c>
      <c r="J81" s="6" t="str">
        <f>IF(ISBLANK([2]NLFsmonkeyCompl!N82),"",[2]NLFsmonkeyCompl!N82)</f>
        <v/>
      </c>
      <c r="K81" s="6" t="str">
        <f>IF(ISBLANK([2]NLFsmonkeyCompl!O82),"",[2]NLFsmonkeyCompl!O82)</f>
        <v/>
      </c>
      <c r="L81" s="6" t="str">
        <f>IFERROR(INDEX([2]VehiclesUniverse!$B$2:$EU$700,MATCH(C81,[2]VehiclesUniverse!$A$2:$A$700,0),MATCH($L$1,[2]VehiclesUniverse!$B$1:$EU$1,0)),"")</f>
        <v>EUR</v>
      </c>
      <c r="M81" s="16">
        <f>IFERROR(VLOOKUP(L81,'[2]Xrate31.12.20'!$K$2:$N$25,3,0),"")</f>
        <v>1</v>
      </c>
      <c r="N81" s="8">
        <f>IFERROR(IF(ISBLANK([2]NLFsmonkeyCompl!P82),"",[2]NLFsmonkeyCompl!P82*$M81),"")</f>
        <v>410</v>
      </c>
      <c r="O81" s="8">
        <f>IFERROR(IF(ISBLANK([2]NLFsmonkeyCompl!Q82),"",[2]NLFsmonkeyCompl!Q82*$M81),"")</f>
        <v>350</v>
      </c>
      <c r="P81" s="8">
        <f>IFERROR(IF(ISBLANK([2]NLFsmonkeyCompl!R82),"",[2]NLFsmonkeyCompl!R82*$M81),"")</f>
        <v>5</v>
      </c>
      <c r="Q81" s="8" t="str">
        <f>IFERROR(IF(ISBLANK([2]NLFsmonkeyCompl!S82),"",[2]NLFsmonkeyCompl!S82*$M81),"")</f>
        <v/>
      </c>
      <c r="R81" s="8" t="str">
        <f>IFERROR(IF(ISBLANK([2]NLFsmonkeyCompl!T82),"",[2]NLFsmonkeyCompl!T82*$M81),"")</f>
        <v/>
      </c>
      <c r="S81" s="8" t="str">
        <f>IFERROR(IF(ISBLANK([2]NLFsmonkeyCompl!U82),"",[2]NLFsmonkeyCompl!U82*$M81),"")</f>
        <v/>
      </c>
      <c r="T81" s="8" t="str">
        <f>IFERROR(IF(ISBLANK([2]NLFsmonkeyCompl!V82),"",[2]NLFsmonkeyCompl!V82*$M81),"")</f>
        <v/>
      </c>
      <c r="U81" s="8" t="str">
        <f>IFERROR(IF(ISBLANK([2]NLFsmonkeyCompl!W82),"",[2]NLFsmonkeyCompl!W82*$M81),"")</f>
        <v/>
      </c>
      <c r="V81" s="8">
        <f>IFERROR(IF(ISBLANK([2]NLFsmonkeyCompl!X82),"",[2]NLFsmonkeyCompl!X82*$M81),"")</f>
        <v>55</v>
      </c>
      <c r="W81" s="8">
        <f>IFERROR(IF(ISBLANK([2]NLFsmonkeyCompl!Y82),"",[2]NLFsmonkeyCompl!Y82*$M81),"")</f>
        <v>405</v>
      </c>
      <c r="X81" s="8">
        <f>IFERROR(IF(ISBLANK([2]NLFsmonkeyCompl!Z82),"",[2]NLFsmonkeyCompl!Z82*$M81),"")</f>
        <v>5</v>
      </c>
      <c r="Y81" s="8" t="str">
        <f>IFERROR(IF(ISBLANK([2]NLFsmonkeyCompl!AA82),"",[2]NLFsmonkeyCompl!AA82*$M81),"")</f>
        <v/>
      </c>
      <c r="Z81" s="8" t="str">
        <f>IFERROR(IF(ISBLANK([2]NLFsmonkeyCompl!AB82),"",[2]NLFsmonkeyCompl!AB82*$M81),"")</f>
        <v/>
      </c>
      <c r="AA81" s="8" t="str">
        <f>IFERROR(IF(ISBLANK([2]NLFsmonkeyCompl!AC82),"",[2]NLFsmonkeyCompl!AC82*$M81),"")</f>
        <v/>
      </c>
      <c r="AB81" s="8" t="str">
        <f>IFERROR(IF(ISBLANK([2]NLFsmonkeyCompl!AD82),"",[2]NLFsmonkeyCompl!AD82),"")</f>
        <v/>
      </c>
      <c r="AC81" s="8" t="str">
        <f>IFERROR(IF(ISBLANK([2]NLFsmonkeyCompl!AE82),"",[2]NLFsmonkeyCompl!AE82),"")</f>
        <v/>
      </c>
      <c r="AD81" s="8">
        <f>IFERROR(IF(ISBLANK([2]NLFsmonkeyCompl!AF82),"",[2]NLFsmonkeyCompl!AF82),"")</f>
        <v>93</v>
      </c>
      <c r="AE81" s="8">
        <f>IFERROR(IF(ISBLANK([2]NLFsmonkeyCompl!AG82),"",[2]NLFsmonkeyCompl!AG82),"")</f>
        <v>7</v>
      </c>
      <c r="AF81" s="8" t="str">
        <f>IFERROR(IF(ISBLANK([2]NLFsmonkeyCompl!AH82),"",[2]NLFsmonkeyCompl!AH82),"")</f>
        <v>Increase</v>
      </c>
      <c r="AG81" s="8" t="str">
        <f>IFERROR(IF(ISBLANK([2]NLFsmonkeyCompl!AI82),"",[2]NLFsmonkeyCompl!AI82),"")</f>
        <v>Yes</v>
      </c>
      <c r="AH81">
        <f>IFERROR(INDEX([2]VehiclesUniverse!$B$2:$EU$700,MATCH($C81,[2]VehiclesUniverse!$A$2:$A$700,0),MATCH($AH$1,[2]VehiclesUniverse!$B$1:$EU$1,0)),"")</f>
        <v>982673305.69000006</v>
      </c>
    </row>
    <row r="82" spans="1:34" x14ac:dyDescent="0.2">
      <c r="A82" s="5" t="str">
        <f>IF(OR(ISTEXT([2]NLFsmonkeyCompl!J83),ISNUMBER([2]NLFsmonkeyCompl!J83)),[2]NLFsmonkeyCompl!J83,"")</f>
        <v>Genesta</v>
      </c>
      <c r="B82" s="6" t="str">
        <f>IF(OR(ISTEXT([2]NLFsmonkeyCompl!K83),ISNUMBER([2]NLFsmonkeyCompl!K83)),[2]NLFsmonkeyCompl!K83,"")</f>
        <v>Genesta Nordic Real Estate Fund II FCP-SIF</v>
      </c>
      <c r="C82" s="6">
        <v>18282</v>
      </c>
      <c r="D82" s="6" t="str">
        <f>IFERROR(INDEX([2]VehiclesUniverse!$B$2:$EU$700,MATCH(C82,[2]VehiclesUniverse!$A$2:$A$700,0),MATCH($D$1,[2]VehiclesUniverse!$B$1:$EU$1,0)),"")</f>
        <v>Value-added</v>
      </c>
      <c r="E82" s="6" t="str">
        <f>IFERROR(INDEX([2]VehiclesUniverse!$B$2:$EU$700,MATCH(C82,[2]VehiclesUniverse!$A$2:$A$700,0),MATCH($E$1,[2]VehiclesUniverse!$B$1:$EU$1,0)),"")</f>
        <v>multi country</v>
      </c>
      <c r="F82" s="6" t="str">
        <f>IF(IFERROR(INDEX([2]VehiclesUniverse!$B$2:$EU$700,MATCH($C82,[2]VehiclesUniverse!$A$2:$A$700,0),MATCH($F$1,[2]VehiclesUniverse!$B$1:$EU$1,0)),"")&lt;&gt;0,(IFERROR(INDEX([2]VehiclesUniverse!$B$2:$EU$700,MATCH($C82,[2]VehiclesUniverse!$A$2:$A$700,0),MATCH($F$1,[2]VehiclesUniverse!$B$1:$EU$1,0)),"")),"")</f>
        <v/>
      </c>
      <c r="G82" s="6" t="str">
        <f>IF(ISBLANK([2]NLFsmonkeyCompl!L83),"",[2]NLFsmonkeyCompl!L83)</f>
        <v>Closed end</v>
      </c>
      <c r="H82" s="6">
        <f>IFERROR(INDEX([2]VehiclesUniverse!$B$2:$EU$700,MATCH(C82,[2]VehiclesUniverse!$A$2:$A$700,0),MATCH($H$1,[2]VehiclesUniverse!$B$1:$EU$1,0)),"")</f>
        <v>2015</v>
      </c>
      <c r="I82" s="6" t="str">
        <f>IF(ISBLANK([2]NLFsmonkeyCompl!M83),"",[2]NLFsmonkeyCompl!M83)</f>
        <v>No</v>
      </c>
      <c r="J82" s="6" t="str">
        <f>IF(ISBLANK([2]NLFsmonkeyCompl!N83),"",[2]NLFsmonkeyCompl!N83)</f>
        <v/>
      </c>
      <c r="K82" s="6" t="str">
        <f>IF(ISBLANK([2]NLFsmonkeyCompl!O83),"",[2]NLFsmonkeyCompl!O83)</f>
        <v/>
      </c>
      <c r="L82" s="6" t="str">
        <f>IFERROR(INDEX([2]VehiclesUniverse!$B$2:$EU$700,MATCH(C82,[2]VehiclesUniverse!$A$2:$A$700,0),MATCH($L$1,[2]VehiclesUniverse!$B$1:$EU$1,0)),"")</f>
        <v>EUR</v>
      </c>
      <c r="M82" s="16">
        <f>IFERROR(VLOOKUP(L82,'[2]Xrate31.12.20'!$K$2:$N$25,3,0),"")</f>
        <v>1</v>
      </c>
      <c r="N82" s="8" t="str">
        <f>IFERROR(IF(ISBLANK([2]NLFsmonkeyCompl!P83),"",[2]NLFsmonkeyCompl!P83*$M82),"")</f>
        <v/>
      </c>
      <c r="O82" s="8" t="str">
        <f>IFERROR(IF(ISBLANK([2]NLFsmonkeyCompl!Q83),"",[2]NLFsmonkeyCompl!Q83*$M82),"")</f>
        <v/>
      </c>
      <c r="P82" s="8" t="str">
        <f>IFERROR(IF(ISBLANK([2]NLFsmonkeyCompl!R83),"",[2]NLFsmonkeyCompl!R83*$M82),"")</f>
        <v/>
      </c>
      <c r="Q82" s="8" t="str">
        <f>IFERROR(IF(ISBLANK([2]NLFsmonkeyCompl!S83),"",[2]NLFsmonkeyCompl!S83*$M82),"")</f>
        <v/>
      </c>
      <c r="R82" s="8" t="str">
        <f>IFERROR(IF(ISBLANK([2]NLFsmonkeyCompl!T83),"",[2]NLFsmonkeyCompl!T83*$M82),"")</f>
        <v/>
      </c>
      <c r="S82" s="8" t="str">
        <f>IFERROR(IF(ISBLANK([2]NLFsmonkeyCompl!U83),"",[2]NLFsmonkeyCompl!U83*$M82),"")</f>
        <v/>
      </c>
      <c r="T82" s="8" t="str">
        <f>IFERROR(IF(ISBLANK([2]NLFsmonkeyCompl!V83),"",[2]NLFsmonkeyCompl!V83*$M82),"")</f>
        <v/>
      </c>
      <c r="U82" s="8" t="str">
        <f>IFERROR(IF(ISBLANK([2]NLFsmonkeyCompl!W83),"",[2]NLFsmonkeyCompl!W83*$M82),"")</f>
        <v/>
      </c>
      <c r="V82" s="8" t="str">
        <f>IFERROR(IF(ISBLANK([2]NLFsmonkeyCompl!X83),"",[2]NLFsmonkeyCompl!X83*$M82),"")</f>
        <v/>
      </c>
      <c r="W82" s="8" t="str">
        <f>IFERROR(IF(ISBLANK([2]NLFsmonkeyCompl!Y83),"",[2]NLFsmonkeyCompl!Y83*$M82),"")</f>
        <v/>
      </c>
      <c r="X82" s="8" t="str">
        <f>IFERROR(IF(ISBLANK([2]NLFsmonkeyCompl!Z83),"",[2]NLFsmonkeyCompl!Z83*$M82),"")</f>
        <v/>
      </c>
      <c r="Y82" s="8" t="str">
        <f>IFERROR(IF(ISBLANK([2]NLFsmonkeyCompl!AA83),"",[2]NLFsmonkeyCompl!AA83*$M82),"")</f>
        <v/>
      </c>
      <c r="Z82" s="8" t="str">
        <f>IFERROR(IF(ISBLANK([2]NLFsmonkeyCompl!AB83),"",[2]NLFsmonkeyCompl!AB83*$M82),"")</f>
        <v/>
      </c>
      <c r="AA82" s="8" t="str">
        <f>IFERROR(IF(ISBLANK([2]NLFsmonkeyCompl!AC83),"",[2]NLFsmonkeyCompl!AC83*$M82),"")</f>
        <v/>
      </c>
      <c r="AB82" s="8" t="str">
        <f>IFERROR(IF(ISBLANK([2]NLFsmonkeyCompl!AD83),"",[2]NLFsmonkeyCompl!AD83),"")</f>
        <v/>
      </c>
      <c r="AC82" s="8" t="str">
        <f>IFERROR(IF(ISBLANK([2]NLFsmonkeyCompl!AE83),"",[2]NLFsmonkeyCompl!AE83),"")</f>
        <v/>
      </c>
      <c r="AD82" s="8" t="str">
        <f>IFERROR(IF(ISBLANK([2]NLFsmonkeyCompl!AF83),"",[2]NLFsmonkeyCompl!AF83),"")</f>
        <v/>
      </c>
      <c r="AE82" s="8" t="str">
        <f>IFERROR(IF(ISBLANK([2]NLFsmonkeyCompl!AG83),"",[2]NLFsmonkeyCompl!AG83),"")</f>
        <v/>
      </c>
      <c r="AF82" s="8" t="str">
        <f>IFERROR(IF(ISBLANK([2]NLFsmonkeyCompl!AH83),"",[2]NLFsmonkeyCompl!AH83),"")</f>
        <v/>
      </c>
      <c r="AG82" s="8" t="str">
        <f>IFERROR(IF(ISBLANK([2]NLFsmonkeyCompl!AI83),"",[2]NLFsmonkeyCompl!AI83),"")</f>
        <v/>
      </c>
      <c r="AH82">
        <f>IFERROR(INDEX([2]VehiclesUniverse!$B$2:$EU$700,MATCH($C82,[2]VehiclesUniverse!$A$2:$A$700,0),MATCH($AH$1,[2]VehiclesUniverse!$B$1:$EU$1,0)),"")</f>
        <v>509482500</v>
      </c>
    </row>
    <row r="83" spans="1:34" x14ac:dyDescent="0.2">
      <c r="A83" s="5" t="str">
        <f>IF(OR(ISTEXT([2]NLFsmonkeyCompl!J84),ISNUMBER([2]NLFsmonkeyCompl!J84)),[2]NLFsmonkeyCompl!J84,"")</f>
        <v>Optimum Asset Management S.A.</v>
      </c>
      <c r="B83" s="6" t="str">
        <f>IF(OR(ISTEXT([2]NLFsmonkeyCompl!K84),ISNUMBER([2]NLFsmonkeyCompl!K84)),[2]NLFsmonkeyCompl!K84,"")</f>
        <v>German Real Estate Fund IV</v>
      </c>
      <c r="C83" s="6">
        <v>19626</v>
      </c>
      <c r="D83" s="6" t="s">
        <v>45</v>
      </c>
      <c r="E83" s="6" t="s">
        <v>48</v>
      </c>
      <c r="F83" s="6" t="s">
        <v>57</v>
      </c>
      <c r="G83" s="6" t="str">
        <f>IF(ISBLANK([2]NLFsmonkeyCompl!L84),"",[2]NLFsmonkeyCompl!L84)</f>
        <v>Closed end</v>
      </c>
      <c r="H83" s="6">
        <v>2019</v>
      </c>
      <c r="I83" s="6" t="str">
        <f>IF(ISBLANK([2]NLFsmonkeyCompl!M84),"",[2]NLFsmonkeyCompl!M84)</f>
        <v>Yes</v>
      </c>
      <c r="J83" s="6" t="str">
        <f>IF(ISBLANK([2]NLFsmonkeyCompl!N84),"",[2]NLFsmonkeyCompl!N84)</f>
        <v/>
      </c>
      <c r="K83" s="6" t="str">
        <f>IF(ISBLANK([2]NLFsmonkeyCompl!O84),"",[2]NLFsmonkeyCompl!O84)</f>
        <v/>
      </c>
      <c r="L83" s="6" t="str">
        <f>IFERROR(INDEX([2]VehiclesUniverse!$B$2:$EU$700,MATCH(C83,[2]VehiclesUniverse!$A$2:$A$700,0),MATCH($L$1,[2]VehiclesUniverse!$B$1:$EU$1,0)),"")</f>
        <v/>
      </c>
      <c r="M83" s="16" t="str">
        <f>IFERROR(VLOOKUP(L83,'[2]Xrate31.12.20'!$K$2:$N$25,3,0),"")</f>
        <v/>
      </c>
      <c r="N83" s="8" t="str">
        <f>IFERROR(IF(ISBLANK([2]NLFsmonkeyCompl!P84),"",[2]NLFsmonkeyCompl!P84*$M83),"")</f>
        <v/>
      </c>
      <c r="O83" s="8" t="str">
        <f>IFERROR(IF(ISBLANK([2]NLFsmonkeyCompl!Q84),"",[2]NLFsmonkeyCompl!Q84*$M83),"")</f>
        <v/>
      </c>
      <c r="P83" s="8" t="str">
        <f>IFERROR(IF(ISBLANK([2]NLFsmonkeyCompl!R84),"",[2]NLFsmonkeyCompl!R84*$M83),"")</f>
        <v/>
      </c>
      <c r="Q83" s="8" t="str">
        <f>IFERROR(IF(ISBLANK([2]NLFsmonkeyCompl!S84),"",[2]NLFsmonkeyCompl!S84*$M83),"")</f>
        <v/>
      </c>
      <c r="R83" s="8" t="str">
        <f>IFERROR(IF(ISBLANK([2]NLFsmonkeyCompl!T84),"",[2]NLFsmonkeyCompl!T84*$M83),"")</f>
        <v/>
      </c>
      <c r="S83" s="8" t="str">
        <f>IFERROR(IF(ISBLANK([2]NLFsmonkeyCompl!U84),"",[2]NLFsmonkeyCompl!U84*$M83),"")</f>
        <v/>
      </c>
      <c r="T83" s="8" t="str">
        <f>IFERROR(IF(ISBLANK([2]NLFsmonkeyCompl!V84),"",[2]NLFsmonkeyCompl!V84*$M83),"")</f>
        <v/>
      </c>
      <c r="U83" s="8" t="str">
        <f>IFERROR(IF(ISBLANK([2]NLFsmonkeyCompl!W84),"",[2]NLFsmonkeyCompl!W84*$M83),"")</f>
        <v/>
      </c>
      <c r="V83" s="8" t="str">
        <f>IFERROR(IF(ISBLANK([2]NLFsmonkeyCompl!X84),"",[2]NLFsmonkeyCompl!X84*$M83),"")</f>
        <v/>
      </c>
      <c r="W83" s="8" t="str">
        <f>IFERROR(IF(ISBLANK([2]NLFsmonkeyCompl!Y84),"",[2]NLFsmonkeyCompl!Y84*$M83),"")</f>
        <v/>
      </c>
      <c r="X83" s="8" t="str">
        <f>IFERROR(IF(ISBLANK([2]NLFsmonkeyCompl!Z84),"",[2]NLFsmonkeyCompl!Z84*$M83),"")</f>
        <v/>
      </c>
      <c r="Y83" s="8" t="str">
        <f>IFERROR(IF(ISBLANK([2]NLFsmonkeyCompl!AA84),"",[2]NLFsmonkeyCompl!AA84*$M83),"")</f>
        <v/>
      </c>
      <c r="Z83" s="8" t="str">
        <f>IFERROR(IF(ISBLANK([2]NLFsmonkeyCompl!AB84),"",[2]NLFsmonkeyCompl!AB84*$M83),"")</f>
        <v/>
      </c>
      <c r="AA83" s="8" t="str">
        <f>IFERROR(IF(ISBLANK([2]NLFsmonkeyCompl!AC84),"",[2]NLFsmonkeyCompl!AC84*$M83),"")</f>
        <v/>
      </c>
      <c r="AB83" s="8" t="str">
        <f>IFERROR(IF(ISBLANK([2]NLFsmonkeyCompl!AD84),"",[2]NLFsmonkeyCompl!AD84),"")</f>
        <v/>
      </c>
      <c r="AC83" s="8" t="str">
        <f>IFERROR(IF(ISBLANK([2]NLFsmonkeyCompl!AE84),"",[2]NLFsmonkeyCompl!AE84),"")</f>
        <v/>
      </c>
      <c r="AD83" s="8">
        <f>IFERROR(IF(ISBLANK([2]NLFsmonkeyCompl!AF84),"",[2]NLFsmonkeyCompl!AF84),"")</f>
        <v>100</v>
      </c>
      <c r="AE83" s="8" t="str">
        <f>IFERROR(IF(ISBLANK([2]NLFsmonkeyCompl!AG84),"",[2]NLFsmonkeyCompl!AG84),"")</f>
        <v/>
      </c>
      <c r="AF83" s="8" t="str">
        <f>IFERROR(IF(ISBLANK([2]NLFsmonkeyCompl!AH84),"",[2]NLFsmonkeyCompl!AH84),"")</f>
        <v>Increase</v>
      </c>
      <c r="AG83" s="8" t="str">
        <f>IFERROR(IF(ISBLANK([2]NLFsmonkeyCompl!AI84),"",[2]NLFsmonkeyCompl!AI84),"")</f>
        <v>Yes</v>
      </c>
      <c r="AH83" t="str">
        <f>IFERROR(INDEX([2]VehiclesUniverse!$B$2:$EU$700,MATCH($C83,[2]VehiclesUniverse!$A$2:$A$700,0),MATCH($AH$1,[2]VehiclesUniverse!$B$1:$EU$1,0)),"")</f>
        <v/>
      </c>
    </row>
    <row r="84" spans="1:34" x14ac:dyDescent="0.2">
      <c r="A84" s="5" t="str">
        <f>IF(OR(ISTEXT([2]NLFsmonkeyCompl!J85),ISNUMBER([2]NLFsmonkeyCompl!J85)),[2]NLFsmonkeyCompl!J85,"")</f>
        <v>Optimum Asset Management S.A.</v>
      </c>
      <c r="B84" s="6" t="str">
        <f>IF(OR(ISTEXT([2]NLFsmonkeyCompl!K85),ISNUMBER([2]NLFsmonkeyCompl!K85)),[2]NLFsmonkeyCompl!K85,"")</f>
        <v>Optimum Evolution Fund SIF - Property III</v>
      </c>
      <c r="C84" s="6">
        <v>19625</v>
      </c>
      <c r="D84" s="6" t="s">
        <v>45</v>
      </c>
      <c r="E84" s="6" t="s">
        <v>48</v>
      </c>
      <c r="F84" s="6" t="s">
        <v>57</v>
      </c>
      <c r="G84" s="6" t="str">
        <f>IF(ISBLANK([2]NLFsmonkeyCompl!L85),"",[2]NLFsmonkeyCompl!L85)</f>
        <v>Closed end</v>
      </c>
      <c r="H84" s="6">
        <v>2014</v>
      </c>
      <c r="I84" s="6" t="str">
        <f>IF(ISBLANK([2]NLFsmonkeyCompl!M85),"",[2]NLFsmonkeyCompl!M85)</f>
        <v>No</v>
      </c>
      <c r="J84" s="6" t="str">
        <f>IF(ISBLANK([2]NLFsmonkeyCompl!N85),"",[2]NLFsmonkeyCompl!N85)</f>
        <v>Corporate governance framework</v>
      </c>
      <c r="K84" s="6" t="str">
        <f>IF(ISBLANK([2]NLFsmonkeyCompl!O85),"",[2]NLFsmonkeyCompl!O85)</f>
        <v/>
      </c>
      <c r="L84" s="6" t="str">
        <f>IFERROR(INDEX([2]VehiclesUniverse!$B$2:$EU$700,MATCH(C84,[2]VehiclesUniverse!$A$2:$A$700,0),MATCH($L$1,[2]VehiclesUniverse!$B$1:$EU$1,0)),"")</f>
        <v/>
      </c>
      <c r="M84" s="16" t="str">
        <f>IFERROR(VLOOKUP(L84,'[2]Xrate31.12.20'!$K$2:$N$25,3,0),"")</f>
        <v/>
      </c>
      <c r="N84" s="8" t="str">
        <f>IFERROR(IF(ISBLANK([2]NLFsmonkeyCompl!P85),"",[2]NLFsmonkeyCompl!P85*$M84),"")</f>
        <v/>
      </c>
      <c r="O84" s="8" t="str">
        <f>IFERROR(IF(ISBLANK([2]NLFsmonkeyCompl!Q85),"",[2]NLFsmonkeyCompl!Q85*$M84),"")</f>
        <v/>
      </c>
      <c r="P84" s="8" t="str">
        <f>IFERROR(IF(ISBLANK([2]NLFsmonkeyCompl!R85),"",[2]NLFsmonkeyCompl!R85*$M84),"")</f>
        <v/>
      </c>
      <c r="Q84" s="8" t="str">
        <f>IFERROR(IF(ISBLANK([2]NLFsmonkeyCompl!S85),"",[2]NLFsmonkeyCompl!S85*$M84),"")</f>
        <v/>
      </c>
      <c r="R84" s="8" t="str">
        <f>IFERROR(IF(ISBLANK([2]NLFsmonkeyCompl!T85),"",[2]NLFsmonkeyCompl!T85*$M84),"")</f>
        <v/>
      </c>
      <c r="S84" s="8" t="str">
        <f>IFERROR(IF(ISBLANK([2]NLFsmonkeyCompl!U85),"",[2]NLFsmonkeyCompl!U85*$M84),"")</f>
        <v/>
      </c>
      <c r="T84" s="8" t="str">
        <f>IFERROR(IF(ISBLANK([2]NLFsmonkeyCompl!V85),"",[2]NLFsmonkeyCompl!V85*$M84),"")</f>
        <v/>
      </c>
      <c r="U84" s="8" t="str">
        <f>IFERROR(IF(ISBLANK([2]NLFsmonkeyCompl!W85),"",[2]NLFsmonkeyCompl!W85*$M84),"")</f>
        <v/>
      </c>
      <c r="V84" s="8" t="str">
        <f>IFERROR(IF(ISBLANK([2]NLFsmonkeyCompl!X85),"",[2]NLFsmonkeyCompl!X85*$M84),"")</f>
        <v/>
      </c>
      <c r="W84" s="8" t="str">
        <f>IFERROR(IF(ISBLANK([2]NLFsmonkeyCompl!Y85),"",[2]NLFsmonkeyCompl!Y85*$M84),"")</f>
        <v/>
      </c>
      <c r="X84" s="8" t="str">
        <f>IFERROR(IF(ISBLANK([2]NLFsmonkeyCompl!Z85),"",[2]NLFsmonkeyCompl!Z85*$M84),"")</f>
        <v/>
      </c>
      <c r="Y84" s="8" t="str">
        <f>IFERROR(IF(ISBLANK([2]NLFsmonkeyCompl!AA85),"",[2]NLFsmonkeyCompl!AA85*$M84),"")</f>
        <v/>
      </c>
      <c r="Z84" s="8" t="str">
        <f>IFERROR(IF(ISBLANK([2]NLFsmonkeyCompl!AB85),"",[2]NLFsmonkeyCompl!AB85*$M84),"")</f>
        <v/>
      </c>
      <c r="AA84" s="8" t="str">
        <f>IFERROR(IF(ISBLANK([2]NLFsmonkeyCompl!AC85),"",[2]NLFsmonkeyCompl!AC85*$M84),"")</f>
        <v/>
      </c>
      <c r="AB84" s="8" t="str">
        <f>IFERROR(IF(ISBLANK([2]NLFsmonkeyCompl!AD85),"",[2]NLFsmonkeyCompl!AD85),"")</f>
        <v/>
      </c>
      <c r="AC84" s="8" t="str">
        <f>IFERROR(IF(ISBLANK([2]NLFsmonkeyCompl!AE85),"",[2]NLFsmonkeyCompl!AE85),"")</f>
        <v/>
      </c>
      <c r="AD84" s="8" t="str">
        <f>IFERROR(IF(ISBLANK([2]NLFsmonkeyCompl!AF85),"",[2]NLFsmonkeyCompl!AF85),"")</f>
        <v/>
      </c>
      <c r="AE84" s="8" t="str">
        <f>IFERROR(IF(ISBLANK([2]NLFsmonkeyCompl!AG85),"",[2]NLFsmonkeyCompl!AG85),"")</f>
        <v/>
      </c>
      <c r="AF84" s="8" t="str">
        <f>IFERROR(IF(ISBLANK([2]NLFsmonkeyCompl!AH85),"",[2]NLFsmonkeyCompl!AH85),"")</f>
        <v>Increase</v>
      </c>
      <c r="AG84" s="8" t="str">
        <f>IFERROR(IF(ISBLANK([2]NLFsmonkeyCompl!AI85),"",[2]NLFsmonkeyCompl!AI85),"")</f>
        <v>Yes</v>
      </c>
      <c r="AH84" t="str">
        <f>IFERROR(INDEX([2]VehiclesUniverse!$B$2:$EU$700,MATCH($C84,[2]VehiclesUniverse!$A$2:$A$700,0),MATCH($AH$1,[2]VehiclesUniverse!$B$1:$EU$1,0)),"")</f>
        <v/>
      </c>
    </row>
    <row r="85" spans="1:34" x14ac:dyDescent="0.2">
      <c r="A85" s="5" t="str">
        <f>IF(OR(ISTEXT([2]NLFsmonkeyCompl!J86),ISNUMBER([2]NLFsmonkeyCompl!J86)),[2]NLFsmonkeyCompl!J86,"")</f>
        <v>Optimum Asset Management S.A.</v>
      </c>
      <c r="B85" s="6" t="str">
        <f>IF(OR(ISTEXT([2]NLFsmonkeyCompl!K86),ISNUMBER([2]NLFsmonkeyCompl!K86)),[2]NLFsmonkeyCompl!K86,"")</f>
        <v>Optimum Evolution Fund SIF - Property II</v>
      </c>
      <c r="C85" s="6">
        <v>19623</v>
      </c>
      <c r="D85" s="6" t="s">
        <v>45</v>
      </c>
      <c r="E85" s="6" t="s">
        <v>48</v>
      </c>
      <c r="F85" s="6" t="s">
        <v>57</v>
      </c>
      <c r="G85" s="6" t="str">
        <f>IF(ISBLANK([2]NLFsmonkeyCompl!L86),"",[2]NLFsmonkeyCompl!L86)</f>
        <v>Closed end</v>
      </c>
      <c r="H85" s="6">
        <v>2011</v>
      </c>
      <c r="I85" s="6" t="str">
        <f>IF(ISBLANK([2]NLFsmonkeyCompl!M86),"",[2]NLFsmonkeyCompl!M86)</f>
        <v>No</v>
      </c>
      <c r="J85" s="6" t="str">
        <f>IF(ISBLANK([2]NLFsmonkeyCompl!N86),"",[2]NLFsmonkeyCompl!N86)</f>
        <v>Corporate governance framework</v>
      </c>
      <c r="K85" s="6" t="str">
        <f>IF(ISBLANK([2]NLFsmonkeyCompl!O86),"",[2]NLFsmonkeyCompl!O86)</f>
        <v/>
      </c>
      <c r="L85" s="6" t="str">
        <f>IFERROR(INDEX([2]VehiclesUniverse!$B$2:$EU$700,MATCH(C85,[2]VehiclesUniverse!$A$2:$A$700,0),MATCH($L$1,[2]VehiclesUniverse!$B$1:$EU$1,0)),"")</f>
        <v/>
      </c>
      <c r="M85" s="16" t="str">
        <f>IFERROR(VLOOKUP(L85,'[2]Xrate31.12.20'!$K$2:$N$25,3,0),"")</f>
        <v/>
      </c>
      <c r="N85" s="8" t="str">
        <f>IFERROR(IF(ISBLANK([2]NLFsmonkeyCompl!P86),"",[2]NLFsmonkeyCompl!P86*$M85),"")</f>
        <v/>
      </c>
      <c r="O85" s="8" t="str">
        <f>IFERROR(IF(ISBLANK([2]NLFsmonkeyCompl!Q86),"",[2]NLFsmonkeyCompl!Q86*$M85),"")</f>
        <v/>
      </c>
      <c r="P85" s="8" t="str">
        <f>IFERROR(IF(ISBLANK([2]NLFsmonkeyCompl!R86),"",[2]NLFsmonkeyCompl!R86*$M85),"")</f>
        <v/>
      </c>
      <c r="Q85" s="8" t="str">
        <f>IFERROR(IF(ISBLANK([2]NLFsmonkeyCompl!S86),"",[2]NLFsmonkeyCompl!S86*$M85),"")</f>
        <v/>
      </c>
      <c r="R85" s="8" t="str">
        <f>IFERROR(IF(ISBLANK([2]NLFsmonkeyCompl!T86),"",[2]NLFsmonkeyCompl!T86*$M85),"")</f>
        <v/>
      </c>
      <c r="S85" s="8" t="str">
        <f>IFERROR(IF(ISBLANK([2]NLFsmonkeyCompl!U86),"",[2]NLFsmonkeyCompl!U86*$M85),"")</f>
        <v/>
      </c>
      <c r="T85" s="8" t="str">
        <f>IFERROR(IF(ISBLANK([2]NLFsmonkeyCompl!V86),"",[2]NLFsmonkeyCompl!V86*$M85),"")</f>
        <v/>
      </c>
      <c r="U85" s="8" t="str">
        <f>IFERROR(IF(ISBLANK([2]NLFsmonkeyCompl!W86),"",[2]NLFsmonkeyCompl!W86*$M85),"")</f>
        <v/>
      </c>
      <c r="V85" s="8" t="str">
        <f>IFERROR(IF(ISBLANK([2]NLFsmonkeyCompl!X86),"",[2]NLFsmonkeyCompl!X86*$M85),"")</f>
        <v/>
      </c>
      <c r="W85" s="8" t="str">
        <f>IFERROR(IF(ISBLANK([2]NLFsmonkeyCompl!Y86),"",[2]NLFsmonkeyCompl!Y86*$M85),"")</f>
        <v/>
      </c>
      <c r="X85" s="8" t="str">
        <f>IFERROR(IF(ISBLANK([2]NLFsmonkeyCompl!Z86),"",[2]NLFsmonkeyCompl!Z86*$M85),"")</f>
        <v/>
      </c>
      <c r="Y85" s="8" t="str">
        <f>IFERROR(IF(ISBLANK([2]NLFsmonkeyCompl!AA86),"",[2]NLFsmonkeyCompl!AA86*$M85),"")</f>
        <v/>
      </c>
      <c r="Z85" s="8" t="str">
        <f>IFERROR(IF(ISBLANK([2]NLFsmonkeyCompl!AB86),"",[2]NLFsmonkeyCompl!AB86*$M85),"")</f>
        <v/>
      </c>
      <c r="AA85" s="8" t="str">
        <f>IFERROR(IF(ISBLANK([2]NLFsmonkeyCompl!AC86),"",[2]NLFsmonkeyCompl!AC86*$M85),"")</f>
        <v/>
      </c>
      <c r="AB85" s="8" t="str">
        <f>IFERROR(IF(ISBLANK([2]NLFsmonkeyCompl!AD86),"",[2]NLFsmonkeyCompl!AD86),"")</f>
        <v/>
      </c>
      <c r="AC85" s="8" t="str">
        <f>IFERROR(IF(ISBLANK([2]NLFsmonkeyCompl!AE86),"",[2]NLFsmonkeyCompl!AE86),"")</f>
        <v/>
      </c>
      <c r="AD85" s="8" t="str">
        <f>IFERROR(IF(ISBLANK([2]NLFsmonkeyCompl!AF86),"",[2]NLFsmonkeyCompl!AF86),"")</f>
        <v/>
      </c>
      <c r="AE85" s="8" t="str">
        <f>IFERROR(IF(ISBLANK([2]NLFsmonkeyCompl!AG86),"",[2]NLFsmonkeyCompl!AG86),"")</f>
        <v/>
      </c>
      <c r="AF85" s="8" t="str">
        <f>IFERROR(IF(ISBLANK([2]NLFsmonkeyCompl!AH86),"",[2]NLFsmonkeyCompl!AH86),"")</f>
        <v>Increase</v>
      </c>
      <c r="AG85" s="8" t="str">
        <f>IFERROR(IF(ISBLANK([2]NLFsmonkeyCompl!AI86),"",[2]NLFsmonkeyCompl!AI86),"")</f>
        <v>Yes</v>
      </c>
      <c r="AH85" t="str">
        <f>IFERROR(INDEX([2]VehiclesUniverse!$B$2:$EU$700,MATCH($C85,[2]VehiclesUniverse!$A$2:$A$700,0),MATCH($AH$1,[2]VehiclesUniverse!$B$1:$EU$1,0)),"")</f>
        <v/>
      </c>
    </row>
    <row r="86" spans="1:34" x14ac:dyDescent="0.2">
      <c r="A86" s="5" t="str">
        <f>IF(OR(ISTEXT([2]NLFsmonkeyCompl!J87),ISNUMBER([2]NLFsmonkeyCompl!J87)),[2]NLFsmonkeyCompl!J87,"")</f>
        <v>Areim AB</v>
      </c>
      <c r="B86" s="6" t="str">
        <f>IF(OR(ISTEXT([2]NLFsmonkeyCompl!K87),ISNUMBER([2]NLFsmonkeyCompl!K87)),[2]NLFsmonkeyCompl!K87,"")</f>
        <v>Areim Fund III</v>
      </c>
      <c r="C86" s="6">
        <v>17720</v>
      </c>
      <c r="D86" s="6" t="str">
        <f>IFERROR(INDEX([2]VehiclesUniverse!$B$2:$EU$700,MATCH(C86,[2]VehiclesUniverse!$A$2:$A$700,0),MATCH($D$1,[2]VehiclesUniverse!$B$1:$EU$1,0)),"")</f>
        <v>Value-added</v>
      </c>
      <c r="E86" s="6" t="str">
        <f>IFERROR(INDEX([2]VehiclesUniverse!$B$2:$EU$700,MATCH(C86,[2]VehiclesUniverse!$A$2:$A$700,0),MATCH($E$1,[2]VehiclesUniverse!$B$1:$EU$1,0)),"")</f>
        <v>multi country</v>
      </c>
      <c r="F86" s="6" t="str">
        <f>IF(IFERROR(INDEX([2]VehiclesUniverse!$B$2:$EU$700,MATCH($C86,[2]VehiclesUniverse!$A$2:$A$700,0),MATCH($F$1,[2]VehiclesUniverse!$B$1:$EU$1,0)),"")&lt;&gt;0,(IFERROR(INDEX([2]VehiclesUniverse!$B$2:$EU$700,MATCH($C86,[2]VehiclesUniverse!$A$2:$A$700,0),MATCH($F$1,[2]VehiclesUniverse!$B$1:$EU$1,0)),"")),"")</f>
        <v/>
      </c>
      <c r="G86" s="6" t="str">
        <f>IF(ISBLANK([2]NLFsmonkeyCompl!L87),"",[2]NLFsmonkeyCompl!L87)</f>
        <v>Closed end</v>
      </c>
      <c r="H86" s="6">
        <f>IFERROR(INDEX([2]VehiclesUniverse!$B$2:$EU$700,MATCH(C86,[2]VehiclesUniverse!$A$2:$A$700,0),MATCH($H$1,[2]VehiclesUniverse!$B$1:$EU$1,0)),"")</f>
        <v>2015</v>
      </c>
      <c r="I86" s="6" t="str">
        <f>IF(ISBLANK([2]NLFsmonkeyCompl!M87),"",[2]NLFsmonkeyCompl!M87)</f>
        <v>Yes</v>
      </c>
      <c r="J86" s="6" t="str">
        <f>IF(ISBLANK([2]NLFsmonkeyCompl!N87),"",[2]NLFsmonkeyCompl!N87)</f>
        <v/>
      </c>
      <c r="K86" s="6" t="str">
        <f>IF(ISBLANK([2]NLFsmonkeyCompl!O87),"",[2]NLFsmonkeyCompl!O87)</f>
        <v/>
      </c>
      <c r="L86" s="6" t="str">
        <f>IFERROR(INDEX([2]VehiclesUniverse!$B$2:$EU$700,MATCH(C86,[2]VehiclesUniverse!$A$2:$A$700,0),MATCH($L$1,[2]VehiclesUniverse!$B$1:$EU$1,0)),"")</f>
        <v>SEK</v>
      </c>
      <c r="M86" s="16">
        <f>IFERROR(VLOOKUP(L86,'[2]Xrate31.12.20'!$K$2:$N$25,3,0),"")</f>
        <v>9.9491122000000001E-2</v>
      </c>
      <c r="N86" s="8">
        <f>IFERROR(IF(ISBLANK([2]NLFsmonkeyCompl!P87),"",[2]NLFsmonkeyCompl!P87*$M86),"")</f>
        <v>0.39796448800000001</v>
      </c>
      <c r="O86" s="8">
        <f>IFERROR(IF(ISBLANK([2]NLFsmonkeyCompl!Q87),"",[2]NLFsmonkeyCompl!Q87*$M86),"")</f>
        <v>9.9491122000000001E-2</v>
      </c>
      <c r="P86" s="8">
        <f>IFERROR(IF(ISBLANK([2]NLFsmonkeyCompl!R87),"",[2]NLFsmonkeyCompl!R87*$M86),"")</f>
        <v>9.9491122000000001E-2</v>
      </c>
      <c r="Q86" s="8" t="str">
        <f>IFERROR(IF(ISBLANK([2]NLFsmonkeyCompl!S87),"",[2]NLFsmonkeyCompl!S87*$M86),"")</f>
        <v/>
      </c>
      <c r="R86" s="8">
        <f>IFERROR(IF(ISBLANK([2]NLFsmonkeyCompl!T87),"",[2]NLFsmonkeyCompl!T87*$M86),"")</f>
        <v>0.198982244</v>
      </c>
      <c r="S86" s="8" t="str">
        <f>IFERROR(IF(ISBLANK([2]NLFsmonkeyCompl!U87),"",[2]NLFsmonkeyCompl!U87*$M86),"")</f>
        <v/>
      </c>
      <c r="T86" s="8" t="str">
        <f>IFERROR(IF(ISBLANK([2]NLFsmonkeyCompl!V87),"",[2]NLFsmonkeyCompl!V87*$M86),"")</f>
        <v/>
      </c>
      <c r="U86" s="8" t="str">
        <f>IFERROR(IF(ISBLANK([2]NLFsmonkeyCompl!W87),"",[2]NLFsmonkeyCompl!W87*$M86),"")</f>
        <v/>
      </c>
      <c r="V86" s="8" t="str">
        <f>IFERROR(IF(ISBLANK([2]NLFsmonkeyCompl!X87),"",[2]NLFsmonkeyCompl!X87*$M86),"")</f>
        <v/>
      </c>
      <c r="W86" s="8">
        <f>IFERROR(IF(ISBLANK([2]NLFsmonkeyCompl!Y87),"",[2]NLFsmonkeyCompl!Y87*$M86),"")</f>
        <v>0.29847336600000002</v>
      </c>
      <c r="X86" s="8">
        <f>IFERROR(IF(ISBLANK([2]NLFsmonkeyCompl!Z87),"",[2]NLFsmonkeyCompl!Z87*$M86),"")</f>
        <v>9.9491122000000001E-2</v>
      </c>
      <c r="Y86" s="8" t="str">
        <f>IFERROR(IF(ISBLANK([2]NLFsmonkeyCompl!AA87),"",[2]NLFsmonkeyCompl!AA87*$M86),"")</f>
        <v/>
      </c>
      <c r="Z86" s="8" t="str">
        <f>IFERROR(IF(ISBLANK([2]NLFsmonkeyCompl!AB87),"",[2]NLFsmonkeyCompl!AB87*$M86),"")</f>
        <v/>
      </c>
      <c r="AA86" s="8" t="str">
        <f>IFERROR(IF(ISBLANK([2]NLFsmonkeyCompl!AC87),"",[2]NLFsmonkeyCompl!AC87*$M86),"")</f>
        <v/>
      </c>
      <c r="AB86" s="8" t="str">
        <f>IFERROR(IF(ISBLANK([2]NLFsmonkeyCompl!AD87),"",[2]NLFsmonkeyCompl!AD87),"")</f>
        <v/>
      </c>
      <c r="AC86" s="8" t="str">
        <f>IFERROR(IF(ISBLANK([2]NLFsmonkeyCompl!AE87),"",[2]NLFsmonkeyCompl!AE87),"")</f>
        <v/>
      </c>
      <c r="AD86" s="8">
        <f>IFERROR(IF(ISBLANK([2]NLFsmonkeyCompl!AF87),"",[2]NLFsmonkeyCompl!AF87),"")</f>
        <v>100</v>
      </c>
      <c r="AE86" s="8" t="str">
        <f>IFERROR(IF(ISBLANK([2]NLFsmonkeyCompl!AG87),"",[2]NLFsmonkeyCompl!AG87),"")</f>
        <v/>
      </c>
      <c r="AF86" s="8" t="str">
        <f>IFERROR(IF(ISBLANK([2]NLFsmonkeyCompl!AH87),"",[2]NLFsmonkeyCompl!AH87),"")</f>
        <v>Increase</v>
      </c>
      <c r="AG86" s="8" t="str">
        <f>IFERROR(IF(ISBLANK([2]NLFsmonkeyCompl!AI87),"",[2]NLFsmonkeyCompl!AI87),"")</f>
        <v>No</v>
      </c>
      <c r="AH86">
        <f>IFERROR(INDEX([2]VehiclesUniverse!$B$2:$EU$700,MATCH($C86,[2]VehiclesUniverse!$A$2:$A$700,0),MATCH($AH$1,[2]VehiclesUniverse!$B$1:$EU$1,0)),"")</f>
        <v>566125243.95418561</v>
      </c>
    </row>
    <row r="87" spans="1:34" x14ac:dyDescent="0.2">
      <c r="A87" s="5" t="str">
        <f>IF(OR(ISTEXT([2]NLFsmonkeyCompl!J88),ISNUMBER([2]NLFsmonkeyCompl!J88)),[2]NLFsmonkeyCompl!J88,"")</f>
        <v xml:space="preserve">Invesco Real Estate </v>
      </c>
      <c r="B87" s="6" t="str">
        <f>IF(OR(ISTEXT([2]NLFsmonkeyCompl!K88),ISNUMBER([2]NLFsmonkeyCompl!K88)),[2]NLFsmonkeyCompl!K88,"")</f>
        <v xml:space="preserve">Invesco Real Estate - European Fund </v>
      </c>
      <c r="C87" s="6">
        <v>559</v>
      </c>
      <c r="D87" s="6" t="str">
        <f>IFERROR(INDEX([2]VehiclesUniverse!$B$2:$EU$700,MATCH(C87,[2]VehiclesUniverse!$A$2:$A$700,0),MATCH($D$1,[2]VehiclesUniverse!$B$1:$EU$1,0)),"")</f>
        <v>Core</v>
      </c>
      <c r="E87" s="6" t="str">
        <f>IFERROR(INDEX([2]VehiclesUniverse!$B$2:$EU$700,MATCH(C87,[2]VehiclesUniverse!$A$2:$A$700,0),MATCH($E$1,[2]VehiclesUniverse!$B$1:$EU$1,0)),"")</f>
        <v>multi country</v>
      </c>
      <c r="F87" s="6" t="str">
        <f>IF(IFERROR(INDEX([2]VehiclesUniverse!$B$2:$EU$700,MATCH($C87,[2]VehiclesUniverse!$A$2:$A$700,0),MATCH($F$1,[2]VehiclesUniverse!$B$1:$EU$1,0)),"")&lt;&gt;0,(IFERROR(INDEX([2]VehiclesUniverse!$B$2:$EU$700,MATCH($C87,[2]VehiclesUniverse!$A$2:$A$700,0),MATCH($F$1,[2]VehiclesUniverse!$B$1:$EU$1,0)),"")),"")</f>
        <v/>
      </c>
      <c r="G87" s="6" t="str">
        <f>IF(ISBLANK([2]NLFsmonkeyCompl!L88),"",[2]NLFsmonkeyCompl!L88)</f>
        <v>Open end</v>
      </c>
      <c r="H87" s="6">
        <f>IFERROR(INDEX([2]VehiclesUniverse!$B$2:$EU$700,MATCH(C87,[2]VehiclesUniverse!$A$2:$A$700,0),MATCH($H$1,[2]VehiclesUniverse!$B$1:$EU$1,0)),"")</f>
        <v>2008</v>
      </c>
      <c r="I87" s="6" t="str">
        <f>IF(ISBLANK([2]NLFsmonkeyCompl!M88),"",[2]NLFsmonkeyCompl!M88)</f>
        <v>Yes</v>
      </c>
      <c r="J87" s="6" t="str">
        <f>IF(ISBLANK([2]NLFsmonkeyCompl!N88),"",[2]NLFsmonkeyCompl!N88)</f>
        <v/>
      </c>
      <c r="K87" s="6" t="str">
        <f>IF(ISBLANK([2]NLFsmonkeyCompl!O88),"",[2]NLFsmonkeyCompl!O88)</f>
        <v/>
      </c>
      <c r="L87" s="6" t="str">
        <f>IFERROR(INDEX([2]VehiclesUniverse!$B$2:$EU$700,MATCH(C87,[2]VehiclesUniverse!$A$2:$A$700,0),MATCH($L$1,[2]VehiclesUniverse!$B$1:$EU$1,0)),"")</f>
        <v>EUR</v>
      </c>
      <c r="M87" s="16">
        <f>IFERROR(VLOOKUP(L87,'[2]Xrate31.12.20'!$K$2:$N$25,3,0),"")</f>
        <v>1</v>
      </c>
      <c r="N87" s="8" t="str">
        <f>IFERROR(IF(ISBLANK([2]NLFsmonkeyCompl!P88),"",[2]NLFsmonkeyCompl!P88*$M87),"")</f>
        <v/>
      </c>
      <c r="O87" s="8" t="str">
        <f>IFERROR(IF(ISBLANK([2]NLFsmonkeyCompl!Q88),"",[2]NLFsmonkeyCompl!Q88*$M87),"")</f>
        <v/>
      </c>
      <c r="P87" s="8" t="str">
        <f>IFERROR(IF(ISBLANK([2]NLFsmonkeyCompl!R88),"",[2]NLFsmonkeyCompl!R88*$M87),"")</f>
        <v/>
      </c>
      <c r="Q87" s="8" t="str">
        <f>IFERROR(IF(ISBLANK([2]NLFsmonkeyCompl!S88),"",[2]NLFsmonkeyCompl!S88*$M87),"")</f>
        <v/>
      </c>
      <c r="R87" s="8" t="str">
        <f>IFERROR(IF(ISBLANK([2]NLFsmonkeyCompl!T88),"",[2]NLFsmonkeyCompl!T88*$M87),"")</f>
        <v/>
      </c>
      <c r="S87" s="8" t="str">
        <f>IFERROR(IF(ISBLANK([2]NLFsmonkeyCompl!U88),"",[2]NLFsmonkeyCompl!U88*$M87),"")</f>
        <v/>
      </c>
      <c r="T87" s="8" t="str">
        <f>IFERROR(IF(ISBLANK([2]NLFsmonkeyCompl!V88),"",[2]NLFsmonkeyCompl!V88*$M87),"")</f>
        <v/>
      </c>
      <c r="U87" s="8" t="str">
        <f>IFERROR(IF(ISBLANK([2]NLFsmonkeyCompl!W88),"",[2]NLFsmonkeyCompl!W88*$M87),"")</f>
        <v/>
      </c>
      <c r="V87" s="8" t="str">
        <f>IFERROR(IF(ISBLANK([2]NLFsmonkeyCompl!X88),"",[2]NLFsmonkeyCompl!X88*$M87),"")</f>
        <v/>
      </c>
      <c r="W87" s="8" t="str">
        <f>IFERROR(IF(ISBLANK([2]NLFsmonkeyCompl!Y88),"",[2]NLFsmonkeyCompl!Y88*$M87),"")</f>
        <v/>
      </c>
      <c r="X87" s="8" t="str">
        <f>IFERROR(IF(ISBLANK([2]NLFsmonkeyCompl!Z88),"",[2]NLFsmonkeyCompl!Z88*$M87),"")</f>
        <v/>
      </c>
      <c r="Y87" s="8" t="str">
        <f>IFERROR(IF(ISBLANK([2]NLFsmonkeyCompl!AA88),"",[2]NLFsmonkeyCompl!AA88*$M87),"")</f>
        <v/>
      </c>
      <c r="Z87" s="8" t="str">
        <f>IFERROR(IF(ISBLANK([2]NLFsmonkeyCompl!AB88),"",[2]NLFsmonkeyCompl!AB88*$M87),"")</f>
        <v/>
      </c>
      <c r="AA87" s="8" t="str">
        <f>IFERROR(IF(ISBLANK([2]NLFsmonkeyCompl!AC88),"",[2]NLFsmonkeyCompl!AC88*$M87),"")</f>
        <v/>
      </c>
      <c r="AB87" s="8" t="str">
        <f>IFERROR(IF(ISBLANK([2]NLFsmonkeyCompl!AD88),"",[2]NLFsmonkeyCompl!AD88),"")</f>
        <v/>
      </c>
      <c r="AC87" s="8" t="str">
        <f>IFERROR(IF(ISBLANK([2]NLFsmonkeyCompl!AE88),"",[2]NLFsmonkeyCompl!AE88),"")</f>
        <v/>
      </c>
      <c r="AD87" s="8" t="str">
        <f>IFERROR(IF(ISBLANK([2]NLFsmonkeyCompl!AF88),"",[2]NLFsmonkeyCompl!AF88),"")</f>
        <v/>
      </c>
      <c r="AE87" s="8" t="str">
        <f>IFERROR(IF(ISBLANK([2]NLFsmonkeyCompl!AG88),"",[2]NLFsmonkeyCompl!AG88),"")</f>
        <v/>
      </c>
      <c r="AF87" s="8" t="str">
        <f>IFERROR(IF(ISBLANK([2]NLFsmonkeyCompl!AH88),"",[2]NLFsmonkeyCompl!AH88),"")</f>
        <v/>
      </c>
      <c r="AG87" s="8" t="str">
        <f>IFERROR(IF(ISBLANK([2]NLFsmonkeyCompl!AI88),"",[2]NLFsmonkeyCompl!AI88),"")</f>
        <v/>
      </c>
      <c r="AH87">
        <f>IFERROR(INDEX([2]VehiclesUniverse!$B$2:$EU$700,MATCH($C87,[2]VehiclesUniverse!$A$2:$A$700,0),MATCH($AH$1,[2]VehiclesUniverse!$B$1:$EU$1,0)),"")</f>
        <v>5424436057</v>
      </c>
    </row>
    <row r="88" spans="1:34" x14ac:dyDescent="0.2">
      <c r="A88" s="5" t="str">
        <f>IF(OR(ISTEXT([2]NLFsmonkeyCompl!J89),ISNUMBER([2]NLFsmonkeyCompl!J89)),[2]NLFsmonkeyCompl!J89,"")</f>
        <v>ICG plc</v>
      </c>
      <c r="B88" s="6" t="str">
        <f>IF(OR(ISTEXT([2]NLFsmonkeyCompl!K89),ISNUMBER([2]NLFsmonkeyCompl!K89)),[2]NLFsmonkeyCompl!K89,"")</f>
        <v>ICG European Sales and Leaseback Fund I</v>
      </c>
      <c r="C88" s="6" t="s">
        <v>58</v>
      </c>
      <c r="D88" s="6" t="str">
        <f>IFERROR(INDEX([2]VehiclesUniverse!$B$2:$EU$700,MATCH(C88,[2]VehiclesUniverse!$A$2:$A$700,0),MATCH($D$1,[2]VehiclesUniverse!$B$1:$EU$1,0)),"")</f>
        <v/>
      </c>
      <c r="E88" s="6" t="str">
        <f>IFERROR(INDEX([2]VehiclesUniverse!$B$2:$EU$700,MATCH(C88,[2]VehiclesUniverse!$A$2:$A$700,0),MATCH($E$1,[2]VehiclesUniverse!$B$1:$EU$1,0)),"")</f>
        <v/>
      </c>
      <c r="F88" s="6" t="str">
        <f>IF(IFERROR(INDEX([2]VehiclesUniverse!$B$2:$EU$700,MATCH($C88,[2]VehiclesUniverse!$A$2:$A$700,0),MATCH($F$1,[2]VehiclesUniverse!$B$1:$EU$1,0)),"")&lt;&gt;0,(IFERROR(INDEX([2]VehiclesUniverse!$B$2:$EU$700,MATCH($C88,[2]VehiclesUniverse!$A$2:$A$700,0),MATCH($F$1,[2]VehiclesUniverse!$B$1:$EU$1,0)),"")),"")</f>
        <v/>
      </c>
      <c r="G88" s="6"/>
      <c r="H88" s="6" t="str">
        <f>IFERROR(INDEX([2]VehiclesUniverse!$B$2:$EU$700,MATCH(C88,[2]VehiclesUniverse!$A$2:$A$700,0),MATCH($H$1,[2]VehiclesUniverse!$B$1:$EU$1,0)),"")</f>
        <v/>
      </c>
      <c r="I88" s="6" t="str">
        <f>IF(ISBLANK([2]NLFsmonkeyCompl!M89),"",[2]NLFsmonkeyCompl!M89)</f>
        <v>Yes</v>
      </c>
      <c r="J88" s="6" t="str">
        <f>IF(ISBLANK([2]NLFsmonkeyCompl!N89),"",[2]NLFsmonkeyCompl!N89)</f>
        <v/>
      </c>
      <c r="K88" s="6" t="str">
        <f>IF(ISBLANK([2]NLFsmonkeyCompl!O89),"",[2]NLFsmonkeyCompl!O89)</f>
        <v/>
      </c>
      <c r="L88" s="6" t="str">
        <f>IFERROR(INDEX([2]VehiclesUniverse!$B$2:$EU$700,MATCH(C88,[2]VehiclesUniverse!$A$2:$A$700,0),MATCH($L$1,[2]VehiclesUniverse!$B$1:$EU$1,0)),"")</f>
        <v/>
      </c>
      <c r="M88" s="16" t="str">
        <f>IFERROR(VLOOKUP(L88,'[2]Xrate31.12.20'!$K$2:$N$25,3,0),"")</f>
        <v/>
      </c>
      <c r="N88" s="8" t="str">
        <f>IFERROR(IF(ISBLANK([2]NLFsmonkeyCompl!P89),"",[2]NLFsmonkeyCompl!P89*$M88),"")</f>
        <v/>
      </c>
      <c r="O88" s="8" t="str">
        <f>IFERROR(IF(ISBLANK([2]NLFsmonkeyCompl!Q89),"",[2]NLFsmonkeyCompl!Q89*$M88),"")</f>
        <v/>
      </c>
      <c r="P88" s="8" t="str">
        <f>IFERROR(IF(ISBLANK([2]NLFsmonkeyCompl!R89),"",[2]NLFsmonkeyCompl!R89*$M88),"")</f>
        <v/>
      </c>
      <c r="Q88" s="8" t="str">
        <f>IFERROR(IF(ISBLANK([2]NLFsmonkeyCompl!S89),"",[2]NLFsmonkeyCompl!S89*$M88),"")</f>
        <v/>
      </c>
      <c r="R88" s="8" t="str">
        <f>IFERROR(IF(ISBLANK([2]NLFsmonkeyCompl!T89),"",[2]NLFsmonkeyCompl!T89*$M88),"")</f>
        <v/>
      </c>
      <c r="S88" s="8" t="str">
        <f>IFERROR(IF(ISBLANK([2]NLFsmonkeyCompl!U89),"",[2]NLFsmonkeyCompl!U89*$M88),"")</f>
        <v/>
      </c>
      <c r="T88" s="8" t="str">
        <f>IFERROR(IF(ISBLANK([2]NLFsmonkeyCompl!V89),"",[2]NLFsmonkeyCompl!V89*$M88),"")</f>
        <v/>
      </c>
      <c r="U88" s="8" t="str">
        <f>IFERROR(IF(ISBLANK([2]NLFsmonkeyCompl!W89),"",[2]NLFsmonkeyCompl!W89*$M88),"")</f>
        <v/>
      </c>
      <c r="V88" s="8" t="str">
        <f>IFERROR(IF(ISBLANK([2]NLFsmonkeyCompl!X89),"",[2]NLFsmonkeyCompl!X89*$M88),"")</f>
        <v/>
      </c>
      <c r="W88" s="8" t="str">
        <f>IFERROR(IF(ISBLANK([2]NLFsmonkeyCompl!Y89),"",[2]NLFsmonkeyCompl!Y89*$M88),"")</f>
        <v/>
      </c>
      <c r="X88" s="8" t="str">
        <f>IFERROR(IF(ISBLANK([2]NLFsmonkeyCompl!Z89),"",[2]NLFsmonkeyCompl!Z89*$M88),"")</f>
        <v/>
      </c>
      <c r="Y88" s="8" t="str">
        <f>IFERROR(IF(ISBLANK([2]NLFsmonkeyCompl!AA89),"",[2]NLFsmonkeyCompl!AA89*$M88),"")</f>
        <v/>
      </c>
      <c r="Z88" s="8" t="str">
        <f>IFERROR(IF(ISBLANK([2]NLFsmonkeyCompl!AB89),"",[2]NLFsmonkeyCompl!AB89*$M88),"")</f>
        <v/>
      </c>
      <c r="AA88" s="8" t="str">
        <f>IFERROR(IF(ISBLANK([2]NLFsmonkeyCompl!AC89),"",[2]NLFsmonkeyCompl!AC89*$M88),"")</f>
        <v/>
      </c>
      <c r="AB88" s="8" t="str">
        <f>IFERROR(IF(ISBLANK([2]NLFsmonkeyCompl!AD89),"",[2]NLFsmonkeyCompl!AD89),"")</f>
        <v/>
      </c>
      <c r="AC88" s="8" t="str">
        <f>IFERROR(IF(ISBLANK([2]NLFsmonkeyCompl!AE89),"",[2]NLFsmonkeyCompl!AE89),"")</f>
        <v/>
      </c>
      <c r="AD88" s="8">
        <f>IFERROR(IF(ISBLANK([2]NLFsmonkeyCompl!AF89),"",[2]NLFsmonkeyCompl!AF89),"")</f>
        <v>100</v>
      </c>
      <c r="AE88" s="8" t="str">
        <f>IFERROR(IF(ISBLANK([2]NLFsmonkeyCompl!AG89),"",[2]NLFsmonkeyCompl!AG89),"")</f>
        <v/>
      </c>
      <c r="AF88" s="8" t="str">
        <f>IFERROR(IF(ISBLANK([2]NLFsmonkeyCompl!AH89),"",[2]NLFsmonkeyCompl!AH89),"")</f>
        <v>Increase</v>
      </c>
      <c r="AG88" s="8" t="str">
        <f>IFERROR(IF(ISBLANK([2]NLFsmonkeyCompl!AI89),"",[2]NLFsmonkeyCompl!AI89),"")</f>
        <v>Yes</v>
      </c>
      <c r="AH88" t="str">
        <f>IFERROR(INDEX([2]VehiclesUniverse!$B$2:$EU$700,MATCH($C88,[2]VehiclesUniverse!$A$2:$A$700,0),MATCH($AH$1,[2]VehiclesUniverse!$B$1:$EU$1,0)),"")</f>
        <v/>
      </c>
    </row>
    <row r="89" spans="1:34" x14ac:dyDescent="0.2">
      <c r="A89" s="5" t="str">
        <f>IF(OR(ISTEXT([2]NLFsmonkeyCompl!J90),ISNUMBER([2]NLFsmonkeyCompl!J90)),[2]NLFsmonkeyCompl!J90,"")</f>
        <v>DNB REIM</v>
      </c>
      <c r="B89" s="6" t="str">
        <f>IF(OR(ISTEXT([2]NLFsmonkeyCompl!K90),ISNUMBER([2]NLFsmonkeyCompl!K90)),[2]NLFsmonkeyCompl!K90,"")</f>
        <v>DNB Scandinavian Property Fund</v>
      </c>
      <c r="C89" s="6">
        <v>17499</v>
      </c>
      <c r="D89" s="6" t="str">
        <f>IFERROR(INDEX([2]VehiclesUniverse!$B$2:$EU$700,MATCH(C89,[2]VehiclesUniverse!$A$2:$A$700,0),MATCH($D$1,[2]VehiclesUniverse!$B$1:$EU$1,0)),"")</f>
        <v>Core</v>
      </c>
      <c r="E89" s="6" t="str">
        <f>IFERROR(INDEX([2]VehiclesUniverse!$B$2:$EU$700,MATCH(C89,[2]VehiclesUniverse!$A$2:$A$700,0),MATCH($E$1,[2]VehiclesUniverse!$B$1:$EU$1,0)),"")</f>
        <v>multi country</v>
      </c>
      <c r="F89" s="6" t="str">
        <f>IF(IFERROR(INDEX([2]VehiclesUniverse!$B$2:$EU$700,MATCH($C89,[2]VehiclesUniverse!$A$2:$A$700,0),MATCH($F$1,[2]VehiclesUniverse!$B$1:$EU$1,0)),"")&lt;&gt;0,(IFERROR(INDEX([2]VehiclesUniverse!$B$2:$EU$700,MATCH($C89,[2]VehiclesUniverse!$A$2:$A$700,0),MATCH($F$1,[2]VehiclesUniverse!$B$1:$EU$1,0)),"")),"")</f>
        <v/>
      </c>
      <c r="G89" s="6" t="str">
        <f>IF(ISBLANK([2]NLFsmonkeyCompl!L90),"",[2]NLFsmonkeyCompl!L90)</f>
        <v>Open end</v>
      </c>
      <c r="H89" s="6">
        <f>IFERROR(INDEX([2]VehiclesUniverse!$B$2:$EU$700,MATCH(C89,[2]VehiclesUniverse!$A$2:$A$700,0),MATCH($H$1,[2]VehiclesUniverse!$B$1:$EU$1,0)),"")</f>
        <v>2007</v>
      </c>
      <c r="I89" s="6" t="str">
        <f>IF(ISBLANK([2]NLFsmonkeyCompl!M90),"",[2]NLFsmonkeyCompl!M90)</f>
        <v>No</v>
      </c>
      <c r="J89" s="6" t="str">
        <f>IF(ISBLANK([2]NLFsmonkeyCompl!N90),"",[2]NLFsmonkeyCompl!N90)</f>
        <v>Other (please specify)</v>
      </c>
      <c r="K89" s="6" t="str">
        <f>IF(ISBLANK([2]NLFsmonkeyCompl!O90),"",[2]NLFsmonkeyCompl!O90)</f>
        <v>Covid 19</v>
      </c>
      <c r="L89" s="6" t="str">
        <f>IFERROR(INDEX([2]VehiclesUniverse!$B$2:$EU$700,MATCH(C89,[2]VehiclesUniverse!$A$2:$A$700,0),MATCH($L$1,[2]VehiclesUniverse!$B$1:$EU$1,0)),"")</f>
        <v>NOK</v>
      </c>
      <c r="M89" s="16">
        <f>IFERROR(VLOOKUP(L89,'[2]Xrate31.12.20'!$K$2:$N$25,3,0),"")</f>
        <v>9.5415699000000007E-2</v>
      </c>
      <c r="N89" s="8" t="str">
        <f>IFERROR(IF(ISBLANK([2]NLFsmonkeyCompl!P90),"",[2]NLFsmonkeyCompl!P90*$M89),"")</f>
        <v/>
      </c>
      <c r="O89" s="8" t="str">
        <f>IFERROR(IF(ISBLANK([2]NLFsmonkeyCompl!Q90),"",[2]NLFsmonkeyCompl!Q90*$M89),"")</f>
        <v/>
      </c>
      <c r="P89" s="8" t="str">
        <f>IFERROR(IF(ISBLANK([2]NLFsmonkeyCompl!R90),"",[2]NLFsmonkeyCompl!R90*$M89),"")</f>
        <v/>
      </c>
      <c r="Q89" s="8" t="str">
        <f>IFERROR(IF(ISBLANK([2]NLFsmonkeyCompl!S90),"",[2]NLFsmonkeyCompl!S90*$M89),"")</f>
        <v/>
      </c>
      <c r="R89" s="8" t="str">
        <f>IFERROR(IF(ISBLANK([2]NLFsmonkeyCompl!T90),"",[2]NLFsmonkeyCompl!T90*$M89),"")</f>
        <v/>
      </c>
      <c r="S89" s="8" t="str">
        <f>IFERROR(IF(ISBLANK([2]NLFsmonkeyCompl!U90),"",[2]NLFsmonkeyCompl!U90*$M89),"")</f>
        <v/>
      </c>
      <c r="T89" s="8" t="str">
        <f>IFERROR(IF(ISBLANK([2]NLFsmonkeyCompl!V90),"",[2]NLFsmonkeyCompl!V90*$M89),"")</f>
        <v/>
      </c>
      <c r="U89" s="8" t="str">
        <f>IFERROR(IF(ISBLANK([2]NLFsmonkeyCompl!W90),"",[2]NLFsmonkeyCompl!W90*$M89),"")</f>
        <v/>
      </c>
      <c r="V89" s="8" t="str">
        <f>IFERROR(IF(ISBLANK([2]NLFsmonkeyCompl!X90),"",[2]NLFsmonkeyCompl!X90*$M89),"")</f>
        <v/>
      </c>
      <c r="W89" s="8" t="str">
        <f>IFERROR(IF(ISBLANK([2]NLFsmonkeyCompl!Y90),"",[2]NLFsmonkeyCompl!Y90*$M89),"")</f>
        <v/>
      </c>
      <c r="X89" s="8" t="str">
        <f>IFERROR(IF(ISBLANK([2]NLFsmonkeyCompl!Z90),"",[2]NLFsmonkeyCompl!Z90*$M89),"")</f>
        <v/>
      </c>
      <c r="Y89" s="8" t="str">
        <f>IFERROR(IF(ISBLANK([2]NLFsmonkeyCompl!AA90),"",[2]NLFsmonkeyCompl!AA90*$M89),"")</f>
        <v/>
      </c>
      <c r="Z89" s="8" t="str">
        <f>IFERROR(IF(ISBLANK([2]NLFsmonkeyCompl!AB90),"",[2]NLFsmonkeyCompl!AB90*$M89),"")</f>
        <v/>
      </c>
      <c r="AA89" s="8" t="str">
        <f>IFERROR(IF(ISBLANK([2]NLFsmonkeyCompl!AC90),"",[2]NLFsmonkeyCompl!AC90*$M89),"")</f>
        <v/>
      </c>
      <c r="AB89" s="8" t="str">
        <f>IFERROR(IF(ISBLANK([2]NLFsmonkeyCompl!AD90),"",[2]NLFsmonkeyCompl!AD90),"")</f>
        <v/>
      </c>
      <c r="AC89" s="8" t="str">
        <f>IFERROR(IF(ISBLANK([2]NLFsmonkeyCompl!AE90),"",[2]NLFsmonkeyCompl!AE90),"")</f>
        <v/>
      </c>
      <c r="AD89" s="8" t="str">
        <f>IFERROR(IF(ISBLANK([2]NLFsmonkeyCompl!AF90),"",[2]NLFsmonkeyCompl!AF90),"")</f>
        <v/>
      </c>
      <c r="AE89" s="8" t="str">
        <f>IFERROR(IF(ISBLANK([2]NLFsmonkeyCompl!AG90),"",[2]NLFsmonkeyCompl!AG90),"")</f>
        <v/>
      </c>
      <c r="AF89" s="8" t="str">
        <f>IFERROR(IF(ISBLANK([2]NLFsmonkeyCompl!AH90),"",[2]NLFsmonkeyCompl!AH90),"")</f>
        <v>Increase</v>
      </c>
      <c r="AG89" s="8" t="str">
        <f>IFERROR(IF(ISBLANK([2]NLFsmonkeyCompl!AI90),"",[2]NLFsmonkeyCompl!AI90),"")</f>
        <v>Yes</v>
      </c>
      <c r="AH89">
        <f>IFERROR(INDEX([2]VehiclesUniverse!$B$2:$EU$700,MATCH($C89,[2]VehiclesUniverse!$A$2:$A$700,0),MATCH($AH$1,[2]VehiclesUniverse!$B$1:$EU$1,0)),"")</f>
        <v>1010914480.641409</v>
      </c>
    </row>
    <row r="90" spans="1:34" x14ac:dyDescent="0.2">
      <c r="A90" s="5" t="str">
        <f>IF(OR(ISTEXT([2]NLFsmonkeyCompl!J91),ISNUMBER([2]NLFsmonkeyCompl!J91)),[2]NLFsmonkeyCompl!J91,"")</f>
        <v>DNB REIM</v>
      </c>
      <c r="B90" s="6" t="str">
        <f>IF(OR(ISTEXT([2]NLFsmonkeyCompl!K91),ISNUMBER([2]NLFsmonkeyCompl!K91)),[2]NLFsmonkeyCompl!K91,"")</f>
        <v>DNB Scandinavian Property Fund</v>
      </c>
      <c r="C90" s="6">
        <v>17499</v>
      </c>
      <c r="D90" s="6" t="str">
        <f>IFERROR(INDEX([2]VehiclesUniverse!$B$2:$EU$700,MATCH(C90,[2]VehiclesUniverse!$A$2:$A$700,0),MATCH($D$1,[2]VehiclesUniverse!$B$1:$EU$1,0)),"")</f>
        <v>Core</v>
      </c>
      <c r="E90" s="6" t="str">
        <f>IFERROR(INDEX([2]VehiclesUniverse!$B$2:$EU$700,MATCH(C90,[2]VehiclesUniverse!$A$2:$A$700,0),MATCH($E$1,[2]VehiclesUniverse!$B$1:$EU$1,0)),"")</f>
        <v>multi country</v>
      </c>
      <c r="F90" s="6" t="str">
        <f>IF(IFERROR(INDEX([2]VehiclesUniverse!$B$2:$EU$700,MATCH($C90,[2]VehiclesUniverse!$A$2:$A$700,0),MATCH($F$1,[2]VehiclesUniverse!$B$1:$EU$1,0)),"")&lt;&gt;0,(IFERROR(INDEX([2]VehiclesUniverse!$B$2:$EU$700,MATCH($C90,[2]VehiclesUniverse!$A$2:$A$700,0),MATCH($F$1,[2]VehiclesUniverse!$B$1:$EU$1,0)),"")),"")</f>
        <v/>
      </c>
      <c r="G90" s="6" t="str">
        <f>IF(ISBLANK([2]NLFsmonkeyCompl!L91),"",[2]NLFsmonkeyCompl!L91)</f>
        <v>Open end</v>
      </c>
      <c r="H90" s="6">
        <f>IFERROR(INDEX([2]VehiclesUniverse!$B$2:$EU$700,MATCH(C90,[2]VehiclesUniverse!$A$2:$A$700,0),MATCH($H$1,[2]VehiclesUniverse!$B$1:$EU$1,0)),"")</f>
        <v>2007</v>
      </c>
      <c r="I90" s="6" t="str">
        <f>IF(ISBLANK([2]NLFsmonkeyCompl!M91),"",[2]NLFsmonkeyCompl!M91)</f>
        <v>Yes</v>
      </c>
      <c r="J90" s="6" t="str">
        <f>IF(ISBLANK([2]NLFsmonkeyCompl!N91),"",[2]NLFsmonkeyCompl!N91)</f>
        <v/>
      </c>
      <c r="K90" s="6" t="str">
        <f>IF(ISBLANK([2]NLFsmonkeyCompl!O91),"",[2]NLFsmonkeyCompl!O91)</f>
        <v/>
      </c>
      <c r="L90" s="6" t="str">
        <f>IFERROR(INDEX([2]VehiclesUniverse!$B$2:$EU$700,MATCH(C90,[2]VehiclesUniverse!$A$2:$A$700,0),MATCH($L$1,[2]VehiclesUniverse!$B$1:$EU$1,0)),"")</f>
        <v>NOK</v>
      </c>
      <c r="M90" s="16">
        <f>IFERROR(VLOOKUP(L90,'[2]Xrate31.12.20'!$K$2:$N$25,3,0),"")</f>
        <v>9.5415699000000007E-2</v>
      </c>
      <c r="N90" s="8" t="str">
        <f>IFERROR(IF(ISBLANK([2]NLFsmonkeyCompl!P91),"",[2]NLFsmonkeyCompl!P91*$M90),"")</f>
        <v/>
      </c>
      <c r="O90" s="8" t="str">
        <f>IFERROR(IF(ISBLANK([2]NLFsmonkeyCompl!Q91),"",[2]NLFsmonkeyCompl!Q91*$M90),"")</f>
        <v/>
      </c>
      <c r="P90" s="8" t="str">
        <f>IFERROR(IF(ISBLANK([2]NLFsmonkeyCompl!R91),"",[2]NLFsmonkeyCompl!R91*$M90),"")</f>
        <v/>
      </c>
      <c r="Q90" s="8" t="str">
        <f>IFERROR(IF(ISBLANK([2]NLFsmonkeyCompl!S91),"",[2]NLFsmonkeyCompl!S91*$M90),"")</f>
        <v/>
      </c>
      <c r="R90" s="8" t="str">
        <f>IFERROR(IF(ISBLANK([2]NLFsmonkeyCompl!T91),"",[2]NLFsmonkeyCompl!T91*$M90),"")</f>
        <v/>
      </c>
      <c r="S90" s="8" t="str">
        <f>IFERROR(IF(ISBLANK([2]NLFsmonkeyCompl!U91),"",[2]NLFsmonkeyCompl!U91*$M90),"")</f>
        <v/>
      </c>
      <c r="T90" s="8" t="str">
        <f>IFERROR(IF(ISBLANK([2]NLFsmonkeyCompl!V91),"",[2]NLFsmonkeyCompl!V91*$M90),"")</f>
        <v/>
      </c>
      <c r="U90" s="8" t="str">
        <f>IFERROR(IF(ISBLANK([2]NLFsmonkeyCompl!W91),"",[2]NLFsmonkeyCompl!W91*$M90),"")</f>
        <v/>
      </c>
      <c r="V90" s="8" t="str">
        <f>IFERROR(IF(ISBLANK([2]NLFsmonkeyCompl!X91),"",[2]NLFsmonkeyCompl!X91*$M90),"")</f>
        <v/>
      </c>
      <c r="W90" s="8" t="str">
        <f>IFERROR(IF(ISBLANK([2]NLFsmonkeyCompl!Y91),"",[2]NLFsmonkeyCompl!Y91*$M90),"")</f>
        <v/>
      </c>
      <c r="X90" s="8" t="str">
        <f>IFERROR(IF(ISBLANK([2]NLFsmonkeyCompl!Z91),"",[2]NLFsmonkeyCompl!Z91*$M90),"")</f>
        <v/>
      </c>
      <c r="Y90" s="8" t="str">
        <f>IFERROR(IF(ISBLANK([2]NLFsmonkeyCompl!AA91),"",[2]NLFsmonkeyCompl!AA91*$M90),"")</f>
        <v/>
      </c>
      <c r="Z90" s="8" t="str">
        <f>IFERROR(IF(ISBLANK([2]NLFsmonkeyCompl!AB91),"",[2]NLFsmonkeyCompl!AB91*$M90),"")</f>
        <v/>
      </c>
      <c r="AA90" s="8" t="str">
        <f>IFERROR(IF(ISBLANK([2]NLFsmonkeyCompl!AC91),"",[2]NLFsmonkeyCompl!AC91*$M90),"")</f>
        <v/>
      </c>
      <c r="AB90" s="8" t="str">
        <f>IFERROR(IF(ISBLANK([2]NLFsmonkeyCompl!AD91),"",[2]NLFsmonkeyCompl!AD91),"")</f>
        <v/>
      </c>
      <c r="AC90" s="8" t="str">
        <f>IFERROR(IF(ISBLANK([2]NLFsmonkeyCompl!AE91),"",[2]NLFsmonkeyCompl!AE91),"")</f>
        <v/>
      </c>
      <c r="AD90" s="8" t="str">
        <f>IFERROR(IF(ISBLANK([2]NLFsmonkeyCompl!AF91),"",[2]NLFsmonkeyCompl!AF91),"")</f>
        <v/>
      </c>
      <c r="AE90" s="8" t="str">
        <f>IFERROR(IF(ISBLANK([2]NLFsmonkeyCompl!AG91),"",[2]NLFsmonkeyCompl!AG91),"")</f>
        <v/>
      </c>
      <c r="AF90" s="8" t="str">
        <f>IFERROR(IF(ISBLANK([2]NLFsmonkeyCompl!AH91),"",[2]NLFsmonkeyCompl!AH91),"")</f>
        <v/>
      </c>
      <c r="AG90" s="8" t="str">
        <f>IFERROR(IF(ISBLANK([2]NLFsmonkeyCompl!AI91),"",[2]NLFsmonkeyCompl!AI91),"")</f>
        <v/>
      </c>
      <c r="AH90">
        <f>IFERROR(INDEX([2]VehiclesUniverse!$B$2:$EU$700,MATCH($C90,[2]VehiclesUniverse!$A$2:$A$700,0),MATCH($AH$1,[2]VehiclesUniverse!$B$1:$EU$1,0)),"")</f>
        <v>1010914480.641409</v>
      </c>
    </row>
    <row r="91" spans="1:34" x14ac:dyDescent="0.2">
      <c r="A91" s="5" t="str">
        <f>IF(OR(ISTEXT([2]NLFsmonkeyCompl!J92),ISNUMBER([2]NLFsmonkeyCompl!J92)),[2]NLFsmonkeyCompl!J92,"")</f>
        <v>Harbert Management Corporation ("HMC")</v>
      </c>
      <c r="B91" s="6" t="str">
        <f>IF(OR(ISTEXT([2]NLFsmonkeyCompl!K92),ISNUMBER([2]NLFsmonkeyCompl!K92)),[2]NLFsmonkeyCompl!K92,"")</f>
        <v>Harbert European Real Estate Fund V</v>
      </c>
      <c r="C91" s="6">
        <v>19580</v>
      </c>
      <c r="D91" s="6" t="str">
        <f>IFERROR(INDEX([2]VehiclesUniverse!$B$2:$EU$700,MATCH(C91,[2]VehiclesUniverse!$A$2:$A$700,0),MATCH($D$1,[2]VehiclesUniverse!$B$1:$EU$1,0)),"")</f>
        <v>Value-added</v>
      </c>
      <c r="E91" s="6" t="str">
        <f>IFERROR(INDEX([2]VehiclesUniverse!$B$2:$EU$700,MATCH(C91,[2]VehiclesUniverse!$A$2:$A$700,0),MATCH($E$1,[2]VehiclesUniverse!$B$1:$EU$1,0)),"")</f>
        <v>multi country</v>
      </c>
      <c r="F91" s="6" t="str">
        <f>IF(IFERROR(INDEX([2]VehiclesUniverse!$B$2:$EU$700,MATCH($C91,[2]VehiclesUniverse!$A$2:$A$700,0),MATCH($F$1,[2]VehiclesUniverse!$B$1:$EU$1,0)),"")&lt;&gt;0,(IFERROR(INDEX([2]VehiclesUniverse!$B$2:$EU$700,MATCH($C91,[2]VehiclesUniverse!$A$2:$A$700,0),MATCH($F$1,[2]VehiclesUniverse!$B$1:$EU$1,0)),"")),"")</f>
        <v/>
      </c>
      <c r="G91" s="6" t="str">
        <f>IF(ISBLANK([2]NLFsmonkeyCompl!L92),"",[2]NLFsmonkeyCompl!L92)</f>
        <v>Closed end</v>
      </c>
      <c r="H91" s="6">
        <f>IFERROR(INDEX([2]VehiclesUniverse!$B$2:$EU$700,MATCH(C91,[2]VehiclesUniverse!$A$2:$A$700,0),MATCH($H$1,[2]VehiclesUniverse!$B$1:$EU$1,0)),"")</f>
        <v>2017</v>
      </c>
      <c r="I91" s="6" t="str">
        <f>IF(ISBLANK([2]NLFsmonkeyCompl!M92),"",[2]NLFsmonkeyCompl!M92)</f>
        <v>No</v>
      </c>
      <c r="J91" s="6" t="str">
        <f>IF(ISBLANK([2]NLFsmonkeyCompl!N92),"",[2]NLFsmonkeyCompl!N92)</f>
        <v>Other (please specify)</v>
      </c>
      <c r="K91" s="6" t="str">
        <f>IF(ISBLANK([2]NLFsmonkeyCompl!O92),"",[2]NLFsmonkeyCompl!O92)</f>
        <v>The fund isn't raising capital anymore</v>
      </c>
      <c r="L91" s="6" t="str">
        <f>IFERROR(INDEX([2]VehiclesUniverse!$B$2:$EU$700,MATCH(C91,[2]VehiclesUniverse!$A$2:$A$700,0),MATCH($L$1,[2]VehiclesUniverse!$B$1:$EU$1,0)),"")</f>
        <v>EUR</v>
      </c>
      <c r="M91" s="16">
        <f>IFERROR(VLOOKUP(L91,'[2]Xrate31.12.20'!$K$2:$N$25,3,0),"")</f>
        <v>1</v>
      </c>
      <c r="N91" s="8" t="str">
        <f>IFERROR(IF(ISBLANK([2]NLFsmonkeyCompl!P92),"",[2]NLFsmonkeyCompl!P92*$M91),"")</f>
        <v/>
      </c>
      <c r="O91" s="8" t="str">
        <f>IFERROR(IF(ISBLANK([2]NLFsmonkeyCompl!Q92),"",[2]NLFsmonkeyCompl!Q92*$M91),"")</f>
        <v/>
      </c>
      <c r="P91" s="8" t="str">
        <f>IFERROR(IF(ISBLANK([2]NLFsmonkeyCompl!R92),"",[2]NLFsmonkeyCompl!R92*$M91),"")</f>
        <v/>
      </c>
      <c r="Q91" s="8" t="str">
        <f>IFERROR(IF(ISBLANK([2]NLFsmonkeyCompl!S92),"",[2]NLFsmonkeyCompl!S92*$M91),"")</f>
        <v/>
      </c>
      <c r="R91" s="8" t="str">
        <f>IFERROR(IF(ISBLANK([2]NLFsmonkeyCompl!T92),"",[2]NLFsmonkeyCompl!T92*$M91),"")</f>
        <v/>
      </c>
      <c r="S91" s="8" t="str">
        <f>IFERROR(IF(ISBLANK([2]NLFsmonkeyCompl!U92),"",[2]NLFsmonkeyCompl!U92*$M91),"")</f>
        <v/>
      </c>
      <c r="T91" s="8" t="str">
        <f>IFERROR(IF(ISBLANK([2]NLFsmonkeyCompl!V92),"",[2]NLFsmonkeyCompl!V92*$M91),"")</f>
        <v/>
      </c>
      <c r="U91" s="8" t="str">
        <f>IFERROR(IF(ISBLANK([2]NLFsmonkeyCompl!W92),"",[2]NLFsmonkeyCompl!W92*$M91),"")</f>
        <v/>
      </c>
      <c r="V91" s="8" t="str">
        <f>IFERROR(IF(ISBLANK([2]NLFsmonkeyCompl!X92),"",[2]NLFsmonkeyCompl!X92*$M91),"")</f>
        <v/>
      </c>
      <c r="W91" s="8" t="str">
        <f>IFERROR(IF(ISBLANK([2]NLFsmonkeyCompl!Y92),"",[2]NLFsmonkeyCompl!Y92*$M91),"")</f>
        <v/>
      </c>
      <c r="X91" s="8" t="str">
        <f>IFERROR(IF(ISBLANK([2]NLFsmonkeyCompl!Z92),"",[2]NLFsmonkeyCompl!Z92*$M91),"")</f>
        <v/>
      </c>
      <c r="Y91" s="8" t="str">
        <f>IFERROR(IF(ISBLANK([2]NLFsmonkeyCompl!AA92),"",[2]NLFsmonkeyCompl!AA92*$M91),"")</f>
        <v/>
      </c>
      <c r="Z91" s="8" t="str">
        <f>IFERROR(IF(ISBLANK([2]NLFsmonkeyCompl!AB92),"",[2]NLFsmonkeyCompl!AB92*$M91),"")</f>
        <v/>
      </c>
      <c r="AA91" s="8" t="str">
        <f>IFERROR(IF(ISBLANK([2]NLFsmonkeyCompl!AC92),"",[2]NLFsmonkeyCompl!AC92*$M91),"")</f>
        <v/>
      </c>
      <c r="AB91" s="8" t="str">
        <f>IFERROR(IF(ISBLANK([2]NLFsmonkeyCompl!AD92),"",[2]NLFsmonkeyCompl!AD92),"")</f>
        <v/>
      </c>
      <c r="AC91" s="8" t="str">
        <f>IFERROR(IF(ISBLANK([2]NLFsmonkeyCompl!AE92),"",[2]NLFsmonkeyCompl!AE92),"")</f>
        <v/>
      </c>
      <c r="AD91" s="8" t="str">
        <f>IFERROR(IF(ISBLANK([2]NLFsmonkeyCompl!AF92),"",[2]NLFsmonkeyCompl!AF92),"")</f>
        <v/>
      </c>
      <c r="AE91" s="8" t="str">
        <f>IFERROR(IF(ISBLANK([2]NLFsmonkeyCompl!AG92),"",[2]NLFsmonkeyCompl!AG92),"")</f>
        <v/>
      </c>
      <c r="AF91" s="8" t="str">
        <f>IFERROR(IF(ISBLANK([2]NLFsmonkeyCompl!AH92),"",[2]NLFsmonkeyCompl!AH92),"")</f>
        <v/>
      </c>
      <c r="AG91" s="8" t="str">
        <f>IFERROR(IF(ISBLANK([2]NLFsmonkeyCompl!AI92),"",[2]NLFsmonkeyCompl!AI92),"")</f>
        <v/>
      </c>
      <c r="AH91">
        <f>IFERROR(INDEX([2]VehiclesUniverse!$B$2:$EU$700,MATCH($C91,[2]VehiclesUniverse!$A$2:$A$700,0),MATCH($AH$1,[2]VehiclesUniverse!$B$1:$EU$1,0)),"")</f>
        <v>245815350</v>
      </c>
    </row>
    <row r="92" spans="1:34" x14ac:dyDescent="0.2">
      <c r="A92" s="5" t="str">
        <f>IF(OR(ISTEXT([2]NLFsmonkeyCompl!J93),ISNUMBER([2]NLFsmonkeyCompl!J93)),[2]NLFsmonkeyCompl!J93,"")</f>
        <v>GLP Management</v>
      </c>
      <c r="B92" s="6" t="str">
        <f>IF(OR(ISTEXT([2]NLFsmonkeyCompl!K93),ISNUMBER([2]NLFsmonkeyCompl!K93)),[2]NLFsmonkeyCompl!K93,"")</f>
        <v>GLP Europe Income Partners II SCSp</v>
      </c>
      <c r="C92" s="6">
        <v>19653</v>
      </c>
      <c r="D92" s="6" t="str">
        <f>IFERROR(INDEX([2]VehiclesUniverse!$B$2:$EU$700,MATCH(C92,[2]VehiclesUniverse!$A$2:$A$700,0),MATCH($D$1,[2]VehiclesUniverse!$B$1:$EU$1,0)),"")</f>
        <v>Core</v>
      </c>
      <c r="E92" s="6" t="str">
        <f>IFERROR(INDEX([2]VehiclesUniverse!$B$2:$EU$700,MATCH(C92,[2]VehiclesUniverse!$A$2:$A$700,0),MATCH($E$1,[2]VehiclesUniverse!$B$1:$EU$1,0)),"")</f>
        <v>multi country</v>
      </c>
      <c r="F92" s="6" t="str">
        <f>IF(IFERROR(INDEX([2]VehiclesUniverse!$B$2:$EU$700,MATCH($C92,[2]VehiclesUniverse!$A$2:$A$700,0),MATCH($F$1,[2]VehiclesUniverse!$B$1:$EU$1,0)),"")&lt;&gt;0,(IFERROR(INDEX([2]VehiclesUniverse!$B$2:$EU$700,MATCH($C92,[2]VehiclesUniverse!$A$2:$A$700,0),MATCH($F$1,[2]VehiclesUniverse!$B$1:$EU$1,0)),"")),"")</f>
        <v/>
      </c>
      <c r="G92" s="6" t="str">
        <f>IF(ISBLANK([2]NLFsmonkeyCompl!L93),"",[2]NLFsmonkeyCompl!L93)</f>
        <v>Closed end</v>
      </c>
      <c r="H92" s="6">
        <f>IFERROR(INDEX([2]VehiclesUniverse!$B$2:$EU$700,MATCH(C92,[2]VehiclesUniverse!$A$2:$A$700,0),MATCH($H$1,[2]VehiclesUniverse!$B$1:$EU$1,0)),"")</f>
        <v>2020</v>
      </c>
      <c r="I92" s="6" t="str">
        <f>IF(ISBLANK([2]NLFsmonkeyCompl!M93),"",[2]NLFsmonkeyCompl!M93)</f>
        <v>Yes</v>
      </c>
      <c r="J92" s="6" t="str">
        <f>IF(ISBLANK([2]NLFsmonkeyCompl!N93),"",[2]NLFsmonkeyCompl!N93)</f>
        <v/>
      </c>
      <c r="K92" s="6" t="str">
        <f>IF(ISBLANK([2]NLFsmonkeyCompl!O93),"",[2]NLFsmonkeyCompl!O93)</f>
        <v/>
      </c>
      <c r="L92" s="6" t="str">
        <f>IFERROR(INDEX([2]VehiclesUniverse!$B$2:$EU$700,MATCH(C92,[2]VehiclesUniverse!$A$2:$A$700,0),MATCH($L$1,[2]VehiclesUniverse!$B$1:$EU$1,0)),"")</f>
        <v>EUR</v>
      </c>
      <c r="M92" s="16">
        <f>IFERROR(VLOOKUP(L92,'[2]Xrate31.12.20'!$K$2:$N$25,3,0),"")</f>
        <v>1</v>
      </c>
      <c r="N92" s="8">
        <f>IFERROR(IF(ISBLANK([2]NLFsmonkeyCompl!P93),"",[2]NLFsmonkeyCompl!P93*$M92),"")</f>
        <v>1382</v>
      </c>
      <c r="O92" s="8">
        <f>IFERROR(IF(ISBLANK([2]NLFsmonkeyCompl!Q93),"",[2]NLFsmonkeyCompl!Q93*$M92),"")</f>
        <v>961</v>
      </c>
      <c r="P92" s="8">
        <f>IFERROR(IF(ISBLANK([2]NLFsmonkeyCompl!R93),"",[2]NLFsmonkeyCompl!R93*$M92),"")</f>
        <v>171</v>
      </c>
      <c r="Q92" s="8">
        <f>IFERROR(IF(ISBLANK([2]NLFsmonkeyCompl!S93),"",[2]NLFsmonkeyCompl!S93*$M92),"")</f>
        <v>250</v>
      </c>
      <c r="R92" s="8" t="str">
        <f>IFERROR(IF(ISBLANK([2]NLFsmonkeyCompl!T93),"",[2]NLFsmonkeyCompl!T93*$M92),"")</f>
        <v/>
      </c>
      <c r="S92" s="8" t="str">
        <f>IFERROR(IF(ISBLANK([2]NLFsmonkeyCompl!U93),"",[2]NLFsmonkeyCompl!U93*$M92),"")</f>
        <v/>
      </c>
      <c r="T92" s="8" t="str">
        <f>IFERROR(IF(ISBLANK([2]NLFsmonkeyCompl!V93),"",[2]NLFsmonkeyCompl!V93*$M92),"")</f>
        <v/>
      </c>
      <c r="U92" s="8" t="str">
        <f>IFERROR(IF(ISBLANK([2]NLFsmonkeyCompl!W93),"",[2]NLFsmonkeyCompl!W93*$M92),"")</f>
        <v/>
      </c>
      <c r="V92" s="8" t="str">
        <f>IFERROR(IF(ISBLANK([2]NLFsmonkeyCompl!X93),"",[2]NLFsmonkeyCompl!X93*$M92),"")</f>
        <v/>
      </c>
      <c r="W92" s="8">
        <f>IFERROR(IF(ISBLANK([2]NLFsmonkeyCompl!Y93),"",[2]NLFsmonkeyCompl!Y93*$M92),"")</f>
        <v>478</v>
      </c>
      <c r="X92" s="8">
        <f>IFERROR(IF(ISBLANK([2]NLFsmonkeyCompl!Z93),"",[2]NLFsmonkeyCompl!Z93*$M92),"")</f>
        <v>904</v>
      </c>
      <c r="Y92" s="8" t="str">
        <f>IFERROR(IF(ISBLANK([2]NLFsmonkeyCompl!AA93),"",[2]NLFsmonkeyCompl!AA93*$M92),"")</f>
        <v/>
      </c>
      <c r="Z92" s="8" t="str">
        <f>IFERROR(IF(ISBLANK([2]NLFsmonkeyCompl!AB93),"",[2]NLFsmonkeyCompl!AB93*$M92),"")</f>
        <v/>
      </c>
      <c r="AA92" s="8" t="str">
        <f>IFERROR(IF(ISBLANK([2]NLFsmonkeyCompl!AC93),"",[2]NLFsmonkeyCompl!AC93*$M92),"")</f>
        <v/>
      </c>
      <c r="AB92" s="8">
        <f>IFERROR(IF(ISBLANK([2]NLFsmonkeyCompl!AD93),"",[2]NLFsmonkeyCompl!AD93),"")</f>
        <v>27</v>
      </c>
      <c r="AC92" s="8" t="str">
        <f>IFERROR(IF(ISBLANK([2]NLFsmonkeyCompl!AE93),"",[2]NLFsmonkeyCompl!AE93),"")</f>
        <v/>
      </c>
      <c r="AD92" s="8">
        <f>IFERROR(IF(ISBLANK([2]NLFsmonkeyCompl!AF93),"",[2]NLFsmonkeyCompl!AF93),"")</f>
        <v>73</v>
      </c>
      <c r="AE92" s="8" t="str">
        <f>IFERROR(IF(ISBLANK([2]NLFsmonkeyCompl!AG93),"",[2]NLFsmonkeyCompl!AG93),"")</f>
        <v/>
      </c>
      <c r="AF92" s="8" t="str">
        <f>IFERROR(IF(ISBLANK([2]NLFsmonkeyCompl!AH93),"",[2]NLFsmonkeyCompl!AH93),"")</f>
        <v>Increase</v>
      </c>
      <c r="AG92" s="8" t="str">
        <f>IFERROR(IF(ISBLANK([2]NLFsmonkeyCompl!AI93),"",[2]NLFsmonkeyCompl!AI93),"")</f>
        <v>Yes</v>
      </c>
      <c r="AH92">
        <f>IFERROR(INDEX([2]VehiclesUniverse!$B$2:$EU$700,MATCH($C92,[2]VehiclesUniverse!$A$2:$A$700,0),MATCH($AH$1,[2]VehiclesUniverse!$B$1:$EU$1,0)),"")</f>
        <v>0</v>
      </c>
    </row>
    <row r="93" spans="1:34" x14ac:dyDescent="0.2">
      <c r="A93" s="5" t="str">
        <f>IF(OR(ISTEXT([2]NLFsmonkeyCompl!J94),ISNUMBER([2]NLFsmonkeyCompl!J94)),[2]NLFsmonkeyCompl!J94,"")</f>
        <v>Harbert Management Corporation ("HMC")</v>
      </c>
      <c r="B93" s="6" t="str">
        <f>IF(OR(ISTEXT([2]NLFsmonkeyCompl!K94),ISNUMBER([2]NLFsmonkeyCompl!K94)),[2]NLFsmonkeyCompl!K94,"")</f>
        <v>Harbert European Real Estate Fund V</v>
      </c>
      <c r="C93" s="6">
        <v>19580</v>
      </c>
      <c r="D93" s="6" t="str">
        <f>IFERROR(INDEX([2]VehiclesUniverse!$B$2:$EU$700,MATCH(C93,[2]VehiclesUniverse!$A$2:$A$700,0),MATCH($D$1,[2]VehiclesUniverse!$B$1:$EU$1,0)),"")</f>
        <v>Value-added</v>
      </c>
      <c r="E93" s="6" t="str">
        <f>IFERROR(INDEX([2]VehiclesUniverse!$B$2:$EU$700,MATCH(C93,[2]VehiclesUniverse!$A$2:$A$700,0),MATCH($E$1,[2]VehiclesUniverse!$B$1:$EU$1,0)),"")</f>
        <v>multi country</v>
      </c>
      <c r="F93" s="6" t="str">
        <f>IF(IFERROR(INDEX([2]VehiclesUniverse!$B$2:$EU$700,MATCH($C93,[2]VehiclesUniverse!$A$2:$A$700,0),MATCH($F$1,[2]VehiclesUniverse!$B$1:$EU$1,0)),"")&lt;&gt;0,(IFERROR(INDEX([2]VehiclesUniverse!$B$2:$EU$700,MATCH($C93,[2]VehiclesUniverse!$A$2:$A$700,0),MATCH($F$1,[2]VehiclesUniverse!$B$1:$EU$1,0)),"")),"")</f>
        <v/>
      </c>
      <c r="G93" s="6" t="str">
        <f>IF(ISBLANK([2]NLFsmonkeyCompl!L94),"",[2]NLFsmonkeyCompl!L94)</f>
        <v>Closed end</v>
      </c>
      <c r="H93" s="6">
        <f>IFERROR(INDEX([2]VehiclesUniverse!$B$2:$EU$700,MATCH(C93,[2]VehiclesUniverse!$A$2:$A$700,0),MATCH($H$1,[2]VehiclesUniverse!$B$1:$EU$1,0)),"")</f>
        <v>2017</v>
      </c>
      <c r="I93" s="6" t="str">
        <f>IF(ISBLANK([2]NLFsmonkeyCompl!M94),"",[2]NLFsmonkeyCompl!M94)</f>
        <v>No</v>
      </c>
      <c r="J93" s="6" t="str">
        <f>IF(ISBLANK([2]NLFsmonkeyCompl!N94),"",[2]NLFsmonkeyCompl!N94)</f>
        <v/>
      </c>
      <c r="K93" s="6" t="str">
        <f>IF(ISBLANK([2]NLFsmonkeyCompl!O94),"",[2]NLFsmonkeyCompl!O94)</f>
        <v/>
      </c>
      <c r="L93" s="6" t="str">
        <f>IFERROR(INDEX([2]VehiclesUniverse!$B$2:$EU$700,MATCH(C93,[2]VehiclesUniverse!$A$2:$A$700,0),MATCH($L$1,[2]VehiclesUniverse!$B$1:$EU$1,0)),"")</f>
        <v>EUR</v>
      </c>
      <c r="M93" s="16">
        <f>IFERROR(VLOOKUP(L93,'[2]Xrate31.12.20'!$K$2:$N$25,3,0),"")</f>
        <v>1</v>
      </c>
      <c r="N93" s="8" t="str">
        <f>IFERROR(IF(ISBLANK([2]NLFsmonkeyCompl!P94),"",[2]NLFsmonkeyCompl!P94*$M93),"")</f>
        <v/>
      </c>
      <c r="O93" s="8" t="str">
        <f>IFERROR(IF(ISBLANK([2]NLFsmonkeyCompl!Q94),"",[2]NLFsmonkeyCompl!Q94*$M93),"")</f>
        <v/>
      </c>
      <c r="P93" s="8" t="str">
        <f>IFERROR(IF(ISBLANK([2]NLFsmonkeyCompl!R94),"",[2]NLFsmonkeyCompl!R94*$M93),"")</f>
        <v/>
      </c>
      <c r="Q93" s="8" t="str">
        <f>IFERROR(IF(ISBLANK([2]NLFsmonkeyCompl!S94),"",[2]NLFsmonkeyCompl!S94*$M93),"")</f>
        <v/>
      </c>
      <c r="R93" s="8" t="str">
        <f>IFERROR(IF(ISBLANK([2]NLFsmonkeyCompl!T94),"",[2]NLFsmonkeyCompl!T94*$M93),"")</f>
        <v/>
      </c>
      <c r="S93" s="8" t="str">
        <f>IFERROR(IF(ISBLANK([2]NLFsmonkeyCompl!U94),"",[2]NLFsmonkeyCompl!U94*$M93),"")</f>
        <v/>
      </c>
      <c r="T93" s="8" t="str">
        <f>IFERROR(IF(ISBLANK([2]NLFsmonkeyCompl!V94),"",[2]NLFsmonkeyCompl!V94*$M93),"")</f>
        <v/>
      </c>
      <c r="U93" s="8" t="str">
        <f>IFERROR(IF(ISBLANK([2]NLFsmonkeyCompl!W94),"",[2]NLFsmonkeyCompl!W94*$M93),"")</f>
        <v/>
      </c>
      <c r="V93" s="8" t="str">
        <f>IFERROR(IF(ISBLANK([2]NLFsmonkeyCompl!X94),"",[2]NLFsmonkeyCompl!X94*$M93),"")</f>
        <v/>
      </c>
      <c r="W93" s="8" t="str">
        <f>IFERROR(IF(ISBLANK([2]NLFsmonkeyCompl!Y94),"",[2]NLFsmonkeyCompl!Y94*$M93),"")</f>
        <v/>
      </c>
      <c r="X93" s="8" t="str">
        <f>IFERROR(IF(ISBLANK([2]NLFsmonkeyCompl!Z94),"",[2]NLFsmonkeyCompl!Z94*$M93),"")</f>
        <v/>
      </c>
      <c r="Y93" s="8" t="str">
        <f>IFERROR(IF(ISBLANK([2]NLFsmonkeyCompl!AA94),"",[2]NLFsmonkeyCompl!AA94*$M93),"")</f>
        <v/>
      </c>
      <c r="Z93" s="8" t="str">
        <f>IFERROR(IF(ISBLANK([2]NLFsmonkeyCompl!AB94),"",[2]NLFsmonkeyCompl!AB94*$M93),"")</f>
        <v/>
      </c>
      <c r="AA93" s="8" t="str">
        <f>IFERROR(IF(ISBLANK([2]NLFsmonkeyCompl!AC94),"",[2]NLFsmonkeyCompl!AC94*$M93),"")</f>
        <v/>
      </c>
      <c r="AB93" s="8" t="str">
        <f>IFERROR(IF(ISBLANK([2]NLFsmonkeyCompl!AD94),"",[2]NLFsmonkeyCompl!AD94),"")</f>
        <v/>
      </c>
      <c r="AC93" s="8" t="str">
        <f>IFERROR(IF(ISBLANK([2]NLFsmonkeyCompl!AE94),"",[2]NLFsmonkeyCompl!AE94),"")</f>
        <v/>
      </c>
      <c r="AD93" s="8" t="str">
        <f>IFERROR(IF(ISBLANK([2]NLFsmonkeyCompl!AF94),"",[2]NLFsmonkeyCompl!AF94),"")</f>
        <v/>
      </c>
      <c r="AE93" s="8" t="str">
        <f>IFERROR(IF(ISBLANK([2]NLFsmonkeyCompl!AG94),"",[2]NLFsmonkeyCompl!AG94),"")</f>
        <v/>
      </c>
      <c r="AF93" s="8" t="str">
        <f>IFERROR(IF(ISBLANK([2]NLFsmonkeyCompl!AH94),"",[2]NLFsmonkeyCompl!AH94),"")</f>
        <v/>
      </c>
      <c r="AG93" s="8" t="str">
        <f>IFERROR(IF(ISBLANK([2]NLFsmonkeyCompl!AI94),"",[2]NLFsmonkeyCompl!AI94),"")</f>
        <v/>
      </c>
      <c r="AH93">
        <f>IFERROR(INDEX([2]VehiclesUniverse!$B$2:$EU$700,MATCH($C93,[2]VehiclesUniverse!$A$2:$A$700,0),MATCH($AH$1,[2]VehiclesUniverse!$B$1:$EU$1,0)),"")</f>
        <v>245815350</v>
      </c>
    </row>
    <row r="94" spans="1:34" x14ac:dyDescent="0.2">
      <c r="A94" s="5" t="str">
        <f>IF(OR(ISTEXT([2]NLFsmonkeyCompl!J95),ISNUMBER([2]NLFsmonkeyCompl!J95)),[2]NLFsmonkeyCompl!J95,"")</f>
        <v>Optimum Asset Management S.A.</v>
      </c>
      <c r="B94" s="6" t="str">
        <f>IF(OR(ISTEXT([2]NLFsmonkeyCompl!K95),ISNUMBER([2]NLFsmonkeyCompl!K95)),[2]NLFsmonkeyCompl!K95,"")</f>
        <v>Optimum Evolution Fund SIF - Property II</v>
      </c>
      <c r="C94" s="6">
        <v>19623</v>
      </c>
      <c r="D94" s="6" t="s">
        <v>45</v>
      </c>
      <c r="E94" s="6" t="s">
        <v>48</v>
      </c>
      <c r="F94" s="6" t="s">
        <v>57</v>
      </c>
      <c r="G94" s="6" t="str">
        <f>IF(ISBLANK([2]NLFsmonkeyCompl!L95),"",[2]NLFsmonkeyCompl!L95)</f>
        <v>Closed end</v>
      </c>
      <c r="H94" s="6">
        <v>2011</v>
      </c>
      <c r="I94" s="6" t="str">
        <f>IF(ISBLANK([2]NLFsmonkeyCompl!M95),"",[2]NLFsmonkeyCompl!M95)</f>
        <v>No</v>
      </c>
      <c r="J94" s="6" t="str">
        <f>IF(ISBLANK([2]NLFsmonkeyCompl!N95),"",[2]NLFsmonkeyCompl!N95)</f>
        <v>Corporate governance framework</v>
      </c>
      <c r="K94" s="6" t="str">
        <f>IF(ISBLANK([2]NLFsmonkeyCompl!O95),"",[2]NLFsmonkeyCompl!O95)</f>
        <v/>
      </c>
      <c r="L94" s="6" t="str">
        <f>IFERROR(INDEX([2]VehiclesUniverse!$B$2:$EU$700,MATCH(C94,[2]VehiclesUniverse!$A$2:$A$700,0),MATCH($L$1,[2]VehiclesUniverse!$B$1:$EU$1,0)),"")</f>
        <v/>
      </c>
      <c r="M94" s="16" t="str">
        <f>IFERROR(VLOOKUP(L94,'[2]Xrate31.12.20'!$K$2:$N$25,3,0),"")</f>
        <v/>
      </c>
      <c r="N94" s="8" t="str">
        <f>IFERROR(IF(ISBLANK([2]NLFsmonkeyCompl!P95),"",[2]NLFsmonkeyCompl!P95*$M94),"")</f>
        <v/>
      </c>
      <c r="O94" s="8" t="str">
        <f>IFERROR(IF(ISBLANK([2]NLFsmonkeyCompl!Q95),"",[2]NLFsmonkeyCompl!Q95*$M94),"")</f>
        <v/>
      </c>
      <c r="P94" s="8" t="str">
        <f>IFERROR(IF(ISBLANK([2]NLFsmonkeyCompl!R95),"",[2]NLFsmonkeyCompl!R95*$M94),"")</f>
        <v/>
      </c>
      <c r="Q94" s="8" t="str">
        <f>IFERROR(IF(ISBLANK([2]NLFsmonkeyCompl!S95),"",[2]NLFsmonkeyCompl!S95*$M94),"")</f>
        <v/>
      </c>
      <c r="R94" s="8" t="str">
        <f>IFERROR(IF(ISBLANK([2]NLFsmonkeyCompl!T95),"",[2]NLFsmonkeyCompl!T95*$M94),"")</f>
        <v/>
      </c>
      <c r="S94" s="8" t="str">
        <f>IFERROR(IF(ISBLANK([2]NLFsmonkeyCompl!U95),"",[2]NLFsmonkeyCompl!U95*$M94),"")</f>
        <v/>
      </c>
      <c r="T94" s="8" t="str">
        <f>IFERROR(IF(ISBLANK([2]NLFsmonkeyCompl!V95),"",[2]NLFsmonkeyCompl!V95*$M94),"")</f>
        <v/>
      </c>
      <c r="U94" s="8" t="str">
        <f>IFERROR(IF(ISBLANK([2]NLFsmonkeyCompl!W95),"",[2]NLFsmonkeyCompl!W95*$M94),"")</f>
        <v/>
      </c>
      <c r="V94" s="8" t="str">
        <f>IFERROR(IF(ISBLANK([2]NLFsmonkeyCompl!X95),"",[2]NLFsmonkeyCompl!X95*$M94),"")</f>
        <v/>
      </c>
      <c r="W94" s="8" t="str">
        <f>IFERROR(IF(ISBLANK([2]NLFsmonkeyCompl!Y95),"",[2]NLFsmonkeyCompl!Y95*$M94),"")</f>
        <v/>
      </c>
      <c r="X94" s="8" t="str">
        <f>IFERROR(IF(ISBLANK([2]NLFsmonkeyCompl!Z95),"",[2]NLFsmonkeyCompl!Z95*$M94),"")</f>
        <v/>
      </c>
      <c r="Y94" s="8" t="str">
        <f>IFERROR(IF(ISBLANK([2]NLFsmonkeyCompl!AA95),"",[2]NLFsmonkeyCompl!AA95*$M94),"")</f>
        <v/>
      </c>
      <c r="Z94" s="8" t="str">
        <f>IFERROR(IF(ISBLANK([2]NLFsmonkeyCompl!AB95),"",[2]NLFsmonkeyCompl!AB95*$M94),"")</f>
        <v/>
      </c>
      <c r="AA94" s="8" t="str">
        <f>IFERROR(IF(ISBLANK([2]NLFsmonkeyCompl!AC95),"",[2]NLFsmonkeyCompl!AC95*$M94),"")</f>
        <v/>
      </c>
      <c r="AB94" s="8" t="str">
        <f>IFERROR(IF(ISBLANK([2]NLFsmonkeyCompl!AD95),"",[2]NLFsmonkeyCompl!AD95),"")</f>
        <v/>
      </c>
      <c r="AC94" s="8" t="str">
        <f>IFERROR(IF(ISBLANK([2]NLFsmonkeyCompl!AE95),"",[2]NLFsmonkeyCompl!AE95),"")</f>
        <v/>
      </c>
      <c r="AD94" s="8" t="str">
        <f>IFERROR(IF(ISBLANK([2]NLFsmonkeyCompl!AF95),"",[2]NLFsmonkeyCompl!AF95),"")</f>
        <v/>
      </c>
      <c r="AE94" s="8" t="str">
        <f>IFERROR(IF(ISBLANK([2]NLFsmonkeyCompl!AG95),"",[2]NLFsmonkeyCompl!AG95),"")</f>
        <v/>
      </c>
      <c r="AF94" s="8" t="str">
        <f>IFERROR(IF(ISBLANK([2]NLFsmonkeyCompl!AH95),"",[2]NLFsmonkeyCompl!AH95),"")</f>
        <v/>
      </c>
      <c r="AG94" s="8" t="str">
        <f>IFERROR(IF(ISBLANK([2]NLFsmonkeyCompl!AI95),"",[2]NLFsmonkeyCompl!AI95),"")</f>
        <v/>
      </c>
      <c r="AH94" t="str">
        <f>IFERROR(INDEX([2]VehiclesUniverse!$B$2:$EU$700,MATCH($C94,[2]VehiclesUniverse!$A$2:$A$700,0),MATCH($AH$1,[2]VehiclesUniverse!$B$1:$EU$1,0)),"")</f>
        <v/>
      </c>
    </row>
    <row r="95" spans="1:34" x14ac:dyDescent="0.2">
      <c r="A95" s="5" t="str">
        <f>IF(OR(ISTEXT([2]NLFsmonkeyCompl!J96),ISNUMBER([2]NLFsmonkeyCompl!J96)),[2]NLFsmonkeyCompl!J96,"")</f>
        <v>Invesco Real Estate</v>
      </c>
      <c r="B95" s="6" t="str">
        <f>IF(OR(ISTEXT([2]NLFsmonkeyCompl!K96),ISNUMBER([2]NLFsmonkeyCompl!K96)),[2]NLFsmonkeyCompl!K96,"")</f>
        <v>Invesco Real Estate - Global Direct Real Estate Fund</v>
      </c>
      <c r="C95" s="6" t="s">
        <v>60</v>
      </c>
      <c r="D95" s="6" t="str">
        <f>IFERROR(INDEX([2]VehiclesUniverse!$B$2:$EU$700,MATCH(C95,[2]VehiclesUniverse!$A$2:$A$700,0),MATCH($D$1,[2]VehiclesUniverse!$B$1:$EU$1,0)),"")</f>
        <v/>
      </c>
      <c r="E95" s="6" t="str">
        <f>IFERROR(INDEX([2]VehiclesUniverse!$B$2:$EU$700,MATCH(C95,[2]VehiclesUniverse!$A$2:$A$700,0),MATCH($E$1,[2]VehiclesUniverse!$B$1:$EU$1,0)),"")</f>
        <v/>
      </c>
      <c r="F95" s="6" t="str">
        <f>IF(IFERROR(INDEX([2]VehiclesUniverse!$B$2:$EU$700,MATCH($C95,[2]VehiclesUniverse!$A$2:$A$700,0),MATCH($F$1,[2]VehiclesUniverse!$B$1:$EU$1,0)),"")&lt;&gt;0,(IFERROR(INDEX([2]VehiclesUniverse!$B$2:$EU$700,MATCH($C95,[2]VehiclesUniverse!$A$2:$A$700,0),MATCH($F$1,[2]VehiclesUniverse!$B$1:$EU$1,0)),"")),"")</f>
        <v/>
      </c>
      <c r="G95" s="6"/>
      <c r="H95" s="6" t="str">
        <f>IFERROR(INDEX([2]VehiclesUniverse!$B$2:$EU$700,MATCH(C95,[2]VehiclesUniverse!$A$2:$A$700,0),MATCH($H$1,[2]VehiclesUniverse!$B$1:$EU$1,0)),"")</f>
        <v/>
      </c>
      <c r="I95" s="6" t="str">
        <f>IF(ISBLANK([2]NLFsmonkeyCompl!M96),"",[2]NLFsmonkeyCompl!M96)</f>
        <v>Yes</v>
      </c>
      <c r="J95" s="6" t="str">
        <f>IF(ISBLANK([2]NLFsmonkeyCompl!N96),"",[2]NLFsmonkeyCompl!N96)</f>
        <v/>
      </c>
      <c r="K95" s="6" t="str">
        <f>IF(ISBLANK([2]NLFsmonkeyCompl!O96),"",[2]NLFsmonkeyCompl!O96)</f>
        <v/>
      </c>
      <c r="L95" s="6" t="str">
        <f>IFERROR(INDEX([2]VehiclesUniverse!$B$2:$EU$700,MATCH(C95,[2]VehiclesUniverse!$A$2:$A$700,0),MATCH($L$1,[2]VehiclesUniverse!$B$1:$EU$1,0)),"")</f>
        <v/>
      </c>
      <c r="M95" s="16" t="str">
        <f>IFERROR(VLOOKUP(L95,'[2]Xrate31.12.20'!$K$2:$N$25,3,0),"")</f>
        <v/>
      </c>
      <c r="N95" s="8" t="str">
        <f>IFERROR(IF(ISBLANK([2]NLFsmonkeyCompl!P96),"",[2]NLFsmonkeyCompl!P96*$M95),"")</f>
        <v/>
      </c>
      <c r="O95" s="8" t="str">
        <f>IFERROR(IF(ISBLANK([2]NLFsmonkeyCompl!Q96),"",[2]NLFsmonkeyCompl!Q96*$M95),"")</f>
        <v/>
      </c>
      <c r="P95" s="8" t="str">
        <f>IFERROR(IF(ISBLANK([2]NLFsmonkeyCompl!R96),"",[2]NLFsmonkeyCompl!R96*$M95),"")</f>
        <v/>
      </c>
      <c r="Q95" s="8" t="str">
        <f>IFERROR(IF(ISBLANK([2]NLFsmonkeyCompl!S96),"",[2]NLFsmonkeyCompl!S96*$M95),"")</f>
        <v/>
      </c>
      <c r="R95" s="8" t="str">
        <f>IFERROR(IF(ISBLANK([2]NLFsmonkeyCompl!T96),"",[2]NLFsmonkeyCompl!T96*$M95),"")</f>
        <v/>
      </c>
      <c r="S95" s="8" t="str">
        <f>IFERROR(IF(ISBLANK([2]NLFsmonkeyCompl!U96),"",[2]NLFsmonkeyCompl!U96*$M95),"")</f>
        <v/>
      </c>
      <c r="T95" s="8" t="str">
        <f>IFERROR(IF(ISBLANK([2]NLFsmonkeyCompl!V96),"",[2]NLFsmonkeyCompl!V96*$M95),"")</f>
        <v/>
      </c>
      <c r="U95" s="8" t="str">
        <f>IFERROR(IF(ISBLANK([2]NLFsmonkeyCompl!W96),"",[2]NLFsmonkeyCompl!W96*$M95),"")</f>
        <v/>
      </c>
      <c r="V95" s="8" t="str">
        <f>IFERROR(IF(ISBLANK([2]NLFsmonkeyCompl!X96),"",[2]NLFsmonkeyCompl!X96*$M95),"")</f>
        <v/>
      </c>
      <c r="W95" s="8" t="str">
        <f>IFERROR(IF(ISBLANK([2]NLFsmonkeyCompl!Y96),"",[2]NLFsmonkeyCompl!Y96*$M95),"")</f>
        <v/>
      </c>
      <c r="X95" s="8" t="str">
        <f>IFERROR(IF(ISBLANK([2]NLFsmonkeyCompl!Z96),"",[2]NLFsmonkeyCompl!Z96*$M95),"")</f>
        <v/>
      </c>
      <c r="Y95" s="8" t="str">
        <f>IFERROR(IF(ISBLANK([2]NLFsmonkeyCompl!AA96),"",[2]NLFsmonkeyCompl!AA96*$M95),"")</f>
        <v/>
      </c>
      <c r="Z95" s="8" t="str">
        <f>IFERROR(IF(ISBLANK([2]NLFsmonkeyCompl!AB96),"",[2]NLFsmonkeyCompl!AB96*$M95),"")</f>
        <v/>
      </c>
      <c r="AA95" s="8" t="str">
        <f>IFERROR(IF(ISBLANK([2]NLFsmonkeyCompl!AC96),"",[2]NLFsmonkeyCompl!AC96*$M95),"")</f>
        <v/>
      </c>
      <c r="AB95" s="8" t="str">
        <f>IFERROR(IF(ISBLANK([2]NLFsmonkeyCompl!AD96),"",[2]NLFsmonkeyCompl!AD96),"")</f>
        <v/>
      </c>
      <c r="AC95" s="8" t="str">
        <f>IFERROR(IF(ISBLANK([2]NLFsmonkeyCompl!AE96),"",[2]NLFsmonkeyCompl!AE96),"")</f>
        <v/>
      </c>
      <c r="AD95" s="8" t="str">
        <f>IFERROR(IF(ISBLANK([2]NLFsmonkeyCompl!AF96),"",[2]NLFsmonkeyCompl!AF96),"")</f>
        <v/>
      </c>
      <c r="AE95" s="8">
        <f>IFERROR(IF(ISBLANK([2]NLFsmonkeyCompl!AG96),"",[2]NLFsmonkeyCompl!AG96),"")</f>
        <v>100</v>
      </c>
      <c r="AF95" s="8" t="str">
        <f>IFERROR(IF(ISBLANK([2]NLFsmonkeyCompl!AH96),"",[2]NLFsmonkeyCompl!AH96),"")</f>
        <v>Increase</v>
      </c>
      <c r="AG95" s="8" t="str">
        <f>IFERROR(IF(ISBLANK([2]NLFsmonkeyCompl!AI96),"",[2]NLFsmonkeyCompl!AI96),"")</f>
        <v>Yes</v>
      </c>
      <c r="AH95" t="str">
        <f>IFERROR(INDEX([2]VehiclesUniverse!$B$2:$EU$700,MATCH($C95,[2]VehiclesUniverse!$A$2:$A$700,0),MATCH($AH$1,[2]VehiclesUniverse!$B$1:$EU$1,0)),"")</f>
        <v/>
      </c>
    </row>
    <row r="96" spans="1:34" x14ac:dyDescent="0.2">
      <c r="A96" s="5" t="str">
        <f>IF(OR(ISTEXT([2]NLFsmonkeyCompl!J97),ISNUMBER([2]NLFsmonkeyCompl!J97)),[2]NLFsmonkeyCompl!J97,"")</f>
        <v>Invesco Real Estate</v>
      </c>
      <c r="B96" s="6" t="str">
        <f>IF(OR(ISTEXT([2]NLFsmonkeyCompl!K97),ISNUMBER([2]NLFsmonkeyCompl!K97)),[2]NLFsmonkeyCompl!K97,"")</f>
        <v>Invesco Real Estate - UK Residential Fund FCP-RAIF</v>
      </c>
      <c r="C96" s="6">
        <v>19586</v>
      </c>
      <c r="D96" s="6" t="s">
        <v>45</v>
      </c>
      <c r="E96" s="6" t="s">
        <v>48</v>
      </c>
      <c r="F96" s="6" t="s">
        <v>55</v>
      </c>
      <c r="G96" s="6" t="str">
        <f>IF(ISBLANK([2]NLFsmonkeyCompl!L97),"",[2]NLFsmonkeyCompl!L97)</f>
        <v>Open end</v>
      </c>
      <c r="H96" s="6">
        <v>2016</v>
      </c>
      <c r="I96" s="6" t="str">
        <f>IF(ISBLANK([2]NLFsmonkeyCompl!M97),"",[2]NLFsmonkeyCompl!M97)</f>
        <v>Yes</v>
      </c>
      <c r="J96" s="6" t="str">
        <f>IF(ISBLANK([2]NLFsmonkeyCompl!N97),"",[2]NLFsmonkeyCompl!N97)</f>
        <v/>
      </c>
      <c r="K96" s="6" t="str">
        <f>IF(ISBLANK([2]NLFsmonkeyCompl!O97),"",[2]NLFsmonkeyCompl!O97)</f>
        <v/>
      </c>
      <c r="L96" s="6" t="s">
        <v>56</v>
      </c>
      <c r="M96" s="16">
        <f>IFERROR(VLOOKUP(L96,'[2]Xrate31.12.20'!$K$2:$N$25,3,0),"")</f>
        <v>1.1130927885999999</v>
      </c>
      <c r="N96" s="19">
        <f>IFERROR(IF(ISBLANK([2]NLFsmonkeyCompl!P97),"",[2]NLFsmonkeyCompl!P97*$M96),"")/1000000</f>
        <v>6.8455206498900001</v>
      </c>
      <c r="O96" s="19">
        <f>IFERROR(IF(ISBLANK([2]NLFsmonkeyCompl!Q97),"",[2]NLFsmonkeyCompl!Q97*$M96),"")/1000000</f>
        <v>5.0089175487000004</v>
      </c>
      <c r="P96" s="8" t="str">
        <f>IFERROR(IF(ISBLANK([2]NLFsmonkeyCompl!R97),"",[2]NLFsmonkeyCompl!R97*$M96),"")</f>
        <v/>
      </c>
      <c r="Q96" s="8" t="str">
        <f>IFERROR(IF(ISBLANK([2]NLFsmonkeyCompl!S97),"",[2]NLFsmonkeyCompl!S97*$M96),"")</f>
        <v/>
      </c>
      <c r="R96" s="8" t="str">
        <f>IFERROR(IF(ISBLANK([2]NLFsmonkeyCompl!T97),"",[2]NLFsmonkeyCompl!T97*$M96),"")</f>
        <v/>
      </c>
      <c r="S96" s="8" t="str">
        <f>IFERROR(IF(ISBLANK([2]NLFsmonkeyCompl!U97),"",[2]NLFsmonkeyCompl!U97*$M96),"")</f>
        <v/>
      </c>
      <c r="T96" s="19">
        <f>IFERROR(IF(ISBLANK([2]NLFsmonkeyCompl!V97),"",[2]NLFsmonkeyCompl!V97*$M96),"")/1000000</f>
        <v>1.8366031011899999</v>
      </c>
      <c r="U96" s="8" t="str">
        <f>IFERROR(IF(ISBLANK([2]NLFsmonkeyCompl!W97),"",[2]NLFsmonkeyCompl!W97*$M96),"")</f>
        <v/>
      </c>
      <c r="V96" s="8" t="str">
        <f>IFERROR(IF(ISBLANK([2]NLFsmonkeyCompl!X97),"",[2]NLFsmonkeyCompl!X97*$M96),"")</f>
        <v/>
      </c>
      <c r="W96" s="19">
        <f>IFERROR(IF(ISBLANK([2]NLFsmonkeyCompl!Y97),"",[2]NLFsmonkeyCompl!Y97*$M96),"")/1000000</f>
        <v>6.8455206498900001</v>
      </c>
      <c r="X96" s="8" t="str">
        <f>IFERROR(IF(ISBLANK([2]NLFsmonkeyCompl!Z97),"",[2]NLFsmonkeyCompl!Z97*$M96),"")</f>
        <v/>
      </c>
      <c r="Y96" s="8" t="str">
        <f>IFERROR(IF(ISBLANK([2]NLFsmonkeyCompl!AA97),"",[2]NLFsmonkeyCompl!AA97*$M96),"")</f>
        <v/>
      </c>
      <c r="Z96" s="8" t="str">
        <f>IFERROR(IF(ISBLANK([2]NLFsmonkeyCompl!AB97),"",[2]NLFsmonkeyCompl!AB97*$M96),"")</f>
        <v/>
      </c>
      <c r="AA96" s="8" t="str">
        <f>IFERROR(IF(ISBLANK([2]NLFsmonkeyCompl!AC97),"",[2]NLFsmonkeyCompl!AC97*$M96),"")</f>
        <v/>
      </c>
      <c r="AB96" s="8" t="str">
        <f>IFERROR(IF(ISBLANK([2]NLFsmonkeyCompl!AD97),"",[2]NLFsmonkeyCompl!AD97),"")</f>
        <v/>
      </c>
      <c r="AC96" s="8" t="str">
        <f>IFERROR(IF(ISBLANK([2]NLFsmonkeyCompl!AE97),"",[2]NLFsmonkeyCompl!AE97),"")</f>
        <v/>
      </c>
      <c r="AD96" s="8">
        <f>IFERROR(IF(ISBLANK([2]NLFsmonkeyCompl!AF97),"",[2]NLFsmonkeyCompl!AF97),"")</f>
        <v>100</v>
      </c>
      <c r="AE96" s="8" t="str">
        <f>IFERROR(IF(ISBLANK([2]NLFsmonkeyCompl!AG97),"",[2]NLFsmonkeyCompl!AG97),"")</f>
        <v/>
      </c>
      <c r="AF96" s="8" t="str">
        <f>IFERROR(IF(ISBLANK([2]NLFsmonkeyCompl!AH97),"",[2]NLFsmonkeyCompl!AH97),"")</f>
        <v>Increase</v>
      </c>
      <c r="AG96" s="8" t="str">
        <f>IFERROR(IF(ISBLANK([2]NLFsmonkeyCompl!AI97),"",[2]NLFsmonkeyCompl!AI97),"")</f>
        <v>Yes</v>
      </c>
      <c r="AH96" t="str">
        <f>IFERROR(INDEX([2]VehiclesUniverse!$B$2:$EU$700,MATCH($C96,[2]VehiclesUniverse!$A$2:$A$700,0),MATCH($AH$1,[2]VehiclesUniverse!$B$1:$EU$1,0)),"")</f>
        <v/>
      </c>
    </row>
    <row r="97" spans="1:34" x14ac:dyDescent="0.2">
      <c r="A97" s="5" t="str">
        <f>IF(OR(ISTEXT([2]NLFsmonkeyCompl!J98),ISNUMBER([2]NLFsmonkeyCompl!J98)),[2]NLFsmonkeyCompl!J98,"")</f>
        <v>Frogmore</v>
      </c>
      <c r="B97" s="6" t="str">
        <f>IF(OR(ISTEXT([2]NLFsmonkeyCompl!K98),ISNUMBER([2]NLFsmonkeyCompl!K98)),[2]NLFsmonkeyCompl!K98,"")</f>
        <v>Frogmore Real Estate Partners IV</v>
      </c>
      <c r="C97" s="6">
        <v>19701</v>
      </c>
      <c r="D97" s="6" t="s">
        <v>47</v>
      </c>
      <c r="E97" s="6" t="s">
        <v>48</v>
      </c>
      <c r="F97" s="6" t="s">
        <v>55</v>
      </c>
      <c r="G97" s="6" t="str">
        <f>IF(ISBLANK([2]NLFsmonkeyCompl!L98),"",[2]NLFsmonkeyCompl!L98)</f>
        <v>Closed end</v>
      </c>
      <c r="H97" s="6">
        <v>2019</v>
      </c>
      <c r="I97" s="6" t="str">
        <f>IF(ISBLANK([2]NLFsmonkeyCompl!M98),"",[2]NLFsmonkeyCompl!M98)</f>
        <v>Yes</v>
      </c>
      <c r="J97" s="6" t="str">
        <f>IF(ISBLANK([2]NLFsmonkeyCompl!N98),"",[2]NLFsmonkeyCompl!N98)</f>
        <v/>
      </c>
      <c r="K97" s="6" t="str">
        <f>IF(ISBLANK([2]NLFsmonkeyCompl!O98),"",[2]NLFsmonkeyCompl!O98)</f>
        <v/>
      </c>
      <c r="L97" s="6" t="str">
        <f>IFERROR(INDEX([2]VehiclesUniverse!$B$2:$EU$700,MATCH(C97,[2]VehiclesUniverse!$A$2:$A$700,0),MATCH($L$1,[2]VehiclesUniverse!$B$1:$EU$1,0)),"")</f>
        <v/>
      </c>
      <c r="M97" s="16" t="str">
        <f>IFERROR(VLOOKUP(L97,'[2]Xrate31.12.20'!$K$2:$N$25,3,0),"")</f>
        <v/>
      </c>
      <c r="N97" s="8" t="str">
        <f>IFERROR(IF(ISBLANK([2]NLFsmonkeyCompl!P98),"",[2]NLFsmonkeyCompl!P98*$M97),"")</f>
        <v/>
      </c>
      <c r="O97" s="8" t="str">
        <f>IFERROR(IF(ISBLANK([2]NLFsmonkeyCompl!Q98),"",[2]NLFsmonkeyCompl!Q98*$M97),"")</f>
        <v/>
      </c>
      <c r="P97" s="8" t="str">
        <f>IFERROR(IF(ISBLANK([2]NLFsmonkeyCompl!R98),"",[2]NLFsmonkeyCompl!R98*$M97),"")</f>
        <v/>
      </c>
      <c r="Q97" s="8" t="str">
        <f>IFERROR(IF(ISBLANK([2]NLFsmonkeyCompl!S98),"",[2]NLFsmonkeyCompl!S98*$M97),"")</f>
        <v/>
      </c>
      <c r="R97" s="8" t="str">
        <f>IFERROR(IF(ISBLANK([2]NLFsmonkeyCompl!T98),"",[2]NLFsmonkeyCompl!T98*$M97),"")</f>
        <v/>
      </c>
      <c r="S97" s="8" t="str">
        <f>IFERROR(IF(ISBLANK([2]NLFsmonkeyCompl!U98),"",[2]NLFsmonkeyCompl!U98*$M97),"")</f>
        <v/>
      </c>
      <c r="T97" s="8" t="str">
        <f>IFERROR(IF(ISBLANK([2]NLFsmonkeyCompl!V98),"",[2]NLFsmonkeyCompl!V98*$M97),"")</f>
        <v/>
      </c>
      <c r="U97" s="8" t="str">
        <f>IFERROR(IF(ISBLANK([2]NLFsmonkeyCompl!W98),"",[2]NLFsmonkeyCompl!W98*$M97),"")</f>
        <v/>
      </c>
      <c r="V97" s="8" t="str">
        <f>IFERROR(IF(ISBLANK([2]NLFsmonkeyCompl!X98),"",[2]NLFsmonkeyCompl!X98*$M97),"")</f>
        <v/>
      </c>
      <c r="W97" s="8" t="str">
        <f>IFERROR(IF(ISBLANK([2]NLFsmonkeyCompl!Y98),"",[2]NLFsmonkeyCompl!Y98*$M97),"")</f>
        <v/>
      </c>
      <c r="X97" s="8" t="str">
        <f>IFERROR(IF(ISBLANK([2]NLFsmonkeyCompl!Z98),"",[2]NLFsmonkeyCompl!Z98*$M97),"")</f>
        <v/>
      </c>
      <c r="Y97" s="8" t="str">
        <f>IFERROR(IF(ISBLANK([2]NLFsmonkeyCompl!AA98),"",[2]NLFsmonkeyCompl!AA98*$M97),"")</f>
        <v/>
      </c>
      <c r="Z97" s="8" t="str">
        <f>IFERROR(IF(ISBLANK([2]NLFsmonkeyCompl!AB98),"",[2]NLFsmonkeyCompl!AB98*$M97),"")</f>
        <v/>
      </c>
      <c r="AA97" s="8" t="str">
        <f>IFERROR(IF(ISBLANK([2]NLFsmonkeyCompl!AC98),"",[2]NLFsmonkeyCompl!AC98*$M97),"")</f>
        <v/>
      </c>
      <c r="AB97" s="8" t="str">
        <f>IFERROR(IF(ISBLANK([2]NLFsmonkeyCompl!AD98),"",[2]NLFsmonkeyCompl!AD98),"")</f>
        <v/>
      </c>
      <c r="AC97" s="8" t="str">
        <f>IFERROR(IF(ISBLANK([2]NLFsmonkeyCompl!AE98),"",[2]NLFsmonkeyCompl!AE98),"")</f>
        <v/>
      </c>
      <c r="AD97" s="8">
        <f>IFERROR(IF(ISBLANK([2]NLFsmonkeyCompl!AF98),"",[2]NLFsmonkeyCompl!AF98),"")</f>
        <v>100</v>
      </c>
      <c r="AE97" s="8" t="str">
        <f>IFERROR(IF(ISBLANK([2]NLFsmonkeyCompl!AG98),"",[2]NLFsmonkeyCompl!AG98),"")</f>
        <v/>
      </c>
      <c r="AF97" s="8" t="str">
        <f>IFERROR(IF(ISBLANK([2]NLFsmonkeyCompl!AH98),"",[2]NLFsmonkeyCompl!AH98),"")</f>
        <v>Increase</v>
      </c>
      <c r="AG97" s="8" t="str">
        <f>IFERROR(IF(ISBLANK([2]NLFsmonkeyCompl!AI98),"",[2]NLFsmonkeyCompl!AI98),"")</f>
        <v>Yes</v>
      </c>
      <c r="AH97" t="str">
        <f>IFERROR(INDEX([2]VehiclesUniverse!$B$2:$EU$700,MATCH($C97,[2]VehiclesUniverse!$A$2:$A$700,0),MATCH($AH$1,[2]VehiclesUniverse!$B$1:$EU$1,0)),"")</f>
        <v/>
      </c>
    </row>
    <row r="98" spans="1:34" x14ac:dyDescent="0.2">
      <c r="A98" s="5" t="str">
        <f>IF(OR(ISTEXT([2]NLFsmonkeyCompl!J99),ISNUMBER([2]NLFsmonkeyCompl!J99)),[2]NLFsmonkeyCompl!J99,"")</f>
        <v>Frogmore</v>
      </c>
      <c r="B98" s="6" t="str">
        <f>IF(OR(ISTEXT([2]NLFsmonkeyCompl!K99),ISNUMBER([2]NLFsmonkeyCompl!K99)),[2]NLFsmonkeyCompl!K99,"")</f>
        <v>Frogmore Real Estate Partners IV</v>
      </c>
      <c r="C98" s="6">
        <v>19701</v>
      </c>
      <c r="D98" s="6" t="s">
        <v>47</v>
      </c>
      <c r="E98" s="6" t="s">
        <v>48</v>
      </c>
      <c r="F98" s="6" t="s">
        <v>55</v>
      </c>
      <c r="G98" s="6" t="str">
        <f>IF(ISBLANK([2]NLFsmonkeyCompl!L99),"",[2]NLFsmonkeyCompl!L99)</f>
        <v>Closed end</v>
      </c>
      <c r="H98" s="6">
        <v>2019</v>
      </c>
      <c r="I98" s="6" t="str">
        <f>IF(ISBLANK([2]NLFsmonkeyCompl!M99),"",[2]NLFsmonkeyCompl!M99)</f>
        <v>Yes</v>
      </c>
      <c r="J98" s="6" t="str">
        <f>IF(ISBLANK([2]NLFsmonkeyCompl!N99),"",[2]NLFsmonkeyCompl!N99)</f>
        <v/>
      </c>
      <c r="K98" s="6" t="str">
        <f>IF(ISBLANK([2]NLFsmonkeyCompl!O99),"",[2]NLFsmonkeyCompl!O99)</f>
        <v/>
      </c>
      <c r="L98" s="6" t="str">
        <f>IFERROR(INDEX([2]VehiclesUniverse!$B$2:$EU$700,MATCH(C98,[2]VehiclesUniverse!$A$2:$A$700,0),MATCH($L$1,[2]VehiclesUniverse!$B$1:$EU$1,0)),"")</f>
        <v/>
      </c>
      <c r="M98" s="16" t="str">
        <f>IFERROR(VLOOKUP(L98,'[2]Xrate31.12.20'!$K$2:$N$25,3,0),"")</f>
        <v/>
      </c>
      <c r="N98" s="8" t="str">
        <f>IFERROR(IF(ISBLANK([2]NLFsmonkeyCompl!P99),"",[2]NLFsmonkeyCompl!P99*$M98),"")</f>
        <v/>
      </c>
      <c r="O98" s="8" t="str">
        <f>IFERROR(IF(ISBLANK([2]NLFsmonkeyCompl!Q99),"",[2]NLFsmonkeyCompl!Q99*$M98),"")</f>
        <v/>
      </c>
      <c r="P98" s="8" t="str">
        <f>IFERROR(IF(ISBLANK([2]NLFsmonkeyCompl!R99),"",[2]NLFsmonkeyCompl!R99*$M98),"")</f>
        <v/>
      </c>
      <c r="Q98" s="8" t="str">
        <f>IFERROR(IF(ISBLANK([2]NLFsmonkeyCompl!S99),"",[2]NLFsmonkeyCompl!S99*$M98),"")</f>
        <v/>
      </c>
      <c r="R98" s="8" t="str">
        <f>IFERROR(IF(ISBLANK([2]NLFsmonkeyCompl!T99),"",[2]NLFsmonkeyCompl!T99*$M98),"")</f>
        <v/>
      </c>
      <c r="S98" s="8" t="str">
        <f>IFERROR(IF(ISBLANK([2]NLFsmonkeyCompl!U99),"",[2]NLFsmonkeyCompl!U99*$M98),"")</f>
        <v/>
      </c>
      <c r="T98" s="8" t="str">
        <f>IFERROR(IF(ISBLANK([2]NLFsmonkeyCompl!V99),"",[2]NLFsmonkeyCompl!V99*$M98),"")</f>
        <v/>
      </c>
      <c r="U98" s="8" t="str">
        <f>IFERROR(IF(ISBLANK([2]NLFsmonkeyCompl!W99),"",[2]NLFsmonkeyCompl!W99*$M98),"")</f>
        <v/>
      </c>
      <c r="V98" s="8" t="str">
        <f>IFERROR(IF(ISBLANK([2]NLFsmonkeyCompl!X99),"",[2]NLFsmonkeyCompl!X99*$M98),"")</f>
        <v/>
      </c>
      <c r="W98" s="8" t="str">
        <f>IFERROR(IF(ISBLANK([2]NLFsmonkeyCompl!Y99),"",[2]NLFsmonkeyCompl!Y99*$M98),"")</f>
        <v/>
      </c>
      <c r="X98" s="8" t="str">
        <f>IFERROR(IF(ISBLANK([2]NLFsmonkeyCompl!Z99),"",[2]NLFsmonkeyCompl!Z99*$M98),"")</f>
        <v/>
      </c>
      <c r="Y98" s="8" t="str">
        <f>IFERROR(IF(ISBLANK([2]NLFsmonkeyCompl!AA99),"",[2]NLFsmonkeyCompl!AA99*$M98),"")</f>
        <v/>
      </c>
      <c r="Z98" s="8" t="str">
        <f>IFERROR(IF(ISBLANK([2]NLFsmonkeyCompl!AB99),"",[2]NLFsmonkeyCompl!AB99*$M98),"")</f>
        <v/>
      </c>
      <c r="AA98" s="8" t="str">
        <f>IFERROR(IF(ISBLANK([2]NLFsmonkeyCompl!AC99),"",[2]NLFsmonkeyCompl!AC99*$M98),"")</f>
        <v/>
      </c>
      <c r="AB98" s="8" t="str">
        <f>IFERROR(IF(ISBLANK([2]NLFsmonkeyCompl!AD99),"",[2]NLFsmonkeyCompl!AD99),"")</f>
        <v/>
      </c>
      <c r="AC98" s="8" t="str">
        <f>IFERROR(IF(ISBLANK([2]NLFsmonkeyCompl!AE99),"",[2]NLFsmonkeyCompl!AE99),"")</f>
        <v/>
      </c>
      <c r="AD98" s="8" t="str">
        <f>IFERROR(IF(ISBLANK([2]NLFsmonkeyCompl!AF99),"",[2]NLFsmonkeyCompl!AF99),"")</f>
        <v/>
      </c>
      <c r="AE98" s="8" t="str">
        <f>IFERROR(IF(ISBLANK([2]NLFsmonkeyCompl!AG99),"",[2]NLFsmonkeyCompl!AG99),"")</f>
        <v/>
      </c>
      <c r="AF98" s="8" t="str">
        <f>IFERROR(IF(ISBLANK([2]NLFsmonkeyCompl!AH99),"",[2]NLFsmonkeyCompl!AH99),"")</f>
        <v/>
      </c>
      <c r="AG98" s="8" t="str">
        <f>IFERROR(IF(ISBLANK([2]NLFsmonkeyCompl!AI99),"",[2]NLFsmonkeyCompl!AI99),"")</f>
        <v/>
      </c>
      <c r="AH98" t="str">
        <f>IFERROR(INDEX([2]VehiclesUniverse!$B$2:$EU$700,MATCH($C98,[2]VehiclesUniverse!$A$2:$A$700,0),MATCH($AH$1,[2]VehiclesUniverse!$B$1:$EU$1,0)),"")</f>
        <v/>
      </c>
    </row>
    <row r="99" spans="1:34" x14ac:dyDescent="0.2">
      <c r="A99" s="5" t="str">
        <f>IF(OR(ISTEXT([2]NLFsmonkeyCompl!J100),ISNUMBER([2]NLFsmonkeyCompl!J100)),[2]NLFsmonkeyCompl!J100,"")</f>
        <v>Altera Vastgoed</v>
      </c>
      <c r="B99" s="6" t="str">
        <f>IF(OR(ISTEXT([2]NLFsmonkeyCompl!K100),ISNUMBER([2]NLFsmonkeyCompl!K100)),[2]NLFsmonkeyCompl!K100,"")</f>
        <v>Altera Retail</v>
      </c>
      <c r="C99" s="6">
        <v>27</v>
      </c>
      <c r="D99" s="6" t="str">
        <f>IFERROR(INDEX([2]VehiclesUniverse!$B$2:$EU$700,MATCH(C99,[2]VehiclesUniverse!$A$2:$A$700,0),MATCH($D$1,[2]VehiclesUniverse!$B$1:$EU$1,0)),"")</f>
        <v>Core</v>
      </c>
      <c r="E99" s="6" t="str">
        <f>IFERROR(INDEX([2]VehiclesUniverse!$B$2:$EU$700,MATCH(C99,[2]VehiclesUniverse!$A$2:$A$700,0),MATCH($E$1,[2]VehiclesUniverse!$B$1:$EU$1,0)),"")</f>
        <v>single country</v>
      </c>
      <c r="F99" s="6" t="str">
        <f>IF(IFERROR(INDEX([2]VehiclesUniverse!$B$2:$EU$700,MATCH($C99,[2]VehiclesUniverse!$A$2:$A$700,0),MATCH($F$1,[2]VehiclesUniverse!$B$1:$EU$1,0)),"")&lt;&gt;0,(IFERROR(INDEX([2]VehiclesUniverse!$B$2:$EU$700,MATCH($C99,[2]VehiclesUniverse!$A$2:$A$700,0),MATCH($F$1,[2]VehiclesUniverse!$B$1:$EU$1,0)),"")),"")</f>
        <v>Netherlands</v>
      </c>
      <c r="G99" s="6" t="str">
        <f>IF(ISBLANK([2]NLFsmonkeyCompl!L100),"",[2]NLFsmonkeyCompl!L100)</f>
        <v>Open end</v>
      </c>
      <c r="H99" s="6">
        <f>IFERROR(INDEX([2]VehiclesUniverse!$B$2:$EU$700,MATCH(C99,[2]VehiclesUniverse!$A$2:$A$700,0),MATCH($H$1,[2]VehiclesUniverse!$B$1:$EU$1,0)),"")</f>
        <v>2000</v>
      </c>
      <c r="I99" s="6" t="str">
        <f>IF(ISBLANK([2]NLFsmonkeyCompl!M100),"",[2]NLFsmonkeyCompl!M100)</f>
        <v>Yes</v>
      </c>
      <c r="J99" s="6" t="str">
        <f>IF(ISBLANK([2]NLFsmonkeyCompl!N100),"",[2]NLFsmonkeyCompl!N100)</f>
        <v/>
      </c>
      <c r="K99" s="6" t="str">
        <f>IF(ISBLANK([2]NLFsmonkeyCompl!O100),"",[2]NLFsmonkeyCompl!O100)</f>
        <v/>
      </c>
      <c r="L99" s="6" t="str">
        <f>IFERROR(INDEX([2]VehiclesUniverse!$B$2:$EU$700,MATCH(C99,[2]VehiclesUniverse!$A$2:$A$700,0),MATCH($L$1,[2]VehiclesUniverse!$B$1:$EU$1,0)),"")</f>
        <v>EUR</v>
      </c>
      <c r="M99" s="16">
        <f>IFERROR(VLOOKUP(L99,'[2]Xrate31.12.20'!$K$2:$N$25,3,0),"")</f>
        <v>1</v>
      </c>
      <c r="N99" s="8">
        <f>IFERROR(IF(ISBLANK([2]NLFsmonkeyCompl!P100),"",[2]NLFsmonkeyCompl!P100*$M99),"")</f>
        <v>38</v>
      </c>
      <c r="O99" s="8">
        <f>IFERROR(IF(ISBLANK([2]NLFsmonkeyCompl!Q100),"",[2]NLFsmonkeyCompl!Q100*$M99),"")</f>
        <v>3</v>
      </c>
      <c r="P99" s="8" t="str">
        <f>IFERROR(IF(ISBLANK([2]NLFsmonkeyCompl!R100),"",[2]NLFsmonkeyCompl!R100*$M99),"")</f>
        <v/>
      </c>
      <c r="Q99" s="8" t="str">
        <f>IFERROR(IF(ISBLANK([2]NLFsmonkeyCompl!S100),"",[2]NLFsmonkeyCompl!S100*$M99),"")</f>
        <v/>
      </c>
      <c r="R99" s="8" t="str">
        <f>IFERROR(IF(ISBLANK([2]NLFsmonkeyCompl!T100),"",[2]NLFsmonkeyCompl!T100*$M99),"")</f>
        <v/>
      </c>
      <c r="S99" s="8" t="str">
        <f>IFERROR(IF(ISBLANK([2]NLFsmonkeyCompl!U100),"",[2]NLFsmonkeyCompl!U100*$M99),"")</f>
        <v/>
      </c>
      <c r="T99" s="8">
        <f>IFERROR(IF(ISBLANK([2]NLFsmonkeyCompl!V100),"",[2]NLFsmonkeyCompl!V100*$M99),"")</f>
        <v>35</v>
      </c>
      <c r="U99" s="8" t="str">
        <f>IFERROR(IF(ISBLANK([2]NLFsmonkeyCompl!W100),"",[2]NLFsmonkeyCompl!W100*$M99),"")</f>
        <v/>
      </c>
      <c r="V99" s="8" t="str">
        <f>IFERROR(IF(ISBLANK([2]NLFsmonkeyCompl!X100),"",[2]NLFsmonkeyCompl!X100*$M99),"")</f>
        <v/>
      </c>
      <c r="W99" s="8" t="str">
        <f>IFERROR(IF(ISBLANK([2]NLFsmonkeyCompl!Y100),"",[2]NLFsmonkeyCompl!Y100*$M99),"")</f>
        <v/>
      </c>
      <c r="X99" s="8" t="str">
        <f>IFERROR(IF(ISBLANK([2]NLFsmonkeyCompl!Z100),"",[2]NLFsmonkeyCompl!Z100*$M99),"")</f>
        <v/>
      </c>
      <c r="Y99" s="8" t="str">
        <f>IFERROR(IF(ISBLANK([2]NLFsmonkeyCompl!AA100),"",[2]NLFsmonkeyCompl!AA100*$M99),"")</f>
        <v/>
      </c>
      <c r="Z99" s="8" t="str">
        <f>IFERROR(IF(ISBLANK([2]NLFsmonkeyCompl!AB100),"",[2]NLFsmonkeyCompl!AB100*$M99),"")</f>
        <v/>
      </c>
      <c r="AA99" s="8" t="str">
        <f>IFERROR(IF(ISBLANK([2]NLFsmonkeyCompl!AC100),"",[2]NLFsmonkeyCompl!AC100*$M99),"")</f>
        <v/>
      </c>
      <c r="AB99" s="8">
        <f>IFERROR(IF(ISBLANK([2]NLFsmonkeyCompl!AD100),"",[2]NLFsmonkeyCompl!AD100),"")</f>
        <v>90</v>
      </c>
      <c r="AC99" s="8" t="str">
        <f>IFERROR(IF(ISBLANK([2]NLFsmonkeyCompl!AE100),"",[2]NLFsmonkeyCompl!AE100),"")</f>
        <v/>
      </c>
      <c r="AD99" s="8">
        <f>IFERROR(IF(ISBLANK([2]NLFsmonkeyCompl!AF100),"",[2]NLFsmonkeyCompl!AF100),"")</f>
        <v>10</v>
      </c>
      <c r="AE99" s="8" t="str">
        <f>IFERROR(IF(ISBLANK([2]NLFsmonkeyCompl!AG100),"",[2]NLFsmonkeyCompl!AG100),"")</f>
        <v/>
      </c>
      <c r="AF99" s="8" t="str">
        <f>IFERROR(IF(ISBLANK([2]NLFsmonkeyCompl!AH100),"",[2]NLFsmonkeyCompl!AH100),"")</f>
        <v>Increase</v>
      </c>
      <c r="AG99" s="8" t="str">
        <f>IFERROR(IF(ISBLANK([2]NLFsmonkeyCompl!AI100),"",[2]NLFsmonkeyCompl!AI100),"")</f>
        <v>Yes</v>
      </c>
      <c r="AH99">
        <f>IFERROR(INDEX([2]VehiclesUniverse!$B$2:$EU$700,MATCH($C99,[2]VehiclesUniverse!$A$2:$A$700,0),MATCH($AH$1,[2]VehiclesUniverse!$B$1:$EU$1,0)),"")</f>
        <v>667364446.27999997</v>
      </c>
    </row>
    <row r="100" spans="1:34" x14ac:dyDescent="0.2">
      <c r="A100" s="5" t="str">
        <f>IF(OR(ISTEXT([2]NLFsmonkeyCompl!J101),ISNUMBER([2]NLFsmonkeyCompl!J101)),[2]NLFsmonkeyCompl!J101,"")</f>
        <v>Altera Vastgoed</v>
      </c>
      <c r="B100" s="6" t="str">
        <f>IF(OR(ISTEXT([2]NLFsmonkeyCompl!K101),ISNUMBER([2]NLFsmonkeyCompl!K101)),[2]NLFsmonkeyCompl!K101,"")</f>
        <v>Altera Residential</v>
      </c>
      <c r="C100" s="6">
        <v>26</v>
      </c>
      <c r="D100" s="6" t="str">
        <f>IFERROR(INDEX([2]VehiclesUniverse!$B$2:$EU$700,MATCH(C100,[2]VehiclesUniverse!$A$2:$A$700,0),MATCH($D$1,[2]VehiclesUniverse!$B$1:$EU$1,0)),"")</f>
        <v>Core</v>
      </c>
      <c r="E100" s="6" t="str">
        <f>IFERROR(INDEX([2]VehiclesUniverse!$B$2:$EU$700,MATCH(C100,[2]VehiclesUniverse!$A$2:$A$700,0),MATCH($E$1,[2]VehiclesUniverse!$B$1:$EU$1,0)),"")</f>
        <v>single country</v>
      </c>
      <c r="F100" s="6" t="str">
        <f>IF(IFERROR(INDEX([2]VehiclesUniverse!$B$2:$EU$700,MATCH($C100,[2]VehiclesUniverse!$A$2:$A$700,0),MATCH($F$1,[2]VehiclesUniverse!$B$1:$EU$1,0)),"")&lt;&gt;0,(IFERROR(INDEX([2]VehiclesUniverse!$B$2:$EU$700,MATCH($C100,[2]VehiclesUniverse!$A$2:$A$700,0),MATCH($F$1,[2]VehiclesUniverse!$B$1:$EU$1,0)),"")),"")</f>
        <v>Netherlands</v>
      </c>
      <c r="G100" s="6" t="str">
        <f>IF(ISBLANK([2]NLFsmonkeyCompl!L101),"",[2]NLFsmonkeyCompl!L101)</f>
        <v>Open end</v>
      </c>
      <c r="H100" s="6">
        <f>IFERROR(INDEX([2]VehiclesUniverse!$B$2:$EU$700,MATCH(C100,[2]VehiclesUniverse!$A$2:$A$700,0),MATCH($H$1,[2]VehiclesUniverse!$B$1:$EU$1,0)),"")</f>
        <v>2000</v>
      </c>
      <c r="I100" s="6" t="str">
        <f>IF(ISBLANK([2]NLFsmonkeyCompl!M101),"",[2]NLFsmonkeyCompl!M101)</f>
        <v>Yes</v>
      </c>
      <c r="J100" s="6" t="str">
        <f>IF(ISBLANK([2]NLFsmonkeyCompl!N101),"",[2]NLFsmonkeyCompl!N101)</f>
        <v/>
      </c>
      <c r="K100" s="6" t="str">
        <f>IF(ISBLANK([2]NLFsmonkeyCompl!O101),"",[2]NLFsmonkeyCompl!O101)</f>
        <v/>
      </c>
      <c r="L100" s="6" t="str">
        <f>IFERROR(INDEX([2]VehiclesUniverse!$B$2:$EU$700,MATCH(C100,[2]VehiclesUniverse!$A$2:$A$700,0),MATCH($L$1,[2]VehiclesUniverse!$B$1:$EU$1,0)),"")</f>
        <v>EUR</v>
      </c>
      <c r="M100" s="16">
        <f>IFERROR(VLOOKUP(L100,'[2]Xrate31.12.20'!$K$2:$N$25,3,0),"")</f>
        <v>1</v>
      </c>
      <c r="N100" s="8">
        <f>IFERROR(IF(ISBLANK([2]NLFsmonkeyCompl!P101),"",[2]NLFsmonkeyCompl!P101*$M100),"")</f>
        <v>209</v>
      </c>
      <c r="O100" s="19">
        <f>IFERROR(IF(ISBLANK([2]NLFsmonkeyCompl!Q101),"",[2]NLFsmonkeyCompl!Q101*$M100),"")/1000000</f>
        <v>186.81</v>
      </c>
      <c r="P100" s="8">
        <f>IFERROR(IF(ISBLANK([2]NLFsmonkeyCompl!R101),"",[2]NLFsmonkeyCompl!R101*$M100),"")/1000000</f>
        <v>0.97</v>
      </c>
      <c r="Q100" s="19">
        <f>IFERROR(IF(ISBLANK([2]NLFsmonkeyCompl!S101),"",[2]NLFsmonkeyCompl!S101*$M100),"")/1000000</f>
        <v>1.3</v>
      </c>
      <c r="R100" s="8" t="str">
        <f>IFERROR(IF(ISBLANK([2]NLFsmonkeyCompl!T101),"",[2]NLFsmonkeyCompl!T101*$M100),"")</f>
        <v/>
      </c>
      <c r="S100" s="8" t="str">
        <f>IFERROR(IF(ISBLANK([2]NLFsmonkeyCompl!U101),"",[2]NLFsmonkeyCompl!U101*$M100),"")</f>
        <v/>
      </c>
      <c r="T100" s="19">
        <f>IFERROR(IF(ISBLANK([2]NLFsmonkeyCompl!V101),"",[2]NLFsmonkeyCompl!V101*$M100),"")/1000000</f>
        <v>20</v>
      </c>
      <c r="U100" s="8" t="str">
        <f>IFERROR(IF(ISBLANK([2]NLFsmonkeyCompl!W101),"",[2]NLFsmonkeyCompl!W101*$M100),"")</f>
        <v/>
      </c>
      <c r="V100" s="8" t="str">
        <f>IFERROR(IF(ISBLANK([2]NLFsmonkeyCompl!X101),"",[2]NLFsmonkeyCompl!X101*$M100),"")</f>
        <v/>
      </c>
      <c r="W100" s="19">
        <f>IFERROR(IF(ISBLANK([2]NLFsmonkeyCompl!Y101),"",[2]NLFsmonkeyCompl!Y101*$M100),"")/1000000</f>
        <v>209.08</v>
      </c>
      <c r="X100" s="8" t="str">
        <f>IFERROR(IF(ISBLANK([2]NLFsmonkeyCompl!Z101),"",[2]NLFsmonkeyCompl!Z101*$M100),"")</f>
        <v/>
      </c>
      <c r="Y100" s="8" t="str">
        <f>IFERROR(IF(ISBLANK([2]NLFsmonkeyCompl!AA101),"",[2]NLFsmonkeyCompl!AA101*$M100),"")</f>
        <v/>
      </c>
      <c r="Z100" s="8" t="str">
        <f>IFERROR(IF(ISBLANK([2]NLFsmonkeyCompl!AB101),"",[2]NLFsmonkeyCompl!AB101*$M100),"")</f>
        <v/>
      </c>
      <c r="AA100" s="8" t="str">
        <f>IFERROR(IF(ISBLANK([2]NLFsmonkeyCompl!AC101),"",[2]NLFsmonkeyCompl!AC101*$M100),"")</f>
        <v/>
      </c>
      <c r="AB100" s="8" t="str">
        <f>IFERROR(IF(ISBLANK([2]NLFsmonkeyCompl!AD101),"",[2]NLFsmonkeyCompl!AD101),"")</f>
        <v/>
      </c>
      <c r="AC100" s="8" t="str">
        <f>IFERROR(IF(ISBLANK([2]NLFsmonkeyCompl!AE101),"",[2]NLFsmonkeyCompl!AE101),"")</f>
        <v/>
      </c>
      <c r="AD100" s="8">
        <f>IFERROR(IF(ISBLANK([2]NLFsmonkeyCompl!AF101),"",[2]NLFsmonkeyCompl!AF101),"")</f>
        <v>100</v>
      </c>
      <c r="AE100" s="8" t="str">
        <f>IFERROR(IF(ISBLANK([2]NLFsmonkeyCompl!AG101),"",[2]NLFsmonkeyCompl!AG101),"")</f>
        <v/>
      </c>
      <c r="AF100" s="8" t="str">
        <f>IFERROR(IF(ISBLANK([2]NLFsmonkeyCompl!AH101),"",[2]NLFsmonkeyCompl!AH101),"")</f>
        <v>Increase</v>
      </c>
      <c r="AG100" s="8" t="str">
        <f>IFERROR(IF(ISBLANK([2]NLFsmonkeyCompl!AI101),"",[2]NLFsmonkeyCompl!AI101),"")</f>
        <v>Yes</v>
      </c>
      <c r="AH100">
        <f>IFERROR(INDEX([2]VehiclesUniverse!$B$2:$EU$700,MATCH($C100,[2]VehiclesUniverse!$A$2:$A$700,0),MATCH($AH$1,[2]VehiclesUniverse!$B$1:$EU$1,0)),"")</f>
        <v>1939842828.0799999</v>
      </c>
    </row>
    <row r="101" spans="1:34" x14ac:dyDescent="0.2">
      <c r="A101" s="5" t="str">
        <f>IF(OR(ISTEXT([2]NLFsmonkeyCompl!J102),ISNUMBER([2]NLFsmonkeyCompl!J102)),[2]NLFsmonkeyCompl!J102,"")</f>
        <v>Union Investment Real Estate GmbH</v>
      </c>
      <c r="B101" s="6" t="str">
        <f>IF(OR(ISTEXT([2]NLFsmonkeyCompl!K102),ISNUMBER([2]NLFsmonkeyCompl!K102)),[2]NLFsmonkeyCompl!K102,"")</f>
        <v>Real Estate Funds</v>
      </c>
      <c r="C101" s="6" t="s">
        <v>54</v>
      </c>
      <c r="D101" s="6" t="str">
        <f>IFERROR(INDEX([2]VehiclesUniverse!$B$2:$EU$700,MATCH(C101,[2]VehiclesUniverse!$A$2:$A$700,0),MATCH($D$1,[2]VehiclesUniverse!$B$1:$EU$1,0)),"")</f>
        <v/>
      </c>
      <c r="E101" s="6" t="str">
        <f>IFERROR(INDEX([2]VehiclesUniverse!$B$2:$EU$700,MATCH(C101,[2]VehiclesUniverse!$A$2:$A$700,0),MATCH($E$1,[2]VehiclesUniverse!$B$1:$EU$1,0)),"")</f>
        <v/>
      </c>
      <c r="F101" s="6" t="str">
        <f>IF(IFERROR(INDEX([2]VehiclesUniverse!$B$2:$EU$700,MATCH($C101,[2]VehiclesUniverse!$A$2:$A$700,0),MATCH($F$1,[2]VehiclesUniverse!$B$1:$EU$1,0)),"")&lt;&gt;0,(IFERROR(INDEX([2]VehiclesUniverse!$B$2:$EU$700,MATCH($C101,[2]VehiclesUniverse!$A$2:$A$700,0),MATCH($F$1,[2]VehiclesUniverse!$B$1:$EU$1,0)),"")),"")</f>
        <v/>
      </c>
      <c r="G101" s="6"/>
      <c r="H101" s="6" t="str">
        <f>IFERROR(INDEX([2]VehiclesUniverse!$B$2:$EU$700,MATCH(C101,[2]VehiclesUniverse!$A$2:$A$700,0),MATCH($H$1,[2]VehiclesUniverse!$B$1:$EU$1,0)),"")</f>
        <v/>
      </c>
      <c r="I101" s="6" t="str">
        <f>IF(ISBLANK([2]NLFsmonkeyCompl!M102),"",[2]NLFsmonkeyCompl!M102)</f>
        <v>Yes</v>
      </c>
      <c r="J101" s="6" t="str">
        <f>IF(ISBLANK([2]NLFsmonkeyCompl!N102),"",[2]NLFsmonkeyCompl!N102)</f>
        <v/>
      </c>
      <c r="K101" s="6" t="str">
        <f>IF(ISBLANK([2]NLFsmonkeyCompl!O102),"",[2]NLFsmonkeyCompl!O102)</f>
        <v/>
      </c>
      <c r="L101" s="6" t="str">
        <f>IFERROR(INDEX([2]VehiclesUniverse!$B$2:$EU$700,MATCH(C101,[2]VehiclesUniverse!$A$2:$A$700,0),MATCH($L$1,[2]VehiclesUniverse!$B$1:$EU$1,0)),"")</f>
        <v/>
      </c>
      <c r="M101" s="16" t="str">
        <f>IFERROR(VLOOKUP(L101,'[2]Xrate31.12.20'!$K$2:$N$25,3,0),"")</f>
        <v/>
      </c>
      <c r="N101" s="8" t="str">
        <f>IFERROR(IF(ISBLANK([2]NLFsmonkeyCompl!P102),"",[2]NLFsmonkeyCompl!P102*$M101),"")</f>
        <v/>
      </c>
      <c r="O101" s="8" t="str">
        <f>IFERROR(IF(ISBLANK([2]NLFsmonkeyCompl!Q102),"",[2]NLFsmonkeyCompl!Q102*$M101),"")</f>
        <v/>
      </c>
      <c r="P101" s="8" t="str">
        <f>IFERROR(IF(ISBLANK([2]NLFsmonkeyCompl!R102),"",[2]NLFsmonkeyCompl!R102*$M101),"")</f>
        <v/>
      </c>
      <c r="Q101" s="8" t="str">
        <f>IFERROR(IF(ISBLANK([2]NLFsmonkeyCompl!S102),"",[2]NLFsmonkeyCompl!S102*$M101),"")</f>
        <v/>
      </c>
      <c r="R101" s="8" t="str">
        <f>IFERROR(IF(ISBLANK([2]NLFsmonkeyCompl!T102),"",[2]NLFsmonkeyCompl!T102*$M101),"")</f>
        <v/>
      </c>
      <c r="S101" s="8" t="str">
        <f>IFERROR(IF(ISBLANK([2]NLFsmonkeyCompl!U102),"",[2]NLFsmonkeyCompl!U102*$M101),"")</f>
        <v/>
      </c>
      <c r="T101" s="8" t="str">
        <f>IFERROR(IF(ISBLANK([2]NLFsmonkeyCompl!V102),"",[2]NLFsmonkeyCompl!V102*$M101),"")</f>
        <v/>
      </c>
      <c r="U101" s="8" t="str">
        <f>IFERROR(IF(ISBLANK([2]NLFsmonkeyCompl!W102),"",[2]NLFsmonkeyCompl!W102*$M101),"")</f>
        <v/>
      </c>
      <c r="V101" s="8" t="str">
        <f>IFERROR(IF(ISBLANK([2]NLFsmonkeyCompl!X102),"",[2]NLFsmonkeyCompl!X102*$M101),"")</f>
        <v/>
      </c>
      <c r="W101" s="8" t="str">
        <f>IFERROR(IF(ISBLANK([2]NLFsmonkeyCompl!Y102),"",[2]NLFsmonkeyCompl!Y102*$M101),"")</f>
        <v/>
      </c>
      <c r="X101" s="8" t="str">
        <f>IFERROR(IF(ISBLANK([2]NLFsmonkeyCompl!Z102),"",[2]NLFsmonkeyCompl!Z102*$M101),"")</f>
        <v/>
      </c>
      <c r="Y101" s="8" t="str">
        <f>IFERROR(IF(ISBLANK([2]NLFsmonkeyCompl!AA102),"",[2]NLFsmonkeyCompl!AA102*$M101),"")</f>
        <v/>
      </c>
      <c r="Z101" s="8" t="str">
        <f>IFERROR(IF(ISBLANK([2]NLFsmonkeyCompl!AB102),"",[2]NLFsmonkeyCompl!AB102*$M101),"")</f>
        <v/>
      </c>
      <c r="AA101" s="8" t="str">
        <f>IFERROR(IF(ISBLANK([2]NLFsmonkeyCompl!AC102),"",[2]NLFsmonkeyCompl!AC102*$M101),"")</f>
        <v/>
      </c>
      <c r="AB101" s="8" t="str">
        <f>IFERROR(IF(ISBLANK([2]NLFsmonkeyCompl!AD102),"",[2]NLFsmonkeyCompl!AD102),"")</f>
        <v/>
      </c>
      <c r="AC101" s="8" t="str">
        <f>IFERROR(IF(ISBLANK([2]NLFsmonkeyCompl!AE102),"",[2]NLFsmonkeyCompl!AE102),"")</f>
        <v/>
      </c>
      <c r="AD101" s="8" t="str">
        <f>IFERROR(IF(ISBLANK([2]NLFsmonkeyCompl!AF102),"",[2]NLFsmonkeyCompl!AF102),"")</f>
        <v/>
      </c>
      <c r="AE101" s="8" t="str">
        <f>IFERROR(IF(ISBLANK([2]NLFsmonkeyCompl!AG102),"",[2]NLFsmonkeyCompl!AG102),"")</f>
        <v/>
      </c>
      <c r="AF101" s="8" t="str">
        <f>IFERROR(IF(ISBLANK([2]NLFsmonkeyCompl!AH102),"",[2]NLFsmonkeyCompl!AH102),"")</f>
        <v/>
      </c>
      <c r="AG101" s="8" t="str">
        <f>IFERROR(IF(ISBLANK([2]NLFsmonkeyCompl!AI102),"",[2]NLFsmonkeyCompl!AI102),"")</f>
        <v/>
      </c>
      <c r="AH101" t="str">
        <f>IFERROR(INDEX([2]VehiclesUniverse!$B$2:$EU$700,MATCH($C101,[2]VehiclesUniverse!$A$2:$A$700,0),MATCH($AH$1,[2]VehiclesUniverse!$B$1:$EU$1,0)),"")</f>
        <v/>
      </c>
    </row>
    <row r="102" spans="1:34" x14ac:dyDescent="0.2">
      <c r="A102" s="5" t="str">
        <f>IF(OR(ISTEXT([2]NLFsmonkeyCompl!J103),ISNUMBER([2]NLFsmonkeyCompl!J103)),[2]NLFsmonkeyCompl!J103,"")</f>
        <v>CapMan Real Estate</v>
      </c>
      <c r="B102" s="6" t="str">
        <f>IF(OR(ISTEXT([2]NLFsmonkeyCompl!K103),ISNUMBER([2]NLFsmonkeyCompl!K103)),[2]NLFsmonkeyCompl!K103,"")</f>
        <v>CapMan Nordic Real Estate III FCP-RAIF</v>
      </c>
      <c r="C102" s="6" t="s">
        <v>58</v>
      </c>
      <c r="D102" s="6" t="str">
        <f>IFERROR(INDEX([2]VehiclesUniverse!$B$2:$EU$700,MATCH(C102,[2]VehiclesUniverse!$A$2:$A$700,0),MATCH($D$1,[2]VehiclesUniverse!$B$1:$EU$1,0)),"")</f>
        <v/>
      </c>
      <c r="E102" s="6" t="str">
        <f>IFERROR(INDEX([2]VehiclesUniverse!$B$2:$EU$700,MATCH(C102,[2]VehiclesUniverse!$A$2:$A$700,0),MATCH($E$1,[2]VehiclesUniverse!$B$1:$EU$1,0)),"")</f>
        <v/>
      </c>
      <c r="F102" s="6" t="str">
        <f>IF(IFERROR(INDEX([2]VehiclesUniverse!$B$2:$EU$700,MATCH($C102,[2]VehiclesUniverse!$A$2:$A$700,0),MATCH($F$1,[2]VehiclesUniverse!$B$1:$EU$1,0)),"")&lt;&gt;0,(IFERROR(INDEX([2]VehiclesUniverse!$B$2:$EU$700,MATCH($C102,[2]VehiclesUniverse!$A$2:$A$700,0),MATCH($F$1,[2]VehiclesUniverse!$B$1:$EU$1,0)),"")),"")</f>
        <v/>
      </c>
      <c r="G102" s="6"/>
      <c r="H102" s="6" t="str">
        <f>IFERROR(INDEX([2]VehiclesUniverse!$B$2:$EU$700,MATCH(C102,[2]VehiclesUniverse!$A$2:$A$700,0),MATCH($H$1,[2]VehiclesUniverse!$B$1:$EU$1,0)),"")</f>
        <v/>
      </c>
      <c r="I102" s="6" t="str">
        <f>IF(ISBLANK([2]NLFsmonkeyCompl!M103),"",[2]NLFsmonkeyCompl!M103)</f>
        <v>Yes</v>
      </c>
      <c r="J102" s="6" t="str">
        <f>IF(ISBLANK([2]NLFsmonkeyCompl!N103),"",[2]NLFsmonkeyCompl!N103)</f>
        <v/>
      </c>
      <c r="K102" s="6" t="str">
        <f>IF(ISBLANK([2]NLFsmonkeyCompl!O103),"",[2]NLFsmonkeyCompl!O103)</f>
        <v/>
      </c>
      <c r="L102" s="6" t="str">
        <f>IFERROR(INDEX([2]VehiclesUniverse!$B$2:$EU$700,MATCH(C102,[2]VehiclesUniverse!$A$2:$A$700,0),MATCH($L$1,[2]VehiclesUniverse!$B$1:$EU$1,0)),"")</f>
        <v/>
      </c>
      <c r="M102" s="16" t="str">
        <f>IFERROR(VLOOKUP(L102,'[2]Xrate31.12.20'!$K$2:$N$25,3,0),"")</f>
        <v/>
      </c>
      <c r="N102" s="8" t="str">
        <f>IFERROR(IF(ISBLANK([2]NLFsmonkeyCompl!P103),"",[2]NLFsmonkeyCompl!P103*$M102),"")</f>
        <v/>
      </c>
      <c r="O102" s="8" t="str">
        <f>IFERROR(IF(ISBLANK([2]NLFsmonkeyCompl!Q103),"",[2]NLFsmonkeyCompl!Q103*$M102),"")</f>
        <v/>
      </c>
      <c r="P102" s="8" t="str">
        <f>IFERROR(IF(ISBLANK([2]NLFsmonkeyCompl!R103),"",[2]NLFsmonkeyCompl!R103*$M102),"")</f>
        <v/>
      </c>
      <c r="Q102" s="8" t="str">
        <f>IFERROR(IF(ISBLANK([2]NLFsmonkeyCompl!S103),"",[2]NLFsmonkeyCompl!S103*$M102),"")</f>
        <v/>
      </c>
      <c r="R102" s="8" t="str">
        <f>IFERROR(IF(ISBLANK([2]NLFsmonkeyCompl!T103),"",[2]NLFsmonkeyCompl!T103*$M102),"")</f>
        <v/>
      </c>
      <c r="S102" s="8" t="str">
        <f>IFERROR(IF(ISBLANK([2]NLFsmonkeyCompl!U103),"",[2]NLFsmonkeyCompl!U103*$M102),"")</f>
        <v/>
      </c>
      <c r="T102" s="8" t="str">
        <f>IFERROR(IF(ISBLANK([2]NLFsmonkeyCompl!V103),"",[2]NLFsmonkeyCompl!V103*$M102),"")</f>
        <v/>
      </c>
      <c r="U102" s="8" t="str">
        <f>IFERROR(IF(ISBLANK([2]NLFsmonkeyCompl!W103),"",[2]NLFsmonkeyCompl!W103*$M102),"")</f>
        <v/>
      </c>
      <c r="V102" s="8" t="str">
        <f>IFERROR(IF(ISBLANK([2]NLFsmonkeyCompl!X103),"",[2]NLFsmonkeyCompl!X103*$M102),"")</f>
        <v/>
      </c>
      <c r="W102" s="8" t="str">
        <f>IFERROR(IF(ISBLANK([2]NLFsmonkeyCompl!Y103),"",[2]NLFsmonkeyCompl!Y103*$M102),"")</f>
        <v/>
      </c>
      <c r="X102" s="8" t="str">
        <f>IFERROR(IF(ISBLANK([2]NLFsmonkeyCompl!Z103),"",[2]NLFsmonkeyCompl!Z103*$M102),"")</f>
        <v/>
      </c>
      <c r="Y102" s="8" t="str">
        <f>IFERROR(IF(ISBLANK([2]NLFsmonkeyCompl!AA103),"",[2]NLFsmonkeyCompl!AA103*$M102),"")</f>
        <v/>
      </c>
      <c r="Z102" s="8" t="str">
        <f>IFERROR(IF(ISBLANK([2]NLFsmonkeyCompl!AB103),"",[2]NLFsmonkeyCompl!AB103*$M102),"")</f>
        <v/>
      </c>
      <c r="AA102" s="8" t="str">
        <f>IFERROR(IF(ISBLANK([2]NLFsmonkeyCompl!AC103),"",[2]NLFsmonkeyCompl!AC103*$M102),"")</f>
        <v/>
      </c>
      <c r="AB102" s="8">
        <f>IFERROR(IF(ISBLANK([2]NLFsmonkeyCompl!AD103),"",[2]NLFsmonkeyCompl!AD103),"")</f>
        <v>15</v>
      </c>
      <c r="AC102" s="8" t="str">
        <f>IFERROR(IF(ISBLANK([2]NLFsmonkeyCompl!AE103),"",[2]NLFsmonkeyCompl!AE103),"")</f>
        <v/>
      </c>
      <c r="AD102" s="8">
        <f>IFERROR(IF(ISBLANK([2]NLFsmonkeyCompl!AF103),"",[2]NLFsmonkeyCompl!AF103),"")</f>
        <v>85</v>
      </c>
      <c r="AE102" s="8" t="str">
        <f>IFERROR(IF(ISBLANK([2]NLFsmonkeyCompl!AG103),"",[2]NLFsmonkeyCompl!AG103),"")</f>
        <v/>
      </c>
      <c r="AF102" s="8" t="str">
        <f>IFERROR(IF(ISBLANK([2]NLFsmonkeyCompl!AH103),"",[2]NLFsmonkeyCompl!AH103),"")</f>
        <v>Increase</v>
      </c>
      <c r="AG102" s="8" t="str">
        <f>IFERROR(IF(ISBLANK([2]NLFsmonkeyCompl!AI103),"",[2]NLFsmonkeyCompl!AI103),"")</f>
        <v>Yes</v>
      </c>
      <c r="AH102" t="str">
        <f>IFERROR(INDEX([2]VehiclesUniverse!$B$2:$EU$700,MATCH($C102,[2]VehiclesUniverse!$A$2:$A$700,0),MATCH($AH$1,[2]VehiclesUniverse!$B$1:$EU$1,0)),"")</f>
        <v/>
      </c>
    </row>
    <row r="103" spans="1:34" x14ac:dyDescent="0.2">
      <c r="A103" s="5" t="str">
        <f>IF(OR(ISTEXT([2]NLFsmonkeyCompl!J104),ISNUMBER([2]NLFsmonkeyCompl!J104)),[2]NLFsmonkeyCompl!J104,"")</f>
        <v>sonae sierra</v>
      </c>
      <c r="B103" s="6" t="str">
        <f>IF(OR(ISTEXT([2]NLFsmonkeyCompl!K104),ISNUMBER([2]NLFsmonkeyCompl!K104)),[2]NLFsmonkeyCompl!K104,"")</f>
        <v>sierra retail ventures</v>
      </c>
      <c r="C103" s="6">
        <v>19558</v>
      </c>
      <c r="D103" s="6" t="str">
        <f>IFERROR(INDEX([2]VehiclesUniverse!$B$2:$EU$700,MATCH(C103,[2]VehiclesUniverse!$A$2:$A$700,0),MATCH($D$1,[2]VehiclesUniverse!$B$1:$EU$1,0)),"")</f>
        <v>Value-added</v>
      </c>
      <c r="E103" s="6" t="str">
        <f>IFERROR(INDEX([2]VehiclesUniverse!$B$2:$EU$700,MATCH(C103,[2]VehiclesUniverse!$A$2:$A$700,0),MATCH($E$1,[2]VehiclesUniverse!$B$1:$EU$1,0)),"")</f>
        <v>single country</v>
      </c>
      <c r="F103" s="6" t="str">
        <f>IF(IFERROR(INDEX([2]VehiclesUniverse!$B$2:$EU$700,MATCH($C103,[2]VehiclesUniverse!$A$2:$A$700,0),MATCH($F$1,[2]VehiclesUniverse!$B$1:$EU$1,0)),"")&lt;&gt;0,(IFERROR(INDEX([2]VehiclesUniverse!$B$2:$EU$700,MATCH($C103,[2]VehiclesUniverse!$A$2:$A$700,0),MATCH($F$1,[2]VehiclesUniverse!$B$1:$EU$1,0)),"")),"")</f>
        <v>Portugal</v>
      </c>
      <c r="G103" s="6" t="str">
        <f>IF(ISBLANK([2]NLFsmonkeyCompl!L104),"",[2]NLFsmonkeyCompl!L104)</f>
        <v>Closed end</v>
      </c>
      <c r="H103" s="6">
        <f>IFERROR(INDEX([2]VehiclesUniverse!$B$2:$EU$700,MATCH(C103,[2]VehiclesUniverse!$A$2:$A$700,0),MATCH($H$1,[2]VehiclesUniverse!$B$1:$EU$1,0)),"")</f>
        <v>2020</v>
      </c>
      <c r="I103" s="6" t="str">
        <f>IF(ISBLANK([2]NLFsmonkeyCompl!M104),"",[2]NLFsmonkeyCompl!M104)</f>
        <v>No</v>
      </c>
      <c r="J103" s="6" t="str">
        <f>IF(ISBLANK([2]NLFsmonkeyCompl!N104),"",[2]NLFsmonkeyCompl!N104)</f>
        <v>Other (please specify)</v>
      </c>
      <c r="K103" s="6" t="str">
        <f>IF(ISBLANK([2]NLFsmonkeyCompl!O104),"",[2]NLFsmonkeyCompl!O104)</f>
        <v>investments monetizing stage</v>
      </c>
      <c r="L103" s="6" t="str">
        <f>IFERROR(INDEX([2]VehiclesUniverse!$B$2:$EU$700,MATCH(C103,[2]VehiclesUniverse!$A$2:$A$700,0),MATCH($L$1,[2]VehiclesUniverse!$B$1:$EU$1,0)),"")</f>
        <v>EUR</v>
      </c>
      <c r="M103" s="16">
        <f>IFERROR(VLOOKUP(L103,'[2]Xrate31.12.20'!$K$2:$N$25,3,0),"")</f>
        <v>1</v>
      </c>
      <c r="N103" s="8" t="str">
        <f>IFERROR(IF(ISBLANK([2]NLFsmonkeyCompl!P104),"",[2]NLFsmonkeyCompl!P104*$M103),"")</f>
        <v/>
      </c>
      <c r="O103" s="8" t="str">
        <f>IFERROR(IF(ISBLANK([2]NLFsmonkeyCompl!Q104),"",[2]NLFsmonkeyCompl!Q104*$M103),"")</f>
        <v/>
      </c>
      <c r="P103" s="8" t="str">
        <f>IFERROR(IF(ISBLANK([2]NLFsmonkeyCompl!R104),"",[2]NLFsmonkeyCompl!R104*$M103),"")</f>
        <v/>
      </c>
      <c r="Q103" s="8" t="str">
        <f>IFERROR(IF(ISBLANK([2]NLFsmonkeyCompl!S104),"",[2]NLFsmonkeyCompl!S104*$M103),"")</f>
        <v/>
      </c>
      <c r="R103" s="8" t="str">
        <f>IFERROR(IF(ISBLANK([2]NLFsmonkeyCompl!T104),"",[2]NLFsmonkeyCompl!T104*$M103),"")</f>
        <v/>
      </c>
      <c r="S103" s="8" t="str">
        <f>IFERROR(IF(ISBLANK([2]NLFsmonkeyCompl!U104),"",[2]NLFsmonkeyCompl!U104*$M103),"")</f>
        <v/>
      </c>
      <c r="T103" s="8" t="str">
        <f>IFERROR(IF(ISBLANK([2]NLFsmonkeyCompl!V104),"",[2]NLFsmonkeyCompl!V104*$M103),"")</f>
        <v/>
      </c>
      <c r="U103" s="8" t="str">
        <f>IFERROR(IF(ISBLANK([2]NLFsmonkeyCompl!W104),"",[2]NLFsmonkeyCompl!W104*$M103),"")</f>
        <v/>
      </c>
      <c r="V103" s="8" t="str">
        <f>IFERROR(IF(ISBLANK([2]NLFsmonkeyCompl!X104),"",[2]NLFsmonkeyCompl!X104*$M103),"")</f>
        <v/>
      </c>
      <c r="W103" s="8" t="str">
        <f>IFERROR(IF(ISBLANK([2]NLFsmonkeyCompl!Y104),"",[2]NLFsmonkeyCompl!Y104*$M103),"")</f>
        <v/>
      </c>
      <c r="X103" s="8" t="str">
        <f>IFERROR(IF(ISBLANK([2]NLFsmonkeyCompl!Z104),"",[2]NLFsmonkeyCompl!Z104*$M103),"")</f>
        <v/>
      </c>
      <c r="Y103" s="8" t="str">
        <f>IFERROR(IF(ISBLANK([2]NLFsmonkeyCompl!AA104),"",[2]NLFsmonkeyCompl!AA104*$M103),"")</f>
        <v/>
      </c>
      <c r="Z103" s="8" t="str">
        <f>IFERROR(IF(ISBLANK([2]NLFsmonkeyCompl!AB104),"",[2]NLFsmonkeyCompl!AB104*$M103),"")</f>
        <v/>
      </c>
      <c r="AA103" s="8" t="str">
        <f>IFERROR(IF(ISBLANK([2]NLFsmonkeyCompl!AC104),"",[2]NLFsmonkeyCompl!AC104*$M103),"")</f>
        <v/>
      </c>
      <c r="AB103" s="8" t="str">
        <f>IFERROR(IF(ISBLANK([2]NLFsmonkeyCompl!AD104),"",[2]NLFsmonkeyCompl!AD104),"")</f>
        <v/>
      </c>
      <c r="AC103" s="8" t="str">
        <f>IFERROR(IF(ISBLANK([2]NLFsmonkeyCompl!AE104),"",[2]NLFsmonkeyCompl!AE104),"")</f>
        <v/>
      </c>
      <c r="AD103" s="8" t="str">
        <f>IFERROR(IF(ISBLANK([2]NLFsmonkeyCompl!AF104),"",[2]NLFsmonkeyCompl!AF104),"")</f>
        <v/>
      </c>
      <c r="AE103" s="8" t="str">
        <f>IFERROR(IF(ISBLANK([2]NLFsmonkeyCompl!AG104),"",[2]NLFsmonkeyCompl!AG104),"")</f>
        <v/>
      </c>
      <c r="AF103" s="8" t="str">
        <f>IFERROR(IF(ISBLANK([2]NLFsmonkeyCompl!AH104),"",[2]NLFsmonkeyCompl!AH104),"")</f>
        <v>Decrease</v>
      </c>
      <c r="AG103" s="8" t="str">
        <f>IFERROR(IF(ISBLANK([2]NLFsmonkeyCompl!AI104),"",[2]NLFsmonkeyCompl!AI104),"")</f>
        <v>Yes</v>
      </c>
      <c r="AH103">
        <f>IFERROR(INDEX([2]VehiclesUniverse!$B$2:$EU$700,MATCH($C103,[2]VehiclesUniverse!$A$2:$A$700,0),MATCH($AH$1,[2]VehiclesUniverse!$B$1:$EU$1,0)),"")</f>
        <v>252314000</v>
      </c>
    </row>
    <row r="104" spans="1:34" x14ac:dyDescent="0.2">
      <c r="A104" s="5" t="str">
        <f>IF(OR(ISTEXT([2]NLFsmonkeyCompl!J105),ISNUMBER([2]NLFsmonkeyCompl!J105)),[2]NLFsmonkeyCompl!J105,"")</f>
        <v>sonae sierra</v>
      </c>
      <c r="B104" s="6" t="str">
        <f>IF(OR(ISTEXT([2]NLFsmonkeyCompl!K105),ISNUMBER([2]NLFsmonkeyCompl!K105)),[2]NLFsmonkeyCompl!K105,"")</f>
        <v>iberia coop</v>
      </c>
      <c r="C104" s="6">
        <v>18106</v>
      </c>
      <c r="D104" s="6" t="str">
        <f>IFERROR(INDEX([2]VehiclesUniverse!$B$2:$EU$700,MATCH(C104,[2]VehiclesUniverse!$A$2:$A$700,0),MATCH($D$1,[2]VehiclesUniverse!$B$1:$EU$1,0)),"")</f>
        <v>Core</v>
      </c>
      <c r="E104" s="6" t="str">
        <f>IFERROR(INDEX([2]VehiclesUniverse!$B$2:$EU$700,MATCH(C104,[2]VehiclesUniverse!$A$2:$A$700,0),MATCH($E$1,[2]VehiclesUniverse!$B$1:$EU$1,0)),"")</f>
        <v>multi country</v>
      </c>
      <c r="F104" s="6" t="str">
        <f>IF(IFERROR(INDEX([2]VehiclesUniverse!$B$2:$EU$700,MATCH($C104,[2]VehiclesUniverse!$A$2:$A$700,0),MATCH($F$1,[2]VehiclesUniverse!$B$1:$EU$1,0)),"")&lt;&gt;0,(IFERROR(INDEX([2]VehiclesUniverse!$B$2:$EU$700,MATCH($C104,[2]VehiclesUniverse!$A$2:$A$700,0),MATCH($F$1,[2]VehiclesUniverse!$B$1:$EU$1,0)),"")),"")</f>
        <v/>
      </c>
      <c r="G104" s="6" t="str">
        <f>IF(ISBLANK([2]NLFsmonkeyCompl!L105),"",[2]NLFsmonkeyCompl!L105)</f>
        <v>Closed end</v>
      </c>
      <c r="H104" s="6">
        <f>IFERROR(INDEX([2]VehiclesUniverse!$B$2:$EU$700,MATCH(C104,[2]VehiclesUniverse!$A$2:$A$700,0),MATCH($H$1,[2]VehiclesUniverse!$B$1:$EU$1,0)),"")</f>
        <v>2016</v>
      </c>
      <c r="I104" s="6" t="str">
        <f>IF(ISBLANK([2]NLFsmonkeyCompl!M105),"",[2]NLFsmonkeyCompl!M105)</f>
        <v>No</v>
      </c>
      <c r="J104" s="6" t="str">
        <f>IF(ISBLANK([2]NLFsmonkeyCompl!N105),"",[2]NLFsmonkeyCompl!N105)</f>
        <v>Other (please specify)</v>
      </c>
      <c r="K104" s="6" t="str">
        <f>IF(ISBLANK([2]NLFsmonkeyCompl!O105),"",[2]NLFsmonkeyCompl!O105)</f>
        <v>investment period has elapsed</v>
      </c>
      <c r="L104" s="6" t="str">
        <f>IFERROR(INDEX([2]VehiclesUniverse!$B$2:$EU$700,MATCH(C104,[2]VehiclesUniverse!$A$2:$A$700,0),MATCH($L$1,[2]VehiclesUniverse!$B$1:$EU$1,0)),"")</f>
        <v>EUR</v>
      </c>
      <c r="M104" s="16">
        <f>IFERROR(VLOOKUP(L104,'[2]Xrate31.12.20'!$K$2:$N$25,3,0),"")</f>
        <v>1</v>
      </c>
      <c r="N104" s="8" t="str">
        <f>IFERROR(IF(ISBLANK([2]NLFsmonkeyCompl!P105),"",[2]NLFsmonkeyCompl!P105*$M104),"")</f>
        <v/>
      </c>
      <c r="O104" s="8" t="str">
        <f>IFERROR(IF(ISBLANK([2]NLFsmonkeyCompl!Q105),"",[2]NLFsmonkeyCompl!Q105*$M104),"")</f>
        <v/>
      </c>
      <c r="P104" s="8" t="str">
        <f>IFERROR(IF(ISBLANK([2]NLFsmonkeyCompl!R105),"",[2]NLFsmonkeyCompl!R105*$M104),"")</f>
        <v/>
      </c>
      <c r="Q104" s="8" t="str">
        <f>IFERROR(IF(ISBLANK([2]NLFsmonkeyCompl!S105),"",[2]NLFsmonkeyCompl!S105*$M104),"")</f>
        <v/>
      </c>
      <c r="R104" s="8" t="str">
        <f>IFERROR(IF(ISBLANK([2]NLFsmonkeyCompl!T105),"",[2]NLFsmonkeyCompl!T105*$M104),"")</f>
        <v/>
      </c>
      <c r="S104" s="8" t="str">
        <f>IFERROR(IF(ISBLANK([2]NLFsmonkeyCompl!U105),"",[2]NLFsmonkeyCompl!U105*$M104),"")</f>
        <v/>
      </c>
      <c r="T104" s="8" t="str">
        <f>IFERROR(IF(ISBLANK([2]NLFsmonkeyCompl!V105),"",[2]NLFsmonkeyCompl!V105*$M104),"")</f>
        <v/>
      </c>
      <c r="U104" s="8" t="str">
        <f>IFERROR(IF(ISBLANK([2]NLFsmonkeyCompl!W105),"",[2]NLFsmonkeyCompl!W105*$M104),"")</f>
        <v/>
      </c>
      <c r="V104" s="8" t="str">
        <f>IFERROR(IF(ISBLANK([2]NLFsmonkeyCompl!X105),"",[2]NLFsmonkeyCompl!X105*$M104),"")</f>
        <v/>
      </c>
      <c r="W104" s="8" t="str">
        <f>IFERROR(IF(ISBLANK([2]NLFsmonkeyCompl!Y105),"",[2]NLFsmonkeyCompl!Y105*$M104),"")</f>
        <v/>
      </c>
      <c r="X104" s="8" t="str">
        <f>IFERROR(IF(ISBLANK([2]NLFsmonkeyCompl!Z105),"",[2]NLFsmonkeyCompl!Z105*$M104),"")</f>
        <v/>
      </c>
      <c r="Y104" s="8" t="str">
        <f>IFERROR(IF(ISBLANK([2]NLFsmonkeyCompl!AA105),"",[2]NLFsmonkeyCompl!AA105*$M104),"")</f>
        <v/>
      </c>
      <c r="Z104" s="8" t="str">
        <f>IFERROR(IF(ISBLANK([2]NLFsmonkeyCompl!AB105),"",[2]NLFsmonkeyCompl!AB105*$M104),"")</f>
        <v/>
      </c>
      <c r="AA104" s="8" t="str">
        <f>IFERROR(IF(ISBLANK([2]NLFsmonkeyCompl!AC105),"",[2]NLFsmonkeyCompl!AC105*$M104),"")</f>
        <v/>
      </c>
      <c r="AB104" s="8" t="str">
        <f>IFERROR(IF(ISBLANK([2]NLFsmonkeyCompl!AD105),"",[2]NLFsmonkeyCompl!AD105),"")</f>
        <v/>
      </c>
      <c r="AC104" s="8" t="str">
        <f>IFERROR(IF(ISBLANK([2]NLFsmonkeyCompl!AE105),"",[2]NLFsmonkeyCompl!AE105),"")</f>
        <v/>
      </c>
      <c r="AD104" s="8" t="str">
        <f>IFERROR(IF(ISBLANK([2]NLFsmonkeyCompl!AF105),"",[2]NLFsmonkeyCompl!AF105),"")</f>
        <v/>
      </c>
      <c r="AE104" s="8" t="str">
        <f>IFERROR(IF(ISBLANK([2]NLFsmonkeyCompl!AG105),"",[2]NLFsmonkeyCompl!AG105),"")</f>
        <v/>
      </c>
      <c r="AF104" s="8" t="str">
        <f>IFERROR(IF(ISBLANK([2]NLFsmonkeyCompl!AH105),"",[2]NLFsmonkeyCompl!AH105),"")</f>
        <v>Decrease</v>
      </c>
      <c r="AG104" s="8" t="str">
        <f>IFERROR(IF(ISBLANK([2]NLFsmonkeyCompl!AI105),"",[2]NLFsmonkeyCompl!AI105),"")</f>
        <v>Yes</v>
      </c>
      <c r="AH104">
        <f>IFERROR(INDEX([2]VehiclesUniverse!$B$2:$EU$700,MATCH($C104,[2]VehiclesUniverse!$A$2:$A$700,0),MATCH($AH$1,[2]VehiclesUniverse!$B$1:$EU$1,0)),"")</f>
        <v>221976000</v>
      </c>
    </row>
    <row r="105" spans="1:34" x14ac:dyDescent="0.2">
      <c r="A105" s="5" t="str">
        <f>IF(OR(ISTEXT([2]NLFsmonkeyCompl!J106),ISNUMBER([2]NLFsmonkeyCompl!J106)),[2]NLFsmonkeyCompl!J106,"")</f>
        <v>sonae sierra</v>
      </c>
      <c r="B105" s="6" t="str">
        <f>IF(OR(ISTEXT([2]NLFsmonkeyCompl!K106),ISNUMBER([2]NLFsmonkeyCompl!K106)),[2]NLFsmonkeyCompl!K106,"")</f>
        <v>sierra portugal fund</v>
      </c>
      <c r="C105" s="6">
        <v>421</v>
      </c>
      <c r="D105" s="6" t="str">
        <f>IFERROR(INDEX([2]VehiclesUniverse!$B$2:$EU$700,MATCH(C105,[2]VehiclesUniverse!$A$2:$A$700,0),MATCH($D$1,[2]VehiclesUniverse!$B$1:$EU$1,0)),"")</f>
        <v>Core</v>
      </c>
      <c r="E105" s="6" t="str">
        <f>IFERROR(INDEX([2]VehiclesUniverse!$B$2:$EU$700,MATCH(C105,[2]VehiclesUniverse!$A$2:$A$700,0),MATCH($E$1,[2]VehiclesUniverse!$B$1:$EU$1,0)),"")</f>
        <v>single country</v>
      </c>
      <c r="F105" s="6" t="str">
        <f>IF(IFERROR(INDEX([2]VehiclesUniverse!$B$2:$EU$700,MATCH($C105,[2]VehiclesUniverse!$A$2:$A$700,0),MATCH($F$1,[2]VehiclesUniverse!$B$1:$EU$1,0)),"")&lt;&gt;0,(IFERROR(INDEX([2]VehiclesUniverse!$B$2:$EU$700,MATCH($C105,[2]VehiclesUniverse!$A$2:$A$700,0),MATCH($F$1,[2]VehiclesUniverse!$B$1:$EU$1,0)),"")),"")</f>
        <v>Portugal</v>
      </c>
      <c r="G105" s="6" t="str">
        <f>IF(ISBLANK([2]NLFsmonkeyCompl!L106),"",[2]NLFsmonkeyCompl!L106)</f>
        <v>Closed end</v>
      </c>
      <c r="H105" s="6">
        <f>IFERROR(INDEX([2]VehiclesUniverse!$B$2:$EU$700,MATCH(C105,[2]VehiclesUniverse!$A$2:$A$700,0),MATCH($H$1,[2]VehiclesUniverse!$B$1:$EU$1,0)),"")</f>
        <v>2008</v>
      </c>
      <c r="I105" s="6" t="str">
        <f>IF(ISBLANK([2]NLFsmonkeyCompl!M106),"",[2]NLFsmonkeyCompl!M106)</f>
        <v>No</v>
      </c>
      <c r="J105" s="6" t="str">
        <f>IF(ISBLANK([2]NLFsmonkeyCompl!N106),"",[2]NLFsmonkeyCompl!N106)</f>
        <v>Other (please specify)</v>
      </c>
      <c r="K105" s="6" t="str">
        <f>IF(ISBLANK([2]NLFsmonkeyCompl!O106),"",[2]NLFsmonkeyCompl!O106)</f>
        <v>investments monetizing stage</v>
      </c>
      <c r="L105" s="6" t="str">
        <f>IFERROR(INDEX([2]VehiclesUniverse!$B$2:$EU$700,MATCH(C105,[2]VehiclesUniverse!$A$2:$A$700,0),MATCH($L$1,[2]VehiclesUniverse!$B$1:$EU$1,0)),"")</f>
        <v>EUR</v>
      </c>
      <c r="M105" s="16">
        <f>IFERROR(VLOOKUP(L105,'[2]Xrate31.12.20'!$K$2:$N$25,3,0),"")</f>
        <v>1</v>
      </c>
      <c r="N105" s="8" t="str">
        <f>IFERROR(IF(ISBLANK([2]NLFsmonkeyCompl!P106),"",[2]NLFsmonkeyCompl!P106*$M105),"")</f>
        <v/>
      </c>
      <c r="O105" s="8" t="str">
        <f>IFERROR(IF(ISBLANK([2]NLFsmonkeyCompl!Q106),"",[2]NLFsmonkeyCompl!Q106*$M105),"")</f>
        <v/>
      </c>
      <c r="P105" s="8" t="str">
        <f>IFERROR(IF(ISBLANK([2]NLFsmonkeyCompl!R106),"",[2]NLFsmonkeyCompl!R106*$M105),"")</f>
        <v/>
      </c>
      <c r="Q105" s="8" t="str">
        <f>IFERROR(IF(ISBLANK([2]NLFsmonkeyCompl!S106),"",[2]NLFsmonkeyCompl!S106*$M105),"")</f>
        <v/>
      </c>
      <c r="R105" s="8" t="str">
        <f>IFERROR(IF(ISBLANK([2]NLFsmonkeyCompl!T106),"",[2]NLFsmonkeyCompl!T106*$M105),"")</f>
        <v/>
      </c>
      <c r="S105" s="8" t="str">
        <f>IFERROR(IF(ISBLANK([2]NLFsmonkeyCompl!U106),"",[2]NLFsmonkeyCompl!U106*$M105),"")</f>
        <v/>
      </c>
      <c r="T105" s="8" t="str">
        <f>IFERROR(IF(ISBLANK([2]NLFsmonkeyCompl!V106),"",[2]NLFsmonkeyCompl!V106*$M105),"")</f>
        <v/>
      </c>
      <c r="U105" s="8" t="str">
        <f>IFERROR(IF(ISBLANK([2]NLFsmonkeyCompl!W106),"",[2]NLFsmonkeyCompl!W106*$M105),"")</f>
        <v/>
      </c>
      <c r="V105" s="8" t="str">
        <f>IFERROR(IF(ISBLANK([2]NLFsmonkeyCompl!X106),"",[2]NLFsmonkeyCompl!X106*$M105),"")</f>
        <v/>
      </c>
      <c r="W105" s="8" t="str">
        <f>IFERROR(IF(ISBLANK([2]NLFsmonkeyCompl!Y106),"",[2]NLFsmonkeyCompl!Y106*$M105),"")</f>
        <v/>
      </c>
      <c r="X105" s="8" t="str">
        <f>IFERROR(IF(ISBLANK([2]NLFsmonkeyCompl!Z106),"",[2]NLFsmonkeyCompl!Z106*$M105),"")</f>
        <v/>
      </c>
      <c r="Y105" s="8" t="str">
        <f>IFERROR(IF(ISBLANK([2]NLFsmonkeyCompl!AA106),"",[2]NLFsmonkeyCompl!AA106*$M105),"")</f>
        <v/>
      </c>
      <c r="Z105" s="8" t="str">
        <f>IFERROR(IF(ISBLANK([2]NLFsmonkeyCompl!AB106),"",[2]NLFsmonkeyCompl!AB106*$M105),"")</f>
        <v/>
      </c>
      <c r="AA105" s="8" t="str">
        <f>IFERROR(IF(ISBLANK([2]NLFsmonkeyCompl!AC106),"",[2]NLFsmonkeyCompl!AC106*$M105),"")</f>
        <v/>
      </c>
      <c r="AB105" s="8" t="str">
        <f>IFERROR(IF(ISBLANK([2]NLFsmonkeyCompl!AD106),"",[2]NLFsmonkeyCompl!AD106),"")</f>
        <v/>
      </c>
      <c r="AC105" s="8" t="str">
        <f>IFERROR(IF(ISBLANK([2]NLFsmonkeyCompl!AE106),"",[2]NLFsmonkeyCompl!AE106),"")</f>
        <v/>
      </c>
      <c r="AD105" s="8" t="str">
        <f>IFERROR(IF(ISBLANK([2]NLFsmonkeyCompl!AF106),"",[2]NLFsmonkeyCompl!AF106),"")</f>
        <v/>
      </c>
      <c r="AE105" s="8" t="str">
        <f>IFERROR(IF(ISBLANK([2]NLFsmonkeyCompl!AG106),"",[2]NLFsmonkeyCompl!AG106),"")</f>
        <v/>
      </c>
      <c r="AF105" s="8" t="str">
        <f>IFERROR(IF(ISBLANK([2]NLFsmonkeyCompl!AH106),"",[2]NLFsmonkeyCompl!AH106),"")</f>
        <v>Decrease</v>
      </c>
      <c r="AG105" s="8" t="str">
        <f>IFERROR(IF(ISBLANK([2]NLFsmonkeyCompl!AI106),"",[2]NLFsmonkeyCompl!AI106),"")</f>
        <v>Yes</v>
      </c>
      <c r="AH105">
        <f>IFERROR(INDEX([2]VehiclesUniverse!$B$2:$EU$700,MATCH($C105,[2]VehiclesUniverse!$A$2:$A$700,0),MATCH($AH$1,[2]VehiclesUniverse!$B$1:$EU$1,0)),"")</f>
        <v>150823000</v>
      </c>
    </row>
    <row r="106" spans="1:34" x14ac:dyDescent="0.2">
      <c r="A106" s="5" t="str">
        <f>IF(OR(ISTEXT([2]NLFsmonkeyCompl!J107),ISNUMBER([2]NLFsmonkeyCompl!J107)),[2]NLFsmonkeyCompl!J107,"")</f>
        <v>sonae sierra</v>
      </c>
      <c r="B106" s="6" t="str">
        <f>IF(OR(ISTEXT([2]NLFsmonkeyCompl!K107),ISNUMBER([2]NLFsmonkeyCompl!K107)),[2]NLFsmonkeyCompl!K107,"")</f>
        <v>sierra prime</v>
      </c>
      <c r="C106" s="6">
        <v>415</v>
      </c>
      <c r="D106" s="6" t="str">
        <f>IFERROR(INDEX([2]VehiclesUniverse!$B$2:$EU$700,MATCH(C106,[2]VehiclesUniverse!$A$2:$A$700,0),MATCH($D$1,[2]VehiclesUniverse!$B$1:$EU$1,0)),"")</f>
        <v>Core</v>
      </c>
      <c r="E106" s="6" t="str">
        <f>IFERROR(INDEX([2]VehiclesUniverse!$B$2:$EU$700,MATCH(C106,[2]VehiclesUniverse!$A$2:$A$700,0),MATCH($E$1,[2]VehiclesUniverse!$B$1:$EU$1,0)),"")</f>
        <v>multi country</v>
      </c>
      <c r="F106" s="6" t="str">
        <f>IF(IFERROR(INDEX([2]VehiclesUniverse!$B$2:$EU$700,MATCH($C106,[2]VehiclesUniverse!$A$2:$A$700,0),MATCH($F$1,[2]VehiclesUniverse!$B$1:$EU$1,0)),"")&lt;&gt;0,(IFERROR(INDEX([2]VehiclesUniverse!$B$2:$EU$700,MATCH($C106,[2]VehiclesUniverse!$A$2:$A$700,0),MATCH($F$1,[2]VehiclesUniverse!$B$1:$EU$1,0)),"")),"")</f>
        <v/>
      </c>
      <c r="G106" s="6" t="str">
        <f>IF(ISBLANK([2]NLFsmonkeyCompl!L107),"",[2]NLFsmonkeyCompl!L107)</f>
        <v>Closed end</v>
      </c>
      <c r="H106" s="6">
        <f>IFERROR(INDEX([2]VehiclesUniverse!$B$2:$EU$700,MATCH(C106,[2]VehiclesUniverse!$A$2:$A$700,0),MATCH($H$1,[2]VehiclesUniverse!$B$1:$EU$1,0)),"")</f>
        <v>2003</v>
      </c>
      <c r="I106" s="6" t="str">
        <f>IF(ISBLANK([2]NLFsmonkeyCompl!M107),"",[2]NLFsmonkeyCompl!M107)</f>
        <v>Yes</v>
      </c>
      <c r="J106" s="6" t="str">
        <f>IF(ISBLANK([2]NLFsmonkeyCompl!N107),"",[2]NLFsmonkeyCompl!N107)</f>
        <v/>
      </c>
      <c r="K106" s="6" t="str">
        <f>IF(ISBLANK([2]NLFsmonkeyCompl!O107),"",[2]NLFsmonkeyCompl!O107)</f>
        <v/>
      </c>
      <c r="L106" s="6" t="str">
        <f>IFERROR(INDEX([2]VehiclesUniverse!$B$2:$EU$700,MATCH(C106,[2]VehiclesUniverse!$A$2:$A$700,0),MATCH($L$1,[2]VehiclesUniverse!$B$1:$EU$1,0)),"")</f>
        <v>EUR</v>
      </c>
      <c r="M106" s="16">
        <f>IFERROR(VLOOKUP(L106,'[2]Xrate31.12.20'!$K$2:$N$25,3,0),"")</f>
        <v>1</v>
      </c>
      <c r="N106" s="8">
        <f>IFERROR(IF(ISBLANK([2]NLFsmonkeyCompl!P107),"",[2]NLFsmonkeyCompl!P107*$M106),"")</f>
        <v>520</v>
      </c>
      <c r="O106" s="8">
        <f>IFERROR(IF(ISBLANK([2]NLFsmonkeyCompl!Q107),"",[2]NLFsmonkeyCompl!Q107*$M106),"")</f>
        <v>260</v>
      </c>
      <c r="P106" s="8">
        <f>IFERROR(IF(ISBLANK([2]NLFsmonkeyCompl!R107),"",[2]NLFsmonkeyCompl!R107*$M106),"")</f>
        <v>260</v>
      </c>
      <c r="Q106" s="8" t="str">
        <f>IFERROR(IF(ISBLANK([2]NLFsmonkeyCompl!S107),"",[2]NLFsmonkeyCompl!S107*$M106),"")</f>
        <v/>
      </c>
      <c r="R106" s="8" t="str">
        <f>IFERROR(IF(ISBLANK([2]NLFsmonkeyCompl!T107),"",[2]NLFsmonkeyCompl!T107*$M106),"")</f>
        <v/>
      </c>
      <c r="S106" s="8" t="str">
        <f>IFERROR(IF(ISBLANK([2]NLFsmonkeyCompl!U107),"",[2]NLFsmonkeyCompl!U107*$M106),"")</f>
        <v/>
      </c>
      <c r="T106" s="8" t="str">
        <f>IFERROR(IF(ISBLANK([2]NLFsmonkeyCompl!V107),"",[2]NLFsmonkeyCompl!V107*$M106),"")</f>
        <v/>
      </c>
      <c r="U106" s="8" t="str">
        <f>IFERROR(IF(ISBLANK([2]NLFsmonkeyCompl!W107),"",[2]NLFsmonkeyCompl!W107*$M106),"")</f>
        <v/>
      </c>
      <c r="V106" s="8" t="str">
        <f>IFERROR(IF(ISBLANK([2]NLFsmonkeyCompl!X107),"",[2]NLFsmonkeyCompl!X107*$M106),"")</f>
        <v/>
      </c>
      <c r="W106" s="8">
        <f>IFERROR(IF(ISBLANK([2]NLFsmonkeyCompl!Y107),"",[2]NLFsmonkeyCompl!Y107*$M106),"")</f>
        <v>520</v>
      </c>
      <c r="X106" s="8" t="str">
        <f>IFERROR(IF(ISBLANK([2]NLFsmonkeyCompl!Z107),"",[2]NLFsmonkeyCompl!Z107*$M106),"")</f>
        <v/>
      </c>
      <c r="Y106" s="8" t="str">
        <f>IFERROR(IF(ISBLANK([2]NLFsmonkeyCompl!AA107),"",[2]NLFsmonkeyCompl!AA107*$M106),"")</f>
        <v/>
      </c>
      <c r="Z106" s="8" t="str">
        <f>IFERROR(IF(ISBLANK([2]NLFsmonkeyCompl!AB107),"",[2]NLFsmonkeyCompl!AB107*$M106),"")</f>
        <v/>
      </c>
      <c r="AA106" s="8" t="str">
        <f>IFERROR(IF(ISBLANK([2]NLFsmonkeyCompl!AC107),"",[2]NLFsmonkeyCompl!AC107*$M106),"")</f>
        <v/>
      </c>
      <c r="AB106" s="8">
        <f>IFERROR(IF(ISBLANK([2]NLFsmonkeyCompl!AD107),"",[2]NLFsmonkeyCompl!AD107),"")</f>
        <v>100</v>
      </c>
      <c r="AC106" s="8" t="str">
        <f>IFERROR(IF(ISBLANK([2]NLFsmonkeyCompl!AE107),"",[2]NLFsmonkeyCompl!AE107),"")</f>
        <v/>
      </c>
      <c r="AD106" s="8" t="str">
        <f>IFERROR(IF(ISBLANK([2]NLFsmonkeyCompl!AF107),"",[2]NLFsmonkeyCompl!AF107),"")</f>
        <v/>
      </c>
      <c r="AE106" s="8" t="str">
        <f>IFERROR(IF(ISBLANK([2]NLFsmonkeyCompl!AG107),"",[2]NLFsmonkeyCompl!AG107),"")</f>
        <v/>
      </c>
      <c r="AF106" s="8" t="str">
        <f>IFERROR(IF(ISBLANK([2]NLFsmonkeyCompl!AH107),"",[2]NLFsmonkeyCompl!AH107),"")</f>
        <v>No change</v>
      </c>
      <c r="AG106" s="8" t="str">
        <f>IFERROR(IF(ISBLANK([2]NLFsmonkeyCompl!AI107),"",[2]NLFsmonkeyCompl!AI107),"")</f>
        <v>Yes</v>
      </c>
      <c r="AH106">
        <f>IFERROR(INDEX([2]VehiclesUniverse!$B$2:$EU$700,MATCH($C106,[2]VehiclesUniverse!$A$2:$A$700,0),MATCH($AH$1,[2]VehiclesUniverse!$B$1:$EU$1,0)),"")</f>
        <v>1822857000</v>
      </c>
    </row>
    <row r="107" spans="1:34" x14ac:dyDescent="0.2">
      <c r="A107" s="5" t="str">
        <f>IF(OR(ISTEXT([2]NLFsmonkeyCompl!J108),ISNUMBER([2]NLFsmonkeyCompl!J108)),[2]NLFsmonkeyCompl!J108,"")</f>
        <v>Amvest Management B.V.</v>
      </c>
      <c r="B107" s="6" t="str">
        <f>IF(OR(ISTEXT([2]NLFsmonkeyCompl!K108),ISNUMBER([2]NLFsmonkeyCompl!K108)),[2]NLFsmonkeyCompl!K108,"")</f>
        <v>Amvest Living and Care Fund</v>
      </c>
      <c r="C107" s="6">
        <v>19273</v>
      </c>
      <c r="D107" s="6" t="str">
        <f>IFERROR(INDEX([2]VehiclesUniverse!$B$2:$EU$700,MATCH(C107,[2]VehiclesUniverse!$A$2:$A$700,0),MATCH($D$1,[2]VehiclesUniverse!$B$1:$EU$1,0)),"")</f>
        <v>Core</v>
      </c>
      <c r="E107" s="6" t="str">
        <f>IFERROR(INDEX([2]VehiclesUniverse!$B$2:$EU$700,MATCH(C107,[2]VehiclesUniverse!$A$2:$A$700,0),MATCH($E$1,[2]VehiclesUniverse!$B$1:$EU$1,0)),"")</f>
        <v>single country</v>
      </c>
      <c r="F107" s="6" t="str">
        <f>IF(IFERROR(INDEX([2]VehiclesUniverse!$B$2:$EU$700,MATCH($C107,[2]VehiclesUniverse!$A$2:$A$700,0),MATCH($F$1,[2]VehiclesUniverse!$B$1:$EU$1,0)),"")&lt;&gt;0,(IFERROR(INDEX([2]VehiclesUniverse!$B$2:$EU$700,MATCH($C107,[2]VehiclesUniverse!$A$2:$A$700,0),MATCH($F$1,[2]VehiclesUniverse!$B$1:$EU$1,0)),"")),"")</f>
        <v>Netherlands</v>
      </c>
      <c r="G107" s="6" t="str">
        <f>IF(ISBLANK([2]NLFsmonkeyCompl!L108),"",[2]NLFsmonkeyCompl!L108)</f>
        <v>Open end</v>
      </c>
      <c r="H107" s="6">
        <f>IFERROR(INDEX([2]VehiclesUniverse!$B$2:$EU$700,MATCH(C107,[2]VehiclesUniverse!$A$2:$A$700,0),MATCH($H$1,[2]VehiclesUniverse!$B$1:$EU$1,0)),"")</f>
        <v>2016</v>
      </c>
      <c r="I107" s="6" t="str">
        <f>IF(ISBLANK([2]NLFsmonkeyCompl!M108),"",[2]NLFsmonkeyCompl!M108)</f>
        <v>No</v>
      </c>
      <c r="J107" s="6" t="str">
        <f>IF(ISBLANK([2]NLFsmonkeyCompl!N108),"",[2]NLFsmonkeyCompl!N108)</f>
        <v>Other (please specify)</v>
      </c>
      <c r="K107" s="6" t="str">
        <f>IF(ISBLANK([2]NLFsmonkeyCompl!O108),"",[2]NLFsmonkeyCompl!O108)</f>
        <v>Sufficient capital for coming periods</v>
      </c>
      <c r="L107" s="6" t="str">
        <f>IFERROR(INDEX([2]VehiclesUniverse!$B$2:$EU$700,MATCH(C107,[2]VehiclesUniverse!$A$2:$A$700,0),MATCH($L$1,[2]VehiclesUniverse!$B$1:$EU$1,0)),"")</f>
        <v>EUR</v>
      </c>
      <c r="M107" s="16">
        <f>IFERROR(VLOOKUP(L107,'[2]Xrate31.12.20'!$K$2:$N$25,3,0),"")</f>
        <v>1</v>
      </c>
      <c r="N107" s="8" t="str">
        <f>IFERROR(IF(ISBLANK([2]NLFsmonkeyCompl!P108),"",[2]NLFsmonkeyCompl!P108*$M107),"")</f>
        <v/>
      </c>
      <c r="O107" s="8" t="str">
        <f>IFERROR(IF(ISBLANK([2]NLFsmonkeyCompl!Q108),"",[2]NLFsmonkeyCompl!Q108*$M107),"")</f>
        <v/>
      </c>
      <c r="P107" s="8" t="str">
        <f>IFERROR(IF(ISBLANK([2]NLFsmonkeyCompl!R108),"",[2]NLFsmonkeyCompl!R108*$M107),"")</f>
        <v/>
      </c>
      <c r="Q107" s="8" t="str">
        <f>IFERROR(IF(ISBLANK([2]NLFsmonkeyCompl!S108),"",[2]NLFsmonkeyCompl!S108*$M107),"")</f>
        <v/>
      </c>
      <c r="R107" s="8" t="str">
        <f>IFERROR(IF(ISBLANK([2]NLFsmonkeyCompl!T108),"",[2]NLFsmonkeyCompl!T108*$M107),"")</f>
        <v/>
      </c>
      <c r="S107" s="8" t="str">
        <f>IFERROR(IF(ISBLANK([2]NLFsmonkeyCompl!U108),"",[2]NLFsmonkeyCompl!U108*$M107),"")</f>
        <v/>
      </c>
      <c r="T107" s="8" t="str">
        <f>IFERROR(IF(ISBLANK([2]NLFsmonkeyCompl!V108),"",[2]NLFsmonkeyCompl!V108*$M107),"")</f>
        <v/>
      </c>
      <c r="U107" s="8" t="str">
        <f>IFERROR(IF(ISBLANK([2]NLFsmonkeyCompl!W108),"",[2]NLFsmonkeyCompl!W108*$M107),"")</f>
        <v/>
      </c>
      <c r="V107" s="8" t="str">
        <f>IFERROR(IF(ISBLANK([2]NLFsmonkeyCompl!X108),"",[2]NLFsmonkeyCompl!X108*$M107),"")</f>
        <v/>
      </c>
      <c r="W107" s="8" t="str">
        <f>IFERROR(IF(ISBLANK([2]NLFsmonkeyCompl!Y108),"",[2]NLFsmonkeyCompl!Y108*$M107),"")</f>
        <v/>
      </c>
      <c r="X107" s="8" t="str">
        <f>IFERROR(IF(ISBLANK([2]NLFsmonkeyCompl!Z108),"",[2]NLFsmonkeyCompl!Z108*$M107),"")</f>
        <v/>
      </c>
      <c r="Y107" s="8" t="str">
        <f>IFERROR(IF(ISBLANK([2]NLFsmonkeyCompl!AA108),"",[2]NLFsmonkeyCompl!AA108*$M107),"")</f>
        <v/>
      </c>
      <c r="Z107" s="8" t="str">
        <f>IFERROR(IF(ISBLANK([2]NLFsmonkeyCompl!AB108),"",[2]NLFsmonkeyCompl!AB108*$M107),"")</f>
        <v/>
      </c>
      <c r="AA107" s="8" t="str">
        <f>IFERROR(IF(ISBLANK([2]NLFsmonkeyCompl!AC108),"",[2]NLFsmonkeyCompl!AC108*$M107),"")</f>
        <v/>
      </c>
      <c r="AB107" s="8" t="str">
        <f>IFERROR(IF(ISBLANK([2]NLFsmonkeyCompl!AD108),"",[2]NLFsmonkeyCompl!AD108),"")</f>
        <v/>
      </c>
      <c r="AC107" s="8" t="str">
        <f>IFERROR(IF(ISBLANK([2]NLFsmonkeyCompl!AE108),"",[2]NLFsmonkeyCompl!AE108),"")</f>
        <v/>
      </c>
      <c r="AD107" s="8" t="str">
        <f>IFERROR(IF(ISBLANK([2]NLFsmonkeyCompl!AF108),"",[2]NLFsmonkeyCompl!AF108),"")</f>
        <v/>
      </c>
      <c r="AE107" s="8" t="str">
        <f>IFERROR(IF(ISBLANK([2]NLFsmonkeyCompl!AG108),"",[2]NLFsmonkeyCompl!AG108),"")</f>
        <v/>
      </c>
      <c r="AF107" s="8" t="str">
        <f>IFERROR(IF(ISBLANK([2]NLFsmonkeyCompl!AH108),"",[2]NLFsmonkeyCompl!AH108),"")</f>
        <v>Increase</v>
      </c>
      <c r="AG107" s="8" t="str">
        <f>IFERROR(IF(ISBLANK([2]NLFsmonkeyCompl!AI108),"",[2]NLFsmonkeyCompl!AI108),"")</f>
        <v>No</v>
      </c>
      <c r="AH107">
        <f>IFERROR(INDEX([2]VehiclesUniverse!$B$2:$EU$700,MATCH($C107,[2]VehiclesUniverse!$A$2:$A$700,0),MATCH($AH$1,[2]VehiclesUniverse!$B$1:$EU$1,0)),"")</f>
        <v>327321000</v>
      </c>
    </row>
    <row r="108" spans="1:34" x14ac:dyDescent="0.2">
      <c r="A108" s="5" t="str">
        <f>IF(OR(ISTEXT([2]NLFsmonkeyCompl!J109),ISNUMBER([2]NLFsmonkeyCompl!J109)),[2]NLFsmonkeyCompl!J109,"")</f>
        <v>Amvest Management B.V.</v>
      </c>
      <c r="B108" s="6" t="str">
        <f>IF(OR(ISTEXT([2]NLFsmonkeyCompl!K109),ISNUMBER([2]NLFsmonkeyCompl!K109)),[2]NLFsmonkeyCompl!K109,"")</f>
        <v>Amvest Residential Core Fund</v>
      </c>
      <c r="C108" s="6">
        <v>16092</v>
      </c>
      <c r="D108" s="6" t="str">
        <f>IFERROR(INDEX([2]VehiclesUniverse!$B$2:$EU$700,MATCH(C108,[2]VehiclesUniverse!$A$2:$A$700,0),MATCH($D$1,[2]VehiclesUniverse!$B$1:$EU$1,0)),"")</f>
        <v>Core</v>
      </c>
      <c r="E108" s="6" t="str">
        <f>IFERROR(INDEX([2]VehiclesUniverse!$B$2:$EU$700,MATCH(C108,[2]VehiclesUniverse!$A$2:$A$700,0),MATCH($E$1,[2]VehiclesUniverse!$B$1:$EU$1,0)),"")</f>
        <v>single country</v>
      </c>
      <c r="F108" s="6" t="str">
        <f>IF(IFERROR(INDEX([2]VehiclesUniverse!$B$2:$EU$700,MATCH($C108,[2]VehiclesUniverse!$A$2:$A$700,0),MATCH($F$1,[2]VehiclesUniverse!$B$1:$EU$1,0)),"")&lt;&gt;0,(IFERROR(INDEX([2]VehiclesUniverse!$B$2:$EU$700,MATCH($C108,[2]VehiclesUniverse!$A$2:$A$700,0),MATCH($F$1,[2]VehiclesUniverse!$B$1:$EU$1,0)),"")),"")</f>
        <v>Netherlands</v>
      </c>
      <c r="G108" s="6" t="str">
        <f>IF(ISBLANK([2]NLFsmonkeyCompl!L109),"",[2]NLFsmonkeyCompl!L109)</f>
        <v>Open end</v>
      </c>
      <c r="H108" s="6">
        <f>IFERROR(INDEX([2]VehiclesUniverse!$B$2:$EU$700,MATCH(C108,[2]VehiclesUniverse!$A$2:$A$700,0),MATCH($H$1,[2]VehiclesUniverse!$B$1:$EU$1,0)),"")</f>
        <v>2010</v>
      </c>
      <c r="I108" s="6" t="str">
        <f>IF(ISBLANK([2]NLFsmonkeyCompl!M109),"",[2]NLFsmonkeyCompl!M109)</f>
        <v>No</v>
      </c>
      <c r="J108" s="6" t="str">
        <f>IF(ISBLANK([2]NLFsmonkeyCompl!N109),"",[2]NLFsmonkeyCompl!N109)</f>
        <v>Other (please specify)</v>
      </c>
      <c r="K108" s="6" t="str">
        <f>IF(ISBLANK([2]NLFsmonkeyCompl!O109),"",[2]NLFsmonkeyCompl!O109)</f>
        <v>Sufficient capital for coming periods and capital raising expires in 3 years after signing</v>
      </c>
      <c r="L108" s="6" t="str">
        <f>IFERROR(INDEX([2]VehiclesUniverse!$B$2:$EU$700,MATCH(C108,[2]VehiclesUniverse!$A$2:$A$700,0),MATCH($L$1,[2]VehiclesUniverse!$B$1:$EU$1,0)),"")</f>
        <v>EUR</v>
      </c>
      <c r="M108" s="16">
        <f>IFERROR(VLOOKUP(L108,'[2]Xrate31.12.20'!$K$2:$N$25,3,0),"")</f>
        <v>1</v>
      </c>
      <c r="N108" s="8" t="str">
        <f>IFERROR(IF(ISBLANK([2]NLFsmonkeyCompl!P109),"",[2]NLFsmonkeyCompl!P109*$M108),"")</f>
        <v/>
      </c>
      <c r="O108" s="8" t="str">
        <f>IFERROR(IF(ISBLANK([2]NLFsmonkeyCompl!Q109),"",[2]NLFsmonkeyCompl!Q109*$M108),"")</f>
        <v/>
      </c>
      <c r="P108" s="8" t="str">
        <f>IFERROR(IF(ISBLANK([2]NLFsmonkeyCompl!R109),"",[2]NLFsmonkeyCompl!R109*$M108),"")</f>
        <v/>
      </c>
      <c r="Q108" s="8" t="str">
        <f>IFERROR(IF(ISBLANK([2]NLFsmonkeyCompl!S109),"",[2]NLFsmonkeyCompl!S109*$M108),"")</f>
        <v/>
      </c>
      <c r="R108" s="8" t="str">
        <f>IFERROR(IF(ISBLANK([2]NLFsmonkeyCompl!T109),"",[2]NLFsmonkeyCompl!T109*$M108),"")</f>
        <v/>
      </c>
      <c r="S108" s="8" t="str">
        <f>IFERROR(IF(ISBLANK([2]NLFsmonkeyCompl!U109),"",[2]NLFsmonkeyCompl!U109*$M108),"")</f>
        <v/>
      </c>
      <c r="T108" s="8" t="str">
        <f>IFERROR(IF(ISBLANK([2]NLFsmonkeyCompl!V109),"",[2]NLFsmonkeyCompl!V109*$M108),"")</f>
        <v/>
      </c>
      <c r="U108" s="8" t="str">
        <f>IFERROR(IF(ISBLANK([2]NLFsmonkeyCompl!W109),"",[2]NLFsmonkeyCompl!W109*$M108),"")</f>
        <v/>
      </c>
      <c r="V108" s="8" t="str">
        <f>IFERROR(IF(ISBLANK([2]NLFsmonkeyCompl!X109),"",[2]NLFsmonkeyCompl!X109*$M108),"")</f>
        <v/>
      </c>
      <c r="W108" s="8" t="str">
        <f>IFERROR(IF(ISBLANK([2]NLFsmonkeyCompl!Y109),"",[2]NLFsmonkeyCompl!Y109*$M108),"")</f>
        <v/>
      </c>
      <c r="X108" s="8" t="str">
        <f>IFERROR(IF(ISBLANK([2]NLFsmonkeyCompl!Z109),"",[2]NLFsmonkeyCompl!Z109*$M108),"")</f>
        <v/>
      </c>
      <c r="Y108" s="8" t="str">
        <f>IFERROR(IF(ISBLANK([2]NLFsmonkeyCompl!AA109),"",[2]NLFsmonkeyCompl!AA109*$M108),"")</f>
        <v/>
      </c>
      <c r="Z108" s="8" t="str">
        <f>IFERROR(IF(ISBLANK([2]NLFsmonkeyCompl!AB109),"",[2]NLFsmonkeyCompl!AB109*$M108),"")</f>
        <v/>
      </c>
      <c r="AA108" s="8" t="str">
        <f>IFERROR(IF(ISBLANK([2]NLFsmonkeyCompl!AC109),"",[2]NLFsmonkeyCompl!AC109*$M108),"")</f>
        <v/>
      </c>
      <c r="AB108" s="8" t="str">
        <f>IFERROR(IF(ISBLANK([2]NLFsmonkeyCompl!AD109),"",[2]NLFsmonkeyCompl!AD109),"")</f>
        <v/>
      </c>
      <c r="AC108" s="8" t="str">
        <f>IFERROR(IF(ISBLANK([2]NLFsmonkeyCompl!AE109),"",[2]NLFsmonkeyCompl!AE109),"")</f>
        <v/>
      </c>
      <c r="AD108" s="8" t="str">
        <f>IFERROR(IF(ISBLANK([2]NLFsmonkeyCompl!AF109),"",[2]NLFsmonkeyCompl!AF109),"")</f>
        <v/>
      </c>
      <c r="AE108" s="8" t="str">
        <f>IFERROR(IF(ISBLANK([2]NLFsmonkeyCompl!AG109),"",[2]NLFsmonkeyCompl!AG109),"")</f>
        <v/>
      </c>
      <c r="AF108" s="8" t="str">
        <f>IFERROR(IF(ISBLANK([2]NLFsmonkeyCompl!AH109),"",[2]NLFsmonkeyCompl!AH109),"")</f>
        <v>Increase</v>
      </c>
      <c r="AG108" s="8" t="str">
        <f>IFERROR(IF(ISBLANK([2]NLFsmonkeyCompl!AI109),"",[2]NLFsmonkeyCompl!AI109),"")</f>
        <v>No</v>
      </c>
      <c r="AH108">
        <f>IFERROR(INDEX([2]VehiclesUniverse!$B$2:$EU$700,MATCH($C108,[2]VehiclesUniverse!$A$2:$A$700,0),MATCH($AH$1,[2]VehiclesUniverse!$B$1:$EU$1,0)),"")</f>
        <v>3911450000</v>
      </c>
    </row>
    <row r="109" spans="1:34" x14ac:dyDescent="0.2">
      <c r="A109" s="5" t="str">
        <f>IF(OR(ISTEXT([2]NLFsmonkeyCompl!J110),ISNUMBER([2]NLFsmonkeyCompl!J110)),[2]NLFsmonkeyCompl!J110,"")</f>
        <v>Aberdeen Standard Investments Deutschland AG</v>
      </c>
      <c r="B109" s="6" t="str">
        <f>IF(OR(ISTEXT([2]NLFsmonkeyCompl!K110),ISNUMBER([2]NLFsmonkeyCompl!K110)),[2]NLFsmonkeyCompl!K110,"")</f>
        <v>Aberdeen Standard German Urbanisation Property Fund</v>
      </c>
      <c r="C109" s="6">
        <v>18094</v>
      </c>
      <c r="D109" s="6" t="str">
        <f>IFERROR(INDEX([2]VehiclesUniverse!$B$2:$EU$700,MATCH(C109,[2]VehiclesUniverse!$A$2:$A$700,0),MATCH($D$1,[2]VehiclesUniverse!$B$1:$EU$1,0)),"")</f>
        <v>Core</v>
      </c>
      <c r="E109" s="6" t="str">
        <f>IFERROR(INDEX([2]VehiclesUniverse!$B$2:$EU$700,MATCH(C109,[2]VehiclesUniverse!$A$2:$A$700,0),MATCH($E$1,[2]VehiclesUniverse!$B$1:$EU$1,0)),"")</f>
        <v>single country</v>
      </c>
      <c r="F109" s="6" t="str">
        <f>IF(IFERROR(INDEX([2]VehiclesUniverse!$B$2:$EU$700,MATCH($C109,[2]VehiclesUniverse!$A$2:$A$700,0),MATCH($F$1,[2]VehiclesUniverse!$B$1:$EU$1,0)),"")&lt;&gt;0,(IFERROR(INDEX([2]VehiclesUniverse!$B$2:$EU$700,MATCH($C109,[2]VehiclesUniverse!$A$2:$A$700,0),MATCH($F$1,[2]VehiclesUniverse!$B$1:$EU$1,0)),"")),"")</f>
        <v>Germany</v>
      </c>
      <c r="G109" s="6" t="str">
        <f>IF(ISBLANK([2]NLFsmonkeyCompl!L110),"",[2]NLFsmonkeyCompl!L110)</f>
        <v>Open end</v>
      </c>
      <c r="H109" s="6">
        <f>IFERROR(INDEX([2]VehiclesUniverse!$B$2:$EU$700,MATCH(C109,[2]VehiclesUniverse!$A$2:$A$700,0),MATCH($H$1,[2]VehiclesUniverse!$B$1:$EU$1,0)),"")</f>
        <v>2016</v>
      </c>
      <c r="I109" s="6" t="str">
        <f>IF(ISBLANK([2]NLFsmonkeyCompl!M110),"",[2]NLFsmonkeyCompl!M110)</f>
        <v>Yes</v>
      </c>
      <c r="J109" s="6" t="str">
        <f>IF(ISBLANK([2]NLFsmonkeyCompl!N110),"",[2]NLFsmonkeyCompl!N110)</f>
        <v/>
      </c>
      <c r="K109" s="6" t="str">
        <f>IF(ISBLANK([2]NLFsmonkeyCompl!O110),"",[2]NLFsmonkeyCompl!O110)</f>
        <v/>
      </c>
      <c r="L109" s="6" t="str">
        <f>IFERROR(INDEX([2]VehiclesUniverse!$B$2:$EU$700,MATCH(C109,[2]VehiclesUniverse!$A$2:$A$700,0),MATCH($L$1,[2]VehiclesUniverse!$B$1:$EU$1,0)),"")</f>
        <v>EUR</v>
      </c>
      <c r="M109" s="16">
        <f>IFERROR(VLOOKUP(L109,'[2]Xrate31.12.20'!$K$2:$N$25,3,0),"")</f>
        <v>1</v>
      </c>
      <c r="N109" s="8">
        <f>IFERROR(IF(ISBLANK([2]NLFsmonkeyCompl!P110),"",[2]NLFsmonkeyCompl!P110*$M109),"")</f>
        <v>1</v>
      </c>
      <c r="O109" s="8" t="str">
        <f>IFERROR(IF(ISBLANK([2]NLFsmonkeyCompl!Q110),"",[2]NLFsmonkeyCompl!Q110*$M109),"")</f>
        <v/>
      </c>
      <c r="P109" s="8" t="str">
        <f>IFERROR(IF(ISBLANK([2]NLFsmonkeyCompl!R110),"",[2]NLFsmonkeyCompl!R110*$M109),"")</f>
        <v/>
      </c>
      <c r="Q109" s="8" t="str">
        <f>IFERROR(IF(ISBLANK([2]NLFsmonkeyCompl!S110),"",[2]NLFsmonkeyCompl!S110*$M109),"")</f>
        <v/>
      </c>
      <c r="R109" s="8" t="str">
        <f>IFERROR(IF(ISBLANK([2]NLFsmonkeyCompl!T110),"",[2]NLFsmonkeyCompl!T110*$M109),"")</f>
        <v/>
      </c>
      <c r="S109" s="8" t="str">
        <f>IFERROR(IF(ISBLANK([2]NLFsmonkeyCompl!U110),"",[2]NLFsmonkeyCompl!U110*$M109),"")</f>
        <v/>
      </c>
      <c r="T109" s="8" t="str">
        <f>IFERROR(IF(ISBLANK([2]NLFsmonkeyCompl!V110),"",[2]NLFsmonkeyCompl!V110*$M109),"")</f>
        <v/>
      </c>
      <c r="U109" s="8" t="str">
        <f>IFERROR(IF(ISBLANK([2]NLFsmonkeyCompl!W110),"",[2]NLFsmonkeyCompl!W110*$M109),"")</f>
        <v/>
      </c>
      <c r="V109" s="8">
        <f>IFERROR(IF(ISBLANK([2]NLFsmonkeyCompl!X110),"",[2]NLFsmonkeyCompl!X110*$M109),"")</f>
        <v>1</v>
      </c>
      <c r="W109" s="8">
        <f>IFERROR(IF(ISBLANK([2]NLFsmonkeyCompl!Y110),"",[2]NLFsmonkeyCompl!Y110*$M109),"")</f>
        <v>1</v>
      </c>
      <c r="X109" s="8" t="str">
        <f>IFERROR(IF(ISBLANK([2]NLFsmonkeyCompl!Z110),"",[2]NLFsmonkeyCompl!Z110*$M109),"")</f>
        <v/>
      </c>
      <c r="Y109" s="8" t="str">
        <f>IFERROR(IF(ISBLANK([2]NLFsmonkeyCompl!AA110),"",[2]NLFsmonkeyCompl!AA110*$M109),"")</f>
        <v/>
      </c>
      <c r="Z109" s="8" t="str">
        <f>IFERROR(IF(ISBLANK([2]NLFsmonkeyCompl!AB110),"",[2]NLFsmonkeyCompl!AB110*$M109),"")</f>
        <v/>
      </c>
      <c r="AA109" s="8" t="str">
        <f>IFERROR(IF(ISBLANK([2]NLFsmonkeyCompl!AC110),"",[2]NLFsmonkeyCompl!AC110*$M109),"")</f>
        <v/>
      </c>
      <c r="AB109" s="8" t="str">
        <f>IFERROR(IF(ISBLANK([2]NLFsmonkeyCompl!AD110),"",[2]NLFsmonkeyCompl!AD110),"")</f>
        <v/>
      </c>
      <c r="AC109" s="8" t="str">
        <f>IFERROR(IF(ISBLANK([2]NLFsmonkeyCompl!AE110),"",[2]NLFsmonkeyCompl!AE110),"")</f>
        <v/>
      </c>
      <c r="AD109" s="8">
        <f>IFERROR(IF(ISBLANK([2]NLFsmonkeyCompl!AF110),"",[2]NLFsmonkeyCompl!AF110),"")</f>
        <v>100</v>
      </c>
      <c r="AE109" s="8" t="str">
        <f>IFERROR(IF(ISBLANK([2]NLFsmonkeyCompl!AG110),"",[2]NLFsmonkeyCompl!AG110),"")</f>
        <v/>
      </c>
      <c r="AF109" s="8" t="str">
        <f>IFERROR(IF(ISBLANK([2]NLFsmonkeyCompl!AH110),"",[2]NLFsmonkeyCompl!AH110),"")</f>
        <v>Increase</v>
      </c>
      <c r="AG109" s="8" t="str">
        <f>IFERROR(IF(ISBLANK([2]NLFsmonkeyCompl!AI110),"",[2]NLFsmonkeyCompl!AI110),"")</f>
        <v>No</v>
      </c>
      <c r="AH109">
        <f>IFERROR(INDEX([2]VehiclesUniverse!$B$2:$EU$700,MATCH($C109,[2]VehiclesUniverse!$A$2:$A$700,0),MATCH($AH$1,[2]VehiclesUniverse!$B$1:$EU$1,0)),"")</f>
        <v>368881752.51999998</v>
      </c>
    </row>
    <row r="110" spans="1:34" x14ac:dyDescent="0.2">
      <c r="A110" s="5" t="str">
        <f>IF(OR(ISTEXT([2]NLFsmonkeyCompl!J111),ISNUMBER([2]NLFsmonkeyCompl!J111)),[2]NLFsmonkeyCompl!J111,"")</f>
        <v>Niam AB</v>
      </c>
      <c r="B110" s="6" t="str">
        <f>IF(OR(ISTEXT([2]NLFsmonkeyCompl!K111),ISNUMBER([2]NLFsmonkeyCompl!K111)),[2]NLFsmonkeyCompl!K111,"")</f>
        <v>Niam Core-Plus III</v>
      </c>
      <c r="C110" s="6">
        <v>19700</v>
      </c>
      <c r="D110" s="6" t="s">
        <v>45</v>
      </c>
      <c r="E110" s="6" t="s">
        <v>46</v>
      </c>
      <c r="F110" s="6" t="str">
        <f>IF(IFERROR(INDEX([2]VehiclesUniverse!$B$2:$EU$700,MATCH($C110,[2]VehiclesUniverse!$A$2:$A$700,0),MATCH($F$1,[2]VehiclesUniverse!$B$1:$EU$1,0)),"")&lt;&gt;0,(IFERROR(INDEX([2]VehiclesUniverse!$B$2:$EU$700,MATCH($C110,[2]VehiclesUniverse!$A$2:$A$700,0),MATCH($F$1,[2]VehiclesUniverse!$B$1:$EU$1,0)),"")),"")</f>
        <v/>
      </c>
      <c r="G110" s="6" t="str">
        <f>IF(ISBLANK([2]NLFsmonkeyCompl!L111),"",[2]NLFsmonkeyCompl!L111)</f>
        <v>Closed end</v>
      </c>
      <c r="H110" s="6">
        <v>2021</v>
      </c>
      <c r="I110" s="6" t="str">
        <f>IF(ISBLANK([2]NLFsmonkeyCompl!M111),"",[2]NLFsmonkeyCompl!M111)</f>
        <v>No</v>
      </c>
      <c r="J110" s="6" t="str">
        <f>IF(ISBLANK([2]NLFsmonkeyCompl!N111),"",[2]NLFsmonkeyCompl!N111)</f>
        <v>Other (please specify)</v>
      </c>
      <c r="K110" s="6" t="str">
        <f>IF(ISBLANK([2]NLFsmonkeyCompl!O111),"",[2]NLFsmonkeyCompl!O111)</f>
        <v>Expected first close Q1 2021</v>
      </c>
      <c r="L110" s="6" t="str">
        <f>IFERROR(INDEX([2]VehiclesUniverse!$B$2:$EU$700,MATCH(C110,[2]VehiclesUniverse!$A$2:$A$700,0),MATCH($L$1,[2]VehiclesUniverse!$B$1:$EU$1,0)),"")</f>
        <v/>
      </c>
      <c r="M110" s="16" t="str">
        <f>IFERROR(VLOOKUP(L110,'[2]Xrate31.12.20'!$K$2:$N$25,3,0),"")</f>
        <v/>
      </c>
      <c r="N110" s="8" t="str">
        <f>IFERROR(IF(ISBLANK([2]NLFsmonkeyCompl!P111),"",[2]NLFsmonkeyCompl!P111*$M110),"")</f>
        <v/>
      </c>
      <c r="O110" s="8" t="str">
        <f>IFERROR(IF(ISBLANK([2]NLFsmonkeyCompl!Q111),"",[2]NLFsmonkeyCompl!Q111*$M110),"")</f>
        <v/>
      </c>
      <c r="P110" s="8" t="str">
        <f>IFERROR(IF(ISBLANK([2]NLFsmonkeyCompl!R111),"",[2]NLFsmonkeyCompl!R111*$M110),"")</f>
        <v/>
      </c>
      <c r="Q110" s="8" t="str">
        <f>IFERROR(IF(ISBLANK([2]NLFsmonkeyCompl!S111),"",[2]NLFsmonkeyCompl!S111*$M110),"")</f>
        <v/>
      </c>
      <c r="R110" s="8" t="str">
        <f>IFERROR(IF(ISBLANK([2]NLFsmonkeyCompl!T111),"",[2]NLFsmonkeyCompl!T111*$M110),"")</f>
        <v/>
      </c>
      <c r="S110" s="8" t="str">
        <f>IFERROR(IF(ISBLANK([2]NLFsmonkeyCompl!U111),"",[2]NLFsmonkeyCompl!U111*$M110),"")</f>
        <v/>
      </c>
      <c r="T110" s="8" t="str">
        <f>IFERROR(IF(ISBLANK([2]NLFsmonkeyCompl!V111),"",[2]NLFsmonkeyCompl!V111*$M110),"")</f>
        <v/>
      </c>
      <c r="U110" s="8" t="str">
        <f>IFERROR(IF(ISBLANK([2]NLFsmonkeyCompl!W111),"",[2]NLFsmonkeyCompl!W111*$M110),"")</f>
        <v/>
      </c>
      <c r="V110" s="8" t="str">
        <f>IFERROR(IF(ISBLANK([2]NLFsmonkeyCompl!X111),"",[2]NLFsmonkeyCompl!X111*$M110),"")</f>
        <v/>
      </c>
      <c r="W110" s="8" t="str">
        <f>IFERROR(IF(ISBLANK([2]NLFsmonkeyCompl!Y111),"",[2]NLFsmonkeyCompl!Y111*$M110),"")</f>
        <v/>
      </c>
      <c r="X110" s="8" t="str">
        <f>IFERROR(IF(ISBLANK([2]NLFsmonkeyCompl!Z111),"",[2]NLFsmonkeyCompl!Z111*$M110),"")</f>
        <v/>
      </c>
      <c r="Y110" s="8" t="str">
        <f>IFERROR(IF(ISBLANK([2]NLFsmonkeyCompl!AA111),"",[2]NLFsmonkeyCompl!AA111*$M110),"")</f>
        <v/>
      </c>
      <c r="Z110" s="8" t="str">
        <f>IFERROR(IF(ISBLANK([2]NLFsmonkeyCompl!AB111),"",[2]NLFsmonkeyCompl!AB111*$M110),"")</f>
        <v/>
      </c>
      <c r="AA110" s="8" t="str">
        <f>IFERROR(IF(ISBLANK([2]NLFsmonkeyCompl!AC111),"",[2]NLFsmonkeyCompl!AC111*$M110),"")</f>
        <v/>
      </c>
      <c r="AB110" s="8" t="str">
        <f>IFERROR(IF(ISBLANK([2]NLFsmonkeyCompl!AD111),"",[2]NLFsmonkeyCompl!AD111),"")</f>
        <v/>
      </c>
      <c r="AC110" s="8" t="str">
        <f>IFERROR(IF(ISBLANK([2]NLFsmonkeyCompl!AE111),"",[2]NLFsmonkeyCompl!AE111),"")</f>
        <v/>
      </c>
      <c r="AD110" s="8" t="str">
        <f>IFERROR(IF(ISBLANK([2]NLFsmonkeyCompl!AF111),"",[2]NLFsmonkeyCompl!AF111),"")</f>
        <v/>
      </c>
      <c r="AE110" s="8" t="str">
        <f>IFERROR(IF(ISBLANK([2]NLFsmonkeyCompl!AG111),"",[2]NLFsmonkeyCompl!AG111),"")</f>
        <v/>
      </c>
      <c r="AF110" s="8" t="str">
        <f>IFERROR(IF(ISBLANK([2]NLFsmonkeyCompl!AH111),"",[2]NLFsmonkeyCompl!AH111),"")</f>
        <v>Increase</v>
      </c>
      <c r="AG110" s="8" t="str">
        <f>IFERROR(IF(ISBLANK([2]NLFsmonkeyCompl!AI111),"",[2]NLFsmonkeyCompl!AI111),"")</f>
        <v>Yes</v>
      </c>
      <c r="AH110" t="str">
        <f>IFERROR(INDEX([2]VehiclesUniverse!$B$2:$EU$700,MATCH($C110,[2]VehiclesUniverse!$A$2:$A$700,0),MATCH($AH$1,[2]VehiclesUniverse!$B$1:$EU$1,0)),"")</f>
        <v/>
      </c>
    </row>
    <row r="111" spans="1:34" x14ac:dyDescent="0.2">
      <c r="A111" s="5" t="str">
        <f>IF(OR(ISTEXT([2]NLFsmonkeyCompl!J112),ISNUMBER([2]NLFsmonkeyCompl!J112)),[2]NLFsmonkeyCompl!J112,"")</f>
        <v>AXA Investment Managers Deutschland GmbH</v>
      </c>
      <c r="B111" s="6" t="str">
        <f>IF(OR(ISTEXT([2]NLFsmonkeyCompl!K112),ISNUMBER([2]NLFsmonkeyCompl!K112)),[2]NLFsmonkeyCompl!K112,"")</f>
        <v>AXA Real Invest HPK</v>
      </c>
      <c r="C111" s="6">
        <v>18178</v>
      </c>
      <c r="D111" s="6" t="s">
        <v>45</v>
      </c>
      <c r="E111" s="6" t="s">
        <v>46</v>
      </c>
      <c r="F111" s="6" t="str">
        <f>IF(IFERROR(INDEX([2]VehiclesUniverse!$B$2:$EU$700,MATCH($C111,[2]VehiclesUniverse!$A$2:$A$700,0),MATCH($F$1,[2]VehiclesUniverse!$B$1:$EU$1,0)),"")&lt;&gt;0,(IFERROR(INDEX([2]VehiclesUniverse!$B$2:$EU$700,MATCH($C111,[2]VehiclesUniverse!$A$2:$A$700,0),MATCH($F$1,[2]VehiclesUniverse!$B$1:$EU$1,0)),"")),"")</f>
        <v/>
      </c>
      <c r="G111" s="6" t="str">
        <f>IF(ISBLANK([2]NLFsmonkeyCompl!L112),"",[2]NLFsmonkeyCompl!L112)</f>
        <v>Open end</v>
      </c>
      <c r="H111" s="6">
        <v>2001</v>
      </c>
      <c r="I111" s="6" t="str">
        <f>IF(ISBLANK([2]NLFsmonkeyCompl!M112),"",[2]NLFsmonkeyCompl!M112)</f>
        <v>Yes</v>
      </c>
      <c r="J111" s="6" t="str">
        <f>IF(ISBLANK([2]NLFsmonkeyCompl!N112),"",[2]NLFsmonkeyCompl!N112)</f>
        <v/>
      </c>
      <c r="K111" s="6" t="str">
        <f>IF(ISBLANK([2]NLFsmonkeyCompl!O112),"",[2]NLFsmonkeyCompl!O112)</f>
        <v/>
      </c>
      <c r="L111" s="6" t="str">
        <f>IFERROR(INDEX([2]VehiclesUniverse!$B$2:$EU$700,MATCH(C111,[2]VehiclesUniverse!$A$2:$A$700,0),MATCH($L$1,[2]VehiclesUniverse!$B$1:$EU$1,0)),"")</f>
        <v/>
      </c>
      <c r="M111" s="16" t="str">
        <f>IFERROR(VLOOKUP(L111,'[2]Xrate31.12.20'!$K$2:$N$25,3,0),"")</f>
        <v/>
      </c>
      <c r="N111" s="8" t="str">
        <f>IFERROR(IF(ISBLANK([2]NLFsmonkeyCompl!P112),"",[2]NLFsmonkeyCompl!P112*$M111),"")</f>
        <v/>
      </c>
      <c r="O111" s="8" t="str">
        <f>IFERROR(IF(ISBLANK([2]NLFsmonkeyCompl!Q112),"",[2]NLFsmonkeyCompl!Q112*$M111),"")</f>
        <v/>
      </c>
      <c r="P111" s="8" t="str">
        <f>IFERROR(IF(ISBLANK([2]NLFsmonkeyCompl!R112),"",[2]NLFsmonkeyCompl!R112*$M111),"")</f>
        <v/>
      </c>
      <c r="Q111" s="8" t="str">
        <f>IFERROR(IF(ISBLANK([2]NLFsmonkeyCompl!S112),"",[2]NLFsmonkeyCompl!S112*$M111),"")</f>
        <v/>
      </c>
      <c r="R111" s="8" t="str">
        <f>IFERROR(IF(ISBLANK([2]NLFsmonkeyCompl!T112),"",[2]NLFsmonkeyCompl!T112*$M111),"")</f>
        <v/>
      </c>
      <c r="S111" s="8" t="str">
        <f>IFERROR(IF(ISBLANK([2]NLFsmonkeyCompl!U112),"",[2]NLFsmonkeyCompl!U112*$M111),"")</f>
        <v/>
      </c>
      <c r="T111" s="8" t="str">
        <f>IFERROR(IF(ISBLANK([2]NLFsmonkeyCompl!V112),"",[2]NLFsmonkeyCompl!V112*$M111),"")</f>
        <v/>
      </c>
      <c r="U111" s="8" t="str">
        <f>IFERROR(IF(ISBLANK([2]NLFsmonkeyCompl!W112),"",[2]NLFsmonkeyCompl!W112*$M111),"")</f>
        <v/>
      </c>
      <c r="V111" s="8" t="str">
        <f>IFERROR(IF(ISBLANK([2]NLFsmonkeyCompl!X112),"",[2]NLFsmonkeyCompl!X112*$M111),"")</f>
        <v/>
      </c>
      <c r="W111" s="8" t="str">
        <f>IFERROR(IF(ISBLANK([2]NLFsmonkeyCompl!Y112),"",[2]NLFsmonkeyCompl!Y112*$M111),"")</f>
        <v/>
      </c>
      <c r="X111" s="8" t="str">
        <f>IFERROR(IF(ISBLANK([2]NLFsmonkeyCompl!Z112),"",[2]NLFsmonkeyCompl!Z112*$M111),"")</f>
        <v/>
      </c>
      <c r="Y111" s="8" t="str">
        <f>IFERROR(IF(ISBLANK([2]NLFsmonkeyCompl!AA112),"",[2]NLFsmonkeyCompl!AA112*$M111),"")</f>
        <v/>
      </c>
      <c r="Z111" s="8" t="str">
        <f>IFERROR(IF(ISBLANK([2]NLFsmonkeyCompl!AB112),"",[2]NLFsmonkeyCompl!AB112*$M111),"")</f>
        <v/>
      </c>
      <c r="AA111" s="8" t="str">
        <f>IFERROR(IF(ISBLANK([2]NLFsmonkeyCompl!AC112),"",[2]NLFsmonkeyCompl!AC112*$M111),"")</f>
        <v/>
      </c>
      <c r="AB111" s="8" t="str">
        <f>IFERROR(IF(ISBLANK([2]NLFsmonkeyCompl!AD112),"",[2]NLFsmonkeyCompl!AD112),"")</f>
        <v/>
      </c>
      <c r="AC111" s="8" t="str">
        <f>IFERROR(IF(ISBLANK([2]NLFsmonkeyCompl!AE112),"",[2]NLFsmonkeyCompl!AE112),"")</f>
        <v/>
      </c>
      <c r="AD111" s="8">
        <f>IFERROR(IF(ISBLANK([2]NLFsmonkeyCompl!AF112),"",[2]NLFsmonkeyCompl!AF112),"")</f>
        <v>100</v>
      </c>
      <c r="AE111" s="8" t="str">
        <f>IFERROR(IF(ISBLANK([2]NLFsmonkeyCompl!AG112),"",[2]NLFsmonkeyCompl!AG112),"")</f>
        <v/>
      </c>
      <c r="AF111" s="8" t="str">
        <f>IFERROR(IF(ISBLANK([2]NLFsmonkeyCompl!AH112),"",[2]NLFsmonkeyCompl!AH112),"")</f>
        <v>No change</v>
      </c>
      <c r="AG111" s="8" t="str">
        <f>IFERROR(IF(ISBLANK([2]NLFsmonkeyCompl!AI112),"",[2]NLFsmonkeyCompl!AI112),"")</f>
        <v>No</v>
      </c>
      <c r="AH111" t="str">
        <f>IFERROR(INDEX([2]VehiclesUniverse!$B$2:$EU$700,MATCH($C111,[2]VehiclesUniverse!$A$2:$A$700,0),MATCH($AH$1,[2]VehiclesUniverse!$B$1:$EU$1,0)),"")</f>
        <v/>
      </c>
    </row>
    <row r="112" spans="1:34" x14ac:dyDescent="0.2">
      <c r="A112" s="5" t="str">
        <f>IF(OR(ISTEXT([2]NLFsmonkeyCompl!J113),ISNUMBER([2]NLFsmonkeyCompl!J113)),[2]NLFsmonkeyCompl!J113,"")</f>
        <v>Pro</v>
      </c>
      <c r="B112" s="6" t="str">
        <f>IF(OR(ISTEXT([2]NLFsmonkeyCompl!K113),ISNUMBER([2]NLFsmonkeyCompl!K113)),[2]NLFsmonkeyCompl!K113,"")</f>
        <v>s</v>
      </c>
      <c r="C112" s="6" t="s">
        <v>61</v>
      </c>
      <c r="D112" s="6" t="str">
        <f>IFERROR(INDEX([2]VehiclesUniverse!$B$2:$EU$700,MATCH(C112,[2]VehiclesUniverse!$A$2:$A$700,0),MATCH($D$1,[2]VehiclesUniverse!$B$1:$EU$1,0)),"")</f>
        <v/>
      </c>
      <c r="E112" s="6" t="str">
        <f>IFERROR(INDEX([2]VehiclesUniverse!$B$2:$EU$700,MATCH(C112,[2]VehiclesUniverse!$A$2:$A$700,0),MATCH($E$1,[2]VehiclesUniverse!$B$1:$EU$1,0)),"")</f>
        <v/>
      </c>
      <c r="F112" s="6" t="str">
        <f>IF(IFERROR(INDEX([2]VehiclesUniverse!$B$2:$EU$700,MATCH($C112,[2]VehiclesUniverse!$A$2:$A$700,0),MATCH($F$1,[2]VehiclesUniverse!$B$1:$EU$1,0)),"")&lt;&gt;0,(IFERROR(INDEX([2]VehiclesUniverse!$B$2:$EU$700,MATCH($C112,[2]VehiclesUniverse!$A$2:$A$700,0),MATCH($F$1,[2]VehiclesUniverse!$B$1:$EU$1,0)),"")),"")</f>
        <v/>
      </c>
      <c r="G112" s="6"/>
      <c r="H112" s="6" t="str">
        <f>IFERROR(INDEX([2]VehiclesUniverse!$B$2:$EU$700,MATCH(C112,[2]VehiclesUniverse!$A$2:$A$700,0),MATCH($H$1,[2]VehiclesUniverse!$B$1:$EU$1,0)),"")</f>
        <v/>
      </c>
      <c r="I112" s="6" t="str">
        <f>IF(ISBLANK([2]NLFsmonkeyCompl!M113),"",[2]NLFsmonkeyCompl!M113)</f>
        <v>Yes</v>
      </c>
      <c r="J112" s="6" t="str">
        <f>IF(ISBLANK([2]NLFsmonkeyCompl!N113),"",[2]NLFsmonkeyCompl!N113)</f>
        <v/>
      </c>
      <c r="K112" s="6" t="str">
        <f>IF(ISBLANK([2]NLFsmonkeyCompl!O113),"",[2]NLFsmonkeyCompl!O113)</f>
        <v/>
      </c>
      <c r="L112" s="6" t="str">
        <f>IFERROR(INDEX([2]VehiclesUniverse!$B$2:$EU$700,MATCH(C112,[2]VehiclesUniverse!$A$2:$A$700,0),MATCH($L$1,[2]VehiclesUniverse!$B$1:$EU$1,0)),"")</f>
        <v/>
      </c>
      <c r="M112" s="16" t="str">
        <f>IFERROR(VLOOKUP(L112,'[2]Xrate31.12.20'!$K$2:$N$25,3,0),"")</f>
        <v/>
      </c>
      <c r="N112" s="8" t="str">
        <f>IFERROR(IF(ISBLANK([2]NLFsmonkeyCompl!P113),"",[2]NLFsmonkeyCompl!P113*$M112),"")</f>
        <v/>
      </c>
      <c r="O112" s="8" t="str">
        <f>IFERROR(IF(ISBLANK([2]NLFsmonkeyCompl!Q113),"",[2]NLFsmonkeyCompl!Q113*$M112),"")</f>
        <v/>
      </c>
      <c r="P112" s="8" t="str">
        <f>IFERROR(IF(ISBLANK([2]NLFsmonkeyCompl!R113),"",[2]NLFsmonkeyCompl!R113*$M112),"")</f>
        <v/>
      </c>
      <c r="Q112" s="8" t="str">
        <f>IFERROR(IF(ISBLANK([2]NLFsmonkeyCompl!S113),"",[2]NLFsmonkeyCompl!S113*$M112),"")</f>
        <v/>
      </c>
      <c r="R112" s="8" t="str">
        <f>IFERROR(IF(ISBLANK([2]NLFsmonkeyCompl!T113),"",[2]NLFsmonkeyCompl!T113*$M112),"")</f>
        <v/>
      </c>
      <c r="S112" s="8" t="str">
        <f>IFERROR(IF(ISBLANK([2]NLFsmonkeyCompl!U113),"",[2]NLFsmonkeyCompl!U113*$M112),"")</f>
        <v/>
      </c>
      <c r="T112" s="8" t="str">
        <f>IFERROR(IF(ISBLANK([2]NLFsmonkeyCompl!V113),"",[2]NLFsmonkeyCompl!V113*$M112),"")</f>
        <v/>
      </c>
      <c r="U112" s="8" t="str">
        <f>IFERROR(IF(ISBLANK([2]NLFsmonkeyCompl!W113),"",[2]NLFsmonkeyCompl!W113*$M112),"")</f>
        <v/>
      </c>
      <c r="V112" s="8" t="str">
        <f>IFERROR(IF(ISBLANK([2]NLFsmonkeyCompl!X113),"",[2]NLFsmonkeyCompl!X113*$M112),"")</f>
        <v/>
      </c>
      <c r="W112" s="8" t="str">
        <f>IFERROR(IF(ISBLANK([2]NLFsmonkeyCompl!Y113),"",[2]NLFsmonkeyCompl!Y113*$M112),"")</f>
        <v/>
      </c>
      <c r="X112" s="8" t="str">
        <f>IFERROR(IF(ISBLANK([2]NLFsmonkeyCompl!Z113),"",[2]NLFsmonkeyCompl!Z113*$M112),"")</f>
        <v/>
      </c>
      <c r="Y112" s="8" t="str">
        <f>IFERROR(IF(ISBLANK([2]NLFsmonkeyCompl!AA113),"",[2]NLFsmonkeyCompl!AA113*$M112),"")</f>
        <v/>
      </c>
      <c r="Z112" s="8" t="str">
        <f>IFERROR(IF(ISBLANK([2]NLFsmonkeyCompl!AB113),"",[2]NLFsmonkeyCompl!AB113*$M112),"")</f>
        <v/>
      </c>
      <c r="AA112" s="8" t="str">
        <f>IFERROR(IF(ISBLANK([2]NLFsmonkeyCompl!AC113),"",[2]NLFsmonkeyCompl!AC113*$M112),"")</f>
        <v/>
      </c>
      <c r="AB112" s="8" t="str">
        <f>IFERROR(IF(ISBLANK([2]NLFsmonkeyCompl!AD113),"",[2]NLFsmonkeyCompl!AD113),"")</f>
        <v/>
      </c>
      <c r="AC112" s="8" t="str">
        <f>IFERROR(IF(ISBLANK([2]NLFsmonkeyCompl!AE113),"",[2]NLFsmonkeyCompl!AE113),"")</f>
        <v/>
      </c>
      <c r="AD112" s="8" t="str">
        <f>IFERROR(IF(ISBLANK([2]NLFsmonkeyCompl!AF113),"",[2]NLFsmonkeyCompl!AF113),"")</f>
        <v/>
      </c>
      <c r="AE112" s="8" t="str">
        <f>IFERROR(IF(ISBLANK([2]NLFsmonkeyCompl!AG113),"",[2]NLFsmonkeyCompl!AG113),"")</f>
        <v/>
      </c>
      <c r="AF112" s="8" t="str">
        <f>IFERROR(IF(ISBLANK([2]NLFsmonkeyCompl!AH113),"",[2]NLFsmonkeyCompl!AH113),"")</f>
        <v/>
      </c>
      <c r="AG112" s="8" t="str">
        <f>IFERROR(IF(ISBLANK([2]NLFsmonkeyCompl!AI113),"",[2]NLFsmonkeyCompl!AI113),"")</f>
        <v/>
      </c>
      <c r="AH112" t="str">
        <f>IFERROR(INDEX([2]VehiclesUniverse!$B$2:$EU$700,MATCH($C112,[2]VehiclesUniverse!$A$2:$A$700,0),MATCH($AH$1,[2]VehiclesUniverse!$B$1:$EU$1,0)),"")</f>
        <v/>
      </c>
    </row>
    <row r="113" spans="1:34" x14ac:dyDescent="0.2">
      <c r="A113" s="5" t="str">
        <f>IF(OR(ISTEXT([2]NLFsmonkeyCompl!J114),ISNUMBER([2]NLFsmonkeyCompl!J114)),[2]NLFsmonkeyCompl!J114,"")</f>
        <v>Moorfield</v>
      </c>
      <c r="B113" s="6" t="str">
        <f>IF(OR(ISTEXT([2]NLFsmonkeyCompl!K114),ISNUMBER([2]NLFsmonkeyCompl!K114)),[2]NLFsmonkeyCompl!K114,"")</f>
        <v>MRIF</v>
      </c>
      <c r="C113" s="6" t="s">
        <v>61</v>
      </c>
      <c r="D113" s="6" t="str">
        <f>IFERROR(INDEX([2]VehiclesUniverse!$B$2:$EU$700,MATCH(C113,[2]VehiclesUniverse!$A$2:$A$700,0),MATCH($D$1,[2]VehiclesUniverse!$B$1:$EU$1,0)),"")</f>
        <v/>
      </c>
      <c r="E113" s="6" t="str">
        <f>IFERROR(INDEX([2]VehiclesUniverse!$B$2:$EU$700,MATCH(C113,[2]VehiclesUniverse!$A$2:$A$700,0),MATCH($E$1,[2]VehiclesUniverse!$B$1:$EU$1,0)),"")</f>
        <v/>
      </c>
      <c r="F113" s="6" t="str">
        <f>IF(IFERROR(INDEX([2]VehiclesUniverse!$B$2:$EU$700,MATCH($C113,[2]VehiclesUniverse!$A$2:$A$700,0),MATCH($F$1,[2]VehiclesUniverse!$B$1:$EU$1,0)),"")&lt;&gt;0,(IFERROR(INDEX([2]VehiclesUniverse!$B$2:$EU$700,MATCH($C113,[2]VehiclesUniverse!$A$2:$A$700,0),MATCH($F$1,[2]VehiclesUniverse!$B$1:$EU$1,0)),"")),"")</f>
        <v/>
      </c>
      <c r="G113" s="6"/>
      <c r="H113" s="6" t="str">
        <f>IFERROR(INDEX([2]VehiclesUniverse!$B$2:$EU$700,MATCH(C113,[2]VehiclesUniverse!$A$2:$A$700,0),MATCH($H$1,[2]VehiclesUniverse!$B$1:$EU$1,0)),"")</f>
        <v/>
      </c>
      <c r="I113" s="6" t="str">
        <f>IF(ISBLANK([2]NLFsmonkeyCompl!M114),"",[2]NLFsmonkeyCompl!M114)</f>
        <v>No</v>
      </c>
      <c r="J113" s="6" t="str">
        <f>IF(ISBLANK([2]NLFsmonkeyCompl!N114),"",[2]NLFsmonkeyCompl!N114)</f>
        <v/>
      </c>
      <c r="K113" s="6" t="str">
        <f>IF(ISBLANK([2]NLFsmonkeyCompl!O114),"",[2]NLFsmonkeyCompl!O114)</f>
        <v/>
      </c>
      <c r="L113" s="6" t="str">
        <f>IFERROR(INDEX([2]VehiclesUniverse!$B$2:$EU$700,MATCH(C113,[2]VehiclesUniverse!$A$2:$A$700,0),MATCH($L$1,[2]VehiclesUniverse!$B$1:$EU$1,0)),"")</f>
        <v/>
      </c>
      <c r="M113" s="16" t="str">
        <f>IFERROR(VLOOKUP(L113,'[2]Xrate31.12.20'!$K$2:$N$25,3,0),"")</f>
        <v/>
      </c>
      <c r="N113" s="8" t="str">
        <f>IFERROR(IF(ISBLANK([2]NLFsmonkeyCompl!P114),"",[2]NLFsmonkeyCompl!P114*$M113),"")</f>
        <v/>
      </c>
      <c r="O113" s="8" t="str">
        <f>IFERROR(IF(ISBLANK([2]NLFsmonkeyCompl!Q114),"",[2]NLFsmonkeyCompl!Q114*$M113),"")</f>
        <v/>
      </c>
      <c r="P113" s="8" t="str">
        <f>IFERROR(IF(ISBLANK([2]NLFsmonkeyCompl!R114),"",[2]NLFsmonkeyCompl!R114*$M113),"")</f>
        <v/>
      </c>
      <c r="Q113" s="8" t="str">
        <f>IFERROR(IF(ISBLANK([2]NLFsmonkeyCompl!S114),"",[2]NLFsmonkeyCompl!S114*$M113),"")</f>
        <v/>
      </c>
      <c r="R113" s="8" t="str">
        <f>IFERROR(IF(ISBLANK([2]NLFsmonkeyCompl!T114),"",[2]NLFsmonkeyCompl!T114*$M113),"")</f>
        <v/>
      </c>
      <c r="S113" s="8" t="str">
        <f>IFERROR(IF(ISBLANK([2]NLFsmonkeyCompl!U114),"",[2]NLFsmonkeyCompl!U114*$M113),"")</f>
        <v/>
      </c>
      <c r="T113" s="8" t="str">
        <f>IFERROR(IF(ISBLANK([2]NLFsmonkeyCompl!V114),"",[2]NLFsmonkeyCompl!V114*$M113),"")</f>
        <v/>
      </c>
      <c r="U113" s="8" t="str">
        <f>IFERROR(IF(ISBLANK([2]NLFsmonkeyCompl!W114),"",[2]NLFsmonkeyCompl!W114*$M113),"")</f>
        <v/>
      </c>
      <c r="V113" s="8" t="str">
        <f>IFERROR(IF(ISBLANK([2]NLFsmonkeyCompl!X114),"",[2]NLFsmonkeyCompl!X114*$M113),"")</f>
        <v/>
      </c>
      <c r="W113" s="8" t="str">
        <f>IFERROR(IF(ISBLANK([2]NLFsmonkeyCompl!Y114),"",[2]NLFsmonkeyCompl!Y114*$M113),"")</f>
        <v/>
      </c>
      <c r="X113" s="8" t="str">
        <f>IFERROR(IF(ISBLANK([2]NLFsmonkeyCompl!Z114),"",[2]NLFsmonkeyCompl!Z114*$M113),"")</f>
        <v/>
      </c>
      <c r="Y113" s="8" t="str">
        <f>IFERROR(IF(ISBLANK([2]NLFsmonkeyCompl!AA114),"",[2]NLFsmonkeyCompl!AA114*$M113),"")</f>
        <v/>
      </c>
      <c r="Z113" s="8" t="str">
        <f>IFERROR(IF(ISBLANK([2]NLFsmonkeyCompl!AB114),"",[2]NLFsmonkeyCompl!AB114*$M113),"")</f>
        <v/>
      </c>
      <c r="AA113" s="8" t="str">
        <f>IFERROR(IF(ISBLANK([2]NLFsmonkeyCompl!AC114),"",[2]NLFsmonkeyCompl!AC114*$M113),"")</f>
        <v/>
      </c>
      <c r="AB113" s="8" t="str">
        <f>IFERROR(IF(ISBLANK([2]NLFsmonkeyCompl!AD114),"",[2]NLFsmonkeyCompl!AD114),"")</f>
        <v/>
      </c>
      <c r="AC113" s="8" t="str">
        <f>IFERROR(IF(ISBLANK([2]NLFsmonkeyCompl!AE114),"",[2]NLFsmonkeyCompl!AE114),"")</f>
        <v/>
      </c>
      <c r="AD113" s="8" t="str">
        <f>IFERROR(IF(ISBLANK([2]NLFsmonkeyCompl!AF114),"",[2]NLFsmonkeyCompl!AF114),"")</f>
        <v/>
      </c>
      <c r="AE113" s="8" t="str">
        <f>IFERROR(IF(ISBLANK([2]NLFsmonkeyCompl!AG114),"",[2]NLFsmonkeyCompl!AG114),"")</f>
        <v/>
      </c>
      <c r="AF113" s="8" t="str">
        <f>IFERROR(IF(ISBLANK([2]NLFsmonkeyCompl!AH114),"",[2]NLFsmonkeyCompl!AH114),"")</f>
        <v/>
      </c>
      <c r="AG113" s="8" t="str">
        <f>IFERROR(IF(ISBLANK([2]NLFsmonkeyCompl!AI114),"",[2]NLFsmonkeyCompl!AI114),"")</f>
        <v/>
      </c>
      <c r="AH113" t="str">
        <f>IFERROR(INDEX([2]VehiclesUniverse!$B$2:$EU$700,MATCH($C113,[2]VehiclesUniverse!$A$2:$A$700,0),MATCH($AH$1,[2]VehiclesUniverse!$B$1:$EU$1,0)),"")</f>
        <v/>
      </c>
    </row>
    <row r="114" spans="1:34" x14ac:dyDescent="0.2">
      <c r="A114" s="5" t="str">
        <f>IF(OR(ISTEXT([2]NLFsmonkeyCompl!J115),ISNUMBER([2]NLFsmonkeyCompl!J115)),[2]NLFsmonkeyCompl!J115,"")</f>
        <v>Heitman</v>
      </c>
      <c r="B114" s="6" t="str">
        <f>IF(OR(ISTEXT([2]NLFsmonkeyCompl!K115),ISNUMBER([2]NLFsmonkeyCompl!K115)),[2]NLFsmonkeyCompl!K115,"")</f>
        <v>Heitman Value Partners V</v>
      </c>
      <c r="C114" s="6" t="s">
        <v>58</v>
      </c>
      <c r="D114" s="6" t="str">
        <f>IFERROR(INDEX([2]VehiclesUniverse!$B$2:$EU$700,MATCH(C114,[2]VehiclesUniverse!$A$2:$A$700,0),MATCH($D$1,[2]VehiclesUniverse!$B$1:$EU$1,0)),"")</f>
        <v/>
      </c>
      <c r="E114" s="6" t="str">
        <f>IFERROR(INDEX([2]VehiclesUniverse!$B$2:$EU$700,MATCH(C114,[2]VehiclesUniverse!$A$2:$A$700,0),MATCH($E$1,[2]VehiclesUniverse!$B$1:$EU$1,0)),"")</f>
        <v/>
      </c>
      <c r="F114" s="6" t="str">
        <f>IF(IFERROR(INDEX([2]VehiclesUniverse!$B$2:$EU$700,MATCH($C114,[2]VehiclesUniverse!$A$2:$A$700,0),MATCH($F$1,[2]VehiclesUniverse!$B$1:$EU$1,0)),"")&lt;&gt;0,(IFERROR(INDEX([2]VehiclesUniverse!$B$2:$EU$700,MATCH($C114,[2]VehiclesUniverse!$A$2:$A$700,0),MATCH($F$1,[2]VehiclesUniverse!$B$1:$EU$1,0)),"")),"")</f>
        <v/>
      </c>
      <c r="G114" s="6"/>
      <c r="H114" s="6" t="str">
        <f>IFERROR(INDEX([2]VehiclesUniverse!$B$2:$EU$700,MATCH(C114,[2]VehiclesUniverse!$A$2:$A$700,0),MATCH($H$1,[2]VehiclesUniverse!$B$1:$EU$1,0)),"")</f>
        <v/>
      </c>
      <c r="I114" s="6" t="str">
        <f>IF(ISBLANK([2]NLFsmonkeyCompl!M115),"",[2]NLFsmonkeyCompl!M115)</f>
        <v>Yes</v>
      </c>
      <c r="J114" s="6" t="str">
        <f>IF(ISBLANK([2]NLFsmonkeyCompl!N115),"",[2]NLFsmonkeyCompl!N115)</f>
        <v/>
      </c>
      <c r="K114" s="6" t="str">
        <f>IF(ISBLANK([2]NLFsmonkeyCompl!O115),"",[2]NLFsmonkeyCompl!O115)</f>
        <v/>
      </c>
      <c r="L114" s="6" t="str">
        <f>IFERROR(INDEX([2]VehiclesUniverse!$B$2:$EU$700,MATCH(C114,[2]VehiclesUniverse!$A$2:$A$700,0),MATCH($L$1,[2]VehiclesUniverse!$B$1:$EU$1,0)),"")</f>
        <v/>
      </c>
      <c r="M114" s="16" t="str">
        <f>IFERROR(VLOOKUP(L114,'[2]Xrate31.12.20'!$K$2:$N$25,3,0),"")</f>
        <v/>
      </c>
      <c r="N114" s="8" t="str">
        <f>IFERROR(IF(ISBLANK([2]NLFsmonkeyCompl!P115),"",[2]NLFsmonkeyCompl!P115*$M114),"")</f>
        <v/>
      </c>
      <c r="O114" s="8" t="str">
        <f>IFERROR(IF(ISBLANK([2]NLFsmonkeyCompl!Q115),"",[2]NLFsmonkeyCompl!Q115*$M114),"")</f>
        <v/>
      </c>
      <c r="P114" s="8" t="str">
        <f>IFERROR(IF(ISBLANK([2]NLFsmonkeyCompl!R115),"",[2]NLFsmonkeyCompl!R115*$M114),"")</f>
        <v/>
      </c>
      <c r="Q114" s="8" t="str">
        <f>IFERROR(IF(ISBLANK([2]NLFsmonkeyCompl!S115),"",[2]NLFsmonkeyCompl!S115*$M114),"")</f>
        <v/>
      </c>
      <c r="R114" s="8" t="str">
        <f>IFERROR(IF(ISBLANK([2]NLFsmonkeyCompl!T115),"",[2]NLFsmonkeyCompl!T115*$M114),"")</f>
        <v/>
      </c>
      <c r="S114" s="8" t="str">
        <f>IFERROR(IF(ISBLANK([2]NLFsmonkeyCompl!U115),"",[2]NLFsmonkeyCompl!U115*$M114),"")</f>
        <v/>
      </c>
      <c r="T114" s="8" t="str">
        <f>IFERROR(IF(ISBLANK([2]NLFsmonkeyCompl!V115),"",[2]NLFsmonkeyCompl!V115*$M114),"")</f>
        <v/>
      </c>
      <c r="U114" s="8" t="str">
        <f>IFERROR(IF(ISBLANK([2]NLFsmonkeyCompl!W115),"",[2]NLFsmonkeyCompl!W115*$M114),"")</f>
        <v/>
      </c>
      <c r="V114" s="8" t="str">
        <f>IFERROR(IF(ISBLANK([2]NLFsmonkeyCompl!X115),"",[2]NLFsmonkeyCompl!X115*$M114),"")</f>
        <v/>
      </c>
      <c r="W114" s="8" t="str">
        <f>IFERROR(IF(ISBLANK([2]NLFsmonkeyCompl!Y115),"",[2]NLFsmonkeyCompl!Y115*$M114),"")</f>
        <v/>
      </c>
      <c r="X114" s="8" t="str">
        <f>IFERROR(IF(ISBLANK([2]NLFsmonkeyCompl!Z115),"",[2]NLFsmonkeyCompl!Z115*$M114),"")</f>
        <v/>
      </c>
      <c r="Y114" s="8" t="str">
        <f>IFERROR(IF(ISBLANK([2]NLFsmonkeyCompl!AA115),"",[2]NLFsmonkeyCompl!AA115*$M114),"")</f>
        <v/>
      </c>
      <c r="Z114" s="8" t="str">
        <f>IFERROR(IF(ISBLANK([2]NLFsmonkeyCompl!AB115),"",[2]NLFsmonkeyCompl!AB115*$M114),"")</f>
        <v/>
      </c>
      <c r="AA114" s="8" t="str">
        <f>IFERROR(IF(ISBLANK([2]NLFsmonkeyCompl!AC115),"",[2]NLFsmonkeyCompl!AC115*$M114),"")</f>
        <v/>
      </c>
      <c r="AB114" s="8" t="str">
        <f>IFERROR(IF(ISBLANK([2]NLFsmonkeyCompl!AD115),"",[2]NLFsmonkeyCompl!AD115),"")</f>
        <v/>
      </c>
      <c r="AC114" s="8" t="str">
        <f>IFERROR(IF(ISBLANK([2]NLFsmonkeyCompl!AE115),"",[2]NLFsmonkeyCompl!AE115),"")</f>
        <v/>
      </c>
      <c r="AD114" s="8" t="str">
        <f>IFERROR(IF(ISBLANK([2]NLFsmonkeyCompl!AF115),"",[2]NLFsmonkeyCompl!AF115),"")</f>
        <v/>
      </c>
      <c r="AE114" s="8" t="str">
        <f>IFERROR(IF(ISBLANK([2]NLFsmonkeyCompl!AG115),"",[2]NLFsmonkeyCompl!AG115),"")</f>
        <v/>
      </c>
      <c r="AF114" s="8" t="str">
        <f>IFERROR(IF(ISBLANK([2]NLFsmonkeyCompl!AH115),"",[2]NLFsmonkeyCompl!AH115),"")</f>
        <v/>
      </c>
      <c r="AG114" s="8" t="str">
        <f>IFERROR(IF(ISBLANK([2]NLFsmonkeyCompl!AI115),"",[2]NLFsmonkeyCompl!AI115),"")</f>
        <v/>
      </c>
      <c r="AH114" t="str">
        <f>IFERROR(INDEX([2]VehiclesUniverse!$B$2:$EU$700,MATCH($C114,[2]VehiclesUniverse!$A$2:$A$700,0),MATCH($AH$1,[2]VehiclesUniverse!$B$1:$EU$1,0)),"")</f>
        <v/>
      </c>
    </row>
    <row r="115" spans="1:34" x14ac:dyDescent="0.2">
      <c r="A115" s="5" t="str">
        <f>IF(OR(ISTEXT([2]NLFsmonkeyCompl!J116),ISNUMBER([2]NLFsmonkeyCompl!J116)),[2]NLFsmonkeyCompl!J116,"")</f>
        <v>Invesco</v>
      </c>
      <c r="B115" s="6" t="str">
        <f>IF(OR(ISTEXT([2]NLFsmonkeyCompl!K116),ISNUMBER([2]NLFsmonkeyCompl!K116)),[2]NLFsmonkeyCompl!K116,"")</f>
        <v>European Hotel Fund</v>
      </c>
      <c r="C115" s="6">
        <v>18386</v>
      </c>
      <c r="D115" s="6" t="str">
        <f>IFERROR(INDEX([2]VehiclesUniverse!$B$2:$EU$700,MATCH(C115,[2]VehiclesUniverse!$A$2:$A$700,0),MATCH($D$1,[2]VehiclesUniverse!$B$1:$EU$1,0)),"")</f>
        <v>Core</v>
      </c>
      <c r="E115" s="6" t="str">
        <f>IFERROR(INDEX([2]VehiclesUniverse!$B$2:$EU$700,MATCH(C115,[2]VehiclesUniverse!$A$2:$A$700,0),MATCH($E$1,[2]VehiclesUniverse!$B$1:$EU$1,0)),"")</f>
        <v>multi country</v>
      </c>
      <c r="F115" s="6" t="str">
        <f>IF(IFERROR(INDEX([2]VehiclesUniverse!$B$2:$EU$700,MATCH($C115,[2]VehiclesUniverse!$A$2:$A$700,0),MATCH($F$1,[2]VehiclesUniverse!$B$1:$EU$1,0)),"")&lt;&gt;0,(IFERROR(INDEX([2]VehiclesUniverse!$B$2:$EU$700,MATCH($C115,[2]VehiclesUniverse!$A$2:$A$700,0),MATCH($F$1,[2]VehiclesUniverse!$B$1:$EU$1,0)),"")),"")</f>
        <v/>
      </c>
      <c r="G115" s="6" t="str">
        <f>IF(ISBLANK([2]NLFsmonkeyCompl!L116),"",[2]NLFsmonkeyCompl!L116)</f>
        <v>Open end</v>
      </c>
      <c r="H115" s="6">
        <f>IFERROR(INDEX([2]VehiclesUniverse!$B$2:$EU$700,MATCH(C115,[2]VehiclesUniverse!$A$2:$A$700,0),MATCH($H$1,[2]VehiclesUniverse!$B$1:$EU$1,0)),"")</f>
        <v>2017</v>
      </c>
      <c r="I115" s="6" t="str">
        <f>IF(ISBLANK([2]NLFsmonkeyCompl!M116),"",[2]NLFsmonkeyCompl!M116)</f>
        <v>Yes</v>
      </c>
      <c r="J115" s="6" t="str">
        <f>IF(ISBLANK([2]NLFsmonkeyCompl!N116),"",[2]NLFsmonkeyCompl!N116)</f>
        <v/>
      </c>
      <c r="K115" s="6" t="str">
        <f>IF(ISBLANK([2]NLFsmonkeyCompl!O116),"",[2]NLFsmonkeyCompl!O116)</f>
        <v/>
      </c>
      <c r="L115" s="6" t="str">
        <f>IFERROR(INDEX([2]VehiclesUniverse!$B$2:$EU$700,MATCH(C115,[2]VehiclesUniverse!$A$2:$A$700,0),MATCH($L$1,[2]VehiclesUniverse!$B$1:$EU$1,0)),"")</f>
        <v>EUR</v>
      </c>
      <c r="M115" s="16">
        <f>IFERROR(VLOOKUP(L115,'[2]Xrate31.12.20'!$K$2:$N$25,3,0),"")</f>
        <v>1</v>
      </c>
      <c r="N115" s="19">
        <f>IFERROR(IF(ISBLANK([2]NLFsmonkeyCompl!P116),"",[2]NLFsmonkeyCompl!P116*$M115),"")/1000000</f>
        <v>5.3399929999999998</v>
      </c>
      <c r="O115" s="19">
        <f>IFERROR(IF(ISBLANK([2]NLFsmonkeyCompl!Q116),"",[2]NLFsmonkeyCompl!Q116*$M115),"")/1000000</f>
        <v>5</v>
      </c>
      <c r="P115" s="8" t="str">
        <f>IFERROR(IF(ISBLANK([2]NLFsmonkeyCompl!R116),"",[2]NLFsmonkeyCompl!R116*$M115),"")</f>
        <v/>
      </c>
      <c r="Q115" s="8" t="str">
        <f>IFERROR(IF(ISBLANK([2]NLFsmonkeyCompl!S116),"",[2]NLFsmonkeyCompl!S116*$M115),"")</f>
        <v/>
      </c>
      <c r="R115" s="8" t="str">
        <f>IFERROR(IF(ISBLANK([2]NLFsmonkeyCompl!T116),"",[2]NLFsmonkeyCompl!T116*$M115),"")</f>
        <v/>
      </c>
      <c r="S115" s="8" t="str">
        <f>IFERROR(IF(ISBLANK([2]NLFsmonkeyCompl!U116),"",[2]NLFsmonkeyCompl!U116*$M115),"")</f>
        <v/>
      </c>
      <c r="T115" s="8" t="str">
        <f>IFERROR(IF(ISBLANK([2]NLFsmonkeyCompl!V116),"",[2]NLFsmonkeyCompl!V116*$M115),"")</f>
        <v/>
      </c>
      <c r="U115" s="8" t="str">
        <f>IFERROR(IF(ISBLANK([2]NLFsmonkeyCompl!W116),"",[2]NLFsmonkeyCompl!W116*$M115),"")</f>
        <v/>
      </c>
      <c r="V115" s="19">
        <f>IFERROR(IF(ISBLANK([2]NLFsmonkeyCompl!X116),"",[2]NLFsmonkeyCompl!X116*$M115),"")/1000000</f>
        <v>0.33999299999999999</v>
      </c>
      <c r="W115" s="19">
        <f>IFERROR(IF(ISBLANK([2]NLFsmonkeyCompl!Y116),"",[2]NLFsmonkeyCompl!Y116*$M115),"")/1000000</f>
        <v>5.3399929999999998</v>
      </c>
      <c r="X115" s="8" t="str">
        <f>IFERROR(IF(ISBLANK([2]NLFsmonkeyCompl!Z116),"",[2]NLFsmonkeyCompl!Z116*$M115),"")</f>
        <v/>
      </c>
      <c r="Y115" s="8" t="str">
        <f>IFERROR(IF(ISBLANK([2]NLFsmonkeyCompl!AA116),"",[2]NLFsmonkeyCompl!AA116*$M115),"")</f>
        <v/>
      </c>
      <c r="Z115" s="8" t="str">
        <f>IFERROR(IF(ISBLANK([2]NLFsmonkeyCompl!AB116),"",[2]NLFsmonkeyCompl!AB116*$M115),"")</f>
        <v/>
      </c>
      <c r="AA115" s="8" t="str">
        <f>IFERROR(IF(ISBLANK([2]NLFsmonkeyCompl!AC116),"",[2]NLFsmonkeyCompl!AC116*$M115),"")</f>
        <v/>
      </c>
      <c r="AB115" s="8" t="str">
        <f>IFERROR(IF(ISBLANK([2]NLFsmonkeyCompl!AD116),"",[2]NLFsmonkeyCompl!AD116),"")</f>
        <v/>
      </c>
      <c r="AC115" s="8" t="str">
        <f>IFERROR(IF(ISBLANK([2]NLFsmonkeyCompl!AE116),"",[2]NLFsmonkeyCompl!AE116),"")</f>
        <v/>
      </c>
      <c r="AD115" s="8">
        <f>IFERROR(IF(ISBLANK([2]NLFsmonkeyCompl!AF116),"",[2]NLFsmonkeyCompl!AF116),"")</f>
        <v>100</v>
      </c>
      <c r="AE115" s="8" t="str">
        <f>IFERROR(IF(ISBLANK([2]NLFsmonkeyCompl!AG116),"",[2]NLFsmonkeyCompl!AG116),"")</f>
        <v/>
      </c>
      <c r="AF115" s="8" t="str">
        <f>IFERROR(IF(ISBLANK([2]NLFsmonkeyCompl!AH116),"",[2]NLFsmonkeyCompl!AH116),"")</f>
        <v>Increase</v>
      </c>
      <c r="AG115" s="8" t="str">
        <f>IFERROR(IF(ISBLANK([2]NLFsmonkeyCompl!AI116),"",[2]NLFsmonkeyCompl!AI116),"")</f>
        <v>Yes</v>
      </c>
      <c r="AH115">
        <f>IFERROR(INDEX([2]VehiclesUniverse!$B$2:$EU$700,MATCH($C115,[2]VehiclesUniverse!$A$2:$A$700,0),MATCH($AH$1,[2]VehiclesUniverse!$B$1:$EU$1,0)),"")</f>
        <v>669998810.75</v>
      </c>
    </row>
    <row r="116" spans="1:34" x14ac:dyDescent="0.2">
      <c r="A116" s="5" t="str">
        <f>IF(OR(ISTEXT([2]NLFsmonkeyCompl!J117),ISNUMBER([2]NLFsmonkeyCompl!J117)),[2]NLFsmonkeyCompl!J117,"")</f>
        <v>Sirius Capital Partners</v>
      </c>
      <c r="B116" s="6" t="str">
        <f>IF(OR(ISTEXT([2]NLFsmonkeyCompl!K117),ISNUMBER([2]NLFsmonkeyCompl!K117)),[2]NLFsmonkeyCompl!K117,"")</f>
        <v>Sirius Fund III SCSp</v>
      </c>
      <c r="C116" s="6">
        <v>18596</v>
      </c>
      <c r="D116" s="6" t="str">
        <f>IFERROR(INDEX([2]VehiclesUniverse!$B$2:$EU$700,MATCH(C116,[2]VehiclesUniverse!$A$2:$A$700,0),MATCH($D$1,[2]VehiclesUniverse!$B$1:$EU$1,0)),"")</f>
        <v>Value-added</v>
      </c>
      <c r="E116" s="6" t="str">
        <f>IFERROR(INDEX([2]VehiclesUniverse!$B$2:$EU$700,MATCH(C116,[2]VehiclesUniverse!$A$2:$A$700,0),MATCH($E$1,[2]VehiclesUniverse!$B$1:$EU$1,0)),"")</f>
        <v>single country</v>
      </c>
      <c r="F116" s="6" t="str">
        <f>IF(IFERROR(INDEX([2]VehiclesUniverse!$B$2:$EU$700,MATCH($C116,[2]VehiclesUniverse!$A$2:$A$700,0),MATCH($F$1,[2]VehiclesUniverse!$B$1:$EU$1,0)),"")&lt;&gt;0,(IFERROR(INDEX([2]VehiclesUniverse!$B$2:$EU$700,MATCH($C116,[2]VehiclesUniverse!$A$2:$A$700,0),MATCH($F$1,[2]VehiclesUniverse!$B$1:$EU$1,0)),"")),"")</f>
        <v>Finland</v>
      </c>
      <c r="G116" s="6" t="str">
        <f>IF(ISBLANK([2]NLFsmonkeyCompl!L117),"",[2]NLFsmonkeyCompl!L117)</f>
        <v>Closed end</v>
      </c>
      <c r="H116" s="6">
        <f>IFERROR(INDEX([2]VehiclesUniverse!$B$2:$EU$700,MATCH(C116,[2]VehiclesUniverse!$A$2:$A$700,0),MATCH($H$1,[2]VehiclesUniverse!$B$1:$EU$1,0)),"")</f>
        <v>2018</v>
      </c>
      <c r="I116" s="6" t="str">
        <f>IF(ISBLANK([2]NLFsmonkeyCompl!M117),"",[2]NLFsmonkeyCompl!M117)</f>
        <v>No</v>
      </c>
      <c r="J116" s="6" t="str">
        <f>IF(ISBLANK([2]NLFsmonkeyCompl!N117),"",[2]NLFsmonkeyCompl!N117)</f>
        <v>Other (please specify)</v>
      </c>
      <c r="K116" s="6" t="str">
        <f>IF(ISBLANK([2]NLFsmonkeyCompl!O117),"",[2]NLFsmonkeyCompl!O117)</f>
        <v>Fund was closed 2018</v>
      </c>
      <c r="L116" s="6" t="str">
        <f>IFERROR(INDEX([2]VehiclesUniverse!$B$2:$EU$700,MATCH(C116,[2]VehiclesUniverse!$A$2:$A$700,0),MATCH($L$1,[2]VehiclesUniverse!$B$1:$EU$1,0)),"")</f>
        <v>EUR</v>
      </c>
      <c r="M116" s="16">
        <f>IFERROR(VLOOKUP(L116,'[2]Xrate31.12.20'!$K$2:$N$25,3,0),"")</f>
        <v>1</v>
      </c>
      <c r="N116" s="8" t="str">
        <f>IFERROR(IF(ISBLANK([2]NLFsmonkeyCompl!P117),"",[2]NLFsmonkeyCompl!P117*$M116),"")</f>
        <v/>
      </c>
      <c r="O116" s="8" t="str">
        <f>IFERROR(IF(ISBLANK([2]NLFsmonkeyCompl!Q117),"",[2]NLFsmonkeyCompl!Q117*$M116),"")</f>
        <v/>
      </c>
      <c r="P116" s="8" t="str">
        <f>IFERROR(IF(ISBLANK([2]NLFsmonkeyCompl!R117),"",[2]NLFsmonkeyCompl!R117*$M116),"")</f>
        <v/>
      </c>
      <c r="Q116" s="8" t="str">
        <f>IFERROR(IF(ISBLANK([2]NLFsmonkeyCompl!S117),"",[2]NLFsmonkeyCompl!S117*$M116),"")</f>
        <v/>
      </c>
      <c r="R116" s="8" t="str">
        <f>IFERROR(IF(ISBLANK([2]NLFsmonkeyCompl!T117),"",[2]NLFsmonkeyCompl!T117*$M116),"")</f>
        <v/>
      </c>
      <c r="S116" s="8" t="str">
        <f>IFERROR(IF(ISBLANK([2]NLFsmonkeyCompl!U117),"",[2]NLFsmonkeyCompl!U117*$M116),"")</f>
        <v/>
      </c>
      <c r="T116" s="8" t="str">
        <f>IFERROR(IF(ISBLANK([2]NLFsmonkeyCompl!V117),"",[2]NLFsmonkeyCompl!V117*$M116),"")</f>
        <v/>
      </c>
      <c r="U116" s="8" t="str">
        <f>IFERROR(IF(ISBLANK([2]NLFsmonkeyCompl!W117),"",[2]NLFsmonkeyCompl!W117*$M116),"")</f>
        <v/>
      </c>
      <c r="V116" s="8" t="str">
        <f>IFERROR(IF(ISBLANK([2]NLFsmonkeyCompl!X117),"",[2]NLFsmonkeyCompl!X117*$M116),"")</f>
        <v/>
      </c>
      <c r="W116" s="8" t="str">
        <f>IFERROR(IF(ISBLANK([2]NLFsmonkeyCompl!Y117),"",[2]NLFsmonkeyCompl!Y117*$M116),"")</f>
        <v/>
      </c>
      <c r="X116" s="8" t="str">
        <f>IFERROR(IF(ISBLANK([2]NLFsmonkeyCompl!Z117),"",[2]NLFsmonkeyCompl!Z117*$M116),"")</f>
        <v/>
      </c>
      <c r="Y116" s="8" t="str">
        <f>IFERROR(IF(ISBLANK([2]NLFsmonkeyCompl!AA117),"",[2]NLFsmonkeyCompl!AA117*$M116),"")</f>
        <v/>
      </c>
      <c r="Z116" s="8" t="str">
        <f>IFERROR(IF(ISBLANK([2]NLFsmonkeyCompl!AB117),"",[2]NLFsmonkeyCompl!AB117*$M116),"")</f>
        <v/>
      </c>
      <c r="AA116" s="8" t="str">
        <f>IFERROR(IF(ISBLANK([2]NLFsmonkeyCompl!AC117),"",[2]NLFsmonkeyCompl!AC117*$M116),"")</f>
        <v/>
      </c>
      <c r="AB116" s="8" t="str">
        <f>IFERROR(IF(ISBLANK([2]NLFsmonkeyCompl!AD117),"",[2]NLFsmonkeyCompl!AD117),"")</f>
        <v/>
      </c>
      <c r="AC116" s="8" t="str">
        <f>IFERROR(IF(ISBLANK([2]NLFsmonkeyCompl!AE117),"",[2]NLFsmonkeyCompl!AE117),"")</f>
        <v/>
      </c>
      <c r="AD116" s="8" t="str">
        <f>IFERROR(IF(ISBLANK([2]NLFsmonkeyCompl!AF117),"",[2]NLFsmonkeyCompl!AF117),"")</f>
        <v/>
      </c>
      <c r="AE116" s="8" t="str">
        <f>IFERROR(IF(ISBLANK([2]NLFsmonkeyCompl!AG117),"",[2]NLFsmonkeyCompl!AG117),"")</f>
        <v/>
      </c>
      <c r="AF116" s="8" t="str">
        <f>IFERROR(IF(ISBLANK([2]NLFsmonkeyCompl!AH117),"",[2]NLFsmonkeyCompl!AH117),"")</f>
        <v>Increase</v>
      </c>
      <c r="AG116" s="8" t="str">
        <f>IFERROR(IF(ISBLANK([2]NLFsmonkeyCompl!AI117),"",[2]NLFsmonkeyCompl!AI117),"")</f>
        <v>Yes</v>
      </c>
      <c r="AH116">
        <f>IFERROR(INDEX([2]VehiclesUniverse!$B$2:$EU$700,MATCH($C116,[2]VehiclesUniverse!$A$2:$A$700,0),MATCH($AH$1,[2]VehiclesUniverse!$B$1:$EU$1,0)),"")</f>
        <v>30200000</v>
      </c>
    </row>
    <row r="117" spans="1:34" x14ac:dyDescent="0.2">
      <c r="A117" s="5" t="str">
        <f>IF(OR(ISTEXT([2]NLFsmonkeyCompl!J118),ISNUMBER([2]NLFsmonkeyCompl!J118)),[2]NLFsmonkeyCompl!J118,"")</f>
        <v>Coima Sgr</v>
      </c>
      <c r="B117" s="6" t="str">
        <f>IF(OR(ISTEXT([2]NLFsmonkeyCompl!K118),ISNUMBER([2]NLFsmonkeyCompl!K118)),[2]NLFsmonkeyCompl!K118,"")</f>
        <v>COIMA CORE FUND VII</v>
      </c>
      <c r="C117" s="6">
        <v>19311</v>
      </c>
      <c r="D117" s="6" t="str">
        <f>IFERROR(INDEX([2]VehiclesUniverse!$B$2:$EU$700,MATCH(C117,[2]VehiclesUniverse!$A$2:$A$700,0),MATCH($D$1,[2]VehiclesUniverse!$B$1:$EU$1,0)),"")</f>
        <v>Value-added</v>
      </c>
      <c r="E117" s="6" t="str">
        <f>IFERROR(INDEX([2]VehiclesUniverse!$B$2:$EU$700,MATCH(C117,[2]VehiclesUniverse!$A$2:$A$700,0),MATCH($E$1,[2]VehiclesUniverse!$B$1:$EU$1,0)),"")</f>
        <v>single country</v>
      </c>
      <c r="F117" s="6" t="str">
        <f>IF(IFERROR(INDEX([2]VehiclesUniverse!$B$2:$EU$700,MATCH($C117,[2]VehiclesUniverse!$A$2:$A$700,0),MATCH($F$1,[2]VehiclesUniverse!$B$1:$EU$1,0)),"")&lt;&gt;0,(IFERROR(INDEX([2]VehiclesUniverse!$B$2:$EU$700,MATCH($C117,[2]VehiclesUniverse!$A$2:$A$700,0),MATCH($F$1,[2]VehiclesUniverse!$B$1:$EU$1,0)),"")),"")</f>
        <v>Italy</v>
      </c>
      <c r="G117" s="6" t="str">
        <f>IF(ISBLANK([2]NLFsmonkeyCompl!L118),"",[2]NLFsmonkeyCompl!L118)</f>
        <v>Closed end</v>
      </c>
      <c r="H117" s="6">
        <f>IFERROR(INDEX([2]VehiclesUniverse!$B$2:$EU$700,MATCH(C117,[2]VehiclesUniverse!$A$2:$A$700,0),MATCH($H$1,[2]VehiclesUniverse!$B$1:$EU$1,0)),"")</f>
        <v>2019</v>
      </c>
      <c r="I117" s="6" t="str">
        <f>IF(ISBLANK([2]NLFsmonkeyCompl!M118),"",[2]NLFsmonkeyCompl!M118)</f>
        <v>No</v>
      </c>
      <c r="J117" s="6" t="str">
        <f>IF(ISBLANK([2]NLFsmonkeyCompl!N118),"",[2]NLFsmonkeyCompl!N118)</f>
        <v>Other (please specify)</v>
      </c>
      <c r="K117" s="6" t="str">
        <f>IF(ISBLANK([2]NLFsmonkeyCompl!O118),"",[2]NLFsmonkeyCompl!O118)</f>
        <v>the fund regulation did not provide for additional capital calls</v>
      </c>
      <c r="L117" s="6" t="str">
        <f>IFERROR(INDEX([2]VehiclesUniverse!$B$2:$EU$700,MATCH(C117,[2]VehiclesUniverse!$A$2:$A$700,0),MATCH($L$1,[2]VehiclesUniverse!$B$1:$EU$1,0)),"")</f>
        <v>EUR</v>
      </c>
      <c r="M117" s="16">
        <f>IFERROR(VLOOKUP(L117,'[2]Xrate31.12.20'!$K$2:$N$25,3,0),"")</f>
        <v>1</v>
      </c>
      <c r="N117" s="8" t="str">
        <f>IFERROR(IF(ISBLANK([2]NLFsmonkeyCompl!P118),"",[2]NLFsmonkeyCompl!P118*$M117),"")</f>
        <v/>
      </c>
      <c r="O117" s="8" t="str">
        <f>IFERROR(IF(ISBLANK([2]NLFsmonkeyCompl!Q118),"",[2]NLFsmonkeyCompl!Q118*$M117),"")</f>
        <v/>
      </c>
      <c r="P117" s="8" t="str">
        <f>IFERROR(IF(ISBLANK([2]NLFsmonkeyCompl!R118),"",[2]NLFsmonkeyCompl!R118*$M117),"")</f>
        <v/>
      </c>
      <c r="Q117" s="8" t="str">
        <f>IFERROR(IF(ISBLANK([2]NLFsmonkeyCompl!S118),"",[2]NLFsmonkeyCompl!S118*$M117),"")</f>
        <v/>
      </c>
      <c r="R117" s="8" t="str">
        <f>IFERROR(IF(ISBLANK([2]NLFsmonkeyCompl!T118),"",[2]NLFsmonkeyCompl!T118*$M117),"")</f>
        <v/>
      </c>
      <c r="S117" s="8" t="str">
        <f>IFERROR(IF(ISBLANK([2]NLFsmonkeyCompl!U118),"",[2]NLFsmonkeyCompl!U118*$M117),"")</f>
        <v/>
      </c>
      <c r="T117" s="8" t="str">
        <f>IFERROR(IF(ISBLANK([2]NLFsmonkeyCompl!V118),"",[2]NLFsmonkeyCompl!V118*$M117),"")</f>
        <v/>
      </c>
      <c r="U117" s="8" t="str">
        <f>IFERROR(IF(ISBLANK([2]NLFsmonkeyCompl!W118),"",[2]NLFsmonkeyCompl!W118*$M117),"")</f>
        <v/>
      </c>
      <c r="V117" s="8" t="str">
        <f>IFERROR(IF(ISBLANK([2]NLFsmonkeyCompl!X118),"",[2]NLFsmonkeyCompl!X118*$M117),"")</f>
        <v/>
      </c>
      <c r="W117" s="8" t="str">
        <f>IFERROR(IF(ISBLANK([2]NLFsmonkeyCompl!Y118),"",[2]NLFsmonkeyCompl!Y118*$M117),"")</f>
        <v/>
      </c>
      <c r="X117" s="8" t="str">
        <f>IFERROR(IF(ISBLANK([2]NLFsmonkeyCompl!Z118),"",[2]NLFsmonkeyCompl!Z118*$M117),"")</f>
        <v/>
      </c>
      <c r="Y117" s="8" t="str">
        <f>IFERROR(IF(ISBLANK([2]NLFsmonkeyCompl!AA118),"",[2]NLFsmonkeyCompl!AA118*$M117),"")</f>
        <v/>
      </c>
      <c r="Z117" s="8" t="str">
        <f>IFERROR(IF(ISBLANK([2]NLFsmonkeyCompl!AB118),"",[2]NLFsmonkeyCompl!AB118*$M117),"")</f>
        <v/>
      </c>
      <c r="AA117" s="8" t="str">
        <f>IFERROR(IF(ISBLANK([2]NLFsmonkeyCompl!AC118),"",[2]NLFsmonkeyCompl!AC118*$M117),"")</f>
        <v/>
      </c>
      <c r="AB117" s="8" t="str">
        <f>IFERROR(IF(ISBLANK([2]NLFsmonkeyCompl!AD118),"",[2]NLFsmonkeyCompl!AD118),"")</f>
        <v/>
      </c>
      <c r="AC117" s="8" t="str">
        <f>IFERROR(IF(ISBLANK([2]NLFsmonkeyCompl!AE118),"",[2]NLFsmonkeyCompl!AE118),"")</f>
        <v/>
      </c>
      <c r="AD117" s="8" t="str">
        <f>IFERROR(IF(ISBLANK([2]NLFsmonkeyCompl!AF118),"",[2]NLFsmonkeyCompl!AF118),"")</f>
        <v/>
      </c>
      <c r="AE117" s="8" t="str">
        <f>IFERROR(IF(ISBLANK([2]NLFsmonkeyCompl!AG118),"",[2]NLFsmonkeyCompl!AG118),"")</f>
        <v/>
      </c>
      <c r="AF117" s="8" t="str">
        <f>IFERROR(IF(ISBLANK([2]NLFsmonkeyCompl!AH118),"",[2]NLFsmonkeyCompl!AH118),"")</f>
        <v>Increase</v>
      </c>
      <c r="AG117" s="8" t="str">
        <f>IFERROR(IF(ISBLANK([2]NLFsmonkeyCompl!AI118),"",[2]NLFsmonkeyCompl!AI118),"")</f>
        <v>No</v>
      </c>
      <c r="AH117">
        <f>IFERROR(INDEX([2]VehiclesUniverse!$B$2:$EU$700,MATCH($C117,[2]VehiclesUniverse!$A$2:$A$700,0),MATCH($AH$1,[2]VehiclesUniverse!$B$1:$EU$1,0)),"")</f>
        <v>134353453.33000001</v>
      </c>
    </row>
    <row r="118" spans="1:34" x14ac:dyDescent="0.2">
      <c r="A118" s="5" t="str">
        <f>IF(OR(ISTEXT([2]NLFsmonkeyCompl!J119),ISNUMBER([2]NLFsmonkeyCompl!J119)),[2]NLFsmonkeyCompl!J119,"")</f>
        <v>Aberdeen Standard Investments</v>
      </c>
      <c r="B118" s="6" t="str">
        <f>IF(OR(ISTEXT([2]NLFsmonkeyCompl!K119),ISNUMBER([2]NLFsmonkeyCompl!K119)),[2]NLFsmonkeyCompl!K119,"")</f>
        <v>Long Lease Property</v>
      </c>
      <c r="C118" s="6">
        <v>318</v>
      </c>
      <c r="D118" s="6" t="str">
        <f>IFERROR(INDEX([2]VehiclesUniverse!$B$2:$EU$700,MATCH(C118,[2]VehiclesUniverse!$A$2:$A$700,0),MATCH($D$1,[2]VehiclesUniverse!$B$1:$EU$1,0)),"")</f>
        <v>Core</v>
      </c>
      <c r="E118" s="6" t="str">
        <f>IFERROR(INDEX([2]VehiclesUniverse!$B$2:$EU$700,MATCH(C118,[2]VehiclesUniverse!$A$2:$A$700,0),MATCH($E$1,[2]VehiclesUniverse!$B$1:$EU$1,0)),"")</f>
        <v>single country</v>
      </c>
      <c r="F118" s="6" t="str">
        <f>IF(IFERROR(INDEX([2]VehiclesUniverse!$B$2:$EU$700,MATCH($C118,[2]VehiclesUniverse!$A$2:$A$700,0),MATCH($F$1,[2]VehiclesUniverse!$B$1:$EU$1,0)),"")&lt;&gt;0,(IFERROR(INDEX([2]VehiclesUniverse!$B$2:$EU$700,MATCH($C118,[2]VehiclesUniverse!$A$2:$A$700,0),MATCH($F$1,[2]VehiclesUniverse!$B$1:$EU$1,0)),"")),"")</f>
        <v>United Kingdom</v>
      </c>
      <c r="G118" s="6" t="str">
        <f>IF(ISBLANK([2]NLFsmonkeyCompl!L119),"",[2]NLFsmonkeyCompl!L119)</f>
        <v>Open end</v>
      </c>
      <c r="H118" s="6">
        <f>IFERROR(INDEX([2]VehiclesUniverse!$B$2:$EU$700,MATCH(C118,[2]VehiclesUniverse!$A$2:$A$700,0),MATCH($H$1,[2]VehiclesUniverse!$B$1:$EU$1,0)),"")</f>
        <v>2003</v>
      </c>
      <c r="I118" s="6" t="str">
        <f>IF(ISBLANK([2]NLFsmonkeyCompl!M119),"",[2]NLFsmonkeyCompl!M119)</f>
        <v>Yes</v>
      </c>
      <c r="J118" s="6" t="str">
        <f>IF(ISBLANK([2]NLFsmonkeyCompl!N119),"",[2]NLFsmonkeyCompl!N119)</f>
        <v/>
      </c>
      <c r="K118" s="6" t="str">
        <f>IF(ISBLANK([2]NLFsmonkeyCompl!O119),"",[2]NLFsmonkeyCompl!O119)</f>
        <v/>
      </c>
      <c r="L118" s="6" t="str">
        <f>IFERROR(INDEX([2]VehiclesUniverse!$B$2:$EU$700,MATCH(C118,[2]VehiclesUniverse!$A$2:$A$700,0),MATCH($L$1,[2]VehiclesUniverse!$B$1:$EU$1,0)),"")</f>
        <v>GBP</v>
      </c>
      <c r="M118" s="16">
        <f>IFERROR(VLOOKUP(L118,'[2]Xrate31.12.20'!$K$2:$N$25,3,0),"")</f>
        <v>1.1130927885999999</v>
      </c>
      <c r="N118" s="8" t="str">
        <f>IFERROR(IF(ISBLANK([2]NLFsmonkeyCompl!P119),"",[2]NLFsmonkeyCompl!P119*$M118),"")</f>
        <v/>
      </c>
      <c r="O118" s="8" t="str">
        <f>IFERROR(IF(ISBLANK([2]NLFsmonkeyCompl!Q119),"",[2]NLFsmonkeyCompl!Q119*$M118),"")</f>
        <v/>
      </c>
      <c r="P118" s="8" t="str">
        <f>IFERROR(IF(ISBLANK([2]NLFsmonkeyCompl!R119),"",[2]NLFsmonkeyCompl!R119*$M118),"")</f>
        <v/>
      </c>
      <c r="Q118" s="8" t="str">
        <f>IFERROR(IF(ISBLANK([2]NLFsmonkeyCompl!S119),"",[2]NLFsmonkeyCompl!S119*$M118),"")</f>
        <v/>
      </c>
      <c r="R118" s="8" t="str">
        <f>IFERROR(IF(ISBLANK([2]NLFsmonkeyCompl!T119),"",[2]NLFsmonkeyCompl!T119*$M118),"")</f>
        <v/>
      </c>
      <c r="S118" s="8" t="str">
        <f>IFERROR(IF(ISBLANK([2]NLFsmonkeyCompl!U119),"",[2]NLFsmonkeyCompl!U119*$M118),"")</f>
        <v/>
      </c>
      <c r="T118" s="8" t="str">
        <f>IFERROR(IF(ISBLANK([2]NLFsmonkeyCompl!V119),"",[2]NLFsmonkeyCompl!V119*$M118),"")</f>
        <v/>
      </c>
      <c r="U118" s="8" t="str">
        <f>IFERROR(IF(ISBLANK([2]NLFsmonkeyCompl!W119),"",[2]NLFsmonkeyCompl!W119*$M118),"")</f>
        <v/>
      </c>
      <c r="V118" s="8" t="str">
        <f>IFERROR(IF(ISBLANK([2]NLFsmonkeyCompl!X119),"",[2]NLFsmonkeyCompl!X119*$M118),"")</f>
        <v/>
      </c>
      <c r="W118" s="8" t="str">
        <f>IFERROR(IF(ISBLANK([2]NLFsmonkeyCompl!Y119),"",[2]NLFsmonkeyCompl!Y119*$M118),"")</f>
        <v/>
      </c>
      <c r="X118" s="8" t="str">
        <f>IFERROR(IF(ISBLANK([2]NLFsmonkeyCompl!Z119),"",[2]NLFsmonkeyCompl!Z119*$M118),"")</f>
        <v/>
      </c>
      <c r="Y118" s="8" t="str">
        <f>IFERROR(IF(ISBLANK([2]NLFsmonkeyCompl!AA119),"",[2]NLFsmonkeyCompl!AA119*$M118),"")</f>
        <v/>
      </c>
      <c r="Z118" s="8" t="str">
        <f>IFERROR(IF(ISBLANK([2]NLFsmonkeyCompl!AB119),"",[2]NLFsmonkeyCompl!AB119*$M118),"")</f>
        <v/>
      </c>
      <c r="AA118" s="8" t="str">
        <f>IFERROR(IF(ISBLANK([2]NLFsmonkeyCompl!AC119),"",[2]NLFsmonkeyCompl!AC119*$M118),"")</f>
        <v/>
      </c>
      <c r="AB118" s="8" t="str">
        <f>IFERROR(IF(ISBLANK([2]NLFsmonkeyCompl!AD119),"",[2]NLFsmonkeyCompl!AD119),"")</f>
        <v/>
      </c>
      <c r="AC118" s="8" t="str">
        <f>IFERROR(IF(ISBLANK([2]NLFsmonkeyCompl!AE119),"",[2]NLFsmonkeyCompl!AE119),"")</f>
        <v/>
      </c>
      <c r="AD118" s="8" t="str">
        <f>IFERROR(IF(ISBLANK([2]NLFsmonkeyCompl!AF119),"",[2]NLFsmonkeyCompl!AF119),"")</f>
        <v/>
      </c>
      <c r="AE118" s="8" t="str">
        <f>IFERROR(IF(ISBLANK([2]NLFsmonkeyCompl!AG119),"",[2]NLFsmonkeyCompl!AG119),"")</f>
        <v/>
      </c>
      <c r="AF118" s="8" t="str">
        <f>IFERROR(IF(ISBLANK([2]NLFsmonkeyCompl!AH119),"",[2]NLFsmonkeyCompl!AH119),"")</f>
        <v/>
      </c>
      <c r="AG118" s="8" t="str">
        <f>IFERROR(IF(ISBLANK([2]NLFsmonkeyCompl!AI119),"",[2]NLFsmonkeyCompl!AI119),"")</f>
        <v/>
      </c>
      <c r="AH118">
        <f>IFERROR(INDEX([2]VehiclesUniverse!$B$2:$EU$700,MATCH($C118,[2]VehiclesUniverse!$A$2:$A$700,0),MATCH($AH$1,[2]VehiclesUniverse!$B$1:$EU$1,0)),"")</f>
        <v>2961709109.6264911</v>
      </c>
    </row>
    <row r="119" spans="1:34" x14ac:dyDescent="0.2">
      <c r="A119" s="5" t="str">
        <f>IF(OR(ISTEXT([2]NLFsmonkeyCompl!J120),ISNUMBER([2]NLFsmonkeyCompl!J120)),[2]NLFsmonkeyCompl!J120,"")</f>
        <v>Areim AB</v>
      </c>
      <c r="B119" s="6" t="str">
        <f>IF(OR(ISTEXT([2]NLFsmonkeyCompl!K120),ISNUMBER([2]NLFsmonkeyCompl!K120)),[2]NLFsmonkeyCompl!K120,"")</f>
        <v>Areim Fastigheter 2 AB</v>
      </c>
      <c r="C119" s="6">
        <v>16070</v>
      </c>
      <c r="D119" s="6" t="str">
        <f>IFERROR(INDEX([2]VehiclesUniverse!$B$2:$EU$700,MATCH(C119,[2]VehiclesUniverse!$A$2:$A$700,0),MATCH($D$1,[2]VehiclesUniverse!$B$1:$EU$1,0)),"")</f>
        <v>Value-added</v>
      </c>
      <c r="E119" s="6" t="str">
        <f>IFERROR(INDEX([2]VehiclesUniverse!$B$2:$EU$700,MATCH(C119,[2]VehiclesUniverse!$A$2:$A$700,0),MATCH($E$1,[2]VehiclesUniverse!$B$1:$EU$1,0)),"")</f>
        <v>single country</v>
      </c>
      <c r="F119" s="6" t="str">
        <f>IF(IFERROR(INDEX([2]VehiclesUniverse!$B$2:$EU$700,MATCH($C119,[2]VehiclesUniverse!$A$2:$A$700,0),MATCH($F$1,[2]VehiclesUniverse!$B$1:$EU$1,0)),"")&lt;&gt;0,(IFERROR(INDEX([2]VehiclesUniverse!$B$2:$EU$700,MATCH($C119,[2]VehiclesUniverse!$A$2:$A$700,0),MATCH($F$1,[2]VehiclesUniverse!$B$1:$EU$1,0)),"")),"")</f>
        <v>Sweden</v>
      </c>
      <c r="G119" s="6" t="str">
        <f>IF(ISBLANK([2]NLFsmonkeyCompl!L120),"",[2]NLFsmonkeyCompl!L120)</f>
        <v>Closed end</v>
      </c>
      <c r="H119" s="6">
        <f>IFERROR(INDEX([2]VehiclesUniverse!$B$2:$EU$700,MATCH(C119,[2]VehiclesUniverse!$A$2:$A$700,0),MATCH($H$1,[2]VehiclesUniverse!$B$1:$EU$1,0)),"")</f>
        <v>2012</v>
      </c>
      <c r="I119" s="6" t="str">
        <f>IF(ISBLANK([2]NLFsmonkeyCompl!M120),"",[2]NLFsmonkeyCompl!M120)</f>
        <v>No</v>
      </c>
      <c r="J119" s="6" t="str">
        <f>IF(ISBLANK([2]NLFsmonkeyCompl!N120),"",[2]NLFsmonkeyCompl!N120)</f>
        <v/>
      </c>
      <c r="K119" s="6" t="str">
        <f>IF(ISBLANK([2]NLFsmonkeyCompl!O120),"",[2]NLFsmonkeyCompl!O120)</f>
        <v/>
      </c>
      <c r="L119" s="6" t="str">
        <f>IFERROR(INDEX([2]VehiclesUniverse!$B$2:$EU$700,MATCH(C119,[2]VehiclesUniverse!$A$2:$A$700,0),MATCH($L$1,[2]VehiclesUniverse!$B$1:$EU$1,0)),"")</f>
        <v>SEK</v>
      </c>
      <c r="M119" s="16">
        <f>IFERROR(VLOOKUP(L119,'[2]Xrate31.12.20'!$K$2:$N$25,3,0),"")</f>
        <v>9.9491122000000001E-2</v>
      </c>
      <c r="N119" s="8" t="str">
        <f>IFERROR(IF(ISBLANK([2]NLFsmonkeyCompl!P120),"",[2]NLFsmonkeyCompl!P120*$M119),"")</f>
        <v/>
      </c>
      <c r="O119" s="8" t="str">
        <f>IFERROR(IF(ISBLANK([2]NLFsmonkeyCompl!Q120),"",[2]NLFsmonkeyCompl!Q120*$M119),"")</f>
        <v/>
      </c>
      <c r="P119" s="8" t="str">
        <f>IFERROR(IF(ISBLANK([2]NLFsmonkeyCompl!R120),"",[2]NLFsmonkeyCompl!R120*$M119),"")</f>
        <v/>
      </c>
      <c r="Q119" s="8" t="str">
        <f>IFERROR(IF(ISBLANK([2]NLFsmonkeyCompl!S120),"",[2]NLFsmonkeyCompl!S120*$M119),"")</f>
        <v/>
      </c>
      <c r="R119" s="8" t="str">
        <f>IFERROR(IF(ISBLANK([2]NLFsmonkeyCompl!T120),"",[2]NLFsmonkeyCompl!T120*$M119),"")</f>
        <v/>
      </c>
      <c r="S119" s="8" t="str">
        <f>IFERROR(IF(ISBLANK([2]NLFsmonkeyCompl!U120),"",[2]NLFsmonkeyCompl!U120*$M119),"")</f>
        <v/>
      </c>
      <c r="T119" s="8" t="str">
        <f>IFERROR(IF(ISBLANK([2]NLFsmonkeyCompl!V120),"",[2]NLFsmonkeyCompl!V120*$M119),"")</f>
        <v/>
      </c>
      <c r="U119" s="8" t="str">
        <f>IFERROR(IF(ISBLANK([2]NLFsmonkeyCompl!W120),"",[2]NLFsmonkeyCompl!W120*$M119),"")</f>
        <v/>
      </c>
      <c r="V119" s="8" t="str">
        <f>IFERROR(IF(ISBLANK([2]NLFsmonkeyCompl!X120),"",[2]NLFsmonkeyCompl!X120*$M119),"")</f>
        <v/>
      </c>
      <c r="W119" s="8" t="str">
        <f>IFERROR(IF(ISBLANK([2]NLFsmonkeyCompl!Y120),"",[2]NLFsmonkeyCompl!Y120*$M119),"")</f>
        <v/>
      </c>
      <c r="X119" s="8" t="str">
        <f>IFERROR(IF(ISBLANK([2]NLFsmonkeyCompl!Z120),"",[2]NLFsmonkeyCompl!Z120*$M119),"")</f>
        <v/>
      </c>
      <c r="Y119" s="8" t="str">
        <f>IFERROR(IF(ISBLANK([2]NLFsmonkeyCompl!AA120),"",[2]NLFsmonkeyCompl!AA120*$M119),"")</f>
        <v/>
      </c>
      <c r="Z119" s="8" t="str">
        <f>IFERROR(IF(ISBLANK([2]NLFsmonkeyCompl!AB120),"",[2]NLFsmonkeyCompl!AB120*$M119),"")</f>
        <v/>
      </c>
      <c r="AA119" s="8" t="str">
        <f>IFERROR(IF(ISBLANK([2]NLFsmonkeyCompl!AC120),"",[2]NLFsmonkeyCompl!AC120*$M119),"")</f>
        <v/>
      </c>
      <c r="AB119" s="8" t="str">
        <f>IFERROR(IF(ISBLANK([2]NLFsmonkeyCompl!AD120),"",[2]NLFsmonkeyCompl!AD120),"")</f>
        <v/>
      </c>
      <c r="AC119" s="8" t="str">
        <f>IFERROR(IF(ISBLANK([2]NLFsmonkeyCompl!AE120),"",[2]NLFsmonkeyCompl!AE120),"")</f>
        <v/>
      </c>
      <c r="AD119" s="8" t="str">
        <f>IFERROR(IF(ISBLANK([2]NLFsmonkeyCompl!AF120),"",[2]NLFsmonkeyCompl!AF120),"")</f>
        <v/>
      </c>
      <c r="AE119" s="8" t="str">
        <f>IFERROR(IF(ISBLANK([2]NLFsmonkeyCompl!AG120),"",[2]NLFsmonkeyCompl!AG120),"")</f>
        <v/>
      </c>
      <c r="AF119" s="8" t="str">
        <f>IFERROR(IF(ISBLANK([2]NLFsmonkeyCompl!AH120),"",[2]NLFsmonkeyCompl!AH120),"")</f>
        <v/>
      </c>
      <c r="AG119" s="8" t="str">
        <f>IFERROR(IF(ISBLANK([2]NLFsmonkeyCompl!AI120),"",[2]NLFsmonkeyCompl!AI120),"")</f>
        <v/>
      </c>
      <c r="AH119">
        <f>IFERROR(INDEX([2]VehiclesUniverse!$B$2:$EU$700,MATCH($C119,[2]VehiclesUniverse!$A$2:$A$700,0),MATCH($AH$1,[2]VehiclesUniverse!$B$1:$EU$1,0)),"")</f>
        <v>180227961.8290095</v>
      </c>
    </row>
    <row r="120" spans="1:34" x14ac:dyDescent="0.2">
      <c r="A120" s="5" t="str">
        <f>IF(OR(ISTEXT([2]NLFsmonkeyCompl!J121),ISNUMBER([2]NLFsmonkeyCompl!J121)),[2]NLFsmonkeyCompl!J121,"")</f>
        <v>DNB Real Estate Investment Management</v>
      </c>
      <c r="B120" s="6" t="str">
        <f>IF(OR(ISTEXT([2]NLFsmonkeyCompl!K121),ISNUMBER([2]NLFsmonkeyCompl!K121)),[2]NLFsmonkeyCompl!K121,"")</f>
        <v>DNB Scandinavian Property Fund</v>
      </c>
      <c r="C120" s="6">
        <v>17499</v>
      </c>
      <c r="D120" s="6" t="str">
        <f>IFERROR(INDEX([2]VehiclesUniverse!$B$2:$EU$700,MATCH(C120,[2]VehiclesUniverse!$A$2:$A$700,0),MATCH($D$1,[2]VehiclesUniverse!$B$1:$EU$1,0)),"")</f>
        <v>Core</v>
      </c>
      <c r="E120" s="6" t="str">
        <f>IFERROR(INDEX([2]VehiclesUniverse!$B$2:$EU$700,MATCH(C120,[2]VehiclesUniverse!$A$2:$A$700,0),MATCH($E$1,[2]VehiclesUniverse!$B$1:$EU$1,0)),"")</f>
        <v>multi country</v>
      </c>
      <c r="F120" s="6" t="str">
        <f>IF(IFERROR(INDEX([2]VehiclesUniverse!$B$2:$EU$700,MATCH($C120,[2]VehiclesUniverse!$A$2:$A$700,0),MATCH($F$1,[2]VehiclesUniverse!$B$1:$EU$1,0)),"")&lt;&gt;0,(IFERROR(INDEX([2]VehiclesUniverse!$B$2:$EU$700,MATCH($C120,[2]VehiclesUniverse!$A$2:$A$700,0),MATCH($F$1,[2]VehiclesUniverse!$B$1:$EU$1,0)),"")),"")</f>
        <v/>
      </c>
      <c r="G120" s="6" t="str">
        <f>IF(ISBLANK([2]NLFsmonkeyCompl!L121),"",[2]NLFsmonkeyCompl!L121)</f>
        <v>Open end</v>
      </c>
      <c r="H120" s="6">
        <f>IFERROR(INDEX([2]VehiclesUniverse!$B$2:$EU$700,MATCH(C120,[2]VehiclesUniverse!$A$2:$A$700,0),MATCH($H$1,[2]VehiclesUniverse!$B$1:$EU$1,0)),"")</f>
        <v>2007</v>
      </c>
      <c r="I120" s="6" t="str">
        <f>IF(ISBLANK([2]NLFsmonkeyCompl!M121),"",[2]NLFsmonkeyCompl!M121)</f>
        <v>Yes</v>
      </c>
      <c r="J120" s="6" t="str">
        <f>IF(ISBLANK([2]NLFsmonkeyCompl!N121),"",[2]NLFsmonkeyCompl!N121)</f>
        <v/>
      </c>
      <c r="K120" s="6" t="str">
        <f>IF(ISBLANK([2]NLFsmonkeyCompl!O121),"",[2]NLFsmonkeyCompl!O121)</f>
        <v/>
      </c>
      <c r="L120" s="6" t="str">
        <f>IFERROR(INDEX([2]VehiclesUniverse!$B$2:$EU$700,MATCH(C120,[2]VehiclesUniverse!$A$2:$A$700,0),MATCH($L$1,[2]VehiclesUniverse!$B$1:$EU$1,0)),"")</f>
        <v>NOK</v>
      </c>
      <c r="M120" s="16">
        <f>IFERROR(VLOOKUP(L120,'[2]Xrate31.12.20'!$K$2:$N$25,3,0),"")</f>
        <v>9.5415699000000007E-2</v>
      </c>
      <c r="N120" s="8">
        <f>IFERROR(IF(ISBLANK([2]NLFsmonkeyCompl!P121),"",[2]NLFsmonkeyCompl!P121*$M120),"")</f>
        <v>69.27179747400001</v>
      </c>
      <c r="O120" s="8">
        <f>IFERROR(IF(ISBLANK([2]NLFsmonkeyCompl!Q121),"",[2]NLFsmonkeyCompl!Q121*$M120),"")</f>
        <v>28.910956797000001</v>
      </c>
      <c r="P120" s="8">
        <f>IFERROR(IF(ISBLANK([2]NLFsmonkeyCompl!R121),"",[2]NLFsmonkeyCompl!R121*$M120),"")</f>
        <v>24.426418944000002</v>
      </c>
      <c r="Q120" s="8">
        <f>IFERROR(IF(ISBLANK([2]NLFsmonkeyCompl!S121),"",[2]NLFsmonkeyCompl!S121*$M120),"")</f>
        <v>0</v>
      </c>
      <c r="R120" s="8">
        <f>IFERROR(IF(ISBLANK([2]NLFsmonkeyCompl!T121),"",[2]NLFsmonkeyCompl!T121*$M120),"")</f>
        <v>0</v>
      </c>
      <c r="S120" s="8">
        <f>IFERROR(IF(ISBLANK([2]NLFsmonkeyCompl!U121),"",[2]NLFsmonkeyCompl!U121*$M120),"")</f>
        <v>5.4386948430000004</v>
      </c>
      <c r="T120" s="8">
        <f>IFERROR(IF(ISBLANK([2]NLFsmonkeyCompl!V121),"",[2]NLFsmonkeyCompl!V121*$M120),"")</f>
        <v>0</v>
      </c>
      <c r="U120" s="8">
        <f>IFERROR(IF(ISBLANK([2]NLFsmonkeyCompl!W121),"",[2]NLFsmonkeyCompl!W121*$M120),"")</f>
        <v>9.5415699000000007E-2</v>
      </c>
      <c r="V120" s="8">
        <f>IFERROR(IF(ISBLANK([2]NLFsmonkeyCompl!X121),"",[2]NLFsmonkeyCompl!X121*$M120),"")</f>
        <v>13.549029258000001</v>
      </c>
      <c r="W120" s="8">
        <f>IFERROR(IF(ISBLANK([2]NLFsmonkeyCompl!Y121),"",[2]NLFsmonkeyCompl!Y121*$M120),"")</f>
        <v>69.27179747400001</v>
      </c>
      <c r="X120" s="8">
        <f>IFERROR(IF(ISBLANK([2]NLFsmonkeyCompl!Z121),"",[2]NLFsmonkeyCompl!Z121*$M120),"")</f>
        <v>0</v>
      </c>
      <c r="Y120" s="8">
        <f>IFERROR(IF(ISBLANK([2]NLFsmonkeyCompl!AA121),"",[2]NLFsmonkeyCompl!AA121*$M120),"")</f>
        <v>0</v>
      </c>
      <c r="Z120" s="8">
        <f>IFERROR(IF(ISBLANK([2]NLFsmonkeyCompl!AB121),"",[2]NLFsmonkeyCompl!AB121*$M120),"")</f>
        <v>0</v>
      </c>
      <c r="AA120" s="8">
        <f>IFERROR(IF(ISBLANK([2]NLFsmonkeyCompl!AC121),"",[2]NLFsmonkeyCompl!AC121*$M120),"")</f>
        <v>0</v>
      </c>
      <c r="AB120" s="8">
        <f>IFERROR(IF(ISBLANK([2]NLFsmonkeyCompl!AD121),"",[2]NLFsmonkeyCompl!AD121),"")</f>
        <v>0</v>
      </c>
      <c r="AC120" s="8">
        <f>IFERROR(IF(ISBLANK([2]NLFsmonkeyCompl!AE121),"",[2]NLFsmonkeyCompl!AE121),"")</f>
        <v>0</v>
      </c>
      <c r="AD120" s="8">
        <f>IFERROR(IF(ISBLANK([2]NLFsmonkeyCompl!AF121),"",[2]NLFsmonkeyCompl!AF121),"")</f>
        <v>100</v>
      </c>
      <c r="AE120" s="8">
        <f>IFERROR(IF(ISBLANK([2]NLFsmonkeyCompl!AG121),"",[2]NLFsmonkeyCompl!AG121),"")</f>
        <v>0</v>
      </c>
      <c r="AF120" s="8" t="str">
        <f>IFERROR(IF(ISBLANK([2]NLFsmonkeyCompl!AH121),"",[2]NLFsmonkeyCompl!AH121),"")</f>
        <v/>
      </c>
      <c r="AG120" s="8" t="str">
        <f>IFERROR(IF(ISBLANK([2]NLFsmonkeyCompl!AI121),"",[2]NLFsmonkeyCompl!AI121),"")</f>
        <v/>
      </c>
      <c r="AH120">
        <f>IFERROR(INDEX([2]VehiclesUniverse!$B$2:$EU$700,MATCH($C120,[2]VehiclesUniverse!$A$2:$A$700,0),MATCH($AH$1,[2]VehiclesUniverse!$B$1:$EU$1,0)),"")</f>
        <v>1010914480.641409</v>
      </c>
    </row>
    <row r="121" spans="1:34" x14ac:dyDescent="0.2">
      <c r="A121" s="5" t="str">
        <f>IF(OR(ISTEXT([2]NLFsmonkeyCompl!J122),ISNUMBER([2]NLFsmonkeyCompl!J122)),[2]NLFsmonkeyCompl!J122,"")</f>
        <v>Northern Horizon</v>
      </c>
      <c r="B121" s="6" t="str">
        <f>IF(OR(ISTEXT([2]NLFsmonkeyCompl!K122),ISNUMBER([2]NLFsmonkeyCompl!K122)),[2]NLFsmonkeyCompl!K122,"")</f>
        <v xml:space="preserve">Northern Horizon Aged Care IV </v>
      </c>
      <c r="C121" s="6">
        <v>19702</v>
      </c>
      <c r="D121" s="6" t="s">
        <v>45</v>
      </c>
      <c r="E121" s="6" t="s">
        <v>46</v>
      </c>
      <c r="F121" s="6" t="str">
        <f>IF(IFERROR(INDEX([2]VehiclesUniverse!$B$2:$EU$700,MATCH($C121,[2]VehiclesUniverse!$A$2:$A$700,0),MATCH($F$1,[2]VehiclesUniverse!$B$1:$EU$1,0)),"")&lt;&gt;0,(IFERROR(INDEX([2]VehiclesUniverse!$B$2:$EU$700,MATCH($C121,[2]VehiclesUniverse!$A$2:$A$700,0),MATCH($F$1,[2]VehiclesUniverse!$B$1:$EU$1,0)),"")),"")</f>
        <v/>
      </c>
      <c r="G121" s="6" t="str">
        <f>IF(ISBLANK([2]NLFsmonkeyCompl!L122),"",[2]NLFsmonkeyCompl!L122)</f>
        <v>Closed end</v>
      </c>
      <c r="H121" s="6">
        <v>2020</v>
      </c>
      <c r="I121" s="6" t="str">
        <f>IF(ISBLANK([2]NLFsmonkeyCompl!M122),"",[2]NLFsmonkeyCompl!M122)</f>
        <v>Yes</v>
      </c>
      <c r="J121" s="6" t="str">
        <f>IF(ISBLANK([2]NLFsmonkeyCompl!N122),"",[2]NLFsmonkeyCompl!N122)</f>
        <v/>
      </c>
      <c r="K121" s="6" t="str">
        <f>IF(ISBLANK([2]NLFsmonkeyCompl!O122),"",[2]NLFsmonkeyCompl!O122)</f>
        <v/>
      </c>
      <c r="L121" s="6" t="str">
        <f>IFERROR(INDEX([2]VehiclesUniverse!$B$2:$EU$700,MATCH(C121,[2]VehiclesUniverse!$A$2:$A$700,0),MATCH($L$1,[2]VehiclesUniverse!$B$1:$EU$1,0)),"")</f>
        <v/>
      </c>
      <c r="M121" s="16" t="str">
        <f>IFERROR(VLOOKUP(L121,'[2]Xrate31.12.20'!$K$2:$N$25,3,0),"")</f>
        <v/>
      </c>
      <c r="N121" s="8" t="str">
        <f>IFERROR(IF(ISBLANK([2]NLFsmonkeyCompl!P122),"",[2]NLFsmonkeyCompl!P122*$M121),"")</f>
        <v/>
      </c>
      <c r="O121" s="8" t="str">
        <f>IFERROR(IF(ISBLANK([2]NLFsmonkeyCompl!Q122),"",[2]NLFsmonkeyCompl!Q122*$M121),"")</f>
        <v/>
      </c>
      <c r="P121" s="8" t="str">
        <f>IFERROR(IF(ISBLANK([2]NLFsmonkeyCompl!R122),"",[2]NLFsmonkeyCompl!R122*$M121),"")</f>
        <v/>
      </c>
      <c r="Q121" s="8" t="str">
        <f>IFERROR(IF(ISBLANK([2]NLFsmonkeyCompl!S122),"",[2]NLFsmonkeyCompl!S122*$M121),"")</f>
        <v/>
      </c>
      <c r="R121" s="8" t="str">
        <f>IFERROR(IF(ISBLANK([2]NLFsmonkeyCompl!T122),"",[2]NLFsmonkeyCompl!T122*$M121),"")</f>
        <v/>
      </c>
      <c r="S121" s="8" t="str">
        <f>IFERROR(IF(ISBLANK([2]NLFsmonkeyCompl!U122),"",[2]NLFsmonkeyCompl!U122*$M121),"")</f>
        <v/>
      </c>
      <c r="T121" s="8" t="str">
        <f>IFERROR(IF(ISBLANK([2]NLFsmonkeyCompl!V122),"",[2]NLFsmonkeyCompl!V122*$M121),"")</f>
        <v/>
      </c>
      <c r="U121" s="8" t="str">
        <f>IFERROR(IF(ISBLANK([2]NLFsmonkeyCompl!W122),"",[2]NLFsmonkeyCompl!W122*$M121),"")</f>
        <v/>
      </c>
      <c r="V121" s="8" t="str">
        <f>IFERROR(IF(ISBLANK([2]NLFsmonkeyCompl!X122),"",[2]NLFsmonkeyCompl!X122*$M121),"")</f>
        <v/>
      </c>
      <c r="W121" s="8" t="str">
        <f>IFERROR(IF(ISBLANK([2]NLFsmonkeyCompl!Y122),"",[2]NLFsmonkeyCompl!Y122*$M121),"")</f>
        <v/>
      </c>
      <c r="X121" s="8" t="str">
        <f>IFERROR(IF(ISBLANK([2]NLFsmonkeyCompl!Z122),"",[2]NLFsmonkeyCompl!Z122*$M121),"")</f>
        <v/>
      </c>
      <c r="Y121" s="8" t="str">
        <f>IFERROR(IF(ISBLANK([2]NLFsmonkeyCompl!AA122),"",[2]NLFsmonkeyCompl!AA122*$M121),"")</f>
        <v/>
      </c>
      <c r="Z121" s="8" t="str">
        <f>IFERROR(IF(ISBLANK([2]NLFsmonkeyCompl!AB122),"",[2]NLFsmonkeyCompl!AB122*$M121),"")</f>
        <v/>
      </c>
      <c r="AA121" s="8" t="str">
        <f>IFERROR(IF(ISBLANK([2]NLFsmonkeyCompl!AC122),"",[2]NLFsmonkeyCompl!AC122*$M121),"")</f>
        <v/>
      </c>
      <c r="AB121" s="8">
        <f>IFERROR(IF(ISBLANK([2]NLFsmonkeyCompl!AD122),"",[2]NLFsmonkeyCompl!AD122),"")</f>
        <v>4</v>
      </c>
      <c r="AC121" s="8">
        <f>IFERROR(IF(ISBLANK([2]NLFsmonkeyCompl!AE122),"",[2]NLFsmonkeyCompl!AE122),"")</f>
        <v>96</v>
      </c>
      <c r="AD121" s="8" t="str">
        <f>IFERROR(IF(ISBLANK([2]NLFsmonkeyCompl!AF122),"",[2]NLFsmonkeyCompl!AF122),"")</f>
        <v/>
      </c>
      <c r="AE121" s="8" t="str">
        <f>IFERROR(IF(ISBLANK([2]NLFsmonkeyCompl!AG122),"",[2]NLFsmonkeyCompl!AG122),"")</f>
        <v/>
      </c>
      <c r="AF121" s="8" t="str">
        <f>IFERROR(IF(ISBLANK([2]NLFsmonkeyCompl!AH122),"",[2]NLFsmonkeyCompl!AH122),"")</f>
        <v>Increase</v>
      </c>
      <c r="AG121" s="8" t="str">
        <f>IFERROR(IF(ISBLANK([2]NLFsmonkeyCompl!AI122),"",[2]NLFsmonkeyCompl!AI122),"")</f>
        <v>No</v>
      </c>
      <c r="AH121" t="str">
        <f>IFERROR(INDEX([2]VehiclesUniverse!$B$2:$EU$700,MATCH($C121,[2]VehiclesUniverse!$A$2:$A$700,0),MATCH($AH$1,[2]VehiclesUniverse!$B$1:$EU$1,0)),"")</f>
        <v/>
      </c>
    </row>
  </sheetData>
  <autoFilter ref="A1:AH121" xr:uid="{394EC629-FCAF-49B2-8153-CF08AFDBDDB2}"/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CF84-BA88-4998-B54D-389E5B459AD4}">
  <sheetPr>
    <tabColor rgb="FFC6A1CF"/>
  </sheetPr>
  <dimension ref="A1:AI122"/>
  <sheetViews>
    <sheetView topLeftCell="A16" workbookViewId="0">
      <selection activeCell="A122" sqref="A122:XFD122"/>
    </sheetView>
  </sheetViews>
  <sheetFormatPr defaultRowHeight="12.75" x14ac:dyDescent="0.2"/>
  <cols>
    <col min="10" max="10" width="42.85546875" bestFit="1" customWidth="1"/>
    <col min="14" max="14" width="29" bestFit="1" customWidth="1"/>
  </cols>
  <sheetData>
    <row r="1" spans="1:35" ht="14.25" x14ac:dyDescent="0.2">
      <c r="A1" s="25" t="s">
        <v>67</v>
      </c>
      <c r="B1" s="25" t="s">
        <v>70</v>
      </c>
      <c r="C1" s="25" t="s">
        <v>72</v>
      </c>
      <c r="D1" s="25" t="s">
        <v>74</v>
      </c>
      <c r="E1" s="25" t="s">
        <v>76</v>
      </c>
      <c r="F1" s="25" t="s">
        <v>78</v>
      </c>
      <c r="G1" s="25" t="s">
        <v>80</v>
      </c>
      <c r="H1" s="25" t="s">
        <v>82</v>
      </c>
      <c r="I1" s="25" t="s">
        <v>84</v>
      </c>
      <c r="J1" s="25" t="s">
        <v>32</v>
      </c>
      <c r="K1" s="25" t="s">
        <v>153</v>
      </c>
      <c r="L1" s="25" t="s">
        <v>245</v>
      </c>
      <c r="M1" s="25" t="s">
        <v>154</v>
      </c>
      <c r="N1" s="25" t="s">
        <v>147</v>
      </c>
      <c r="O1" s="25"/>
      <c r="P1" s="25" t="s">
        <v>156</v>
      </c>
      <c r="Q1" s="25" t="s">
        <v>246</v>
      </c>
      <c r="R1" s="25"/>
      <c r="S1" s="25"/>
      <c r="T1" s="25"/>
      <c r="U1" s="25"/>
      <c r="V1" s="25"/>
      <c r="W1" s="25"/>
      <c r="X1" s="25"/>
      <c r="Y1" s="25" t="s">
        <v>247</v>
      </c>
      <c r="Z1" s="25"/>
      <c r="AA1" s="25"/>
      <c r="AB1" s="25"/>
      <c r="AC1" s="25"/>
      <c r="AD1" s="25" t="s">
        <v>128</v>
      </c>
      <c r="AE1" s="25"/>
      <c r="AF1" s="25"/>
      <c r="AG1" s="25"/>
      <c r="AH1" s="25" t="s">
        <v>139</v>
      </c>
      <c r="AI1" s="25" t="s">
        <v>141</v>
      </c>
    </row>
    <row r="2" spans="1:35" ht="14.25" x14ac:dyDescent="0.2">
      <c r="A2" s="25"/>
      <c r="B2" s="25"/>
      <c r="C2" s="25"/>
      <c r="D2" s="25"/>
      <c r="E2" s="25"/>
      <c r="F2" s="25"/>
      <c r="G2" s="25"/>
      <c r="H2" s="25"/>
      <c r="I2" s="25"/>
      <c r="J2" s="25" t="s">
        <v>86</v>
      </c>
      <c r="K2" s="25" t="s">
        <v>86</v>
      </c>
      <c r="L2" s="25" t="s">
        <v>97</v>
      </c>
      <c r="M2" s="25" t="s">
        <v>97</v>
      </c>
      <c r="N2" s="25" t="s">
        <v>97</v>
      </c>
      <c r="O2" s="25" t="s">
        <v>9</v>
      </c>
      <c r="P2" s="25" t="s">
        <v>86</v>
      </c>
      <c r="Q2" s="25" t="s">
        <v>104</v>
      </c>
      <c r="R2" s="25" t="s">
        <v>106</v>
      </c>
      <c r="S2" s="25" t="s">
        <v>148</v>
      </c>
      <c r="T2" s="25" t="s">
        <v>110</v>
      </c>
      <c r="U2" s="25" t="s">
        <v>112</v>
      </c>
      <c r="V2" s="25" t="s">
        <v>114</v>
      </c>
      <c r="W2" s="25" t="s">
        <v>149</v>
      </c>
      <c r="X2" s="25" t="s">
        <v>20</v>
      </c>
      <c r="Y2" s="25" t="s">
        <v>21</v>
      </c>
      <c r="Z2" s="25" t="s">
        <v>121</v>
      </c>
      <c r="AA2" s="25" t="s">
        <v>123</v>
      </c>
      <c r="AB2" s="25" t="s">
        <v>125</v>
      </c>
      <c r="AC2" s="25" t="s">
        <v>25</v>
      </c>
      <c r="AD2" s="25" t="s">
        <v>130</v>
      </c>
      <c r="AE2" s="25" t="s">
        <v>133</v>
      </c>
      <c r="AF2" s="25" t="s">
        <v>135</v>
      </c>
      <c r="AG2" s="25" t="s">
        <v>137</v>
      </c>
      <c r="AH2" s="25" t="s">
        <v>97</v>
      </c>
      <c r="AI2" s="25" t="s">
        <v>97</v>
      </c>
    </row>
    <row r="3" spans="1:35" x14ac:dyDescent="0.2">
      <c r="A3">
        <v>12446803914</v>
      </c>
      <c r="B3">
        <v>396431383</v>
      </c>
      <c r="C3" s="28">
        <v>44253.952233796299</v>
      </c>
      <c r="D3" s="28">
        <v>44253.953043981484</v>
      </c>
      <c r="E3" t="s">
        <v>159</v>
      </c>
      <c r="J3" t="s">
        <v>160</v>
      </c>
      <c r="K3" t="s">
        <v>248</v>
      </c>
      <c r="L3" t="s">
        <v>249</v>
      </c>
      <c r="M3" t="s">
        <v>152</v>
      </c>
      <c r="P3">
        <v>63</v>
      </c>
      <c r="Q3">
        <v>11</v>
      </c>
      <c r="R3">
        <v>52</v>
      </c>
      <c r="Y3">
        <v>63</v>
      </c>
      <c r="AD3">
        <v>72</v>
      </c>
      <c r="AF3">
        <v>28</v>
      </c>
      <c r="AH3" t="s">
        <v>151</v>
      </c>
      <c r="AI3" t="s">
        <v>152</v>
      </c>
    </row>
    <row r="4" spans="1:35" x14ac:dyDescent="0.2">
      <c r="A4">
        <v>12446799231</v>
      </c>
      <c r="B4">
        <v>396431383</v>
      </c>
      <c r="C4" s="28">
        <v>44253.951041666667</v>
      </c>
      <c r="D4" s="28">
        <v>44253.95208333333</v>
      </c>
      <c r="E4" t="s">
        <v>159</v>
      </c>
      <c r="J4" t="s">
        <v>160</v>
      </c>
      <c r="K4" t="s">
        <v>250</v>
      </c>
      <c r="L4" t="s">
        <v>249</v>
      </c>
      <c r="M4" t="s">
        <v>152</v>
      </c>
      <c r="P4">
        <v>133</v>
      </c>
      <c r="Q4">
        <v>28</v>
      </c>
      <c r="R4">
        <v>98</v>
      </c>
      <c r="W4">
        <v>6</v>
      </c>
      <c r="X4">
        <v>1</v>
      </c>
      <c r="Y4">
        <v>49</v>
      </c>
      <c r="AA4">
        <v>78</v>
      </c>
      <c r="AB4">
        <v>6</v>
      </c>
      <c r="AD4">
        <v>16</v>
      </c>
      <c r="AF4">
        <v>84</v>
      </c>
      <c r="AH4" t="s">
        <v>151</v>
      </c>
      <c r="AI4" t="s">
        <v>152</v>
      </c>
    </row>
    <row r="5" spans="1:35" x14ac:dyDescent="0.2">
      <c r="A5">
        <v>12446796582</v>
      </c>
      <c r="B5">
        <v>396431383</v>
      </c>
      <c r="C5" s="28">
        <v>44253.950300925928</v>
      </c>
      <c r="D5" s="28">
        <v>44253.950775462959</v>
      </c>
      <c r="E5" t="s">
        <v>159</v>
      </c>
      <c r="J5" t="s">
        <v>160</v>
      </c>
      <c r="K5" t="s">
        <v>251</v>
      </c>
      <c r="L5" t="s">
        <v>249</v>
      </c>
      <c r="M5" t="s">
        <v>152</v>
      </c>
      <c r="P5">
        <v>185</v>
      </c>
      <c r="Q5">
        <v>185</v>
      </c>
      <c r="Y5">
        <v>185</v>
      </c>
      <c r="AF5">
        <v>100</v>
      </c>
      <c r="AH5" t="s">
        <v>151</v>
      </c>
      <c r="AI5" t="s">
        <v>152</v>
      </c>
    </row>
    <row r="6" spans="1:35" x14ac:dyDescent="0.2">
      <c r="A6">
        <v>12446790894</v>
      </c>
      <c r="B6">
        <v>396431383</v>
      </c>
      <c r="C6" s="28">
        <v>44253.948657407411</v>
      </c>
      <c r="D6" s="28">
        <v>44253.949953703705</v>
      </c>
      <c r="E6" t="s">
        <v>159</v>
      </c>
      <c r="J6" t="s">
        <v>160</v>
      </c>
      <c r="K6" t="s">
        <v>252</v>
      </c>
      <c r="L6" t="s">
        <v>249</v>
      </c>
      <c r="M6" t="s">
        <v>152</v>
      </c>
      <c r="P6">
        <v>319</v>
      </c>
      <c r="Q6">
        <v>274</v>
      </c>
      <c r="R6">
        <v>11</v>
      </c>
      <c r="X6">
        <v>34</v>
      </c>
      <c r="Y6">
        <v>319</v>
      </c>
      <c r="AF6">
        <v>100</v>
      </c>
      <c r="AH6" t="s">
        <v>151</v>
      </c>
      <c r="AI6" t="s">
        <v>152</v>
      </c>
    </row>
    <row r="7" spans="1:35" x14ac:dyDescent="0.2">
      <c r="A7">
        <v>12441747726</v>
      </c>
      <c r="B7">
        <v>396431383</v>
      </c>
      <c r="C7" s="28">
        <v>44252.56559027778</v>
      </c>
      <c r="D7" s="28">
        <v>44252.566342592596</v>
      </c>
      <c r="E7" t="s">
        <v>223</v>
      </c>
      <c r="J7" t="s">
        <v>253</v>
      </c>
      <c r="K7" t="s">
        <v>254</v>
      </c>
      <c r="L7" t="s">
        <v>255</v>
      </c>
      <c r="M7" t="s">
        <v>152</v>
      </c>
      <c r="P7">
        <v>530</v>
      </c>
      <c r="Q7">
        <v>368</v>
      </c>
      <c r="S7">
        <v>150</v>
      </c>
      <c r="X7">
        <v>13</v>
      </c>
      <c r="Y7">
        <v>150</v>
      </c>
      <c r="AA7">
        <v>380</v>
      </c>
      <c r="AF7">
        <v>100</v>
      </c>
      <c r="AH7" t="s">
        <v>151</v>
      </c>
      <c r="AI7" t="s">
        <v>152</v>
      </c>
    </row>
    <row r="8" spans="1:35" x14ac:dyDescent="0.2">
      <c r="A8">
        <v>12441742020</v>
      </c>
      <c r="B8">
        <v>396431383</v>
      </c>
      <c r="C8" s="28">
        <v>44252.562118055554</v>
      </c>
      <c r="D8" s="28">
        <v>44252.565023148149</v>
      </c>
      <c r="E8" t="s">
        <v>223</v>
      </c>
      <c r="J8" t="s">
        <v>253</v>
      </c>
      <c r="K8" t="s">
        <v>256</v>
      </c>
      <c r="L8" t="s">
        <v>249</v>
      </c>
      <c r="M8" t="s">
        <v>152</v>
      </c>
      <c r="P8">
        <v>838</v>
      </c>
      <c r="Q8">
        <v>365</v>
      </c>
      <c r="R8">
        <v>298</v>
      </c>
      <c r="S8">
        <v>70</v>
      </c>
      <c r="U8">
        <v>2</v>
      </c>
      <c r="V8">
        <v>77</v>
      </c>
      <c r="X8">
        <v>26</v>
      </c>
      <c r="Y8">
        <v>532</v>
      </c>
      <c r="Z8">
        <v>90</v>
      </c>
      <c r="AA8">
        <v>216</v>
      </c>
      <c r="AF8">
        <v>100</v>
      </c>
      <c r="AH8" t="s">
        <v>151</v>
      </c>
      <c r="AI8" t="s">
        <v>152</v>
      </c>
    </row>
    <row r="9" spans="1:35" x14ac:dyDescent="0.2">
      <c r="A9">
        <v>12441730305</v>
      </c>
      <c r="B9">
        <v>396431383</v>
      </c>
      <c r="C9" s="28">
        <v>44252.560555555552</v>
      </c>
      <c r="D9" s="28">
        <v>44252.561493055553</v>
      </c>
      <c r="E9" t="s">
        <v>223</v>
      </c>
      <c r="J9" t="s">
        <v>253</v>
      </c>
      <c r="K9" t="s">
        <v>257</v>
      </c>
      <c r="L9" t="s">
        <v>255</v>
      </c>
      <c r="M9" t="s">
        <v>152</v>
      </c>
      <c r="P9">
        <v>136</v>
      </c>
      <c r="Q9">
        <v>30</v>
      </c>
      <c r="R9">
        <v>81</v>
      </c>
      <c r="X9">
        <v>25</v>
      </c>
      <c r="Y9">
        <v>106</v>
      </c>
      <c r="AC9">
        <v>30</v>
      </c>
      <c r="AF9">
        <v>100</v>
      </c>
      <c r="AH9" t="s">
        <v>151</v>
      </c>
      <c r="AI9" t="s">
        <v>152</v>
      </c>
    </row>
    <row r="10" spans="1:35" x14ac:dyDescent="0.2">
      <c r="A10">
        <v>12441726369</v>
      </c>
      <c r="B10">
        <v>396431383</v>
      </c>
      <c r="C10" s="28">
        <v>44252.559386574074</v>
      </c>
      <c r="D10" s="28">
        <v>44252.560023148151</v>
      </c>
      <c r="E10" t="s">
        <v>223</v>
      </c>
      <c r="J10" t="s">
        <v>253</v>
      </c>
      <c r="K10" t="s">
        <v>258</v>
      </c>
      <c r="L10" t="s">
        <v>249</v>
      </c>
      <c r="M10" t="s">
        <v>152</v>
      </c>
      <c r="P10">
        <v>602</v>
      </c>
      <c r="Q10">
        <v>602</v>
      </c>
      <c r="Y10">
        <v>602</v>
      </c>
      <c r="AF10">
        <v>100</v>
      </c>
      <c r="AH10" t="s">
        <v>151</v>
      </c>
      <c r="AI10" t="s">
        <v>152</v>
      </c>
    </row>
    <row r="11" spans="1:35" x14ac:dyDescent="0.2">
      <c r="A11">
        <v>12441723618</v>
      </c>
      <c r="B11">
        <v>396431383</v>
      </c>
      <c r="C11" s="28">
        <v>44252.558472222219</v>
      </c>
      <c r="D11" s="28">
        <v>44252.559305555558</v>
      </c>
      <c r="E11" t="s">
        <v>223</v>
      </c>
      <c r="J11" t="s">
        <v>253</v>
      </c>
      <c r="K11" t="s">
        <v>259</v>
      </c>
      <c r="L11" t="s">
        <v>255</v>
      </c>
      <c r="M11" t="s">
        <v>152</v>
      </c>
      <c r="P11">
        <v>4</v>
      </c>
      <c r="Q11">
        <v>2</v>
      </c>
      <c r="R11">
        <v>2</v>
      </c>
      <c r="Z11">
        <v>3</v>
      </c>
      <c r="AA11">
        <v>1</v>
      </c>
      <c r="AF11">
        <v>100</v>
      </c>
      <c r="AH11" t="s">
        <v>151</v>
      </c>
      <c r="AI11" t="s">
        <v>152</v>
      </c>
    </row>
    <row r="12" spans="1:35" x14ac:dyDescent="0.2">
      <c r="A12">
        <v>12441720272</v>
      </c>
      <c r="B12">
        <v>396431383</v>
      </c>
      <c r="C12" s="28">
        <v>44252.557581018518</v>
      </c>
      <c r="D12" s="28">
        <v>44252.558217592596</v>
      </c>
      <c r="E12" t="s">
        <v>223</v>
      </c>
      <c r="J12" t="s">
        <v>253</v>
      </c>
      <c r="K12" t="s">
        <v>260</v>
      </c>
      <c r="L12" t="s">
        <v>249</v>
      </c>
      <c r="M12" t="s">
        <v>152</v>
      </c>
      <c r="P12">
        <v>122</v>
      </c>
      <c r="Q12">
        <v>32</v>
      </c>
      <c r="R12">
        <v>90</v>
      </c>
      <c r="Y12">
        <v>122</v>
      </c>
      <c r="AF12">
        <v>100</v>
      </c>
      <c r="AH12" t="s">
        <v>151</v>
      </c>
      <c r="AI12" t="s">
        <v>152</v>
      </c>
    </row>
    <row r="13" spans="1:35" x14ac:dyDescent="0.2">
      <c r="A13">
        <v>12441716348</v>
      </c>
      <c r="B13">
        <v>396431383</v>
      </c>
      <c r="C13" s="28">
        <v>44252.556481481479</v>
      </c>
      <c r="D13" s="28">
        <v>44252.557442129626</v>
      </c>
      <c r="E13" t="s">
        <v>223</v>
      </c>
      <c r="J13" t="s">
        <v>253</v>
      </c>
      <c r="K13" t="s">
        <v>261</v>
      </c>
      <c r="L13" t="s">
        <v>249</v>
      </c>
      <c r="M13" t="s">
        <v>152</v>
      </c>
      <c r="P13">
        <v>417</v>
      </c>
      <c r="Q13">
        <v>404</v>
      </c>
      <c r="R13">
        <v>13</v>
      </c>
      <c r="Y13">
        <v>384</v>
      </c>
      <c r="Z13">
        <v>33</v>
      </c>
      <c r="AF13">
        <v>100</v>
      </c>
      <c r="AH13" t="s">
        <v>151</v>
      </c>
      <c r="AI13" t="s">
        <v>152</v>
      </c>
    </row>
    <row r="14" spans="1:35" x14ac:dyDescent="0.2">
      <c r="A14">
        <v>12441713674</v>
      </c>
      <c r="B14">
        <v>396431383</v>
      </c>
      <c r="C14" s="28">
        <v>44252.555555555555</v>
      </c>
      <c r="D14" s="28">
        <v>44252.556331018517</v>
      </c>
      <c r="E14" t="s">
        <v>223</v>
      </c>
      <c r="J14" t="s">
        <v>253</v>
      </c>
      <c r="K14" t="s">
        <v>262</v>
      </c>
      <c r="L14" t="s">
        <v>249</v>
      </c>
      <c r="M14" t="s">
        <v>152</v>
      </c>
      <c r="P14">
        <v>82</v>
      </c>
      <c r="Q14">
        <v>82</v>
      </c>
      <c r="Y14">
        <v>82</v>
      </c>
      <c r="AF14">
        <v>100</v>
      </c>
      <c r="AH14" t="s">
        <v>151</v>
      </c>
      <c r="AI14" t="s">
        <v>152</v>
      </c>
    </row>
    <row r="15" spans="1:35" x14ac:dyDescent="0.2">
      <c r="A15">
        <v>12441708366</v>
      </c>
      <c r="B15">
        <v>396431383</v>
      </c>
      <c r="C15" s="28">
        <v>44252.552800925929</v>
      </c>
      <c r="D15" s="28">
        <v>44252.555277777778</v>
      </c>
      <c r="E15" t="s">
        <v>223</v>
      </c>
      <c r="J15" t="s">
        <v>253</v>
      </c>
      <c r="K15" t="s">
        <v>263</v>
      </c>
      <c r="L15" t="s">
        <v>249</v>
      </c>
      <c r="M15" t="s">
        <v>152</v>
      </c>
      <c r="P15">
        <v>78</v>
      </c>
      <c r="Q15">
        <v>60</v>
      </c>
      <c r="X15">
        <v>18</v>
      </c>
      <c r="Y15">
        <v>5</v>
      </c>
      <c r="Z15">
        <v>7</v>
      </c>
      <c r="AA15">
        <v>66</v>
      </c>
      <c r="AF15">
        <v>100</v>
      </c>
      <c r="AH15" t="s">
        <v>151</v>
      </c>
      <c r="AI15" t="s">
        <v>152</v>
      </c>
    </row>
    <row r="16" spans="1:35" x14ac:dyDescent="0.2">
      <c r="A16">
        <v>12430920755</v>
      </c>
      <c r="B16">
        <v>396431383</v>
      </c>
      <c r="C16" s="28">
        <v>44249.536111111112</v>
      </c>
      <c r="D16" s="28">
        <v>44249.53738425926</v>
      </c>
      <c r="E16" t="s">
        <v>264</v>
      </c>
      <c r="J16" t="s">
        <v>265</v>
      </c>
      <c r="K16" t="s">
        <v>266</v>
      </c>
      <c r="L16" t="s">
        <v>249</v>
      </c>
      <c r="M16" t="s">
        <v>152</v>
      </c>
      <c r="P16">
        <v>250</v>
      </c>
      <c r="R16">
        <v>250</v>
      </c>
      <c r="Y16">
        <v>250</v>
      </c>
      <c r="AF16">
        <v>100</v>
      </c>
      <c r="AH16" t="s">
        <v>151</v>
      </c>
      <c r="AI16" t="s">
        <v>170</v>
      </c>
    </row>
    <row r="17" spans="1:35" x14ac:dyDescent="0.2">
      <c r="A17">
        <v>12430499005</v>
      </c>
      <c r="B17">
        <v>396431383</v>
      </c>
      <c r="C17" s="28">
        <v>44249.418912037036</v>
      </c>
      <c r="D17" s="28">
        <v>44249.430335648147</v>
      </c>
      <c r="E17" t="s">
        <v>267</v>
      </c>
      <c r="J17" t="s">
        <v>268</v>
      </c>
      <c r="K17" t="s">
        <v>269</v>
      </c>
      <c r="L17" t="s">
        <v>255</v>
      </c>
      <c r="M17" t="s">
        <v>152</v>
      </c>
      <c r="P17">
        <v>132</v>
      </c>
      <c r="Q17">
        <v>125</v>
      </c>
      <c r="U17">
        <v>5</v>
      </c>
      <c r="X17">
        <v>2</v>
      </c>
      <c r="Y17">
        <v>132</v>
      </c>
      <c r="AF17">
        <v>100</v>
      </c>
      <c r="AH17" t="s">
        <v>169</v>
      </c>
      <c r="AI17" t="s">
        <v>152</v>
      </c>
    </row>
    <row r="18" spans="1:35" x14ac:dyDescent="0.2">
      <c r="A18">
        <v>12430434717</v>
      </c>
      <c r="B18">
        <v>396431383</v>
      </c>
      <c r="C18" s="28">
        <v>44249.400868055556</v>
      </c>
      <c r="D18" s="28">
        <v>44249.402048611111</v>
      </c>
      <c r="E18" t="s">
        <v>270</v>
      </c>
      <c r="J18" t="s">
        <v>271</v>
      </c>
      <c r="K18" t="s">
        <v>272</v>
      </c>
      <c r="L18" t="s">
        <v>255</v>
      </c>
      <c r="M18" t="s">
        <v>152</v>
      </c>
      <c r="P18">
        <v>97</v>
      </c>
      <c r="Q18">
        <v>97</v>
      </c>
      <c r="Y18">
        <v>97</v>
      </c>
      <c r="AF18">
        <v>100</v>
      </c>
      <c r="AH18" t="s">
        <v>151</v>
      </c>
      <c r="AI18" t="s">
        <v>152</v>
      </c>
    </row>
    <row r="19" spans="1:35" x14ac:dyDescent="0.2">
      <c r="A19">
        <v>12429357130</v>
      </c>
      <c r="B19">
        <v>396431383</v>
      </c>
      <c r="C19" s="28">
        <v>44248.833668981482</v>
      </c>
      <c r="D19" s="28">
        <v>44248.834583333337</v>
      </c>
      <c r="E19" t="s">
        <v>273</v>
      </c>
      <c r="J19" t="s">
        <v>274</v>
      </c>
      <c r="K19" t="s">
        <v>275</v>
      </c>
      <c r="L19" t="s">
        <v>255</v>
      </c>
      <c r="M19" t="s">
        <v>170</v>
      </c>
      <c r="N19" t="s">
        <v>9</v>
      </c>
      <c r="O19" t="s">
        <v>276</v>
      </c>
      <c r="AH19" t="s">
        <v>188</v>
      </c>
      <c r="AI19" t="s">
        <v>152</v>
      </c>
    </row>
    <row r="20" spans="1:35" x14ac:dyDescent="0.2">
      <c r="A20">
        <v>12429355841</v>
      </c>
      <c r="B20">
        <v>396431383</v>
      </c>
      <c r="C20" s="28">
        <v>44248.830300925925</v>
      </c>
      <c r="D20" s="28">
        <v>44248.834282407406</v>
      </c>
      <c r="E20" t="s">
        <v>273</v>
      </c>
      <c r="J20" t="s">
        <v>274</v>
      </c>
      <c r="K20" t="s">
        <v>277</v>
      </c>
      <c r="L20" t="s">
        <v>255</v>
      </c>
      <c r="M20" t="s">
        <v>170</v>
      </c>
      <c r="N20" t="s">
        <v>9</v>
      </c>
      <c r="O20" t="s">
        <v>278</v>
      </c>
      <c r="AH20" t="s">
        <v>151</v>
      </c>
      <c r="AI20" t="s">
        <v>152</v>
      </c>
    </row>
    <row r="21" spans="1:35" x14ac:dyDescent="0.2">
      <c r="A21">
        <v>12429353192</v>
      </c>
      <c r="B21">
        <v>396431383</v>
      </c>
      <c r="C21" s="28">
        <v>44248.830289351848</v>
      </c>
      <c r="D21" s="28">
        <v>44248.833587962959</v>
      </c>
      <c r="E21" t="s">
        <v>273</v>
      </c>
      <c r="J21" t="s">
        <v>274</v>
      </c>
      <c r="K21" t="s">
        <v>279</v>
      </c>
      <c r="L21" t="s">
        <v>249</v>
      </c>
      <c r="M21" t="s">
        <v>152</v>
      </c>
      <c r="P21">
        <v>47</v>
      </c>
      <c r="Q21">
        <v>45</v>
      </c>
      <c r="R21">
        <v>2</v>
      </c>
      <c r="Y21">
        <v>47</v>
      </c>
      <c r="AF21">
        <v>100</v>
      </c>
      <c r="AH21" t="s">
        <v>151</v>
      </c>
      <c r="AI21" t="s">
        <v>152</v>
      </c>
    </row>
    <row r="22" spans="1:35" x14ac:dyDescent="0.2">
      <c r="A22">
        <v>12429351135</v>
      </c>
      <c r="B22">
        <v>396431383</v>
      </c>
      <c r="C22" s="28">
        <v>44248.830266203702</v>
      </c>
      <c r="D22" s="28">
        <v>44248.832476851851</v>
      </c>
      <c r="E22" t="s">
        <v>273</v>
      </c>
      <c r="J22" t="s">
        <v>274</v>
      </c>
      <c r="K22" t="s">
        <v>280</v>
      </c>
      <c r="L22" t="s">
        <v>249</v>
      </c>
      <c r="M22" t="s">
        <v>152</v>
      </c>
      <c r="P22">
        <v>78</v>
      </c>
      <c r="Q22">
        <v>78</v>
      </c>
      <c r="Y22">
        <v>78</v>
      </c>
      <c r="AF22">
        <v>100</v>
      </c>
      <c r="AH22" t="s">
        <v>188</v>
      </c>
      <c r="AI22" t="s">
        <v>152</v>
      </c>
    </row>
    <row r="23" spans="1:35" x14ac:dyDescent="0.2">
      <c r="A23">
        <v>12429348092</v>
      </c>
      <c r="B23">
        <v>396431383</v>
      </c>
      <c r="C23" s="28">
        <v>44248.827581018515</v>
      </c>
      <c r="D23" s="28">
        <v>44248.830983796295</v>
      </c>
      <c r="E23" t="s">
        <v>273</v>
      </c>
      <c r="J23" t="s">
        <v>274</v>
      </c>
      <c r="K23" t="s">
        <v>281</v>
      </c>
      <c r="L23" t="s">
        <v>249</v>
      </c>
      <c r="M23" t="s">
        <v>152</v>
      </c>
      <c r="P23">
        <v>100</v>
      </c>
      <c r="Q23">
        <v>100</v>
      </c>
      <c r="Y23">
        <v>100</v>
      </c>
      <c r="AF23">
        <v>100</v>
      </c>
      <c r="AH23" t="s">
        <v>151</v>
      </c>
      <c r="AI23" t="s">
        <v>152</v>
      </c>
    </row>
    <row r="24" spans="1:35" x14ac:dyDescent="0.2">
      <c r="A24">
        <v>12429342997</v>
      </c>
      <c r="B24">
        <v>396431383</v>
      </c>
      <c r="C24" s="28">
        <v>44248.827557870369</v>
      </c>
      <c r="D24" s="28">
        <v>44248.828472222223</v>
      </c>
      <c r="E24" t="s">
        <v>273</v>
      </c>
      <c r="J24" t="s">
        <v>274</v>
      </c>
      <c r="K24" t="s">
        <v>21</v>
      </c>
      <c r="L24" t="s">
        <v>249</v>
      </c>
      <c r="M24" t="s">
        <v>152</v>
      </c>
      <c r="P24">
        <v>120</v>
      </c>
      <c r="Q24">
        <v>120</v>
      </c>
      <c r="Y24">
        <v>120</v>
      </c>
      <c r="AF24">
        <v>100</v>
      </c>
      <c r="AH24" t="s">
        <v>151</v>
      </c>
      <c r="AI24" t="s">
        <v>152</v>
      </c>
    </row>
    <row r="25" spans="1:35" x14ac:dyDescent="0.2">
      <c r="A25">
        <v>12429341987</v>
      </c>
      <c r="B25">
        <v>396431383</v>
      </c>
      <c r="C25" s="28">
        <v>44248.827534722222</v>
      </c>
      <c r="D25" s="28">
        <v>44248.828009259261</v>
      </c>
      <c r="E25" t="s">
        <v>273</v>
      </c>
      <c r="J25" t="s">
        <v>274</v>
      </c>
      <c r="K25" t="s">
        <v>22</v>
      </c>
      <c r="L25" t="s">
        <v>249</v>
      </c>
      <c r="M25" t="s">
        <v>152</v>
      </c>
      <c r="P25">
        <v>257</v>
      </c>
      <c r="Q25">
        <v>257</v>
      </c>
      <c r="Y25">
        <v>257</v>
      </c>
      <c r="AF25">
        <v>100</v>
      </c>
      <c r="AH25" t="s">
        <v>151</v>
      </c>
      <c r="AI25" t="s">
        <v>152</v>
      </c>
    </row>
    <row r="26" spans="1:35" x14ac:dyDescent="0.2">
      <c r="A26">
        <v>12429336902</v>
      </c>
      <c r="B26">
        <v>396431383</v>
      </c>
      <c r="C26" s="28">
        <v>44248.821342592593</v>
      </c>
      <c r="D26" s="28">
        <v>44248.827326388891</v>
      </c>
      <c r="E26" t="s">
        <v>273</v>
      </c>
      <c r="J26" t="s">
        <v>274</v>
      </c>
      <c r="K26" t="s">
        <v>123</v>
      </c>
      <c r="L26" t="s">
        <v>249</v>
      </c>
      <c r="M26" t="s">
        <v>152</v>
      </c>
      <c r="P26">
        <v>268</v>
      </c>
      <c r="Q26">
        <v>268</v>
      </c>
      <c r="Y26">
        <v>268</v>
      </c>
      <c r="AF26">
        <v>100</v>
      </c>
      <c r="AH26" t="s">
        <v>151</v>
      </c>
      <c r="AI26" t="s">
        <v>152</v>
      </c>
    </row>
    <row r="27" spans="1:35" x14ac:dyDescent="0.2">
      <c r="A27">
        <v>12424253586</v>
      </c>
      <c r="B27">
        <v>396431383</v>
      </c>
      <c r="C27" s="28">
        <v>44246.681631944448</v>
      </c>
      <c r="D27" s="28">
        <v>44246.682627314818</v>
      </c>
      <c r="E27" t="s">
        <v>282</v>
      </c>
      <c r="J27" t="s">
        <v>283</v>
      </c>
      <c r="K27" t="s">
        <v>284</v>
      </c>
      <c r="L27" t="s">
        <v>255</v>
      </c>
      <c r="M27" t="s">
        <v>170</v>
      </c>
      <c r="N27" t="s">
        <v>9</v>
      </c>
      <c r="O27" t="s">
        <v>285</v>
      </c>
      <c r="AH27" t="s">
        <v>151</v>
      </c>
      <c r="AI27" t="s">
        <v>170</v>
      </c>
    </row>
    <row r="28" spans="1:35" x14ac:dyDescent="0.2">
      <c r="A28">
        <v>12423371755</v>
      </c>
      <c r="B28">
        <v>396431383</v>
      </c>
      <c r="C28" s="28">
        <v>44246.483020833337</v>
      </c>
      <c r="D28" s="28">
        <v>44246.48337962963</v>
      </c>
      <c r="E28" t="s">
        <v>286</v>
      </c>
      <c r="J28" t="s">
        <v>287</v>
      </c>
      <c r="K28" t="s">
        <v>287</v>
      </c>
      <c r="L28" t="s">
        <v>255</v>
      </c>
      <c r="M28" t="s">
        <v>170</v>
      </c>
      <c r="N28" t="s">
        <v>9</v>
      </c>
      <c r="O28" t="s">
        <v>288</v>
      </c>
      <c r="AH28" t="s">
        <v>151</v>
      </c>
      <c r="AI28" t="s">
        <v>170</v>
      </c>
    </row>
    <row r="29" spans="1:35" x14ac:dyDescent="0.2">
      <c r="A29">
        <v>12423366934</v>
      </c>
      <c r="B29">
        <v>396431383</v>
      </c>
      <c r="C29" s="28">
        <v>44246.481122685182</v>
      </c>
      <c r="D29" s="28">
        <v>44246.48228009259</v>
      </c>
      <c r="E29" t="s">
        <v>286</v>
      </c>
      <c r="J29" t="s">
        <v>287</v>
      </c>
      <c r="K29" t="s">
        <v>287</v>
      </c>
      <c r="L29" t="s">
        <v>255</v>
      </c>
      <c r="M29" t="s">
        <v>170</v>
      </c>
      <c r="N29" t="s">
        <v>9</v>
      </c>
      <c r="O29" t="s">
        <v>289</v>
      </c>
      <c r="AH29" t="s">
        <v>151</v>
      </c>
      <c r="AI29" t="s">
        <v>170</v>
      </c>
    </row>
    <row r="30" spans="1:35" x14ac:dyDescent="0.2">
      <c r="A30">
        <v>12423295579</v>
      </c>
      <c r="B30">
        <v>396431383</v>
      </c>
      <c r="C30" s="28">
        <v>44246.460787037038</v>
      </c>
      <c r="D30" s="28">
        <v>44246.462534722225</v>
      </c>
      <c r="E30" t="s">
        <v>270</v>
      </c>
      <c r="J30" t="s">
        <v>290</v>
      </c>
      <c r="K30" t="s">
        <v>272</v>
      </c>
      <c r="L30" t="s">
        <v>255</v>
      </c>
      <c r="M30" t="s">
        <v>152</v>
      </c>
      <c r="P30">
        <v>97</v>
      </c>
      <c r="Q30">
        <v>97</v>
      </c>
      <c r="Y30">
        <v>97</v>
      </c>
      <c r="AF30">
        <v>100</v>
      </c>
      <c r="AH30" t="s">
        <v>151</v>
      </c>
      <c r="AI30" t="s">
        <v>152</v>
      </c>
    </row>
    <row r="31" spans="1:35" x14ac:dyDescent="0.2">
      <c r="A31">
        <v>12421772543</v>
      </c>
      <c r="B31">
        <v>396431383</v>
      </c>
      <c r="C31" s="28">
        <v>44245.940104166664</v>
      </c>
      <c r="D31" s="28">
        <v>44245.941817129627</v>
      </c>
      <c r="E31" t="s">
        <v>291</v>
      </c>
      <c r="J31" t="s">
        <v>292</v>
      </c>
      <c r="K31" t="s">
        <v>293</v>
      </c>
      <c r="L31" t="s">
        <v>249</v>
      </c>
      <c r="M31" t="s">
        <v>152</v>
      </c>
      <c r="P31">
        <v>896</v>
      </c>
      <c r="Q31">
        <v>393</v>
      </c>
      <c r="R31">
        <v>171</v>
      </c>
      <c r="U31">
        <v>138</v>
      </c>
      <c r="V31">
        <v>48</v>
      </c>
      <c r="X31">
        <v>146</v>
      </c>
      <c r="Y31">
        <v>248</v>
      </c>
      <c r="Z31">
        <v>173</v>
      </c>
      <c r="AA31">
        <v>475</v>
      </c>
      <c r="AF31">
        <v>100</v>
      </c>
      <c r="AH31" t="s">
        <v>151</v>
      </c>
      <c r="AI31" t="s">
        <v>152</v>
      </c>
    </row>
    <row r="32" spans="1:35" x14ac:dyDescent="0.2">
      <c r="A32">
        <v>12421765094</v>
      </c>
      <c r="B32">
        <v>396431383</v>
      </c>
      <c r="C32" s="28">
        <v>44245.938055555554</v>
      </c>
      <c r="D32" s="28">
        <v>44245.939675925925</v>
      </c>
      <c r="E32" t="s">
        <v>291</v>
      </c>
      <c r="J32" t="s">
        <v>292</v>
      </c>
      <c r="K32" t="s">
        <v>294</v>
      </c>
      <c r="L32" t="s">
        <v>249</v>
      </c>
      <c r="M32" t="s">
        <v>152</v>
      </c>
      <c r="P32">
        <v>81</v>
      </c>
      <c r="Q32">
        <v>21</v>
      </c>
      <c r="R32">
        <v>60</v>
      </c>
      <c r="Y32">
        <v>21</v>
      </c>
      <c r="Z32">
        <v>60</v>
      </c>
      <c r="AF32">
        <v>100</v>
      </c>
      <c r="AH32" t="s">
        <v>151</v>
      </c>
      <c r="AI32" t="s">
        <v>152</v>
      </c>
    </row>
    <row r="33" spans="1:35" x14ac:dyDescent="0.2">
      <c r="A33">
        <v>12421616781</v>
      </c>
      <c r="B33">
        <v>396431383</v>
      </c>
      <c r="C33" s="28">
        <v>44245.908518518518</v>
      </c>
      <c r="D33" s="28">
        <v>44245.91128472222</v>
      </c>
      <c r="E33" t="s">
        <v>291</v>
      </c>
      <c r="J33" t="s">
        <v>292</v>
      </c>
      <c r="K33" t="s">
        <v>295</v>
      </c>
      <c r="L33" t="s">
        <v>249</v>
      </c>
      <c r="M33" t="s">
        <v>152</v>
      </c>
      <c r="P33">
        <v>1151</v>
      </c>
      <c r="Q33">
        <v>196</v>
      </c>
      <c r="R33">
        <v>185</v>
      </c>
      <c r="S33">
        <v>3</v>
      </c>
      <c r="U33">
        <v>279</v>
      </c>
      <c r="V33">
        <v>200</v>
      </c>
      <c r="X33">
        <v>288</v>
      </c>
      <c r="Y33">
        <v>822</v>
      </c>
      <c r="Z33">
        <v>329</v>
      </c>
      <c r="AF33">
        <v>100</v>
      </c>
      <c r="AH33" t="s">
        <v>151</v>
      </c>
      <c r="AI33" t="s">
        <v>152</v>
      </c>
    </row>
    <row r="34" spans="1:35" x14ac:dyDescent="0.2">
      <c r="A34">
        <v>12421109988</v>
      </c>
      <c r="B34">
        <v>396431383</v>
      </c>
      <c r="C34" s="28">
        <v>44245.815462962964</v>
      </c>
      <c r="D34" s="28">
        <v>44245.815659722219</v>
      </c>
      <c r="E34" t="s">
        <v>296</v>
      </c>
      <c r="J34" t="s">
        <v>297</v>
      </c>
      <c r="K34" t="s">
        <v>297</v>
      </c>
      <c r="L34" t="s">
        <v>249</v>
      </c>
      <c r="M34" t="s">
        <v>152</v>
      </c>
    </row>
    <row r="35" spans="1:35" x14ac:dyDescent="0.2">
      <c r="A35">
        <v>12421073568</v>
      </c>
      <c r="B35">
        <v>396431383</v>
      </c>
      <c r="C35" s="28">
        <v>44245.808645833335</v>
      </c>
      <c r="D35" s="28">
        <v>44245.809351851851</v>
      </c>
      <c r="E35" t="s">
        <v>298</v>
      </c>
      <c r="J35" t="s">
        <v>299</v>
      </c>
      <c r="K35" t="s">
        <v>300</v>
      </c>
      <c r="L35" t="s">
        <v>255</v>
      </c>
      <c r="M35" t="s">
        <v>152</v>
      </c>
    </row>
    <row r="36" spans="1:35" x14ac:dyDescent="0.2">
      <c r="A36">
        <v>12420661861</v>
      </c>
      <c r="B36">
        <v>396431383</v>
      </c>
      <c r="C36" s="28">
        <v>44245.735555555555</v>
      </c>
      <c r="D36" s="28">
        <v>44245.745069444441</v>
      </c>
      <c r="E36" t="s">
        <v>301</v>
      </c>
      <c r="J36" t="s">
        <v>268</v>
      </c>
      <c r="K36" t="s">
        <v>302</v>
      </c>
      <c r="L36" t="s">
        <v>249</v>
      </c>
      <c r="M36" t="s">
        <v>152</v>
      </c>
      <c r="P36">
        <v>127</v>
      </c>
      <c r="Q36">
        <v>42</v>
      </c>
      <c r="R36">
        <v>51</v>
      </c>
      <c r="X36">
        <v>33</v>
      </c>
      <c r="Y36">
        <v>110</v>
      </c>
      <c r="Z36">
        <v>17</v>
      </c>
      <c r="AF36">
        <v>100</v>
      </c>
      <c r="AH36" t="s">
        <v>169</v>
      </c>
      <c r="AI36" t="s">
        <v>152</v>
      </c>
    </row>
    <row r="37" spans="1:35" x14ac:dyDescent="0.2">
      <c r="A37">
        <v>12420575219</v>
      </c>
      <c r="B37">
        <v>396431383</v>
      </c>
      <c r="C37" s="28">
        <v>44245.72488425926</v>
      </c>
      <c r="D37" s="28">
        <v>44245.727303240739</v>
      </c>
      <c r="E37" t="s">
        <v>204</v>
      </c>
      <c r="J37" t="s">
        <v>205</v>
      </c>
      <c r="K37" t="s">
        <v>303</v>
      </c>
      <c r="L37" t="s">
        <v>249</v>
      </c>
      <c r="M37" t="s">
        <v>152</v>
      </c>
      <c r="P37">
        <v>193</v>
      </c>
      <c r="S37">
        <v>80</v>
      </c>
      <c r="T37">
        <v>113</v>
      </c>
      <c r="Z37">
        <v>140</v>
      </c>
      <c r="AA37">
        <v>53</v>
      </c>
      <c r="AD37">
        <v>75</v>
      </c>
      <c r="AF37">
        <v>25</v>
      </c>
      <c r="AH37" t="s">
        <v>151</v>
      </c>
      <c r="AI37" t="s">
        <v>152</v>
      </c>
    </row>
    <row r="38" spans="1:35" x14ac:dyDescent="0.2">
      <c r="A38">
        <v>12420559399</v>
      </c>
      <c r="B38">
        <v>396431383</v>
      </c>
      <c r="C38" s="28">
        <v>44245.722534722219</v>
      </c>
      <c r="D38" s="28">
        <v>44245.724780092591</v>
      </c>
      <c r="E38" t="s">
        <v>204</v>
      </c>
      <c r="J38" t="s">
        <v>205</v>
      </c>
      <c r="K38" t="s">
        <v>206</v>
      </c>
      <c r="L38" t="s">
        <v>255</v>
      </c>
      <c r="M38" t="s">
        <v>152</v>
      </c>
      <c r="P38">
        <v>300</v>
      </c>
      <c r="T38">
        <v>300</v>
      </c>
      <c r="Z38">
        <v>200</v>
      </c>
      <c r="AA38">
        <v>100</v>
      </c>
      <c r="AF38">
        <v>100</v>
      </c>
      <c r="AH38" t="s">
        <v>151</v>
      </c>
      <c r="AI38" t="s">
        <v>152</v>
      </c>
    </row>
    <row r="39" spans="1:35" x14ac:dyDescent="0.2">
      <c r="A39">
        <v>12420473315</v>
      </c>
      <c r="B39">
        <v>396431383</v>
      </c>
      <c r="C39" s="28">
        <v>44245.707777777781</v>
      </c>
      <c r="D39" s="28">
        <v>44245.708078703705</v>
      </c>
      <c r="E39" t="s">
        <v>301</v>
      </c>
      <c r="J39" t="s">
        <v>304</v>
      </c>
      <c r="K39" t="s">
        <v>302</v>
      </c>
      <c r="L39" t="s">
        <v>249</v>
      </c>
      <c r="M39" t="s">
        <v>152</v>
      </c>
    </row>
    <row r="40" spans="1:35" x14ac:dyDescent="0.2">
      <c r="A40">
        <v>12419910978</v>
      </c>
      <c r="B40">
        <v>396431383</v>
      </c>
      <c r="C40" s="28">
        <v>44245.600358796299</v>
      </c>
      <c r="D40" s="28">
        <v>44245.606747685182</v>
      </c>
      <c r="E40" t="s">
        <v>171</v>
      </c>
      <c r="J40" t="s">
        <v>179</v>
      </c>
      <c r="K40" t="s">
        <v>305</v>
      </c>
      <c r="L40" t="s">
        <v>249</v>
      </c>
      <c r="M40" t="s">
        <v>152</v>
      </c>
      <c r="P40">
        <v>836</v>
      </c>
      <c r="Q40">
        <v>316</v>
      </c>
      <c r="R40">
        <v>370</v>
      </c>
      <c r="V40">
        <v>65</v>
      </c>
      <c r="X40">
        <v>85</v>
      </c>
      <c r="Y40">
        <v>720</v>
      </c>
      <c r="Z40">
        <v>116</v>
      </c>
      <c r="AF40">
        <v>100</v>
      </c>
      <c r="AH40" t="s">
        <v>169</v>
      </c>
      <c r="AI40" t="s">
        <v>152</v>
      </c>
    </row>
    <row r="41" spans="1:35" x14ac:dyDescent="0.2">
      <c r="A41">
        <v>12419865898</v>
      </c>
      <c r="B41">
        <v>396431383</v>
      </c>
      <c r="C41" s="28">
        <v>44245.591562499998</v>
      </c>
      <c r="D41" s="28">
        <v>44245.5934837963</v>
      </c>
      <c r="E41" t="s">
        <v>306</v>
      </c>
      <c r="J41" t="s">
        <v>268</v>
      </c>
      <c r="K41" t="s">
        <v>307</v>
      </c>
      <c r="L41" t="s">
        <v>249</v>
      </c>
      <c r="M41" t="s">
        <v>152</v>
      </c>
      <c r="P41">
        <v>138</v>
      </c>
      <c r="Q41">
        <v>98</v>
      </c>
      <c r="X41">
        <v>40</v>
      </c>
      <c r="Y41">
        <v>138</v>
      </c>
      <c r="AF41">
        <v>100</v>
      </c>
      <c r="AH41" t="s">
        <v>169</v>
      </c>
      <c r="AI41" t="s">
        <v>152</v>
      </c>
    </row>
    <row r="42" spans="1:35" x14ac:dyDescent="0.2">
      <c r="A42">
        <v>12419829994</v>
      </c>
      <c r="B42">
        <v>396431383</v>
      </c>
      <c r="C42" s="28">
        <v>44245.583506944444</v>
      </c>
      <c r="D42" s="28">
        <v>44245.591331018521</v>
      </c>
      <c r="E42" t="s">
        <v>306</v>
      </c>
      <c r="J42" t="s">
        <v>268</v>
      </c>
      <c r="K42" t="s">
        <v>308</v>
      </c>
      <c r="L42" t="s">
        <v>249</v>
      </c>
      <c r="M42" t="s">
        <v>170</v>
      </c>
      <c r="N42" t="s">
        <v>9</v>
      </c>
      <c r="O42" t="s">
        <v>309</v>
      </c>
      <c r="AH42" t="s">
        <v>169</v>
      </c>
      <c r="AI42" t="s">
        <v>152</v>
      </c>
    </row>
    <row r="43" spans="1:35" x14ac:dyDescent="0.2">
      <c r="A43">
        <v>12419575851</v>
      </c>
      <c r="B43">
        <v>396431383</v>
      </c>
      <c r="C43" s="28">
        <v>44245.525347222225</v>
      </c>
      <c r="D43" s="28">
        <v>44245.527696759258</v>
      </c>
      <c r="E43" t="s">
        <v>310</v>
      </c>
      <c r="J43" t="s">
        <v>311</v>
      </c>
      <c r="K43" t="s">
        <v>312</v>
      </c>
      <c r="L43" t="s">
        <v>255</v>
      </c>
      <c r="M43" t="s">
        <v>152</v>
      </c>
      <c r="P43">
        <v>97</v>
      </c>
      <c r="Q43">
        <v>95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</v>
      </c>
      <c r="Y43">
        <v>97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100</v>
      </c>
      <c r="AG43">
        <v>0</v>
      </c>
      <c r="AH43" t="s">
        <v>151</v>
      </c>
      <c r="AI43" t="s">
        <v>152</v>
      </c>
    </row>
    <row r="44" spans="1:35" x14ac:dyDescent="0.2">
      <c r="A44">
        <v>12419568357</v>
      </c>
      <c r="B44">
        <v>396431383</v>
      </c>
      <c r="C44" s="28">
        <v>44245.524317129632</v>
      </c>
      <c r="D44" s="28">
        <v>44245.525219907409</v>
      </c>
      <c r="E44" t="s">
        <v>310</v>
      </c>
      <c r="J44" t="s">
        <v>311</v>
      </c>
      <c r="K44" t="s">
        <v>313</v>
      </c>
      <c r="L44" t="s">
        <v>249</v>
      </c>
      <c r="M44" t="s">
        <v>152</v>
      </c>
      <c r="P44">
        <v>35</v>
      </c>
      <c r="Q44">
        <v>0</v>
      </c>
      <c r="R44">
        <v>35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100</v>
      </c>
      <c r="AG44">
        <v>0</v>
      </c>
      <c r="AH44" t="s">
        <v>151</v>
      </c>
      <c r="AI44" t="s">
        <v>152</v>
      </c>
    </row>
    <row r="45" spans="1:35" x14ac:dyDescent="0.2">
      <c r="A45">
        <v>12419500482</v>
      </c>
      <c r="B45">
        <v>396431383</v>
      </c>
      <c r="C45" s="28">
        <v>44245.508194444446</v>
      </c>
      <c r="D45" s="28">
        <v>44245.524085648147</v>
      </c>
      <c r="E45" t="s">
        <v>310</v>
      </c>
      <c r="J45" t="s">
        <v>311</v>
      </c>
      <c r="K45" t="s">
        <v>314</v>
      </c>
      <c r="L45" t="s">
        <v>249</v>
      </c>
      <c r="M45" t="s">
        <v>152</v>
      </c>
      <c r="P45">
        <v>224</v>
      </c>
      <c r="Q45">
        <v>18</v>
      </c>
      <c r="R45">
        <v>160</v>
      </c>
      <c r="S45">
        <v>0</v>
      </c>
      <c r="T45">
        <v>0</v>
      </c>
      <c r="U45">
        <v>0</v>
      </c>
      <c r="V45">
        <v>10</v>
      </c>
      <c r="W45">
        <v>0</v>
      </c>
      <c r="X45">
        <v>36</v>
      </c>
      <c r="Y45">
        <v>224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100</v>
      </c>
      <c r="AG45">
        <v>0</v>
      </c>
      <c r="AH45" t="s">
        <v>151</v>
      </c>
      <c r="AI45" t="s">
        <v>152</v>
      </c>
    </row>
    <row r="46" spans="1:35" x14ac:dyDescent="0.2">
      <c r="A46">
        <v>12419457209</v>
      </c>
      <c r="B46">
        <v>396431383</v>
      </c>
      <c r="C46" s="28">
        <v>44245.497939814813</v>
      </c>
      <c r="D46" s="28">
        <v>44245.498460648145</v>
      </c>
      <c r="E46" t="s">
        <v>315</v>
      </c>
      <c r="J46" t="s">
        <v>316</v>
      </c>
      <c r="K46" t="s">
        <v>317</v>
      </c>
      <c r="L46" t="s">
        <v>249</v>
      </c>
      <c r="M46" t="s">
        <v>170</v>
      </c>
      <c r="N46" t="s">
        <v>9</v>
      </c>
      <c r="O46" t="s">
        <v>318</v>
      </c>
      <c r="AH46" t="s">
        <v>151</v>
      </c>
      <c r="AI46" t="s">
        <v>170</v>
      </c>
    </row>
    <row r="47" spans="1:35" x14ac:dyDescent="0.2">
      <c r="A47">
        <v>12419440548</v>
      </c>
      <c r="B47">
        <v>396431383</v>
      </c>
      <c r="C47" s="28">
        <v>44245.49324074074</v>
      </c>
      <c r="D47" s="28">
        <v>44245.49417824074</v>
      </c>
      <c r="E47" t="s">
        <v>319</v>
      </c>
      <c r="J47" t="s">
        <v>320</v>
      </c>
      <c r="K47" t="s">
        <v>321</v>
      </c>
      <c r="L47" t="s">
        <v>255</v>
      </c>
      <c r="M47" t="s">
        <v>170</v>
      </c>
      <c r="N47" t="s">
        <v>9</v>
      </c>
      <c r="O47" t="s">
        <v>322</v>
      </c>
      <c r="AH47" t="s">
        <v>151</v>
      </c>
      <c r="AI47" t="s">
        <v>170</v>
      </c>
    </row>
    <row r="48" spans="1:35" x14ac:dyDescent="0.2">
      <c r="A48">
        <v>12419393304</v>
      </c>
      <c r="B48">
        <v>396431383</v>
      </c>
      <c r="C48" s="28">
        <v>44245.479108796295</v>
      </c>
      <c r="D48" s="28">
        <v>44245.497685185182</v>
      </c>
      <c r="E48" t="s">
        <v>315</v>
      </c>
      <c r="J48" t="s">
        <v>323</v>
      </c>
      <c r="K48" t="s">
        <v>324</v>
      </c>
      <c r="L48" t="s">
        <v>249</v>
      </c>
      <c r="M48" t="s">
        <v>170</v>
      </c>
      <c r="N48" t="s">
        <v>9</v>
      </c>
      <c r="O48" t="s">
        <v>325</v>
      </c>
      <c r="AH48" t="s">
        <v>151</v>
      </c>
      <c r="AI48" t="s">
        <v>170</v>
      </c>
    </row>
    <row r="49" spans="1:35" x14ac:dyDescent="0.2">
      <c r="A49">
        <v>12418297158</v>
      </c>
      <c r="B49">
        <v>396431383</v>
      </c>
      <c r="C49" s="28">
        <v>44245.080995370372</v>
      </c>
      <c r="D49" s="28">
        <v>44245.081793981481</v>
      </c>
      <c r="E49" t="s">
        <v>326</v>
      </c>
      <c r="J49" t="s">
        <v>327</v>
      </c>
      <c r="K49" t="s">
        <v>328</v>
      </c>
      <c r="L49" t="s">
        <v>249</v>
      </c>
      <c r="M49" t="s">
        <v>170</v>
      </c>
      <c r="N49" t="s">
        <v>9</v>
      </c>
      <c r="O49" t="s">
        <v>329</v>
      </c>
      <c r="AH49" t="s">
        <v>169</v>
      </c>
      <c r="AI49" t="s">
        <v>170</v>
      </c>
    </row>
    <row r="50" spans="1:35" x14ac:dyDescent="0.2">
      <c r="A50">
        <v>12418294451</v>
      </c>
      <c r="B50">
        <v>396431383</v>
      </c>
      <c r="C50" s="28">
        <v>44245.080196759256</v>
      </c>
      <c r="D50" s="28">
        <v>44245.080682870372</v>
      </c>
      <c r="E50" t="s">
        <v>326</v>
      </c>
      <c r="J50" t="s">
        <v>327</v>
      </c>
      <c r="K50" t="s">
        <v>330</v>
      </c>
      <c r="L50" t="s">
        <v>249</v>
      </c>
      <c r="M50" t="s">
        <v>170</v>
      </c>
      <c r="N50" t="s">
        <v>9</v>
      </c>
      <c r="O50" t="s">
        <v>329</v>
      </c>
      <c r="AH50" t="s">
        <v>169</v>
      </c>
      <c r="AI50" t="s">
        <v>170</v>
      </c>
    </row>
    <row r="51" spans="1:35" x14ac:dyDescent="0.2">
      <c r="A51">
        <v>12418285956</v>
      </c>
      <c r="B51">
        <v>396431383</v>
      </c>
      <c r="C51" s="28">
        <v>44245.056875000002</v>
      </c>
      <c r="D51" s="28">
        <v>44245.079837962963</v>
      </c>
      <c r="E51" t="s">
        <v>331</v>
      </c>
      <c r="J51" t="s">
        <v>327</v>
      </c>
      <c r="K51" t="s">
        <v>332</v>
      </c>
      <c r="L51" t="s">
        <v>249</v>
      </c>
      <c r="M51" t="s">
        <v>170</v>
      </c>
      <c r="N51" t="s">
        <v>9</v>
      </c>
      <c r="O51" t="s">
        <v>329</v>
      </c>
      <c r="AH51" t="s">
        <v>169</v>
      </c>
      <c r="AI51" t="s">
        <v>170</v>
      </c>
    </row>
    <row r="52" spans="1:35" x14ac:dyDescent="0.2">
      <c r="A52">
        <v>12417635130</v>
      </c>
      <c r="B52">
        <v>396431383</v>
      </c>
      <c r="C52" s="28">
        <v>44244.898842592593</v>
      </c>
      <c r="D52" s="28">
        <v>44245.664490740739</v>
      </c>
      <c r="E52" t="s">
        <v>333</v>
      </c>
      <c r="J52" t="s">
        <v>205</v>
      </c>
      <c r="K52" t="s">
        <v>334</v>
      </c>
      <c r="L52" t="s">
        <v>255</v>
      </c>
      <c r="M52" t="s">
        <v>152</v>
      </c>
      <c r="P52">
        <v>577</v>
      </c>
      <c r="Q52">
        <v>372</v>
      </c>
      <c r="U52">
        <v>5</v>
      </c>
      <c r="V52">
        <v>200</v>
      </c>
      <c r="Z52">
        <v>300</v>
      </c>
      <c r="AA52">
        <v>277</v>
      </c>
      <c r="AD52">
        <v>75</v>
      </c>
      <c r="AF52">
        <v>25</v>
      </c>
      <c r="AH52" t="s">
        <v>151</v>
      </c>
      <c r="AI52" t="s">
        <v>152</v>
      </c>
    </row>
    <row r="53" spans="1:35" x14ac:dyDescent="0.2">
      <c r="A53">
        <v>12417590214</v>
      </c>
      <c r="B53">
        <v>396431383</v>
      </c>
      <c r="C53" s="28">
        <v>44244.887291666666</v>
      </c>
      <c r="D53" s="28">
        <v>44244.898634259262</v>
      </c>
      <c r="E53" t="s">
        <v>335</v>
      </c>
      <c r="J53" t="s">
        <v>205</v>
      </c>
      <c r="K53" t="s">
        <v>336</v>
      </c>
      <c r="L53" t="s">
        <v>249</v>
      </c>
      <c r="M53" t="s">
        <v>152</v>
      </c>
      <c r="P53">
        <v>262</v>
      </c>
      <c r="V53">
        <v>262</v>
      </c>
      <c r="Z53">
        <v>262</v>
      </c>
      <c r="AF53">
        <v>100</v>
      </c>
      <c r="AH53" t="s">
        <v>151</v>
      </c>
      <c r="AI53" t="s">
        <v>152</v>
      </c>
    </row>
    <row r="54" spans="1:35" x14ac:dyDescent="0.2">
      <c r="A54">
        <v>12416514460</v>
      </c>
      <c r="B54">
        <v>396431383</v>
      </c>
      <c r="C54" s="28">
        <v>44244.660092592596</v>
      </c>
      <c r="D54" s="28">
        <v>44244.667488425926</v>
      </c>
      <c r="E54" t="s">
        <v>171</v>
      </c>
      <c r="J54" t="s">
        <v>179</v>
      </c>
      <c r="K54" t="s">
        <v>305</v>
      </c>
      <c r="L54" t="s">
        <v>249</v>
      </c>
      <c r="M54" t="s">
        <v>152</v>
      </c>
      <c r="P54">
        <v>836</v>
      </c>
      <c r="Q54">
        <v>315</v>
      </c>
      <c r="R54">
        <v>371</v>
      </c>
      <c r="V54">
        <v>65</v>
      </c>
      <c r="X54">
        <v>85</v>
      </c>
      <c r="Y54">
        <v>720</v>
      </c>
      <c r="Z54">
        <v>116</v>
      </c>
      <c r="AF54">
        <v>100</v>
      </c>
    </row>
    <row r="55" spans="1:35" x14ac:dyDescent="0.2">
      <c r="A55">
        <v>12413841161</v>
      </c>
      <c r="B55">
        <v>396431383</v>
      </c>
      <c r="C55" s="28">
        <v>44243.818506944444</v>
      </c>
      <c r="D55" s="28">
        <v>44243.819675925923</v>
      </c>
      <c r="E55" t="s">
        <v>337</v>
      </c>
      <c r="J55" t="s">
        <v>338</v>
      </c>
      <c r="K55" t="s">
        <v>339</v>
      </c>
      <c r="L55" t="s">
        <v>249</v>
      </c>
      <c r="M55" t="s">
        <v>170</v>
      </c>
      <c r="N55" t="s">
        <v>9</v>
      </c>
      <c r="O55" t="s">
        <v>340</v>
      </c>
      <c r="AH55" t="s">
        <v>169</v>
      </c>
      <c r="AI55" t="s">
        <v>152</v>
      </c>
    </row>
    <row r="56" spans="1:35" x14ac:dyDescent="0.2">
      <c r="A56">
        <v>12413268384</v>
      </c>
      <c r="B56">
        <v>396431383</v>
      </c>
      <c r="C56" s="28">
        <v>44243.684513888889</v>
      </c>
      <c r="D56" s="28">
        <v>44243.685636574075</v>
      </c>
      <c r="E56" t="s">
        <v>341</v>
      </c>
      <c r="J56" t="s">
        <v>342</v>
      </c>
      <c r="K56" t="s">
        <v>343</v>
      </c>
      <c r="L56" t="s">
        <v>249</v>
      </c>
      <c r="M56" t="s">
        <v>152</v>
      </c>
      <c r="P56">
        <v>33</v>
      </c>
      <c r="Q56">
        <v>33</v>
      </c>
      <c r="Y56">
        <v>33</v>
      </c>
      <c r="AG56">
        <v>100</v>
      </c>
      <c r="AH56" t="s">
        <v>151</v>
      </c>
      <c r="AI56" t="s">
        <v>170</v>
      </c>
    </row>
    <row r="57" spans="1:35" x14ac:dyDescent="0.2">
      <c r="A57">
        <v>12413258077</v>
      </c>
      <c r="B57">
        <v>396431383</v>
      </c>
      <c r="C57" s="28">
        <v>44243.682222222225</v>
      </c>
      <c r="D57" s="28">
        <v>44243.684386574074</v>
      </c>
      <c r="E57" t="s">
        <v>344</v>
      </c>
      <c r="J57" t="s">
        <v>342</v>
      </c>
      <c r="K57" t="s">
        <v>345</v>
      </c>
      <c r="L57" t="s">
        <v>249</v>
      </c>
      <c r="M57" t="s">
        <v>152</v>
      </c>
      <c r="P57">
        <v>90</v>
      </c>
      <c r="Q57">
        <v>90</v>
      </c>
      <c r="Y57">
        <v>90</v>
      </c>
      <c r="AG57">
        <v>100</v>
      </c>
      <c r="AH57" t="s">
        <v>151</v>
      </c>
      <c r="AI57" t="s">
        <v>170</v>
      </c>
    </row>
    <row r="58" spans="1:35" x14ac:dyDescent="0.2">
      <c r="A58">
        <v>12413179133</v>
      </c>
      <c r="B58">
        <v>396431383</v>
      </c>
      <c r="C58" s="28">
        <v>44243.665196759262</v>
      </c>
      <c r="D58" s="28">
        <v>44243.670266203706</v>
      </c>
      <c r="E58" t="s">
        <v>344</v>
      </c>
      <c r="J58" t="s">
        <v>342</v>
      </c>
      <c r="K58" t="s">
        <v>346</v>
      </c>
      <c r="L58" t="s">
        <v>249</v>
      </c>
      <c r="M58" t="s">
        <v>152</v>
      </c>
      <c r="P58">
        <v>15</v>
      </c>
      <c r="Q58">
        <v>15</v>
      </c>
      <c r="Y58">
        <v>15</v>
      </c>
      <c r="AG58">
        <v>100</v>
      </c>
      <c r="AH58" t="s">
        <v>151</v>
      </c>
      <c r="AI58" t="s">
        <v>170</v>
      </c>
    </row>
    <row r="59" spans="1:35" x14ac:dyDescent="0.2">
      <c r="A59">
        <v>12412320947</v>
      </c>
      <c r="B59">
        <v>396431383</v>
      </c>
      <c r="C59" s="28">
        <v>44243.417951388888</v>
      </c>
      <c r="D59" s="28">
        <v>44243.42114583333</v>
      </c>
      <c r="E59" t="s">
        <v>347</v>
      </c>
      <c r="J59" t="s">
        <v>202</v>
      </c>
      <c r="K59" t="s">
        <v>348</v>
      </c>
      <c r="L59" t="s">
        <v>249</v>
      </c>
      <c r="M59" t="s">
        <v>170</v>
      </c>
      <c r="N59" t="s">
        <v>9</v>
      </c>
      <c r="O59" t="s">
        <v>349</v>
      </c>
      <c r="AH59" t="s">
        <v>169</v>
      </c>
      <c r="AI59" t="s">
        <v>170</v>
      </c>
    </row>
    <row r="60" spans="1:35" x14ac:dyDescent="0.2">
      <c r="A60">
        <v>12412300814</v>
      </c>
      <c r="B60">
        <v>396431383</v>
      </c>
      <c r="C60" s="28">
        <v>44243.406053240738</v>
      </c>
      <c r="D60" s="28">
        <v>44243.412083333336</v>
      </c>
      <c r="E60" t="s">
        <v>350</v>
      </c>
      <c r="J60" t="s">
        <v>202</v>
      </c>
      <c r="K60" t="s">
        <v>351</v>
      </c>
      <c r="L60" t="s">
        <v>249</v>
      </c>
      <c r="M60" t="s">
        <v>152</v>
      </c>
      <c r="P60">
        <v>80</v>
      </c>
      <c r="Q60">
        <v>80</v>
      </c>
      <c r="Y60">
        <v>80</v>
      </c>
      <c r="AD60">
        <v>100</v>
      </c>
    </row>
    <row r="61" spans="1:35" x14ac:dyDescent="0.2">
      <c r="A61">
        <v>12409586102</v>
      </c>
      <c r="B61">
        <v>396431383</v>
      </c>
      <c r="C61" s="28">
        <v>44242.389664351853</v>
      </c>
      <c r="D61" s="28">
        <v>44242.390011574076</v>
      </c>
      <c r="E61" t="s">
        <v>352</v>
      </c>
      <c r="J61" t="s">
        <v>353</v>
      </c>
      <c r="K61" t="s">
        <v>354</v>
      </c>
      <c r="L61" t="s">
        <v>255</v>
      </c>
      <c r="M61" t="s">
        <v>170</v>
      </c>
      <c r="N61" t="s">
        <v>9</v>
      </c>
      <c r="O61" t="s">
        <v>355</v>
      </c>
      <c r="AH61" t="s">
        <v>151</v>
      </c>
      <c r="AI61" t="s">
        <v>152</v>
      </c>
    </row>
    <row r="62" spans="1:35" x14ac:dyDescent="0.2">
      <c r="A62">
        <v>12409561070</v>
      </c>
      <c r="B62">
        <v>396431383</v>
      </c>
      <c r="C62" s="28">
        <v>44242.379201388889</v>
      </c>
      <c r="D62" s="28">
        <v>44242.389293981483</v>
      </c>
      <c r="E62" t="s">
        <v>352</v>
      </c>
      <c r="J62" t="s">
        <v>353</v>
      </c>
      <c r="K62" t="s">
        <v>356</v>
      </c>
      <c r="L62" t="s">
        <v>255</v>
      </c>
      <c r="M62" t="s">
        <v>170</v>
      </c>
      <c r="N62" t="s">
        <v>9</v>
      </c>
      <c r="O62" t="s">
        <v>355</v>
      </c>
      <c r="AH62" t="s">
        <v>151</v>
      </c>
      <c r="AI62" t="s">
        <v>152</v>
      </c>
    </row>
    <row r="63" spans="1:35" x14ac:dyDescent="0.2">
      <c r="A63">
        <v>12404714986</v>
      </c>
      <c r="B63">
        <v>396431383</v>
      </c>
      <c r="C63" s="28">
        <v>44239.461111111108</v>
      </c>
      <c r="D63" s="28">
        <v>44239.646851851852</v>
      </c>
      <c r="E63" t="s">
        <v>357</v>
      </c>
      <c r="J63" t="s">
        <v>268</v>
      </c>
      <c r="K63" t="s">
        <v>358</v>
      </c>
      <c r="L63" t="s">
        <v>249</v>
      </c>
      <c r="M63" t="s">
        <v>152</v>
      </c>
      <c r="N63" t="s">
        <v>9</v>
      </c>
      <c r="O63" t="s">
        <v>359</v>
      </c>
    </row>
    <row r="64" spans="1:35" x14ac:dyDescent="0.2">
      <c r="A64">
        <v>12404557351</v>
      </c>
      <c r="B64">
        <v>396431383</v>
      </c>
      <c r="C64" s="28">
        <v>44235.455543981479</v>
      </c>
      <c r="D64" s="28">
        <v>44242.490254629629</v>
      </c>
      <c r="E64" t="s">
        <v>360</v>
      </c>
      <c r="J64" t="s">
        <v>361</v>
      </c>
      <c r="K64" t="s">
        <v>362</v>
      </c>
      <c r="L64" t="s">
        <v>249</v>
      </c>
      <c r="M64" t="s">
        <v>152</v>
      </c>
      <c r="P64">
        <v>783</v>
      </c>
      <c r="Q64">
        <v>9</v>
      </c>
      <c r="R64">
        <v>43</v>
      </c>
      <c r="S64">
        <v>0</v>
      </c>
      <c r="T64">
        <v>0</v>
      </c>
      <c r="U64">
        <v>1</v>
      </c>
      <c r="V64">
        <v>316</v>
      </c>
      <c r="W64">
        <v>0</v>
      </c>
      <c r="X64">
        <v>408</v>
      </c>
      <c r="Y64">
        <v>777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100</v>
      </c>
      <c r="AG64">
        <v>0</v>
      </c>
      <c r="AH64" t="s">
        <v>151</v>
      </c>
      <c r="AI64" t="s">
        <v>152</v>
      </c>
    </row>
    <row r="65" spans="1:35" x14ac:dyDescent="0.2">
      <c r="A65">
        <v>12403830202</v>
      </c>
      <c r="B65">
        <v>396431383</v>
      </c>
      <c r="C65" s="28">
        <v>44239.337013888886</v>
      </c>
      <c r="D65" s="28">
        <v>44239.338067129633</v>
      </c>
      <c r="E65" t="s">
        <v>363</v>
      </c>
      <c r="J65" t="s">
        <v>364</v>
      </c>
      <c r="K65" t="s">
        <v>365</v>
      </c>
      <c r="L65" t="s">
        <v>249</v>
      </c>
      <c r="M65" t="s">
        <v>170</v>
      </c>
    </row>
    <row r="66" spans="1:35" x14ac:dyDescent="0.2">
      <c r="A66">
        <v>12401970848</v>
      </c>
      <c r="B66">
        <v>396431383</v>
      </c>
      <c r="C66" s="28">
        <v>44238.715810185182</v>
      </c>
      <c r="D66" s="28">
        <v>44238.716747685183</v>
      </c>
      <c r="E66" t="s">
        <v>207</v>
      </c>
      <c r="J66" t="s">
        <v>366</v>
      </c>
      <c r="K66" t="s">
        <v>367</v>
      </c>
      <c r="L66" t="s">
        <v>255</v>
      </c>
      <c r="M66" t="s">
        <v>170</v>
      </c>
      <c r="N66" t="s">
        <v>9</v>
      </c>
      <c r="O66" t="s">
        <v>368</v>
      </c>
      <c r="AH66" t="s">
        <v>151</v>
      </c>
      <c r="AI66" t="s">
        <v>170</v>
      </c>
    </row>
    <row r="67" spans="1:35" x14ac:dyDescent="0.2">
      <c r="A67">
        <v>12401964538</v>
      </c>
      <c r="B67">
        <v>396431383</v>
      </c>
      <c r="C67" s="28">
        <v>44238.70244212963</v>
      </c>
      <c r="D67" s="28">
        <v>44238.71533564815</v>
      </c>
      <c r="E67" t="s">
        <v>207</v>
      </c>
      <c r="J67" t="s">
        <v>366</v>
      </c>
      <c r="K67" t="s">
        <v>369</v>
      </c>
      <c r="L67" t="s">
        <v>249</v>
      </c>
      <c r="M67" t="s">
        <v>152</v>
      </c>
      <c r="P67">
        <v>10</v>
      </c>
      <c r="Q67">
        <v>10</v>
      </c>
      <c r="Y67">
        <v>10</v>
      </c>
      <c r="AF67">
        <v>100</v>
      </c>
      <c r="AH67" t="s">
        <v>151</v>
      </c>
      <c r="AI67" t="s">
        <v>170</v>
      </c>
    </row>
    <row r="68" spans="1:35" x14ac:dyDescent="0.2">
      <c r="A68">
        <v>12401919395</v>
      </c>
      <c r="B68">
        <v>396431383</v>
      </c>
      <c r="C68" s="28">
        <v>44238.703865740739</v>
      </c>
      <c r="D68" s="28">
        <v>44238.712939814817</v>
      </c>
      <c r="E68" t="s">
        <v>207</v>
      </c>
      <c r="J68" t="s">
        <v>366</v>
      </c>
      <c r="K68" t="s">
        <v>370</v>
      </c>
      <c r="L68" t="s">
        <v>249</v>
      </c>
      <c r="M68" t="s">
        <v>152</v>
      </c>
      <c r="P68">
        <v>5</v>
      </c>
      <c r="Q68">
        <v>5</v>
      </c>
      <c r="Y68">
        <v>5</v>
      </c>
      <c r="AF68">
        <v>100</v>
      </c>
      <c r="AH68" t="s">
        <v>151</v>
      </c>
      <c r="AI68" t="s">
        <v>170</v>
      </c>
    </row>
    <row r="69" spans="1:35" x14ac:dyDescent="0.2">
      <c r="A69">
        <v>12399332344</v>
      </c>
      <c r="B69">
        <v>396431383</v>
      </c>
      <c r="C69" s="28">
        <v>44237.843055555553</v>
      </c>
      <c r="D69" s="28">
        <v>44237.8434375</v>
      </c>
      <c r="E69" t="s">
        <v>371</v>
      </c>
      <c r="J69" t="s">
        <v>372</v>
      </c>
      <c r="K69" t="s">
        <v>373</v>
      </c>
      <c r="L69" t="s">
        <v>249</v>
      </c>
      <c r="M69" t="s">
        <v>170</v>
      </c>
      <c r="N69" t="s">
        <v>9</v>
      </c>
      <c r="O69" t="s">
        <v>374</v>
      </c>
      <c r="AH69" t="s">
        <v>151</v>
      </c>
      <c r="AI69" t="s">
        <v>152</v>
      </c>
    </row>
    <row r="70" spans="1:35" x14ac:dyDescent="0.2">
      <c r="A70">
        <v>12399329650</v>
      </c>
      <c r="B70">
        <v>396431383</v>
      </c>
      <c r="C70" s="28">
        <v>44237.842407407406</v>
      </c>
      <c r="D70" s="28">
        <v>44237.842812499999</v>
      </c>
      <c r="E70" t="s">
        <v>371</v>
      </c>
      <c r="J70" t="s">
        <v>372</v>
      </c>
      <c r="K70" t="s">
        <v>373</v>
      </c>
      <c r="L70" t="s">
        <v>249</v>
      </c>
      <c r="M70" t="s">
        <v>170</v>
      </c>
      <c r="N70" t="s">
        <v>9</v>
      </c>
      <c r="O70" t="s">
        <v>374</v>
      </c>
      <c r="AH70" t="s">
        <v>151</v>
      </c>
      <c r="AI70" t="s">
        <v>170</v>
      </c>
    </row>
    <row r="71" spans="1:35" x14ac:dyDescent="0.2">
      <c r="A71">
        <v>12399324038</v>
      </c>
      <c r="B71">
        <v>396431383</v>
      </c>
      <c r="C71" s="28">
        <v>44237.840949074074</v>
      </c>
      <c r="D71" s="28">
        <v>44237.841585648152</v>
      </c>
      <c r="E71" t="s">
        <v>375</v>
      </c>
      <c r="J71" t="s">
        <v>372</v>
      </c>
      <c r="K71" t="s">
        <v>376</v>
      </c>
      <c r="L71" t="s">
        <v>249</v>
      </c>
      <c r="M71" t="s">
        <v>170</v>
      </c>
      <c r="N71" t="s">
        <v>9</v>
      </c>
      <c r="O71" t="s">
        <v>377</v>
      </c>
      <c r="AH71" t="s">
        <v>151</v>
      </c>
      <c r="AI71" t="s">
        <v>152</v>
      </c>
    </row>
    <row r="72" spans="1:35" x14ac:dyDescent="0.2">
      <c r="A72">
        <v>12398521067</v>
      </c>
      <c r="B72">
        <v>396431383</v>
      </c>
      <c r="C72" s="28">
        <v>44237.673784722225</v>
      </c>
      <c r="D72" s="28">
        <v>44237.679224537038</v>
      </c>
      <c r="E72" t="s">
        <v>378</v>
      </c>
      <c r="J72" t="s">
        <v>379</v>
      </c>
      <c r="K72" t="s">
        <v>380</v>
      </c>
      <c r="L72" t="s">
        <v>255</v>
      </c>
      <c r="M72" t="s">
        <v>152</v>
      </c>
      <c r="P72">
        <v>63</v>
      </c>
      <c r="Q72">
        <v>23</v>
      </c>
      <c r="R72">
        <v>40</v>
      </c>
      <c r="Y72">
        <v>100</v>
      </c>
      <c r="AF72">
        <v>100</v>
      </c>
      <c r="AH72" t="s">
        <v>169</v>
      </c>
      <c r="AI72" t="s">
        <v>152</v>
      </c>
    </row>
    <row r="73" spans="1:35" x14ac:dyDescent="0.2">
      <c r="A73">
        <v>12398513838</v>
      </c>
      <c r="B73">
        <v>396431383</v>
      </c>
      <c r="C73" s="28">
        <v>44237.672673611109</v>
      </c>
      <c r="D73" s="28">
        <v>44237.673657407409</v>
      </c>
      <c r="E73" t="s">
        <v>378</v>
      </c>
      <c r="J73" t="s">
        <v>379</v>
      </c>
      <c r="K73" t="s">
        <v>381</v>
      </c>
      <c r="L73" t="s">
        <v>249</v>
      </c>
      <c r="M73" t="s">
        <v>152</v>
      </c>
      <c r="P73">
        <v>100</v>
      </c>
      <c r="Q73">
        <v>100</v>
      </c>
      <c r="Y73">
        <v>100</v>
      </c>
      <c r="AF73">
        <v>100</v>
      </c>
      <c r="AH73" t="s">
        <v>169</v>
      </c>
      <c r="AI73" t="s">
        <v>152</v>
      </c>
    </row>
    <row r="74" spans="1:35" x14ac:dyDescent="0.2">
      <c r="A74">
        <v>12398506922</v>
      </c>
      <c r="B74">
        <v>396431383</v>
      </c>
      <c r="C74" s="28">
        <v>44237.669872685183</v>
      </c>
      <c r="D74" s="28">
        <v>44237.672106481485</v>
      </c>
      <c r="E74" t="s">
        <v>378</v>
      </c>
      <c r="J74" t="s">
        <v>379</v>
      </c>
      <c r="K74" t="s">
        <v>382</v>
      </c>
      <c r="L74" t="s">
        <v>249</v>
      </c>
      <c r="M74" t="s">
        <v>152</v>
      </c>
      <c r="P74">
        <v>8</v>
      </c>
      <c r="Q74">
        <v>8</v>
      </c>
      <c r="Y74">
        <v>100</v>
      </c>
      <c r="AE74">
        <v>100</v>
      </c>
      <c r="AH74" t="s">
        <v>169</v>
      </c>
      <c r="AI74" t="s">
        <v>152</v>
      </c>
    </row>
    <row r="75" spans="1:35" x14ac:dyDescent="0.2">
      <c r="A75">
        <v>12398490317</v>
      </c>
      <c r="B75">
        <v>396431383</v>
      </c>
      <c r="C75" s="28">
        <v>44237.668020833335</v>
      </c>
      <c r="D75" s="28">
        <v>44237.669386574074</v>
      </c>
      <c r="E75" t="s">
        <v>378</v>
      </c>
      <c r="J75" t="s">
        <v>379</v>
      </c>
      <c r="K75" t="s">
        <v>383</v>
      </c>
      <c r="L75" t="s">
        <v>249</v>
      </c>
      <c r="M75" t="s">
        <v>152</v>
      </c>
      <c r="P75">
        <v>200</v>
      </c>
      <c r="R75">
        <v>200</v>
      </c>
      <c r="Y75">
        <v>200</v>
      </c>
      <c r="AF75">
        <v>100</v>
      </c>
      <c r="AH75" t="s">
        <v>169</v>
      </c>
      <c r="AI75" t="s">
        <v>152</v>
      </c>
    </row>
    <row r="76" spans="1:35" x14ac:dyDescent="0.2">
      <c r="A76">
        <v>12398167688</v>
      </c>
      <c r="B76">
        <v>396431383</v>
      </c>
      <c r="C76" s="28">
        <v>44237.602384259262</v>
      </c>
      <c r="D76" s="28">
        <v>44237.603587962964</v>
      </c>
      <c r="E76" t="s">
        <v>384</v>
      </c>
      <c r="J76" t="s">
        <v>385</v>
      </c>
      <c r="K76" t="s">
        <v>386</v>
      </c>
      <c r="L76" t="s">
        <v>255</v>
      </c>
      <c r="M76" t="s">
        <v>170</v>
      </c>
      <c r="N76" t="s">
        <v>9</v>
      </c>
      <c r="O76" t="s">
        <v>387</v>
      </c>
      <c r="AH76" t="s">
        <v>151</v>
      </c>
      <c r="AI76" t="s">
        <v>152</v>
      </c>
    </row>
    <row r="77" spans="1:35" x14ac:dyDescent="0.2">
      <c r="A77">
        <v>12397725727</v>
      </c>
      <c r="B77">
        <v>396431383</v>
      </c>
      <c r="C77" s="28">
        <v>44237.470196759263</v>
      </c>
      <c r="D77" s="28">
        <v>44237.471655092595</v>
      </c>
      <c r="E77" t="s">
        <v>388</v>
      </c>
      <c r="J77" t="s">
        <v>311</v>
      </c>
      <c r="K77" t="s">
        <v>389</v>
      </c>
      <c r="L77" t="s">
        <v>249</v>
      </c>
      <c r="M77" t="s">
        <v>152</v>
      </c>
      <c r="P77">
        <v>109</v>
      </c>
      <c r="Q77">
        <v>30</v>
      </c>
      <c r="R77">
        <v>62</v>
      </c>
      <c r="X77">
        <v>17</v>
      </c>
      <c r="Y77">
        <v>109</v>
      </c>
      <c r="AF77">
        <v>100</v>
      </c>
      <c r="AH77" t="s">
        <v>151</v>
      </c>
      <c r="AI77" t="s">
        <v>152</v>
      </c>
    </row>
    <row r="78" spans="1:35" x14ac:dyDescent="0.2">
      <c r="A78">
        <v>12397724611</v>
      </c>
      <c r="B78">
        <v>396431383</v>
      </c>
      <c r="C78" s="28">
        <v>44237.46974537037</v>
      </c>
      <c r="D78" s="28">
        <v>44237.470104166663</v>
      </c>
      <c r="E78" t="s">
        <v>388</v>
      </c>
      <c r="J78" t="s">
        <v>311</v>
      </c>
      <c r="K78" t="s">
        <v>390</v>
      </c>
      <c r="L78" t="s">
        <v>255</v>
      </c>
      <c r="M78" t="s">
        <v>170</v>
      </c>
      <c r="N78" t="s">
        <v>9</v>
      </c>
      <c r="O78" t="s">
        <v>391</v>
      </c>
      <c r="AH78" t="s">
        <v>151</v>
      </c>
      <c r="AI78" t="s">
        <v>152</v>
      </c>
    </row>
    <row r="79" spans="1:35" x14ac:dyDescent="0.2">
      <c r="A79">
        <v>12397723091</v>
      </c>
      <c r="B79">
        <v>396431383</v>
      </c>
      <c r="C79" s="28">
        <v>44237.468819444446</v>
      </c>
      <c r="D79" s="28">
        <v>44237.469583333332</v>
      </c>
      <c r="E79" t="s">
        <v>388</v>
      </c>
      <c r="J79" t="s">
        <v>311</v>
      </c>
      <c r="K79" t="s">
        <v>392</v>
      </c>
      <c r="L79" t="s">
        <v>249</v>
      </c>
      <c r="M79" t="s">
        <v>170</v>
      </c>
      <c r="N79" t="s">
        <v>9</v>
      </c>
      <c r="O79" t="s">
        <v>391</v>
      </c>
      <c r="AH79" t="s">
        <v>151</v>
      </c>
      <c r="AI79" t="s">
        <v>152</v>
      </c>
    </row>
    <row r="80" spans="1:35" x14ac:dyDescent="0.2">
      <c r="A80">
        <v>12396228154</v>
      </c>
      <c r="B80">
        <v>396431383</v>
      </c>
      <c r="C80" s="28">
        <v>44236.911886574075</v>
      </c>
      <c r="D80" s="28">
        <v>44236.914756944447</v>
      </c>
      <c r="E80" t="s">
        <v>393</v>
      </c>
      <c r="J80" t="s">
        <v>394</v>
      </c>
      <c r="K80" t="s">
        <v>395</v>
      </c>
      <c r="L80" t="s">
        <v>255</v>
      </c>
      <c r="M80" t="s">
        <v>152</v>
      </c>
      <c r="P80">
        <v>129</v>
      </c>
      <c r="R80">
        <v>15</v>
      </c>
      <c r="S80">
        <v>110</v>
      </c>
      <c r="W80">
        <v>4</v>
      </c>
      <c r="Y80">
        <v>19</v>
      </c>
      <c r="Z80">
        <v>110</v>
      </c>
      <c r="AF80">
        <v>100</v>
      </c>
      <c r="AH80" t="s">
        <v>151</v>
      </c>
      <c r="AI80" t="s">
        <v>152</v>
      </c>
    </row>
    <row r="81" spans="1:35" x14ac:dyDescent="0.2">
      <c r="A81">
        <v>12395085990</v>
      </c>
      <c r="B81">
        <v>396431383</v>
      </c>
      <c r="C81" s="28">
        <v>44236.669722222221</v>
      </c>
      <c r="D81" s="28">
        <v>44236.682789351849</v>
      </c>
      <c r="E81" t="s">
        <v>207</v>
      </c>
      <c r="J81" t="s">
        <v>208</v>
      </c>
      <c r="K81" t="s">
        <v>209</v>
      </c>
      <c r="L81" t="s">
        <v>255</v>
      </c>
      <c r="M81" t="s">
        <v>152</v>
      </c>
      <c r="P81">
        <v>75</v>
      </c>
      <c r="R81">
        <v>10</v>
      </c>
      <c r="S81">
        <v>65</v>
      </c>
      <c r="Y81">
        <v>75</v>
      </c>
      <c r="AF81">
        <v>100</v>
      </c>
      <c r="AH81" t="s">
        <v>151</v>
      </c>
      <c r="AI81" t="s">
        <v>152</v>
      </c>
    </row>
    <row r="82" spans="1:35" x14ac:dyDescent="0.2">
      <c r="A82">
        <v>12395071192</v>
      </c>
      <c r="B82">
        <v>396431383</v>
      </c>
      <c r="C82" s="28">
        <v>44236.667638888888</v>
      </c>
      <c r="D82" s="28">
        <v>44236.669479166667</v>
      </c>
      <c r="E82" t="s">
        <v>207</v>
      </c>
      <c r="J82" t="s">
        <v>208</v>
      </c>
      <c r="K82" t="s">
        <v>396</v>
      </c>
      <c r="L82" t="s">
        <v>249</v>
      </c>
      <c r="M82" t="s">
        <v>152</v>
      </c>
      <c r="P82">
        <v>410</v>
      </c>
      <c r="Q82">
        <v>350</v>
      </c>
      <c r="R82">
        <v>5</v>
      </c>
      <c r="X82">
        <v>55</v>
      </c>
      <c r="Y82">
        <v>405</v>
      </c>
      <c r="Z82">
        <v>5</v>
      </c>
      <c r="AF82">
        <v>93</v>
      </c>
      <c r="AG82">
        <v>7</v>
      </c>
      <c r="AH82" t="s">
        <v>151</v>
      </c>
      <c r="AI82" t="s">
        <v>152</v>
      </c>
    </row>
    <row r="83" spans="1:35" x14ac:dyDescent="0.2">
      <c r="A83">
        <v>12395028124</v>
      </c>
      <c r="B83">
        <v>396431383</v>
      </c>
      <c r="C83" s="28">
        <v>44236.659756944442</v>
      </c>
      <c r="D83" s="28">
        <v>44236.661481481482</v>
      </c>
      <c r="E83" t="s">
        <v>286</v>
      </c>
      <c r="J83" t="s">
        <v>397</v>
      </c>
      <c r="K83" t="s">
        <v>287</v>
      </c>
      <c r="L83" t="s">
        <v>255</v>
      </c>
      <c r="M83" t="s">
        <v>170</v>
      </c>
    </row>
    <row r="84" spans="1:35" x14ac:dyDescent="0.2">
      <c r="A84">
        <v>12394350710</v>
      </c>
      <c r="B84">
        <v>396431383</v>
      </c>
      <c r="C84" s="28">
        <v>44236.484027777777</v>
      </c>
      <c r="D84" s="28">
        <v>44236.489537037036</v>
      </c>
      <c r="E84" t="s">
        <v>398</v>
      </c>
      <c r="J84" t="s">
        <v>399</v>
      </c>
      <c r="K84" t="s">
        <v>400</v>
      </c>
      <c r="L84" t="s">
        <v>255</v>
      </c>
      <c r="M84" t="s">
        <v>152</v>
      </c>
      <c r="P84">
        <v>50</v>
      </c>
      <c r="Q84">
        <v>10</v>
      </c>
      <c r="V84">
        <v>40</v>
      </c>
      <c r="Y84">
        <v>50</v>
      </c>
      <c r="AF84">
        <v>100</v>
      </c>
      <c r="AH84" t="s">
        <v>151</v>
      </c>
      <c r="AI84" t="s">
        <v>152</v>
      </c>
    </row>
    <row r="85" spans="1:35" x14ac:dyDescent="0.2">
      <c r="A85">
        <v>12394349771</v>
      </c>
      <c r="B85">
        <v>396431383</v>
      </c>
      <c r="C85" s="28">
        <v>44236.483773148146</v>
      </c>
      <c r="D85" s="28">
        <v>44236.483969907407</v>
      </c>
      <c r="E85" t="s">
        <v>398</v>
      </c>
      <c r="J85" t="s">
        <v>399</v>
      </c>
      <c r="K85" t="s">
        <v>401</v>
      </c>
      <c r="L85" t="s">
        <v>255</v>
      </c>
      <c r="M85" t="s">
        <v>170</v>
      </c>
      <c r="N85" t="s">
        <v>402</v>
      </c>
      <c r="AH85" t="s">
        <v>151</v>
      </c>
      <c r="AI85" t="s">
        <v>152</v>
      </c>
    </row>
    <row r="86" spans="1:35" x14ac:dyDescent="0.2">
      <c r="A86">
        <v>12394347654</v>
      </c>
      <c r="B86">
        <v>396431383</v>
      </c>
      <c r="C86" s="28">
        <v>44236.48201388889</v>
      </c>
      <c r="D86" s="28">
        <v>44236.483506944445</v>
      </c>
      <c r="E86" t="s">
        <v>398</v>
      </c>
      <c r="J86" t="s">
        <v>399</v>
      </c>
      <c r="K86" t="s">
        <v>403</v>
      </c>
      <c r="L86" t="s">
        <v>255</v>
      </c>
      <c r="M86" t="s">
        <v>170</v>
      </c>
      <c r="N86" t="s">
        <v>402</v>
      </c>
      <c r="AH86" t="s">
        <v>151</v>
      </c>
      <c r="AI86" t="s">
        <v>152</v>
      </c>
    </row>
    <row r="87" spans="1:35" x14ac:dyDescent="0.2">
      <c r="A87">
        <v>12394148316</v>
      </c>
      <c r="B87">
        <v>396431383</v>
      </c>
      <c r="C87" s="28">
        <v>44236.406377314815</v>
      </c>
      <c r="D87" s="28">
        <v>44236.437303240738</v>
      </c>
      <c r="E87" t="s">
        <v>404</v>
      </c>
      <c r="J87" t="s">
        <v>353</v>
      </c>
      <c r="K87" t="s">
        <v>405</v>
      </c>
      <c r="L87" t="s">
        <v>255</v>
      </c>
      <c r="M87" t="s">
        <v>152</v>
      </c>
      <c r="P87">
        <v>4</v>
      </c>
      <c r="Q87">
        <v>1</v>
      </c>
      <c r="R87">
        <v>1</v>
      </c>
      <c r="T87">
        <v>2</v>
      </c>
      <c r="Y87">
        <v>3</v>
      </c>
      <c r="Z87">
        <v>1</v>
      </c>
      <c r="AF87">
        <v>100</v>
      </c>
      <c r="AH87" t="s">
        <v>151</v>
      </c>
      <c r="AI87" t="s">
        <v>170</v>
      </c>
    </row>
    <row r="88" spans="1:35" x14ac:dyDescent="0.2">
      <c r="A88">
        <v>12391608939</v>
      </c>
      <c r="B88">
        <v>396431383</v>
      </c>
      <c r="C88" s="28">
        <v>44235.626250000001</v>
      </c>
      <c r="D88" s="28">
        <v>44235.627013888887</v>
      </c>
      <c r="E88" t="s">
        <v>301</v>
      </c>
      <c r="J88" t="s">
        <v>304</v>
      </c>
      <c r="K88" t="s">
        <v>302</v>
      </c>
      <c r="L88" t="s">
        <v>249</v>
      </c>
      <c r="M88" t="s">
        <v>152</v>
      </c>
    </row>
    <row r="89" spans="1:35" x14ac:dyDescent="0.2">
      <c r="A89">
        <v>12386450134</v>
      </c>
      <c r="B89">
        <v>396431383</v>
      </c>
      <c r="C89" s="28">
        <v>44232.800092592595</v>
      </c>
      <c r="D89" s="28">
        <v>44232.805891203701</v>
      </c>
      <c r="E89" t="s">
        <v>406</v>
      </c>
      <c r="J89" t="s">
        <v>407</v>
      </c>
      <c r="K89" t="s">
        <v>408</v>
      </c>
      <c r="L89" t="s">
        <v>255</v>
      </c>
      <c r="M89" t="s">
        <v>152</v>
      </c>
      <c r="P89">
        <v>415</v>
      </c>
      <c r="Q89">
        <v>361</v>
      </c>
      <c r="R89">
        <v>54</v>
      </c>
      <c r="Y89">
        <v>128</v>
      </c>
      <c r="AA89">
        <v>287</v>
      </c>
      <c r="AF89">
        <v>100</v>
      </c>
      <c r="AH89" t="s">
        <v>151</v>
      </c>
      <c r="AI89" t="s">
        <v>152</v>
      </c>
    </row>
    <row r="90" spans="1:35" x14ac:dyDescent="0.2">
      <c r="A90">
        <v>12385088736</v>
      </c>
      <c r="B90">
        <v>396431383</v>
      </c>
      <c r="C90" s="28">
        <v>44232.455995370372</v>
      </c>
      <c r="D90" s="28">
        <v>44232.456747685188</v>
      </c>
      <c r="E90" t="s">
        <v>409</v>
      </c>
      <c r="J90" t="s">
        <v>410</v>
      </c>
      <c r="K90" t="s">
        <v>411</v>
      </c>
      <c r="L90" t="s">
        <v>249</v>
      </c>
      <c r="M90" t="s">
        <v>170</v>
      </c>
      <c r="N90" t="s">
        <v>9</v>
      </c>
      <c r="O90" t="s">
        <v>412</v>
      </c>
      <c r="AH90" t="s">
        <v>151</v>
      </c>
      <c r="AI90" t="s">
        <v>152</v>
      </c>
    </row>
    <row r="91" spans="1:35" x14ac:dyDescent="0.2">
      <c r="A91">
        <v>12385087627</v>
      </c>
      <c r="B91">
        <v>396431383</v>
      </c>
      <c r="C91" s="28">
        <v>44232.455254629633</v>
      </c>
      <c r="D91" s="28">
        <v>44232.45584490741</v>
      </c>
      <c r="E91" t="s">
        <v>409</v>
      </c>
      <c r="J91" t="s">
        <v>410</v>
      </c>
      <c r="K91" t="s">
        <v>411</v>
      </c>
      <c r="L91" t="s">
        <v>249</v>
      </c>
      <c r="M91" t="s">
        <v>152</v>
      </c>
    </row>
    <row r="92" spans="1:35" x14ac:dyDescent="0.2">
      <c r="A92">
        <v>12383203508</v>
      </c>
      <c r="B92">
        <v>396431383</v>
      </c>
      <c r="C92" s="28">
        <v>44231.821921296294</v>
      </c>
      <c r="D92" s="28">
        <v>44231.82267361111</v>
      </c>
      <c r="E92" t="s">
        <v>298</v>
      </c>
      <c r="J92" t="s">
        <v>299</v>
      </c>
      <c r="K92" t="s">
        <v>413</v>
      </c>
      <c r="L92" t="s">
        <v>255</v>
      </c>
      <c r="M92" t="s">
        <v>170</v>
      </c>
      <c r="N92" t="s">
        <v>9</v>
      </c>
      <c r="O92" t="s">
        <v>414</v>
      </c>
    </row>
    <row r="93" spans="1:35" x14ac:dyDescent="0.2">
      <c r="A93">
        <v>12382623162</v>
      </c>
      <c r="B93">
        <v>396431383</v>
      </c>
      <c r="C93" s="28">
        <v>44231.692870370367</v>
      </c>
      <c r="D93" s="28">
        <v>44231.703125</v>
      </c>
      <c r="E93" t="s">
        <v>415</v>
      </c>
      <c r="J93" t="s">
        <v>416</v>
      </c>
      <c r="K93" t="s">
        <v>417</v>
      </c>
      <c r="L93" t="s">
        <v>255</v>
      </c>
      <c r="M93" t="s">
        <v>152</v>
      </c>
      <c r="P93">
        <v>1382</v>
      </c>
      <c r="Q93">
        <v>961</v>
      </c>
      <c r="R93">
        <v>171</v>
      </c>
      <c r="S93">
        <v>250</v>
      </c>
      <c r="Y93">
        <v>478</v>
      </c>
      <c r="Z93">
        <v>904</v>
      </c>
      <c r="AD93">
        <v>27</v>
      </c>
      <c r="AF93">
        <v>73</v>
      </c>
      <c r="AH93" t="s">
        <v>151</v>
      </c>
      <c r="AI93" t="s">
        <v>152</v>
      </c>
    </row>
    <row r="94" spans="1:35" x14ac:dyDescent="0.2">
      <c r="A94">
        <v>12382489487</v>
      </c>
      <c r="B94">
        <v>396431383</v>
      </c>
      <c r="C94" s="28">
        <v>44231.664826388886</v>
      </c>
      <c r="D94" s="28">
        <v>44231.665752314817</v>
      </c>
      <c r="E94" t="s">
        <v>298</v>
      </c>
      <c r="J94" t="s">
        <v>299</v>
      </c>
      <c r="K94" t="s">
        <v>413</v>
      </c>
      <c r="L94" t="s">
        <v>255</v>
      </c>
      <c r="M94" t="s">
        <v>170</v>
      </c>
    </row>
    <row r="95" spans="1:35" x14ac:dyDescent="0.2">
      <c r="A95">
        <v>12382442676</v>
      </c>
      <c r="B95">
        <v>396431383</v>
      </c>
      <c r="C95" s="28">
        <v>44231.654895833337</v>
      </c>
      <c r="D95" s="28">
        <v>44231.656053240738</v>
      </c>
      <c r="E95" t="s">
        <v>418</v>
      </c>
      <c r="J95" t="s">
        <v>399</v>
      </c>
      <c r="K95" t="s">
        <v>403</v>
      </c>
      <c r="L95" t="s">
        <v>255</v>
      </c>
      <c r="M95" t="s">
        <v>170</v>
      </c>
      <c r="N95" t="s">
        <v>402</v>
      </c>
    </row>
    <row r="96" spans="1:35" x14ac:dyDescent="0.2">
      <c r="A96">
        <v>12379512943</v>
      </c>
      <c r="B96">
        <v>396431383</v>
      </c>
      <c r="C96" s="28">
        <v>44230.748738425929</v>
      </c>
      <c r="D96" s="28">
        <v>44230.772476851853</v>
      </c>
      <c r="E96" t="s">
        <v>267</v>
      </c>
      <c r="J96" t="s">
        <v>268</v>
      </c>
      <c r="K96" t="s">
        <v>419</v>
      </c>
      <c r="L96" t="s">
        <v>249</v>
      </c>
      <c r="M96" t="s">
        <v>152</v>
      </c>
      <c r="P96">
        <v>30</v>
      </c>
      <c r="V96">
        <v>30</v>
      </c>
      <c r="Y96">
        <v>30</v>
      </c>
      <c r="AG96">
        <v>100</v>
      </c>
      <c r="AH96" t="s">
        <v>151</v>
      </c>
      <c r="AI96" t="s">
        <v>152</v>
      </c>
    </row>
    <row r="97" spans="1:35" x14ac:dyDescent="0.2">
      <c r="A97">
        <v>12379481996</v>
      </c>
      <c r="B97">
        <v>396431383</v>
      </c>
      <c r="C97" s="28">
        <v>44230.745428240742</v>
      </c>
      <c r="D97" s="28">
        <v>44230.748599537037</v>
      </c>
      <c r="E97" t="s">
        <v>267</v>
      </c>
      <c r="J97" t="s">
        <v>268</v>
      </c>
      <c r="K97" t="s">
        <v>420</v>
      </c>
      <c r="L97" t="s">
        <v>249</v>
      </c>
      <c r="M97" t="s">
        <v>152</v>
      </c>
      <c r="P97">
        <v>6150000</v>
      </c>
      <c r="Q97">
        <v>4500000</v>
      </c>
      <c r="V97">
        <v>1650000</v>
      </c>
      <c r="Y97">
        <v>6150000</v>
      </c>
      <c r="AF97">
        <v>100</v>
      </c>
      <c r="AH97" t="s">
        <v>151</v>
      </c>
      <c r="AI97" t="s">
        <v>152</v>
      </c>
    </row>
    <row r="98" spans="1:35" x14ac:dyDescent="0.2">
      <c r="A98">
        <v>12378281166</v>
      </c>
      <c r="B98">
        <v>396431383</v>
      </c>
      <c r="C98" s="28">
        <v>44230.497847222221</v>
      </c>
      <c r="D98" s="28">
        <v>44230.498657407406</v>
      </c>
      <c r="E98" t="s">
        <v>421</v>
      </c>
      <c r="J98" t="s">
        <v>422</v>
      </c>
      <c r="K98" t="s">
        <v>423</v>
      </c>
      <c r="L98" t="s">
        <v>255</v>
      </c>
      <c r="M98" t="s">
        <v>152</v>
      </c>
      <c r="P98">
        <v>10</v>
      </c>
      <c r="U98">
        <v>10</v>
      </c>
      <c r="AA98">
        <v>10</v>
      </c>
      <c r="AF98">
        <v>100</v>
      </c>
      <c r="AH98" t="s">
        <v>151</v>
      </c>
      <c r="AI98" t="s">
        <v>152</v>
      </c>
    </row>
    <row r="99" spans="1:35" x14ac:dyDescent="0.2">
      <c r="A99">
        <v>12378275082</v>
      </c>
      <c r="B99">
        <v>396431383</v>
      </c>
      <c r="C99" s="28">
        <v>44230.495011574072</v>
      </c>
      <c r="D99" s="28">
        <v>44230.496342592596</v>
      </c>
      <c r="E99" t="s">
        <v>421</v>
      </c>
      <c r="J99" t="s">
        <v>422</v>
      </c>
      <c r="K99" t="s">
        <v>423</v>
      </c>
      <c r="L99" t="s">
        <v>255</v>
      </c>
      <c r="M99" t="s">
        <v>152</v>
      </c>
    </row>
    <row r="100" spans="1:35" x14ac:dyDescent="0.2">
      <c r="A100">
        <v>12378164773</v>
      </c>
      <c r="B100">
        <v>396431383</v>
      </c>
      <c r="C100" s="28">
        <v>44230.464629629627</v>
      </c>
      <c r="D100" s="28">
        <v>44230.46533564815</v>
      </c>
      <c r="E100" t="s">
        <v>424</v>
      </c>
      <c r="J100" t="s">
        <v>425</v>
      </c>
      <c r="K100" t="s">
        <v>426</v>
      </c>
      <c r="L100" t="s">
        <v>249</v>
      </c>
      <c r="M100" t="s">
        <v>152</v>
      </c>
      <c r="P100">
        <v>38</v>
      </c>
      <c r="Q100">
        <v>3</v>
      </c>
      <c r="V100">
        <v>35</v>
      </c>
      <c r="AD100">
        <v>90</v>
      </c>
      <c r="AF100">
        <v>10</v>
      </c>
      <c r="AH100" t="s">
        <v>151</v>
      </c>
      <c r="AI100" t="s">
        <v>152</v>
      </c>
    </row>
    <row r="101" spans="1:35" x14ac:dyDescent="0.2">
      <c r="A101">
        <v>12378156762</v>
      </c>
      <c r="B101">
        <v>396431383</v>
      </c>
      <c r="C101" s="28">
        <v>44230.462442129632</v>
      </c>
      <c r="D101" s="28">
        <v>44230.464432870373</v>
      </c>
      <c r="E101" t="s">
        <v>424</v>
      </c>
      <c r="J101" t="s">
        <v>425</v>
      </c>
      <c r="K101" t="s">
        <v>427</v>
      </c>
      <c r="L101" t="s">
        <v>249</v>
      </c>
      <c r="M101" t="s">
        <v>152</v>
      </c>
      <c r="P101">
        <v>209</v>
      </c>
      <c r="Q101">
        <v>186810000</v>
      </c>
      <c r="R101">
        <v>970000</v>
      </c>
      <c r="S101">
        <v>1300000</v>
      </c>
      <c r="V101">
        <v>20000000</v>
      </c>
      <c r="Y101">
        <v>209080000</v>
      </c>
      <c r="AF101">
        <v>100</v>
      </c>
      <c r="AH101" t="s">
        <v>151</v>
      </c>
      <c r="AI101" t="s">
        <v>152</v>
      </c>
    </row>
    <row r="102" spans="1:35" x14ac:dyDescent="0.2">
      <c r="A102">
        <v>12372012155</v>
      </c>
      <c r="B102">
        <v>396431383</v>
      </c>
      <c r="C102" s="28">
        <v>44228.576608796298</v>
      </c>
      <c r="D102" s="28">
        <v>44228.618506944447</v>
      </c>
      <c r="E102" t="s">
        <v>360</v>
      </c>
      <c r="J102" t="s">
        <v>361</v>
      </c>
      <c r="K102" t="s">
        <v>362</v>
      </c>
      <c r="L102" t="s">
        <v>249</v>
      </c>
      <c r="M102" t="s">
        <v>152</v>
      </c>
    </row>
    <row r="103" spans="1:35" x14ac:dyDescent="0.2">
      <c r="A103">
        <v>12365341529</v>
      </c>
      <c r="B103">
        <v>396431383</v>
      </c>
      <c r="C103" s="28">
        <v>44225.403587962966</v>
      </c>
      <c r="D103" s="28">
        <v>44225.412037037036</v>
      </c>
      <c r="E103" t="s">
        <v>428</v>
      </c>
      <c r="J103" t="s">
        <v>429</v>
      </c>
      <c r="K103" t="s">
        <v>430</v>
      </c>
      <c r="L103" t="s">
        <v>255</v>
      </c>
      <c r="M103" t="s">
        <v>152</v>
      </c>
      <c r="P103">
        <v>550</v>
      </c>
      <c r="Q103">
        <v>327</v>
      </c>
      <c r="R103">
        <v>50</v>
      </c>
      <c r="S103">
        <v>0</v>
      </c>
      <c r="T103">
        <v>0</v>
      </c>
      <c r="U103">
        <v>60</v>
      </c>
      <c r="V103">
        <v>41</v>
      </c>
      <c r="W103">
        <v>10</v>
      </c>
      <c r="X103">
        <v>62</v>
      </c>
      <c r="Y103">
        <v>204</v>
      </c>
      <c r="Z103">
        <v>51</v>
      </c>
      <c r="AA103">
        <v>295</v>
      </c>
      <c r="AD103">
        <v>15</v>
      </c>
      <c r="AF103">
        <v>85</v>
      </c>
      <c r="AH103" t="s">
        <v>151</v>
      </c>
      <c r="AI103" t="s">
        <v>152</v>
      </c>
    </row>
    <row r="104" spans="1:35" x14ac:dyDescent="0.2">
      <c r="A104">
        <v>12363460975</v>
      </c>
      <c r="B104">
        <v>396431383</v>
      </c>
      <c r="C104" s="28">
        <v>44224.786527777775</v>
      </c>
      <c r="D104" s="28">
        <v>44224.786828703705</v>
      </c>
      <c r="E104" t="s">
        <v>431</v>
      </c>
      <c r="J104" t="s">
        <v>432</v>
      </c>
      <c r="K104" t="s">
        <v>433</v>
      </c>
      <c r="L104" t="s">
        <v>255</v>
      </c>
      <c r="M104" t="s">
        <v>170</v>
      </c>
      <c r="N104" t="s">
        <v>9</v>
      </c>
      <c r="O104" t="s">
        <v>434</v>
      </c>
      <c r="AH104" t="s">
        <v>188</v>
      </c>
      <c r="AI104" t="s">
        <v>152</v>
      </c>
    </row>
    <row r="105" spans="1:35" x14ac:dyDescent="0.2">
      <c r="A105">
        <v>12363458858</v>
      </c>
      <c r="B105">
        <v>396431383</v>
      </c>
      <c r="C105" s="28">
        <v>44224.786111111112</v>
      </c>
      <c r="D105" s="28">
        <v>44224.786458333336</v>
      </c>
      <c r="E105" t="s">
        <v>431</v>
      </c>
      <c r="J105" t="s">
        <v>432</v>
      </c>
      <c r="K105" t="s">
        <v>435</v>
      </c>
      <c r="L105" t="s">
        <v>255</v>
      </c>
      <c r="M105" t="s">
        <v>170</v>
      </c>
      <c r="N105" t="s">
        <v>9</v>
      </c>
      <c r="O105" t="s">
        <v>436</v>
      </c>
      <c r="AH105" t="s">
        <v>188</v>
      </c>
      <c r="AI105" t="s">
        <v>152</v>
      </c>
    </row>
    <row r="106" spans="1:35" x14ac:dyDescent="0.2">
      <c r="A106">
        <v>12363455099</v>
      </c>
      <c r="B106">
        <v>396431383</v>
      </c>
      <c r="C106" s="28">
        <v>44224.785185185188</v>
      </c>
      <c r="D106" s="28">
        <v>44224.786030092589</v>
      </c>
      <c r="E106" t="s">
        <v>431</v>
      </c>
      <c r="J106" t="s">
        <v>432</v>
      </c>
      <c r="K106" t="s">
        <v>437</v>
      </c>
      <c r="L106" t="s">
        <v>255</v>
      </c>
      <c r="M106" t="s">
        <v>170</v>
      </c>
      <c r="N106" t="s">
        <v>9</v>
      </c>
      <c r="O106" t="s">
        <v>434</v>
      </c>
      <c r="AH106" t="s">
        <v>188</v>
      </c>
      <c r="AI106" t="s">
        <v>152</v>
      </c>
    </row>
    <row r="107" spans="1:35" x14ac:dyDescent="0.2">
      <c r="A107">
        <v>12363449210</v>
      </c>
      <c r="B107">
        <v>396431383</v>
      </c>
      <c r="C107" s="28">
        <v>44224.783020833333</v>
      </c>
      <c r="D107" s="28">
        <v>44224.784884259258</v>
      </c>
      <c r="E107" t="s">
        <v>431</v>
      </c>
      <c r="J107" t="s">
        <v>432</v>
      </c>
      <c r="K107" t="s">
        <v>438</v>
      </c>
      <c r="L107" t="s">
        <v>255</v>
      </c>
      <c r="M107" t="s">
        <v>152</v>
      </c>
      <c r="P107">
        <v>520</v>
      </c>
      <c r="Q107">
        <v>260</v>
      </c>
      <c r="R107">
        <v>260</v>
      </c>
      <c r="Y107">
        <v>520</v>
      </c>
      <c r="AD107">
        <v>100</v>
      </c>
      <c r="AH107" t="s">
        <v>169</v>
      </c>
      <c r="AI107" t="s">
        <v>152</v>
      </c>
    </row>
    <row r="108" spans="1:35" x14ac:dyDescent="0.2">
      <c r="A108">
        <v>12363437410</v>
      </c>
      <c r="B108">
        <v>396431383</v>
      </c>
      <c r="C108" s="28">
        <v>44224.781307870369</v>
      </c>
      <c r="D108" s="28">
        <v>44224.781689814816</v>
      </c>
      <c r="E108" t="s">
        <v>439</v>
      </c>
      <c r="J108" t="s">
        <v>440</v>
      </c>
      <c r="K108" t="s">
        <v>441</v>
      </c>
      <c r="L108" t="s">
        <v>249</v>
      </c>
      <c r="M108" t="s">
        <v>170</v>
      </c>
      <c r="N108" t="s">
        <v>9</v>
      </c>
      <c r="O108" t="s">
        <v>442</v>
      </c>
      <c r="AH108" t="s">
        <v>151</v>
      </c>
      <c r="AI108" t="s">
        <v>170</v>
      </c>
    </row>
    <row r="109" spans="1:35" x14ac:dyDescent="0.2">
      <c r="A109">
        <v>12363423266</v>
      </c>
      <c r="B109">
        <v>396431383</v>
      </c>
      <c r="C109" s="28">
        <v>44224.777951388889</v>
      </c>
      <c r="D109" s="28">
        <v>44224.779340277775</v>
      </c>
      <c r="E109" t="s">
        <v>439</v>
      </c>
      <c r="J109" t="s">
        <v>440</v>
      </c>
      <c r="K109" t="s">
        <v>443</v>
      </c>
      <c r="L109" t="s">
        <v>249</v>
      </c>
      <c r="M109" t="s">
        <v>170</v>
      </c>
      <c r="N109" t="s">
        <v>9</v>
      </c>
      <c r="O109" t="s">
        <v>444</v>
      </c>
      <c r="AH109" t="s">
        <v>151</v>
      </c>
      <c r="AI109" t="s">
        <v>170</v>
      </c>
    </row>
    <row r="110" spans="1:35" x14ac:dyDescent="0.2">
      <c r="A110">
        <v>12362733402</v>
      </c>
      <c r="B110">
        <v>396431383</v>
      </c>
      <c r="C110" s="28">
        <v>44224.637118055558</v>
      </c>
      <c r="D110" s="28">
        <v>44224.640150462961</v>
      </c>
      <c r="E110" t="s">
        <v>445</v>
      </c>
      <c r="J110" t="s">
        <v>446</v>
      </c>
      <c r="K110" t="s">
        <v>447</v>
      </c>
      <c r="L110" t="s">
        <v>249</v>
      </c>
      <c r="M110" t="s">
        <v>152</v>
      </c>
      <c r="P110">
        <v>1</v>
      </c>
      <c r="X110">
        <v>1</v>
      </c>
      <c r="Y110">
        <v>1</v>
      </c>
      <c r="AF110">
        <v>100</v>
      </c>
      <c r="AH110" t="s">
        <v>151</v>
      </c>
      <c r="AI110" t="s">
        <v>170</v>
      </c>
    </row>
    <row r="111" spans="1:35" x14ac:dyDescent="0.2">
      <c r="A111">
        <v>12362719255</v>
      </c>
      <c r="B111">
        <v>396431383</v>
      </c>
      <c r="C111" s="28">
        <v>44224.635752314818</v>
      </c>
      <c r="D111" s="28">
        <v>44224.636273148149</v>
      </c>
      <c r="E111" t="s">
        <v>448</v>
      </c>
      <c r="J111" t="s">
        <v>449</v>
      </c>
      <c r="K111" t="s">
        <v>450</v>
      </c>
      <c r="L111" t="s">
        <v>255</v>
      </c>
      <c r="M111" t="s">
        <v>170</v>
      </c>
      <c r="N111" t="s">
        <v>9</v>
      </c>
      <c r="O111" t="s">
        <v>451</v>
      </c>
      <c r="AH111" t="s">
        <v>151</v>
      </c>
      <c r="AI111" t="s">
        <v>152</v>
      </c>
    </row>
    <row r="112" spans="1:35" x14ac:dyDescent="0.2">
      <c r="A112">
        <v>12362342836</v>
      </c>
      <c r="B112">
        <v>396431383</v>
      </c>
      <c r="C112" s="28">
        <v>44224.546805555554</v>
      </c>
      <c r="D112" s="28">
        <v>44224.550740740742</v>
      </c>
      <c r="E112" t="s">
        <v>452</v>
      </c>
      <c r="J112" t="s">
        <v>283</v>
      </c>
      <c r="K112" t="s">
        <v>453</v>
      </c>
      <c r="L112" t="s">
        <v>249</v>
      </c>
      <c r="M112" t="s">
        <v>152</v>
      </c>
      <c r="P112">
        <v>68</v>
      </c>
      <c r="Q112">
        <v>68</v>
      </c>
      <c r="Y112">
        <v>68</v>
      </c>
      <c r="AF112">
        <v>100</v>
      </c>
      <c r="AH112" t="s">
        <v>169</v>
      </c>
      <c r="AI112" t="s">
        <v>170</v>
      </c>
    </row>
    <row r="113" spans="1:35" x14ac:dyDescent="0.2">
      <c r="A113">
        <v>12362235624</v>
      </c>
      <c r="B113">
        <v>396431383</v>
      </c>
      <c r="C113" s="28">
        <v>44224.517650462964</v>
      </c>
      <c r="D113" s="28">
        <v>44224.518194444441</v>
      </c>
      <c r="E113" t="s">
        <v>454</v>
      </c>
      <c r="J113" t="s">
        <v>455</v>
      </c>
      <c r="K113" t="s">
        <v>456</v>
      </c>
      <c r="L113" t="s">
        <v>249</v>
      </c>
      <c r="M113" t="s">
        <v>152</v>
      </c>
    </row>
    <row r="114" spans="1:35" x14ac:dyDescent="0.2">
      <c r="A114">
        <v>12362145127</v>
      </c>
      <c r="B114">
        <v>396431383</v>
      </c>
      <c r="C114" s="28">
        <v>44224.492349537039</v>
      </c>
      <c r="D114" s="28">
        <v>44224.492673611108</v>
      </c>
      <c r="E114" t="s">
        <v>457</v>
      </c>
      <c r="J114" t="s">
        <v>458</v>
      </c>
      <c r="K114" t="s">
        <v>459</v>
      </c>
      <c r="L114" t="s">
        <v>249</v>
      </c>
      <c r="M114" t="s">
        <v>170</v>
      </c>
    </row>
    <row r="115" spans="1:35" x14ac:dyDescent="0.2">
      <c r="A115">
        <v>12362048096</v>
      </c>
      <c r="B115">
        <v>396431383</v>
      </c>
      <c r="C115" s="28">
        <v>44224.462627314817</v>
      </c>
      <c r="D115" s="28">
        <v>44224.463194444441</v>
      </c>
      <c r="E115" t="s">
        <v>460</v>
      </c>
      <c r="J115" t="s">
        <v>205</v>
      </c>
      <c r="K115" t="s">
        <v>461</v>
      </c>
      <c r="L115" t="s">
        <v>255</v>
      </c>
      <c r="M115" t="s">
        <v>152</v>
      </c>
    </row>
    <row r="116" spans="1:35" x14ac:dyDescent="0.2">
      <c r="A116">
        <v>12361936786</v>
      </c>
      <c r="B116">
        <v>396431383</v>
      </c>
      <c r="C116" s="28">
        <v>44224.422233796293</v>
      </c>
      <c r="D116" s="28">
        <v>44224.432025462964</v>
      </c>
      <c r="E116" t="s">
        <v>357</v>
      </c>
      <c r="J116" t="s">
        <v>462</v>
      </c>
      <c r="K116" t="s">
        <v>463</v>
      </c>
      <c r="L116" t="s">
        <v>249</v>
      </c>
      <c r="M116" t="s">
        <v>152</v>
      </c>
      <c r="P116">
        <v>5339993</v>
      </c>
      <c r="Q116">
        <v>5000000</v>
      </c>
      <c r="X116">
        <v>339993</v>
      </c>
      <c r="Y116">
        <v>5339993</v>
      </c>
      <c r="AF116">
        <v>100</v>
      </c>
      <c r="AH116" t="s">
        <v>151</v>
      </c>
      <c r="AI116" t="s">
        <v>152</v>
      </c>
    </row>
    <row r="117" spans="1:35" x14ac:dyDescent="0.2">
      <c r="A117">
        <v>12361876256</v>
      </c>
      <c r="B117">
        <v>396431383</v>
      </c>
      <c r="C117" s="28">
        <v>44224.408206018517</v>
      </c>
      <c r="D117" s="28">
        <v>44224.409074074072</v>
      </c>
      <c r="E117" t="s">
        <v>464</v>
      </c>
      <c r="J117" t="s">
        <v>465</v>
      </c>
      <c r="K117" t="s">
        <v>466</v>
      </c>
      <c r="L117" t="s">
        <v>255</v>
      </c>
      <c r="M117" t="s">
        <v>170</v>
      </c>
      <c r="N117" t="s">
        <v>9</v>
      </c>
      <c r="O117" t="s">
        <v>467</v>
      </c>
      <c r="AH117" t="s">
        <v>151</v>
      </c>
      <c r="AI117" t="s">
        <v>152</v>
      </c>
    </row>
    <row r="118" spans="1:35" x14ac:dyDescent="0.2">
      <c r="A118">
        <v>12361871917</v>
      </c>
      <c r="B118">
        <v>396431383</v>
      </c>
      <c r="C118" s="28">
        <v>44224.406666666669</v>
      </c>
      <c r="D118" s="28">
        <v>44224.407430555555</v>
      </c>
      <c r="E118" t="s">
        <v>468</v>
      </c>
      <c r="J118" t="s">
        <v>469</v>
      </c>
      <c r="K118" t="s">
        <v>470</v>
      </c>
      <c r="L118" t="s">
        <v>255</v>
      </c>
      <c r="M118" t="s">
        <v>170</v>
      </c>
      <c r="N118" t="s">
        <v>9</v>
      </c>
      <c r="O118" t="s">
        <v>471</v>
      </c>
      <c r="AH118" t="s">
        <v>151</v>
      </c>
      <c r="AI118" t="s">
        <v>170</v>
      </c>
    </row>
    <row r="119" spans="1:35" x14ac:dyDescent="0.2">
      <c r="A119">
        <v>12361856422</v>
      </c>
      <c r="B119">
        <v>396431383</v>
      </c>
      <c r="C119" s="28">
        <v>44224.400289351855</v>
      </c>
      <c r="D119" s="28">
        <v>44224.401064814818</v>
      </c>
      <c r="E119" t="s">
        <v>445</v>
      </c>
      <c r="J119" t="s">
        <v>472</v>
      </c>
      <c r="K119" t="s">
        <v>473</v>
      </c>
      <c r="L119" t="s">
        <v>249</v>
      </c>
      <c r="M119" t="s">
        <v>152</v>
      </c>
    </row>
    <row r="120" spans="1:35" x14ac:dyDescent="0.2">
      <c r="A120">
        <v>12361739604</v>
      </c>
      <c r="B120">
        <v>396431383</v>
      </c>
      <c r="C120" s="28">
        <v>44224.353101851855</v>
      </c>
      <c r="D120" s="28">
        <v>44224.353483796294</v>
      </c>
      <c r="E120" t="s">
        <v>474</v>
      </c>
      <c r="J120" t="s">
        <v>353</v>
      </c>
      <c r="K120" t="s">
        <v>475</v>
      </c>
      <c r="L120" t="s">
        <v>255</v>
      </c>
      <c r="M120" t="s">
        <v>170</v>
      </c>
    </row>
    <row r="121" spans="1:35" x14ac:dyDescent="0.2">
      <c r="A121">
        <v>12361732394</v>
      </c>
      <c r="B121">
        <v>396431383</v>
      </c>
      <c r="C121" s="28">
        <v>44224.33798611111</v>
      </c>
      <c r="D121" s="28">
        <v>44224.385011574072</v>
      </c>
      <c r="E121" t="s">
        <v>476</v>
      </c>
      <c r="J121" t="s">
        <v>477</v>
      </c>
      <c r="K121" t="s">
        <v>411</v>
      </c>
      <c r="L121" t="s">
        <v>249</v>
      </c>
      <c r="M121" t="s">
        <v>152</v>
      </c>
      <c r="P121">
        <v>726</v>
      </c>
      <c r="Q121">
        <v>303</v>
      </c>
      <c r="R121">
        <v>256</v>
      </c>
      <c r="S121">
        <v>0</v>
      </c>
      <c r="T121">
        <v>0</v>
      </c>
      <c r="U121">
        <v>57</v>
      </c>
      <c r="V121">
        <v>0</v>
      </c>
      <c r="W121">
        <v>1</v>
      </c>
      <c r="X121">
        <v>142</v>
      </c>
      <c r="Y121">
        <v>726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100</v>
      </c>
      <c r="AG121">
        <v>0</v>
      </c>
    </row>
    <row r="122" spans="1:35" x14ac:dyDescent="0.2">
      <c r="A122">
        <v>12361700301</v>
      </c>
      <c r="B122">
        <v>396431383</v>
      </c>
      <c r="C122" s="28">
        <v>44224.334907407407</v>
      </c>
      <c r="D122" s="28">
        <v>44224.335960648146</v>
      </c>
      <c r="E122" t="s">
        <v>478</v>
      </c>
      <c r="J122" t="s">
        <v>479</v>
      </c>
      <c r="K122" t="s">
        <v>480</v>
      </c>
      <c r="L122" t="s">
        <v>255</v>
      </c>
      <c r="M122" t="s">
        <v>152</v>
      </c>
      <c r="P122">
        <v>24</v>
      </c>
      <c r="Q122">
        <v>10</v>
      </c>
      <c r="W122">
        <v>14</v>
      </c>
      <c r="Y122">
        <v>24</v>
      </c>
      <c r="AD122">
        <v>4</v>
      </c>
      <c r="AE122">
        <v>96</v>
      </c>
      <c r="AH122" t="s">
        <v>151</v>
      </c>
      <c r="AI122" t="s">
        <v>170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7614-4581-4CAB-A079-D4CCEDB91D6A}">
  <dimension ref="A1:E43"/>
  <sheetViews>
    <sheetView topLeftCell="A25" workbookViewId="0">
      <selection activeCell="A21" sqref="A21:E43"/>
    </sheetView>
  </sheetViews>
  <sheetFormatPr defaultRowHeight="12.75" x14ac:dyDescent="0.2"/>
  <cols>
    <col min="1" max="1" width="43" customWidth="1"/>
    <col min="2" max="2" width="20.28515625" customWidth="1"/>
    <col min="3" max="3" width="24.5703125" customWidth="1"/>
    <col min="4" max="4" width="25.42578125" customWidth="1"/>
  </cols>
  <sheetData>
    <row r="1" spans="1:5" s="20" customFormat="1" ht="15" x14ac:dyDescent="0.25">
      <c r="A1" s="20" t="s">
        <v>62</v>
      </c>
      <c r="B1" s="20" t="s">
        <v>63</v>
      </c>
      <c r="C1" s="20" t="s">
        <v>64</v>
      </c>
      <c r="D1" s="20" t="s">
        <v>65</v>
      </c>
      <c r="E1" s="20" t="s">
        <v>66</v>
      </c>
    </row>
    <row r="2" spans="1:5" s="20" customFormat="1" ht="15" x14ac:dyDescent="0.25">
      <c r="A2" s="34" t="s">
        <v>483</v>
      </c>
      <c r="D2" s="34" t="s">
        <v>211</v>
      </c>
      <c r="E2" s="34" t="s">
        <v>69</v>
      </c>
    </row>
    <row r="3" spans="1:5" ht="15" x14ac:dyDescent="0.25">
      <c r="A3" s="25" t="s">
        <v>67</v>
      </c>
      <c r="B3" s="21"/>
      <c r="C3" s="25"/>
      <c r="D3" s="20" t="s">
        <v>68</v>
      </c>
      <c r="E3" s="22" t="s">
        <v>69</v>
      </c>
    </row>
    <row r="4" spans="1:5" ht="15" x14ac:dyDescent="0.25">
      <c r="A4" s="25" t="s">
        <v>70</v>
      </c>
      <c r="B4" s="21"/>
      <c r="C4" s="25"/>
      <c r="D4" s="20" t="s">
        <v>71</v>
      </c>
      <c r="E4" s="22" t="s">
        <v>69</v>
      </c>
    </row>
    <row r="5" spans="1:5" ht="15" x14ac:dyDescent="0.25">
      <c r="A5" s="25" t="s">
        <v>72</v>
      </c>
      <c r="B5" s="21"/>
      <c r="C5" s="25"/>
      <c r="D5" s="20" t="s">
        <v>73</v>
      </c>
      <c r="E5" s="22" t="s">
        <v>69</v>
      </c>
    </row>
    <row r="6" spans="1:5" ht="15" x14ac:dyDescent="0.25">
      <c r="A6" s="25" t="s">
        <v>74</v>
      </c>
      <c r="B6" s="21"/>
      <c r="C6" s="25"/>
      <c r="D6" s="20" t="s">
        <v>75</v>
      </c>
      <c r="E6" s="22" t="s">
        <v>69</v>
      </c>
    </row>
    <row r="7" spans="1:5" ht="15" x14ac:dyDescent="0.25">
      <c r="A7" s="25" t="s">
        <v>76</v>
      </c>
      <c r="B7" s="21"/>
      <c r="C7" s="25"/>
      <c r="D7" s="20" t="s">
        <v>77</v>
      </c>
      <c r="E7" s="22" t="s">
        <v>69</v>
      </c>
    </row>
    <row r="8" spans="1:5" ht="15" x14ac:dyDescent="0.25">
      <c r="A8" s="25" t="s">
        <v>78</v>
      </c>
      <c r="B8" s="21"/>
      <c r="C8" s="25"/>
      <c r="D8" s="20" t="s">
        <v>79</v>
      </c>
      <c r="E8" s="22" t="s">
        <v>69</v>
      </c>
    </row>
    <row r="9" spans="1:5" ht="15" x14ac:dyDescent="0.25">
      <c r="A9" s="25" t="s">
        <v>80</v>
      </c>
      <c r="B9" s="21"/>
      <c r="C9" s="25"/>
      <c r="D9" s="20" t="s">
        <v>81</v>
      </c>
      <c r="E9" s="22" t="s">
        <v>69</v>
      </c>
    </row>
    <row r="10" spans="1:5" ht="15" x14ac:dyDescent="0.25">
      <c r="A10" s="25" t="s">
        <v>82</v>
      </c>
      <c r="B10" s="21"/>
      <c r="C10" s="25"/>
      <c r="D10" s="20" t="s">
        <v>83</v>
      </c>
      <c r="E10" s="22" t="s">
        <v>69</v>
      </c>
    </row>
    <row r="11" spans="1:5" ht="15" x14ac:dyDescent="0.25">
      <c r="A11" s="25" t="s">
        <v>84</v>
      </c>
      <c r="B11" s="21"/>
      <c r="C11" s="25"/>
      <c r="D11" s="20" t="s">
        <v>85</v>
      </c>
      <c r="E11" s="22" t="s">
        <v>69</v>
      </c>
    </row>
    <row r="12" spans="1:5" ht="15" x14ac:dyDescent="0.25">
      <c r="A12" s="25" t="s">
        <v>32</v>
      </c>
      <c r="B12" s="21"/>
      <c r="C12" s="25" t="s">
        <v>86</v>
      </c>
      <c r="D12" s="20" t="s">
        <v>210</v>
      </c>
      <c r="E12" s="22" t="s">
        <v>69</v>
      </c>
    </row>
    <row r="13" spans="1:5" ht="15" x14ac:dyDescent="0.25">
      <c r="A13" s="25" t="s">
        <v>153</v>
      </c>
      <c r="B13" s="21"/>
      <c r="C13" s="25" t="s">
        <v>86</v>
      </c>
      <c r="D13" s="20" t="s">
        <v>87</v>
      </c>
      <c r="E13" s="22" t="s">
        <v>69</v>
      </c>
    </row>
    <row r="14" spans="1:5" s="20" customFormat="1" ht="15" x14ac:dyDescent="0.25">
      <c r="A14" s="25" t="s">
        <v>245</v>
      </c>
      <c r="B14" s="21"/>
      <c r="C14" s="25" t="s">
        <v>97</v>
      </c>
      <c r="D14" s="20" t="s">
        <v>94</v>
      </c>
      <c r="E14" s="22" t="s">
        <v>69</v>
      </c>
    </row>
    <row r="15" spans="1:5" s="20" customFormat="1" ht="15" x14ac:dyDescent="0.25">
      <c r="A15" s="21" t="s">
        <v>88</v>
      </c>
      <c r="B15" s="21"/>
      <c r="C15" s="25"/>
      <c r="D15" s="20" t="s">
        <v>89</v>
      </c>
      <c r="E15" s="22" t="s">
        <v>69</v>
      </c>
    </row>
    <row r="16" spans="1:5" s="20" customFormat="1" ht="15" x14ac:dyDescent="0.25">
      <c r="A16" s="21" t="s">
        <v>90</v>
      </c>
      <c r="B16" s="21"/>
      <c r="C16" s="25"/>
      <c r="D16" s="20" t="s">
        <v>91</v>
      </c>
      <c r="E16" s="22" t="s">
        <v>69</v>
      </c>
    </row>
    <row r="17" spans="1:5" s="20" customFormat="1" ht="15" x14ac:dyDescent="0.25">
      <c r="A17" s="21" t="s">
        <v>34</v>
      </c>
      <c r="B17" s="21"/>
      <c r="C17" s="25"/>
      <c r="D17" s="20" t="s">
        <v>144</v>
      </c>
      <c r="E17" s="22" t="s">
        <v>69</v>
      </c>
    </row>
    <row r="18" spans="1:5" s="20" customFormat="1" ht="15" x14ac:dyDescent="0.25">
      <c r="A18" s="21" t="s">
        <v>39</v>
      </c>
      <c r="B18" s="21"/>
      <c r="C18" s="25"/>
      <c r="D18" s="34" t="s">
        <v>481</v>
      </c>
      <c r="E18" s="22" t="s">
        <v>69</v>
      </c>
    </row>
    <row r="19" spans="1:5" s="20" customFormat="1" ht="15" x14ac:dyDescent="0.25">
      <c r="A19" s="21" t="s">
        <v>40</v>
      </c>
      <c r="B19" s="21"/>
      <c r="C19" s="25"/>
      <c r="D19" s="20" t="s">
        <v>482</v>
      </c>
      <c r="E19" s="22" t="s">
        <v>69</v>
      </c>
    </row>
    <row r="20" spans="1:5" s="20" customFormat="1" ht="15" x14ac:dyDescent="0.25">
      <c r="A20" s="21" t="s">
        <v>35</v>
      </c>
      <c r="B20" s="21"/>
      <c r="C20" s="25"/>
      <c r="D20" s="20" t="s">
        <v>95</v>
      </c>
      <c r="E20" s="22" t="s">
        <v>69</v>
      </c>
    </row>
    <row r="21" spans="1:5" s="20" customFormat="1" ht="15" x14ac:dyDescent="0.25">
      <c r="A21" s="25" t="s">
        <v>154</v>
      </c>
      <c r="B21" s="21" t="s">
        <v>96</v>
      </c>
      <c r="C21" s="25" t="s">
        <v>97</v>
      </c>
      <c r="D21" s="23" t="s">
        <v>96</v>
      </c>
      <c r="E21" s="22" t="s">
        <v>69</v>
      </c>
    </row>
    <row r="22" spans="1:5" s="20" customFormat="1" ht="15" x14ac:dyDescent="0.25">
      <c r="A22" s="25" t="s">
        <v>147</v>
      </c>
      <c r="B22" s="21" t="s">
        <v>98</v>
      </c>
      <c r="C22" s="25" t="s">
        <v>97</v>
      </c>
      <c r="D22" s="23" t="s">
        <v>98</v>
      </c>
      <c r="E22" s="22" t="s">
        <v>69</v>
      </c>
    </row>
    <row r="23" spans="1:5" s="20" customFormat="1" ht="15" x14ac:dyDescent="0.25">
      <c r="A23" s="25"/>
      <c r="B23" s="21"/>
      <c r="C23" s="25" t="s">
        <v>9</v>
      </c>
      <c r="D23" s="20" t="s">
        <v>99</v>
      </c>
      <c r="E23" s="22" t="s">
        <v>69</v>
      </c>
    </row>
    <row r="24" spans="1:5" s="20" customFormat="1" ht="15" x14ac:dyDescent="0.25">
      <c r="A24" s="25" t="s">
        <v>156</v>
      </c>
      <c r="B24" s="21" t="s">
        <v>101</v>
      </c>
      <c r="C24" s="25" t="s">
        <v>86</v>
      </c>
      <c r="D24" s="23" t="s">
        <v>101</v>
      </c>
      <c r="E24" s="22" t="s">
        <v>102</v>
      </c>
    </row>
    <row r="25" spans="1:5" ht="15" x14ac:dyDescent="0.25">
      <c r="A25" s="25" t="s">
        <v>246</v>
      </c>
      <c r="B25" s="21" t="s">
        <v>103</v>
      </c>
      <c r="C25" s="25" t="s">
        <v>104</v>
      </c>
      <c r="D25" s="24" t="s">
        <v>105</v>
      </c>
      <c r="E25" s="22" t="s">
        <v>102</v>
      </c>
    </row>
    <row r="26" spans="1:5" ht="15" x14ac:dyDescent="0.25">
      <c r="A26" s="25"/>
      <c r="B26" s="21"/>
      <c r="C26" s="25" t="s">
        <v>106</v>
      </c>
      <c r="D26" s="24" t="s">
        <v>107</v>
      </c>
      <c r="E26" s="22" t="s">
        <v>102</v>
      </c>
    </row>
    <row r="27" spans="1:5" ht="15" x14ac:dyDescent="0.25">
      <c r="A27" s="25"/>
      <c r="B27" s="21"/>
      <c r="C27" s="25" t="s">
        <v>148</v>
      </c>
      <c r="D27" s="24" t="s">
        <v>109</v>
      </c>
      <c r="E27" s="22" t="s">
        <v>102</v>
      </c>
    </row>
    <row r="28" spans="1:5" ht="15" x14ac:dyDescent="0.25">
      <c r="A28" s="25"/>
      <c r="B28" s="21"/>
      <c r="C28" s="25" t="s">
        <v>110</v>
      </c>
      <c r="D28" s="24" t="s">
        <v>111</v>
      </c>
      <c r="E28" s="22" t="s">
        <v>102</v>
      </c>
    </row>
    <row r="29" spans="1:5" ht="15" x14ac:dyDescent="0.25">
      <c r="A29" s="25"/>
      <c r="B29" s="21"/>
      <c r="C29" s="25" t="s">
        <v>112</v>
      </c>
      <c r="D29" s="24" t="s">
        <v>113</v>
      </c>
      <c r="E29" s="22" t="s">
        <v>102</v>
      </c>
    </row>
    <row r="30" spans="1:5" ht="15" x14ac:dyDescent="0.25">
      <c r="A30" s="25"/>
      <c r="B30" s="21"/>
      <c r="C30" s="25" t="s">
        <v>114</v>
      </c>
      <c r="D30" s="24" t="s">
        <v>115</v>
      </c>
      <c r="E30" s="22" t="s">
        <v>102</v>
      </c>
    </row>
    <row r="31" spans="1:5" ht="15" x14ac:dyDescent="0.25">
      <c r="A31" s="25"/>
      <c r="B31" s="21"/>
      <c r="C31" s="25" t="s">
        <v>149</v>
      </c>
      <c r="D31" s="24" t="s">
        <v>117</v>
      </c>
      <c r="E31" s="22" t="s">
        <v>102</v>
      </c>
    </row>
    <row r="32" spans="1:5" ht="15" x14ac:dyDescent="0.25">
      <c r="A32" s="25"/>
      <c r="B32" s="21"/>
      <c r="C32" s="25" t="s">
        <v>20</v>
      </c>
      <c r="D32" s="24" t="s">
        <v>118</v>
      </c>
      <c r="E32" s="22" t="s">
        <v>102</v>
      </c>
    </row>
    <row r="33" spans="1:5" ht="15" x14ac:dyDescent="0.25">
      <c r="A33" s="25" t="s">
        <v>247</v>
      </c>
      <c r="B33" s="21" t="s">
        <v>119</v>
      </c>
      <c r="C33" s="25" t="s">
        <v>21</v>
      </c>
      <c r="D33" s="24" t="s">
        <v>120</v>
      </c>
      <c r="E33" s="22" t="s">
        <v>102</v>
      </c>
    </row>
    <row r="34" spans="1:5" ht="15" x14ac:dyDescent="0.25">
      <c r="A34" s="25"/>
      <c r="B34" s="21" t="str">
        <f t="shared" ref="B34:B36" si="0">B33</f>
        <v>q5</v>
      </c>
      <c r="C34" s="25" t="s">
        <v>121</v>
      </c>
      <c r="D34" s="24" t="s">
        <v>122</v>
      </c>
      <c r="E34" s="22" t="s">
        <v>102</v>
      </c>
    </row>
    <row r="35" spans="1:5" ht="15" x14ac:dyDescent="0.25">
      <c r="A35" s="25"/>
      <c r="B35" s="21" t="str">
        <f t="shared" si="0"/>
        <v>q5</v>
      </c>
      <c r="C35" s="25" t="s">
        <v>123</v>
      </c>
      <c r="D35" s="24" t="s">
        <v>124</v>
      </c>
      <c r="E35" s="22" t="s">
        <v>102</v>
      </c>
    </row>
    <row r="36" spans="1:5" ht="15" x14ac:dyDescent="0.25">
      <c r="A36" s="25"/>
      <c r="B36" s="21" t="str">
        <f t="shared" si="0"/>
        <v>q5</v>
      </c>
      <c r="C36" s="25" t="s">
        <v>125</v>
      </c>
      <c r="D36" s="24" t="s">
        <v>126</v>
      </c>
      <c r="E36" s="22" t="s">
        <v>102</v>
      </c>
    </row>
    <row r="37" spans="1:5" ht="15" x14ac:dyDescent="0.25">
      <c r="A37" s="25"/>
      <c r="B37" s="21" t="s">
        <v>119</v>
      </c>
      <c r="C37" s="25" t="s">
        <v>25</v>
      </c>
      <c r="D37" s="24" t="s">
        <v>127</v>
      </c>
      <c r="E37" s="22" t="s">
        <v>102</v>
      </c>
    </row>
    <row r="38" spans="1:5" ht="15" x14ac:dyDescent="0.25">
      <c r="A38" s="25" t="s">
        <v>128</v>
      </c>
      <c r="B38" s="21" t="s">
        <v>129</v>
      </c>
      <c r="C38" s="25" t="s">
        <v>130</v>
      </c>
      <c r="D38" s="24" t="s">
        <v>131</v>
      </c>
      <c r="E38" s="22" t="s">
        <v>132</v>
      </c>
    </row>
    <row r="39" spans="1:5" ht="15" x14ac:dyDescent="0.25">
      <c r="A39" s="25"/>
      <c r="B39" s="21" t="str">
        <f t="shared" ref="B39:B41" si="1">B38</f>
        <v>q6</v>
      </c>
      <c r="C39" s="25" t="s">
        <v>133</v>
      </c>
      <c r="D39" s="24" t="s">
        <v>134</v>
      </c>
      <c r="E39" s="22" t="s">
        <v>132</v>
      </c>
    </row>
    <row r="40" spans="1:5" ht="15" x14ac:dyDescent="0.25">
      <c r="A40" s="25"/>
      <c r="B40" s="21" t="str">
        <f t="shared" si="1"/>
        <v>q6</v>
      </c>
      <c r="C40" s="25" t="s">
        <v>135</v>
      </c>
      <c r="D40" s="24" t="s">
        <v>136</v>
      </c>
      <c r="E40" s="22" t="s">
        <v>132</v>
      </c>
    </row>
    <row r="41" spans="1:5" ht="15" x14ac:dyDescent="0.25">
      <c r="A41" s="25"/>
      <c r="B41" s="21" t="str">
        <f t="shared" si="1"/>
        <v>q6</v>
      </c>
      <c r="C41" s="25" t="s">
        <v>137</v>
      </c>
      <c r="D41" s="24" t="s">
        <v>138</v>
      </c>
      <c r="E41" s="22" t="s">
        <v>132</v>
      </c>
    </row>
    <row r="42" spans="1:5" ht="15" x14ac:dyDescent="0.25">
      <c r="A42" s="25" t="s">
        <v>139</v>
      </c>
      <c r="B42" s="21" t="s">
        <v>140</v>
      </c>
      <c r="C42" s="25" t="s">
        <v>97</v>
      </c>
      <c r="D42" s="24" t="s">
        <v>140</v>
      </c>
      <c r="E42" s="33" t="s">
        <v>69</v>
      </c>
    </row>
    <row r="43" spans="1:5" ht="15" x14ac:dyDescent="0.25">
      <c r="A43" s="25" t="s">
        <v>141</v>
      </c>
      <c r="B43" s="21" t="s">
        <v>142</v>
      </c>
      <c r="C43" s="25" t="s">
        <v>97</v>
      </c>
      <c r="D43" s="24" t="s">
        <v>142</v>
      </c>
      <c r="E43" s="33" t="s">
        <v>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631D-5CBC-48C6-9659-E791286E466C}">
  <sheetPr>
    <tabColor rgb="FFC6A1CF"/>
  </sheetPr>
  <dimension ref="A1:AP123"/>
  <sheetViews>
    <sheetView topLeftCell="G114" workbookViewId="0">
      <selection activeCell="G3" sqref="A3:XFD129"/>
    </sheetView>
  </sheetViews>
  <sheetFormatPr defaultRowHeight="12.75" x14ac:dyDescent="0.2"/>
  <cols>
    <col min="2" max="2" width="12" customWidth="1"/>
    <col min="3" max="3" width="11" customWidth="1"/>
    <col min="4" max="4" width="19.140625" customWidth="1"/>
    <col min="5" max="5" width="19.7109375" customWidth="1"/>
    <col min="6" max="6" width="13.85546875" customWidth="1"/>
    <col min="11" max="11" width="42.85546875" bestFit="1" customWidth="1"/>
    <col min="12" max="12" width="16.85546875" customWidth="1"/>
    <col min="13" max="13" width="14.5703125" customWidth="1"/>
    <col min="14" max="14" width="14.85546875" customWidth="1"/>
    <col min="17" max="17" width="14.5703125" customWidth="1"/>
    <col min="18" max="19" width="12.7109375" customWidth="1"/>
    <col min="21" max="21" width="29" bestFit="1" customWidth="1"/>
  </cols>
  <sheetData>
    <row r="1" spans="1:42" ht="14.25" x14ac:dyDescent="0.2">
      <c r="B1" s="25" t="s">
        <v>67</v>
      </c>
      <c r="C1" s="25" t="s">
        <v>70</v>
      </c>
      <c r="D1" s="25" t="s">
        <v>72</v>
      </c>
      <c r="E1" s="25" t="s">
        <v>74</v>
      </c>
      <c r="F1" s="25" t="s">
        <v>76</v>
      </c>
      <c r="G1" s="25" t="s">
        <v>78</v>
      </c>
      <c r="H1" s="25" t="s">
        <v>80</v>
      </c>
      <c r="I1" s="25" t="s">
        <v>82</v>
      </c>
      <c r="J1" s="25" t="s">
        <v>84</v>
      </c>
      <c r="K1" s="25" t="s">
        <v>32</v>
      </c>
      <c r="L1" s="25" t="s">
        <v>153</v>
      </c>
      <c r="M1" s="25" t="s">
        <v>245</v>
      </c>
      <c r="N1" s="25"/>
      <c r="O1" s="25"/>
      <c r="P1" s="25"/>
      <c r="Q1" s="25"/>
      <c r="R1" s="25"/>
      <c r="S1" s="25"/>
      <c r="T1" s="25" t="s">
        <v>154</v>
      </c>
      <c r="U1" s="25" t="s">
        <v>147</v>
      </c>
      <c r="V1" s="25"/>
      <c r="W1" s="25" t="s">
        <v>156</v>
      </c>
      <c r="X1" s="25" t="s">
        <v>246</v>
      </c>
      <c r="Y1" s="25"/>
      <c r="Z1" s="25"/>
      <c r="AA1" s="25"/>
      <c r="AB1" s="25"/>
      <c r="AC1" s="25"/>
      <c r="AD1" s="25"/>
      <c r="AE1" s="25"/>
      <c r="AF1" s="25" t="s">
        <v>247</v>
      </c>
      <c r="AG1" s="25"/>
      <c r="AH1" s="25"/>
      <c r="AI1" s="25"/>
      <c r="AJ1" s="25"/>
      <c r="AK1" s="25" t="s">
        <v>128</v>
      </c>
      <c r="AL1" s="25"/>
      <c r="AM1" s="25"/>
      <c r="AN1" s="25"/>
      <c r="AO1" s="25" t="s">
        <v>139</v>
      </c>
      <c r="AP1" s="25" t="s">
        <v>141</v>
      </c>
    </row>
    <row r="2" spans="1:42" ht="14.25" x14ac:dyDescent="0.2">
      <c r="B2" s="25"/>
      <c r="C2" s="25"/>
      <c r="D2" s="25"/>
      <c r="E2" s="25"/>
      <c r="F2" s="25"/>
      <c r="G2" s="25"/>
      <c r="H2" s="25"/>
      <c r="I2" s="25"/>
      <c r="J2" s="25"/>
      <c r="K2" s="25" t="s">
        <v>86</v>
      </c>
      <c r="L2" s="25" t="s">
        <v>86</v>
      </c>
      <c r="M2" s="25" t="s">
        <v>97</v>
      </c>
      <c r="N2" s="25"/>
      <c r="O2" s="25"/>
      <c r="P2" s="25"/>
      <c r="Q2" s="25"/>
      <c r="R2" s="25"/>
      <c r="S2" s="25"/>
      <c r="T2" s="25" t="s">
        <v>97</v>
      </c>
      <c r="U2" s="25" t="s">
        <v>97</v>
      </c>
      <c r="V2" s="25" t="s">
        <v>9</v>
      </c>
      <c r="W2" s="25" t="s">
        <v>86</v>
      </c>
      <c r="X2" s="25" t="s">
        <v>104</v>
      </c>
      <c r="Y2" s="25" t="s">
        <v>106</v>
      </c>
      <c r="Z2" s="25" t="s">
        <v>148</v>
      </c>
      <c r="AA2" s="25" t="s">
        <v>110</v>
      </c>
      <c r="AB2" s="25" t="s">
        <v>112</v>
      </c>
      <c r="AC2" s="25" t="s">
        <v>114</v>
      </c>
      <c r="AD2" s="25" t="s">
        <v>149</v>
      </c>
      <c r="AE2" s="25" t="s">
        <v>20</v>
      </c>
      <c r="AF2" s="25" t="s">
        <v>21</v>
      </c>
      <c r="AG2" s="25" t="s">
        <v>121</v>
      </c>
      <c r="AH2" s="25" t="s">
        <v>123</v>
      </c>
      <c r="AI2" s="25" t="s">
        <v>125</v>
      </c>
      <c r="AJ2" s="25" t="s">
        <v>25</v>
      </c>
      <c r="AK2" s="25" t="s">
        <v>130</v>
      </c>
      <c r="AL2" s="25" t="s">
        <v>133</v>
      </c>
      <c r="AM2" s="25" t="s">
        <v>135</v>
      </c>
      <c r="AN2" s="25" t="s">
        <v>137</v>
      </c>
      <c r="AO2" s="25" t="s">
        <v>97</v>
      </c>
      <c r="AP2" s="25" t="s">
        <v>97</v>
      </c>
    </row>
    <row r="3" spans="1:42" ht="15" x14ac:dyDescent="0.25">
      <c r="A3" s="20" t="s">
        <v>211</v>
      </c>
      <c r="B3" s="20" t="s">
        <v>68</v>
      </c>
      <c r="C3" s="20" t="s">
        <v>71</v>
      </c>
      <c r="D3" s="20" t="s">
        <v>73</v>
      </c>
      <c r="E3" s="20" t="s">
        <v>75</v>
      </c>
      <c r="F3" s="20" t="s">
        <v>77</v>
      </c>
      <c r="G3" s="20" t="s">
        <v>79</v>
      </c>
      <c r="H3" s="20" t="s">
        <v>81</v>
      </c>
      <c r="I3" s="20" t="s">
        <v>83</v>
      </c>
      <c r="J3" s="20" t="s">
        <v>85</v>
      </c>
      <c r="K3" s="20" t="s">
        <v>210</v>
      </c>
      <c r="L3" s="20" t="s">
        <v>87</v>
      </c>
      <c r="M3" s="20" t="s">
        <v>94</v>
      </c>
      <c r="N3" s="20" t="s">
        <v>89</v>
      </c>
      <c r="O3" s="20" t="s">
        <v>91</v>
      </c>
      <c r="P3" s="20" t="s">
        <v>144</v>
      </c>
      <c r="Q3" s="34" t="s">
        <v>481</v>
      </c>
      <c r="R3" s="20" t="s">
        <v>482</v>
      </c>
      <c r="S3" s="20" t="s">
        <v>95</v>
      </c>
      <c r="T3" s="23" t="s">
        <v>96</v>
      </c>
      <c r="U3" s="23" t="s">
        <v>98</v>
      </c>
      <c r="V3" s="20" t="s">
        <v>99</v>
      </c>
      <c r="W3" s="23" t="s">
        <v>101</v>
      </c>
      <c r="X3" s="24" t="s">
        <v>105</v>
      </c>
      <c r="Y3" s="24" t="s">
        <v>107</v>
      </c>
      <c r="Z3" s="24" t="s">
        <v>109</v>
      </c>
      <c r="AA3" s="24" t="s">
        <v>111</v>
      </c>
      <c r="AB3" s="24" t="s">
        <v>113</v>
      </c>
      <c r="AC3" s="24" t="s">
        <v>115</v>
      </c>
      <c r="AD3" s="24" t="s">
        <v>117</v>
      </c>
      <c r="AE3" s="24" t="s">
        <v>118</v>
      </c>
      <c r="AF3" s="24" t="s">
        <v>120</v>
      </c>
      <c r="AG3" s="24" t="s">
        <v>122</v>
      </c>
      <c r="AH3" s="24" t="s">
        <v>124</v>
      </c>
      <c r="AI3" s="24" t="s">
        <v>126</v>
      </c>
      <c r="AJ3" s="24" t="s">
        <v>127</v>
      </c>
      <c r="AK3" s="24" t="s">
        <v>131</v>
      </c>
      <c r="AL3" s="24" t="s">
        <v>134</v>
      </c>
      <c r="AM3" s="24" t="s">
        <v>136</v>
      </c>
      <c r="AN3" s="24" t="s">
        <v>138</v>
      </c>
      <c r="AO3" s="24" t="s">
        <v>140</v>
      </c>
      <c r="AP3" s="24" t="s">
        <v>142</v>
      </c>
    </row>
    <row r="4" spans="1:42" x14ac:dyDescent="0.2">
      <c r="A4" t="s">
        <v>212</v>
      </c>
      <c r="B4">
        <v>12446803914</v>
      </c>
      <c r="C4">
        <v>396431383</v>
      </c>
      <c r="D4" s="28">
        <v>44253.952233796299</v>
      </c>
      <c r="E4" s="28">
        <v>44253.953043981484</v>
      </c>
      <c r="F4" t="s">
        <v>159</v>
      </c>
      <c r="K4" t="s">
        <v>160</v>
      </c>
      <c r="L4" t="s">
        <v>248</v>
      </c>
      <c r="M4" t="s">
        <v>249</v>
      </c>
      <c r="N4">
        <f>VLOOKUP(L4,NLFsanalysis_new!B:C,2,FALSE)</f>
        <v>18578</v>
      </c>
      <c r="O4" t="str">
        <f>VLOOKUP(L4,NLFsanalysis_new!B:L,11,FALSE)</f>
        <v>EUR</v>
      </c>
      <c r="P4" t="str">
        <f>VLOOKUP(L4,NLFsanalysis_new!B:D,3,FALSE)</f>
        <v>Core</v>
      </c>
      <c r="Q4" t="str">
        <f>VLOOKUP(L4,NLFsanalysis_new!B:E,4,FALSE)</f>
        <v>multi country</v>
      </c>
      <c r="R4" t="str">
        <f>VLOOKUP(L4,NLFsanalysis_new!B:F,5,FALSE)</f>
        <v/>
      </c>
      <c r="S4">
        <f>VLOOKUP(L4,NLFsanalysis_new!B:H,7,FALSE)</f>
        <v>2018</v>
      </c>
      <c r="T4" t="s">
        <v>152</v>
      </c>
      <c r="W4">
        <v>63</v>
      </c>
      <c r="X4">
        <v>11</v>
      </c>
      <c r="Y4">
        <v>52</v>
      </c>
      <c r="AF4">
        <v>63</v>
      </c>
      <c r="AK4">
        <v>72</v>
      </c>
      <c r="AM4">
        <v>28</v>
      </c>
      <c r="AO4" t="s">
        <v>151</v>
      </c>
      <c r="AP4" t="s">
        <v>152</v>
      </c>
    </row>
    <row r="5" spans="1:42" x14ac:dyDescent="0.2">
      <c r="A5" t="s">
        <v>212</v>
      </c>
      <c r="B5">
        <v>12446799231</v>
      </c>
      <c r="C5">
        <v>396431383</v>
      </c>
      <c r="D5" s="28">
        <v>44253.951041666667</v>
      </c>
      <c r="E5" s="28">
        <v>44253.95208333333</v>
      </c>
      <c r="F5" t="s">
        <v>159</v>
      </c>
      <c r="K5" t="s">
        <v>160</v>
      </c>
      <c r="L5" t="s">
        <v>250</v>
      </c>
      <c r="M5" t="s">
        <v>249</v>
      </c>
      <c r="N5" t="str">
        <f>VLOOKUP(L5,NLFsanalysis_new!B:C,2,FALSE)</f>
        <v>Launched in 2021</v>
      </c>
      <c r="O5" t="str">
        <f>VLOOKUP(L5,NLFsanalysis_new!B:L,11,FALSE)</f>
        <v/>
      </c>
      <c r="P5" t="str">
        <f>VLOOKUP(L5,NLFsanalysis_new!B:D,3,FALSE)</f>
        <v/>
      </c>
      <c r="Q5" t="str">
        <f>VLOOKUP(L5,NLFsanalysis_new!B:E,4,FALSE)</f>
        <v/>
      </c>
      <c r="R5" t="str">
        <f>VLOOKUP(L5,NLFsanalysis_new!B:F,5,FALSE)</f>
        <v/>
      </c>
      <c r="S5" t="str">
        <f>VLOOKUP(L5,NLFsanalysis_new!B:H,7,FALSE)</f>
        <v/>
      </c>
      <c r="T5" t="s">
        <v>152</v>
      </c>
      <c r="W5">
        <v>133</v>
      </c>
      <c r="X5">
        <v>28</v>
      </c>
      <c r="Y5">
        <v>98</v>
      </c>
      <c r="AD5">
        <v>6</v>
      </c>
      <c r="AE5">
        <v>1</v>
      </c>
      <c r="AF5">
        <v>49</v>
      </c>
      <c r="AH5">
        <v>78</v>
      </c>
      <c r="AI5">
        <v>6</v>
      </c>
      <c r="AK5">
        <v>16</v>
      </c>
      <c r="AM5">
        <v>84</v>
      </c>
      <c r="AO5" t="s">
        <v>151</v>
      </c>
      <c r="AP5" t="s">
        <v>152</v>
      </c>
    </row>
    <row r="6" spans="1:42" x14ac:dyDescent="0.2">
      <c r="A6" t="s">
        <v>212</v>
      </c>
      <c r="B6">
        <v>12446796582</v>
      </c>
      <c r="C6">
        <v>396431383</v>
      </c>
      <c r="D6" s="28">
        <v>44253.950300925928</v>
      </c>
      <c r="E6" s="28">
        <v>44253.950775462959</v>
      </c>
      <c r="F6" t="s">
        <v>159</v>
      </c>
      <c r="K6" t="s">
        <v>160</v>
      </c>
      <c r="L6" t="s">
        <v>251</v>
      </c>
      <c r="M6" t="s">
        <v>249</v>
      </c>
      <c r="N6" t="str">
        <f>VLOOKUP(L6,NLFsanalysis_new!B:C,2,FALSE)</f>
        <v>Launched in 2021</v>
      </c>
      <c r="O6" t="str">
        <f>VLOOKUP(L6,NLFsanalysis_new!B:L,11,FALSE)</f>
        <v/>
      </c>
      <c r="P6" t="str">
        <f>VLOOKUP(L6,NLFsanalysis_new!B:D,3,FALSE)</f>
        <v/>
      </c>
      <c r="Q6" t="str">
        <f>VLOOKUP(L6,NLFsanalysis_new!B:E,4,FALSE)</f>
        <v/>
      </c>
      <c r="R6" t="str">
        <f>VLOOKUP(L6,NLFsanalysis_new!B:F,5,FALSE)</f>
        <v/>
      </c>
      <c r="S6" t="str">
        <f>VLOOKUP(L6,NLFsanalysis_new!B:H,7,FALSE)</f>
        <v/>
      </c>
      <c r="T6" t="s">
        <v>152</v>
      </c>
      <c r="W6">
        <v>185</v>
      </c>
      <c r="X6">
        <v>185</v>
      </c>
      <c r="AF6">
        <v>185</v>
      </c>
      <c r="AM6">
        <v>100</v>
      </c>
      <c r="AO6" t="s">
        <v>151</v>
      </c>
      <c r="AP6" t="s">
        <v>152</v>
      </c>
    </row>
    <row r="7" spans="1:42" x14ac:dyDescent="0.2">
      <c r="A7" t="s">
        <v>212</v>
      </c>
      <c r="B7">
        <v>12446790894</v>
      </c>
      <c r="C7">
        <v>396431383</v>
      </c>
      <c r="D7" s="28">
        <v>44253.948657407411</v>
      </c>
      <c r="E7" s="28">
        <v>44253.949953703705</v>
      </c>
      <c r="F7" t="s">
        <v>159</v>
      </c>
      <c r="K7" t="s">
        <v>160</v>
      </c>
      <c r="L7" t="s">
        <v>252</v>
      </c>
      <c r="M7" t="s">
        <v>249</v>
      </c>
      <c r="N7">
        <f>VLOOKUP(L7,NLFsanalysis_new!B:C,2,FALSE)</f>
        <v>19359</v>
      </c>
      <c r="O7" t="str">
        <f>VLOOKUP(L7,NLFsanalysis_new!B:L,11,FALSE)</f>
        <v>EUR</v>
      </c>
      <c r="P7" t="str">
        <f>VLOOKUP(L7,NLFsanalysis_new!B:D,3,FALSE)</f>
        <v>Core</v>
      </c>
      <c r="Q7" t="str">
        <f>VLOOKUP(L7,NLFsanalysis_new!B:E,4,FALSE)</f>
        <v>multi country</v>
      </c>
      <c r="R7" t="str">
        <f>VLOOKUP(L7,NLFsanalysis_new!B:F,5,FALSE)</f>
        <v/>
      </c>
      <c r="S7">
        <f>VLOOKUP(L7,NLFsanalysis_new!B:H,7,FALSE)</f>
        <v>2019</v>
      </c>
      <c r="T7" t="s">
        <v>152</v>
      </c>
      <c r="W7">
        <v>319</v>
      </c>
      <c r="X7">
        <v>274</v>
      </c>
      <c r="Y7">
        <v>11</v>
      </c>
      <c r="AE7">
        <v>34</v>
      </c>
      <c r="AF7">
        <v>319</v>
      </c>
      <c r="AM7">
        <v>100</v>
      </c>
      <c r="AO7" t="s">
        <v>151</v>
      </c>
      <c r="AP7" t="s">
        <v>152</v>
      </c>
    </row>
    <row r="8" spans="1:42" x14ac:dyDescent="0.2">
      <c r="A8" t="s">
        <v>212</v>
      </c>
      <c r="B8">
        <v>12441747726</v>
      </c>
      <c r="C8">
        <v>396431383</v>
      </c>
      <c r="D8" s="28">
        <v>44252.56559027778</v>
      </c>
      <c r="E8" s="28">
        <v>44252.566342592596</v>
      </c>
      <c r="F8" t="s">
        <v>223</v>
      </c>
      <c r="K8" t="s">
        <v>253</v>
      </c>
      <c r="L8" t="s">
        <v>254</v>
      </c>
      <c r="M8" t="s">
        <v>255</v>
      </c>
      <c r="N8" t="str">
        <f>VLOOKUP(L8,NLFsanalysis_new!B:C,2,FALSE)</f>
        <v>US</v>
      </c>
      <c r="O8" t="str">
        <f>VLOOKUP(L8,NLFsanalysis_new!B:L,11,FALSE)</f>
        <v/>
      </c>
      <c r="P8" t="str">
        <f>VLOOKUP(L8,NLFsanalysis_new!B:D,3,FALSE)</f>
        <v/>
      </c>
      <c r="Q8" t="str">
        <f>VLOOKUP(L8,NLFsanalysis_new!B:E,4,FALSE)</f>
        <v/>
      </c>
      <c r="R8" t="str">
        <f>VLOOKUP(L8,NLFsanalysis_new!B:F,5,FALSE)</f>
        <v/>
      </c>
      <c r="S8" t="str">
        <f>VLOOKUP(L8,NLFsanalysis_new!B:H,7,FALSE)</f>
        <v/>
      </c>
      <c r="T8" t="s">
        <v>152</v>
      </c>
      <c r="W8">
        <v>530</v>
      </c>
      <c r="X8">
        <v>368</v>
      </c>
      <c r="Z8">
        <v>150</v>
      </c>
      <c r="AE8">
        <v>13</v>
      </c>
      <c r="AF8">
        <v>150</v>
      </c>
      <c r="AH8">
        <v>380</v>
      </c>
      <c r="AM8">
        <v>100</v>
      </c>
      <c r="AO8" t="s">
        <v>151</v>
      </c>
      <c r="AP8" t="s">
        <v>152</v>
      </c>
    </row>
    <row r="9" spans="1:42" x14ac:dyDescent="0.2">
      <c r="A9" t="s">
        <v>212</v>
      </c>
      <c r="B9">
        <v>12441742020</v>
      </c>
      <c r="C9">
        <v>396431383</v>
      </c>
      <c r="D9" s="28">
        <v>44252.562118055554</v>
      </c>
      <c r="E9" s="28">
        <v>44252.565023148149</v>
      </c>
      <c r="F9" t="s">
        <v>223</v>
      </c>
      <c r="K9" t="s">
        <v>253</v>
      </c>
      <c r="L9" t="s">
        <v>256</v>
      </c>
      <c r="M9" t="s">
        <v>249</v>
      </c>
      <c r="N9" t="str">
        <f>VLOOKUP(L9,NLFsanalysis_new!B:C,2,FALSE)</f>
        <v>US</v>
      </c>
      <c r="O9" t="str">
        <f>VLOOKUP(L9,NLFsanalysis_new!B:L,11,FALSE)</f>
        <v/>
      </c>
      <c r="P9" t="str">
        <f>VLOOKUP(L9,NLFsanalysis_new!B:D,3,FALSE)</f>
        <v/>
      </c>
      <c r="Q9" t="str">
        <f>VLOOKUP(L9,NLFsanalysis_new!B:E,4,FALSE)</f>
        <v/>
      </c>
      <c r="R9" t="str">
        <f>VLOOKUP(L9,NLFsanalysis_new!B:F,5,FALSE)</f>
        <v/>
      </c>
      <c r="S9" t="str">
        <f>VLOOKUP(L9,NLFsanalysis_new!B:H,7,FALSE)</f>
        <v/>
      </c>
      <c r="T9" t="s">
        <v>152</v>
      </c>
      <c r="W9">
        <v>838</v>
      </c>
      <c r="X9">
        <v>365</v>
      </c>
      <c r="Y9">
        <v>298</v>
      </c>
      <c r="Z9">
        <v>70</v>
      </c>
      <c r="AB9">
        <v>2</v>
      </c>
      <c r="AC9">
        <v>77</v>
      </c>
      <c r="AE9">
        <v>26</v>
      </c>
      <c r="AF9">
        <v>532</v>
      </c>
      <c r="AG9">
        <v>90</v>
      </c>
      <c r="AH9">
        <v>216</v>
      </c>
      <c r="AM9">
        <v>100</v>
      </c>
      <c r="AO9" t="s">
        <v>151</v>
      </c>
      <c r="AP9" t="s">
        <v>152</v>
      </c>
    </row>
    <row r="10" spans="1:42" x14ac:dyDescent="0.2">
      <c r="A10" t="s">
        <v>212</v>
      </c>
      <c r="B10">
        <v>12441730305</v>
      </c>
      <c r="C10">
        <v>396431383</v>
      </c>
      <c r="D10" s="28">
        <v>44252.560555555552</v>
      </c>
      <c r="E10" s="28">
        <v>44252.561493055553</v>
      </c>
      <c r="F10" t="s">
        <v>223</v>
      </c>
      <c r="K10" t="s">
        <v>253</v>
      </c>
      <c r="L10" t="s">
        <v>257</v>
      </c>
      <c r="M10" t="s">
        <v>255</v>
      </c>
      <c r="N10" t="str">
        <f>VLOOKUP(L10,NLFsanalysis_new!B:C,2,FALSE)</f>
        <v>Asia</v>
      </c>
      <c r="O10" t="str">
        <f>VLOOKUP(L10,NLFsanalysis_new!B:L,11,FALSE)</f>
        <v/>
      </c>
      <c r="P10" t="str">
        <f>VLOOKUP(L10,NLFsanalysis_new!B:D,3,FALSE)</f>
        <v/>
      </c>
      <c r="Q10" t="str">
        <f>VLOOKUP(L10,NLFsanalysis_new!B:E,4,FALSE)</f>
        <v/>
      </c>
      <c r="R10" t="str">
        <f>VLOOKUP(L10,NLFsanalysis_new!B:F,5,FALSE)</f>
        <v/>
      </c>
      <c r="S10" t="str">
        <f>VLOOKUP(L10,NLFsanalysis_new!B:H,7,FALSE)</f>
        <v/>
      </c>
      <c r="T10" t="s">
        <v>152</v>
      </c>
      <c r="W10">
        <v>136</v>
      </c>
      <c r="X10">
        <v>30</v>
      </c>
      <c r="Y10">
        <v>81</v>
      </c>
      <c r="AE10">
        <v>25</v>
      </c>
      <c r="AF10">
        <v>106</v>
      </c>
      <c r="AJ10">
        <v>30</v>
      </c>
      <c r="AM10">
        <v>100</v>
      </c>
      <c r="AO10" t="s">
        <v>151</v>
      </c>
      <c r="AP10" t="s">
        <v>152</v>
      </c>
    </row>
    <row r="11" spans="1:42" x14ac:dyDescent="0.2">
      <c r="A11" t="s">
        <v>212</v>
      </c>
      <c r="B11">
        <v>12441726369</v>
      </c>
      <c r="C11">
        <v>396431383</v>
      </c>
      <c r="D11" s="28">
        <v>44252.559386574074</v>
      </c>
      <c r="E11" s="28">
        <v>44252.560023148151</v>
      </c>
      <c r="F11" t="s">
        <v>223</v>
      </c>
      <c r="K11" t="s">
        <v>253</v>
      </c>
      <c r="L11" t="s">
        <v>258</v>
      </c>
      <c r="M11" t="s">
        <v>249</v>
      </c>
      <c r="N11">
        <f>VLOOKUP(L11,NLFsanalysis_new!B:C,2,FALSE)</f>
        <v>18277</v>
      </c>
      <c r="O11" t="str">
        <f>VLOOKUP(L11,NLFsanalysis_new!B:L,11,FALSE)</f>
        <v>EUR</v>
      </c>
      <c r="P11" t="str">
        <f>VLOOKUP(L11,NLFsanalysis_new!B:D,3,FALSE)</f>
        <v>Core</v>
      </c>
      <c r="Q11" t="str">
        <f>VLOOKUP(L11,NLFsanalysis_new!B:E,4,FALSE)</f>
        <v>single country</v>
      </c>
      <c r="R11" t="str">
        <f>VLOOKUP(L11,NLFsanalysis_new!B:F,5,FALSE)</f>
        <v>Netherlands</v>
      </c>
      <c r="S11">
        <f>VLOOKUP(L11,NLFsanalysis_new!B:H,7,FALSE)</f>
        <v>2017</v>
      </c>
      <c r="T11" t="s">
        <v>152</v>
      </c>
      <c r="W11">
        <v>602</v>
      </c>
      <c r="X11">
        <v>602</v>
      </c>
      <c r="AF11">
        <v>602</v>
      </c>
      <c r="AM11">
        <v>100</v>
      </c>
      <c r="AO11" t="s">
        <v>151</v>
      </c>
      <c r="AP11" t="s">
        <v>152</v>
      </c>
    </row>
    <row r="12" spans="1:42" x14ac:dyDescent="0.2">
      <c r="A12" t="s">
        <v>212</v>
      </c>
      <c r="B12">
        <v>12441723618</v>
      </c>
      <c r="C12">
        <v>396431383</v>
      </c>
      <c r="D12" s="28">
        <v>44252.558472222219</v>
      </c>
      <c r="E12" s="28">
        <v>44252.559305555558</v>
      </c>
      <c r="F12" t="s">
        <v>223</v>
      </c>
      <c r="K12" t="s">
        <v>253</v>
      </c>
      <c r="L12" t="s">
        <v>259</v>
      </c>
      <c r="M12" t="s">
        <v>255</v>
      </c>
      <c r="N12">
        <f>VLOOKUP(L12,NLFsanalysis_new!B:C,2,FALSE)</f>
        <v>18564</v>
      </c>
      <c r="O12" t="str">
        <f>VLOOKUP(L12,NLFsanalysis_new!B:L,11,FALSE)</f>
        <v>EUR</v>
      </c>
      <c r="P12" t="str">
        <f>VLOOKUP(L12,NLFsanalysis_new!B:D,3,FALSE)</f>
        <v>Value-added</v>
      </c>
      <c r="Q12" t="str">
        <f>VLOOKUP(L12,NLFsanalysis_new!B:E,4,FALSE)</f>
        <v>multi country</v>
      </c>
      <c r="R12" t="str">
        <f>VLOOKUP(L12,NLFsanalysis_new!B:F,5,FALSE)</f>
        <v/>
      </c>
      <c r="S12">
        <f>VLOOKUP(L12,NLFsanalysis_new!B:H,7,FALSE)</f>
        <v>2017</v>
      </c>
      <c r="T12" t="s">
        <v>152</v>
      </c>
      <c r="W12">
        <v>4</v>
      </c>
      <c r="X12">
        <v>2</v>
      </c>
      <c r="Y12">
        <v>2</v>
      </c>
      <c r="AG12">
        <v>3</v>
      </c>
      <c r="AH12">
        <v>1</v>
      </c>
      <c r="AM12">
        <v>100</v>
      </c>
      <c r="AO12" t="s">
        <v>151</v>
      </c>
      <c r="AP12" t="s">
        <v>152</v>
      </c>
    </row>
    <row r="13" spans="1:42" x14ac:dyDescent="0.2">
      <c r="A13" t="s">
        <v>212</v>
      </c>
      <c r="B13">
        <v>12441720272</v>
      </c>
      <c r="C13">
        <v>396431383</v>
      </c>
      <c r="D13" s="28">
        <v>44252.557581018518</v>
      </c>
      <c r="E13" s="28">
        <v>44252.558217592596</v>
      </c>
      <c r="F13" t="s">
        <v>223</v>
      </c>
      <c r="K13" t="s">
        <v>253</v>
      </c>
      <c r="L13" t="s">
        <v>260</v>
      </c>
      <c r="M13" t="s">
        <v>249</v>
      </c>
      <c r="N13">
        <f>VLOOKUP(L13,NLFsanalysis_new!B:C,2,FALSE)</f>
        <v>278</v>
      </c>
      <c r="O13" t="str">
        <f>VLOOKUP(L13,NLFsanalysis_new!B:L,11,FALSE)</f>
        <v>EUR</v>
      </c>
      <c r="P13" t="str">
        <f>VLOOKUP(L13,NLFsanalysis_new!B:D,3,FALSE)</f>
        <v>Core</v>
      </c>
      <c r="Q13" t="str">
        <f>VLOOKUP(L13,NLFsanalysis_new!B:E,4,FALSE)</f>
        <v>multi country</v>
      </c>
      <c r="R13" t="str">
        <f>VLOOKUP(L13,NLFsanalysis_new!B:F,5,FALSE)</f>
        <v/>
      </c>
      <c r="S13">
        <f>VLOOKUP(L13,NLFsanalysis_new!B:H,7,FALSE)</f>
        <v>2005</v>
      </c>
      <c r="T13" t="s">
        <v>152</v>
      </c>
      <c r="W13">
        <v>122</v>
      </c>
      <c r="X13">
        <v>32</v>
      </c>
      <c r="Y13">
        <v>90</v>
      </c>
      <c r="AF13">
        <v>122</v>
      </c>
      <c r="AM13">
        <v>100</v>
      </c>
      <c r="AO13" t="s">
        <v>151</v>
      </c>
      <c r="AP13" t="s">
        <v>152</v>
      </c>
    </row>
    <row r="14" spans="1:42" x14ac:dyDescent="0.2">
      <c r="A14" t="s">
        <v>212</v>
      </c>
      <c r="B14">
        <v>12441716348</v>
      </c>
      <c r="C14">
        <v>396431383</v>
      </c>
      <c r="D14" s="28">
        <v>44252.556481481479</v>
      </c>
      <c r="E14" s="28">
        <v>44252.557442129626</v>
      </c>
      <c r="F14" t="s">
        <v>223</v>
      </c>
      <c r="K14" t="s">
        <v>253</v>
      </c>
      <c r="L14" t="s">
        <v>261</v>
      </c>
      <c r="M14" t="s">
        <v>249</v>
      </c>
      <c r="N14">
        <f>VLOOKUP(L14,NLFsanalysis_new!B:C,2,FALSE)</f>
        <v>554</v>
      </c>
      <c r="O14" t="str">
        <f>VLOOKUP(L14,NLFsanalysis_new!B:L,11,FALSE)</f>
        <v>EUR</v>
      </c>
      <c r="P14" t="str">
        <f>VLOOKUP(L14,NLFsanalysis_new!B:D,3,FALSE)</f>
        <v>Core</v>
      </c>
      <c r="Q14" t="str">
        <f>VLOOKUP(L14,NLFsanalysis_new!B:E,4,FALSE)</f>
        <v>multi country</v>
      </c>
      <c r="R14" t="str">
        <f>VLOOKUP(L14,NLFsanalysis_new!B:F,5,FALSE)</f>
        <v/>
      </c>
      <c r="S14">
        <f>VLOOKUP(L14,NLFsanalysis_new!B:H,7,FALSE)</f>
        <v>2010</v>
      </c>
      <c r="T14" t="s">
        <v>152</v>
      </c>
      <c r="W14">
        <v>417</v>
      </c>
      <c r="X14">
        <v>404</v>
      </c>
      <c r="Y14">
        <v>13</v>
      </c>
      <c r="AF14">
        <v>384</v>
      </c>
      <c r="AG14">
        <v>33</v>
      </c>
      <c r="AM14">
        <v>100</v>
      </c>
      <c r="AO14" t="s">
        <v>151</v>
      </c>
      <c r="AP14" t="s">
        <v>152</v>
      </c>
    </row>
    <row r="15" spans="1:42" x14ac:dyDescent="0.2">
      <c r="A15" t="s">
        <v>212</v>
      </c>
      <c r="B15">
        <v>12441713674</v>
      </c>
      <c r="C15">
        <v>396431383</v>
      </c>
      <c r="D15" s="28">
        <v>44252.555555555555</v>
      </c>
      <c r="E15" s="28">
        <v>44252.556331018517</v>
      </c>
      <c r="F15" t="s">
        <v>223</v>
      </c>
      <c r="K15" t="s">
        <v>253</v>
      </c>
      <c r="L15" t="s">
        <v>262</v>
      </c>
      <c r="M15" t="s">
        <v>249</v>
      </c>
      <c r="N15">
        <f>VLOOKUP(L15,NLFsanalysis_new!B:C,2,FALSE)</f>
        <v>19147</v>
      </c>
      <c r="O15" t="str">
        <f>VLOOKUP(L15,NLFsanalysis_new!B:L,11,FALSE)</f>
        <v>GBP</v>
      </c>
      <c r="P15" t="str">
        <f>VLOOKUP(L15,NLFsanalysis_new!B:D,3,FALSE)</f>
        <v>Core</v>
      </c>
      <c r="Q15" t="str">
        <f>VLOOKUP(L15,NLFsanalysis_new!B:E,4,FALSE)</f>
        <v>single country</v>
      </c>
      <c r="R15" t="str">
        <f>VLOOKUP(L15,NLFsanalysis_new!B:F,5,FALSE)</f>
        <v>United Kingdom</v>
      </c>
      <c r="S15">
        <f>VLOOKUP(L15,NLFsanalysis_new!B:H,7,FALSE)</f>
        <v>2018</v>
      </c>
      <c r="T15" t="s">
        <v>152</v>
      </c>
      <c r="W15">
        <v>82</v>
      </c>
      <c r="X15">
        <v>82</v>
      </c>
      <c r="AF15">
        <v>82</v>
      </c>
      <c r="AM15">
        <v>100</v>
      </c>
      <c r="AO15" t="s">
        <v>151</v>
      </c>
      <c r="AP15" t="s">
        <v>152</v>
      </c>
    </row>
    <row r="16" spans="1:42" x14ac:dyDescent="0.2">
      <c r="A16" t="s">
        <v>212</v>
      </c>
      <c r="B16">
        <v>12441708366</v>
      </c>
      <c r="C16">
        <v>396431383</v>
      </c>
      <c r="D16" s="28">
        <v>44252.552800925929</v>
      </c>
      <c r="E16" s="28">
        <v>44252.555277777778</v>
      </c>
      <c r="F16" t="s">
        <v>223</v>
      </c>
      <c r="K16" t="s">
        <v>253</v>
      </c>
      <c r="L16" t="s">
        <v>263</v>
      </c>
      <c r="M16" t="s">
        <v>249</v>
      </c>
      <c r="N16" t="str">
        <f>VLOOKUP(L16,NLFsanalysis_new!B:C,2,FALSE)</f>
        <v>Global Fund</v>
      </c>
      <c r="O16" t="str">
        <f>VLOOKUP(L16,NLFsanalysis_new!B:L,11,FALSE)</f>
        <v/>
      </c>
      <c r="P16" t="str">
        <f>VLOOKUP(L16,NLFsanalysis_new!B:D,3,FALSE)</f>
        <v/>
      </c>
      <c r="Q16" t="str">
        <f>VLOOKUP(L16,NLFsanalysis_new!B:E,4,FALSE)</f>
        <v/>
      </c>
      <c r="R16" t="str">
        <f>VLOOKUP(L16,NLFsanalysis_new!B:F,5,FALSE)</f>
        <v/>
      </c>
      <c r="S16" t="str">
        <f>VLOOKUP(L16,NLFsanalysis_new!B:H,7,FALSE)</f>
        <v/>
      </c>
      <c r="T16" t="s">
        <v>152</v>
      </c>
      <c r="W16">
        <v>78</v>
      </c>
      <c r="X16">
        <v>60</v>
      </c>
      <c r="AE16">
        <v>18</v>
      </c>
      <c r="AF16">
        <v>5</v>
      </c>
      <c r="AG16">
        <v>7</v>
      </c>
      <c r="AH16">
        <v>66</v>
      </c>
      <c r="AM16">
        <v>100</v>
      </c>
      <c r="AO16" t="s">
        <v>151</v>
      </c>
      <c r="AP16" t="s">
        <v>152</v>
      </c>
    </row>
    <row r="17" spans="1:42" x14ac:dyDescent="0.2">
      <c r="A17" t="s">
        <v>212</v>
      </c>
      <c r="B17">
        <v>12430920755</v>
      </c>
      <c r="C17">
        <v>396431383</v>
      </c>
      <c r="D17" s="28">
        <v>44249.536111111112</v>
      </c>
      <c r="E17" s="28">
        <v>44249.53738425926</v>
      </c>
      <c r="F17" t="s">
        <v>264</v>
      </c>
      <c r="K17" t="s">
        <v>265</v>
      </c>
      <c r="L17" t="s">
        <v>266</v>
      </c>
      <c r="M17" t="s">
        <v>249</v>
      </c>
      <c r="N17">
        <f>VLOOKUP(L17,NLFsanalysis_new!B:C,2,FALSE)</f>
        <v>17785</v>
      </c>
      <c r="O17" t="str">
        <f>VLOOKUP(L17,NLFsanalysis_new!B:L,11,FALSE)</f>
        <v/>
      </c>
      <c r="P17" t="str">
        <f>VLOOKUP(L17,NLFsanalysis_new!B:D,3,FALSE)</f>
        <v>Core</v>
      </c>
      <c r="Q17" t="str">
        <f>VLOOKUP(L17,NLFsanalysis_new!B:E,4,FALSE)</f>
        <v>multi country</v>
      </c>
      <c r="R17" t="str">
        <f>VLOOKUP(L17,NLFsanalysis_new!B:F,5,FALSE)</f>
        <v/>
      </c>
      <c r="S17">
        <f>VLOOKUP(L17,NLFsanalysis_new!B:H,7,FALSE)</f>
        <v>2015</v>
      </c>
      <c r="T17" t="s">
        <v>152</v>
      </c>
      <c r="W17">
        <v>250</v>
      </c>
      <c r="Y17">
        <v>250</v>
      </c>
      <c r="AF17">
        <v>250</v>
      </c>
      <c r="AM17">
        <v>100</v>
      </c>
      <c r="AO17" t="s">
        <v>151</v>
      </c>
      <c r="AP17" t="s">
        <v>170</v>
      </c>
    </row>
    <row r="18" spans="1:42" x14ac:dyDescent="0.2">
      <c r="A18" t="s">
        <v>212</v>
      </c>
      <c r="B18">
        <v>12430499005</v>
      </c>
      <c r="C18">
        <v>396431383</v>
      </c>
      <c r="D18" s="28">
        <v>44249.418912037036</v>
      </c>
      <c r="E18" s="28">
        <v>44249.430335648147</v>
      </c>
      <c r="F18" t="s">
        <v>267</v>
      </c>
      <c r="K18" t="s">
        <v>268</v>
      </c>
      <c r="L18" t="s">
        <v>269</v>
      </c>
      <c r="M18" t="s">
        <v>255</v>
      </c>
      <c r="N18">
        <f>VLOOKUP(L18,NLFsanalysis_new!B:C,2,FALSE)</f>
        <v>19583</v>
      </c>
      <c r="O18" t="str">
        <f>VLOOKUP(L18,NLFsanalysis_new!B:L,11,FALSE)</f>
        <v/>
      </c>
      <c r="P18" t="str">
        <f>VLOOKUP(L18,NLFsanalysis_new!B:D,3,FALSE)</f>
        <v>Value-added</v>
      </c>
      <c r="Q18" t="str">
        <f>VLOOKUP(L18,NLFsanalysis_new!B:E,4,FALSE)</f>
        <v>multi country</v>
      </c>
      <c r="R18" t="str">
        <f>VLOOKUP(L18,NLFsanalysis_new!B:F,5,FALSE)</f>
        <v/>
      </c>
      <c r="S18">
        <f>VLOOKUP(L18,NLFsanalysis_new!B:H,7,FALSE)</f>
        <v>2019</v>
      </c>
      <c r="T18" t="s">
        <v>152</v>
      </c>
      <c r="W18">
        <v>132</v>
      </c>
      <c r="X18">
        <v>125</v>
      </c>
      <c r="AB18">
        <v>5</v>
      </c>
      <c r="AE18">
        <v>2</v>
      </c>
      <c r="AF18">
        <v>132</v>
      </c>
      <c r="AM18">
        <v>100</v>
      </c>
      <c r="AO18" t="s">
        <v>169</v>
      </c>
      <c r="AP18" t="s">
        <v>152</v>
      </c>
    </row>
    <row r="19" spans="1:42" x14ac:dyDescent="0.2">
      <c r="A19" t="s">
        <v>212</v>
      </c>
      <c r="B19">
        <v>12430434717</v>
      </c>
      <c r="C19">
        <v>396431383</v>
      </c>
      <c r="D19" s="28">
        <v>44249.400868055556</v>
      </c>
      <c r="E19" s="28">
        <v>44249.402048611111</v>
      </c>
      <c r="F19" t="s">
        <v>270</v>
      </c>
      <c r="K19" t="s">
        <v>271</v>
      </c>
      <c r="L19" t="s">
        <v>272</v>
      </c>
      <c r="M19" t="s">
        <v>255</v>
      </c>
      <c r="N19">
        <f>VLOOKUP(L19,NLFsanalysis_new!B:C,2,FALSE)</f>
        <v>19618</v>
      </c>
      <c r="O19" t="str">
        <f>VLOOKUP(L19,NLFsanalysis_new!B:L,11,FALSE)</f>
        <v>GBP</v>
      </c>
      <c r="P19" t="str">
        <f>VLOOKUP(L19,NLFsanalysis_new!B:D,3,FALSE)</f>
        <v>Core</v>
      </c>
      <c r="Q19" t="str">
        <f>VLOOKUP(L19,NLFsanalysis_new!B:E,4,FALSE)</f>
        <v>single country</v>
      </c>
      <c r="R19" t="str">
        <f>VLOOKUP(L19,NLFsanalysis_new!B:F,5,FALSE)</f>
        <v>United Kingdom</v>
      </c>
      <c r="S19">
        <f>VLOOKUP(L19,NLFsanalysis_new!B:H,7,FALSE)</f>
        <v>2020</v>
      </c>
      <c r="T19" t="s">
        <v>152</v>
      </c>
      <c r="W19">
        <v>97</v>
      </c>
      <c r="X19">
        <v>97</v>
      </c>
      <c r="AF19">
        <v>97</v>
      </c>
      <c r="AM19">
        <v>100</v>
      </c>
      <c r="AO19" t="s">
        <v>151</v>
      </c>
      <c r="AP19" t="s">
        <v>152</v>
      </c>
    </row>
    <row r="20" spans="1:42" x14ac:dyDescent="0.2">
      <c r="A20" t="s">
        <v>212</v>
      </c>
      <c r="B20">
        <v>12429357130</v>
      </c>
      <c r="C20">
        <v>396431383</v>
      </c>
      <c r="D20" s="28">
        <v>44248.833668981482</v>
      </c>
      <c r="E20" s="28">
        <v>44248.834583333337</v>
      </c>
      <c r="F20" t="s">
        <v>273</v>
      </c>
      <c r="K20" t="s">
        <v>274</v>
      </c>
      <c r="L20" t="s">
        <v>275</v>
      </c>
      <c r="M20" t="s">
        <v>255</v>
      </c>
      <c r="N20">
        <f>VLOOKUP(L20,NLFsanalysis_new!B:C,2,FALSE)</f>
        <v>0</v>
      </c>
      <c r="O20" t="str">
        <f>VLOOKUP(L20,NLFsanalysis_new!B:L,11,FALSE)</f>
        <v>EUR</v>
      </c>
      <c r="P20" t="str">
        <f>VLOOKUP(L20,NLFsanalysis_new!B:D,3,FALSE)</f>
        <v>Core</v>
      </c>
      <c r="Q20" t="str">
        <f>VLOOKUP(L20,NLFsanalysis_new!B:E,4,FALSE)</f>
        <v>single country</v>
      </c>
      <c r="R20" t="str">
        <f>VLOOKUP(L20,NLFsanalysis_new!B:F,5,FALSE)</f>
        <v>Netherlands</v>
      </c>
      <c r="S20">
        <f>VLOOKUP(L20,NLFsanalysis_new!B:H,7,FALSE)</f>
        <v>2015</v>
      </c>
      <c r="T20" t="s">
        <v>170</v>
      </c>
      <c r="U20" t="s">
        <v>9</v>
      </c>
      <c r="V20" t="s">
        <v>276</v>
      </c>
      <c r="AO20" t="s">
        <v>188</v>
      </c>
      <c r="AP20" t="s">
        <v>152</v>
      </c>
    </row>
    <row r="21" spans="1:42" x14ac:dyDescent="0.2">
      <c r="A21" t="s">
        <v>212</v>
      </c>
      <c r="B21">
        <v>12429355841</v>
      </c>
      <c r="C21">
        <v>396431383</v>
      </c>
      <c r="D21" s="28">
        <v>44248.830300925925</v>
      </c>
      <c r="E21" s="28">
        <v>44248.834282407406</v>
      </c>
      <c r="F21" t="s">
        <v>273</v>
      </c>
      <c r="K21" t="s">
        <v>274</v>
      </c>
      <c r="L21" t="s">
        <v>277</v>
      </c>
      <c r="M21" t="s">
        <v>255</v>
      </c>
      <c r="N21">
        <f>VLOOKUP(L21,NLFsanalysis_new!B:C,2,FALSE)</f>
        <v>0</v>
      </c>
      <c r="O21" t="str">
        <f>VLOOKUP(L21,NLFsanalysis_new!B:L,11,FALSE)</f>
        <v>EUR</v>
      </c>
      <c r="P21" t="str">
        <f>VLOOKUP(L21,NLFsanalysis_new!B:D,3,FALSE)</f>
        <v>Core</v>
      </c>
      <c r="Q21" t="str">
        <f>VLOOKUP(L21,NLFsanalysis_new!B:E,4,FALSE)</f>
        <v>single country</v>
      </c>
      <c r="R21" t="str">
        <f>VLOOKUP(L21,NLFsanalysis_new!B:F,5,FALSE)</f>
        <v>Netherlands</v>
      </c>
      <c r="S21">
        <f>VLOOKUP(L21,NLFsanalysis_new!B:H,7,FALSE)</f>
        <v>2014</v>
      </c>
      <c r="T21" t="s">
        <v>170</v>
      </c>
      <c r="U21" t="s">
        <v>9</v>
      </c>
      <c r="V21" t="s">
        <v>278</v>
      </c>
      <c r="AO21" t="s">
        <v>151</v>
      </c>
      <c r="AP21" t="s">
        <v>152</v>
      </c>
    </row>
    <row r="22" spans="1:42" x14ac:dyDescent="0.2">
      <c r="A22" t="s">
        <v>212</v>
      </c>
      <c r="B22">
        <v>12429353192</v>
      </c>
      <c r="C22">
        <v>396431383</v>
      </c>
      <c r="D22" s="28">
        <v>44248.830289351848</v>
      </c>
      <c r="E22" s="28">
        <v>44248.833587962959</v>
      </c>
      <c r="F22" t="s">
        <v>273</v>
      </c>
      <c r="K22" t="s">
        <v>274</v>
      </c>
      <c r="L22" t="s">
        <v>279</v>
      </c>
      <c r="M22" t="s">
        <v>249</v>
      </c>
      <c r="N22">
        <f>VLOOKUP(L22,NLFsanalysis_new!B:C,2,FALSE)</f>
        <v>590</v>
      </c>
      <c r="O22" t="str">
        <f>VLOOKUP(L22,NLFsanalysis_new!B:L,11,FALSE)</f>
        <v>EUR</v>
      </c>
      <c r="P22" t="str">
        <f>VLOOKUP(L22,NLFsanalysis_new!B:D,3,FALSE)</f>
        <v>Core</v>
      </c>
      <c r="Q22" t="str">
        <f>VLOOKUP(L22,NLFsanalysis_new!B:E,4,FALSE)</f>
        <v>single country</v>
      </c>
      <c r="R22" t="str">
        <f>VLOOKUP(L22,NLFsanalysis_new!B:F,5,FALSE)</f>
        <v>Netherlands</v>
      </c>
      <c r="S22">
        <f>VLOOKUP(L22,NLFsanalysis_new!B:H,7,FALSE)</f>
        <v>2010</v>
      </c>
      <c r="T22" t="s">
        <v>152</v>
      </c>
      <c r="W22">
        <v>47</v>
      </c>
      <c r="X22">
        <v>45</v>
      </c>
      <c r="Y22">
        <v>2</v>
      </c>
      <c r="AF22">
        <v>47</v>
      </c>
      <c r="AM22">
        <v>100</v>
      </c>
      <c r="AO22" t="s">
        <v>151</v>
      </c>
      <c r="AP22" t="s">
        <v>152</v>
      </c>
    </row>
    <row r="23" spans="1:42" x14ac:dyDescent="0.2">
      <c r="A23" t="s">
        <v>212</v>
      </c>
      <c r="B23">
        <v>12429351135</v>
      </c>
      <c r="C23">
        <v>396431383</v>
      </c>
      <c r="D23" s="28">
        <v>44248.830266203702</v>
      </c>
      <c r="E23" s="28">
        <v>44248.832476851851</v>
      </c>
      <c r="F23" t="s">
        <v>273</v>
      </c>
      <c r="K23" t="s">
        <v>274</v>
      </c>
      <c r="L23" t="s">
        <v>280</v>
      </c>
      <c r="M23" t="s">
        <v>249</v>
      </c>
      <c r="N23">
        <f>VLOOKUP(L23,NLFsanalysis_new!B:C,2,FALSE)</f>
        <v>589</v>
      </c>
      <c r="O23" t="str">
        <f>VLOOKUP(L23,NLFsanalysis_new!B:L,11,FALSE)</f>
        <v>EUR</v>
      </c>
      <c r="P23" t="str">
        <f>VLOOKUP(L23,NLFsanalysis_new!B:D,3,FALSE)</f>
        <v>Core</v>
      </c>
      <c r="Q23" t="str">
        <f>VLOOKUP(L23,NLFsanalysis_new!B:E,4,FALSE)</f>
        <v>single country</v>
      </c>
      <c r="R23" t="str">
        <f>VLOOKUP(L23,NLFsanalysis_new!B:F,5,FALSE)</f>
        <v>Netherlands</v>
      </c>
      <c r="S23">
        <f>VLOOKUP(L23,NLFsanalysis_new!B:H,7,FALSE)</f>
        <v>2010</v>
      </c>
      <c r="T23" t="s">
        <v>152</v>
      </c>
      <c r="W23">
        <v>78</v>
      </c>
      <c r="X23">
        <v>78</v>
      </c>
      <c r="AF23">
        <v>78</v>
      </c>
      <c r="AM23">
        <v>100</v>
      </c>
      <c r="AO23" t="s">
        <v>188</v>
      </c>
      <c r="AP23" t="s">
        <v>152</v>
      </c>
    </row>
    <row r="24" spans="1:42" x14ac:dyDescent="0.2">
      <c r="A24" t="s">
        <v>212</v>
      </c>
      <c r="B24">
        <v>12429348092</v>
      </c>
      <c r="C24">
        <v>396431383</v>
      </c>
      <c r="D24" s="28">
        <v>44248.827581018515</v>
      </c>
      <c r="E24" s="28">
        <v>44248.830983796295</v>
      </c>
      <c r="F24" t="s">
        <v>273</v>
      </c>
      <c r="K24" t="s">
        <v>274</v>
      </c>
      <c r="L24" t="s">
        <v>281</v>
      </c>
      <c r="M24" t="s">
        <v>249</v>
      </c>
      <c r="N24">
        <f>VLOOKUP(L24,NLFsanalysis_new!B:C,2,FALSE)</f>
        <v>588</v>
      </c>
      <c r="O24" t="str">
        <f>VLOOKUP(L24,NLFsanalysis_new!B:L,11,FALSE)</f>
        <v>EUR</v>
      </c>
      <c r="P24" t="str">
        <f>VLOOKUP(L24,NLFsanalysis_new!B:D,3,FALSE)</f>
        <v>Core</v>
      </c>
      <c r="Q24" t="str">
        <f>VLOOKUP(L24,NLFsanalysis_new!B:E,4,FALSE)</f>
        <v>single country</v>
      </c>
      <c r="R24" t="str">
        <f>VLOOKUP(L24,NLFsanalysis_new!B:F,5,FALSE)</f>
        <v>Netherlands</v>
      </c>
      <c r="S24">
        <f>VLOOKUP(L24,NLFsanalysis_new!B:H,7,FALSE)</f>
        <v>2010</v>
      </c>
      <c r="T24" t="s">
        <v>152</v>
      </c>
      <c r="W24">
        <v>100</v>
      </c>
      <c r="X24">
        <v>100</v>
      </c>
      <c r="AF24">
        <v>100</v>
      </c>
      <c r="AM24">
        <v>100</v>
      </c>
      <c r="AO24" t="s">
        <v>151</v>
      </c>
      <c r="AP24" t="s">
        <v>152</v>
      </c>
    </row>
    <row r="25" spans="1:42" x14ac:dyDescent="0.2">
      <c r="A25" t="s">
        <v>212</v>
      </c>
      <c r="B25">
        <v>12429342997</v>
      </c>
      <c r="C25">
        <v>396431383</v>
      </c>
      <c r="D25" s="28">
        <v>44248.827557870369</v>
      </c>
      <c r="E25" s="28">
        <v>44248.828472222223</v>
      </c>
      <c r="F25" t="s">
        <v>273</v>
      </c>
      <c r="K25" t="s">
        <v>274</v>
      </c>
      <c r="L25" t="s">
        <v>21</v>
      </c>
      <c r="M25" t="s">
        <v>249</v>
      </c>
      <c r="N25" t="str">
        <f>VLOOKUP(L25,NLFsanalysis_new!B:C,2,FALSE)</f>
        <v>SMA</v>
      </c>
      <c r="O25" t="str">
        <f>VLOOKUP(L25,NLFsanalysis_new!B:L,11,FALSE)</f>
        <v/>
      </c>
      <c r="P25" t="str">
        <f>VLOOKUP(L25,NLFsanalysis_new!B:D,3,FALSE)</f>
        <v/>
      </c>
      <c r="Q25" t="str">
        <f>VLOOKUP(L25,NLFsanalysis_new!B:E,4,FALSE)</f>
        <v/>
      </c>
      <c r="R25" t="str">
        <f>VLOOKUP(L25,NLFsanalysis_new!B:F,5,FALSE)</f>
        <v/>
      </c>
      <c r="S25" t="str">
        <f>VLOOKUP(L25,NLFsanalysis_new!B:H,7,FALSE)</f>
        <v/>
      </c>
      <c r="T25" t="s">
        <v>152</v>
      </c>
      <c r="W25">
        <v>120</v>
      </c>
      <c r="X25">
        <v>120</v>
      </c>
      <c r="AF25">
        <v>120</v>
      </c>
      <c r="AM25">
        <v>100</v>
      </c>
      <c r="AO25" t="s">
        <v>151</v>
      </c>
      <c r="AP25" t="s">
        <v>152</v>
      </c>
    </row>
    <row r="26" spans="1:42" x14ac:dyDescent="0.2">
      <c r="A26" t="s">
        <v>212</v>
      </c>
      <c r="B26">
        <v>12429341987</v>
      </c>
      <c r="C26">
        <v>396431383</v>
      </c>
      <c r="D26" s="28">
        <v>44248.827534722222</v>
      </c>
      <c r="E26" s="28">
        <v>44248.828009259261</v>
      </c>
      <c r="F26" t="s">
        <v>273</v>
      </c>
      <c r="K26" t="s">
        <v>274</v>
      </c>
      <c r="L26" t="s">
        <v>22</v>
      </c>
      <c r="M26" t="s">
        <v>249</v>
      </c>
      <c r="N26" t="str">
        <f>VLOOKUP(L26,NLFsanalysis_new!B:C,2,FALSE)</f>
        <v>SMA</v>
      </c>
      <c r="O26" t="str">
        <f>VLOOKUP(L26,NLFsanalysis_new!B:L,11,FALSE)</f>
        <v/>
      </c>
      <c r="P26" t="str">
        <f>VLOOKUP(L26,NLFsanalysis_new!B:D,3,FALSE)</f>
        <v/>
      </c>
      <c r="Q26" t="str">
        <f>VLOOKUP(L26,NLFsanalysis_new!B:E,4,FALSE)</f>
        <v/>
      </c>
      <c r="R26" t="str">
        <f>VLOOKUP(L26,NLFsanalysis_new!B:F,5,FALSE)</f>
        <v/>
      </c>
      <c r="S26" t="str">
        <f>VLOOKUP(L26,NLFsanalysis_new!B:H,7,FALSE)</f>
        <v/>
      </c>
      <c r="T26" t="s">
        <v>152</v>
      </c>
      <c r="W26">
        <v>257</v>
      </c>
      <c r="X26">
        <v>257</v>
      </c>
      <c r="AF26">
        <v>257</v>
      </c>
      <c r="AM26">
        <v>100</v>
      </c>
      <c r="AO26" t="s">
        <v>151</v>
      </c>
      <c r="AP26" t="s">
        <v>152</v>
      </c>
    </row>
    <row r="27" spans="1:42" x14ac:dyDescent="0.2">
      <c r="A27" t="s">
        <v>212</v>
      </c>
      <c r="B27">
        <v>12429336902</v>
      </c>
      <c r="C27">
        <v>396431383</v>
      </c>
      <c r="D27" s="28">
        <v>44248.821342592593</v>
      </c>
      <c r="E27" s="28">
        <v>44248.827326388891</v>
      </c>
      <c r="F27" t="s">
        <v>273</v>
      </c>
      <c r="K27" t="s">
        <v>274</v>
      </c>
      <c r="L27" t="s">
        <v>123</v>
      </c>
      <c r="M27" t="s">
        <v>249</v>
      </c>
      <c r="N27" t="str">
        <f>VLOOKUP(L27,NLFsanalysis_new!B:C,2,FALSE)</f>
        <v>SMA</v>
      </c>
      <c r="O27" t="str">
        <f>VLOOKUP(L27,NLFsanalysis_new!B:L,11,FALSE)</f>
        <v/>
      </c>
      <c r="P27" t="str">
        <f>VLOOKUP(L27,NLFsanalysis_new!B:D,3,FALSE)</f>
        <v/>
      </c>
      <c r="Q27" t="str">
        <f>VLOOKUP(L27,NLFsanalysis_new!B:E,4,FALSE)</f>
        <v/>
      </c>
      <c r="R27" t="str">
        <f>VLOOKUP(L27,NLFsanalysis_new!B:F,5,FALSE)</f>
        <v/>
      </c>
      <c r="S27" t="str">
        <f>VLOOKUP(L27,NLFsanalysis_new!B:H,7,FALSE)</f>
        <v/>
      </c>
      <c r="T27" t="s">
        <v>152</v>
      </c>
      <c r="W27">
        <v>268</v>
      </c>
      <c r="X27">
        <v>268</v>
      </c>
      <c r="AF27">
        <v>268</v>
      </c>
      <c r="AM27">
        <v>100</v>
      </c>
      <c r="AO27" t="s">
        <v>151</v>
      </c>
      <c r="AP27" t="s">
        <v>152</v>
      </c>
    </row>
    <row r="28" spans="1:42" x14ac:dyDescent="0.2">
      <c r="A28" t="s">
        <v>212</v>
      </c>
      <c r="B28">
        <v>12424253586</v>
      </c>
      <c r="C28">
        <v>396431383</v>
      </c>
      <c r="D28" s="28">
        <v>44246.681631944448</v>
      </c>
      <c r="E28" s="28">
        <v>44246.682627314818</v>
      </c>
      <c r="F28" t="s">
        <v>282</v>
      </c>
      <c r="K28" t="s">
        <v>283</v>
      </c>
      <c r="L28" t="s">
        <v>284</v>
      </c>
      <c r="M28" t="s">
        <v>255</v>
      </c>
      <c r="N28">
        <f>VLOOKUP(L28,NLFsanalysis_new!B:C,2,FALSE)</f>
        <v>18179</v>
      </c>
      <c r="O28" t="str">
        <f>VLOOKUP(L28,NLFsanalysis_new!B:L,11,FALSE)</f>
        <v>EUR</v>
      </c>
      <c r="P28" t="str">
        <f>VLOOKUP(L28,NLFsanalysis_new!B:D,3,FALSE)</f>
        <v>Core</v>
      </c>
      <c r="Q28" t="str">
        <f>VLOOKUP(L28,NLFsanalysis_new!B:E,4,FALSE)</f>
        <v>multi country</v>
      </c>
      <c r="R28" t="str">
        <f>VLOOKUP(L28,NLFsanalysis_new!B:F,5,FALSE)</f>
        <v/>
      </c>
      <c r="S28">
        <f>VLOOKUP(L28,NLFsanalysis_new!B:H,7,FALSE)</f>
        <v>2012</v>
      </c>
      <c r="T28" t="s">
        <v>170</v>
      </c>
      <c r="U28" t="s">
        <v>9</v>
      </c>
      <c r="V28" t="s">
        <v>285</v>
      </c>
      <c r="AO28" t="s">
        <v>151</v>
      </c>
      <c r="AP28" t="s">
        <v>170</v>
      </c>
    </row>
    <row r="29" spans="1:42" x14ac:dyDescent="0.2">
      <c r="A29" t="s">
        <v>212</v>
      </c>
      <c r="B29">
        <v>12423371755</v>
      </c>
      <c r="C29">
        <v>396431383</v>
      </c>
      <c r="D29" s="28">
        <v>44246.483020833337</v>
      </c>
      <c r="E29" s="28">
        <v>44246.48337962963</v>
      </c>
      <c r="F29" t="s">
        <v>286</v>
      </c>
      <c r="K29" t="s">
        <v>287</v>
      </c>
      <c r="L29" t="s">
        <v>287</v>
      </c>
      <c r="M29" t="s">
        <v>255</v>
      </c>
      <c r="N29">
        <f>VLOOKUP(L29,NLFsanalysis_new!B:C,2,FALSE)</f>
        <v>18282</v>
      </c>
      <c r="O29" t="str">
        <f>VLOOKUP(L29,NLFsanalysis_new!B:L,11,FALSE)</f>
        <v>EUR</v>
      </c>
      <c r="P29" t="str">
        <f>VLOOKUP(L29,NLFsanalysis_new!B:D,3,FALSE)</f>
        <v>Value-added</v>
      </c>
      <c r="Q29" t="str">
        <f>VLOOKUP(L29,NLFsanalysis_new!B:E,4,FALSE)</f>
        <v>multi country</v>
      </c>
      <c r="R29" t="str">
        <f>VLOOKUP(L29,NLFsanalysis_new!B:F,5,FALSE)</f>
        <v/>
      </c>
      <c r="S29">
        <f>VLOOKUP(L29,NLFsanalysis_new!B:H,7,FALSE)</f>
        <v>2015</v>
      </c>
      <c r="T29" t="s">
        <v>170</v>
      </c>
      <c r="U29" t="s">
        <v>9</v>
      </c>
      <c r="V29" t="s">
        <v>288</v>
      </c>
      <c r="AO29" t="s">
        <v>151</v>
      </c>
      <c r="AP29" t="s">
        <v>170</v>
      </c>
    </row>
    <row r="30" spans="1:42" x14ac:dyDescent="0.2">
      <c r="A30" t="s">
        <v>212</v>
      </c>
      <c r="B30">
        <v>12423366934</v>
      </c>
      <c r="C30">
        <v>396431383</v>
      </c>
      <c r="D30" s="28">
        <v>44246.481122685182</v>
      </c>
      <c r="E30" s="28">
        <v>44246.48228009259</v>
      </c>
      <c r="F30" t="s">
        <v>286</v>
      </c>
      <c r="K30" t="s">
        <v>287</v>
      </c>
      <c r="L30" t="s">
        <v>287</v>
      </c>
      <c r="M30" t="s">
        <v>255</v>
      </c>
      <c r="N30">
        <f>VLOOKUP(L30,NLFsanalysis_new!B:C,2,FALSE)</f>
        <v>18282</v>
      </c>
      <c r="O30" t="str">
        <f>VLOOKUP(L30,NLFsanalysis_new!B:L,11,FALSE)</f>
        <v>EUR</v>
      </c>
      <c r="P30" t="str">
        <f>VLOOKUP(L30,NLFsanalysis_new!B:D,3,FALSE)</f>
        <v>Value-added</v>
      </c>
      <c r="Q30" t="str">
        <f>VLOOKUP(L30,NLFsanalysis_new!B:E,4,FALSE)</f>
        <v>multi country</v>
      </c>
      <c r="R30" t="str">
        <f>VLOOKUP(L30,NLFsanalysis_new!B:F,5,FALSE)</f>
        <v/>
      </c>
      <c r="S30">
        <f>VLOOKUP(L30,NLFsanalysis_new!B:H,7,FALSE)</f>
        <v>2015</v>
      </c>
      <c r="T30" t="s">
        <v>170</v>
      </c>
      <c r="U30" t="s">
        <v>9</v>
      </c>
      <c r="V30" t="s">
        <v>289</v>
      </c>
      <c r="AO30" t="s">
        <v>151</v>
      </c>
      <c r="AP30" t="s">
        <v>170</v>
      </c>
    </row>
    <row r="31" spans="1:42" x14ac:dyDescent="0.2">
      <c r="A31" t="s">
        <v>212</v>
      </c>
      <c r="B31">
        <v>12423295579</v>
      </c>
      <c r="C31">
        <v>396431383</v>
      </c>
      <c r="D31" s="28">
        <v>44246.460787037038</v>
      </c>
      <c r="E31" s="28">
        <v>44246.462534722225</v>
      </c>
      <c r="F31" t="s">
        <v>270</v>
      </c>
      <c r="K31" t="s">
        <v>290</v>
      </c>
      <c r="L31" t="s">
        <v>272</v>
      </c>
      <c r="M31" t="s">
        <v>255</v>
      </c>
      <c r="N31">
        <f>VLOOKUP(L31,NLFsanalysis_new!B:C,2,FALSE)</f>
        <v>19618</v>
      </c>
      <c r="O31" t="str">
        <f>VLOOKUP(L31,NLFsanalysis_new!B:L,11,FALSE)</f>
        <v>GBP</v>
      </c>
      <c r="P31" t="str">
        <f>VLOOKUP(L31,NLFsanalysis_new!B:D,3,FALSE)</f>
        <v>Core</v>
      </c>
      <c r="Q31" t="str">
        <f>VLOOKUP(L31,NLFsanalysis_new!B:E,4,FALSE)</f>
        <v>single country</v>
      </c>
      <c r="R31" t="str">
        <f>VLOOKUP(L31,NLFsanalysis_new!B:F,5,FALSE)</f>
        <v>United Kingdom</v>
      </c>
      <c r="S31">
        <f>VLOOKUP(L31,NLFsanalysis_new!B:H,7,FALSE)</f>
        <v>2020</v>
      </c>
      <c r="T31" t="s">
        <v>152</v>
      </c>
      <c r="W31">
        <v>97</v>
      </c>
      <c r="X31">
        <v>97</v>
      </c>
      <c r="AF31">
        <v>97</v>
      </c>
      <c r="AM31">
        <v>100</v>
      </c>
      <c r="AO31" t="s">
        <v>151</v>
      </c>
      <c r="AP31" t="s">
        <v>152</v>
      </c>
    </row>
    <row r="32" spans="1:42" x14ac:dyDescent="0.2">
      <c r="A32" t="s">
        <v>212</v>
      </c>
      <c r="B32">
        <v>12421772543</v>
      </c>
      <c r="C32">
        <v>396431383</v>
      </c>
      <c r="D32" s="28">
        <v>44245.940104166664</v>
      </c>
      <c r="E32" s="28">
        <v>44245.941817129627</v>
      </c>
      <c r="F32" t="s">
        <v>291</v>
      </c>
      <c r="K32" t="s">
        <v>292</v>
      </c>
      <c r="L32" t="s">
        <v>293</v>
      </c>
      <c r="M32" t="s">
        <v>249</v>
      </c>
      <c r="N32" t="str">
        <f>VLOOKUP(L32,NLFsanalysis_new!B:C,2,FALSE)</f>
        <v>US</v>
      </c>
      <c r="O32" t="str">
        <f>VLOOKUP(L32,NLFsanalysis_new!B:L,11,FALSE)</f>
        <v/>
      </c>
      <c r="P32" t="str">
        <f>VLOOKUP(L32,NLFsanalysis_new!B:D,3,FALSE)</f>
        <v/>
      </c>
      <c r="Q32" t="str">
        <f>VLOOKUP(L32,NLFsanalysis_new!B:E,4,FALSE)</f>
        <v/>
      </c>
      <c r="R32" t="str">
        <f>VLOOKUP(L32,NLFsanalysis_new!B:F,5,FALSE)</f>
        <v/>
      </c>
      <c r="S32" t="str">
        <f>VLOOKUP(L32,NLFsanalysis_new!B:H,7,FALSE)</f>
        <v/>
      </c>
      <c r="T32" t="s">
        <v>152</v>
      </c>
      <c r="W32">
        <v>896</v>
      </c>
      <c r="X32">
        <v>393</v>
      </c>
      <c r="Y32">
        <v>171</v>
      </c>
      <c r="AB32">
        <v>138</v>
      </c>
      <c r="AC32">
        <v>48</v>
      </c>
      <c r="AE32">
        <v>146</v>
      </c>
      <c r="AF32">
        <v>248</v>
      </c>
      <c r="AG32">
        <v>173</v>
      </c>
      <c r="AH32">
        <v>475</v>
      </c>
      <c r="AM32">
        <v>100</v>
      </c>
      <c r="AO32" t="s">
        <v>151</v>
      </c>
      <c r="AP32" t="s">
        <v>152</v>
      </c>
    </row>
    <row r="33" spans="1:42" x14ac:dyDescent="0.2">
      <c r="A33" t="s">
        <v>212</v>
      </c>
      <c r="B33">
        <v>12421765094</v>
      </c>
      <c r="C33">
        <v>396431383</v>
      </c>
      <c r="D33" s="28">
        <v>44245.938055555554</v>
      </c>
      <c r="E33" s="28">
        <v>44245.939675925925</v>
      </c>
      <c r="F33" t="s">
        <v>291</v>
      </c>
      <c r="K33" t="s">
        <v>292</v>
      </c>
      <c r="L33" t="s">
        <v>294</v>
      </c>
      <c r="M33" t="s">
        <v>249</v>
      </c>
      <c r="N33" t="str">
        <f>VLOOKUP(L33,NLFsanalysis_new!B:C,2,FALSE)</f>
        <v>Asia</v>
      </c>
      <c r="O33" t="str">
        <f>VLOOKUP(L33,NLFsanalysis_new!B:L,11,FALSE)</f>
        <v/>
      </c>
      <c r="P33" t="str">
        <f>VLOOKUP(L33,NLFsanalysis_new!B:D,3,FALSE)</f>
        <v/>
      </c>
      <c r="Q33" t="str">
        <f>VLOOKUP(L33,NLFsanalysis_new!B:E,4,FALSE)</f>
        <v/>
      </c>
      <c r="R33" t="str">
        <f>VLOOKUP(L33,NLFsanalysis_new!B:F,5,FALSE)</f>
        <v/>
      </c>
      <c r="S33" t="str">
        <f>VLOOKUP(L33,NLFsanalysis_new!B:H,7,FALSE)</f>
        <v/>
      </c>
      <c r="T33" t="s">
        <v>152</v>
      </c>
      <c r="W33">
        <v>81</v>
      </c>
      <c r="X33">
        <v>21</v>
      </c>
      <c r="Y33">
        <v>60</v>
      </c>
      <c r="AF33">
        <v>21</v>
      </c>
      <c r="AG33">
        <v>60</v>
      </c>
      <c r="AM33">
        <v>100</v>
      </c>
      <c r="AO33" t="s">
        <v>151</v>
      </c>
      <c r="AP33" t="s">
        <v>152</v>
      </c>
    </row>
    <row r="34" spans="1:42" x14ac:dyDescent="0.2">
      <c r="A34" t="s">
        <v>212</v>
      </c>
      <c r="B34">
        <v>12421616781</v>
      </c>
      <c r="C34">
        <v>396431383</v>
      </c>
      <c r="D34" s="28">
        <v>44245.908518518518</v>
      </c>
      <c r="E34" s="28">
        <v>44245.91128472222</v>
      </c>
      <c r="F34" t="s">
        <v>291</v>
      </c>
      <c r="K34" t="s">
        <v>292</v>
      </c>
      <c r="L34" t="s">
        <v>295</v>
      </c>
      <c r="M34" t="s">
        <v>249</v>
      </c>
      <c r="N34">
        <f>VLOOKUP(L34,NLFsanalysis_new!B:C,2,FALSE)</f>
        <v>375</v>
      </c>
      <c r="O34" t="str">
        <f>VLOOKUP(L34,NLFsanalysis_new!B:L,11,FALSE)</f>
        <v>EUR</v>
      </c>
      <c r="P34" t="str">
        <f>VLOOKUP(L34,NLFsanalysis_new!B:D,3,FALSE)</f>
        <v>Core</v>
      </c>
      <c r="Q34" t="str">
        <f>VLOOKUP(L34,NLFsanalysis_new!B:E,4,FALSE)</f>
        <v>multi country</v>
      </c>
      <c r="R34" t="str">
        <f>VLOOKUP(L34,NLFsanalysis_new!B:F,5,FALSE)</f>
        <v/>
      </c>
      <c r="S34">
        <f>VLOOKUP(L34,NLFsanalysis_new!B:H,7,FALSE)</f>
        <v>2007</v>
      </c>
      <c r="T34" t="s">
        <v>152</v>
      </c>
      <c r="W34">
        <v>1151</v>
      </c>
      <c r="X34">
        <v>196</v>
      </c>
      <c r="Y34">
        <v>185</v>
      </c>
      <c r="Z34">
        <v>3</v>
      </c>
      <c r="AB34">
        <v>279</v>
      </c>
      <c r="AC34">
        <v>200</v>
      </c>
      <c r="AE34">
        <v>288</v>
      </c>
      <c r="AF34">
        <v>822</v>
      </c>
      <c r="AG34">
        <v>329</v>
      </c>
      <c r="AM34">
        <v>100</v>
      </c>
      <c r="AO34" t="s">
        <v>151</v>
      </c>
      <c r="AP34" t="s">
        <v>152</v>
      </c>
    </row>
    <row r="35" spans="1:42" x14ac:dyDescent="0.2">
      <c r="A35" t="s">
        <v>213</v>
      </c>
      <c r="B35">
        <v>12421109988</v>
      </c>
      <c r="C35">
        <v>396431383</v>
      </c>
      <c r="D35" s="28">
        <v>44245.815462962964</v>
      </c>
      <c r="E35" s="28">
        <v>44245.815659722219</v>
      </c>
      <c r="F35" t="s">
        <v>296</v>
      </c>
      <c r="K35" t="s">
        <v>297</v>
      </c>
      <c r="L35" t="s">
        <v>297</v>
      </c>
      <c r="M35" t="s">
        <v>249</v>
      </c>
      <c r="N35" t="e">
        <f>VLOOKUP(L35,NLFsanalysis_new!B:C,2,FALSE)</f>
        <v>#N/A</v>
      </c>
      <c r="O35" t="e">
        <f>VLOOKUP(L35,NLFsanalysis_new!B:L,11,FALSE)</f>
        <v>#N/A</v>
      </c>
      <c r="P35" t="e">
        <f>VLOOKUP(L35,NLFsanalysis_new!B:D,3,FALSE)</f>
        <v>#N/A</v>
      </c>
      <c r="Q35" t="e">
        <f>VLOOKUP(L35,NLFsanalysis_new!B:E,4,FALSE)</f>
        <v>#N/A</v>
      </c>
      <c r="R35" t="e">
        <f>VLOOKUP(L35,NLFsanalysis_new!B:F,5,FALSE)</f>
        <v>#N/A</v>
      </c>
      <c r="S35" t="e">
        <f>VLOOKUP(L35,NLFsanalysis_new!B:H,7,FALSE)</f>
        <v>#N/A</v>
      </c>
      <c r="T35" t="s">
        <v>152</v>
      </c>
    </row>
    <row r="36" spans="1:42" x14ac:dyDescent="0.2">
      <c r="A36" t="s">
        <v>212</v>
      </c>
      <c r="B36">
        <v>12421073568</v>
      </c>
      <c r="C36">
        <v>396431383</v>
      </c>
      <c r="D36" s="28">
        <v>44245.808645833335</v>
      </c>
      <c r="E36" s="28">
        <v>44245.809351851851</v>
      </c>
      <c r="F36" t="s">
        <v>298</v>
      </c>
      <c r="K36" t="s">
        <v>299</v>
      </c>
      <c r="L36" t="s">
        <v>300</v>
      </c>
      <c r="M36" t="s">
        <v>255</v>
      </c>
      <c r="N36" t="str">
        <f>VLOOKUP(L36,NLFsanalysis_new!B:C,2,FALSE)</f>
        <v>US</v>
      </c>
      <c r="O36" t="str">
        <f>VLOOKUP(L36,NLFsanalysis_new!B:L,11,FALSE)</f>
        <v/>
      </c>
      <c r="P36" t="str">
        <f>VLOOKUP(L36,NLFsanalysis_new!B:D,3,FALSE)</f>
        <v/>
      </c>
      <c r="Q36" t="str">
        <f>VLOOKUP(L36,NLFsanalysis_new!B:E,4,FALSE)</f>
        <v/>
      </c>
      <c r="R36" t="str">
        <f>VLOOKUP(L36,NLFsanalysis_new!B:F,5,FALSE)</f>
        <v/>
      </c>
      <c r="S36" t="str">
        <f>VLOOKUP(L36,NLFsanalysis_new!B:H,7,FALSE)</f>
        <v/>
      </c>
      <c r="T36" t="s">
        <v>152</v>
      </c>
    </row>
    <row r="37" spans="1:42" x14ac:dyDescent="0.2">
      <c r="A37" t="s">
        <v>212</v>
      </c>
      <c r="B37">
        <v>12420661861</v>
      </c>
      <c r="C37">
        <v>396431383</v>
      </c>
      <c r="D37" s="28">
        <v>44245.735555555555</v>
      </c>
      <c r="E37" s="28">
        <v>44245.745069444441</v>
      </c>
      <c r="F37" t="s">
        <v>301</v>
      </c>
      <c r="K37" t="s">
        <v>268</v>
      </c>
      <c r="L37" t="s">
        <v>302</v>
      </c>
      <c r="M37" t="s">
        <v>249</v>
      </c>
      <c r="N37">
        <f>VLOOKUP(L37,NLFsanalysis_new!B:C,2,FALSE)</f>
        <v>559</v>
      </c>
      <c r="O37" t="str">
        <f>VLOOKUP(L37,NLFsanalysis_new!B:L,11,FALSE)</f>
        <v>EUR</v>
      </c>
      <c r="P37" t="str">
        <f>VLOOKUP(L37,NLFsanalysis_new!B:D,3,FALSE)</f>
        <v>Core</v>
      </c>
      <c r="Q37" t="str">
        <f>VLOOKUP(L37,NLFsanalysis_new!B:E,4,FALSE)</f>
        <v>multi country</v>
      </c>
      <c r="R37" t="str">
        <f>VLOOKUP(L37,NLFsanalysis_new!B:F,5,FALSE)</f>
        <v/>
      </c>
      <c r="S37">
        <f>VLOOKUP(L37,NLFsanalysis_new!B:H,7,FALSE)</f>
        <v>2008</v>
      </c>
      <c r="T37" t="s">
        <v>152</v>
      </c>
      <c r="W37">
        <v>127</v>
      </c>
      <c r="X37">
        <v>42</v>
      </c>
      <c r="Y37">
        <v>51</v>
      </c>
      <c r="AE37">
        <v>33</v>
      </c>
      <c r="AF37">
        <v>110</v>
      </c>
      <c r="AG37">
        <v>17</v>
      </c>
      <c r="AM37">
        <v>100</v>
      </c>
      <c r="AO37" t="s">
        <v>169</v>
      </c>
      <c r="AP37" t="s">
        <v>152</v>
      </c>
    </row>
    <row r="38" spans="1:42" x14ac:dyDescent="0.2">
      <c r="A38" t="s">
        <v>212</v>
      </c>
      <c r="B38">
        <v>12420575219</v>
      </c>
      <c r="C38">
        <v>396431383</v>
      </c>
      <c r="D38" s="28">
        <v>44245.72488425926</v>
      </c>
      <c r="E38" s="28">
        <v>44245.727303240739</v>
      </c>
      <c r="F38" t="s">
        <v>204</v>
      </c>
      <c r="K38" t="s">
        <v>205</v>
      </c>
      <c r="L38" t="s">
        <v>303</v>
      </c>
      <c r="M38" t="s">
        <v>249</v>
      </c>
      <c r="N38" t="str">
        <f>VLOOKUP(L38,NLFsanalysis_new!B:C,2,FALSE)</f>
        <v>US</v>
      </c>
      <c r="O38" t="str">
        <f>VLOOKUP(L38,NLFsanalysis_new!B:L,11,FALSE)</f>
        <v/>
      </c>
      <c r="P38" t="str">
        <f>VLOOKUP(L38,NLFsanalysis_new!B:D,3,FALSE)</f>
        <v/>
      </c>
      <c r="Q38" t="str">
        <f>VLOOKUP(L38,NLFsanalysis_new!B:E,4,FALSE)</f>
        <v/>
      </c>
      <c r="R38" t="str">
        <f>VLOOKUP(L38,NLFsanalysis_new!B:F,5,FALSE)</f>
        <v/>
      </c>
      <c r="S38" t="str">
        <f>VLOOKUP(L38,NLFsanalysis_new!B:H,7,FALSE)</f>
        <v/>
      </c>
      <c r="T38" t="s">
        <v>152</v>
      </c>
      <c r="W38">
        <v>193</v>
      </c>
      <c r="Z38">
        <v>80</v>
      </c>
      <c r="AA38">
        <v>113</v>
      </c>
      <c r="AG38">
        <v>140</v>
      </c>
      <c r="AH38">
        <v>53</v>
      </c>
      <c r="AK38">
        <v>75</v>
      </c>
      <c r="AM38">
        <v>25</v>
      </c>
      <c r="AO38" t="s">
        <v>151</v>
      </c>
      <c r="AP38" t="s">
        <v>152</v>
      </c>
    </row>
    <row r="39" spans="1:42" x14ac:dyDescent="0.2">
      <c r="A39" t="s">
        <v>212</v>
      </c>
      <c r="B39">
        <v>12420559399</v>
      </c>
      <c r="C39">
        <v>396431383</v>
      </c>
      <c r="D39" s="28">
        <v>44245.722534722219</v>
      </c>
      <c r="E39" s="28">
        <v>44245.724780092591</v>
      </c>
      <c r="F39" t="s">
        <v>204</v>
      </c>
      <c r="K39" t="s">
        <v>205</v>
      </c>
      <c r="L39" t="s">
        <v>206</v>
      </c>
      <c r="M39" t="s">
        <v>255</v>
      </c>
      <c r="N39" t="str">
        <f>VLOOKUP(L39,NLFsanalysis_new!B:C,2,FALSE)</f>
        <v>Debt</v>
      </c>
      <c r="O39" t="str">
        <f>VLOOKUP(L39,NLFsanalysis_new!B:L,11,FALSE)</f>
        <v/>
      </c>
      <c r="P39" t="str">
        <f>VLOOKUP(L39,NLFsanalysis_new!B:D,3,FALSE)</f>
        <v/>
      </c>
      <c r="Q39" t="str">
        <f>VLOOKUP(L39,NLFsanalysis_new!B:E,4,FALSE)</f>
        <v/>
      </c>
      <c r="R39" t="str">
        <f>VLOOKUP(L39,NLFsanalysis_new!B:F,5,FALSE)</f>
        <v/>
      </c>
      <c r="S39" t="str">
        <f>VLOOKUP(L39,NLFsanalysis_new!B:H,7,FALSE)</f>
        <v/>
      </c>
      <c r="T39" t="s">
        <v>152</v>
      </c>
      <c r="W39">
        <v>300</v>
      </c>
      <c r="AA39">
        <v>300</v>
      </c>
      <c r="AG39">
        <v>200</v>
      </c>
      <c r="AH39">
        <v>100</v>
      </c>
      <c r="AM39">
        <v>100</v>
      </c>
      <c r="AO39" t="s">
        <v>151</v>
      </c>
      <c r="AP39" t="s">
        <v>152</v>
      </c>
    </row>
    <row r="40" spans="1:42" x14ac:dyDescent="0.2">
      <c r="A40" t="s">
        <v>213</v>
      </c>
      <c r="B40">
        <v>12420473315</v>
      </c>
      <c r="C40">
        <v>396431383</v>
      </c>
      <c r="D40" s="28">
        <v>44245.707777777781</v>
      </c>
      <c r="E40" s="28">
        <v>44245.708078703705</v>
      </c>
      <c r="F40" t="s">
        <v>301</v>
      </c>
      <c r="K40" t="s">
        <v>304</v>
      </c>
      <c r="L40" t="s">
        <v>302</v>
      </c>
      <c r="M40" t="s">
        <v>249</v>
      </c>
      <c r="N40">
        <f>VLOOKUP(L40,NLFsanalysis_new!B:C,2,FALSE)</f>
        <v>559</v>
      </c>
      <c r="O40" t="str">
        <f>VLOOKUP(L40,NLFsanalysis_new!B:L,11,FALSE)</f>
        <v>EUR</v>
      </c>
      <c r="P40" t="str">
        <f>VLOOKUP(L40,NLFsanalysis_new!B:D,3,FALSE)</f>
        <v>Core</v>
      </c>
      <c r="Q40" t="str">
        <f>VLOOKUP(L40,NLFsanalysis_new!B:E,4,FALSE)</f>
        <v>multi country</v>
      </c>
      <c r="R40" t="str">
        <f>VLOOKUP(L40,NLFsanalysis_new!B:F,5,FALSE)</f>
        <v/>
      </c>
      <c r="S40">
        <f>VLOOKUP(L40,NLFsanalysis_new!B:H,7,FALSE)</f>
        <v>2008</v>
      </c>
      <c r="T40" t="s">
        <v>152</v>
      </c>
    </row>
    <row r="41" spans="1:42" x14ac:dyDescent="0.2">
      <c r="A41" t="s">
        <v>212</v>
      </c>
      <c r="B41">
        <v>12419910978</v>
      </c>
      <c r="C41">
        <v>396431383</v>
      </c>
      <c r="D41" s="28">
        <v>44245.600358796299</v>
      </c>
      <c r="E41" s="28">
        <v>44245.606747685182</v>
      </c>
      <c r="F41" t="s">
        <v>171</v>
      </c>
      <c r="K41" t="s">
        <v>179</v>
      </c>
      <c r="L41" t="s">
        <v>305</v>
      </c>
      <c r="M41" t="s">
        <v>249</v>
      </c>
      <c r="N41">
        <f>VLOOKUP(L41,NLFsanalysis_new!B:C,2,FALSE)</f>
        <v>137</v>
      </c>
      <c r="O41" t="str">
        <f>VLOOKUP(L41,NLFsanalysis_new!B:L,11,FALSE)</f>
        <v>EUR</v>
      </c>
      <c r="P41" t="str">
        <f>VLOOKUP(L41,NLFsanalysis_new!B:D,3,FALSE)</f>
        <v>Core</v>
      </c>
      <c r="Q41" t="str">
        <f>VLOOKUP(L41,NLFsanalysis_new!B:E,4,FALSE)</f>
        <v>multi country</v>
      </c>
      <c r="R41" t="str">
        <f>VLOOKUP(L41,NLFsanalysis_new!B:F,5,FALSE)</f>
        <v/>
      </c>
      <c r="S41">
        <f>VLOOKUP(L41,NLFsanalysis_new!B:H,7,FALSE)</f>
        <v>2006</v>
      </c>
      <c r="T41" t="s">
        <v>152</v>
      </c>
      <c r="W41">
        <v>836</v>
      </c>
      <c r="X41">
        <v>316</v>
      </c>
      <c r="Y41">
        <v>370</v>
      </c>
      <c r="AC41">
        <v>65</v>
      </c>
      <c r="AE41">
        <v>85</v>
      </c>
      <c r="AF41">
        <v>720</v>
      </c>
      <c r="AG41">
        <v>116</v>
      </c>
      <c r="AM41">
        <v>100</v>
      </c>
      <c r="AO41" t="s">
        <v>169</v>
      </c>
      <c r="AP41" t="s">
        <v>152</v>
      </c>
    </row>
    <row r="42" spans="1:42" x14ac:dyDescent="0.2">
      <c r="A42" t="s">
        <v>212</v>
      </c>
      <c r="B42">
        <v>12419865898</v>
      </c>
      <c r="C42">
        <v>396431383</v>
      </c>
      <c r="D42" s="28">
        <v>44245.591562499998</v>
      </c>
      <c r="E42" s="28">
        <v>44245.5934837963</v>
      </c>
      <c r="F42" t="s">
        <v>306</v>
      </c>
      <c r="K42" t="s">
        <v>268</v>
      </c>
      <c r="L42" t="s">
        <v>307</v>
      </c>
      <c r="M42" t="s">
        <v>249</v>
      </c>
      <c r="N42">
        <f>VLOOKUP(L42,NLFsanalysis_new!B:C,2,FALSE)</f>
        <v>18125</v>
      </c>
      <c r="O42" t="str">
        <f>VLOOKUP(L42,NLFsanalysis_new!B:L,11,FALSE)</f>
        <v>EUR</v>
      </c>
      <c r="P42" t="str">
        <f>VLOOKUP(L42,NLFsanalysis_new!B:D,3,FALSE)</f>
        <v>Core</v>
      </c>
      <c r="Q42" t="str">
        <f>VLOOKUP(L42,NLFsanalysis_new!B:E,4,FALSE)</f>
        <v>multi country</v>
      </c>
      <c r="R42" t="str">
        <f>VLOOKUP(L42,NLFsanalysis_new!B:F,5,FALSE)</f>
        <v/>
      </c>
      <c r="S42">
        <f>VLOOKUP(L42,NLFsanalysis_new!B:H,7,FALSE)</f>
        <v>2015</v>
      </c>
      <c r="T42" t="s">
        <v>152</v>
      </c>
      <c r="W42">
        <v>138</v>
      </c>
      <c r="X42">
        <v>98</v>
      </c>
      <c r="AE42">
        <v>40</v>
      </c>
      <c r="AF42">
        <v>138</v>
      </c>
      <c r="AM42">
        <v>100</v>
      </c>
      <c r="AO42" t="s">
        <v>169</v>
      </c>
      <c r="AP42" t="s">
        <v>152</v>
      </c>
    </row>
    <row r="43" spans="1:42" x14ac:dyDescent="0.2">
      <c r="A43" t="s">
        <v>212</v>
      </c>
      <c r="B43">
        <v>12419829994</v>
      </c>
      <c r="C43">
        <v>396431383</v>
      </c>
      <c r="D43" s="28">
        <v>44245.583506944444</v>
      </c>
      <c r="E43" s="28">
        <v>44245.591331018521</v>
      </c>
      <c r="F43" t="s">
        <v>306</v>
      </c>
      <c r="K43" t="s">
        <v>268</v>
      </c>
      <c r="L43" t="s">
        <v>308</v>
      </c>
      <c r="M43" t="s">
        <v>249</v>
      </c>
      <c r="N43">
        <f>VLOOKUP(L43,NLFsanalysis_new!B:C,2,FALSE)</f>
        <v>18386</v>
      </c>
      <c r="O43" t="str">
        <f>VLOOKUP(L43,NLFsanalysis_new!B:L,11,FALSE)</f>
        <v>EUR</v>
      </c>
      <c r="P43" t="str">
        <f>VLOOKUP(L43,NLFsanalysis_new!B:D,3,FALSE)</f>
        <v>Core</v>
      </c>
      <c r="Q43" t="str">
        <f>VLOOKUP(L43,NLFsanalysis_new!B:E,4,FALSE)</f>
        <v>multi country</v>
      </c>
      <c r="R43" t="str">
        <f>VLOOKUP(L43,NLFsanalysis_new!B:F,5,FALSE)</f>
        <v/>
      </c>
      <c r="S43">
        <f>VLOOKUP(L43,NLFsanalysis_new!B:H,7,FALSE)</f>
        <v>2017</v>
      </c>
      <c r="T43" t="s">
        <v>170</v>
      </c>
      <c r="U43" t="s">
        <v>9</v>
      </c>
      <c r="V43" t="s">
        <v>309</v>
      </c>
      <c r="AO43" t="s">
        <v>169</v>
      </c>
      <c r="AP43" t="s">
        <v>152</v>
      </c>
    </row>
    <row r="44" spans="1:42" x14ac:dyDescent="0.2">
      <c r="A44" t="s">
        <v>212</v>
      </c>
      <c r="B44">
        <v>12419575851</v>
      </c>
      <c r="C44">
        <v>396431383</v>
      </c>
      <c r="D44" s="28">
        <v>44245.525347222225</v>
      </c>
      <c r="E44" s="28">
        <v>44245.527696759258</v>
      </c>
      <c r="F44" t="s">
        <v>310</v>
      </c>
      <c r="K44" t="s">
        <v>311</v>
      </c>
      <c r="L44" t="s">
        <v>312</v>
      </c>
      <c r="M44" t="s">
        <v>255</v>
      </c>
      <c r="N44" t="str">
        <f>VLOOKUP(L44,NLFsanalysis_new!B:C,2,FALSE)</f>
        <v>Asia</v>
      </c>
      <c r="O44" t="str">
        <f>VLOOKUP(L44,NLFsanalysis_new!B:L,11,FALSE)</f>
        <v/>
      </c>
      <c r="P44" t="str">
        <f>VLOOKUP(L44,NLFsanalysis_new!B:D,3,FALSE)</f>
        <v/>
      </c>
      <c r="Q44" t="str">
        <f>VLOOKUP(L44,NLFsanalysis_new!B:E,4,FALSE)</f>
        <v/>
      </c>
      <c r="R44" t="str">
        <f>VLOOKUP(L44,NLFsanalysis_new!B:F,5,FALSE)</f>
        <v/>
      </c>
      <c r="S44" t="str">
        <f>VLOOKUP(L44,NLFsanalysis_new!B:H,7,FALSE)</f>
        <v/>
      </c>
      <c r="T44" t="s">
        <v>152</v>
      </c>
      <c r="W44">
        <v>97</v>
      </c>
      <c r="X44">
        <v>95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97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100</v>
      </c>
      <c r="AN44">
        <v>0</v>
      </c>
      <c r="AO44" t="s">
        <v>151</v>
      </c>
      <c r="AP44" t="s">
        <v>152</v>
      </c>
    </row>
    <row r="45" spans="1:42" x14ac:dyDescent="0.2">
      <c r="A45" t="s">
        <v>212</v>
      </c>
      <c r="B45">
        <v>12419568357</v>
      </c>
      <c r="C45">
        <v>396431383</v>
      </c>
      <c r="D45" s="28">
        <v>44245.524317129632</v>
      </c>
      <c r="E45" s="28">
        <v>44245.525219907409</v>
      </c>
      <c r="F45" t="s">
        <v>310</v>
      </c>
      <c r="K45" t="s">
        <v>311</v>
      </c>
      <c r="L45" t="s">
        <v>313</v>
      </c>
      <c r="M45" t="s">
        <v>249</v>
      </c>
      <c r="N45">
        <f>VLOOKUP(L45,NLFsanalysis_new!B:C,2,FALSE)</f>
        <v>106</v>
      </c>
      <c r="O45" t="str">
        <f>VLOOKUP(L45,NLFsanalysis_new!B:L,11,FALSE)</f>
        <v>EUR</v>
      </c>
      <c r="P45" t="str">
        <f>VLOOKUP(L45,NLFsanalysis_new!B:D,3,FALSE)</f>
        <v>Core</v>
      </c>
      <c r="Q45" t="str">
        <f>VLOOKUP(L45,NLFsanalysis_new!B:E,4,FALSE)</f>
        <v>multi country</v>
      </c>
      <c r="R45" t="str">
        <f>VLOOKUP(L45,NLFsanalysis_new!B:F,5,FALSE)</f>
        <v/>
      </c>
      <c r="S45">
        <f>VLOOKUP(L45,NLFsanalysis_new!B:H,7,FALSE)</f>
        <v>2008</v>
      </c>
      <c r="T45" t="s">
        <v>152</v>
      </c>
      <c r="W45">
        <v>35</v>
      </c>
      <c r="X45">
        <v>0</v>
      </c>
      <c r="Y45">
        <v>35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35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100</v>
      </c>
      <c r="AN45">
        <v>0</v>
      </c>
      <c r="AO45" t="s">
        <v>151</v>
      </c>
      <c r="AP45" t="s">
        <v>152</v>
      </c>
    </row>
    <row r="46" spans="1:42" x14ac:dyDescent="0.2">
      <c r="A46" t="s">
        <v>212</v>
      </c>
      <c r="B46">
        <v>12419500482</v>
      </c>
      <c r="C46">
        <v>396431383</v>
      </c>
      <c r="D46" s="28">
        <v>44245.508194444446</v>
      </c>
      <c r="E46" s="28">
        <v>44245.524085648147</v>
      </c>
      <c r="F46" t="s">
        <v>310</v>
      </c>
      <c r="K46" t="s">
        <v>311</v>
      </c>
      <c r="L46" t="s">
        <v>314</v>
      </c>
      <c r="M46" t="s">
        <v>249</v>
      </c>
      <c r="N46">
        <f>VLOOKUP(L46,NLFsanalysis_new!B:C,2,FALSE)</f>
        <v>18125</v>
      </c>
      <c r="O46" t="str">
        <f>VLOOKUP(L46,NLFsanalysis_new!B:L,11,FALSE)</f>
        <v>EUR</v>
      </c>
      <c r="P46" t="str">
        <f>VLOOKUP(L46,NLFsanalysis_new!B:D,3,FALSE)</f>
        <v>Core</v>
      </c>
      <c r="Q46" t="str">
        <f>VLOOKUP(L46,NLFsanalysis_new!B:E,4,FALSE)</f>
        <v>multi country</v>
      </c>
      <c r="R46" t="str">
        <f>VLOOKUP(L46,NLFsanalysis_new!B:F,5,FALSE)</f>
        <v/>
      </c>
      <c r="S46">
        <f>VLOOKUP(L46,NLFsanalysis_new!B:H,7,FALSE)</f>
        <v>2019</v>
      </c>
      <c r="T46" t="s">
        <v>152</v>
      </c>
      <c r="W46">
        <v>224</v>
      </c>
      <c r="X46">
        <v>18</v>
      </c>
      <c r="Y46">
        <v>160</v>
      </c>
      <c r="Z46">
        <v>0</v>
      </c>
      <c r="AA46">
        <v>0</v>
      </c>
      <c r="AB46">
        <v>0</v>
      </c>
      <c r="AC46">
        <v>10</v>
      </c>
      <c r="AD46">
        <v>0</v>
      </c>
      <c r="AE46">
        <v>36</v>
      </c>
      <c r="AF46">
        <v>224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100</v>
      </c>
      <c r="AN46">
        <v>0</v>
      </c>
      <c r="AO46" t="s">
        <v>151</v>
      </c>
      <c r="AP46" t="s">
        <v>152</v>
      </c>
    </row>
    <row r="47" spans="1:42" x14ac:dyDescent="0.2">
      <c r="A47" t="s">
        <v>212</v>
      </c>
      <c r="B47">
        <v>12419457209</v>
      </c>
      <c r="C47">
        <v>396431383</v>
      </c>
      <c r="D47" s="28">
        <v>44245.497939814813</v>
      </c>
      <c r="E47" s="28">
        <v>44245.498460648145</v>
      </c>
      <c r="F47" t="s">
        <v>315</v>
      </c>
      <c r="K47" t="s">
        <v>316</v>
      </c>
      <c r="L47" t="s">
        <v>317</v>
      </c>
      <c r="M47" t="s">
        <v>249</v>
      </c>
      <c r="N47">
        <f>VLOOKUP(L47,NLFsanalysis_new!B:C,2,FALSE)</f>
        <v>0</v>
      </c>
      <c r="O47" t="str">
        <f>VLOOKUP(L47,NLFsanalysis_new!B:L,11,FALSE)</f>
        <v/>
      </c>
      <c r="P47" t="str">
        <f>VLOOKUP(L47,NLFsanalysis_new!B:D,3,FALSE)</f>
        <v/>
      </c>
      <c r="Q47" t="str">
        <f>VLOOKUP(L47,NLFsanalysis_new!B:E,4,FALSE)</f>
        <v/>
      </c>
      <c r="R47" t="str">
        <f>VLOOKUP(L47,NLFsanalysis_new!B:F,5,FALSE)</f>
        <v/>
      </c>
      <c r="S47" t="str">
        <f>VLOOKUP(L47,NLFsanalysis_new!B:H,7,FALSE)</f>
        <v/>
      </c>
      <c r="T47" t="s">
        <v>170</v>
      </c>
      <c r="U47" t="s">
        <v>9</v>
      </c>
      <c r="V47" t="s">
        <v>318</v>
      </c>
      <c r="AO47" t="s">
        <v>151</v>
      </c>
      <c r="AP47" t="s">
        <v>170</v>
      </c>
    </row>
    <row r="48" spans="1:42" x14ac:dyDescent="0.2">
      <c r="A48" t="s">
        <v>212</v>
      </c>
      <c r="B48">
        <v>12419440548</v>
      </c>
      <c r="C48">
        <v>396431383</v>
      </c>
      <c r="D48" s="28">
        <v>44245.49324074074</v>
      </c>
      <c r="E48" s="28">
        <v>44245.49417824074</v>
      </c>
      <c r="F48" t="s">
        <v>319</v>
      </c>
      <c r="K48" t="s">
        <v>320</v>
      </c>
      <c r="L48" t="s">
        <v>321</v>
      </c>
      <c r="M48" t="s">
        <v>255</v>
      </c>
      <c r="N48">
        <f>VLOOKUP(L48,NLFsanalysis_new!B:C,2,FALSE)</f>
        <v>19629</v>
      </c>
      <c r="O48" t="str">
        <f>VLOOKUP(L48,NLFsanalysis_new!B:L,11,FALSE)</f>
        <v>EUR</v>
      </c>
      <c r="P48" t="str">
        <f>VLOOKUP(L48,NLFsanalysis_new!B:D,3,FALSE)</f>
        <v>Core</v>
      </c>
      <c r="Q48" t="str">
        <f>VLOOKUP(L48,NLFsanalysis_new!B:E,4,FALSE)</f>
        <v>single country</v>
      </c>
      <c r="R48" t="str">
        <f>VLOOKUP(L48,NLFsanalysis_new!B:F,5,FALSE)</f>
        <v>Italy</v>
      </c>
      <c r="S48">
        <f>VLOOKUP(L48,NLFsanalysis_new!B:H,7,FALSE)</f>
        <v>2007</v>
      </c>
      <c r="T48" t="s">
        <v>170</v>
      </c>
      <c r="U48" t="s">
        <v>9</v>
      </c>
      <c r="V48" t="s">
        <v>322</v>
      </c>
      <c r="AO48" t="s">
        <v>151</v>
      </c>
      <c r="AP48" t="s">
        <v>170</v>
      </c>
    </row>
    <row r="49" spans="1:42" x14ac:dyDescent="0.2">
      <c r="A49" t="s">
        <v>212</v>
      </c>
      <c r="B49">
        <v>12419393304</v>
      </c>
      <c r="C49">
        <v>396431383</v>
      </c>
      <c r="D49" s="28">
        <v>44245.479108796295</v>
      </c>
      <c r="E49" s="28">
        <v>44245.497685185182</v>
      </c>
      <c r="F49" t="s">
        <v>315</v>
      </c>
      <c r="K49" t="s">
        <v>323</v>
      </c>
      <c r="L49" t="s">
        <v>324</v>
      </c>
      <c r="M49" t="s">
        <v>249</v>
      </c>
      <c r="N49" t="str">
        <f>VLOOKUP(L49,NLFsanalysis_new!B:C,2,FALSE)</f>
        <v/>
      </c>
      <c r="O49" t="str">
        <f>VLOOKUP(L49,NLFsanalysis_new!B:L,11,FALSE)</f>
        <v/>
      </c>
      <c r="P49" t="str">
        <f>VLOOKUP(L49,NLFsanalysis_new!B:D,3,FALSE)</f>
        <v/>
      </c>
      <c r="Q49" t="str">
        <f>VLOOKUP(L49,NLFsanalysis_new!B:E,4,FALSE)</f>
        <v/>
      </c>
      <c r="R49" t="str">
        <f>VLOOKUP(L49,NLFsanalysis_new!B:F,5,FALSE)</f>
        <v/>
      </c>
      <c r="S49" t="str">
        <f>VLOOKUP(L49,NLFsanalysis_new!B:H,7,FALSE)</f>
        <v/>
      </c>
      <c r="T49" t="s">
        <v>170</v>
      </c>
      <c r="U49" t="s">
        <v>9</v>
      </c>
      <c r="V49" t="s">
        <v>325</v>
      </c>
      <c r="AO49" t="s">
        <v>151</v>
      </c>
      <c r="AP49" t="s">
        <v>170</v>
      </c>
    </row>
    <row r="50" spans="1:42" x14ac:dyDescent="0.2">
      <c r="A50" t="s">
        <v>212</v>
      </c>
      <c r="B50">
        <v>12418297158</v>
      </c>
      <c r="C50">
        <v>396431383</v>
      </c>
      <c r="D50" s="28">
        <v>44245.080995370372</v>
      </c>
      <c r="E50" s="28">
        <v>44245.081793981481</v>
      </c>
      <c r="F50" t="s">
        <v>326</v>
      </c>
      <c r="K50" t="s">
        <v>327</v>
      </c>
      <c r="L50" t="s">
        <v>328</v>
      </c>
      <c r="M50" t="s">
        <v>249</v>
      </c>
      <c r="N50" t="str">
        <f>VLOOKUP(L50,NLFsanalysis_new!B:C,2,FALSE)</f>
        <v>Asia</v>
      </c>
      <c r="O50" t="str">
        <f>VLOOKUP(L50,NLFsanalysis_new!B:L,11,FALSE)</f>
        <v/>
      </c>
      <c r="P50" t="str">
        <f>VLOOKUP(L50,NLFsanalysis_new!B:D,3,FALSE)</f>
        <v/>
      </c>
      <c r="Q50" t="str">
        <f>VLOOKUP(L50,NLFsanalysis_new!B:E,4,FALSE)</f>
        <v/>
      </c>
      <c r="R50" t="str">
        <f>VLOOKUP(L50,NLFsanalysis_new!B:F,5,FALSE)</f>
        <v/>
      </c>
      <c r="S50" t="str">
        <f>VLOOKUP(L50,NLFsanalysis_new!B:H,7,FALSE)</f>
        <v/>
      </c>
      <c r="T50" t="s">
        <v>170</v>
      </c>
      <c r="U50" t="s">
        <v>9</v>
      </c>
      <c r="V50" t="s">
        <v>329</v>
      </c>
      <c r="AO50" t="s">
        <v>169</v>
      </c>
      <c r="AP50" t="s">
        <v>170</v>
      </c>
    </row>
    <row r="51" spans="1:42" x14ac:dyDescent="0.2">
      <c r="A51" t="s">
        <v>212</v>
      </c>
      <c r="B51">
        <v>12418294451</v>
      </c>
      <c r="C51">
        <v>396431383</v>
      </c>
      <c r="D51" s="28">
        <v>44245.080196759256</v>
      </c>
      <c r="E51" s="28">
        <v>44245.080682870372</v>
      </c>
      <c r="F51" t="s">
        <v>326</v>
      </c>
      <c r="K51" t="s">
        <v>327</v>
      </c>
      <c r="L51" t="s">
        <v>330</v>
      </c>
      <c r="M51" t="s">
        <v>249</v>
      </c>
      <c r="N51" t="str">
        <f>VLOOKUP(L51,NLFsanalysis_new!B:C,2,FALSE)</f>
        <v>Asia</v>
      </c>
      <c r="O51" t="str">
        <f>VLOOKUP(L51,NLFsanalysis_new!B:L,11,FALSE)</f>
        <v/>
      </c>
      <c r="P51" t="str">
        <f>VLOOKUP(L51,NLFsanalysis_new!B:D,3,FALSE)</f>
        <v/>
      </c>
      <c r="Q51" t="str">
        <f>VLOOKUP(L51,NLFsanalysis_new!B:E,4,FALSE)</f>
        <v/>
      </c>
      <c r="R51" t="str">
        <f>VLOOKUP(L51,NLFsanalysis_new!B:F,5,FALSE)</f>
        <v/>
      </c>
      <c r="S51" t="str">
        <f>VLOOKUP(L51,NLFsanalysis_new!B:H,7,FALSE)</f>
        <v/>
      </c>
      <c r="T51" t="s">
        <v>170</v>
      </c>
      <c r="U51" t="s">
        <v>9</v>
      </c>
      <c r="V51" t="s">
        <v>329</v>
      </c>
      <c r="AO51" t="s">
        <v>169</v>
      </c>
      <c r="AP51" t="s">
        <v>170</v>
      </c>
    </row>
    <row r="52" spans="1:42" x14ac:dyDescent="0.2">
      <c r="A52" t="s">
        <v>212</v>
      </c>
      <c r="B52">
        <v>12418285956</v>
      </c>
      <c r="C52">
        <v>396431383</v>
      </c>
      <c r="D52" s="28">
        <v>44245.056875000002</v>
      </c>
      <c r="E52" s="28">
        <v>44245.079837962963</v>
      </c>
      <c r="F52" t="s">
        <v>331</v>
      </c>
      <c r="K52" t="s">
        <v>327</v>
      </c>
      <c r="L52" t="s">
        <v>332</v>
      </c>
      <c r="M52" t="s">
        <v>249</v>
      </c>
      <c r="N52" t="str">
        <f>VLOOKUP(L52,NLFsanalysis_new!B:C,2,FALSE)</f>
        <v>Asia</v>
      </c>
      <c r="O52" t="str">
        <f>VLOOKUP(L52,NLFsanalysis_new!B:L,11,FALSE)</f>
        <v/>
      </c>
      <c r="P52" t="str">
        <f>VLOOKUP(L52,NLFsanalysis_new!B:D,3,FALSE)</f>
        <v/>
      </c>
      <c r="Q52" t="str">
        <f>VLOOKUP(L52,NLFsanalysis_new!B:E,4,FALSE)</f>
        <v/>
      </c>
      <c r="R52" t="str">
        <f>VLOOKUP(L52,NLFsanalysis_new!B:F,5,FALSE)</f>
        <v/>
      </c>
      <c r="S52" t="str">
        <f>VLOOKUP(L52,NLFsanalysis_new!B:H,7,FALSE)</f>
        <v/>
      </c>
      <c r="T52" t="s">
        <v>170</v>
      </c>
      <c r="U52" t="s">
        <v>9</v>
      </c>
      <c r="V52" t="s">
        <v>329</v>
      </c>
      <c r="AO52" t="s">
        <v>169</v>
      </c>
      <c r="AP52" t="s">
        <v>170</v>
      </c>
    </row>
    <row r="53" spans="1:42" x14ac:dyDescent="0.2">
      <c r="A53" t="s">
        <v>212</v>
      </c>
      <c r="B53">
        <v>12417635130</v>
      </c>
      <c r="C53">
        <v>396431383</v>
      </c>
      <c r="D53" s="28">
        <v>44244.898842592593</v>
      </c>
      <c r="E53" s="28">
        <v>44245.664490740739</v>
      </c>
      <c r="F53" t="s">
        <v>333</v>
      </c>
      <c r="K53" t="s">
        <v>205</v>
      </c>
      <c r="L53" t="s">
        <v>334</v>
      </c>
      <c r="M53" t="s">
        <v>255</v>
      </c>
      <c r="N53" t="str">
        <f>VLOOKUP(L53,NLFsanalysis_new!B:C,2,FALSE)</f>
        <v>US</v>
      </c>
      <c r="O53" t="str">
        <f>VLOOKUP(L53,NLFsanalysis_new!B:L,11,FALSE)</f>
        <v/>
      </c>
      <c r="P53" t="str">
        <f>VLOOKUP(L53,NLFsanalysis_new!B:D,3,FALSE)</f>
        <v/>
      </c>
      <c r="Q53" t="str">
        <f>VLOOKUP(L53,NLFsanalysis_new!B:E,4,FALSE)</f>
        <v/>
      </c>
      <c r="R53" t="str">
        <f>VLOOKUP(L53,NLFsanalysis_new!B:F,5,FALSE)</f>
        <v/>
      </c>
      <c r="S53" t="str">
        <f>VLOOKUP(L53,NLFsanalysis_new!B:H,7,FALSE)</f>
        <v/>
      </c>
      <c r="T53" t="s">
        <v>152</v>
      </c>
      <c r="W53">
        <v>577</v>
      </c>
      <c r="X53">
        <v>372</v>
      </c>
      <c r="AB53">
        <v>5</v>
      </c>
      <c r="AC53">
        <v>200</v>
      </c>
      <c r="AG53">
        <v>300</v>
      </c>
      <c r="AH53">
        <v>277</v>
      </c>
      <c r="AK53">
        <v>75</v>
      </c>
      <c r="AM53">
        <v>25</v>
      </c>
      <c r="AO53" t="s">
        <v>151</v>
      </c>
      <c r="AP53" t="s">
        <v>152</v>
      </c>
    </row>
    <row r="54" spans="1:42" x14ac:dyDescent="0.2">
      <c r="A54" t="s">
        <v>212</v>
      </c>
      <c r="B54">
        <v>12417590214</v>
      </c>
      <c r="C54">
        <v>396431383</v>
      </c>
      <c r="D54" s="28">
        <v>44244.887291666666</v>
      </c>
      <c r="E54" s="28">
        <v>44244.898634259262</v>
      </c>
      <c r="F54" t="s">
        <v>335</v>
      </c>
      <c r="K54" t="s">
        <v>205</v>
      </c>
      <c r="L54" t="s">
        <v>336</v>
      </c>
      <c r="M54" t="s">
        <v>249</v>
      </c>
      <c r="N54" t="str">
        <f>VLOOKUP(L54,NLFsanalysis_new!B:C,2,FALSE)</f>
        <v>Global</v>
      </c>
      <c r="O54" t="str">
        <f>VLOOKUP(L54,NLFsanalysis_new!B:L,11,FALSE)</f>
        <v/>
      </c>
      <c r="P54" t="str">
        <f>VLOOKUP(L54,NLFsanalysis_new!B:D,3,FALSE)</f>
        <v/>
      </c>
      <c r="Q54" t="str">
        <f>VLOOKUP(L54,NLFsanalysis_new!B:E,4,FALSE)</f>
        <v/>
      </c>
      <c r="R54" t="str">
        <f>VLOOKUP(L54,NLFsanalysis_new!B:F,5,FALSE)</f>
        <v/>
      </c>
      <c r="S54" t="str">
        <f>VLOOKUP(L54,NLFsanalysis_new!B:H,7,FALSE)</f>
        <v/>
      </c>
      <c r="T54" t="s">
        <v>152</v>
      </c>
      <c r="W54">
        <v>262</v>
      </c>
      <c r="AC54">
        <v>262</v>
      </c>
      <c r="AG54">
        <v>262</v>
      </c>
      <c r="AM54">
        <v>100</v>
      </c>
      <c r="AO54" t="s">
        <v>151</v>
      </c>
      <c r="AP54" t="s">
        <v>152</v>
      </c>
    </row>
    <row r="55" spans="1:42" x14ac:dyDescent="0.2">
      <c r="A55" t="s">
        <v>212</v>
      </c>
      <c r="B55">
        <v>12416514460</v>
      </c>
      <c r="C55">
        <v>396431383</v>
      </c>
      <c r="D55" s="28">
        <v>44244.660092592596</v>
      </c>
      <c r="E55" s="28">
        <v>44244.667488425926</v>
      </c>
      <c r="F55" t="s">
        <v>171</v>
      </c>
      <c r="K55" t="s">
        <v>179</v>
      </c>
      <c r="L55" t="s">
        <v>305</v>
      </c>
      <c r="M55" t="s">
        <v>249</v>
      </c>
      <c r="N55">
        <f>VLOOKUP(L55,NLFsanalysis_new!B:C,2,FALSE)</f>
        <v>137</v>
      </c>
      <c r="O55" t="str">
        <f>VLOOKUP(L55,NLFsanalysis_new!B:L,11,FALSE)</f>
        <v>EUR</v>
      </c>
      <c r="P55" t="str">
        <f>VLOOKUP(L55,NLFsanalysis_new!B:D,3,FALSE)</f>
        <v>Core</v>
      </c>
      <c r="Q55" t="str">
        <f>VLOOKUP(L55,NLFsanalysis_new!B:E,4,FALSE)</f>
        <v>multi country</v>
      </c>
      <c r="R55" t="str">
        <f>VLOOKUP(L55,NLFsanalysis_new!B:F,5,FALSE)</f>
        <v/>
      </c>
      <c r="S55">
        <f>VLOOKUP(L55,NLFsanalysis_new!B:H,7,FALSE)</f>
        <v>2006</v>
      </c>
      <c r="T55" t="s">
        <v>152</v>
      </c>
      <c r="W55">
        <v>836</v>
      </c>
      <c r="X55">
        <v>315</v>
      </c>
      <c r="Y55">
        <v>371</v>
      </c>
      <c r="AC55">
        <v>65</v>
      </c>
      <c r="AE55">
        <v>85</v>
      </c>
      <c r="AF55">
        <v>720</v>
      </c>
      <c r="AG55">
        <v>116</v>
      </c>
      <c r="AM55">
        <v>100</v>
      </c>
    </row>
    <row r="56" spans="1:42" x14ac:dyDescent="0.2">
      <c r="A56" t="s">
        <v>212</v>
      </c>
      <c r="B56">
        <v>12413841161</v>
      </c>
      <c r="C56">
        <v>396431383</v>
      </c>
      <c r="D56" s="28">
        <v>44243.818506944444</v>
      </c>
      <c r="E56" s="28">
        <v>44243.819675925923</v>
      </c>
      <c r="F56" t="s">
        <v>337</v>
      </c>
      <c r="K56" t="s">
        <v>338</v>
      </c>
      <c r="L56" t="s">
        <v>339</v>
      </c>
      <c r="M56" t="s">
        <v>249</v>
      </c>
      <c r="N56">
        <f>VLOOKUP(L56,NLFsanalysis_new!B:C,2,FALSE)</f>
        <v>626</v>
      </c>
      <c r="O56" t="str">
        <f>VLOOKUP(L56,NLFsanalysis_new!B:L,11,FALSE)</f>
        <v>EUR</v>
      </c>
      <c r="P56" t="str">
        <f>VLOOKUP(L56,NLFsanalysis_new!B:D,3,FALSE)</f>
        <v>Core</v>
      </c>
      <c r="Q56" t="str">
        <f>VLOOKUP(L56,NLFsanalysis_new!B:E,4,FALSE)</f>
        <v>single country</v>
      </c>
      <c r="R56" t="str">
        <f>VLOOKUP(L56,NLFsanalysis_new!B:F,5,FALSE)</f>
        <v>Netherlands</v>
      </c>
      <c r="S56">
        <f>VLOOKUP(L56,NLFsanalysis_new!B:H,7,FALSE)</f>
        <v>2001</v>
      </c>
      <c r="T56" t="s">
        <v>170</v>
      </c>
      <c r="U56" t="s">
        <v>9</v>
      </c>
      <c r="V56" t="s">
        <v>340</v>
      </c>
      <c r="AO56" t="s">
        <v>169</v>
      </c>
      <c r="AP56" t="s">
        <v>152</v>
      </c>
    </row>
    <row r="57" spans="1:42" x14ac:dyDescent="0.2">
      <c r="A57" t="s">
        <v>212</v>
      </c>
      <c r="B57">
        <v>12413268384</v>
      </c>
      <c r="C57">
        <v>396431383</v>
      </c>
      <c r="D57" s="28">
        <v>44243.684513888889</v>
      </c>
      <c r="E57" s="28">
        <v>44243.685636574075</v>
      </c>
      <c r="F57" t="s">
        <v>341</v>
      </c>
      <c r="K57" t="s">
        <v>342</v>
      </c>
      <c r="L57" t="s">
        <v>343</v>
      </c>
      <c r="M57" t="s">
        <v>249</v>
      </c>
      <c r="N57">
        <f>VLOOKUP(L57,NLFsanalysis_new!B:C,2,FALSE)</f>
        <v>321</v>
      </c>
      <c r="O57" t="str">
        <f>VLOOKUP(L57,NLFsanalysis_new!B:L,11,FALSE)</f>
        <v>EUR</v>
      </c>
      <c r="P57" t="str">
        <f>VLOOKUP(L57,NLFsanalysis_new!B:D,3,FALSE)</f>
        <v>Core</v>
      </c>
      <c r="Q57" t="str">
        <f>VLOOKUP(L57,NLFsanalysis_new!B:E,4,FALSE)</f>
        <v>multi country</v>
      </c>
      <c r="R57" t="str">
        <f>VLOOKUP(L57,NLFsanalysis_new!B:F,5,FALSE)</f>
        <v/>
      </c>
      <c r="S57">
        <f>VLOOKUP(L57,NLFsanalysis_new!B:H,7,FALSE)</f>
        <v>2006</v>
      </c>
      <c r="T57" t="s">
        <v>152</v>
      </c>
      <c r="W57">
        <v>33</v>
      </c>
      <c r="X57">
        <v>33</v>
      </c>
      <c r="AF57">
        <v>33</v>
      </c>
      <c r="AN57">
        <v>100</v>
      </c>
      <c r="AO57" t="s">
        <v>151</v>
      </c>
      <c r="AP57" t="s">
        <v>170</v>
      </c>
    </row>
    <row r="58" spans="1:42" x14ac:dyDescent="0.2">
      <c r="A58" t="s">
        <v>212</v>
      </c>
      <c r="B58">
        <v>12413258077</v>
      </c>
      <c r="C58">
        <v>396431383</v>
      </c>
      <c r="D58" s="28">
        <v>44243.682222222225</v>
      </c>
      <c r="E58" s="28">
        <v>44243.684386574074</v>
      </c>
      <c r="F58" t="s">
        <v>344</v>
      </c>
      <c r="K58" t="s">
        <v>342</v>
      </c>
      <c r="L58" t="s">
        <v>345</v>
      </c>
      <c r="M58" t="s">
        <v>249</v>
      </c>
      <c r="N58">
        <f>VLOOKUP(L58,NLFsanalysis_new!B:C,2,FALSE)</f>
        <v>0</v>
      </c>
      <c r="O58" t="str">
        <f>VLOOKUP(L58,NLFsanalysis_new!B:L,11,FALSE)</f>
        <v/>
      </c>
      <c r="P58" t="str">
        <f>VLOOKUP(L58,NLFsanalysis_new!B:D,3,FALSE)</f>
        <v/>
      </c>
      <c r="Q58" t="str">
        <f>VLOOKUP(L58,NLFsanalysis_new!B:E,4,FALSE)</f>
        <v/>
      </c>
      <c r="R58" t="str">
        <f>VLOOKUP(L58,NLFsanalysis_new!B:F,5,FALSE)</f>
        <v/>
      </c>
      <c r="S58" t="str">
        <f>VLOOKUP(L58,NLFsanalysis_new!B:H,7,FALSE)</f>
        <v/>
      </c>
      <c r="T58" t="s">
        <v>152</v>
      </c>
      <c r="W58">
        <v>90</v>
      </c>
      <c r="X58">
        <v>90</v>
      </c>
      <c r="AF58">
        <v>90</v>
      </c>
      <c r="AN58">
        <v>100</v>
      </c>
      <c r="AO58" t="s">
        <v>151</v>
      </c>
      <c r="AP58" t="s">
        <v>170</v>
      </c>
    </row>
    <row r="59" spans="1:42" x14ac:dyDescent="0.2">
      <c r="A59" t="s">
        <v>212</v>
      </c>
      <c r="B59">
        <v>12413179133</v>
      </c>
      <c r="C59">
        <v>396431383</v>
      </c>
      <c r="D59" s="28">
        <v>44243.665196759262</v>
      </c>
      <c r="E59" s="28">
        <v>44243.670266203706</v>
      </c>
      <c r="F59" t="s">
        <v>344</v>
      </c>
      <c r="K59" t="s">
        <v>342</v>
      </c>
      <c r="L59" t="s">
        <v>346</v>
      </c>
      <c r="M59" t="s">
        <v>249</v>
      </c>
      <c r="N59">
        <f>VLOOKUP(L59,NLFsanalysis_new!B:C,2,FALSE)</f>
        <v>585</v>
      </c>
      <c r="O59" t="str">
        <f>VLOOKUP(L59,NLFsanalysis_new!B:L,11,FALSE)</f>
        <v>GBP</v>
      </c>
      <c r="P59" t="str">
        <f>VLOOKUP(L59,NLFsanalysis_new!B:D,3,FALSE)</f>
        <v>Core</v>
      </c>
      <c r="Q59" t="str">
        <f>VLOOKUP(L59,NLFsanalysis_new!B:E,4,FALSE)</f>
        <v>single country</v>
      </c>
      <c r="R59" t="str">
        <f>VLOOKUP(L59,NLFsanalysis_new!B:F,5,FALSE)</f>
        <v>United Kingdom</v>
      </c>
      <c r="S59">
        <f>VLOOKUP(L59,NLFsanalysis_new!B:H,7,FALSE)</f>
        <v>2007</v>
      </c>
      <c r="T59" t="s">
        <v>152</v>
      </c>
      <c r="W59">
        <v>15</v>
      </c>
      <c r="X59">
        <v>15</v>
      </c>
      <c r="AF59">
        <v>15</v>
      </c>
      <c r="AN59">
        <v>100</v>
      </c>
      <c r="AO59" t="s">
        <v>151</v>
      </c>
      <c r="AP59" t="s">
        <v>170</v>
      </c>
    </row>
    <row r="60" spans="1:42" x14ac:dyDescent="0.2">
      <c r="A60" t="s">
        <v>212</v>
      </c>
      <c r="B60">
        <v>12412320947</v>
      </c>
      <c r="C60">
        <v>396431383</v>
      </c>
      <c r="D60" s="28">
        <v>44243.417951388888</v>
      </c>
      <c r="E60" s="28">
        <v>44243.42114583333</v>
      </c>
      <c r="F60" t="s">
        <v>347</v>
      </c>
      <c r="K60" t="s">
        <v>202</v>
      </c>
      <c r="L60" t="s">
        <v>348</v>
      </c>
      <c r="M60" t="s">
        <v>249</v>
      </c>
      <c r="N60">
        <f>VLOOKUP(L60,NLFsanalysis_new!B:C,2,FALSE)</f>
        <v>17691</v>
      </c>
      <c r="O60" t="str">
        <f>VLOOKUP(L60,NLFsanalysis_new!B:L,11,FALSE)</f>
        <v/>
      </c>
      <c r="P60" t="str">
        <f>VLOOKUP(L60,NLFsanalysis_new!B:D,3,FALSE)</f>
        <v>Core</v>
      </c>
      <c r="Q60" t="str">
        <f>VLOOKUP(L60,NLFsanalysis_new!B:E,4,FALSE)</f>
        <v>multi country</v>
      </c>
      <c r="R60" t="str">
        <f>VLOOKUP(L60,NLFsanalysis_new!B:F,5,FALSE)</f>
        <v/>
      </c>
      <c r="S60">
        <f>VLOOKUP(L60,NLFsanalysis_new!B:H,7,FALSE)</f>
        <v>1971</v>
      </c>
      <c r="T60" t="s">
        <v>170</v>
      </c>
      <c r="U60" t="s">
        <v>9</v>
      </c>
      <c r="V60" t="s">
        <v>349</v>
      </c>
      <c r="AO60" t="s">
        <v>169</v>
      </c>
      <c r="AP60" t="s">
        <v>170</v>
      </c>
    </row>
    <row r="61" spans="1:42" x14ac:dyDescent="0.2">
      <c r="A61" t="s">
        <v>212</v>
      </c>
      <c r="B61">
        <v>12412300814</v>
      </c>
      <c r="C61">
        <v>396431383</v>
      </c>
      <c r="D61" s="28">
        <v>44243.406053240738</v>
      </c>
      <c r="E61" s="28">
        <v>44243.412083333336</v>
      </c>
      <c r="F61" t="s">
        <v>350</v>
      </c>
      <c r="K61" t="s">
        <v>202</v>
      </c>
      <c r="L61" t="s">
        <v>351</v>
      </c>
      <c r="M61" t="s">
        <v>249</v>
      </c>
      <c r="N61">
        <f>VLOOKUP(L61,NLFsanalysis_new!B:C,2,FALSE)</f>
        <v>18277</v>
      </c>
      <c r="O61" t="str">
        <f>VLOOKUP(L61,NLFsanalysis_new!B:L,11,FALSE)</f>
        <v>EUR</v>
      </c>
      <c r="P61" t="str">
        <f>VLOOKUP(L61,NLFsanalysis_new!B:D,3,FALSE)</f>
        <v>Core</v>
      </c>
      <c r="Q61" t="str">
        <f>VLOOKUP(L61,NLFsanalysis_new!B:E,4,FALSE)</f>
        <v>single country</v>
      </c>
      <c r="R61" t="str">
        <f>VLOOKUP(L61,NLFsanalysis_new!B:F,5,FALSE)</f>
        <v>Netherlands</v>
      </c>
      <c r="S61">
        <f>VLOOKUP(L61,NLFsanalysis_new!B:H,7,FALSE)</f>
        <v>2017</v>
      </c>
      <c r="T61" t="s">
        <v>152</v>
      </c>
      <c r="W61">
        <v>80</v>
      </c>
      <c r="X61">
        <v>80</v>
      </c>
      <c r="AF61">
        <v>80</v>
      </c>
      <c r="AK61">
        <v>100</v>
      </c>
    </row>
    <row r="62" spans="1:42" x14ac:dyDescent="0.2">
      <c r="A62" t="s">
        <v>212</v>
      </c>
      <c r="B62">
        <v>12409586102</v>
      </c>
      <c r="C62">
        <v>396431383</v>
      </c>
      <c r="D62" s="28">
        <v>44242.389664351853</v>
      </c>
      <c r="E62" s="28">
        <v>44242.390011574076</v>
      </c>
      <c r="F62" t="s">
        <v>352</v>
      </c>
      <c r="K62" t="s">
        <v>353</v>
      </c>
      <c r="L62" t="s">
        <v>354</v>
      </c>
      <c r="M62" t="s">
        <v>255</v>
      </c>
      <c r="N62">
        <f>VLOOKUP(L62,NLFsanalysis_new!B:C,2,FALSE)</f>
        <v>18631</v>
      </c>
      <c r="O62" t="str">
        <f>VLOOKUP(L62,NLFsanalysis_new!B:L,11,FALSE)</f>
        <v>SEK</v>
      </c>
      <c r="P62" t="str">
        <f>VLOOKUP(L62,NLFsanalysis_new!B:D,3,FALSE)</f>
        <v>Value-added</v>
      </c>
      <c r="Q62" t="str">
        <f>VLOOKUP(L62,NLFsanalysis_new!B:E,4,FALSE)</f>
        <v>multi country</v>
      </c>
      <c r="R62" t="str">
        <f>VLOOKUP(L62,NLFsanalysis_new!B:F,5,FALSE)</f>
        <v/>
      </c>
      <c r="S62">
        <f>VLOOKUP(L62,NLFsanalysis_new!B:H,7,FALSE)</f>
        <v>2018</v>
      </c>
      <c r="T62" t="s">
        <v>170</v>
      </c>
      <c r="U62" t="s">
        <v>9</v>
      </c>
      <c r="V62" t="s">
        <v>355</v>
      </c>
      <c r="AO62" t="s">
        <v>151</v>
      </c>
      <c r="AP62" t="s">
        <v>152</v>
      </c>
    </row>
    <row r="63" spans="1:42" x14ac:dyDescent="0.2">
      <c r="A63" t="s">
        <v>212</v>
      </c>
      <c r="B63">
        <v>12409561070</v>
      </c>
      <c r="C63">
        <v>396431383</v>
      </c>
      <c r="D63" s="28">
        <v>44242.379201388889</v>
      </c>
      <c r="E63" s="28">
        <v>44242.389293981483</v>
      </c>
      <c r="F63" t="s">
        <v>352</v>
      </c>
      <c r="K63" t="s">
        <v>353</v>
      </c>
      <c r="L63" t="s">
        <v>356</v>
      </c>
      <c r="M63" t="s">
        <v>255</v>
      </c>
      <c r="N63">
        <f>VLOOKUP(L63,NLFsanalysis_new!B:C,2,FALSE)</f>
        <v>18616</v>
      </c>
      <c r="O63" t="str">
        <f>VLOOKUP(L63,NLFsanalysis_new!B:L,11,FALSE)</f>
        <v>SEK</v>
      </c>
      <c r="P63" t="str">
        <f>VLOOKUP(L63,NLFsanalysis_new!B:D,3,FALSE)</f>
        <v>Value-added</v>
      </c>
      <c r="Q63" t="str">
        <f>VLOOKUP(L63,NLFsanalysis_new!B:E,4,FALSE)</f>
        <v>multi country</v>
      </c>
      <c r="R63" t="str">
        <f>VLOOKUP(L63,NLFsanalysis_new!B:F,5,FALSE)</f>
        <v/>
      </c>
      <c r="S63">
        <f>VLOOKUP(L63,NLFsanalysis_new!B:H,7,FALSE)</f>
        <v>2018</v>
      </c>
      <c r="T63" t="s">
        <v>170</v>
      </c>
      <c r="U63" t="s">
        <v>9</v>
      </c>
      <c r="V63" t="s">
        <v>355</v>
      </c>
      <c r="AO63" t="s">
        <v>151</v>
      </c>
      <c r="AP63" t="s">
        <v>152</v>
      </c>
    </row>
    <row r="64" spans="1:42" x14ac:dyDescent="0.2">
      <c r="A64" t="s">
        <v>213</v>
      </c>
      <c r="B64">
        <v>12404714986</v>
      </c>
      <c r="C64">
        <v>396431383</v>
      </c>
      <c r="D64" s="28">
        <v>44239.461111111108</v>
      </c>
      <c r="E64" s="28">
        <v>44239.646851851852</v>
      </c>
      <c r="F64" t="s">
        <v>357</v>
      </c>
      <c r="K64" t="s">
        <v>268</v>
      </c>
      <c r="L64" t="s">
        <v>358</v>
      </c>
      <c r="M64" t="s">
        <v>249</v>
      </c>
      <c r="N64" t="e">
        <f>VLOOKUP(L64,NLFsanalysis_new!B:C,2,FALSE)</f>
        <v>#N/A</v>
      </c>
      <c r="O64" t="e">
        <f>VLOOKUP(L64,NLFsanalysis_new!B:L,11,FALSE)</f>
        <v>#N/A</v>
      </c>
      <c r="P64" t="e">
        <f>VLOOKUP(L64,NLFsanalysis_new!B:D,3,FALSE)</f>
        <v>#N/A</v>
      </c>
      <c r="Q64" t="e">
        <f>VLOOKUP(L64,NLFsanalysis_new!B:E,4,FALSE)</f>
        <v>#N/A</v>
      </c>
      <c r="R64" t="e">
        <f>VLOOKUP(L64,NLFsanalysis_new!B:F,5,FALSE)</f>
        <v>#N/A</v>
      </c>
      <c r="S64" t="e">
        <f>VLOOKUP(L64,NLFsanalysis_new!B:H,7,FALSE)</f>
        <v>#N/A</v>
      </c>
      <c r="T64" t="s">
        <v>152</v>
      </c>
      <c r="U64" t="s">
        <v>9</v>
      </c>
      <c r="V64" t="s">
        <v>359</v>
      </c>
    </row>
    <row r="65" spans="1:42" x14ac:dyDescent="0.2">
      <c r="A65" t="s">
        <v>212</v>
      </c>
      <c r="B65">
        <v>12404557351</v>
      </c>
      <c r="C65">
        <v>396431383</v>
      </c>
      <c r="D65" s="28">
        <v>44235.455543981479</v>
      </c>
      <c r="E65" s="28">
        <v>44242.490254629629</v>
      </c>
      <c r="F65" t="s">
        <v>360</v>
      </c>
      <c r="K65" t="s">
        <v>361</v>
      </c>
      <c r="L65" t="s">
        <v>362</v>
      </c>
      <c r="M65" t="s">
        <v>249</v>
      </c>
      <c r="N65" t="str">
        <f>VLOOKUP(L65,NLFsanalysis_new!B:C,2,FALSE)</f>
        <v>aggregated</v>
      </c>
      <c r="O65" t="str">
        <f>VLOOKUP(L65,NLFsanalysis_new!B:L,11,FALSE)</f>
        <v/>
      </c>
      <c r="P65" t="str">
        <f>VLOOKUP(L65,NLFsanalysis_new!B:D,3,FALSE)</f>
        <v/>
      </c>
      <c r="Q65" t="str">
        <f>VLOOKUP(L65,NLFsanalysis_new!B:E,4,FALSE)</f>
        <v/>
      </c>
      <c r="R65" t="str">
        <f>VLOOKUP(L65,NLFsanalysis_new!B:F,5,FALSE)</f>
        <v/>
      </c>
      <c r="S65" t="str">
        <f>VLOOKUP(L65,NLFsanalysis_new!B:H,7,FALSE)</f>
        <v/>
      </c>
      <c r="T65" t="s">
        <v>152</v>
      </c>
      <c r="W65">
        <v>783</v>
      </c>
      <c r="X65">
        <v>9</v>
      </c>
      <c r="Y65">
        <v>43</v>
      </c>
      <c r="Z65">
        <v>0</v>
      </c>
      <c r="AA65">
        <v>0</v>
      </c>
      <c r="AB65">
        <v>1</v>
      </c>
      <c r="AC65">
        <v>316</v>
      </c>
      <c r="AD65">
        <v>0</v>
      </c>
      <c r="AE65">
        <v>408</v>
      </c>
      <c r="AF65">
        <v>777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100</v>
      </c>
      <c r="AN65">
        <v>0</v>
      </c>
      <c r="AO65" t="s">
        <v>151</v>
      </c>
      <c r="AP65" t="s">
        <v>152</v>
      </c>
    </row>
    <row r="66" spans="1:42" x14ac:dyDescent="0.2">
      <c r="A66" t="s">
        <v>212</v>
      </c>
      <c r="B66">
        <v>12403830202</v>
      </c>
      <c r="C66">
        <v>396431383</v>
      </c>
      <c r="D66" s="28">
        <v>44239.337013888886</v>
      </c>
      <c r="E66" s="28">
        <v>44239.338067129633</v>
      </c>
      <c r="F66" t="s">
        <v>363</v>
      </c>
      <c r="K66" t="s">
        <v>364</v>
      </c>
      <c r="L66" t="s">
        <v>365</v>
      </c>
      <c r="M66" t="s">
        <v>249</v>
      </c>
      <c r="N66">
        <f>VLOOKUP(L66,NLFsanalysis_new!B:C,2,FALSE)</f>
        <v>222</v>
      </c>
      <c r="O66" t="str">
        <f>VLOOKUP(L66,NLFsanalysis_new!B:L,11,FALSE)</f>
        <v>EUR</v>
      </c>
      <c r="P66" t="str">
        <f>VLOOKUP(L66,NLFsanalysis_new!B:D,3,FALSE)</f>
        <v>Core</v>
      </c>
      <c r="Q66" t="str">
        <f>VLOOKUP(L66,NLFsanalysis_new!B:E,4,FALSE)</f>
        <v>single country</v>
      </c>
      <c r="R66" t="str">
        <f>VLOOKUP(L66,NLFsanalysis_new!B:F,5,FALSE)</f>
        <v>Germany</v>
      </c>
      <c r="S66">
        <f>VLOOKUP(L66,NLFsanalysis_new!B:H,7,FALSE)</f>
        <v>2006</v>
      </c>
      <c r="T66" t="s">
        <v>170</v>
      </c>
    </row>
    <row r="67" spans="1:42" x14ac:dyDescent="0.2">
      <c r="A67" t="s">
        <v>212</v>
      </c>
      <c r="B67">
        <v>12401970848</v>
      </c>
      <c r="C67">
        <v>396431383</v>
      </c>
      <c r="D67" s="28">
        <v>44238.715810185182</v>
      </c>
      <c r="E67" s="28">
        <v>44238.716747685183</v>
      </c>
      <c r="F67" t="s">
        <v>207</v>
      </c>
      <c r="K67" t="s">
        <v>366</v>
      </c>
      <c r="L67" t="s">
        <v>367</v>
      </c>
      <c r="M67" t="s">
        <v>255</v>
      </c>
      <c r="N67" t="str">
        <f>VLOOKUP(L67,NLFsanalysis_new!B:C,2,FALSE)</f>
        <v/>
      </c>
      <c r="O67" t="str">
        <f>VLOOKUP(L67,NLFsanalysis_new!B:L,11,FALSE)</f>
        <v>GBP</v>
      </c>
      <c r="P67" t="str">
        <f>VLOOKUP(L67,NLFsanalysis_new!B:D,3,FALSE)</f>
        <v>Value-added</v>
      </c>
      <c r="Q67" t="str">
        <f>VLOOKUP(L67,NLFsanalysis_new!B:E,4,FALSE)</f>
        <v>single country</v>
      </c>
      <c r="R67" t="str">
        <f>VLOOKUP(L67,NLFsanalysis_new!B:F,5,FALSE)</f>
        <v>United Kingdom</v>
      </c>
      <c r="S67">
        <f>VLOOKUP(L67,NLFsanalysis_new!B:H,7,FALSE)</f>
        <v>2019</v>
      </c>
      <c r="T67" t="s">
        <v>170</v>
      </c>
      <c r="U67" t="s">
        <v>9</v>
      </c>
      <c r="V67" t="s">
        <v>368</v>
      </c>
      <c r="AO67" t="s">
        <v>151</v>
      </c>
      <c r="AP67" t="s">
        <v>170</v>
      </c>
    </row>
    <row r="68" spans="1:42" x14ac:dyDescent="0.2">
      <c r="A68" t="s">
        <v>212</v>
      </c>
      <c r="B68">
        <v>12401964538</v>
      </c>
      <c r="C68">
        <v>396431383</v>
      </c>
      <c r="D68" s="28">
        <v>44238.70244212963</v>
      </c>
      <c r="E68" s="28">
        <v>44238.71533564815</v>
      </c>
      <c r="F68" t="s">
        <v>207</v>
      </c>
      <c r="K68" t="s">
        <v>366</v>
      </c>
      <c r="L68" t="s">
        <v>369</v>
      </c>
      <c r="M68" t="s">
        <v>249</v>
      </c>
      <c r="N68" t="str">
        <f>VLOOKUP(L68,NLFsanalysis_new!B:C,2,FALSE)</f>
        <v/>
      </c>
      <c r="O68" t="str">
        <f>VLOOKUP(L68,NLFsanalysis_new!B:L,11,FALSE)</f>
        <v>GBP</v>
      </c>
      <c r="P68" t="str">
        <f>VLOOKUP(L68,NLFsanalysis_new!B:D,3,FALSE)</f>
        <v>Core</v>
      </c>
      <c r="Q68" t="str">
        <f>VLOOKUP(L68,NLFsanalysis_new!B:E,4,FALSE)</f>
        <v>single country</v>
      </c>
      <c r="R68" t="str">
        <f>VLOOKUP(L68,NLFsanalysis_new!B:F,5,FALSE)</f>
        <v>United Kingdom</v>
      </c>
      <c r="S68">
        <f>VLOOKUP(L68,NLFsanalysis_new!B:H,7,FALSE)</f>
        <v>2016</v>
      </c>
      <c r="T68" t="s">
        <v>152</v>
      </c>
      <c r="W68">
        <v>10</v>
      </c>
      <c r="X68">
        <v>10</v>
      </c>
      <c r="AF68">
        <v>10</v>
      </c>
      <c r="AM68">
        <v>100</v>
      </c>
      <c r="AO68" t="s">
        <v>151</v>
      </c>
      <c r="AP68" t="s">
        <v>170</v>
      </c>
    </row>
    <row r="69" spans="1:42" x14ac:dyDescent="0.2">
      <c r="A69" t="s">
        <v>212</v>
      </c>
      <c r="B69">
        <v>12401919395</v>
      </c>
      <c r="C69">
        <v>396431383</v>
      </c>
      <c r="D69" s="28">
        <v>44238.703865740739</v>
      </c>
      <c r="E69" s="28">
        <v>44238.712939814817</v>
      </c>
      <c r="F69" t="s">
        <v>207</v>
      </c>
      <c r="K69" t="s">
        <v>366</v>
      </c>
      <c r="L69" t="s">
        <v>370</v>
      </c>
      <c r="M69" t="s">
        <v>249</v>
      </c>
      <c r="N69">
        <f>VLOOKUP(L69,NLFsanalysis_new!B:C,2,FALSE)</f>
        <v>17200</v>
      </c>
      <c r="O69" t="str">
        <f>VLOOKUP(L69,NLFsanalysis_new!B:L,11,FALSE)</f>
        <v>GBP</v>
      </c>
      <c r="P69" t="str">
        <f>VLOOKUP(L69,NLFsanalysis_new!B:D,3,FALSE)</f>
        <v>Core</v>
      </c>
      <c r="Q69" t="str">
        <f>VLOOKUP(L69,NLFsanalysis_new!B:E,4,FALSE)</f>
        <v>single country</v>
      </c>
      <c r="R69" t="str">
        <f>VLOOKUP(L69,NLFsanalysis_new!B:F,5,FALSE)</f>
        <v>United Kingdom</v>
      </c>
      <c r="S69">
        <f>VLOOKUP(L69,NLFsanalysis_new!B:H,7,FALSE)</f>
        <v>2012</v>
      </c>
      <c r="T69" t="s">
        <v>152</v>
      </c>
      <c r="W69">
        <v>5</v>
      </c>
      <c r="X69">
        <v>5</v>
      </c>
      <c r="AF69">
        <v>5</v>
      </c>
      <c r="AM69">
        <v>100</v>
      </c>
      <c r="AO69" t="s">
        <v>151</v>
      </c>
      <c r="AP69" t="s">
        <v>170</v>
      </c>
    </row>
    <row r="70" spans="1:42" x14ac:dyDescent="0.2">
      <c r="A70" t="s">
        <v>212</v>
      </c>
      <c r="B70">
        <v>12399332344</v>
      </c>
      <c r="C70">
        <v>396431383</v>
      </c>
      <c r="D70" s="28">
        <v>44237.843055555553</v>
      </c>
      <c r="E70" s="28">
        <v>44237.8434375</v>
      </c>
      <c r="F70" t="s">
        <v>371</v>
      </c>
      <c r="K70" t="s">
        <v>372</v>
      </c>
      <c r="L70" t="s">
        <v>373</v>
      </c>
      <c r="M70" t="s">
        <v>249</v>
      </c>
      <c r="N70">
        <f>VLOOKUP(L70,NLFsanalysis_new!B:C,2,FALSE)</f>
        <v>57</v>
      </c>
      <c r="O70" t="str">
        <f>VLOOKUP(L70,NLFsanalysis_new!B:L,11,FALSE)</f>
        <v>GBP</v>
      </c>
      <c r="P70" t="str">
        <f>VLOOKUP(L70,NLFsanalysis_new!B:D,3,FALSE)</f>
        <v>Core</v>
      </c>
      <c r="Q70" t="str">
        <f>VLOOKUP(L70,NLFsanalysis_new!B:E,4,FALSE)</f>
        <v>single country</v>
      </c>
      <c r="R70" t="str">
        <f>VLOOKUP(L70,NLFsanalysis_new!B:F,5,FALSE)</f>
        <v>United Kingdom</v>
      </c>
      <c r="S70">
        <f>VLOOKUP(L70,NLFsanalysis_new!B:H,7,FALSE)</f>
        <v>1982</v>
      </c>
      <c r="T70" t="s">
        <v>170</v>
      </c>
      <c r="U70" t="s">
        <v>9</v>
      </c>
      <c r="V70" t="s">
        <v>374</v>
      </c>
      <c r="AO70" t="s">
        <v>151</v>
      </c>
      <c r="AP70" t="s">
        <v>152</v>
      </c>
    </row>
    <row r="71" spans="1:42" x14ac:dyDescent="0.2">
      <c r="A71" t="s">
        <v>212</v>
      </c>
      <c r="B71">
        <v>12399329650</v>
      </c>
      <c r="C71">
        <v>396431383</v>
      </c>
      <c r="D71" s="28">
        <v>44237.842407407406</v>
      </c>
      <c r="E71" s="28">
        <v>44237.842812499999</v>
      </c>
      <c r="F71" t="s">
        <v>371</v>
      </c>
      <c r="K71" t="s">
        <v>372</v>
      </c>
      <c r="L71" t="s">
        <v>373</v>
      </c>
      <c r="M71" t="s">
        <v>249</v>
      </c>
      <c r="N71">
        <f>VLOOKUP(L71,NLFsanalysis_new!B:C,2,FALSE)</f>
        <v>57</v>
      </c>
      <c r="O71" t="str">
        <f>VLOOKUP(L71,NLFsanalysis_new!B:L,11,FALSE)</f>
        <v>GBP</v>
      </c>
      <c r="P71" t="str">
        <f>VLOOKUP(L71,NLFsanalysis_new!B:D,3,FALSE)</f>
        <v>Core</v>
      </c>
      <c r="Q71" t="str">
        <f>VLOOKUP(L71,NLFsanalysis_new!B:E,4,FALSE)</f>
        <v>single country</v>
      </c>
      <c r="R71" t="str">
        <f>VLOOKUP(L71,NLFsanalysis_new!B:F,5,FALSE)</f>
        <v>United Kingdom</v>
      </c>
      <c r="S71">
        <f>VLOOKUP(L71,NLFsanalysis_new!B:H,7,FALSE)</f>
        <v>1982</v>
      </c>
      <c r="T71" t="s">
        <v>170</v>
      </c>
      <c r="U71" t="s">
        <v>9</v>
      </c>
      <c r="V71" t="s">
        <v>374</v>
      </c>
      <c r="AO71" t="s">
        <v>151</v>
      </c>
      <c r="AP71" t="s">
        <v>170</v>
      </c>
    </row>
    <row r="72" spans="1:42" x14ac:dyDescent="0.2">
      <c r="A72" t="s">
        <v>212</v>
      </c>
      <c r="B72">
        <v>12399324038</v>
      </c>
      <c r="C72">
        <v>396431383</v>
      </c>
      <c r="D72" s="28">
        <v>44237.840949074074</v>
      </c>
      <c r="E72" s="28">
        <v>44237.841585648152</v>
      </c>
      <c r="F72" t="s">
        <v>375</v>
      </c>
      <c r="K72" t="s">
        <v>372</v>
      </c>
      <c r="L72" t="s">
        <v>376</v>
      </c>
      <c r="M72" t="s">
        <v>249</v>
      </c>
      <c r="N72" t="str">
        <f>VLOOKUP(L72,NLFsanalysis_new!B:C,2,FALSE)</f>
        <v/>
      </c>
      <c r="O72" t="str">
        <f>VLOOKUP(L72,NLFsanalysis_new!B:L,11,FALSE)</f>
        <v>GBP</v>
      </c>
      <c r="P72" t="str">
        <f>VLOOKUP(L72,NLFsanalysis_new!B:D,3,FALSE)</f>
        <v>Core</v>
      </c>
      <c r="Q72" t="str">
        <f>VLOOKUP(L72,NLFsanalysis_new!B:E,4,FALSE)</f>
        <v>single country</v>
      </c>
      <c r="R72" t="str">
        <f>VLOOKUP(L72,NLFsanalysis_new!B:F,5,FALSE)</f>
        <v>United Kingdom</v>
      </c>
      <c r="S72">
        <f>VLOOKUP(L72,NLFsanalysis_new!B:H,7,FALSE)</f>
        <v>2013</v>
      </c>
      <c r="T72" t="s">
        <v>170</v>
      </c>
      <c r="U72" t="s">
        <v>9</v>
      </c>
      <c r="V72" t="s">
        <v>377</v>
      </c>
      <c r="AO72" t="s">
        <v>151</v>
      </c>
      <c r="AP72" t="s">
        <v>152</v>
      </c>
    </row>
    <row r="73" spans="1:42" x14ac:dyDescent="0.2">
      <c r="A73" t="s">
        <v>212</v>
      </c>
      <c r="B73">
        <v>12398521067</v>
      </c>
      <c r="C73">
        <v>396431383</v>
      </c>
      <c r="D73" s="28">
        <v>44237.673784722225</v>
      </c>
      <c r="E73" s="28">
        <v>44237.679224537038</v>
      </c>
      <c r="F73" t="s">
        <v>378</v>
      </c>
      <c r="K73" t="s">
        <v>379</v>
      </c>
      <c r="L73" t="s">
        <v>380</v>
      </c>
      <c r="M73" t="s">
        <v>255</v>
      </c>
      <c r="N73" t="str">
        <f>VLOOKUP(L73,NLFsanalysis_new!B:C,2,FALSE)</f>
        <v/>
      </c>
      <c r="O73" t="str">
        <f>VLOOKUP(L73,NLFsanalysis_new!B:L,11,FALSE)</f>
        <v/>
      </c>
      <c r="P73" t="str">
        <f>VLOOKUP(L73,NLFsanalysis_new!B:D,3,FALSE)</f>
        <v/>
      </c>
      <c r="Q73" t="str">
        <f>VLOOKUP(L73,NLFsanalysis_new!B:E,4,FALSE)</f>
        <v/>
      </c>
      <c r="R73" t="str">
        <f>VLOOKUP(L73,NLFsanalysis_new!B:F,5,FALSE)</f>
        <v/>
      </c>
      <c r="S73" t="str">
        <f>VLOOKUP(L73,NLFsanalysis_new!B:H,7,FALSE)</f>
        <v/>
      </c>
      <c r="T73" t="s">
        <v>152</v>
      </c>
      <c r="W73">
        <v>63</v>
      </c>
      <c r="X73">
        <v>23</v>
      </c>
      <c r="Y73">
        <v>40</v>
      </c>
      <c r="AF73">
        <v>100</v>
      </c>
      <c r="AM73">
        <v>100</v>
      </c>
      <c r="AO73" t="s">
        <v>169</v>
      </c>
      <c r="AP73" t="s">
        <v>152</v>
      </c>
    </row>
    <row r="74" spans="1:42" x14ac:dyDescent="0.2">
      <c r="A74" t="s">
        <v>212</v>
      </c>
      <c r="B74">
        <v>12398513838</v>
      </c>
      <c r="C74">
        <v>396431383</v>
      </c>
      <c r="D74" s="28">
        <v>44237.672673611109</v>
      </c>
      <c r="E74" s="28">
        <v>44237.673657407409</v>
      </c>
      <c r="F74" t="s">
        <v>378</v>
      </c>
      <c r="K74" t="s">
        <v>379</v>
      </c>
      <c r="L74" t="s">
        <v>381</v>
      </c>
      <c r="M74" t="s">
        <v>249</v>
      </c>
      <c r="N74" t="str">
        <f>VLOOKUP(L74,NLFsanalysis_new!B:C,2,FALSE)</f>
        <v/>
      </c>
      <c r="O74" t="str">
        <f>VLOOKUP(L74,NLFsanalysis_new!B:L,11,FALSE)</f>
        <v>EUR</v>
      </c>
      <c r="P74" t="str">
        <f>VLOOKUP(L74,NLFsanalysis_new!B:D,3,FALSE)</f>
        <v>Core</v>
      </c>
      <c r="Q74" t="str">
        <f>VLOOKUP(L74,NLFsanalysis_new!B:E,4,FALSE)</f>
        <v>single country</v>
      </c>
      <c r="R74" t="str">
        <f>VLOOKUP(L74,NLFsanalysis_new!B:F,5,FALSE)</f>
        <v>Germany</v>
      </c>
      <c r="S74">
        <f>VLOOKUP(L74,NLFsanalysis_new!B:H,7,FALSE)</f>
        <v>2020</v>
      </c>
      <c r="T74" t="s">
        <v>152</v>
      </c>
      <c r="W74">
        <v>100</v>
      </c>
      <c r="X74">
        <v>100</v>
      </c>
      <c r="AF74">
        <v>100</v>
      </c>
      <c r="AM74">
        <v>100</v>
      </c>
      <c r="AO74" t="s">
        <v>169</v>
      </c>
      <c r="AP74" t="s">
        <v>152</v>
      </c>
    </row>
    <row r="75" spans="1:42" x14ac:dyDescent="0.2">
      <c r="A75" t="s">
        <v>212</v>
      </c>
      <c r="B75">
        <v>12398506922</v>
      </c>
      <c r="C75">
        <v>396431383</v>
      </c>
      <c r="D75" s="28">
        <v>44237.669872685183</v>
      </c>
      <c r="E75" s="28">
        <v>44237.672106481485</v>
      </c>
      <c r="F75" t="s">
        <v>378</v>
      </c>
      <c r="K75" t="s">
        <v>379</v>
      </c>
      <c r="L75" t="s">
        <v>382</v>
      </c>
      <c r="M75" t="s">
        <v>249</v>
      </c>
      <c r="N75">
        <f>VLOOKUP(L75,NLFsanalysis_new!B:C,2,FALSE)</f>
        <v>18216</v>
      </c>
      <c r="O75" t="str">
        <f>VLOOKUP(L75,NLFsanalysis_new!B:L,11,FALSE)</f>
        <v>EUR</v>
      </c>
      <c r="P75" t="str">
        <f>VLOOKUP(L75,NLFsanalysis_new!B:D,3,FALSE)</f>
        <v>Core</v>
      </c>
      <c r="Q75" t="str">
        <f>VLOOKUP(L75,NLFsanalysis_new!B:E,4,FALSE)</f>
        <v>single country</v>
      </c>
      <c r="R75" t="str">
        <f>VLOOKUP(L75,NLFsanalysis_new!B:F,5,FALSE)</f>
        <v>Germany</v>
      </c>
      <c r="S75">
        <f>VLOOKUP(L75,NLFsanalysis_new!B:H,7,FALSE)</f>
        <v>2017</v>
      </c>
      <c r="T75" t="s">
        <v>152</v>
      </c>
      <c r="W75">
        <v>8</v>
      </c>
      <c r="X75">
        <v>8</v>
      </c>
      <c r="AF75">
        <v>100</v>
      </c>
      <c r="AL75">
        <v>100</v>
      </c>
      <c r="AO75" t="s">
        <v>169</v>
      </c>
      <c r="AP75" t="s">
        <v>152</v>
      </c>
    </row>
    <row r="76" spans="1:42" x14ac:dyDescent="0.2">
      <c r="A76" t="s">
        <v>212</v>
      </c>
      <c r="B76">
        <v>12398490317</v>
      </c>
      <c r="C76">
        <v>396431383</v>
      </c>
      <c r="D76" s="28">
        <v>44237.668020833335</v>
      </c>
      <c r="E76" s="28">
        <v>44237.669386574074</v>
      </c>
      <c r="F76" t="s">
        <v>378</v>
      </c>
      <c r="K76" t="s">
        <v>379</v>
      </c>
      <c r="L76" t="s">
        <v>383</v>
      </c>
      <c r="M76" t="s">
        <v>249</v>
      </c>
      <c r="N76" t="str">
        <f>VLOOKUP(L76,NLFsanalysis_new!B:C,2,FALSE)</f>
        <v/>
      </c>
      <c r="O76" t="str">
        <f>VLOOKUP(L76,NLFsanalysis_new!B:L,11,FALSE)</f>
        <v/>
      </c>
      <c r="P76" t="str">
        <f>VLOOKUP(L76,NLFsanalysis_new!B:D,3,FALSE)</f>
        <v/>
      </c>
      <c r="Q76" t="str">
        <f>VLOOKUP(L76,NLFsanalysis_new!B:E,4,FALSE)</f>
        <v/>
      </c>
      <c r="R76" t="str">
        <f>VLOOKUP(L76,NLFsanalysis_new!B:F,5,FALSE)</f>
        <v/>
      </c>
      <c r="S76" t="str">
        <f>VLOOKUP(L76,NLFsanalysis_new!B:H,7,FALSE)</f>
        <v/>
      </c>
      <c r="T76" t="s">
        <v>152</v>
      </c>
      <c r="W76">
        <v>200</v>
      </c>
      <c r="Y76">
        <v>200</v>
      </c>
      <c r="AF76">
        <v>200</v>
      </c>
      <c r="AM76">
        <v>100</v>
      </c>
      <c r="AO76" t="s">
        <v>169</v>
      </c>
      <c r="AP76" t="s">
        <v>152</v>
      </c>
    </row>
    <row r="77" spans="1:42" x14ac:dyDescent="0.2">
      <c r="A77" t="s">
        <v>212</v>
      </c>
      <c r="B77">
        <v>12398167688</v>
      </c>
      <c r="C77">
        <v>396431383</v>
      </c>
      <c r="D77" s="28">
        <v>44237.602384259262</v>
      </c>
      <c r="E77" s="28">
        <v>44237.603587962964</v>
      </c>
      <c r="F77" t="s">
        <v>384</v>
      </c>
      <c r="K77" t="s">
        <v>385</v>
      </c>
      <c r="L77" t="s">
        <v>386</v>
      </c>
      <c r="M77" t="s">
        <v>255</v>
      </c>
      <c r="N77">
        <f>VLOOKUP(L77,NLFsanalysis_new!B:C,2,FALSE)</f>
        <v>19271</v>
      </c>
      <c r="O77" t="str">
        <f>VLOOKUP(L77,NLFsanalysis_new!B:L,11,FALSE)</f>
        <v>EUR</v>
      </c>
      <c r="P77" t="str">
        <f>VLOOKUP(L77,NLFsanalysis_new!B:D,3,FALSE)</f>
        <v>Core</v>
      </c>
      <c r="Q77" t="str">
        <f>VLOOKUP(L77,NLFsanalysis_new!B:E,4,FALSE)</f>
        <v>single country</v>
      </c>
      <c r="R77" t="str">
        <f>VLOOKUP(L77,NLFsanalysis_new!B:F,5,FALSE)</f>
        <v>France</v>
      </c>
      <c r="S77">
        <f>VLOOKUP(L77,NLFsanalysis_new!B:H,7,FALSE)</f>
        <v>2018</v>
      </c>
      <c r="T77" t="s">
        <v>170</v>
      </c>
      <c r="U77" t="s">
        <v>9</v>
      </c>
      <c r="V77" t="s">
        <v>387</v>
      </c>
      <c r="AO77" t="s">
        <v>151</v>
      </c>
      <c r="AP77" t="s">
        <v>152</v>
      </c>
    </row>
    <row r="78" spans="1:42" x14ac:dyDescent="0.2">
      <c r="A78" t="s">
        <v>212</v>
      </c>
      <c r="B78">
        <v>12397725727</v>
      </c>
      <c r="C78">
        <v>396431383</v>
      </c>
      <c r="D78" s="28">
        <v>44237.470196759263</v>
      </c>
      <c r="E78" s="28">
        <v>44237.471655092595</v>
      </c>
      <c r="F78" t="s">
        <v>388</v>
      </c>
      <c r="K78" t="s">
        <v>311</v>
      </c>
      <c r="L78" t="s">
        <v>389</v>
      </c>
      <c r="M78" t="s">
        <v>249</v>
      </c>
      <c r="N78" t="str">
        <f>VLOOKUP(L78,NLFsanalysis_new!B:C,2,FALSE)</f>
        <v>launched in 2021</v>
      </c>
      <c r="O78" t="str">
        <f>VLOOKUP(L78,NLFsanalysis_new!B:L,11,FALSE)</f>
        <v/>
      </c>
      <c r="P78" t="str">
        <f>VLOOKUP(L78,NLFsanalysis_new!B:D,3,FALSE)</f>
        <v/>
      </c>
      <c r="Q78" t="str">
        <f>VLOOKUP(L78,NLFsanalysis_new!B:E,4,FALSE)</f>
        <v/>
      </c>
      <c r="R78" t="str">
        <f>VLOOKUP(L78,NLFsanalysis_new!B:F,5,FALSE)</f>
        <v/>
      </c>
      <c r="S78" t="str">
        <f>VLOOKUP(L78,NLFsanalysis_new!B:H,7,FALSE)</f>
        <v/>
      </c>
      <c r="T78" t="s">
        <v>152</v>
      </c>
      <c r="W78">
        <v>109</v>
      </c>
      <c r="X78">
        <v>30</v>
      </c>
      <c r="Y78">
        <v>62</v>
      </c>
      <c r="AE78">
        <v>17</v>
      </c>
      <c r="AF78">
        <v>109</v>
      </c>
      <c r="AM78">
        <v>100</v>
      </c>
      <c r="AO78" t="s">
        <v>151</v>
      </c>
      <c r="AP78" t="s">
        <v>152</v>
      </c>
    </row>
    <row r="79" spans="1:42" x14ac:dyDescent="0.2">
      <c r="A79" t="s">
        <v>212</v>
      </c>
      <c r="B79">
        <v>12397724611</v>
      </c>
      <c r="C79">
        <v>396431383</v>
      </c>
      <c r="D79" s="28">
        <v>44237.46974537037</v>
      </c>
      <c r="E79" s="28">
        <v>44237.470104166663</v>
      </c>
      <c r="F79" t="s">
        <v>388</v>
      </c>
      <c r="K79" t="s">
        <v>311</v>
      </c>
      <c r="L79" t="s">
        <v>390</v>
      </c>
      <c r="M79" t="s">
        <v>255</v>
      </c>
      <c r="N79">
        <f>VLOOKUP(L79,NLFsanalysis_new!B:C,2,FALSE)</f>
        <v>628</v>
      </c>
      <c r="O79" t="str">
        <f>VLOOKUP(L79,NLFsanalysis_new!B:L,11,FALSE)</f>
        <v>EUR</v>
      </c>
      <c r="P79" t="str">
        <f>VLOOKUP(L79,NLFsanalysis_new!B:D,3,FALSE)</f>
        <v>Core</v>
      </c>
      <c r="Q79" t="str">
        <f>VLOOKUP(L79,NLFsanalysis_new!B:E,4,FALSE)</f>
        <v>multi country</v>
      </c>
      <c r="R79" t="str">
        <f>VLOOKUP(L79,NLFsanalysis_new!B:F,5,FALSE)</f>
        <v/>
      </c>
      <c r="S79">
        <f>VLOOKUP(L79,NLFsanalysis_new!B:H,7,FALSE)</f>
        <v>2012</v>
      </c>
      <c r="T79" t="s">
        <v>170</v>
      </c>
      <c r="U79" t="s">
        <v>9</v>
      </c>
      <c r="V79" t="s">
        <v>391</v>
      </c>
      <c r="AO79" t="s">
        <v>151</v>
      </c>
      <c r="AP79" t="s">
        <v>152</v>
      </c>
    </row>
    <row r="80" spans="1:42" x14ac:dyDescent="0.2">
      <c r="A80" t="s">
        <v>212</v>
      </c>
      <c r="B80">
        <v>12397723091</v>
      </c>
      <c r="C80">
        <v>396431383</v>
      </c>
      <c r="D80" s="28">
        <v>44237.468819444446</v>
      </c>
      <c r="E80" s="28">
        <v>44237.469583333332</v>
      </c>
      <c r="F80" t="s">
        <v>388</v>
      </c>
      <c r="K80" t="s">
        <v>311</v>
      </c>
      <c r="L80" t="s">
        <v>392</v>
      </c>
      <c r="M80" t="s">
        <v>249</v>
      </c>
      <c r="N80">
        <f>VLOOKUP(L80,NLFsanalysis_new!B:C,2,FALSE)</f>
        <v>18125</v>
      </c>
      <c r="O80" t="str">
        <f>VLOOKUP(L80,NLFsanalysis_new!B:L,11,FALSE)</f>
        <v>EUR</v>
      </c>
      <c r="P80" t="str">
        <f>VLOOKUP(L80,NLFsanalysis_new!B:D,3,FALSE)</f>
        <v>Core</v>
      </c>
      <c r="Q80" t="str">
        <f>VLOOKUP(L80,NLFsanalysis_new!B:E,4,FALSE)</f>
        <v>multi country</v>
      </c>
      <c r="R80" t="str">
        <f>VLOOKUP(L80,NLFsanalysis_new!B:F,5,FALSE)</f>
        <v/>
      </c>
      <c r="S80">
        <f>VLOOKUP(L80,NLFsanalysis_new!B:H,7,FALSE)</f>
        <v>2015</v>
      </c>
      <c r="T80" t="s">
        <v>170</v>
      </c>
      <c r="U80" t="s">
        <v>9</v>
      </c>
      <c r="V80" t="s">
        <v>391</v>
      </c>
      <c r="AO80" t="s">
        <v>151</v>
      </c>
      <c r="AP80" t="s">
        <v>152</v>
      </c>
    </row>
    <row r="81" spans="1:42" x14ac:dyDescent="0.2">
      <c r="A81" t="s">
        <v>212</v>
      </c>
      <c r="B81">
        <v>12396228154</v>
      </c>
      <c r="C81">
        <v>396431383</v>
      </c>
      <c r="D81" s="28">
        <v>44236.911886574075</v>
      </c>
      <c r="E81" s="28">
        <v>44236.914756944447</v>
      </c>
      <c r="F81" t="s">
        <v>393</v>
      </c>
      <c r="K81" t="s">
        <v>394</v>
      </c>
      <c r="L81" t="s">
        <v>395</v>
      </c>
      <c r="M81" t="s">
        <v>255</v>
      </c>
      <c r="N81">
        <f>VLOOKUP(L81,NLFsanalysis_new!B:C,2,FALSE)</f>
        <v>19620</v>
      </c>
      <c r="O81" t="str">
        <f>VLOOKUP(L81,NLFsanalysis_new!B:L,11,FALSE)</f>
        <v>EUR</v>
      </c>
      <c r="P81" t="str">
        <f>VLOOKUP(L81,NLFsanalysis_new!B:D,3,FALSE)</f>
        <v>Value-added</v>
      </c>
      <c r="Q81" t="str">
        <f>VLOOKUP(L81,NLFsanalysis_new!B:E,4,FALSE)</f>
        <v>multi country</v>
      </c>
      <c r="R81" t="str">
        <f>VLOOKUP(L81,NLFsanalysis_new!B:F,5,FALSE)</f>
        <v/>
      </c>
      <c r="S81">
        <f>VLOOKUP(L81,NLFsanalysis_new!B:H,7,FALSE)</f>
        <v>2019</v>
      </c>
      <c r="T81" t="s">
        <v>152</v>
      </c>
      <c r="W81">
        <v>129</v>
      </c>
      <c r="Y81">
        <v>15</v>
      </c>
      <c r="Z81">
        <v>110</v>
      </c>
      <c r="AD81">
        <v>4</v>
      </c>
      <c r="AF81">
        <v>19</v>
      </c>
      <c r="AG81">
        <v>110</v>
      </c>
      <c r="AM81">
        <v>100</v>
      </c>
      <c r="AO81" t="s">
        <v>151</v>
      </c>
      <c r="AP81" t="s">
        <v>152</v>
      </c>
    </row>
    <row r="82" spans="1:42" x14ac:dyDescent="0.2">
      <c r="A82" t="s">
        <v>212</v>
      </c>
      <c r="B82">
        <v>12395085990</v>
      </c>
      <c r="C82">
        <v>396431383</v>
      </c>
      <c r="D82" s="28">
        <v>44236.669722222221</v>
      </c>
      <c r="E82" s="28">
        <v>44236.682789351849</v>
      </c>
      <c r="F82" t="s">
        <v>207</v>
      </c>
      <c r="K82" t="s">
        <v>208</v>
      </c>
      <c r="L82" t="s">
        <v>209</v>
      </c>
      <c r="M82" t="s">
        <v>255</v>
      </c>
      <c r="N82" t="str">
        <f>VLOOKUP(L82,NLFsanalysis_new!B:C,2,FALSE)</f>
        <v>debt fund</v>
      </c>
      <c r="O82" t="str">
        <f>VLOOKUP(L82,NLFsanalysis_new!B:L,11,FALSE)</f>
        <v/>
      </c>
      <c r="P82" t="str">
        <f>VLOOKUP(L82,NLFsanalysis_new!B:D,3,FALSE)</f>
        <v/>
      </c>
      <c r="Q82" t="str">
        <f>VLOOKUP(L82,NLFsanalysis_new!B:E,4,FALSE)</f>
        <v/>
      </c>
      <c r="R82" t="str">
        <f>VLOOKUP(L82,NLFsanalysis_new!B:F,5,FALSE)</f>
        <v/>
      </c>
      <c r="S82" t="str">
        <f>VLOOKUP(L82,NLFsanalysis_new!B:H,7,FALSE)</f>
        <v/>
      </c>
      <c r="T82" t="s">
        <v>152</v>
      </c>
      <c r="W82">
        <v>75</v>
      </c>
      <c r="Y82">
        <v>10</v>
      </c>
      <c r="Z82">
        <v>65</v>
      </c>
      <c r="AF82">
        <v>75</v>
      </c>
      <c r="AM82">
        <v>100</v>
      </c>
      <c r="AO82" t="s">
        <v>151</v>
      </c>
      <c r="AP82" t="s">
        <v>152</v>
      </c>
    </row>
    <row r="83" spans="1:42" x14ac:dyDescent="0.2">
      <c r="A83" t="s">
        <v>212</v>
      </c>
      <c r="B83">
        <v>12395071192</v>
      </c>
      <c r="C83">
        <v>396431383</v>
      </c>
      <c r="D83" s="28">
        <v>44236.667638888888</v>
      </c>
      <c r="E83" s="28">
        <v>44236.669479166667</v>
      </c>
      <c r="F83" t="s">
        <v>207</v>
      </c>
      <c r="K83" t="s">
        <v>208</v>
      </c>
      <c r="L83" t="s">
        <v>396</v>
      </c>
      <c r="M83" t="s">
        <v>249</v>
      </c>
      <c r="N83">
        <f>VLOOKUP(L83,NLFsanalysis_new!B:C,2,FALSE)</f>
        <v>19359</v>
      </c>
      <c r="O83" t="str">
        <f>VLOOKUP(L83,NLFsanalysis_new!B:L,11,FALSE)</f>
        <v>EUR</v>
      </c>
      <c r="P83" t="str">
        <f>VLOOKUP(L83,NLFsanalysis_new!B:D,3,FALSE)</f>
        <v>Core</v>
      </c>
      <c r="Q83" t="str">
        <f>VLOOKUP(L83,NLFsanalysis_new!B:E,4,FALSE)</f>
        <v>multi country</v>
      </c>
      <c r="R83" t="str">
        <f>VLOOKUP(L83,NLFsanalysis_new!B:F,5,FALSE)</f>
        <v/>
      </c>
      <c r="S83">
        <f>VLOOKUP(L83,NLFsanalysis_new!B:H,7,FALSE)</f>
        <v>2019</v>
      </c>
      <c r="T83" t="s">
        <v>152</v>
      </c>
      <c r="W83">
        <v>410</v>
      </c>
      <c r="X83">
        <v>350</v>
      </c>
      <c r="Y83">
        <v>5</v>
      </c>
      <c r="AE83">
        <v>55</v>
      </c>
      <c r="AF83">
        <v>405</v>
      </c>
      <c r="AG83">
        <v>5</v>
      </c>
      <c r="AM83">
        <v>93</v>
      </c>
      <c r="AN83">
        <v>7</v>
      </c>
      <c r="AO83" t="s">
        <v>151</v>
      </c>
      <c r="AP83" t="s">
        <v>152</v>
      </c>
    </row>
    <row r="84" spans="1:42" x14ac:dyDescent="0.2">
      <c r="A84" t="s">
        <v>212</v>
      </c>
      <c r="B84">
        <v>12395028124</v>
      </c>
      <c r="C84">
        <v>396431383</v>
      </c>
      <c r="D84" s="28">
        <v>44236.659756944442</v>
      </c>
      <c r="E84" s="28">
        <v>44236.661481481482</v>
      </c>
      <c r="F84" t="s">
        <v>286</v>
      </c>
      <c r="K84" t="s">
        <v>397</v>
      </c>
      <c r="L84" t="s">
        <v>287</v>
      </c>
      <c r="M84" t="s">
        <v>255</v>
      </c>
      <c r="N84">
        <f>VLOOKUP(L84,NLFsanalysis_new!B:C,2,FALSE)</f>
        <v>18282</v>
      </c>
      <c r="O84" t="str">
        <f>VLOOKUP(L84,NLFsanalysis_new!B:L,11,FALSE)</f>
        <v>EUR</v>
      </c>
      <c r="P84" t="str">
        <f>VLOOKUP(L84,NLFsanalysis_new!B:D,3,FALSE)</f>
        <v>Value-added</v>
      </c>
      <c r="Q84" t="str">
        <f>VLOOKUP(L84,NLFsanalysis_new!B:E,4,FALSE)</f>
        <v>multi country</v>
      </c>
      <c r="R84" t="str">
        <f>VLOOKUP(L84,NLFsanalysis_new!B:F,5,FALSE)</f>
        <v/>
      </c>
      <c r="S84">
        <f>VLOOKUP(L84,NLFsanalysis_new!B:H,7,FALSE)</f>
        <v>2015</v>
      </c>
      <c r="T84" t="s">
        <v>170</v>
      </c>
    </row>
    <row r="85" spans="1:42" x14ac:dyDescent="0.2">
      <c r="A85" t="s">
        <v>212</v>
      </c>
      <c r="B85">
        <v>12394350710</v>
      </c>
      <c r="C85">
        <v>396431383</v>
      </c>
      <c r="D85" s="28">
        <v>44236.484027777777</v>
      </c>
      <c r="E85" s="28">
        <v>44236.489537037036</v>
      </c>
      <c r="F85" t="s">
        <v>398</v>
      </c>
      <c r="K85" t="s">
        <v>399</v>
      </c>
      <c r="L85" t="s">
        <v>400</v>
      </c>
      <c r="M85" t="s">
        <v>255</v>
      </c>
      <c r="N85">
        <f>VLOOKUP(L85,NLFsanalysis_new!B:C,2,FALSE)</f>
        <v>19626</v>
      </c>
      <c r="O85" t="str">
        <f>VLOOKUP(L85,NLFsanalysis_new!B:L,11,FALSE)</f>
        <v/>
      </c>
      <c r="P85" t="str">
        <f>VLOOKUP(L85,NLFsanalysis_new!B:D,3,FALSE)</f>
        <v>Core</v>
      </c>
      <c r="Q85" t="str">
        <f>VLOOKUP(L85,NLFsanalysis_new!B:E,4,FALSE)</f>
        <v>single country</v>
      </c>
      <c r="R85" t="str">
        <f>VLOOKUP(L85,NLFsanalysis_new!B:F,5,FALSE)</f>
        <v>Germany</v>
      </c>
      <c r="S85">
        <f>VLOOKUP(L85,NLFsanalysis_new!B:H,7,FALSE)</f>
        <v>2019</v>
      </c>
      <c r="T85" t="s">
        <v>152</v>
      </c>
      <c r="W85">
        <v>50</v>
      </c>
      <c r="X85">
        <v>10</v>
      </c>
      <c r="AC85">
        <v>40</v>
      </c>
      <c r="AF85">
        <v>50</v>
      </c>
      <c r="AM85">
        <v>100</v>
      </c>
      <c r="AO85" t="s">
        <v>151</v>
      </c>
      <c r="AP85" t="s">
        <v>152</v>
      </c>
    </row>
    <row r="86" spans="1:42" x14ac:dyDescent="0.2">
      <c r="A86" t="s">
        <v>212</v>
      </c>
      <c r="B86">
        <v>12394349771</v>
      </c>
      <c r="C86">
        <v>396431383</v>
      </c>
      <c r="D86" s="28">
        <v>44236.483773148146</v>
      </c>
      <c r="E86" s="28">
        <v>44236.483969907407</v>
      </c>
      <c r="F86" t="s">
        <v>398</v>
      </c>
      <c r="K86" t="s">
        <v>399</v>
      </c>
      <c r="L86" t="s">
        <v>401</v>
      </c>
      <c r="M86" t="s">
        <v>255</v>
      </c>
      <c r="N86">
        <f>VLOOKUP(L86,NLFsanalysis_new!B:C,2,FALSE)</f>
        <v>19625</v>
      </c>
      <c r="O86" t="str">
        <f>VLOOKUP(L86,NLFsanalysis_new!B:L,11,FALSE)</f>
        <v/>
      </c>
      <c r="P86" t="str">
        <f>VLOOKUP(L86,NLFsanalysis_new!B:D,3,FALSE)</f>
        <v>Core</v>
      </c>
      <c r="Q86" t="str">
        <f>VLOOKUP(L86,NLFsanalysis_new!B:E,4,FALSE)</f>
        <v>single country</v>
      </c>
      <c r="R86" t="str">
        <f>VLOOKUP(L86,NLFsanalysis_new!B:F,5,FALSE)</f>
        <v>Germany</v>
      </c>
      <c r="S86">
        <f>VLOOKUP(L86,NLFsanalysis_new!B:H,7,FALSE)</f>
        <v>2014</v>
      </c>
      <c r="T86" t="s">
        <v>170</v>
      </c>
      <c r="U86" t="s">
        <v>402</v>
      </c>
      <c r="AO86" t="s">
        <v>151</v>
      </c>
      <c r="AP86" t="s">
        <v>152</v>
      </c>
    </row>
    <row r="87" spans="1:42" x14ac:dyDescent="0.2">
      <c r="A87" t="s">
        <v>212</v>
      </c>
      <c r="B87">
        <v>12394347654</v>
      </c>
      <c r="C87">
        <v>396431383</v>
      </c>
      <c r="D87" s="28">
        <v>44236.48201388889</v>
      </c>
      <c r="E87" s="28">
        <v>44236.483506944445</v>
      </c>
      <c r="F87" t="s">
        <v>398</v>
      </c>
      <c r="K87" t="s">
        <v>399</v>
      </c>
      <c r="L87" t="s">
        <v>403</v>
      </c>
      <c r="M87" t="s">
        <v>255</v>
      </c>
      <c r="N87">
        <f>VLOOKUP(L87,NLFsanalysis_new!B:C,2,FALSE)</f>
        <v>19623</v>
      </c>
      <c r="O87" t="str">
        <f>VLOOKUP(L87,NLFsanalysis_new!B:L,11,FALSE)</f>
        <v/>
      </c>
      <c r="P87" t="str">
        <f>VLOOKUP(L87,NLFsanalysis_new!B:D,3,FALSE)</f>
        <v>Core</v>
      </c>
      <c r="Q87" t="str">
        <f>VLOOKUP(L87,NLFsanalysis_new!B:E,4,FALSE)</f>
        <v>single country</v>
      </c>
      <c r="R87" t="str">
        <f>VLOOKUP(L87,NLFsanalysis_new!B:F,5,FALSE)</f>
        <v>Germany</v>
      </c>
      <c r="S87">
        <f>VLOOKUP(L87,NLFsanalysis_new!B:H,7,FALSE)</f>
        <v>2011</v>
      </c>
      <c r="T87" t="s">
        <v>170</v>
      </c>
      <c r="U87" t="s">
        <v>402</v>
      </c>
      <c r="AO87" t="s">
        <v>151</v>
      </c>
      <c r="AP87" t="s">
        <v>152</v>
      </c>
    </row>
    <row r="88" spans="1:42" x14ac:dyDescent="0.2">
      <c r="A88" t="s">
        <v>212</v>
      </c>
      <c r="B88">
        <v>12394148316</v>
      </c>
      <c r="C88">
        <v>396431383</v>
      </c>
      <c r="D88" s="28">
        <v>44236.406377314815</v>
      </c>
      <c r="E88" s="28">
        <v>44236.437303240738</v>
      </c>
      <c r="F88" t="s">
        <v>404</v>
      </c>
      <c r="K88" t="s">
        <v>353</v>
      </c>
      <c r="L88" t="s">
        <v>405</v>
      </c>
      <c r="M88" t="s">
        <v>255</v>
      </c>
      <c r="N88">
        <f>VLOOKUP(L88,NLFsanalysis_new!B:C,2,FALSE)</f>
        <v>17720</v>
      </c>
      <c r="O88" t="str">
        <f>VLOOKUP(L88,NLFsanalysis_new!B:L,11,FALSE)</f>
        <v>SEK</v>
      </c>
      <c r="P88" t="str">
        <f>VLOOKUP(L88,NLFsanalysis_new!B:D,3,FALSE)</f>
        <v>Value-added</v>
      </c>
      <c r="Q88" t="str">
        <f>VLOOKUP(L88,NLFsanalysis_new!B:E,4,FALSE)</f>
        <v>multi country</v>
      </c>
      <c r="R88" t="str">
        <f>VLOOKUP(L88,NLFsanalysis_new!B:F,5,FALSE)</f>
        <v/>
      </c>
      <c r="S88">
        <f>VLOOKUP(L88,NLFsanalysis_new!B:H,7,FALSE)</f>
        <v>2015</v>
      </c>
      <c r="T88" t="s">
        <v>152</v>
      </c>
      <c r="W88">
        <v>4</v>
      </c>
      <c r="X88">
        <v>1</v>
      </c>
      <c r="Y88">
        <v>1</v>
      </c>
      <c r="AA88">
        <v>2</v>
      </c>
      <c r="AF88">
        <v>3</v>
      </c>
      <c r="AG88">
        <v>1</v>
      </c>
      <c r="AM88">
        <v>100</v>
      </c>
      <c r="AO88" t="s">
        <v>151</v>
      </c>
      <c r="AP88" t="s">
        <v>170</v>
      </c>
    </row>
    <row r="89" spans="1:42" x14ac:dyDescent="0.2">
      <c r="A89" t="s">
        <v>212</v>
      </c>
      <c r="B89">
        <v>12391608939</v>
      </c>
      <c r="C89">
        <v>396431383</v>
      </c>
      <c r="D89" s="28">
        <v>44235.626250000001</v>
      </c>
      <c r="E89" s="28">
        <v>44235.627013888887</v>
      </c>
      <c r="F89" t="s">
        <v>301</v>
      </c>
      <c r="K89" t="s">
        <v>304</v>
      </c>
      <c r="L89" t="s">
        <v>302</v>
      </c>
      <c r="M89" t="s">
        <v>249</v>
      </c>
      <c r="N89">
        <f>VLOOKUP(L89,NLFsanalysis_new!B:C,2,FALSE)</f>
        <v>559</v>
      </c>
      <c r="O89" t="str">
        <f>VLOOKUP(L89,NLFsanalysis_new!B:L,11,FALSE)</f>
        <v>EUR</v>
      </c>
      <c r="P89" t="str">
        <f>VLOOKUP(L89,NLFsanalysis_new!B:D,3,FALSE)</f>
        <v>Core</v>
      </c>
      <c r="Q89" t="str">
        <f>VLOOKUP(L89,NLFsanalysis_new!B:E,4,FALSE)</f>
        <v>multi country</v>
      </c>
      <c r="R89" t="str">
        <f>VLOOKUP(L89,NLFsanalysis_new!B:F,5,FALSE)</f>
        <v/>
      </c>
      <c r="S89">
        <f>VLOOKUP(L89,NLFsanalysis_new!B:H,7,FALSE)</f>
        <v>2008</v>
      </c>
      <c r="T89" t="s">
        <v>152</v>
      </c>
    </row>
    <row r="90" spans="1:42" x14ac:dyDescent="0.2">
      <c r="A90" t="s">
        <v>212</v>
      </c>
      <c r="B90">
        <v>12386450134</v>
      </c>
      <c r="C90">
        <v>396431383</v>
      </c>
      <c r="D90" s="28">
        <v>44232.800092592595</v>
      </c>
      <c r="E90" s="28">
        <v>44232.805891203701</v>
      </c>
      <c r="F90" t="s">
        <v>406</v>
      </c>
      <c r="K90" t="s">
        <v>407</v>
      </c>
      <c r="L90" t="s">
        <v>408</v>
      </c>
      <c r="M90" t="s">
        <v>255</v>
      </c>
      <c r="N90" t="str">
        <f>VLOOKUP(L90,NLFsanalysis_new!B:C,2,FALSE)</f>
        <v>launched in 2021</v>
      </c>
      <c r="O90" t="str">
        <f>VLOOKUP(L90,NLFsanalysis_new!B:L,11,FALSE)</f>
        <v/>
      </c>
      <c r="P90" t="str">
        <f>VLOOKUP(L90,NLFsanalysis_new!B:D,3,FALSE)</f>
        <v/>
      </c>
      <c r="Q90" t="str">
        <f>VLOOKUP(L90,NLFsanalysis_new!B:E,4,FALSE)</f>
        <v/>
      </c>
      <c r="R90" t="str">
        <f>VLOOKUP(L90,NLFsanalysis_new!B:F,5,FALSE)</f>
        <v/>
      </c>
      <c r="S90" t="str">
        <f>VLOOKUP(L90,NLFsanalysis_new!B:H,7,FALSE)</f>
        <v/>
      </c>
      <c r="T90" t="s">
        <v>152</v>
      </c>
      <c r="W90">
        <v>415</v>
      </c>
      <c r="X90">
        <v>361</v>
      </c>
      <c r="Y90">
        <v>54</v>
      </c>
      <c r="AF90">
        <v>128</v>
      </c>
      <c r="AH90">
        <v>287</v>
      </c>
      <c r="AM90">
        <v>100</v>
      </c>
      <c r="AO90" t="s">
        <v>151</v>
      </c>
      <c r="AP90" t="s">
        <v>152</v>
      </c>
    </row>
    <row r="91" spans="1:42" x14ac:dyDescent="0.2">
      <c r="A91" t="s">
        <v>212</v>
      </c>
      <c r="B91">
        <v>12385088736</v>
      </c>
      <c r="C91">
        <v>396431383</v>
      </c>
      <c r="D91" s="28">
        <v>44232.455995370372</v>
      </c>
      <c r="E91" s="28">
        <v>44232.456747685188</v>
      </c>
      <c r="F91" t="s">
        <v>409</v>
      </c>
      <c r="K91" t="s">
        <v>410</v>
      </c>
      <c r="L91" t="s">
        <v>411</v>
      </c>
      <c r="M91" t="s">
        <v>249</v>
      </c>
      <c r="N91">
        <f>VLOOKUP(L91,NLFsanalysis_new!B:C,2,FALSE)</f>
        <v>17499</v>
      </c>
      <c r="O91" t="str">
        <f>VLOOKUP(L91,NLFsanalysis_new!B:L,11,FALSE)</f>
        <v>NOK</v>
      </c>
      <c r="P91" t="str">
        <f>VLOOKUP(L91,NLFsanalysis_new!B:D,3,FALSE)</f>
        <v>Core</v>
      </c>
      <c r="Q91" t="str">
        <f>VLOOKUP(L91,NLFsanalysis_new!B:E,4,FALSE)</f>
        <v>multi country</v>
      </c>
      <c r="R91" t="str">
        <f>VLOOKUP(L91,NLFsanalysis_new!B:F,5,FALSE)</f>
        <v/>
      </c>
      <c r="S91">
        <f>VLOOKUP(L91,NLFsanalysis_new!B:H,7,FALSE)</f>
        <v>2007</v>
      </c>
      <c r="T91" t="s">
        <v>170</v>
      </c>
      <c r="U91" t="s">
        <v>9</v>
      </c>
      <c r="V91" t="s">
        <v>412</v>
      </c>
      <c r="AO91" t="s">
        <v>151</v>
      </c>
      <c r="AP91" t="s">
        <v>152</v>
      </c>
    </row>
    <row r="92" spans="1:42" x14ac:dyDescent="0.2">
      <c r="A92" t="s">
        <v>212</v>
      </c>
      <c r="B92">
        <v>12385087627</v>
      </c>
      <c r="C92">
        <v>396431383</v>
      </c>
      <c r="D92" s="28">
        <v>44232.455254629633</v>
      </c>
      <c r="E92" s="28">
        <v>44232.45584490741</v>
      </c>
      <c r="F92" t="s">
        <v>409</v>
      </c>
      <c r="K92" t="s">
        <v>410</v>
      </c>
      <c r="L92" t="s">
        <v>411</v>
      </c>
      <c r="M92" t="s">
        <v>249</v>
      </c>
      <c r="N92">
        <f>VLOOKUP(L92,NLFsanalysis_new!B:C,2,FALSE)</f>
        <v>17499</v>
      </c>
      <c r="O92" t="str">
        <f>VLOOKUP(L92,NLFsanalysis_new!B:L,11,FALSE)</f>
        <v>NOK</v>
      </c>
      <c r="P92" t="str">
        <f>VLOOKUP(L92,NLFsanalysis_new!B:D,3,FALSE)</f>
        <v>Core</v>
      </c>
      <c r="Q92" t="str">
        <f>VLOOKUP(L92,NLFsanalysis_new!B:E,4,FALSE)</f>
        <v>multi country</v>
      </c>
      <c r="R92" t="str">
        <f>VLOOKUP(L92,NLFsanalysis_new!B:F,5,FALSE)</f>
        <v/>
      </c>
      <c r="S92">
        <f>VLOOKUP(L92,NLFsanalysis_new!B:H,7,FALSE)</f>
        <v>2007</v>
      </c>
      <c r="T92" t="s">
        <v>152</v>
      </c>
    </row>
    <row r="93" spans="1:42" x14ac:dyDescent="0.2">
      <c r="A93" t="s">
        <v>212</v>
      </c>
      <c r="B93">
        <v>12383203508</v>
      </c>
      <c r="C93">
        <v>396431383</v>
      </c>
      <c r="D93" s="28">
        <v>44231.821921296294</v>
      </c>
      <c r="E93" s="28">
        <v>44231.82267361111</v>
      </c>
      <c r="F93" t="s">
        <v>298</v>
      </c>
      <c r="K93" t="s">
        <v>299</v>
      </c>
      <c r="L93" t="s">
        <v>413</v>
      </c>
      <c r="M93" t="s">
        <v>255</v>
      </c>
      <c r="N93">
        <f>VLOOKUP(L93,NLFsanalysis_new!B:C,2,FALSE)</f>
        <v>19580</v>
      </c>
      <c r="O93" t="str">
        <f>VLOOKUP(L93,NLFsanalysis_new!B:L,11,FALSE)</f>
        <v>EUR</v>
      </c>
      <c r="P93" t="str">
        <f>VLOOKUP(L93,NLFsanalysis_new!B:D,3,FALSE)</f>
        <v>Value-added</v>
      </c>
      <c r="Q93" t="str">
        <f>VLOOKUP(L93,NLFsanalysis_new!B:E,4,FALSE)</f>
        <v>multi country</v>
      </c>
      <c r="R93" t="str">
        <f>VLOOKUP(L93,NLFsanalysis_new!B:F,5,FALSE)</f>
        <v/>
      </c>
      <c r="S93">
        <f>VLOOKUP(L93,NLFsanalysis_new!B:H,7,FALSE)</f>
        <v>2017</v>
      </c>
      <c r="T93" t="s">
        <v>170</v>
      </c>
      <c r="U93" t="s">
        <v>9</v>
      </c>
      <c r="V93" t="s">
        <v>414</v>
      </c>
    </row>
    <row r="94" spans="1:42" x14ac:dyDescent="0.2">
      <c r="A94" t="s">
        <v>212</v>
      </c>
      <c r="B94">
        <v>12382623162</v>
      </c>
      <c r="C94">
        <v>396431383</v>
      </c>
      <c r="D94" s="28">
        <v>44231.692870370367</v>
      </c>
      <c r="E94" s="28">
        <v>44231.703125</v>
      </c>
      <c r="F94" t="s">
        <v>415</v>
      </c>
      <c r="K94" t="s">
        <v>416</v>
      </c>
      <c r="L94" t="s">
        <v>417</v>
      </c>
      <c r="M94" t="s">
        <v>255</v>
      </c>
      <c r="N94">
        <f>VLOOKUP(L94,NLFsanalysis_new!B:C,2,FALSE)</f>
        <v>19653</v>
      </c>
      <c r="O94" t="str">
        <f>VLOOKUP(L94,NLFsanalysis_new!B:L,11,FALSE)</f>
        <v>EUR</v>
      </c>
      <c r="P94" t="str">
        <f>VLOOKUP(L94,NLFsanalysis_new!B:D,3,FALSE)</f>
        <v>Core</v>
      </c>
      <c r="Q94" t="str">
        <f>VLOOKUP(L94,NLFsanalysis_new!B:E,4,FALSE)</f>
        <v>multi country</v>
      </c>
      <c r="R94" t="str">
        <f>VLOOKUP(L94,NLFsanalysis_new!B:F,5,FALSE)</f>
        <v/>
      </c>
      <c r="S94">
        <f>VLOOKUP(L94,NLFsanalysis_new!B:H,7,FALSE)</f>
        <v>2020</v>
      </c>
      <c r="T94" t="s">
        <v>152</v>
      </c>
      <c r="W94">
        <v>1382</v>
      </c>
      <c r="X94">
        <v>961</v>
      </c>
      <c r="Y94">
        <v>171</v>
      </c>
      <c r="Z94">
        <v>250</v>
      </c>
      <c r="AF94">
        <v>478</v>
      </c>
      <c r="AG94">
        <v>904</v>
      </c>
      <c r="AK94">
        <v>27</v>
      </c>
      <c r="AM94">
        <v>73</v>
      </c>
      <c r="AO94" t="s">
        <v>151</v>
      </c>
      <c r="AP94" t="s">
        <v>152</v>
      </c>
    </row>
    <row r="95" spans="1:42" x14ac:dyDescent="0.2">
      <c r="A95" t="s">
        <v>212</v>
      </c>
      <c r="B95">
        <v>12382489487</v>
      </c>
      <c r="C95">
        <v>396431383</v>
      </c>
      <c r="D95" s="28">
        <v>44231.664826388886</v>
      </c>
      <c r="E95" s="28">
        <v>44231.665752314817</v>
      </c>
      <c r="F95" t="s">
        <v>298</v>
      </c>
      <c r="K95" t="s">
        <v>299</v>
      </c>
      <c r="L95" t="s">
        <v>413</v>
      </c>
      <c r="M95" t="s">
        <v>255</v>
      </c>
      <c r="N95">
        <f>VLOOKUP(L95,NLFsanalysis_new!B:C,2,FALSE)</f>
        <v>19580</v>
      </c>
      <c r="O95" t="str">
        <f>VLOOKUP(L95,NLFsanalysis_new!B:L,11,FALSE)</f>
        <v>EUR</v>
      </c>
      <c r="P95" t="str">
        <f>VLOOKUP(L95,NLFsanalysis_new!B:D,3,FALSE)</f>
        <v>Value-added</v>
      </c>
      <c r="Q95" t="str">
        <f>VLOOKUP(L95,NLFsanalysis_new!B:E,4,FALSE)</f>
        <v>multi country</v>
      </c>
      <c r="R95" t="str">
        <f>VLOOKUP(L95,NLFsanalysis_new!B:F,5,FALSE)</f>
        <v/>
      </c>
      <c r="S95">
        <f>VLOOKUP(L95,NLFsanalysis_new!B:H,7,FALSE)</f>
        <v>2017</v>
      </c>
      <c r="T95" t="s">
        <v>170</v>
      </c>
    </row>
    <row r="96" spans="1:42" x14ac:dyDescent="0.2">
      <c r="A96" t="s">
        <v>212</v>
      </c>
      <c r="B96">
        <v>12382442676</v>
      </c>
      <c r="C96">
        <v>396431383</v>
      </c>
      <c r="D96" s="28">
        <v>44231.654895833337</v>
      </c>
      <c r="E96" s="28">
        <v>44231.656053240738</v>
      </c>
      <c r="F96" t="s">
        <v>418</v>
      </c>
      <c r="K96" t="s">
        <v>399</v>
      </c>
      <c r="L96" t="s">
        <v>403</v>
      </c>
      <c r="M96" t="s">
        <v>255</v>
      </c>
      <c r="N96">
        <f>VLOOKUP(L96,NLFsanalysis_new!B:C,2,FALSE)</f>
        <v>19623</v>
      </c>
      <c r="O96" t="str">
        <f>VLOOKUP(L96,NLFsanalysis_new!B:L,11,FALSE)</f>
        <v/>
      </c>
      <c r="P96" t="str">
        <f>VLOOKUP(L96,NLFsanalysis_new!B:D,3,FALSE)</f>
        <v>Core</v>
      </c>
      <c r="Q96" t="str">
        <f>VLOOKUP(L96,NLFsanalysis_new!B:E,4,FALSE)</f>
        <v>single country</v>
      </c>
      <c r="R96" t="str">
        <f>VLOOKUP(L96,NLFsanalysis_new!B:F,5,FALSE)</f>
        <v>Germany</v>
      </c>
      <c r="S96">
        <f>VLOOKUP(L96,NLFsanalysis_new!B:H,7,FALSE)</f>
        <v>2011</v>
      </c>
      <c r="T96" t="s">
        <v>170</v>
      </c>
      <c r="U96" t="s">
        <v>402</v>
      </c>
    </row>
    <row r="97" spans="1:42" x14ac:dyDescent="0.2">
      <c r="A97" t="s">
        <v>212</v>
      </c>
      <c r="B97">
        <v>12379512943</v>
      </c>
      <c r="C97">
        <v>396431383</v>
      </c>
      <c r="D97" s="28">
        <v>44230.748738425929</v>
      </c>
      <c r="E97" s="28">
        <v>44230.772476851853</v>
      </c>
      <c r="F97" t="s">
        <v>267</v>
      </c>
      <c r="K97" t="s">
        <v>268</v>
      </c>
      <c r="L97" t="s">
        <v>419</v>
      </c>
      <c r="M97" t="s">
        <v>249</v>
      </c>
      <c r="N97" t="str">
        <f>VLOOKUP(L97,NLFsanalysis_new!B:C,2,FALSE)</f>
        <v>GLOBAL</v>
      </c>
      <c r="O97" t="str">
        <f>VLOOKUP(L97,NLFsanalysis_new!B:L,11,FALSE)</f>
        <v/>
      </c>
      <c r="P97" t="str">
        <f>VLOOKUP(L97,NLFsanalysis_new!B:D,3,FALSE)</f>
        <v/>
      </c>
      <c r="Q97" t="str">
        <f>VLOOKUP(L97,NLFsanalysis_new!B:E,4,FALSE)</f>
        <v/>
      </c>
      <c r="R97" t="str">
        <f>VLOOKUP(L97,NLFsanalysis_new!B:F,5,FALSE)</f>
        <v/>
      </c>
      <c r="S97" t="str">
        <f>VLOOKUP(L97,NLFsanalysis_new!B:H,7,FALSE)</f>
        <v/>
      </c>
      <c r="T97" t="s">
        <v>152</v>
      </c>
      <c r="W97">
        <v>30</v>
      </c>
      <c r="AC97">
        <v>30</v>
      </c>
      <c r="AF97">
        <v>30</v>
      </c>
      <c r="AN97">
        <v>100</v>
      </c>
      <c r="AO97" t="s">
        <v>151</v>
      </c>
      <c r="AP97" t="s">
        <v>152</v>
      </c>
    </row>
    <row r="98" spans="1:42" x14ac:dyDescent="0.2">
      <c r="A98" t="s">
        <v>212</v>
      </c>
      <c r="B98">
        <v>12379481996</v>
      </c>
      <c r="C98">
        <v>396431383</v>
      </c>
      <c r="D98" s="28">
        <v>44230.745428240742</v>
      </c>
      <c r="E98" s="28">
        <v>44230.748599537037</v>
      </c>
      <c r="F98" t="s">
        <v>267</v>
      </c>
      <c r="K98" t="s">
        <v>268</v>
      </c>
      <c r="L98" t="s">
        <v>420</v>
      </c>
      <c r="M98" t="s">
        <v>249</v>
      </c>
      <c r="N98">
        <f>VLOOKUP(L98,NLFsanalysis_new!B:C,2,FALSE)</f>
        <v>19586</v>
      </c>
      <c r="O98" t="str">
        <f>VLOOKUP(L98,NLFsanalysis_new!B:L,11,FALSE)</f>
        <v>GBP</v>
      </c>
      <c r="P98" t="str">
        <f>VLOOKUP(L98,NLFsanalysis_new!B:D,3,FALSE)</f>
        <v>Core</v>
      </c>
      <c r="Q98" t="str">
        <f>VLOOKUP(L98,NLFsanalysis_new!B:E,4,FALSE)</f>
        <v>single country</v>
      </c>
      <c r="R98" t="str">
        <f>VLOOKUP(L98,NLFsanalysis_new!B:F,5,FALSE)</f>
        <v>United Kingdom</v>
      </c>
      <c r="S98">
        <f>VLOOKUP(L98,NLFsanalysis_new!B:H,7,FALSE)</f>
        <v>2016</v>
      </c>
      <c r="T98" t="s">
        <v>152</v>
      </c>
      <c r="W98">
        <v>6150000</v>
      </c>
      <c r="X98">
        <v>4500000</v>
      </c>
      <c r="AC98">
        <v>1650000</v>
      </c>
      <c r="AF98">
        <v>6150000</v>
      </c>
      <c r="AM98">
        <v>100</v>
      </c>
      <c r="AO98" t="s">
        <v>151</v>
      </c>
      <c r="AP98" t="s">
        <v>152</v>
      </c>
    </row>
    <row r="99" spans="1:42" x14ac:dyDescent="0.2">
      <c r="A99" t="s">
        <v>212</v>
      </c>
      <c r="B99">
        <v>12378281166</v>
      </c>
      <c r="C99">
        <v>396431383</v>
      </c>
      <c r="D99" s="28">
        <v>44230.497847222221</v>
      </c>
      <c r="E99" s="28">
        <v>44230.498657407406</v>
      </c>
      <c r="F99" t="s">
        <v>421</v>
      </c>
      <c r="K99" t="s">
        <v>422</v>
      </c>
      <c r="L99" t="s">
        <v>423</v>
      </c>
      <c r="M99" t="s">
        <v>255</v>
      </c>
      <c r="N99">
        <f>VLOOKUP(L99,NLFsanalysis_new!B:C,2,FALSE)</f>
        <v>19701</v>
      </c>
      <c r="O99" t="str">
        <f>VLOOKUP(L99,NLFsanalysis_new!B:L,11,FALSE)</f>
        <v/>
      </c>
      <c r="P99" t="str">
        <f>VLOOKUP(L99,NLFsanalysis_new!B:D,3,FALSE)</f>
        <v>Value-added</v>
      </c>
      <c r="Q99" t="str">
        <f>VLOOKUP(L99,NLFsanalysis_new!B:E,4,FALSE)</f>
        <v>single country</v>
      </c>
      <c r="R99" t="str">
        <f>VLOOKUP(L99,NLFsanalysis_new!B:F,5,FALSE)</f>
        <v>United Kingdom</v>
      </c>
      <c r="S99">
        <f>VLOOKUP(L99,NLFsanalysis_new!B:H,7,FALSE)</f>
        <v>2019</v>
      </c>
      <c r="T99" t="s">
        <v>152</v>
      </c>
      <c r="W99">
        <v>10</v>
      </c>
      <c r="AB99">
        <v>10</v>
      </c>
      <c r="AH99">
        <v>10</v>
      </c>
      <c r="AM99">
        <v>100</v>
      </c>
      <c r="AO99" t="s">
        <v>151</v>
      </c>
      <c r="AP99" t="s">
        <v>152</v>
      </c>
    </row>
    <row r="100" spans="1:42" x14ac:dyDescent="0.2">
      <c r="A100" t="s">
        <v>212</v>
      </c>
      <c r="B100">
        <v>12378275082</v>
      </c>
      <c r="C100">
        <v>396431383</v>
      </c>
      <c r="D100" s="28">
        <v>44230.495011574072</v>
      </c>
      <c r="E100" s="28">
        <v>44230.496342592596</v>
      </c>
      <c r="F100" t="s">
        <v>421</v>
      </c>
      <c r="K100" t="s">
        <v>422</v>
      </c>
      <c r="L100" t="s">
        <v>423</v>
      </c>
      <c r="M100" t="s">
        <v>255</v>
      </c>
      <c r="N100">
        <f>VLOOKUP(L100,NLFsanalysis_new!B:C,2,FALSE)</f>
        <v>19701</v>
      </c>
      <c r="O100" t="str">
        <f>VLOOKUP(L100,NLFsanalysis_new!B:L,11,FALSE)</f>
        <v/>
      </c>
      <c r="P100" t="str">
        <f>VLOOKUP(L100,NLFsanalysis_new!B:D,3,FALSE)</f>
        <v>Value-added</v>
      </c>
      <c r="Q100" t="str">
        <f>VLOOKUP(L100,NLFsanalysis_new!B:E,4,FALSE)</f>
        <v>single country</v>
      </c>
      <c r="R100" t="str">
        <f>VLOOKUP(L100,NLFsanalysis_new!B:F,5,FALSE)</f>
        <v>United Kingdom</v>
      </c>
      <c r="S100">
        <f>VLOOKUP(L100,NLFsanalysis_new!B:H,7,FALSE)</f>
        <v>2019</v>
      </c>
      <c r="T100" t="s">
        <v>152</v>
      </c>
    </row>
    <row r="101" spans="1:42" x14ac:dyDescent="0.2">
      <c r="A101" t="s">
        <v>212</v>
      </c>
      <c r="B101">
        <v>12378164773</v>
      </c>
      <c r="C101">
        <v>396431383</v>
      </c>
      <c r="D101" s="28">
        <v>44230.464629629627</v>
      </c>
      <c r="E101" s="28">
        <v>44230.46533564815</v>
      </c>
      <c r="F101" t="s">
        <v>424</v>
      </c>
      <c r="K101" t="s">
        <v>425</v>
      </c>
      <c r="L101" t="s">
        <v>426</v>
      </c>
      <c r="M101" t="s">
        <v>249</v>
      </c>
      <c r="N101">
        <f>VLOOKUP(L101,NLFsanalysis_new!B:C,2,FALSE)</f>
        <v>27</v>
      </c>
      <c r="O101" t="str">
        <f>VLOOKUP(L101,NLFsanalysis_new!B:L,11,FALSE)</f>
        <v>EUR</v>
      </c>
      <c r="P101" t="str">
        <f>VLOOKUP(L101,NLFsanalysis_new!B:D,3,FALSE)</f>
        <v>Core</v>
      </c>
      <c r="Q101" t="str">
        <f>VLOOKUP(L101,NLFsanalysis_new!B:E,4,FALSE)</f>
        <v>single country</v>
      </c>
      <c r="R101" t="str">
        <f>VLOOKUP(L101,NLFsanalysis_new!B:F,5,FALSE)</f>
        <v>Netherlands</v>
      </c>
      <c r="S101">
        <f>VLOOKUP(L101,NLFsanalysis_new!B:H,7,FALSE)</f>
        <v>2000</v>
      </c>
      <c r="T101" t="s">
        <v>152</v>
      </c>
      <c r="W101">
        <v>38</v>
      </c>
      <c r="X101">
        <v>3</v>
      </c>
      <c r="AC101">
        <v>35</v>
      </c>
      <c r="AK101">
        <v>90</v>
      </c>
      <c r="AM101">
        <v>10</v>
      </c>
      <c r="AO101" t="s">
        <v>151</v>
      </c>
      <c r="AP101" t="s">
        <v>152</v>
      </c>
    </row>
    <row r="102" spans="1:42" x14ac:dyDescent="0.2">
      <c r="A102" t="s">
        <v>212</v>
      </c>
      <c r="B102">
        <v>12378156762</v>
      </c>
      <c r="C102">
        <v>396431383</v>
      </c>
      <c r="D102" s="28">
        <v>44230.462442129632</v>
      </c>
      <c r="E102" s="28">
        <v>44230.464432870373</v>
      </c>
      <c r="F102" t="s">
        <v>424</v>
      </c>
      <c r="K102" t="s">
        <v>425</v>
      </c>
      <c r="L102" t="s">
        <v>427</v>
      </c>
      <c r="M102" t="s">
        <v>249</v>
      </c>
      <c r="N102">
        <f>VLOOKUP(L102,NLFsanalysis_new!B:C,2,FALSE)</f>
        <v>26</v>
      </c>
      <c r="O102" t="str">
        <f>VLOOKUP(L102,NLFsanalysis_new!B:L,11,FALSE)</f>
        <v>EUR</v>
      </c>
      <c r="P102" t="str">
        <f>VLOOKUP(L102,NLFsanalysis_new!B:D,3,FALSE)</f>
        <v>Core</v>
      </c>
      <c r="Q102" t="str">
        <f>VLOOKUP(L102,NLFsanalysis_new!B:E,4,FALSE)</f>
        <v>single country</v>
      </c>
      <c r="R102" t="str">
        <f>VLOOKUP(L102,NLFsanalysis_new!B:F,5,FALSE)</f>
        <v>Netherlands</v>
      </c>
      <c r="S102">
        <f>VLOOKUP(L102,NLFsanalysis_new!B:H,7,FALSE)</f>
        <v>2000</v>
      </c>
      <c r="T102" t="s">
        <v>152</v>
      </c>
      <c r="W102">
        <v>209</v>
      </c>
      <c r="X102">
        <v>186810000</v>
      </c>
      <c r="Y102">
        <v>970000</v>
      </c>
      <c r="Z102">
        <v>1300000</v>
      </c>
      <c r="AC102">
        <v>20000000</v>
      </c>
      <c r="AF102">
        <v>209080000</v>
      </c>
      <c r="AM102">
        <v>100</v>
      </c>
      <c r="AO102" t="s">
        <v>151</v>
      </c>
      <c r="AP102" t="s">
        <v>152</v>
      </c>
    </row>
    <row r="103" spans="1:42" x14ac:dyDescent="0.2">
      <c r="A103" t="s">
        <v>212</v>
      </c>
      <c r="B103">
        <v>12372012155</v>
      </c>
      <c r="C103">
        <v>396431383</v>
      </c>
      <c r="D103" s="28">
        <v>44228.576608796298</v>
      </c>
      <c r="E103" s="28">
        <v>44228.618506944447</v>
      </c>
      <c r="F103" t="s">
        <v>360</v>
      </c>
      <c r="K103" t="s">
        <v>361</v>
      </c>
      <c r="L103" t="s">
        <v>362</v>
      </c>
      <c r="M103" t="s">
        <v>249</v>
      </c>
      <c r="N103" t="str">
        <f>VLOOKUP(L103,NLFsanalysis_new!B:C,2,FALSE)</f>
        <v>aggregated</v>
      </c>
      <c r="O103" t="str">
        <f>VLOOKUP(L103,NLFsanalysis_new!B:L,11,FALSE)</f>
        <v/>
      </c>
      <c r="P103" t="str">
        <f>VLOOKUP(L103,NLFsanalysis_new!B:D,3,FALSE)</f>
        <v/>
      </c>
      <c r="Q103" t="str">
        <f>VLOOKUP(L103,NLFsanalysis_new!B:E,4,FALSE)</f>
        <v/>
      </c>
      <c r="R103" t="str">
        <f>VLOOKUP(L103,NLFsanalysis_new!B:F,5,FALSE)</f>
        <v/>
      </c>
      <c r="S103" t="str">
        <f>VLOOKUP(L103,NLFsanalysis_new!B:H,7,FALSE)</f>
        <v/>
      </c>
      <c r="T103" t="s">
        <v>152</v>
      </c>
    </row>
    <row r="104" spans="1:42" x14ac:dyDescent="0.2">
      <c r="A104" t="s">
        <v>212</v>
      </c>
      <c r="B104">
        <v>12365341529</v>
      </c>
      <c r="C104">
        <v>396431383</v>
      </c>
      <c r="D104" s="28">
        <v>44225.403587962966</v>
      </c>
      <c r="E104" s="28">
        <v>44225.412037037036</v>
      </c>
      <c r="F104" t="s">
        <v>428</v>
      </c>
      <c r="K104" t="s">
        <v>429</v>
      </c>
      <c r="L104" t="s">
        <v>430</v>
      </c>
      <c r="M104" t="s">
        <v>255</v>
      </c>
      <c r="N104" t="str">
        <f>VLOOKUP(L104,NLFsanalysis_new!B:C,2,FALSE)</f>
        <v>launched in 2021</v>
      </c>
      <c r="O104" t="str">
        <f>VLOOKUP(L104,NLFsanalysis_new!B:L,11,FALSE)</f>
        <v/>
      </c>
      <c r="P104" t="str">
        <f>VLOOKUP(L104,NLFsanalysis_new!B:D,3,FALSE)</f>
        <v/>
      </c>
      <c r="Q104" t="str">
        <f>VLOOKUP(L104,NLFsanalysis_new!B:E,4,FALSE)</f>
        <v/>
      </c>
      <c r="R104" t="str">
        <f>VLOOKUP(L104,NLFsanalysis_new!B:F,5,FALSE)</f>
        <v/>
      </c>
      <c r="S104" t="str">
        <f>VLOOKUP(L104,NLFsanalysis_new!B:H,7,FALSE)</f>
        <v/>
      </c>
      <c r="T104" t="s">
        <v>152</v>
      </c>
      <c r="W104">
        <v>550</v>
      </c>
      <c r="X104">
        <v>327</v>
      </c>
      <c r="Y104">
        <v>50</v>
      </c>
      <c r="Z104">
        <v>0</v>
      </c>
      <c r="AA104">
        <v>0</v>
      </c>
      <c r="AB104">
        <v>60</v>
      </c>
      <c r="AC104">
        <v>41</v>
      </c>
      <c r="AD104">
        <v>10</v>
      </c>
      <c r="AE104">
        <v>62</v>
      </c>
      <c r="AF104">
        <v>204</v>
      </c>
      <c r="AG104">
        <v>51</v>
      </c>
      <c r="AH104">
        <v>295</v>
      </c>
      <c r="AK104">
        <v>15</v>
      </c>
      <c r="AM104">
        <v>85</v>
      </c>
      <c r="AO104" t="s">
        <v>151</v>
      </c>
      <c r="AP104" t="s">
        <v>152</v>
      </c>
    </row>
    <row r="105" spans="1:42" x14ac:dyDescent="0.2">
      <c r="A105" t="s">
        <v>212</v>
      </c>
      <c r="B105">
        <v>12363460975</v>
      </c>
      <c r="C105">
        <v>396431383</v>
      </c>
      <c r="D105" s="28">
        <v>44224.786527777775</v>
      </c>
      <c r="E105" s="28">
        <v>44224.786828703705</v>
      </c>
      <c r="F105" t="s">
        <v>431</v>
      </c>
      <c r="K105" t="s">
        <v>432</v>
      </c>
      <c r="L105" t="s">
        <v>433</v>
      </c>
      <c r="M105" t="s">
        <v>255</v>
      </c>
      <c r="N105">
        <f>VLOOKUP(L105,NLFsanalysis_new!B:C,2,FALSE)</f>
        <v>19558</v>
      </c>
      <c r="O105" t="str">
        <f>VLOOKUP(L105,NLFsanalysis_new!B:L,11,FALSE)</f>
        <v>EUR</v>
      </c>
      <c r="P105" t="str">
        <f>VLOOKUP(L105,NLFsanalysis_new!B:D,3,FALSE)</f>
        <v>Value-added</v>
      </c>
      <c r="Q105" t="str">
        <f>VLOOKUP(L105,NLFsanalysis_new!B:E,4,FALSE)</f>
        <v>single country</v>
      </c>
      <c r="R105" t="str">
        <f>VLOOKUP(L105,NLFsanalysis_new!B:F,5,FALSE)</f>
        <v>Portugal</v>
      </c>
      <c r="S105">
        <f>VLOOKUP(L105,NLFsanalysis_new!B:H,7,FALSE)</f>
        <v>2020</v>
      </c>
      <c r="T105" t="s">
        <v>170</v>
      </c>
      <c r="U105" t="s">
        <v>9</v>
      </c>
      <c r="V105" t="s">
        <v>434</v>
      </c>
      <c r="AO105" t="s">
        <v>188</v>
      </c>
      <c r="AP105" t="s">
        <v>152</v>
      </c>
    </row>
    <row r="106" spans="1:42" x14ac:dyDescent="0.2">
      <c r="A106" t="s">
        <v>212</v>
      </c>
      <c r="B106">
        <v>12363458858</v>
      </c>
      <c r="C106">
        <v>396431383</v>
      </c>
      <c r="D106" s="28">
        <v>44224.786111111112</v>
      </c>
      <c r="E106" s="28">
        <v>44224.786458333336</v>
      </c>
      <c r="F106" t="s">
        <v>431</v>
      </c>
      <c r="K106" t="s">
        <v>432</v>
      </c>
      <c r="L106" t="s">
        <v>435</v>
      </c>
      <c r="M106" t="s">
        <v>255</v>
      </c>
      <c r="N106">
        <f>VLOOKUP(L106,NLFsanalysis_new!B:C,2,FALSE)</f>
        <v>18106</v>
      </c>
      <c r="O106" t="str">
        <f>VLOOKUP(L106,NLFsanalysis_new!B:L,11,FALSE)</f>
        <v>EUR</v>
      </c>
      <c r="P106" t="str">
        <f>VLOOKUP(L106,NLFsanalysis_new!B:D,3,FALSE)</f>
        <v>Core</v>
      </c>
      <c r="Q106" t="str">
        <f>VLOOKUP(L106,NLFsanalysis_new!B:E,4,FALSE)</f>
        <v>multi country</v>
      </c>
      <c r="R106" t="str">
        <f>VLOOKUP(L106,NLFsanalysis_new!B:F,5,FALSE)</f>
        <v/>
      </c>
      <c r="S106">
        <f>VLOOKUP(L106,NLFsanalysis_new!B:H,7,FALSE)</f>
        <v>2016</v>
      </c>
      <c r="T106" t="s">
        <v>170</v>
      </c>
      <c r="U106" t="s">
        <v>9</v>
      </c>
      <c r="V106" t="s">
        <v>436</v>
      </c>
      <c r="AO106" t="s">
        <v>188</v>
      </c>
      <c r="AP106" t="s">
        <v>152</v>
      </c>
    </row>
    <row r="107" spans="1:42" x14ac:dyDescent="0.2">
      <c r="A107" t="s">
        <v>212</v>
      </c>
      <c r="B107">
        <v>12363455099</v>
      </c>
      <c r="C107">
        <v>396431383</v>
      </c>
      <c r="D107" s="28">
        <v>44224.785185185188</v>
      </c>
      <c r="E107" s="28">
        <v>44224.786030092589</v>
      </c>
      <c r="F107" t="s">
        <v>431</v>
      </c>
      <c r="K107" t="s">
        <v>432</v>
      </c>
      <c r="L107" t="s">
        <v>437</v>
      </c>
      <c r="M107" t="s">
        <v>255</v>
      </c>
      <c r="N107">
        <f>VLOOKUP(L107,NLFsanalysis_new!B:C,2,FALSE)</f>
        <v>421</v>
      </c>
      <c r="O107" t="str">
        <f>VLOOKUP(L107,NLFsanalysis_new!B:L,11,FALSE)</f>
        <v>EUR</v>
      </c>
      <c r="P107" t="str">
        <f>VLOOKUP(L107,NLFsanalysis_new!B:D,3,FALSE)</f>
        <v>Core</v>
      </c>
      <c r="Q107" t="str">
        <f>VLOOKUP(L107,NLFsanalysis_new!B:E,4,FALSE)</f>
        <v>single country</v>
      </c>
      <c r="R107" t="str">
        <f>VLOOKUP(L107,NLFsanalysis_new!B:F,5,FALSE)</f>
        <v>Portugal</v>
      </c>
      <c r="S107">
        <f>VLOOKUP(L107,NLFsanalysis_new!B:H,7,FALSE)</f>
        <v>2008</v>
      </c>
      <c r="T107" t="s">
        <v>170</v>
      </c>
      <c r="U107" t="s">
        <v>9</v>
      </c>
      <c r="V107" t="s">
        <v>434</v>
      </c>
      <c r="AO107" t="s">
        <v>188</v>
      </c>
      <c r="AP107" t="s">
        <v>152</v>
      </c>
    </row>
    <row r="108" spans="1:42" x14ac:dyDescent="0.2">
      <c r="A108" t="s">
        <v>212</v>
      </c>
      <c r="B108">
        <v>12363449210</v>
      </c>
      <c r="C108">
        <v>396431383</v>
      </c>
      <c r="D108" s="28">
        <v>44224.783020833333</v>
      </c>
      <c r="E108" s="28">
        <v>44224.784884259258</v>
      </c>
      <c r="F108" t="s">
        <v>431</v>
      </c>
      <c r="K108" t="s">
        <v>432</v>
      </c>
      <c r="L108" t="s">
        <v>438</v>
      </c>
      <c r="M108" t="s">
        <v>255</v>
      </c>
      <c r="N108">
        <f>VLOOKUP(L108,NLFsanalysis_new!B:C,2,FALSE)</f>
        <v>415</v>
      </c>
      <c r="O108" t="str">
        <f>VLOOKUP(L108,NLFsanalysis_new!B:L,11,FALSE)</f>
        <v>EUR</v>
      </c>
      <c r="P108" t="str">
        <f>VLOOKUP(L108,NLFsanalysis_new!B:D,3,FALSE)</f>
        <v>Core</v>
      </c>
      <c r="Q108" t="str">
        <f>VLOOKUP(L108,NLFsanalysis_new!B:E,4,FALSE)</f>
        <v>multi country</v>
      </c>
      <c r="R108" t="str">
        <f>VLOOKUP(L108,NLFsanalysis_new!B:F,5,FALSE)</f>
        <v/>
      </c>
      <c r="S108">
        <f>VLOOKUP(L108,NLFsanalysis_new!B:H,7,FALSE)</f>
        <v>2003</v>
      </c>
      <c r="T108" t="s">
        <v>152</v>
      </c>
      <c r="W108">
        <v>520</v>
      </c>
      <c r="X108">
        <v>260</v>
      </c>
      <c r="Y108">
        <v>260</v>
      </c>
      <c r="AF108">
        <v>520</v>
      </c>
      <c r="AK108">
        <v>100</v>
      </c>
      <c r="AO108" t="s">
        <v>169</v>
      </c>
      <c r="AP108" t="s">
        <v>152</v>
      </c>
    </row>
    <row r="109" spans="1:42" x14ac:dyDescent="0.2">
      <c r="A109" t="s">
        <v>212</v>
      </c>
      <c r="B109">
        <v>12363437410</v>
      </c>
      <c r="C109">
        <v>396431383</v>
      </c>
      <c r="D109" s="28">
        <v>44224.781307870369</v>
      </c>
      <c r="E109" s="28">
        <v>44224.781689814816</v>
      </c>
      <c r="F109" t="s">
        <v>439</v>
      </c>
      <c r="K109" t="s">
        <v>440</v>
      </c>
      <c r="L109" t="s">
        <v>441</v>
      </c>
      <c r="M109" t="s">
        <v>249</v>
      </c>
      <c r="N109">
        <f>VLOOKUP(L109,NLFsanalysis_new!B:C,2,FALSE)</f>
        <v>19273</v>
      </c>
      <c r="O109" t="str">
        <f>VLOOKUP(L109,NLFsanalysis_new!B:L,11,FALSE)</f>
        <v>EUR</v>
      </c>
      <c r="P109" t="str">
        <f>VLOOKUP(L109,NLFsanalysis_new!B:D,3,FALSE)</f>
        <v>Core</v>
      </c>
      <c r="Q109" t="str">
        <f>VLOOKUP(L109,NLFsanalysis_new!B:E,4,FALSE)</f>
        <v>single country</v>
      </c>
      <c r="R109" t="str">
        <f>VLOOKUP(L109,NLFsanalysis_new!B:F,5,FALSE)</f>
        <v>Netherlands</v>
      </c>
      <c r="S109">
        <f>VLOOKUP(L109,NLFsanalysis_new!B:H,7,FALSE)</f>
        <v>2016</v>
      </c>
      <c r="T109" t="s">
        <v>170</v>
      </c>
      <c r="U109" t="s">
        <v>9</v>
      </c>
      <c r="V109" t="s">
        <v>442</v>
      </c>
      <c r="AO109" t="s">
        <v>151</v>
      </c>
      <c r="AP109" t="s">
        <v>170</v>
      </c>
    </row>
    <row r="110" spans="1:42" x14ac:dyDescent="0.2">
      <c r="A110" t="s">
        <v>212</v>
      </c>
      <c r="B110">
        <v>12363423266</v>
      </c>
      <c r="C110">
        <v>396431383</v>
      </c>
      <c r="D110" s="28">
        <v>44224.777951388889</v>
      </c>
      <c r="E110" s="28">
        <v>44224.779340277775</v>
      </c>
      <c r="F110" t="s">
        <v>439</v>
      </c>
      <c r="K110" t="s">
        <v>440</v>
      </c>
      <c r="L110" t="s">
        <v>443</v>
      </c>
      <c r="M110" t="s">
        <v>249</v>
      </c>
      <c r="N110">
        <f>VLOOKUP(L110,NLFsanalysis_new!B:C,2,FALSE)</f>
        <v>16092</v>
      </c>
      <c r="O110" t="str">
        <f>VLOOKUP(L110,NLFsanalysis_new!B:L,11,FALSE)</f>
        <v>EUR</v>
      </c>
      <c r="P110" t="str">
        <f>VLOOKUP(L110,NLFsanalysis_new!B:D,3,FALSE)</f>
        <v>Core</v>
      </c>
      <c r="Q110" t="str">
        <f>VLOOKUP(L110,NLFsanalysis_new!B:E,4,FALSE)</f>
        <v>single country</v>
      </c>
      <c r="R110" t="str">
        <f>VLOOKUP(L110,NLFsanalysis_new!B:F,5,FALSE)</f>
        <v>Netherlands</v>
      </c>
      <c r="S110">
        <f>VLOOKUP(L110,NLFsanalysis_new!B:H,7,FALSE)</f>
        <v>2010</v>
      </c>
      <c r="T110" t="s">
        <v>170</v>
      </c>
      <c r="U110" t="s">
        <v>9</v>
      </c>
      <c r="V110" t="s">
        <v>444</v>
      </c>
      <c r="AO110" t="s">
        <v>151</v>
      </c>
      <c r="AP110" t="s">
        <v>170</v>
      </c>
    </row>
    <row r="111" spans="1:42" x14ac:dyDescent="0.2">
      <c r="A111" t="s">
        <v>212</v>
      </c>
      <c r="B111">
        <v>12362733402</v>
      </c>
      <c r="C111">
        <v>396431383</v>
      </c>
      <c r="D111" s="28">
        <v>44224.637118055558</v>
      </c>
      <c r="E111" s="28">
        <v>44224.640150462961</v>
      </c>
      <c r="F111" t="s">
        <v>445</v>
      </c>
      <c r="K111" t="s">
        <v>446</v>
      </c>
      <c r="L111" t="s">
        <v>447</v>
      </c>
      <c r="M111" t="s">
        <v>249</v>
      </c>
      <c r="N111">
        <f>VLOOKUP(L111,NLFsanalysis_new!B:C,2,FALSE)</f>
        <v>18094</v>
      </c>
      <c r="O111" t="str">
        <f>VLOOKUP(L111,NLFsanalysis_new!B:L,11,FALSE)</f>
        <v>EUR</v>
      </c>
      <c r="P111" t="str">
        <f>VLOOKUP(L111,NLFsanalysis_new!B:D,3,FALSE)</f>
        <v>Core</v>
      </c>
      <c r="Q111" t="str">
        <f>VLOOKUP(L111,NLFsanalysis_new!B:E,4,FALSE)</f>
        <v>single country</v>
      </c>
      <c r="R111" t="str">
        <f>VLOOKUP(L111,NLFsanalysis_new!B:F,5,FALSE)</f>
        <v>Germany</v>
      </c>
      <c r="S111">
        <f>VLOOKUP(L111,NLFsanalysis_new!B:H,7,FALSE)</f>
        <v>2016</v>
      </c>
      <c r="T111" t="s">
        <v>152</v>
      </c>
      <c r="W111">
        <v>1</v>
      </c>
      <c r="AE111">
        <v>1</v>
      </c>
      <c r="AF111">
        <v>1</v>
      </c>
      <c r="AM111">
        <v>100</v>
      </c>
      <c r="AO111" t="s">
        <v>151</v>
      </c>
      <c r="AP111" t="s">
        <v>170</v>
      </c>
    </row>
    <row r="112" spans="1:42" x14ac:dyDescent="0.2">
      <c r="A112" t="s">
        <v>212</v>
      </c>
      <c r="B112">
        <v>12362719255</v>
      </c>
      <c r="C112">
        <v>396431383</v>
      </c>
      <c r="D112" s="28">
        <v>44224.635752314818</v>
      </c>
      <c r="E112" s="28">
        <v>44224.636273148149</v>
      </c>
      <c r="F112" t="s">
        <v>448</v>
      </c>
      <c r="K112" t="s">
        <v>449</v>
      </c>
      <c r="L112" t="s">
        <v>450</v>
      </c>
      <c r="M112" t="s">
        <v>255</v>
      </c>
      <c r="N112">
        <f>VLOOKUP(L112,NLFsanalysis_new!B:C,2,FALSE)</f>
        <v>19700</v>
      </c>
      <c r="O112" t="str">
        <f>VLOOKUP(L112,NLFsanalysis_new!B:L,11,FALSE)</f>
        <v/>
      </c>
      <c r="P112" t="str">
        <f>VLOOKUP(L112,NLFsanalysis_new!B:D,3,FALSE)</f>
        <v>Core</v>
      </c>
      <c r="Q112" t="str">
        <f>VLOOKUP(L112,NLFsanalysis_new!B:E,4,FALSE)</f>
        <v>multi country</v>
      </c>
      <c r="R112" t="str">
        <f>VLOOKUP(L112,NLFsanalysis_new!B:F,5,FALSE)</f>
        <v/>
      </c>
      <c r="S112">
        <f>VLOOKUP(L112,NLFsanalysis_new!B:H,7,FALSE)</f>
        <v>2021</v>
      </c>
      <c r="T112" t="s">
        <v>170</v>
      </c>
      <c r="U112" t="s">
        <v>9</v>
      </c>
      <c r="V112" t="s">
        <v>451</v>
      </c>
      <c r="AO112" t="s">
        <v>151</v>
      </c>
      <c r="AP112" t="s">
        <v>152</v>
      </c>
    </row>
    <row r="113" spans="1:42" x14ac:dyDescent="0.2">
      <c r="A113" t="s">
        <v>212</v>
      </c>
      <c r="B113">
        <v>12362342836</v>
      </c>
      <c r="C113">
        <v>396431383</v>
      </c>
      <c r="D113" s="28">
        <v>44224.546805555554</v>
      </c>
      <c r="E113" s="28">
        <v>44224.550740740742</v>
      </c>
      <c r="F113" t="s">
        <v>452</v>
      </c>
      <c r="K113" t="s">
        <v>283</v>
      </c>
      <c r="L113" t="s">
        <v>453</v>
      </c>
      <c r="M113" t="s">
        <v>249</v>
      </c>
      <c r="N113">
        <f>VLOOKUP(L113,NLFsanalysis_new!B:C,2,FALSE)</f>
        <v>18178</v>
      </c>
      <c r="O113" t="str">
        <f>VLOOKUP(L113,NLFsanalysis_new!B:L,11,FALSE)</f>
        <v/>
      </c>
      <c r="P113" t="str">
        <f>VLOOKUP(L113,NLFsanalysis_new!B:D,3,FALSE)</f>
        <v>Core</v>
      </c>
      <c r="Q113" t="str">
        <f>VLOOKUP(L113,NLFsanalysis_new!B:E,4,FALSE)</f>
        <v>multi country</v>
      </c>
      <c r="R113" t="str">
        <f>VLOOKUP(L113,NLFsanalysis_new!B:F,5,FALSE)</f>
        <v/>
      </c>
      <c r="S113">
        <f>VLOOKUP(L113,NLFsanalysis_new!B:H,7,FALSE)</f>
        <v>2001</v>
      </c>
      <c r="T113" t="s">
        <v>152</v>
      </c>
      <c r="W113">
        <v>68</v>
      </c>
      <c r="X113">
        <v>68</v>
      </c>
      <c r="AF113">
        <v>68</v>
      </c>
      <c r="AM113">
        <v>100</v>
      </c>
      <c r="AO113" t="s">
        <v>169</v>
      </c>
      <c r="AP113" t="s">
        <v>170</v>
      </c>
    </row>
    <row r="114" spans="1:42" x14ac:dyDescent="0.2">
      <c r="A114" t="s">
        <v>212</v>
      </c>
      <c r="B114">
        <v>12362235624</v>
      </c>
      <c r="C114">
        <v>396431383</v>
      </c>
      <c r="D114" s="28">
        <v>44224.517650462964</v>
      </c>
      <c r="E114" s="28">
        <v>44224.518194444441</v>
      </c>
      <c r="F114" t="s">
        <v>454</v>
      </c>
      <c r="K114" t="s">
        <v>455</v>
      </c>
      <c r="L114" t="s">
        <v>456</v>
      </c>
      <c r="M114" t="s">
        <v>249</v>
      </c>
      <c r="N114" t="str">
        <f>VLOOKUP(L114,NLFsanalysis_new!B:C,2,FALSE)</f>
        <v>???</v>
      </c>
      <c r="O114" t="str">
        <f>VLOOKUP(L114,NLFsanalysis_new!B:L,11,FALSE)</f>
        <v/>
      </c>
      <c r="P114" t="str">
        <f>VLOOKUP(L114,NLFsanalysis_new!B:D,3,FALSE)</f>
        <v/>
      </c>
      <c r="Q114" t="str">
        <f>VLOOKUP(L114,NLFsanalysis_new!B:E,4,FALSE)</f>
        <v/>
      </c>
      <c r="R114" t="str">
        <f>VLOOKUP(L114,NLFsanalysis_new!B:F,5,FALSE)</f>
        <v/>
      </c>
      <c r="S114" t="str">
        <f>VLOOKUP(L114,NLFsanalysis_new!B:H,7,FALSE)</f>
        <v/>
      </c>
      <c r="T114" t="s">
        <v>152</v>
      </c>
    </row>
    <row r="115" spans="1:42" x14ac:dyDescent="0.2">
      <c r="A115" t="s">
        <v>212</v>
      </c>
      <c r="B115">
        <v>12362145127</v>
      </c>
      <c r="C115">
        <v>396431383</v>
      </c>
      <c r="D115" s="28">
        <v>44224.492349537039</v>
      </c>
      <c r="E115" s="28">
        <v>44224.492673611108</v>
      </c>
      <c r="F115" t="s">
        <v>457</v>
      </c>
      <c r="K115" t="s">
        <v>458</v>
      </c>
      <c r="L115" t="s">
        <v>459</v>
      </c>
      <c r="M115" t="s">
        <v>249</v>
      </c>
      <c r="N115" t="str">
        <f>VLOOKUP(L115,NLFsanalysis_new!B:C,2,FALSE)</f>
        <v>???</v>
      </c>
      <c r="O115" t="str">
        <f>VLOOKUP(L115,NLFsanalysis_new!B:L,11,FALSE)</f>
        <v/>
      </c>
      <c r="P115" t="str">
        <f>VLOOKUP(L115,NLFsanalysis_new!B:D,3,FALSE)</f>
        <v/>
      </c>
      <c r="Q115" t="str">
        <f>VLOOKUP(L115,NLFsanalysis_new!B:E,4,FALSE)</f>
        <v/>
      </c>
      <c r="R115" t="str">
        <f>VLOOKUP(L115,NLFsanalysis_new!B:F,5,FALSE)</f>
        <v/>
      </c>
      <c r="S115" t="str">
        <f>VLOOKUP(L115,NLFsanalysis_new!B:H,7,FALSE)</f>
        <v/>
      </c>
      <c r="T115" t="s">
        <v>170</v>
      </c>
    </row>
    <row r="116" spans="1:42" x14ac:dyDescent="0.2">
      <c r="A116" t="s">
        <v>212</v>
      </c>
      <c r="B116">
        <v>12362048096</v>
      </c>
      <c r="C116">
        <v>396431383</v>
      </c>
      <c r="D116" s="28">
        <v>44224.462627314817</v>
      </c>
      <c r="E116" s="28">
        <v>44224.463194444441</v>
      </c>
      <c r="F116" t="s">
        <v>460</v>
      </c>
      <c r="K116" t="s">
        <v>205</v>
      </c>
      <c r="L116" t="s">
        <v>461</v>
      </c>
      <c r="M116" t="s">
        <v>255</v>
      </c>
      <c r="N116" t="str">
        <f>VLOOKUP(L116,NLFsanalysis_new!B:C,2,FALSE)</f>
        <v>launched in 2021</v>
      </c>
      <c r="O116" t="str">
        <f>VLOOKUP(L116,NLFsanalysis_new!B:L,11,FALSE)</f>
        <v/>
      </c>
      <c r="P116" t="str">
        <f>VLOOKUP(L116,NLFsanalysis_new!B:D,3,FALSE)</f>
        <v/>
      </c>
      <c r="Q116" t="str">
        <f>VLOOKUP(L116,NLFsanalysis_new!B:E,4,FALSE)</f>
        <v/>
      </c>
      <c r="R116" t="str">
        <f>VLOOKUP(L116,NLFsanalysis_new!B:F,5,FALSE)</f>
        <v/>
      </c>
      <c r="S116" t="str">
        <f>VLOOKUP(L116,NLFsanalysis_new!B:H,7,FALSE)</f>
        <v/>
      </c>
      <c r="T116" t="s">
        <v>152</v>
      </c>
    </row>
    <row r="117" spans="1:42" x14ac:dyDescent="0.2">
      <c r="A117" t="s">
        <v>212</v>
      </c>
      <c r="B117">
        <v>12361936786</v>
      </c>
      <c r="C117">
        <v>396431383</v>
      </c>
      <c r="D117" s="28">
        <v>44224.422233796293</v>
      </c>
      <c r="E117" s="28">
        <v>44224.432025462964</v>
      </c>
      <c r="F117" t="s">
        <v>357</v>
      </c>
      <c r="K117" t="s">
        <v>462</v>
      </c>
      <c r="L117" t="s">
        <v>463</v>
      </c>
      <c r="M117" t="s">
        <v>249</v>
      </c>
      <c r="N117">
        <f>VLOOKUP(L117,NLFsanalysis_new!B:C,2,FALSE)</f>
        <v>18386</v>
      </c>
      <c r="O117" t="str">
        <f>VLOOKUP(L117,NLFsanalysis_new!B:L,11,FALSE)</f>
        <v>EUR</v>
      </c>
      <c r="P117" t="str">
        <f>VLOOKUP(L117,NLFsanalysis_new!B:D,3,FALSE)</f>
        <v>Core</v>
      </c>
      <c r="Q117" t="str">
        <f>VLOOKUP(L117,NLFsanalysis_new!B:E,4,FALSE)</f>
        <v>multi country</v>
      </c>
      <c r="R117" t="str">
        <f>VLOOKUP(L117,NLFsanalysis_new!B:F,5,FALSE)</f>
        <v/>
      </c>
      <c r="S117">
        <f>VLOOKUP(L117,NLFsanalysis_new!B:H,7,FALSE)</f>
        <v>2017</v>
      </c>
      <c r="T117" t="s">
        <v>152</v>
      </c>
      <c r="W117">
        <v>5339993</v>
      </c>
      <c r="X117">
        <v>5000000</v>
      </c>
      <c r="AE117">
        <v>339993</v>
      </c>
      <c r="AF117">
        <v>5339993</v>
      </c>
      <c r="AM117">
        <v>100</v>
      </c>
      <c r="AO117" t="s">
        <v>151</v>
      </c>
      <c r="AP117" t="s">
        <v>152</v>
      </c>
    </row>
    <row r="118" spans="1:42" x14ac:dyDescent="0.2">
      <c r="A118" t="s">
        <v>212</v>
      </c>
      <c r="B118">
        <v>12361876256</v>
      </c>
      <c r="C118">
        <v>396431383</v>
      </c>
      <c r="D118" s="28">
        <v>44224.408206018517</v>
      </c>
      <c r="E118" s="28">
        <v>44224.409074074072</v>
      </c>
      <c r="F118" t="s">
        <v>464</v>
      </c>
      <c r="K118" t="s">
        <v>465</v>
      </c>
      <c r="L118" t="s">
        <v>466</v>
      </c>
      <c r="M118" t="s">
        <v>255</v>
      </c>
      <c r="N118">
        <f>VLOOKUP(L118,NLFsanalysis_new!B:C,2,FALSE)</f>
        <v>18596</v>
      </c>
      <c r="O118" t="str">
        <f>VLOOKUP(L118,NLFsanalysis_new!B:L,11,FALSE)</f>
        <v>EUR</v>
      </c>
      <c r="P118" t="str">
        <f>VLOOKUP(L118,NLFsanalysis_new!B:D,3,FALSE)</f>
        <v>Value-added</v>
      </c>
      <c r="Q118" t="str">
        <f>VLOOKUP(L118,NLFsanalysis_new!B:E,4,FALSE)</f>
        <v>single country</v>
      </c>
      <c r="R118" t="str">
        <f>VLOOKUP(L118,NLFsanalysis_new!B:F,5,FALSE)</f>
        <v>Finland</v>
      </c>
      <c r="S118">
        <f>VLOOKUP(L118,NLFsanalysis_new!B:H,7,FALSE)</f>
        <v>2018</v>
      </c>
      <c r="T118" t="s">
        <v>170</v>
      </c>
      <c r="U118" t="s">
        <v>9</v>
      </c>
      <c r="V118" t="s">
        <v>467</v>
      </c>
      <c r="AO118" t="s">
        <v>151</v>
      </c>
      <c r="AP118" t="s">
        <v>152</v>
      </c>
    </row>
    <row r="119" spans="1:42" x14ac:dyDescent="0.2">
      <c r="A119" t="s">
        <v>212</v>
      </c>
      <c r="B119">
        <v>12361871917</v>
      </c>
      <c r="C119">
        <v>396431383</v>
      </c>
      <c r="D119" s="28">
        <v>44224.406666666669</v>
      </c>
      <c r="E119" s="28">
        <v>44224.407430555555</v>
      </c>
      <c r="F119" t="s">
        <v>468</v>
      </c>
      <c r="K119" t="s">
        <v>469</v>
      </c>
      <c r="L119" t="s">
        <v>470</v>
      </c>
      <c r="M119" t="s">
        <v>255</v>
      </c>
      <c r="N119">
        <f>VLOOKUP(L119,NLFsanalysis_new!B:C,2,FALSE)</f>
        <v>19311</v>
      </c>
      <c r="O119" t="str">
        <f>VLOOKUP(L119,NLFsanalysis_new!B:L,11,FALSE)</f>
        <v>EUR</v>
      </c>
      <c r="P119" t="str">
        <f>VLOOKUP(L119,NLFsanalysis_new!B:D,3,FALSE)</f>
        <v>Value-added</v>
      </c>
      <c r="Q119" t="str">
        <f>VLOOKUP(L119,NLFsanalysis_new!B:E,4,FALSE)</f>
        <v>single country</v>
      </c>
      <c r="R119" t="str">
        <f>VLOOKUP(L119,NLFsanalysis_new!B:F,5,FALSE)</f>
        <v>Italy</v>
      </c>
      <c r="S119">
        <f>VLOOKUP(L119,NLFsanalysis_new!B:H,7,FALSE)</f>
        <v>2019</v>
      </c>
      <c r="T119" t="s">
        <v>170</v>
      </c>
      <c r="U119" t="s">
        <v>9</v>
      </c>
      <c r="V119" t="s">
        <v>471</v>
      </c>
      <c r="AO119" t="s">
        <v>151</v>
      </c>
      <c r="AP119" t="s">
        <v>170</v>
      </c>
    </row>
    <row r="120" spans="1:42" x14ac:dyDescent="0.2">
      <c r="A120" t="s">
        <v>212</v>
      </c>
      <c r="B120">
        <v>12361856422</v>
      </c>
      <c r="C120">
        <v>396431383</v>
      </c>
      <c r="D120" s="28">
        <v>44224.400289351855</v>
      </c>
      <c r="E120" s="28">
        <v>44224.401064814818</v>
      </c>
      <c r="F120" t="s">
        <v>445</v>
      </c>
      <c r="K120" t="s">
        <v>472</v>
      </c>
      <c r="L120" t="s">
        <v>473</v>
      </c>
      <c r="M120" t="s">
        <v>249</v>
      </c>
      <c r="N120">
        <f>VLOOKUP(L120,NLFsanalysis_new!B:C,2,FALSE)</f>
        <v>318</v>
      </c>
      <c r="O120" t="str">
        <f>VLOOKUP(L120,NLFsanalysis_new!B:L,11,FALSE)</f>
        <v>GBP</v>
      </c>
      <c r="P120" t="str">
        <f>VLOOKUP(L120,NLFsanalysis_new!B:D,3,FALSE)</f>
        <v>Core</v>
      </c>
      <c r="Q120" t="str">
        <f>VLOOKUP(L120,NLFsanalysis_new!B:E,4,FALSE)</f>
        <v>single country</v>
      </c>
      <c r="R120" t="str">
        <f>VLOOKUP(L120,NLFsanalysis_new!B:F,5,FALSE)</f>
        <v>United Kingdom</v>
      </c>
      <c r="S120">
        <f>VLOOKUP(L120,NLFsanalysis_new!B:H,7,FALSE)</f>
        <v>2003</v>
      </c>
      <c r="T120" t="s">
        <v>152</v>
      </c>
    </row>
    <row r="121" spans="1:42" x14ac:dyDescent="0.2">
      <c r="A121" t="s">
        <v>212</v>
      </c>
      <c r="B121">
        <v>12361739604</v>
      </c>
      <c r="C121">
        <v>396431383</v>
      </c>
      <c r="D121" s="28">
        <v>44224.353101851855</v>
      </c>
      <c r="E121" s="28">
        <v>44224.353483796294</v>
      </c>
      <c r="F121" t="s">
        <v>474</v>
      </c>
      <c r="K121" t="s">
        <v>353</v>
      </c>
      <c r="L121" t="s">
        <v>475</v>
      </c>
      <c r="M121" t="s">
        <v>255</v>
      </c>
      <c r="N121">
        <f>VLOOKUP(L121,NLFsanalysis_new!B:C,2,FALSE)</f>
        <v>16070</v>
      </c>
      <c r="O121" t="str">
        <f>VLOOKUP(L121,NLFsanalysis_new!B:L,11,FALSE)</f>
        <v>SEK</v>
      </c>
      <c r="P121" t="str">
        <f>VLOOKUP(L121,NLFsanalysis_new!B:D,3,FALSE)</f>
        <v>Value-added</v>
      </c>
      <c r="Q121" t="str">
        <f>VLOOKUP(L121,NLFsanalysis_new!B:E,4,FALSE)</f>
        <v>single country</v>
      </c>
      <c r="R121" t="str">
        <f>VLOOKUP(L121,NLFsanalysis_new!B:F,5,FALSE)</f>
        <v>Sweden</v>
      </c>
      <c r="S121">
        <f>VLOOKUP(L121,NLFsanalysis_new!B:H,7,FALSE)</f>
        <v>2012</v>
      </c>
      <c r="T121" t="s">
        <v>170</v>
      </c>
    </row>
    <row r="122" spans="1:42" x14ac:dyDescent="0.2">
      <c r="A122" t="s">
        <v>212</v>
      </c>
      <c r="B122">
        <v>12361732394</v>
      </c>
      <c r="C122">
        <v>396431383</v>
      </c>
      <c r="D122" s="28">
        <v>44224.33798611111</v>
      </c>
      <c r="E122" s="28">
        <v>44224.385011574072</v>
      </c>
      <c r="F122" t="s">
        <v>476</v>
      </c>
      <c r="K122" t="s">
        <v>477</v>
      </c>
      <c r="L122" t="s">
        <v>411</v>
      </c>
      <c r="M122" t="s">
        <v>249</v>
      </c>
      <c r="N122">
        <f>VLOOKUP(L122,NLFsanalysis_new!B:C,2,FALSE)</f>
        <v>17499</v>
      </c>
      <c r="O122" t="str">
        <f>VLOOKUP(L122,NLFsanalysis_new!B:L,11,FALSE)</f>
        <v>NOK</v>
      </c>
      <c r="P122" t="str">
        <f>VLOOKUP(L122,NLFsanalysis_new!B:D,3,FALSE)</f>
        <v>Core</v>
      </c>
      <c r="Q122" t="str">
        <f>VLOOKUP(L122,NLFsanalysis_new!B:E,4,FALSE)</f>
        <v>multi country</v>
      </c>
      <c r="R122" t="str">
        <f>VLOOKUP(L122,NLFsanalysis_new!B:F,5,FALSE)</f>
        <v/>
      </c>
      <c r="S122">
        <f>VLOOKUP(L122,NLFsanalysis_new!B:H,7,FALSE)</f>
        <v>2007</v>
      </c>
      <c r="T122" t="s">
        <v>152</v>
      </c>
      <c r="W122">
        <v>726</v>
      </c>
      <c r="X122">
        <v>303</v>
      </c>
      <c r="Y122">
        <v>256</v>
      </c>
      <c r="Z122">
        <v>0</v>
      </c>
      <c r="AA122">
        <v>0</v>
      </c>
      <c r="AB122">
        <v>57</v>
      </c>
      <c r="AC122">
        <v>0</v>
      </c>
      <c r="AD122">
        <v>1</v>
      </c>
      <c r="AE122">
        <v>142</v>
      </c>
      <c r="AF122">
        <v>726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100</v>
      </c>
      <c r="AN122">
        <v>0</v>
      </c>
    </row>
    <row r="123" spans="1:42" x14ac:dyDescent="0.2">
      <c r="A123" t="s">
        <v>212</v>
      </c>
      <c r="B123">
        <v>12361700301</v>
      </c>
      <c r="C123">
        <v>396431383</v>
      </c>
      <c r="D123" s="28">
        <v>44224.334907407407</v>
      </c>
      <c r="E123" s="28">
        <v>44224.335960648146</v>
      </c>
      <c r="F123" t="s">
        <v>478</v>
      </c>
      <c r="K123" t="s">
        <v>479</v>
      </c>
      <c r="L123" t="s">
        <v>480</v>
      </c>
      <c r="M123" t="s">
        <v>255</v>
      </c>
      <c r="N123">
        <f>VLOOKUP(L123,NLFsanalysis_new!B:C,2,FALSE)</f>
        <v>19702</v>
      </c>
      <c r="O123" t="str">
        <f>VLOOKUP(L123,NLFsanalysis_new!B:L,11,FALSE)</f>
        <v/>
      </c>
      <c r="P123" t="str">
        <f>VLOOKUP(L123,NLFsanalysis_new!B:D,3,FALSE)</f>
        <v>Core</v>
      </c>
      <c r="Q123" t="str">
        <f>VLOOKUP(L123,NLFsanalysis_new!B:E,4,FALSE)</f>
        <v>multi country</v>
      </c>
      <c r="R123" t="str">
        <f>VLOOKUP(L123,NLFsanalysis_new!B:F,5,FALSE)</f>
        <v/>
      </c>
      <c r="S123">
        <f>VLOOKUP(L123,NLFsanalysis_new!B:H,7,FALSE)</f>
        <v>2020</v>
      </c>
      <c r="T123" t="s">
        <v>152</v>
      </c>
      <c r="W123">
        <v>24</v>
      </c>
      <c r="X123">
        <v>10</v>
      </c>
      <c r="AD123">
        <v>14</v>
      </c>
      <c r="AF123">
        <v>24</v>
      </c>
      <c r="AK123">
        <v>4</v>
      </c>
      <c r="AL123">
        <v>96</v>
      </c>
      <c r="AO123" t="s">
        <v>151</v>
      </c>
      <c r="AP123" t="s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1f97334-ae98-4ddf-87ee-81edeebb5d8e" xsi:nil="true"/>
    <TaxCatchAll xmlns="3cacb1fb-8034-49eb-92fa-02e9d9e8c610" xsi:nil="true"/>
    <lcf76f155ced4ddcb4097134ff3c332f xmlns="61f97334-ae98-4ddf-87ee-81edeebb5d8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3B7BF9FADC24383D9D34D924723C9" ma:contentTypeVersion="20" ma:contentTypeDescription="Create a new document." ma:contentTypeScope="" ma:versionID="1106c8468eaafddae308e8ae690256e5">
  <xsd:schema xmlns:xsd="http://www.w3.org/2001/XMLSchema" xmlns:xs="http://www.w3.org/2001/XMLSchema" xmlns:p="http://schemas.microsoft.com/office/2006/metadata/properties" xmlns:ns2="61f97334-ae98-4ddf-87ee-81edeebb5d8e" xmlns:ns3="3cacb1fb-8034-49eb-92fa-02e9d9e8c610" targetNamespace="http://schemas.microsoft.com/office/2006/metadata/properties" ma:root="true" ma:fieldsID="510db6c088147b0ee1ad941e8ea23aee" ns2:_="" ns3:_="">
    <xsd:import namespace="61f97334-ae98-4ddf-87ee-81edeebb5d8e"/>
    <xsd:import namespace="3cacb1fb-8034-49eb-92fa-02e9d9e8c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97334-ae98-4ddf-87ee-81edeebb5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3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78df0fa-3822-4368-8bf3-00f761682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cb1fb-8034-49eb-92fa-02e9d9e8c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51472ca-fc9d-4c1c-8c51-4fe053b30565}" ma:internalName="TaxCatchAll" ma:showField="CatchAllData" ma:web="3cacb1fb-8034-49eb-92fa-02e9d9e8c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B0C935-B39D-483E-9B1D-C231C41AC841}">
  <ds:schemaRefs>
    <ds:schemaRef ds:uri="http://schemas.microsoft.com/office/2006/metadata/properties"/>
    <ds:schemaRef ds:uri="http://schemas.microsoft.com/office/infopath/2007/PartnerControls"/>
    <ds:schemaRef ds:uri="61f97334-ae98-4ddf-87ee-81edeebb5d8e"/>
    <ds:schemaRef ds:uri="3cacb1fb-8034-49eb-92fa-02e9d9e8c610"/>
  </ds:schemaRefs>
</ds:datastoreItem>
</file>

<file path=customXml/itemProps2.xml><?xml version="1.0" encoding="utf-8"?>
<ds:datastoreItem xmlns:ds="http://schemas.openxmlformats.org/officeDocument/2006/customXml" ds:itemID="{8BF84F1F-55EF-4999-AC45-0B6C94B53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f97334-ae98-4ddf-87ee-81edeebb5d8e"/>
    <ds:schemaRef ds:uri="3cacb1fb-8034-49eb-92fa-02e9d9e8c6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7C0E0A-C9C3-4E9B-ABBC-957E5812A5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DFanalysis</vt:lpstr>
      <vt:lpstr>dfanalysis060421</vt:lpstr>
      <vt:lpstr>DFsmonkeyCompl</vt:lpstr>
      <vt:lpstr>DFanalysis_new</vt:lpstr>
      <vt:lpstr>DFsmonkeyCompl (2)</vt:lpstr>
      <vt:lpstr>df_headers</vt:lpstr>
      <vt:lpstr>df_edited_headers</vt:lpstr>
      <vt:lpstr>df_edited_headers (2)</vt:lpstr>
      <vt:lpstr>FoFsmonkeyCompl</vt:lpstr>
      <vt:lpstr>FoFsanalysis_new</vt:lpstr>
      <vt:lpstr>FoFsmonkeyCompl (2)</vt:lpstr>
      <vt:lpstr>FoFsanalysis</vt:lpstr>
      <vt:lpstr>fof_headers</vt:lpstr>
      <vt:lpstr>fof_edited_headers</vt:lpstr>
      <vt:lpstr>NLFsmonkeyCompl</vt:lpstr>
      <vt:lpstr>NLFsanalysis</vt:lpstr>
      <vt:lpstr>NLFsanalysis_new</vt:lpstr>
      <vt:lpstr>NLFsmonkeyCompl (2)</vt:lpstr>
      <vt:lpstr>nlf_headers</vt:lpstr>
      <vt:lpstr>nlf_edited_headers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Kalinaki</dc:creator>
  <cp:lastModifiedBy>Alexandros Valetopoulos</cp:lastModifiedBy>
  <dcterms:created xsi:type="dcterms:W3CDTF">2021-03-18T09:48:36Z</dcterms:created>
  <dcterms:modified xsi:type="dcterms:W3CDTF">2024-05-24T09:37:33Z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0x010100FB43B7BF9FADC24383D9D34D924723C9</vt:lpwstr>
  </property>
  <property fmtid="{D5CDD505-2E9C-101B-9397-08002B2CF9AE}" pid="3" name="MediaServiceImageTags">
    <vt:lpwstr/>
  </property>
</Properties>
</file>